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9020" windowHeight="11700" tabRatio="663" firstSheet="3" activeTab="17"/>
  </bookViews>
  <sheets>
    <sheet name="Sol" sheetId="4" r:id="rId1"/>
    <sheet name="SolCor" sheetId="19" r:id="rId2"/>
    <sheet name="TAir" sheetId="5" r:id="rId3"/>
    <sheet name="RH" sheetId="6" r:id="rId4"/>
    <sheet name="Tave" sheetId="8" r:id="rId5"/>
    <sheet name="T1.5" sheetId="15" r:id="rId6"/>
    <sheet name="T0.2" sheetId="17" r:id="rId7"/>
    <sheet name="Tsoil" sheetId="16" r:id="rId8"/>
    <sheet name="Wind" sheetId="7" r:id="rId9"/>
    <sheet name="SnowD" sheetId="9" r:id="rId10"/>
    <sheet name="Rain" sheetId="13" r:id="rId11"/>
    <sheet name="PPTSum" sheetId="18" r:id="rId12"/>
    <sheet name="Vpres" sheetId="20" r:id="rId13"/>
    <sheet name="BatV" sheetId="10" r:id="rId14"/>
    <sheet name="TRef" sheetId="11" r:id="rId15"/>
    <sheet name="Tpan" sheetId="12" r:id="rId16"/>
    <sheet name="Short" sheetId="14" r:id="rId17"/>
    <sheet name="Data" sheetId="1" r:id="rId18"/>
    <sheet name="Meta" sheetId="2" r:id="rId19"/>
  </sheets>
  <calcPr calcId="145621"/>
</workbook>
</file>

<file path=xl/calcChain.xml><?xml version="1.0" encoding="utf-8"?>
<calcChain xmlns="http://schemas.openxmlformats.org/spreadsheetml/2006/main">
  <c r="BL370" i="1" l="1"/>
  <c r="BK370" i="1"/>
  <c r="BJ370" i="1"/>
  <c r="BI370" i="1"/>
  <c r="BH370" i="1"/>
  <c r="BG370" i="1"/>
  <c r="BE370" i="1"/>
  <c r="BD370" i="1"/>
  <c r="BC370" i="1"/>
  <c r="BB370" i="1"/>
  <c r="AZ370" i="1"/>
  <c r="AY370" i="1"/>
  <c r="AX370" i="1"/>
  <c r="AW370" i="1"/>
  <c r="AU370" i="1"/>
  <c r="AT370" i="1"/>
  <c r="AS370" i="1"/>
  <c r="BL369" i="1"/>
  <c r="BK369" i="1"/>
  <c r="BJ369" i="1"/>
  <c r="BI369" i="1"/>
  <c r="BH369" i="1"/>
  <c r="BG369" i="1"/>
  <c r="BE369" i="1"/>
  <c r="BD369" i="1"/>
  <c r="BC369" i="1"/>
  <c r="BB369" i="1"/>
  <c r="AZ369" i="1"/>
  <c r="AY369" i="1"/>
  <c r="AX369" i="1"/>
  <c r="AW369" i="1"/>
  <c r="AU369" i="1"/>
  <c r="AT369" i="1"/>
  <c r="AS369" i="1"/>
  <c r="BL368" i="1"/>
  <c r="BK368" i="1"/>
  <c r="BJ368" i="1"/>
  <c r="BI368" i="1"/>
  <c r="BH368" i="1"/>
  <c r="BG368" i="1"/>
  <c r="BE368" i="1"/>
  <c r="BD368" i="1"/>
  <c r="BC368" i="1"/>
  <c r="BB368" i="1"/>
  <c r="AZ368" i="1"/>
  <c r="AY368" i="1"/>
  <c r="AX368" i="1"/>
  <c r="AW368" i="1"/>
  <c r="AU368" i="1"/>
  <c r="AT368" i="1"/>
  <c r="AS368" i="1"/>
  <c r="BL367" i="1"/>
  <c r="BK367" i="1"/>
  <c r="BJ367" i="1"/>
  <c r="BI367" i="1"/>
  <c r="BH367" i="1"/>
  <c r="BG367" i="1"/>
  <c r="BE367" i="1"/>
  <c r="BD367" i="1"/>
  <c r="BC367" i="1"/>
  <c r="BB367" i="1"/>
  <c r="AZ367" i="1"/>
  <c r="AY367" i="1"/>
  <c r="AX367" i="1"/>
  <c r="AW367" i="1"/>
  <c r="AU367" i="1"/>
  <c r="AT367" i="1"/>
  <c r="AS367" i="1"/>
  <c r="BL366" i="1"/>
  <c r="BK366" i="1"/>
  <c r="BJ366" i="1"/>
  <c r="BI366" i="1"/>
  <c r="BH366" i="1"/>
  <c r="BG366" i="1"/>
  <c r="BE366" i="1"/>
  <c r="BD366" i="1"/>
  <c r="BC366" i="1"/>
  <c r="BB366" i="1"/>
  <c r="AZ366" i="1"/>
  <c r="AY366" i="1"/>
  <c r="AX366" i="1"/>
  <c r="AW366" i="1"/>
  <c r="AU366" i="1"/>
  <c r="AT366" i="1"/>
  <c r="AS366" i="1"/>
  <c r="BL365" i="1"/>
  <c r="BK365" i="1"/>
  <c r="BJ365" i="1"/>
  <c r="BI365" i="1"/>
  <c r="BH365" i="1"/>
  <c r="BG365" i="1"/>
  <c r="BE365" i="1"/>
  <c r="BD365" i="1"/>
  <c r="BC365" i="1"/>
  <c r="BB365" i="1"/>
  <c r="AZ365" i="1"/>
  <c r="AY365" i="1"/>
  <c r="AX365" i="1"/>
  <c r="AW365" i="1"/>
  <c r="AU365" i="1"/>
  <c r="AT365" i="1"/>
  <c r="AS365" i="1"/>
  <c r="BL364" i="1"/>
  <c r="BK364" i="1"/>
  <c r="BJ364" i="1"/>
  <c r="BI364" i="1"/>
  <c r="BH364" i="1"/>
  <c r="BG364" i="1"/>
  <c r="BE364" i="1"/>
  <c r="BD364" i="1"/>
  <c r="BC364" i="1"/>
  <c r="BB364" i="1"/>
  <c r="AZ364" i="1"/>
  <c r="AY364" i="1"/>
  <c r="AX364" i="1"/>
  <c r="AW364" i="1"/>
  <c r="AU364" i="1"/>
  <c r="AT364" i="1"/>
  <c r="AS364" i="1"/>
  <c r="BL363" i="1"/>
  <c r="BK363" i="1"/>
  <c r="BJ363" i="1"/>
  <c r="BI363" i="1"/>
  <c r="BH363" i="1"/>
  <c r="BG363" i="1"/>
  <c r="BE363" i="1"/>
  <c r="BD363" i="1"/>
  <c r="BC363" i="1"/>
  <c r="BB363" i="1"/>
  <c r="AZ363" i="1"/>
  <c r="AY363" i="1"/>
  <c r="AX363" i="1"/>
  <c r="AW363" i="1"/>
  <c r="AU363" i="1"/>
  <c r="AT363" i="1"/>
  <c r="AS363" i="1"/>
  <c r="BL362" i="1"/>
  <c r="BK362" i="1"/>
  <c r="BJ362" i="1"/>
  <c r="BI362" i="1"/>
  <c r="BH362" i="1"/>
  <c r="BG362" i="1"/>
  <c r="BE362" i="1"/>
  <c r="BD362" i="1"/>
  <c r="BC362" i="1"/>
  <c r="BB362" i="1"/>
  <c r="AZ362" i="1"/>
  <c r="AY362" i="1"/>
  <c r="AX362" i="1"/>
  <c r="AW362" i="1"/>
  <c r="AU362" i="1"/>
  <c r="AT362" i="1"/>
  <c r="AS362" i="1"/>
  <c r="BL361" i="1"/>
  <c r="BK361" i="1"/>
  <c r="BJ361" i="1"/>
  <c r="BI361" i="1"/>
  <c r="BH361" i="1"/>
  <c r="BG361" i="1"/>
  <c r="BE361" i="1"/>
  <c r="BD361" i="1"/>
  <c r="BC361" i="1"/>
  <c r="BB361" i="1"/>
  <c r="AZ361" i="1"/>
  <c r="AY361" i="1"/>
  <c r="AX361" i="1"/>
  <c r="AW361" i="1"/>
  <c r="AU361" i="1"/>
  <c r="AT361" i="1"/>
  <c r="AS361" i="1"/>
  <c r="BL360" i="1"/>
  <c r="BK360" i="1"/>
  <c r="BJ360" i="1"/>
  <c r="BI360" i="1"/>
  <c r="BH360" i="1"/>
  <c r="BG360" i="1"/>
  <c r="BE360" i="1"/>
  <c r="BD360" i="1"/>
  <c r="BC360" i="1"/>
  <c r="BB360" i="1"/>
  <c r="AZ360" i="1"/>
  <c r="AY360" i="1"/>
  <c r="AX360" i="1"/>
  <c r="AW360" i="1"/>
  <c r="AU360" i="1"/>
  <c r="AT360" i="1"/>
  <c r="AS360" i="1"/>
  <c r="BL359" i="1"/>
  <c r="BK359" i="1"/>
  <c r="BJ359" i="1"/>
  <c r="BI359" i="1"/>
  <c r="BH359" i="1"/>
  <c r="BG359" i="1"/>
  <c r="BE359" i="1"/>
  <c r="BD359" i="1"/>
  <c r="BC359" i="1"/>
  <c r="BB359" i="1"/>
  <c r="AZ359" i="1"/>
  <c r="AY359" i="1"/>
  <c r="AX359" i="1"/>
  <c r="AW359" i="1"/>
  <c r="AU359" i="1"/>
  <c r="AT359" i="1"/>
  <c r="AS359" i="1"/>
  <c r="BL358" i="1"/>
  <c r="BK358" i="1"/>
  <c r="BJ358" i="1"/>
  <c r="BI358" i="1"/>
  <c r="BH358" i="1"/>
  <c r="BG358" i="1"/>
  <c r="BE358" i="1"/>
  <c r="BD358" i="1"/>
  <c r="BC358" i="1"/>
  <c r="BB358" i="1"/>
  <c r="AZ358" i="1"/>
  <c r="AY358" i="1"/>
  <c r="AX358" i="1"/>
  <c r="AW358" i="1"/>
  <c r="AU358" i="1"/>
  <c r="AT358" i="1"/>
  <c r="AS358" i="1"/>
  <c r="BL357" i="1"/>
  <c r="BK357" i="1"/>
  <c r="BJ357" i="1"/>
  <c r="BI357" i="1"/>
  <c r="BH357" i="1"/>
  <c r="BG357" i="1"/>
  <c r="BE357" i="1"/>
  <c r="BD357" i="1"/>
  <c r="BC357" i="1"/>
  <c r="BB357" i="1"/>
  <c r="AZ357" i="1"/>
  <c r="AY357" i="1"/>
  <c r="AX357" i="1"/>
  <c r="AW357" i="1"/>
  <c r="AU357" i="1"/>
  <c r="AT357" i="1"/>
  <c r="AS357" i="1"/>
  <c r="BL356" i="1"/>
  <c r="BK356" i="1"/>
  <c r="BJ356" i="1"/>
  <c r="BI356" i="1"/>
  <c r="BH356" i="1"/>
  <c r="BG356" i="1"/>
  <c r="BE356" i="1"/>
  <c r="BD356" i="1"/>
  <c r="BC356" i="1"/>
  <c r="BB356" i="1"/>
  <c r="AZ356" i="1"/>
  <c r="AY356" i="1"/>
  <c r="AX356" i="1"/>
  <c r="AW356" i="1"/>
  <c r="AU356" i="1"/>
  <c r="AT356" i="1"/>
  <c r="AS356" i="1"/>
  <c r="BL355" i="1"/>
  <c r="BK355" i="1"/>
  <c r="BJ355" i="1"/>
  <c r="BI355" i="1"/>
  <c r="BH355" i="1"/>
  <c r="BG355" i="1"/>
  <c r="BE355" i="1"/>
  <c r="BD355" i="1"/>
  <c r="BC355" i="1"/>
  <c r="BB355" i="1"/>
  <c r="AZ355" i="1"/>
  <c r="AY355" i="1"/>
  <c r="AX355" i="1"/>
  <c r="AW355" i="1"/>
  <c r="AU355" i="1"/>
  <c r="AT355" i="1"/>
  <c r="AS355" i="1"/>
  <c r="BL354" i="1"/>
  <c r="BK354" i="1"/>
  <c r="BJ354" i="1"/>
  <c r="BI354" i="1"/>
  <c r="BH354" i="1"/>
  <c r="BG354" i="1"/>
  <c r="BE354" i="1"/>
  <c r="BD354" i="1"/>
  <c r="BC354" i="1"/>
  <c r="BB354" i="1"/>
  <c r="AZ354" i="1"/>
  <c r="AY354" i="1"/>
  <c r="AX354" i="1"/>
  <c r="AW354" i="1"/>
  <c r="AU354" i="1"/>
  <c r="AT354" i="1"/>
  <c r="AS354" i="1"/>
  <c r="BL353" i="1"/>
  <c r="BK353" i="1"/>
  <c r="BJ353" i="1"/>
  <c r="BI353" i="1"/>
  <c r="BH353" i="1"/>
  <c r="BG353" i="1"/>
  <c r="BE353" i="1"/>
  <c r="BD353" i="1"/>
  <c r="BC353" i="1"/>
  <c r="BB353" i="1"/>
  <c r="AZ353" i="1"/>
  <c r="AY353" i="1"/>
  <c r="AX353" i="1"/>
  <c r="AW353" i="1"/>
  <c r="AU353" i="1"/>
  <c r="AT353" i="1"/>
  <c r="AS353" i="1"/>
  <c r="BL352" i="1"/>
  <c r="BK352" i="1"/>
  <c r="BJ352" i="1"/>
  <c r="BI352" i="1"/>
  <c r="BH352" i="1"/>
  <c r="BG352" i="1"/>
  <c r="BE352" i="1"/>
  <c r="BD352" i="1"/>
  <c r="BC352" i="1"/>
  <c r="BB352" i="1"/>
  <c r="AZ352" i="1"/>
  <c r="AY352" i="1"/>
  <c r="AX352" i="1"/>
  <c r="AW352" i="1"/>
  <c r="AU352" i="1"/>
  <c r="AT352" i="1"/>
  <c r="AS352" i="1"/>
  <c r="BL351" i="1"/>
  <c r="BK351" i="1"/>
  <c r="BJ351" i="1"/>
  <c r="BI351" i="1"/>
  <c r="BH351" i="1"/>
  <c r="BG351" i="1"/>
  <c r="BE351" i="1"/>
  <c r="BD351" i="1"/>
  <c r="BC351" i="1"/>
  <c r="BB351" i="1"/>
  <c r="AZ351" i="1"/>
  <c r="AY351" i="1"/>
  <c r="AX351" i="1"/>
  <c r="AW351" i="1"/>
  <c r="AU351" i="1"/>
  <c r="AT351" i="1"/>
  <c r="AS351" i="1"/>
  <c r="BL350" i="1"/>
  <c r="BK350" i="1"/>
  <c r="BJ350" i="1"/>
  <c r="BI350" i="1"/>
  <c r="BH350" i="1"/>
  <c r="BG350" i="1"/>
  <c r="BE350" i="1"/>
  <c r="BD350" i="1"/>
  <c r="BC350" i="1"/>
  <c r="BB350" i="1"/>
  <c r="AZ350" i="1"/>
  <c r="AY350" i="1"/>
  <c r="AX350" i="1"/>
  <c r="AW350" i="1"/>
  <c r="AU350" i="1"/>
  <c r="AT350" i="1"/>
  <c r="AS350" i="1"/>
  <c r="BL349" i="1"/>
  <c r="BK349" i="1"/>
  <c r="BJ349" i="1"/>
  <c r="BI349" i="1"/>
  <c r="BH349" i="1"/>
  <c r="BG349" i="1"/>
  <c r="BE349" i="1"/>
  <c r="BD349" i="1"/>
  <c r="BC349" i="1"/>
  <c r="BB349" i="1"/>
  <c r="AZ349" i="1"/>
  <c r="AY349" i="1"/>
  <c r="AX349" i="1"/>
  <c r="AW349" i="1"/>
  <c r="AU349" i="1"/>
  <c r="AT349" i="1"/>
  <c r="AS349" i="1"/>
  <c r="BL348" i="1"/>
  <c r="BK348" i="1"/>
  <c r="BJ348" i="1"/>
  <c r="BI348" i="1"/>
  <c r="BH348" i="1"/>
  <c r="BG348" i="1"/>
  <c r="BE348" i="1"/>
  <c r="BD348" i="1"/>
  <c r="BC348" i="1"/>
  <c r="BB348" i="1"/>
  <c r="AZ348" i="1"/>
  <c r="AY348" i="1"/>
  <c r="AX348" i="1"/>
  <c r="AW348" i="1"/>
  <c r="AU348" i="1"/>
  <c r="AT348" i="1"/>
  <c r="AS348" i="1"/>
  <c r="BL347" i="1"/>
  <c r="BK347" i="1"/>
  <c r="BJ347" i="1"/>
  <c r="BI347" i="1"/>
  <c r="BH347" i="1"/>
  <c r="BG347" i="1"/>
  <c r="BE347" i="1"/>
  <c r="BD347" i="1"/>
  <c r="BC347" i="1"/>
  <c r="BB347" i="1"/>
  <c r="AZ347" i="1"/>
  <c r="AY347" i="1"/>
  <c r="AX347" i="1"/>
  <c r="AW347" i="1"/>
  <c r="AU347" i="1"/>
  <c r="AT347" i="1"/>
  <c r="AS347" i="1"/>
  <c r="BL346" i="1"/>
  <c r="BK346" i="1"/>
  <c r="BJ346" i="1"/>
  <c r="BI346" i="1"/>
  <c r="BH346" i="1"/>
  <c r="BG346" i="1"/>
  <c r="BE346" i="1"/>
  <c r="BD346" i="1"/>
  <c r="BC346" i="1"/>
  <c r="BB346" i="1"/>
  <c r="AZ346" i="1"/>
  <c r="AY346" i="1"/>
  <c r="AX346" i="1"/>
  <c r="AW346" i="1"/>
  <c r="AU346" i="1"/>
  <c r="AT346" i="1"/>
  <c r="AS346" i="1"/>
  <c r="BL345" i="1"/>
  <c r="BK345" i="1"/>
  <c r="BJ345" i="1"/>
  <c r="BI345" i="1"/>
  <c r="BH345" i="1"/>
  <c r="BG345" i="1"/>
  <c r="BE345" i="1"/>
  <c r="BD345" i="1"/>
  <c r="BC345" i="1"/>
  <c r="BB345" i="1"/>
  <c r="AZ345" i="1"/>
  <c r="AY345" i="1"/>
  <c r="AX345" i="1"/>
  <c r="AW345" i="1"/>
  <c r="AU345" i="1"/>
  <c r="AT345" i="1"/>
  <c r="AS345" i="1"/>
  <c r="BL344" i="1"/>
  <c r="BK344" i="1"/>
  <c r="BJ344" i="1"/>
  <c r="BI344" i="1"/>
  <c r="BH344" i="1"/>
  <c r="BG344" i="1"/>
  <c r="BE344" i="1"/>
  <c r="BD344" i="1"/>
  <c r="BC344" i="1"/>
  <c r="BB344" i="1"/>
  <c r="AZ344" i="1"/>
  <c r="AY344" i="1"/>
  <c r="AX344" i="1"/>
  <c r="AW344" i="1"/>
  <c r="AU344" i="1"/>
  <c r="AT344" i="1"/>
  <c r="AS344" i="1"/>
  <c r="BL343" i="1"/>
  <c r="BK343" i="1"/>
  <c r="BJ343" i="1"/>
  <c r="BI343" i="1"/>
  <c r="BH343" i="1"/>
  <c r="BG343" i="1"/>
  <c r="BE343" i="1"/>
  <c r="BD343" i="1"/>
  <c r="BC343" i="1"/>
  <c r="BB343" i="1"/>
  <c r="AZ343" i="1"/>
  <c r="AY343" i="1"/>
  <c r="AX343" i="1"/>
  <c r="AW343" i="1"/>
  <c r="AU343" i="1"/>
  <c r="AT343" i="1"/>
  <c r="AS343" i="1"/>
  <c r="BL342" i="1"/>
  <c r="BK342" i="1"/>
  <c r="BJ342" i="1"/>
  <c r="BI342" i="1"/>
  <c r="BH342" i="1"/>
  <c r="BG342" i="1"/>
  <c r="BE342" i="1"/>
  <c r="BD342" i="1"/>
  <c r="BC342" i="1"/>
  <c r="BB342" i="1"/>
  <c r="AZ342" i="1"/>
  <c r="AY342" i="1"/>
  <c r="AX342" i="1"/>
  <c r="AW342" i="1"/>
  <c r="AU342" i="1"/>
  <c r="AT342" i="1"/>
  <c r="AS342" i="1"/>
  <c r="BL341" i="1"/>
  <c r="BK341" i="1"/>
  <c r="BJ341" i="1"/>
  <c r="BI341" i="1"/>
  <c r="BH341" i="1"/>
  <c r="BG341" i="1"/>
  <c r="BE341" i="1"/>
  <c r="BD341" i="1"/>
  <c r="BC341" i="1"/>
  <c r="BB341" i="1"/>
  <c r="AZ341" i="1"/>
  <c r="AY341" i="1"/>
  <c r="AX341" i="1"/>
  <c r="AW341" i="1"/>
  <c r="AU341" i="1"/>
  <c r="AT341" i="1"/>
  <c r="AS341" i="1"/>
  <c r="BL340" i="1"/>
  <c r="BK340" i="1"/>
  <c r="BJ340" i="1"/>
  <c r="BI340" i="1"/>
  <c r="BH340" i="1"/>
  <c r="BG340" i="1"/>
  <c r="BE340" i="1"/>
  <c r="BD340" i="1"/>
  <c r="BC340" i="1"/>
  <c r="BB340" i="1"/>
  <c r="AZ340" i="1"/>
  <c r="AY340" i="1"/>
  <c r="AX340" i="1"/>
  <c r="AW340" i="1"/>
  <c r="AU340" i="1"/>
  <c r="AT340" i="1"/>
  <c r="AS340" i="1"/>
  <c r="BL339" i="1"/>
  <c r="BK339" i="1"/>
  <c r="BJ339" i="1"/>
  <c r="BI339" i="1"/>
  <c r="BH339" i="1"/>
  <c r="BG339" i="1"/>
  <c r="BE339" i="1"/>
  <c r="BD339" i="1"/>
  <c r="BC339" i="1"/>
  <c r="BB339" i="1"/>
  <c r="AZ339" i="1"/>
  <c r="AY339" i="1"/>
  <c r="AX339" i="1"/>
  <c r="AW339" i="1"/>
  <c r="AU339" i="1"/>
  <c r="AT339" i="1"/>
  <c r="AS339" i="1"/>
  <c r="BL338" i="1"/>
  <c r="BK338" i="1"/>
  <c r="BJ338" i="1"/>
  <c r="BI338" i="1"/>
  <c r="BH338" i="1"/>
  <c r="BG338" i="1"/>
  <c r="BE338" i="1"/>
  <c r="BD338" i="1"/>
  <c r="BC338" i="1"/>
  <c r="BB338" i="1"/>
  <c r="AZ338" i="1"/>
  <c r="AY338" i="1"/>
  <c r="AX338" i="1"/>
  <c r="AW338" i="1"/>
  <c r="AU338" i="1"/>
  <c r="AT338" i="1"/>
  <c r="AS338" i="1"/>
  <c r="BL337" i="1"/>
  <c r="BK337" i="1"/>
  <c r="BJ337" i="1"/>
  <c r="BI337" i="1"/>
  <c r="BH337" i="1"/>
  <c r="BG337" i="1"/>
  <c r="BE337" i="1"/>
  <c r="BD337" i="1"/>
  <c r="BC337" i="1"/>
  <c r="BB337" i="1"/>
  <c r="AZ337" i="1"/>
  <c r="AY337" i="1"/>
  <c r="AX337" i="1"/>
  <c r="AW337" i="1"/>
  <c r="AU337" i="1"/>
  <c r="AT337" i="1"/>
  <c r="AS337" i="1"/>
  <c r="BL336" i="1"/>
  <c r="BK336" i="1"/>
  <c r="BJ336" i="1"/>
  <c r="BI336" i="1"/>
  <c r="BH336" i="1"/>
  <c r="BG336" i="1"/>
  <c r="BE336" i="1"/>
  <c r="BD336" i="1"/>
  <c r="BC336" i="1"/>
  <c r="BB336" i="1"/>
  <c r="AZ336" i="1"/>
  <c r="AY336" i="1"/>
  <c r="AX336" i="1"/>
  <c r="AW336" i="1"/>
  <c r="AU336" i="1"/>
  <c r="AT336" i="1"/>
  <c r="AS336" i="1"/>
  <c r="BL335" i="1"/>
  <c r="BK335" i="1"/>
  <c r="BJ335" i="1"/>
  <c r="BI335" i="1"/>
  <c r="BH335" i="1"/>
  <c r="BG335" i="1"/>
  <c r="BE335" i="1"/>
  <c r="BD335" i="1"/>
  <c r="BC335" i="1"/>
  <c r="BB335" i="1"/>
  <c r="AZ335" i="1"/>
  <c r="AY335" i="1"/>
  <c r="AX335" i="1"/>
  <c r="AW335" i="1"/>
  <c r="AU335" i="1"/>
  <c r="AT335" i="1"/>
  <c r="AS335" i="1"/>
  <c r="BL334" i="1"/>
  <c r="BK334" i="1"/>
  <c r="BJ334" i="1"/>
  <c r="BI334" i="1"/>
  <c r="BH334" i="1"/>
  <c r="BG334" i="1"/>
  <c r="BE334" i="1"/>
  <c r="BD334" i="1"/>
  <c r="BC334" i="1"/>
  <c r="BB334" i="1"/>
  <c r="AZ334" i="1"/>
  <c r="AY334" i="1"/>
  <c r="AX334" i="1"/>
  <c r="AW334" i="1"/>
  <c r="AU334" i="1"/>
  <c r="AT334" i="1"/>
  <c r="AS334" i="1"/>
  <c r="BL333" i="1"/>
  <c r="BK333" i="1"/>
  <c r="BJ333" i="1"/>
  <c r="BI333" i="1"/>
  <c r="BH333" i="1"/>
  <c r="BG333" i="1"/>
  <c r="BE333" i="1"/>
  <c r="BD333" i="1"/>
  <c r="BC333" i="1"/>
  <c r="BB333" i="1"/>
  <c r="AZ333" i="1"/>
  <c r="AY333" i="1"/>
  <c r="AX333" i="1"/>
  <c r="AW333" i="1"/>
  <c r="AU333" i="1"/>
  <c r="AT333" i="1"/>
  <c r="AS333" i="1"/>
  <c r="BL332" i="1"/>
  <c r="BK332" i="1"/>
  <c r="BJ332" i="1"/>
  <c r="BI332" i="1"/>
  <c r="BH332" i="1"/>
  <c r="BG332" i="1"/>
  <c r="BE332" i="1"/>
  <c r="BD332" i="1"/>
  <c r="BC332" i="1"/>
  <c r="BB332" i="1"/>
  <c r="AZ332" i="1"/>
  <c r="AY332" i="1"/>
  <c r="AX332" i="1"/>
  <c r="AW332" i="1"/>
  <c r="AU332" i="1"/>
  <c r="AT332" i="1"/>
  <c r="AS332" i="1"/>
  <c r="BL331" i="1"/>
  <c r="BK331" i="1"/>
  <c r="BJ331" i="1"/>
  <c r="BI331" i="1"/>
  <c r="BH331" i="1"/>
  <c r="BG331" i="1"/>
  <c r="BE331" i="1"/>
  <c r="BD331" i="1"/>
  <c r="BC331" i="1"/>
  <c r="BB331" i="1"/>
  <c r="AZ331" i="1"/>
  <c r="AY331" i="1"/>
  <c r="AX331" i="1"/>
  <c r="AW331" i="1"/>
  <c r="AU331" i="1"/>
  <c r="AT331" i="1"/>
  <c r="AS331" i="1"/>
  <c r="BL330" i="1"/>
  <c r="BK330" i="1"/>
  <c r="BJ330" i="1"/>
  <c r="BI330" i="1"/>
  <c r="BH330" i="1"/>
  <c r="BG330" i="1"/>
  <c r="BE330" i="1"/>
  <c r="BD330" i="1"/>
  <c r="BC330" i="1"/>
  <c r="BB330" i="1"/>
  <c r="AZ330" i="1"/>
  <c r="AY330" i="1"/>
  <c r="AX330" i="1"/>
  <c r="AW330" i="1"/>
  <c r="AU330" i="1"/>
  <c r="AT330" i="1"/>
  <c r="AS330" i="1"/>
  <c r="BL329" i="1"/>
  <c r="BK329" i="1"/>
  <c r="BJ329" i="1"/>
  <c r="BI329" i="1"/>
  <c r="BH329" i="1"/>
  <c r="BG329" i="1"/>
  <c r="BE329" i="1"/>
  <c r="BD329" i="1"/>
  <c r="BC329" i="1"/>
  <c r="BB329" i="1"/>
  <c r="AZ329" i="1"/>
  <c r="AY329" i="1"/>
  <c r="AX329" i="1"/>
  <c r="AW329" i="1"/>
  <c r="AU329" i="1"/>
  <c r="AT329" i="1"/>
  <c r="AS329" i="1"/>
  <c r="BL328" i="1"/>
  <c r="BK328" i="1"/>
  <c r="BJ328" i="1"/>
  <c r="BI328" i="1"/>
  <c r="BH328" i="1"/>
  <c r="BG328" i="1"/>
  <c r="BE328" i="1"/>
  <c r="BD328" i="1"/>
  <c r="BC328" i="1"/>
  <c r="BB328" i="1"/>
  <c r="AZ328" i="1"/>
  <c r="AY328" i="1"/>
  <c r="AX328" i="1"/>
  <c r="AW328" i="1"/>
  <c r="AU328" i="1"/>
  <c r="AT328" i="1"/>
  <c r="AS328" i="1"/>
  <c r="BL327" i="1"/>
  <c r="BK327" i="1"/>
  <c r="BJ327" i="1"/>
  <c r="BI327" i="1"/>
  <c r="BH327" i="1"/>
  <c r="BG327" i="1"/>
  <c r="BE327" i="1"/>
  <c r="BD327" i="1"/>
  <c r="BC327" i="1"/>
  <c r="BB327" i="1"/>
  <c r="AZ327" i="1"/>
  <c r="AY327" i="1"/>
  <c r="AX327" i="1"/>
  <c r="AW327" i="1"/>
  <c r="AU327" i="1"/>
  <c r="AT327" i="1"/>
  <c r="AS327" i="1"/>
  <c r="BL326" i="1"/>
  <c r="BK326" i="1"/>
  <c r="BJ326" i="1"/>
  <c r="BI326" i="1"/>
  <c r="BH326" i="1"/>
  <c r="BG326" i="1"/>
  <c r="BE326" i="1"/>
  <c r="BD326" i="1"/>
  <c r="BC326" i="1"/>
  <c r="BB326" i="1"/>
  <c r="AZ326" i="1"/>
  <c r="AY326" i="1"/>
  <c r="AX326" i="1"/>
  <c r="AW326" i="1"/>
  <c r="AU326" i="1"/>
  <c r="AT326" i="1"/>
  <c r="AS326" i="1"/>
  <c r="BL325" i="1"/>
  <c r="BK325" i="1"/>
  <c r="BJ325" i="1"/>
  <c r="BI325" i="1"/>
  <c r="BH325" i="1"/>
  <c r="BG325" i="1"/>
  <c r="BE325" i="1"/>
  <c r="BD325" i="1"/>
  <c r="BC325" i="1"/>
  <c r="BB325" i="1"/>
  <c r="AZ325" i="1"/>
  <c r="AY325" i="1"/>
  <c r="AX325" i="1"/>
  <c r="AW325" i="1"/>
  <c r="AU325" i="1"/>
  <c r="AT325" i="1"/>
  <c r="AS325" i="1"/>
  <c r="BL324" i="1"/>
  <c r="BK324" i="1"/>
  <c r="BJ324" i="1"/>
  <c r="BI324" i="1"/>
  <c r="BH324" i="1"/>
  <c r="BG324" i="1"/>
  <c r="BE324" i="1"/>
  <c r="BD324" i="1"/>
  <c r="BC324" i="1"/>
  <c r="BB324" i="1"/>
  <c r="AZ324" i="1"/>
  <c r="AY324" i="1"/>
  <c r="AX324" i="1"/>
  <c r="AW324" i="1"/>
  <c r="AU324" i="1"/>
  <c r="AT324" i="1"/>
  <c r="AS324" i="1"/>
  <c r="BL323" i="1"/>
  <c r="BK323" i="1"/>
  <c r="BJ323" i="1"/>
  <c r="BI323" i="1"/>
  <c r="BH323" i="1"/>
  <c r="BG323" i="1"/>
  <c r="BE323" i="1"/>
  <c r="BD323" i="1"/>
  <c r="BC323" i="1"/>
  <c r="BB323" i="1"/>
  <c r="AZ323" i="1"/>
  <c r="AY323" i="1"/>
  <c r="AX323" i="1"/>
  <c r="AW323" i="1"/>
  <c r="AU323" i="1"/>
  <c r="AT323" i="1"/>
  <c r="AS323" i="1"/>
  <c r="BL322" i="1"/>
  <c r="BK322" i="1"/>
  <c r="BJ322" i="1"/>
  <c r="BI322" i="1"/>
  <c r="BH322" i="1"/>
  <c r="BG322" i="1"/>
  <c r="BE322" i="1"/>
  <c r="BD322" i="1"/>
  <c r="BC322" i="1"/>
  <c r="BB322" i="1"/>
  <c r="AZ322" i="1"/>
  <c r="AY322" i="1"/>
  <c r="AX322" i="1"/>
  <c r="AW322" i="1"/>
  <c r="AU322" i="1"/>
  <c r="AT322" i="1"/>
  <c r="AS322" i="1"/>
  <c r="BL321" i="1"/>
  <c r="BK321" i="1"/>
  <c r="BJ321" i="1"/>
  <c r="BI321" i="1"/>
  <c r="BH321" i="1"/>
  <c r="BG321" i="1"/>
  <c r="BE321" i="1"/>
  <c r="BD321" i="1"/>
  <c r="BC321" i="1"/>
  <c r="BB321" i="1"/>
  <c r="AZ321" i="1"/>
  <c r="AY321" i="1"/>
  <c r="AX321" i="1"/>
  <c r="AW321" i="1"/>
  <c r="AU321" i="1"/>
  <c r="AT321" i="1"/>
  <c r="AS321" i="1"/>
  <c r="BL320" i="1"/>
  <c r="BK320" i="1"/>
  <c r="BJ320" i="1"/>
  <c r="BI320" i="1"/>
  <c r="BH320" i="1"/>
  <c r="BG320" i="1"/>
  <c r="BE320" i="1"/>
  <c r="BD320" i="1"/>
  <c r="BC320" i="1"/>
  <c r="BB320" i="1"/>
  <c r="AZ320" i="1"/>
  <c r="AY320" i="1"/>
  <c r="AX320" i="1"/>
  <c r="AW320" i="1"/>
  <c r="AU320" i="1"/>
  <c r="AT320" i="1"/>
  <c r="AS320" i="1"/>
  <c r="BL319" i="1"/>
  <c r="BK319" i="1"/>
  <c r="BJ319" i="1"/>
  <c r="BI319" i="1"/>
  <c r="BH319" i="1"/>
  <c r="BG319" i="1"/>
  <c r="BE319" i="1"/>
  <c r="BD319" i="1"/>
  <c r="BC319" i="1"/>
  <c r="BB319" i="1"/>
  <c r="AZ319" i="1"/>
  <c r="AY319" i="1"/>
  <c r="AX319" i="1"/>
  <c r="AW319" i="1"/>
  <c r="AU319" i="1"/>
  <c r="AT319" i="1"/>
  <c r="AS319" i="1"/>
  <c r="BL318" i="1"/>
  <c r="BK318" i="1"/>
  <c r="BJ318" i="1"/>
  <c r="BI318" i="1"/>
  <c r="BH318" i="1"/>
  <c r="BG318" i="1"/>
  <c r="BE318" i="1"/>
  <c r="BD318" i="1"/>
  <c r="BC318" i="1"/>
  <c r="BB318" i="1"/>
  <c r="AZ318" i="1"/>
  <c r="AY318" i="1"/>
  <c r="AX318" i="1"/>
  <c r="AW318" i="1"/>
  <c r="AU318" i="1"/>
  <c r="AT318" i="1"/>
  <c r="AS318" i="1"/>
  <c r="BL317" i="1"/>
  <c r="BK317" i="1"/>
  <c r="BJ317" i="1"/>
  <c r="BI317" i="1"/>
  <c r="BH317" i="1"/>
  <c r="BG317" i="1"/>
  <c r="BE317" i="1"/>
  <c r="BD317" i="1"/>
  <c r="BC317" i="1"/>
  <c r="BB317" i="1"/>
  <c r="AZ317" i="1"/>
  <c r="AY317" i="1"/>
  <c r="AX317" i="1"/>
  <c r="AW317" i="1"/>
  <c r="AU317" i="1"/>
  <c r="AT317" i="1"/>
  <c r="AS317" i="1"/>
  <c r="BL316" i="1"/>
  <c r="BK316" i="1"/>
  <c r="BJ316" i="1"/>
  <c r="BI316" i="1"/>
  <c r="BH316" i="1"/>
  <c r="BG316" i="1"/>
  <c r="BE316" i="1"/>
  <c r="BD316" i="1"/>
  <c r="BC316" i="1"/>
  <c r="BB316" i="1"/>
  <c r="AZ316" i="1"/>
  <c r="AY316" i="1"/>
  <c r="AX316" i="1"/>
  <c r="AW316" i="1"/>
  <c r="AU316" i="1"/>
  <c r="AT316" i="1"/>
  <c r="AS316" i="1"/>
  <c r="BL315" i="1"/>
  <c r="BK315" i="1"/>
  <c r="BJ315" i="1"/>
  <c r="BI315" i="1"/>
  <c r="BH315" i="1"/>
  <c r="BG315" i="1"/>
  <c r="BE315" i="1"/>
  <c r="BD315" i="1"/>
  <c r="BC315" i="1"/>
  <c r="BB315" i="1"/>
  <c r="AZ315" i="1"/>
  <c r="AY315" i="1"/>
  <c r="AX315" i="1"/>
  <c r="AW315" i="1"/>
  <c r="AU315" i="1"/>
  <c r="AT315" i="1"/>
  <c r="AS315" i="1"/>
  <c r="BL314" i="1"/>
  <c r="BK314" i="1"/>
  <c r="BJ314" i="1"/>
  <c r="BI314" i="1"/>
  <c r="BH314" i="1"/>
  <c r="BG314" i="1"/>
  <c r="BE314" i="1"/>
  <c r="BD314" i="1"/>
  <c r="BC314" i="1"/>
  <c r="BB314" i="1"/>
  <c r="AZ314" i="1"/>
  <c r="AY314" i="1"/>
  <c r="AX314" i="1"/>
  <c r="AW314" i="1"/>
  <c r="AU314" i="1"/>
  <c r="AT314" i="1"/>
  <c r="AS314" i="1"/>
  <c r="BL313" i="1"/>
  <c r="BK313" i="1"/>
  <c r="BJ313" i="1"/>
  <c r="BI313" i="1"/>
  <c r="BH313" i="1"/>
  <c r="BG313" i="1"/>
  <c r="BE313" i="1"/>
  <c r="BD313" i="1"/>
  <c r="BC313" i="1"/>
  <c r="BB313" i="1"/>
  <c r="AZ313" i="1"/>
  <c r="AY313" i="1"/>
  <c r="AX313" i="1"/>
  <c r="AW313" i="1"/>
  <c r="AU313" i="1"/>
  <c r="AT313" i="1"/>
  <c r="AS313" i="1"/>
  <c r="BL312" i="1"/>
  <c r="BK312" i="1"/>
  <c r="BJ312" i="1"/>
  <c r="BI312" i="1"/>
  <c r="BH312" i="1"/>
  <c r="BG312" i="1"/>
  <c r="BE312" i="1"/>
  <c r="BD312" i="1"/>
  <c r="BC312" i="1"/>
  <c r="BB312" i="1"/>
  <c r="AZ312" i="1"/>
  <c r="AY312" i="1"/>
  <c r="AX312" i="1"/>
  <c r="AW312" i="1"/>
  <c r="AU312" i="1"/>
  <c r="AT312" i="1"/>
  <c r="AS312" i="1"/>
  <c r="BL311" i="1"/>
  <c r="BK311" i="1"/>
  <c r="BJ311" i="1"/>
  <c r="BI311" i="1"/>
  <c r="BH311" i="1"/>
  <c r="BG311" i="1"/>
  <c r="BE311" i="1"/>
  <c r="BD311" i="1"/>
  <c r="BC311" i="1"/>
  <c r="BB311" i="1"/>
  <c r="AZ311" i="1"/>
  <c r="AY311" i="1"/>
  <c r="AX311" i="1"/>
  <c r="AW311" i="1"/>
  <c r="AU311" i="1"/>
  <c r="AT311" i="1"/>
  <c r="AS311" i="1"/>
  <c r="BL310" i="1"/>
  <c r="BK310" i="1"/>
  <c r="BJ310" i="1"/>
  <c r="BI310" i="1"/>
  <c r="BH310" i="1"/>
  <c r="BG310" i="1"/>
  <c r="BE310" i="1"/>
  <c r="BD310" i="1"/>
  <c r="BC310" i="1"/>
  <c r="BB310" i="1"/>
  <c r="AZ310" i="1"/>
  <c r="AY310" i="1"/>
  <c r="AX310" i="1"/>
  <c r="AW310" i="1"/>
  <c r="AU310" i="1"/>
  <c r="AT310" i="1"/>
  <c r="AS310" i="1"/>
  <c r="BL309" i="1"/>
  <c r="BK309" i="1"/>
  <c r="BJ309" i="1"/>
  <c r="BI309" i="1"/>
  <c r="BH309" i="1"/>
  <c r="BG309" i="1"/>
  <c r="BE309" i="1"/>
  <c r="BD309" i="1"/>
  <c r="BC309" i="1"/>
  <c r="BB309" i="1"/>
  <c r="AZ309" i="1"/>
  <c r="AY309" i="1"/>
  <c r="AX309" i="1"/>
  <c r="AW309" i="1"/>
  <c r="AU309" i="1"/>
  <c r="AT309" i="1"/>
  <c r="AS309" i="1"/>
  <c r="BL308" i="1"/>
  <c r="BK308" i="1"/>
  <c r="BJ308" i="1"/>
  <c r="BI308" i="1"/>
  <c r="BH308" i="1"/>
  <c r="BG308" i="1"/>
  <c r="BE308" i="1"/>
  <c r="BD308" i="1"/>
  <c r="BC308" i="1"/>
  <c r="BB308" i="1"/>
  <c r="AZ308" i="1"/>
  <c r="AY308" i="1"/>
  <c r="AX308" i="1"/>
  <c r="AW308" i="1"/>
  <c r="AU308" i="1"/>
  <c r="AT308" i="1"/>
  <c r="AS308" i="1"/>
  <c r="BL307" i="1"/>
  <c r="BK307" i="1"/>
  <c r="BJ307" i="1"/>
  <c r="BI307" i="1"/>
  <c r="BH307" i="1"/>
  <c r="BG307" i="1"/>
  <c r="BE307" i="1"/>
  <c r="BD307" i="1"/>
  <c r="BC307" i="1"/>
  <c r="BB307" i="1"/>
  <c r="AZ307" i="1"/>
  <c r="AY307" i="1"/>
  <c r="AX307" i="1"/>
  <c r="AW307" i="1"/>
  <c r="AU307" i="1"/>
  <c r="AT307" i="1"/>
  <c r="AS307" i="1"/>
  <c r="BL306" i="1"/>
  <c r="BK306" i="1"/>
  <c r="BJ306" i="1"/>
  <c r="BI306" i="1"/>
  <c r="BH306" i="1"/>
  <c r="BG306" i="1"/>
  <c r="BE306" i="1"/>
  <c r="BD306" i="1"/>
  <c r="BC306" i="1"/>
  <c r="BB306" i="1"/>
  <c r="AZ306" i="1"/>
  <c r="AY306" i="1"/>
  <c r="AX306" i="1"/>
  <c r="AW306" i="1"/>
  <c r="AU306" i="1"/>
  <c r="AT306" i="1"/>
  <c r="AS306" i="1"/>
  <c r="BL305" i="1"/>
  <c r="BK305" i="1"/>
  <c r="BJ305" i="1"/>
  <c r="BI305" i="1"/>
  <c r="BH305" i="1"/>
  <c r="BG305" i="1"/>
  <c r="BE305" i="1"/>
  <c r="BD305" i="1"/>
  <c r="BC305" i="1"/>
  <c r="BB305" i="1"/>
  <c r="AZ305" i="1"/>
  <c r="AY305" i="1"/>
  <c r="AX305" i="1"/>
  <c r="AW305" i="1"/>
  <c r="AU305" i="1"/>
  <c r="AT305" i="1"/>
  <c r="AS305" i="1"/>
  <c r="BL304" i="1"/>
  <c r="BK304" i="1"/>
  <c r="BJ304" i="1"/>
  <c r="BI304" i="1"/>
  <c r="BH304" i="1"/>
  <c r="BG304" i="1"/>
  <c r="BE304" i="1"/>
  <c r="BD304" i="1"/>
  <c r="BC304" i="1"/>
  <c r="BB304" i="1"/>
  <c r="AZ304" i="1"/>
  <c r="AY304" i="1"/>
  <c r="AX304" i="1"/>
  <c r="AW304" i="1"/>
  <c r="AU304" i="1"/>
  <c r="AT304" i="1"/>
  <c r="AS304" i="1"/>
  <c r="BL303" i="1"/>
  <c r="BK303" i="1"/>
  <c r="BJ303" i="1"/>
  <c r="BI303" i="1"/>
  <c r="BH303" i="1"/>
  <c r="BG303" i="1"/>
  <c r="BE303" i="1"/>
  <c r="BD303" i="1"/>
  <c r="BC303" i="1"/>
  <c r="BB303" i="1"/>
  <c r="AZ303" i="1"/>
  <c r="AY303" i="1"/>
  <c r="AX303" i="1"/>
  <c r="AW303" i="1"/>
  <c r="AU303" i="1"/>
  <c r="AT303" i="1"/>
  <c r="AS303" i="1"/>
  <c r="BL302" i="1"/>
  <c r="BK302" i="1"/>
  <c r="BJ302" i="1"/>
  <c r="BI302" i="1"/>
  <c r="BH302" i="1"/>
  <c r="BG302" i="1"/>
  <c r="BE302" i="1"/>
  <c r="BD302" i="1"/>
  <c r="BC302" i="1"/>
  <c r="BB302" i="1"/>
  <c r="AZ302" i="1"/>
  <c r="AY302" i="1"/>
  <c r="AX302" i="1"/>
  <c r="AW302" i="1"/>
  <c r="AU302" i="1"/>
  <c r="AT302" i="1"/>
  <c r="AS302" i="1"/>
  <c r="BL301" i="1"/>
  <c r="BK301" i="1"/>
  <c r="BJ301" i="1"/>
  <c r="BI301" i="1"/>
  <c r="BH301" i="1"/>
  <c r="BG301" i="1"/>
  <c r="BE301" i="1"/>
  <c r="BD301" i="1"/>
  <c r="BC301" i="1"/>
  <c r="BB301" i="1"/>
  <c r="AZ301" i="1"/>
  <c r="AY301" i="1"/>
  <c r="AX301" i="1"/>
  <c r="AW301" i="1"/>
  <c r="AU301" i="1"/>
  <c r="AT301" i="1"/>
  <c r="AS301" i="1"/>
  <c r="BL300" i="1"/>
  <c r="BK300" i="1"/>
  <c r="BJ300" i="1"/>
  <c r="BI300" i="1"/>
  <c r="BH300" i="1"/>
  <c r="BG300" i="1"/>
  <c r="BE300" i="1"/>
  <c r="BD300" i="1"/>
  <c r="BC300" i="1"/>
  <c r="BB300" i="1"/>
  <c r="AZ300" i="1"/>
  <c r="AY300" i="1"/>
  <c r="AX300" i="1"/>
  <c r="AW300" i="1"/>
  <c r="AU300" i="1"/>
  <c r="AT300" i="1"/>
  <c r="AS300" i="1"/>
  <c r="BL299" i="1"/>
  <c r="BK299" i="1"/>
  <c r="BJ299" i="1"/>
  <c r="BI299" i="1"/>
  <c r="BH299" i="1"/>
  <c r="BG299" i="1"/>
  <c r="BE299" i="1"/>
  <c r="BD299" i="1"/>
  <c r="BC299" i="1"/>
  <c r="BB299" i="1"/>
  <c r="AZ299" i="1"/>
  <c r="AY299" i="1"/>
  <c r="AX299" i="1"/>
  <c r="AW299" i="1"/>
  <c r="AU299" i="1"/>
  <c r="AT299" i="1"/>
  <c r="AS299" i="1"/>
  <c r="BL298" i="1"/>
  <c r="BK298" i="1"/>
  <c r="BJ298" i="1"/>
  <c r="BI298" i="1"/>
  <c r="BH298" i="1"/>
  <c r="BG298" i="1"/>
  <c r="BE298" i="1"/>
  <c r="BD298" i="1"/>
  <c r="BC298" i="1"/>
  <c r="BB298" i="1"/>
  <c r="AZ298" i="1"/>
  <c r="AY298" i="1"/>
  <c r="AX298" i="1"/>
  <c r="AW298" i="1"/>
  <c r="AU298" i="1"/>
  <c r="AT298" i="1"/>
  <c r="AS298" i="1"/>
  <c r="BL297" i="1"/>
  <c r="BK297" i="1"/>
  <c r="BJ297" i="1"/>
  <c r="BI297" i="1"/>
  <c r="BH297" i="1"/>
  <c r="BG297" i="1"/>
  <c r="BE297" i="1"/>
  <c r="BD297" i="1"/>
  <c r="BC297" i="1"/>
  <c r="BB297" i="1"/>
  <c r="AZ297" i="1"/>
  <c r="AY297" i="1"/>
  <c r="AX297" i="1"/>
  <c r="AW297" i="1"/>
  <c r="AU297" i="1"/>
  <c r="AT297" i="1"/>
  <c r="AS297" i="1"/>
  <c r="BL296" i="1"/>
  <c r="BK296" i="1"/>
  <c r="BJ296" i="1"/>
  <c r="BI296" i="1"/>
  <c r="BH296" i="1"/>
  <c r="BG296" i="1"/>
  <c r="BE296" i="1"/>
  <c r="BD296" i="1"/>
  <c r="BC296" i="1"/>
  <c r="BB296" i="1"/>
  <c r="AZ296" i="1"/>
  <c r="AY296" i="1"/>
  <c r="AX296" i="1"/>
  <c r="AW296" i="1"/>
  <c r="AU296" i="1"/>
  <c r="AT296" i="1"/>
  <c r="AS296" i="1"/>
  <c r="BK295" i="1"/>
  <c r="BJ295" i="1"/>
  <c r="BI295" i="1"/>
  <c r="BH295" i="1"/>
  <c r="BG295" i="1"/>
  <c r="BE295" i="1"/>
  <c r="BD295" i="1"/>
  <c r="BC295" i="1"/>
  <c r="BB295" i="1"/>
  <c r="AZ295" i="1"/>
  <c r="AY295" i="1"/>
  <c r="AX295" i="1"/>
  <c r="AW295" i="1"/>
  <c r="AU295" i="1"/>
  <c r="AT295" i="1"/>
  <c r="AS295" i="1"/>
  <c r="BK294" i="1"/>
  <c r="BJ294" i="1"/>
  <c r="BI294" i="1"/>
  <c r="BH294" i="1"/>
  <c r="BG294" i="1"/>
  <c r="BE294" i="1"/>
  <c r="BD294" i="1"/>
  <c r="BC294" i="1"/>
  <c r="BB294" i="1"/>
  <c r="AZ294" i="1"/>
  <c r="AY294" i="1"/>
  <c r="AX294" i="1"/>
  <c r="AW294" i="1"/>
  <c r="AU294" i="1"/>
  <c r="AT294" i="1"/>
  <c r="AS294" i="1"/>
  <c r="BK293" i="1"/>
  <c r="BJ293" i="1"/>
  <c r="BI293" i="1"/>
  <c r="BH293" i="1"/>
  <c r="BG293" i="1"/>
  <c r="BE293" i="1"/>
  <c r="BD293" i="1"/>
  <c r="BC293" i="1"/>
  <c r="BB293" i="1"/>
  <c r="AZ293" i="1"/>
  <c r="AY293" i="1"/>
  <c r="AX293" i="1"/>
  <c r="AW293" i="1"/>
  <c r="AU293" i="1"/>
  <c r="AT293" i="1"/>
  <c r="AS293" i="1"/>
  <c r="BK292" i="1"/>
  <c r="BJ292" i="1"/>
  <c r="BI292" i="1"/>
  <c r="BH292" i="1"/>
  <c r="BG292" i="1"/>
  <c r="BE292" i="1"/>
  <c r="BD292" i="1"/>
  <c r="BC292" i="1"/>
  <c r="BB292" i="1"/>
  <c r="AZ292" i="1"/>
  <c r="AY292" i="1"/>
  <c r="AX292" i="1"/>
  <c r="AW292" i="1"/>
  <c r="AU292" i="1"/>
  <c r="AT292" i="1"/>
  <c r="AS292" i="1"/>
  <c r="BK291" i="1"/>
  <c r="BJ291" i="1"/>
  <c r="BI291" i="1"/>
  <c r="BH291" i="1"/>
  <c r="BG291" i="1"/>
  <c r="BE291" i="1"/>
  <c r="BD291" i="1"/>
  <c r="BC291" i="1"/>
  <c r="BB291" i="1"/>
  <c r="AZ291" i="1"/>
  <c r="AY291" i="1"/>
  <c r="AX291" i="1"/>
  <c r="AW291" i="1"/>
  <c r="AU291" i="1"/>
  <c r="AT291" i="1"/>
  <c r="AS291" i="1"/>
  <c r="BK290" i="1"/>
  <c r="BJ290" i="1"/>
  <c r="BI290" i="1"/>
  <c r="BH290" i="1"/>
  <c r="BG290" i="1"/>
  <c r="BE290" i="1"/>
  <c r="BD290" i="1"/>
  <c r="BC290" i="1"/>
  <c r="BB290" i="1"/>
  <c r="AZ290" i="1"/>
  <c r="AY290" i="1"/>
  <c r="AX290" i="1"/>
  <c r="AW290" i="1"/>
  <c r="AU290" i="1"/>
  <c r="AT290" i="1"/>
  <c r="AS290" i="1"/>
  <c r="BK289" i="1"/>
  <c r="BJ289" i="1"/>
  <c r="BI289" i="1"/>
  <c r="BH289" i="1"/>
  <c r="BG289" i="1"/>
  <c r="BE289" i="1"/>
  <c r="BD289" i="1"/>
  <c r="BC289" i="1"/>
  <c r="BB289" i="1"/>
  <c r="AZ289" i="1"/>
  <c r="AY289" i="1"/>
  <c r="AX289" i="1"/>
  <c r="AW289" i="1"/>
  <c r="AU289" i="1"/>
  <c r="AT289" i="1"/>
  <c r="AS289" i="1"/>
  <c r="BK288" i="1"/>
  <c r="BJ288" i="1"/>
  <c r="BI288" i="1"/>
  <c r="BH288" i="1"/>
  <c r="BG288" i="1"/>
  <c r="BE288" i="1"/>
  <c r="BD288" i="1"/>
  <c r="BC288" i="1"/>
  <c r="BB288" i="1"/>
  <c r="AZ288" i="1"/>
  <c r="AY288" i="1"/>
  <c r="AX288" i="1"/>
  <c r="AW288" i="1"/>
  <c r="AU288" i="1"/>
  <c r="AT288" i="1"/>
  <c r="AS288" i="1"/>
  <c r="BK287" i="1"/>
  <c r="BJ287" i="1"/>
  <c r="BI287" i="1"/>
  <c r="BH287" i="1"/>
  <c r="BG287" i="1"/>
  <c r="BE287" i="1"/>
  <c r="BD287" i="1"/>
  <c r="BC287" i="1"/>
  <c r="BB287" i="1"/>
  <c r="AZ287" i="1"/>
  <c r="AY287" i="1"/>
  <c r="AX287" i="1"/>
  <c r="AW287" i="1"/>
  <c r="AU287" i="1"/>
  <c r="AT287" i="1"/>
  <c r="AS287" i="1"/>
  <c r="BK286" i="1"/>
  <c r="BJ286" i="1"/>
  <c r="BI286" i="1"/>
  <c r="BH286" i="1"/>
  <c r="BG286" i="1"/>
  <c r="BE286" i="1"/>
  <c r="BD286" i="1"/>
  <c r="BC286" i="1"/>
  <c r="BB286" i="1"/>
  <c r="AZ286" i="1"/>
  <c r="AY286" i="1"/>
  <c r="AX286" i="1"/>
  <c r="AW286" i="1"/>
  <c r="AU286" i="1"/>
  <c r="AT286" i="1"/>
  <c r="AS286" i="1"/>
  <c r="BK285" i="1"/>
  <c r="BJ285" i="1"/>
  <c r="BI285" i="1"/>
  <c r="BH285" i="1"/>
  <c r="BG285" i="1"/>
  <c r="BE285" i="1"/>
  <c r="BD285" i="1"/>
  <c r="BC285" i="1"/>
  <c r="BB285" i="1"/>
  <c r="AZ285" i="1"/>
  <c r="AY285" i="1"/>
  <c r="AX285" i="1"/>
  <c r="AW285" i="1"/>
  <c r="AU285" i="1"/>
  <c r="AT285" i="1"/>
  <c r="AS285" i="1"/>
  <c r="BK284" i="1"/>
  <c r="BJ284" i="1"/>
  <c r="BI284" i="1"/>
  <c r="BH284" i="1"/>
  <c r="BG284" i="1"/>
  <c r="BE284" i="1"/>
  <c r="BD284" i="1"/>
  <c r="BC284" i="1"/>
  <c r="BB284" i="1"/>
  <c r="AZ284" i="1"/>
  <c r="AY284" i="1"/>
  <c r="AX284" i="1"/>
  <c r="AW284" i="1"/>
  <c r="AU284" i="1"/>
  <c r="AT284" i="1"/>
  <c r="AS284" i="1"/>
  <c r="BK283" i="1"/>
  <c r="BJ283" i="1"/>
  <c r="BI283" i="1"/>
  <c r="BH283" i="1"/>
  <c r="BG283" i="1"/>
  <c r="BE283" i="1"/>
  <c r="BD283" i="1"/>
  <c r="BC283" i="1"/>
  <c r="BB283" i="1"/>
  <c r="AZ283" i="1"/>
  <c r="AY283" i="1"/>
  <c r="AX283" i="1"/>
  <c r="AW283" i="1"/>
  <c r="AU283" i="1"/>
  <c r="AT283" i="1"/>
  <c r="AS283" i="1"/>
  <c r="BK282" i="1"/>
  <c r="BJ282" i="1"/>
  <c r="BI282" i="1"/>
  <c r="BH282" i="1"/>
  <c r="BG282" i="1"/>
  <c r="BE282" i="1"/>
  <c r="BD282" i="1"/>
  <c r="BC282" i="1"/>
  <c r="BB282" i="1"/>
  <c r="AZ282" i="1"/>
  <c r="AY282" i="1"/>
  <c r="AX282" i="1"/>
  <c r="AW282" i="1"/>
  <c r="AU282" i="1"/>
  <c r="AT282" i="1"/>
  <c r="AS282" i="1"/>
  <c r="BK281" i="1"/>
  <c r="BJ281" i="1"/>
  <c r="BI281" i="1"/>
  <c r="BH281" i="1"/>
  <c r="BG281" i="1"/>
  <c r="BE281" i="1"/>
  <c r="BD281" i="1"/>
  <c r="BC281" i="1"/>
  <c r="BB281" i="1"/>
  <c r="AZ281" i="1"/>
  <c r="AY281" i="1"/>
  <c r="AX281" i="1"/>
  <c r="AW281" i="1"/>
  <c r="AU281" i="1"/>
  <c r="AT281" i="1"/>
  <c r="AS281" i="1"/>
  <c r="BK280" i="1"/>
  <c r="BJ280" i="1"/>
  <c r="BI280" i="1"/>
  <c r="BH280" i="1"/>
  <c r="BG280" i="1"/>
  <c r="BE280" i="1"/>
  <c r="BD280" i="1"/>
  <c r="BC280" i="1"/>
  <c r="BB280" i="1"/>
  <c r="AZ280" i="1"/>
  <c r="AY280" i="1"/>
  <c r="AX280" i="1"/>
  <c r="AW280" i="1"/>
  <c r="AU280" i="1"/>
  <c r="AT280" i="1"/>
  <c r="AS280" i="1"/>
  <c r="BK279" i="1"/>
  <c r="BJ279" i="1"/>
  <c r="BI279" i="1"/>
  <c r="BH279" i="1"/>
  <c r="BG279" i="1"/>
  <c r="BE279" i="1"/>
  <c r="BD279" i="1"/>
  <c r="BC279" i="1"/>
  <c r="BB279" i="1"/>
  <c r="AZ279" i="1"/>
  <c r="AY279" i="1"/>
  <c r="AX279" i="1"/>
  <c r="AW279" i="1"/>
  <c r="AU279" i="1"/>
  <c r="AT279" i="1"/>
  <c r="AS279" i="1"/>
  <c r="BK278" i="1"/>
  <c r="BJ278" i="1"/>
  <c r="BI278" i="1"/>
  <c r="BH278" i="1"/>
  <c r="BG278" i="1"/>
  <c r="BE278" i="1"/>
  <c r="BD278" i="1"/>
  <c r="BC278" i="1"/>
  <c r="BB278" i="1"/>
  <c r="AZ278" i="1"/>
  <c r="AY278" i="1"/>
  <c r="AX278" i="1"/>
  <c r="AW278" i="1"/>
  <c r="AU278" i="1"/>
  <c r="AT278" i="1"/>
  <c r="AS278" i="1"/>
  <c r="BK277" i="1"/>
  <c r="BJ277" i="1"/>
  <c r="BI277" i="1"/>
  <c r="BH277" i="1"/>
  <c r="BG277" i="1"/>
  <c r="BE277" i="1"/>
  <c r="BD277" i="1"/>
  <c r="BC277" i="1"/>
  <c r="BB277" i="1"/>
  <c r="AZ277" i="1"/>
  <c r="AY277" i="1"/>
  <c r="AX277" i="1"/>
  <c r="AW277" i="1"/>
  <c r="AU277" i="1"/>
  <c r="AT277" i="1"/>
  <c r="AS277" i="1"/>
  <c r="BK276" i="1"/>
  <c r="BJ276" i="1"/>
  <c r="BI276" i="1"/>
  <c r="BH276" i="1"/>
  <c r="BG276" i="1"/>
  <c r="BE276" i="1"/>
  <c r="BD276" i="1"/>
  <c r="BC276" i="1"/>
  <c r="BB276" i="1"/>
  <c r="AZ276" i="1"/>
  <c r="AY276" i="1"/>
  <c r="AX276" i="1"/>
  <c r="AW276" i="1"/>
  <c r="AU276" i="1"/>
  <c r="AT276" i="1"/>
  <c r="AS276" i="1"/>
  <c r="BK275" i="1"/>
  <c r="BJ275" i="1"/>
  <c r="BI275" i="1"/>
  <c r="BH275" i="1"/>
  <c r="BG275" i="1"/>
  <c r="BE275" i="1"/>
  <c r="BD275" i="1"/>
  <c r="BC275" i="1"/>
  <c r="BB275" i="1"/>
  <c r="AZ275" i="1"/>
  <c r="AY275" i="1"/>
  <c r="AX275" i="1"/>
  <c r="AW275" i="1"/>
  <c r="AU275" i="1"/>
  <c r="AT275" i="1"/>
  <c r="AS275" i="1"/>
  <c r="BK274" i="1"/>
  <c r="BJ274" i="1"/>
  <c r="BI274" i="1"/>
  <c r="BH274" i="1"/>
  <c r="BG274" i="1"/>
  <c r="BE274" i="1"/>
  <c r="BD274" i="1"/>
  <c r="BC274" i="1"/>
  <c r="BB274" i="1"/>
  <c r="AZ274" i="1"/>
  <c r="AY274" i="1"/>
  <c r="AX274" i="1"/>
  <c r="AW274" i="1"/>
  <c r="AU274" i="1"/>
  <c r="AT274" i="1"/>
  <c r="AS274" i="1"/>
  <c r="BK273" i="1"/>
  <c r="BJ273" i="1"/>
  <c r="BI273" i="1"/>
  <c r="BH273" i="1"/>
  <c r="BG273" i="1"/>
  <c r="BE273" i="1"/>
  <c r="BD273" i="1"/>
  <c r="BC273" i="1"/>
  <c r="BB273" i="1"/>
  <c r="AZ273" i="1"/>
  <c r="AY273" i="1"/>
  <c r="AX273" i="1"/>
  <c r="AW273" i="1"/>
  <c r="AU273" i="1"/>
  <c r="AT273" i="1"/>
  <c r="AS273" i="1"/>
  <c r="BK272" i="1"/>
  <c r="BJ272" i="1"/>
  <c r="BI272" i="1"/>
  <c r="BH272" i="1"/>
  <c r="BG272" i="1"/>
  <c r="BE272" i="1"/>
  <c r="BD272" i="1"/>
  <c r="BC272" i="1"/>
  <c r="BB272" i="1"/>
  <c r="AZ272" i="1"/>
  <c r="AY272" i="1"/>
  <c r="AX272" i="1"/>
  <c r="AW272" i="1"/>
  <c r="AU272" i="1"/>
  <c r="AT272" i="1"/>
  <c r="AS272" i="1"/>
  <c r="BK271" i="1"/>
  <c r="BJ271" i="1"/>
  <c r="BI271" i="1"/>
  <c r="BH271" i="1"/>
  <c r="BG271" i="1"/>
  <c r="BE271" i="1"/>
  <c r="BD271" i="1"/>
  <c r="BC271" i="1"/>
  <c r="BB271" i="1"/>
  <c r="AZ271" i="1"/>
  <c r="AY271" i="1"/>
  <c r="AX271" i="1"/>
  <c r="AW271" i="1"/>
  <c r="AU271" i="1"/>
  <c r="AT271" i="1"/>
  <c r="AS271" i="1"/>
  <c r="BK270" i="1"/>
  <c r="BJ270" i="1"/>
  <c r="BI270" i="1"/>
  <c r="BH270" i="1"/>
  <c r="BG270" i="1"/>
  <c r="BE270" i="1"/>
  <c r="BD270" i="1"/>
  <c r="BC270" i="1"/>
  <c r="BB270" i="1"/>
  <c r="AZ270" i="1"/>
  <c r="AY270" i="1"/>
  <c r="AX270" i="1"/>
  <c r="AW270" i="1"/>
  <c r="AU270" i="1"/>
  <c r="AT270" i="1"/>
  <c r="AS270" i="1"/>
  <c r="BK269" i="1"/>
  <c r="BJ269" i="1"/>
  <c r="BI269" i="1"/>
  <c r="BH269" i="1"/>
  <c r="BG269" i="1"/>
  <c r="BE269" i="1"/>
  <c r="BD269" i="1"/>
  <c r="BC269" i="1"/>
  <c r="BB269" i="1"/>
  <c r="AZ269" i="1"/>
  <c r="AY269" i="1"/>
  <c r="AX269" i="1"/>
  <c r="AW269" i="1"/>
  <c r="AU269" i="1"/>
  <c r="AT269" i="1"/>
  <c r="AS269" i="1"/>
  <c r="BK268" i="1"/>
  <c r="BJ268" i="1"/>
  <c r="BI268" i="1"/>
  <c r="BH268" i="1"/>
  <c r="BG268" i="1"/>
  <c r="BE268" i="1"/>
  <c r="BD268" i="1"/>
  <c r="BC268" i="1"/>
  <c r="BB268" i="1"/>
  <c r="AZ268" i="1"/>
  <c r="AY268" i="1"/>
  <c r="AX268" i="1"/>
  <c r="AW268" i="1"/>
  <c r="AU268" i="1"/>
  <c r="AT268" i="1"/>
  <c r="AS268" i="1"/>
  <c r="BK267" i="1"/>
  <c r="BJ267" i="1"/>
  <c r="BI267" i="1"/>
  <c r="BH267" i="1"/>
  <c r="BG267" i="1"/>
  <c r="BE267" i="1"/>
  <c r="BD267" i="1"/>
  <c r="BC267" i="1"/>
  <c r="BB267" i="1"/>
  <c r="AZ267" i="1"/>
  <c r="AY267" i="1"/>
  <c r="AX267" i="1"/>
  <c r="AW267" i="1"/>
  <c r="AU267" i="1"/>
  <c r="AT267" i="1"/>
  <c r="AS267" i="1"/>
  <c r="BK266" i="1"/>
  <c r="BJ266" i="1"/>
  <c r="BI266" i="1"/>
  <c r="BH266" i="1"/>
  <c r="BG266" i="1"/>
  <c r="BE266" i="1"/>
  <c r="BD266" i="1"/>
  <c r="BC266" i="1"/>
  <c r="BB266" i="1"/>
  <c r="AZ266" i="1"/>
  <c r="AY266" i="1"/>
  <c r="AX266" i="1"/>
  <c r="AW266" i="1"/>
  <c r="AU266" i="1"/>
  <c r="AT266" i="1"/>
  <c r="AS266" i="1"/>
  <c r="BK265" i="1"/>
  <c r="BJ265" i="1"/>
  <c r="BI265" i="1"/>
  <c r="BH265" i="1"/>
  <c r="BG265" i="1"/>
  <c r="BE265" i="1"/>
  <c r="BD265" i="1"/>
  <c r="BC265" i="1"/>
  <c r="BB265" i="1"/>
  <c r="AZ265" i="1"/>
  <c r="AY265" i="1"/>
  <c r="AX265" i="1"/>
  <c r="AW265" i="1"/>
  <c r="AU265" i="1"/>
  <c r="AT265" i="1"/>
  <c r="AS265" i="1"/>
  <c r="BK264" i="1"/>
  <c r="BJ264" i="1"/>
  <c r="BI264" i="1"/>
  <c r="BH264" i="1"/>
  <c r="BG264" i="1"/>
  <c r="BE264" i="1"/>
  <c r="BD264" i="1"/>
  <c r="BC264" i="1"/>
  <c r="BB264" i="1"/>
  <c r="AZ264" i="1"/>
  <c r="AY264" i="1"/>
  <c r="AX264" i="1"/>
  <c r="AW264" i="1"/>
  <c r="AU264" i="1"/>
  <c r="AT264" i="1"/>
  <c r="AS264" i="1"/>
  <c r="BK263" i="1"/>
  <c r="BJ263" i="1"/>
  <c r="BI263" i="1"/>
  <c r="BH263" i="1"/>
  <c r="BG263" i="1"/>
  <c r="BE263" i="1"/>
  <c r="BD263" i="1"/>
  <c r="BC263" i="1"/>
  <c r="BB263" i="1"/>
  <c r="AZ263" i="1"/>
  <c r="AY263" i="1"/>
  <c r="AX263" i="1"/>
  <c r="AW263" i="1"/>
  <c r="AU263" i="1"/>
  <c r="AT263" i="1"/>
  <c r="AS263" i="1"/>
  <c r="BK262" i="1"/>
  <c r="BJ262" i="1"/>
  <c r="BI262" i="1"/>
  <c r="BH262" i="1"/>
  <c r="BG262" i="1"/>
  <c r="BE262" i="1"/>
  <c r="BD262" i="1"/>
  <c r="BC262" i="1"/>
  <c r="BB262" i="1"/>
  <c r="AZ262" i="1"/>
  <c r="AY262" i="1"/>
  <c r="AX262" i="1"/>
  <c r="AW262" i="1"/>
  <c r="AU262" i="1"/>
  <c r="AT262" i="1"/>
  <c r="AS262" i="1"/>
  <c r="BK261" i="1"/>
  <c r="BJ261" i="1"/>
  <c r="BI261" i="1"/>
  <c r="BH261" i="1"/>
  <c r="BG261" i="1"/>
  <c r="BE261" i="1"/>
  <c r="BD261" i="1"/>
  <c r="BC261" i="1"/>
  <c r="BB261" i="1"/>
  <c r="AZ261" i="1"/>
  <c r="AY261" i="1"/>
  <c r="AX261" i="1"/>
  <c r="AW261" i="1"/>
  <c r="AU261" i="1"/>
  <c r="AT261" i="1"/>
  <c r="AS261" i="1"/>
  <c r="BK260" i="1"/>
  <c r="BJ260" i="1"/>
  <c r="BI260" i="1"/>
  <c r="BH260" i="1"/>
  <c r="BG260" i="1"/>
  <c r="BE260" i="1"/>
  <c r="BD260" i="1"/>
  <c r="BC260" i="1"/>
  <c r="BB260" i="1"/>
  <c r="AZ260" i="1"/>
  <c r="AY260" i="1"/>
  <c r="AX260" i="1"/>
  <c r="AW260" i="1"/>
  <c r="AU260" i="1"/>
  <c r="AT260" i="1"/>
  <c r="AS260" i="1"/>
  <c r="BK259" i="1"/>
  <c r="BJ259" i="1"/>
  <c r="BI259" i="1"/>
  <c r="BH259" i="1"/>
  <c r="BG259" i="1"/>
  <c r="BE259" i="1"/>
  <c r="BD259" i="1"/>
  <c r="BC259" i="1"/>
  <c r="BB259" i="1"/>
  <c r="AZ259" i="1"/>
  <c r="AY259" i="1"/>
  <c r="AX259" i="1"/>
  <c r="AW259" i="1"/>
  <c r="AU259" i="1"/>
  <c r="AT259" i="1"/>
  <c r="AS259" i="1"/>
  <c r="BK258" i="1"/>
  <c r="BJ258" i="1"/>
  <c r="BI258" i="1"/>
  <c r="BH258" i="1"/>
  <c r="BG258" i="1"/>
  <c r="BE258" i="1"/>
  <c r="BD258" i="1"/>
  <c r="BC258" i="1"/>
  <c r="BB258" i="1"/>
  <c r="AZ258" i="1"/>
  <c r="AY258" i="1"/>
  <c r="AX258" i="1"/>
  <c r="AW258" i="1"/>
  <c r="AU258" i="1"/>
  <c r="AT258" i="1"/>
  <c r="AS258" i="1"/>
  <c r="BK257" i="1"/>
  <c r="BJ257" i="1"/>
  <c r="BI257" i="1"/>
  <c r="BH257" i="1"/>
  <c r="BG257" i="1"/>
  <c r="BE257" i="1"/>
  <c r="BD257" i="1"/>
  <c r="BC257" i="1"/>
  <c r="BB257" i="1"/>
  <c r="AZ257" i="1"/>
  <c r="AY257" i="1"/>
  <c r="AX257" i="1"/>
  <c r="AW257" i="1"/>
  <c r="AU257" i="1"/>
  <c r="AT257" i="1"/>
  <c r="AS257" i="1"/>
  <c r="BK256" i="1"/>
  <c r="BJ256" i="1"/>
  <c r="BI256" i="1"/>
  <c r="BH256" i="1"/>
  <c r="BG256" i="1"/>
  <c r="BE256" i="1"/>
  <c r="BD256" i="1"/>
  <c r="BC256" i="1"/>
  <c r="BB256" i="1"/>
  <c r="AZ256" i="1"/>
  <c r="AY256" i="1"/>
  <c r="AX256" i="1"/>
  <c r="AW256" i="1"/>
  <c r="AU256" i="1"/>
  <c r="AT256" i="1"/>
  <c r="AS256" i="1"/>
  <c r="BK255" i="1"/>
  <c r="BJ255" i="1"/>
  <c r="BI255" i="1"/>
  <c r="BH255" i="1"/>
  <c r="BG255" i="1"/>
  <c r="BE255" i="1"/>
  <c r="BD255" i="1"/>
  <c r="BC255" i="1"/>
  <c r="BB255" i="1"/>
  <c r="AZ255" i="1"/>
  <c r="AY255" i="1"/>
  <c r="AX255" i="1"/>
  <c r="AW255" i="1"/>
  <c r="AU255" i="1"/>
  <c r="AT255" i="1"/>
  <c r="AS255" i="1"/>
  <c r="BK254" i="1"/>
  <c r="BJ254" i="1"/>
  <c r="BI254" i="1"/>
  <c r="BH254" i="1"/>
  <c r="BG254" i="1"/>
  <c r="BE254" i="1"/>
  <c r="BD254" i="1"/>
  <c r="BC254" i="1"/>
  <c r="BB254" i="1"/>
  <c r="AZ254" i="1"/>
  <c r="AY254" i="1"/>
  <c r="AX254" i="1"/>
  <c r="AW254" i="1"/>
  <c r="AU254" i="1"/>
  <c r="AT254" i="1"/>
  <c r="AS254" i="1"/>
  <c r="BK253" i="1"/>
  <c r="BJ253" i="1"/>
  <c r="BI253" i="1"/>
  <c r="BH253" i="1"/>
  <c r="BG253" i="1"/>
  <c r="BE253" i="1"/>
  <c r="BD253" i="1"/>
  <c r="BC253" i="1"/>
  <c r="BB253" i="1"/>
  <c r="AZ253" i="1"/>
  <c r="AY253" i="1"/>
  <c r="AX253" i="1"/>
  <c r="AW253" i="1"/>
  <c r="AU253" i="1"/>
  <c r="AT253" i="1"/>
  <c r="AS253" i="1"/>
  <c r="BK252" i="1"/>
  <c r="BJ252" i="1"/>
  <c r="BI252" i="1"/>
  <c r="BH252" i="1"/>
  <c r="BG252" i="1"/>
  <c r="BE252" i="1"/>
  <c r="BD252" i="1"/>
  <c r="BC252" i="1"/>
  <c r="BB252" i="1"/>
  <c r="AZ252" i="1"/>
  <c r="AY252" i="1"/>
  <c r="AX252" i="1"/>
  <c r="AW252" i="1"/>
  <c r="AU252" i="1"/>
  <c r="AT252" i="1"/>
  <c r="AS252" i="1"/>
  <c r="BK251" i="1"/>
  <c r="BJ251" i="1"/>
  <c r="BI251" i="1"/>
  <c r="BH251" i="1"/>
  <c r="BG251" i="1"/>
  <c r="BE251" i="1"/>
  <c r="BD251" i="1"/>
  <c r="BC251" i="1"/>
  <c r="BB251" i="1"/>
  <c r="AZ251" i="1"/>
  <c r="AY251" i="1"/>
  <c r="AX251" i="1"/>
  <c r="AW251" i="1"/>
  <c r="AU251" i="1"/>
  <c r="AT251" i="1"/>
  <c r="AS251" i="1"/>
  <c r="BK250" i="1"/>
  <c r="BJ250" i="1"/>
  <c r="BI250" i="1"/>
  <c r="BH250" i="1"/>
  <c r="BG250" i="1"/>
  <c r="BE250" i="1"/>
  <c r="BD250" i="1"/>
  <c r="BC250" i="1"/>
  <c r="BB250" i="1"/>
  <c r="AZ250" i="1"/>
  <c r="AY250" i="1"/>
  <c r="AX250" i="1"/>
  <c r="AW250" i="1"/>
  <c r="AU250" i="1"/>
  <c r="AT250" i="1"/>
  <c r="AS250" i="1"/>
  <c r="BK249" i="1"/>
  <c r="BJ249" i="1"/>
  <c r="BI249" i="1"/>
  <c r="BH249" i="1"/>
  <c r="BG249" i="1"/>
  <c r="BE249" i="1"/>
  <c r="BD249" i="1"/>
  <c r="BC249" i="1"/>
  <c r="BB249" i="1"/>
  <c r="AZ249" i="1"/>
  <c r="AY249" i="1"/>
  <c r="AX249" i="1"/>
  <c r="AW249" i="1"/>
  <c r="AU249" i="1"/>
  <c r="AT249" i="1"/>
  <c r="AS249" i="1"/>
  <c r="BK248" i="1"/>
  <c r="BJ248" i="1"/>
  <c r="BI248" i="1"/>
  <c r="BH248" i="1"/>
  <c r="BG248" i="1"/>
  <c r="BE248" i="1"/>
  <c r="BD248" i="1"/>
  <c r="BC248" i="1"/>
  <c r="BB248" i="1"/>
  <c r="AZ248" i="1"/>
  <c r="AY248" i="1"/>
  <c r="AX248" i="1"/>
  <c r="AW248" i="1"/>
  <c r="AU248" i="1"/>
  <c r="AT248" i="1"/>
  <c r="AS248" i="1"/>
  <c r="BK247" i="1"/>
  <c r="BJ247" i="1"/>
  <c r="BI247" i="1"/>
  <c r="BH247" i="1"/>
  <c r="BG247" i="1"/>
  <c r="BE247" i="1"/>
  <c r="BD247" i="1"/>
  <c r="BC247" i="1"/>
  <c r="BB247" i="1"/>
  <c r="AZ247" i="1"/>
  <c r="AY247" i="1"/>
  <c r="AX247" i="1"/>
  <c r="AW247" i="1"/>
  <c r="AU247" i="1"/>
  <c r="AT247" i="1"/>
  <c r="AS247" i="1"/>
  <c r="BK246" i="1"/>
  <c r="BJ246" i="1"/>
  <c r="BI246" i="1"/>
  <c r="BH246" i="1"/>
  <c r="BG246" i="1"/>
  <c r="BE246" i="1"/>
  <c r="BD246" i="1"/>
  <c r="BC246" i="1"/>
  <c r="BB246" i="1"/>
  <c r="AZ246" i="1"/>
  <c r="AY246" i="1"/>
  <c r="AX246" i="1"/>
  <c r="AW246" i="1"/>
  <c r="AU246" i="1"/>
  <c r="AT246" i="1"/>
  <c r="AS246" i="1"/>
  <c r="BK245" i="1"/>
  <c r="BJ245" i="1"/>
  <c r="BI245" i="1"/>
  <c r="BH245" i="1"/>
  <c r="BG245" i="1"/>
  <c r="BE245" i="1"/>
  <c r="BD245" i="1"/>
  <c r="BC245" i="1"/>
  <c r="BB245" i="1"/>
  <c r="AZ245" i="1"/>
  <c r="AY245" i="1"/>
  <c r="AX245" i="1"/>
  <c r="AW245" i="1"/>
  <c r="AU245" i="1"/>
  <c r="AT245" i="1"/>
  <c r="AS245" i="1"/>
  <c r="BK244" i="1"/>
  <c r="BJ244" i="1"/>
  <c r="BI244" i="1"/>
  <c r="BH244" i="1"/>
  <c r="BG244" i="1"/>
  <c r="BE244" i="1"/>
  <c r="BD244" i="1"/>
  <c r="BC244" i="1"/>
  <c r="BB244" i="1"/>
  <c r="AZ244" i="1"/>
  <c r="AY244" i="1"/>
  <c r="AX244" i="1"/>
  <c r="AW244" i="1"/>
  <c r="AU244" i="1"/>
  <c r="AT244" i="1"/>
  <c r="AS244" i="1"/>
  <c r="BK243" i="1"/>
  <c r="BJ243" i="1"/>
  <c r="BI243" i="1"/>
  <c r="BH243" i="1"/>
  <c r="BG243" i="1"/>
  <c r="BE243" i="1"/>
  <c r="BD243" i="1"/>
  <c r="BC243" i="1"/>
  <c r="BB243" i="1"/>
  <c r="AZ243" i="1"/>
  <c r="AY243" i="1"/>
  <c r="AX243" i="1"/>
  <c r="AW243" i="1"/>
  <c r="AU243" i="1"/>
  <c r="AT243" i="1"/>
  <c r="AS243" i="1"/>
  <c r="BK242" i="1"/>
  <c r="BJ242" i="1"/>
  <c r="BI242" i="1"/>
  <c r="BH242" i="1"/>
  <c r="BG242" i="1"/>
  <c r="BE242" i="1"/>
  <c r="BD242" i="1"/>
  <c r="BC242" i="1"/>
  <c r="BB242" i="1"/>
  <c r="AZ242" i="1"/>
  <c r="AY242" i="1"/>
  <c r="AX242" i="1"/>
  <c r="AW242" i="1"/>
  <c r="AU242" i="1"/>
  <c r="AT242" i="1"/>
  <c r="AS242" i="1"/>
  <c r="BK241" i="1"/>
  <c r="BJ241" i="1"/>
  <c r="BI241" i="1"/>
  <c r="BH241" i="1"/>
  <c r="BG241" i="1"/>
  <c r="BE241" i="1"/>
  <c r="BD241" i="1"/>
  <c r="BC241" i="1"/>
  <c r="BB241" i="1"/>
  <c r="AZ241" i="1"/>
  <c r="AY241" i="1"/>
  <c r="AX241" i="1"/>
  <c r="AW241" i="1"/>
  <c r="AU241" i="1"/>
  <c r="AT241" i="1"/>
  <c r="AS241" i="1"/>
  <c r="BK240" i="1"/>
  <c r="BJ240" i="1"/>
  <c r="BI240" i="1"/>
  <c r="BH240" i="1"/>
  <c r="BG240" i="1"/>
  <c r="BE240" i="1"/>
  <c r="BD240" i="1"/>
  <c r="BC240" i="1"/>
  <c r="BB240" i="1"/>
  <c r="AZ240" i="1"/>
  <c r="AY240" i="1"/>
  <c r="AX240" i="1"/>
  <c r="AW240" i="1"/>
  <c r="AU240" i="1"/>
  <c r="AT240" i="1"/>
  <c r="AS240" i="1"/>
  <c r="BK239" i="1"/>
  <c r="BJ239" i="1"/>
  <c r="BI239" i="1"/>
  <c r="BH239" i="1"/>
  <c r="BG239" i="1"/>
  <c r="BE239" i="1"/>
  <c r="BD239" i="1"/>
  <c r="BC239" i="1"/>
  <c r="BB239" i="1"/>
  <c r="AZ239" i="1"/>
  <c r="AY239" i="1"/>
  <c r="AX239" i="1"/>
  <c r="AW239" i="1"/>
  <c r="AU239" i="1"/>
  <c r="AT239" i="1"/>
  <c r="AS239" i="1"/>
  <c r="BK238" i="1"/>
  <c r="BJ238" i="1"/>
  <c r="BI238" i="1"/>
  <c r="BH238" i="1"/>
  <c r="BG238" i="1"/>
  <c r="BE238" i="1"/>
  <c r="BD238" i="1"/>
  <c r="BC238" i="1"/>
  <c r="BB238" i="1"/>
  <c r="AZ238" i="1"/>
  <c r="AY238" i="1"/>
  <c r="AX238" i="1"/>
  <c r="AW238" i="1"/>
  <c r="AU238" i="1"/>
  <c r="AT238" i="1"/>
  <c r="AS238" i="1"/>
  <c r="BK237" i="1"/>
  <c r="BJ237" i="1"/>
  <c r="BI237" i="1"/>
  <c r="BH237" i="1"/>
  <c r="BG237" i="1"/>
  <c r="BE237" i="1"/>
  <c r="BD237" i="1"/>
  <c r="BC237" i="1"/>
  <c r="BB237" i="1"/>
  <c r="AZ237" i="1"/>
  <c r="AY237" i="1"/>
  <c r="AX237" i="1"/>
  <c r="AW237" i="1"/>
  <c r="AU237" i="1"/>
  <c r="AT237" i="1"/>
  <c r="AS237" i="1"/>
  <c r="BK236" i="1"/>
  <c r="BJ236" i="1"/>
  <c r="BI236" i="1"/>
  <c r="BH236" i="1"/>
  <c r="BG236" i="1"/>
  <c r="BE236" i="1"/>
  <c r="BD236" i="1"/>
  <c r="BC236" i="1"/>
  <c r="BB236" i="1"/>
  <c r="AZ236" i="1"/>
  <c r="AY236" i="1"/>
  <c r="AX236" i="1"/>
  <c r="AW236" i="1"/>
  <c r="AU236" i="1"/>
  <c r="AT236" i="1"/>
  <c r="AS236" i="1"/>
  <c r="BK235" i="1"/>
  <c r="BJ235" i="1"/>
  <c r="BI235" i="1"/>
  <c r="BH235" i="1"/>
  <c r="BG235" i="1"/>
  <c r="BE235" i="1"/>
  <c r="BD235" i="1"/>
  <c r="BC235" i="1"/>
  <c r="BB235" i="1"/>
  <c r="AZ235" i="1"/>
  <c r="AY235" i="1"/>
  <c r="AX235" i="1"/>
  <c r="AW235" i="1"/>
  <c r="AU235" i="1"/>
  <c r="AT235" i="1"/>
  <c r="AS235" i="1"/>
  <c r="BK234" i="1"/>
  <c r="BJ234" i="1"/>
  <c r="BI234" i="1"/>
  <c r="BH234" i="1"/>
  <c r="BG234" i="1"/>
  <c r="BE234" i="1"/>
  <c r="BD234" i="1"/>
  <c r="BC234" i="1"/>
  <c r="BB234" i="1"/>
  <c r="AZ234" i="1"/>
  <c r="AY234" i="1"/>
  <c r="AX234" i="1"/>
  <c r="AW234" i="1"/>
  <c r="AU234" i="1"/>
  <c r="AT234" i="1"/>
  <c r="AS234" i="1"/>
  <c r="BK233" i="1"/>
  <c r="BJ233" i="1"/>
  <c r="BI233" i="1"/>
  <c r="BH233" i="1"/>
  <c r="BG233" i="1"/>
  <c r="BE233" i="1"/>
  <c r="BD233" i="1"/>
  <c r="BC233" i="1"/>
  <c r="BB233" i="1"/>
  <c r="AZ233" i="1"/>
  <c r="AY233" i="1"/>
  <c r="AX233" i="1"/>
  <c r="AW233" i="1"/>
  <c r="AU233" i="1"/>
  <c r="AT233" i="1"/>
  <c r="AS233" i="1"/>
  <c r="BK232" i="1"/>
  <c r="BJ232" i="1"/>
  <c r="BI232" i="1"/>
  <c r="BH232" i="1"/>
  <c r="BG232" i="1"/>
  <c r="BE232" i="1"/>
  <c r="BD232" i="1"/>
  <c r="BC232" i="1"/>
  <c r="BB232" i="1"/>
  <c r="AZ232" i="1"/>
  <c r="AY232" i="1"/>
  <c r="AX232" i="1"/>
  <c r="AW232" i="1"/>
  <c r="AU232" i="1"/>
  <c r="AT232" i="1"/>
  <c r="AS232" i="1"/>
  <c r="BK231" i="1"/>
  <c r="BJ231" i="1"/>
  <c r="BI231" i="1"/>
  <c r="BH231" i="1"/>
  <c r="BG231" i="1"/>
  <c r="BE231" i="1"/>
  <c r="BD231" i="1"/>
  <c r="BC231" i="1"/>
  <c r="BB231" i="1"/>
  <c r="AZ231" i="1"/>
  <c r="AY231" i="1"/>
  <c r="AX231" i="1"/>
  <c r="AW231" i="1"/>
  <c r="AU231" i="1"/>
  <c r="AT231" i="1"/>
  <c r="AS231" i="1"/>
  <c r="BK230" i="1"/>
  <c r="BJ230" i="1"/>
  <c r="BI230" i="1"/>
  <c r="BH230" i="1"/>
  <c r="BG230" i="1"/>
  <c r="BE230" i="1"/>
  <c r="BD230" i="1"/>
  <c r="BC230" i="1"/>
  <c r="BB230" i="1"/>
  <c r="AZ230" i="1"/>
  <c r="AY230" i="1"/>
  <c r="AX230" i="1"/>
  <c r="AW230" i="1"/>
  <c r="AU230" i="1"/>
  <c r="AT230" i="1"/>
  <c r="AS230" i="1"/>
  <c r="BK229" i="1"/>
  <c r="BJ229" i="1"/>
  <c r="BI229" i="1"/>
  <c r="BH229" i="1"/>
  <c r="BG229" i="1"/>
  <c r="BE229" i="1"/>
  <c r="BD229" i="1"/>
  <c r="BC229" i="1"/>
  <c r="BB229" i="1"/>
  <c r="AZ229" i="1"/>
  <c r="AY229" i="1"/>
  <c r="AX229" i="1"/>
  <c r="AW229" i="1"/>
  <c r="AU229" i="1"/>
  <c r="AT229" i="1"/>
  <c r="AS229" i="1"/>
  <c r="BK228" i="1"/>
  <c r="BJ228" i="1"/>
  <c r="BI228" i="1"/>
  <c r="BH228" i="1"/>
  <c r="BG228" i="1"/>
  <c r="BE228" i="1"/>
  <c r="BD228" i="1"/>
  <c r="BC228" i="1"/>
  <c r="BB228" i="1"/>
  <c r="AZ228" i="1"/>
  <c r="AY228" i="1"/>
  <c r="AX228" i="1"/>
  <c r="AW228" i="1"/>
  <c r="AU228" i="1"/>
  <c r="AT228" i="1"/>
  <c r="AS228" i="1"/>
  <c r="BK227" i="1"/>
  <c r="BJ227" i="1"/>
  <c r="BI227" i="1"/>
  <c r="BH227" i="1"/>
  <c r="BG227" i="1"/>
  <c r="BE227" i="1"/>
  <c r="BD227" i="1"/>
  <c r="BC227" i="1"/>
  <c r="BB227" i="1"/>
  <c r="AZ227" i="1"/>
  <c r="AY227" i="1"/>
  <c r="AX227" i="1"/>
  <c r="AW227" i="1"/>
  <c r="AU227" i="1"/>
  <c r="AT227" i="1"/>
  <c r="AS227" i="1"/>
  <c r="BK226" i="1"/>
  <c r="BJ226" i="1"/>
  <c r="BI226" i="1"/>
  <c r="BH226" i="1"/>
  <c r="BG226" i="1"/>
  <c r="BE226" i="1"/>
  <c r="BD226" i="1"/>
  <c r="BC226" i="1"/>
  <c r="BB226" i="1"/>
  <c r="AZ226" i="1"/>
  <c r="AY226" i="1"/>
  <c r="AX226" i="1"/>
  <c r="AW226" i="1"/>
  <c r="AU226" i="1"/>
  <c r="AT226" i="1"/>
  <c r="AS226" i="1"/>
  <c r="BK225" i="1"/>
  <c r="BJ225" i="1"/>
  <c r="BI225" i="1"/>
  <c r="BH225" i="1"/>
  <c r="BG225" i="1"/>
  <c r="BE225" i="1"/>
  <c r="BD225" i="1"/>
  <c r="BC225" i="1"/>
  <c r="BB225" i="1"/>
  <c r="AZ225" i="1"/>
  <c r="AY225" i="1"/>
  <c r="AX225" i="1"/>
  <c r="AW225" i="1"/>
  <c r="AU225" i="1"/>
  <c r="AT225" i="1"/>
  <c r="AS225" i="1"/>
  <c r="BK224" i="1"/>
  <c r="BJ224" i="1"/>
  <c r="BI224" i="1"/>
  <c r="BH224" i="1"/>
  <c r="BG224" i="1"/>
  <c r="BE224" i="1"/>
  <c r="BD224" i="1"/>
  <c r="BC224" i="1"/>
  <c r="BB224" i="1"/>
  <c r="AZ224" i="1"/>
  <c r="AY224" i="1"/>
  <c r="AX224" i="1"/>
  <c r="AW224" i="1"/>
  <c r="AU224" i="1"/>
  <c r="AT224" i="1"/>
  <c r="AS224" i="1"/>
  <c r="BK223" i="1"/>
  <c r="BJ223" i="1"/>
  <c r="BI223" i="1"/>
  <c r="BH223" i="1"/>
  <c r="BG223" i="1"/>
  <c r="BE223" i="1"/>
  <c r="BD223" i="1"/>
  <c r="BC223" i="1"/>
  <c r="BB223" i="1"/>
  <c r="AZ223" i="1"/>
  <c r="AY223" i="1"/>
  <c r="AX223" i="1"/>
  <c r="AW223" i="1"/>
  <c r="AU223" i="1"/>
  <c r="AT223" i="1"/>
  <c r="AS223" i="1"/>
  <c r="BK222" i="1"/>
  <c r="BJ222" i="1"/>
  <c r="BI222" i="1"/>
  <c r="BH222" i="1"/>
  <c r="BG222" i="1"/>
  <c r="BE222" i="1"/>
  <c r="BD222" i="1"/>
  <c r="BC222" i="1"/>
  <c r="BB222" i="1"/>
  <c r="AZ222" i="1"/>
  <c r="AY222" i="1"/>
  <c r="AX222" i="1"/>
  <c r="AW222" i="1"/>
  <c r="AU222" i="1"/>
  <c r="AT222" i="1"/>
  <c r="AS222" i="1"/>
  <c r="BK221" i="1"/>
  <c r="BJ221" i="1"/>
  <c r="BI221" i="1"/>
  <c r="BH221" i="1"/>
  <c r="BG221" i="1"/>
  <c r="BE221" i="1"/>
  <c r="BD221" i="1"/>
  <c r="BC221" i="1"/>
  <c r="BB221" i="1"/>
  <c r="AZ221" i="1"/>
  <c r="AY221" i="1"/>
  <c r="AX221" i="1"/>
  <c r="AW221" i="1"/>
  <c r="AU221" i="1"/>
  <c r="AT221" i="1"/>
  <c r="AS221" i="1"/>
  <c r="BK220" i="1"/>
  <c r="BJ220" i="1"/>
  <c r="BI220" i="1"/>
  <c r="BH220" i="1"/>
  <c r="BG220" i="1"/>
  <c r="BE220" i="1"/>
  <c r="BD220" i="1"/>
  <c r="BC220" i="1"/>
  <c r="BB220" i="1"/>
  <c r="AZ220" i="1"/>
  <c r="AY220" i="1"/>
  <c r="AX220" i="1"/>
  <c r="AW220" i="1"/>
  <c r="AU220" i="1"/>
  <c r="AT220" i="1"/>
  <c r="AS220" i="1"/>
  <c r="BK219" i="1"/>
  <c r="BJ219" i="1"/>
  <c r="BI219" i="1"/>
  <c r="BH219" i="1"/>
  <c r="BG219" i="1"/>
  <c r="BE219" i="1"/>
  <c r="BD219" i="1"/>
  <c r="BC219" i="1"/>
  <c r="BB219" i="1"/>
  <c r="AZ219" i="1"/>
  <c r="AY219" i="1"/>
  <c r="AX219" i="1"/>
  <c r="AW219" i="1"/>
  <c r="AU219" i="1"/>
  <c r="AT219" i="1"/>
  <c r="AS219" i="1"/>
  <c r="BK218" i="1"/>
  <c r="BJ218" i="1"/>
  <c r="BI218" i="1"/>
  <c r="BH218" i="1"/>
  <c r="BG218" i="1"/>
  <c r="BE218" i="1"/>
  <c r="BD218" i="1"/>
  <c r="BC218" i="1"/>
  <c r="BB218" i="1"/>
  <c r="AZ218" i="1"/>
  <c r="AY218" i="1"/>
  <c r="AX218" i="1"/>
  <c r="AW218" i="1"/>
  <c r="AU218" i="1"/>
  <c r="AT218" i="1"/>
  <c r="AS218" i="1"/>
  <c r="BK217" i="1"/>
  <c r="BJ217" i="1"/>
  <c r="BI217" i="1"/>
  <c r="BH217" i="1"/>
  <c r="BG217" i="1"/>
  <c r="BE217" i="1"/>
  <c r="BD217" i="1"/>
  <c r="BC217" i="1"/>
  <c r="BB217" i="1"/>
  <c r="AZ217" i="1"/>
  <c r="AY217" i="1"/>
  <c r="AX217" i="1"/>
  <c r="AW217" i="1"/>
  <c r="AU217" i="1"/>
  <c r="AT217" i="1"/>
  <c r="AS217" i="1"/>
  <c r="BK216" i="1"/>
  <c r="BJ216" i="1"/>
  <c r="BI216" i="1"/>
  <c r="BH216" i="1"/>
  <c r="BG216" i="1"/>
  <c r="BE216" i="1"/>
  <c r="BD216" i="1"/>
  <c r="BC216" i="1"/>
  <c r="BB216" i="1"/>
  <c r="AZ216" i="1"/>
  <c r="AY216" i="1"/>
  <c r="AX216" i="1"/>
  <c r="AW216" i="1"/>
  <c r="AU216" i="1"/>
  <c r="AT216" i="1"/>
  <c r="AS216" i="1"/>
  <c r="BK215" i="1"/>
  <c r="BJ215" i="1"/>
  <c r="BI215" i="1"/>
  <c r="BH215" i="1"/>
  <c r="BG215" i="1"/>
  <c r="BE215" i="1"/>
  <c r="BD215" i="1"/>
  <c r="BC215" i="1"/>
  <c r="BB215" i="1"/>
  <c r="AZ215" i="1"/>
  <c r="AY215" i="1"/>
  <c r="AX215" i="1"/>
  <c r="AW215" i="1"/>
  <c r="AU215" i="1"/>
  <c r="AT215" i="1"/>
  <c r="AS215" i="1"/>
  <c r="BK214" i="1"/>
  <c r="BJ214" i="1"/>
  <c r="BI214" i="1"/>
  <c r="BH214" i="1"/>
  <c r="BG214" i="1"/>
  <c r="BE214" i="1"/>
  <c r="BD214" i="1"/>
  <c r="BC214" i="1"/>
  <c r="BB214" i="1"/>
  <c r="AZ214" i="1"/>
  <c r="AY214" i="1"/>
  <c r="AX214" i="1"/>
  <c r="AW214" i="1"/>
  <c r="AU214" i="1"/>
  <c r="AT214" i="1"/>
  <c r="AS214" i="1"/>
  <c r="BK213" i="1"/>
  <c r="BJ213" i="1"/>
  <c r="BI213" i="1"/>
  <c r="BH213" i="1"/>
  <c r="BG213" i="1"/>
  <c r="BE213" i="1"/>
  <c r="BD213" i="1"/>
  <c r="BC213" i="1"/>
  <c r="BB213" i="1"/>
  <c r="AZ213" i="1"/>
  <c r="AY213" i="1"/>
  <c r="AX213" i="1"/>
  <c r="AW213" i="1"/>
  <c r="AU213" i="1"/>
  <c r="AT213" i="1"/>
  <c r="AS213" i="1"/>
  <c r="BK212" i="1"/>
  <c r="BJ212" i="1"/>
  <c r="BI212" i="1"/>
  <c r="BH212" i="1"/>
  <c r="BG212" i="1"/>
  <c r="BE212" i="1"/>
  <c r="BD212" i="1"/>
  <c r="BC212" i="1"/>
  <c r="BB212" i="1"/>
  <c r="AZ212" i="1"/>
  <c r="AY212" i="1"/>
  <c r="AX212" i="1"/>
  <c r="AW212" i="1"/>
  <c r="AU212" i="1"/>
  <c r="AT212" i="1"/>
  <c r="AS212" i="1"/>
  <c r="BK211" i="1"/>
  <c r="BJ211" i="1"/>
  <c r="BI211" i="1"/>
  <c r="BH211" i="1"/>
  <c r="BG211" i="1"/>
  <c r="BE211" i="1"/>
  <c r="BD211" i="1"/>
  <c r="BC211" i="1"/>
  <c r="BB211" i="1"/>
  <c r="AZ211" i="1"/>
  <c r="AY211" i="1"/>
  <c r="AX211" i="1"/>
  <c r="AW211" i="1"/>
  <c r="AU211" i="1"/>
  <c r="AT211" i="1"/>
  <c r="AS211" i="1"/>
  <c r="BK210" i="1"/>
  <c r="BJ210" i="1"/>
  <c r="BI210" i="1"/>
  <c r="BH210" i="1"/>
  <c r="BG210" i="1"/>
  <c r="BE210" i="1"/>
  <c r="BD210" i="1"/>
  <c r="BC210" i="1"/>
  <c r="BB210" i="1"/>
  <c r="AZ210" i="1"/>
  <c r="AY210" i="1"/>
  <c r="AX210" i="1"/>
  <c r="AW210" i="1"/>
  <c r="AU210" i="1"/>
  <c r="AT210" i="1"/>
  <c r="AS210" i="1"/>
  <c r="BK209" i="1"/>
  <c r="BJ209" i="1"/>
  <c r="BI209" i="1"/>
  <c r="BH209" i="1"/>
  <c r="BG209" i="1"/>
  <c r="BE209" i="1"/>
  <c r="BD209" i="1"/>
  <c r="BC209" i="1"/>
  <c r="BB209" i="1"/>
  <c r="AZ209" i="1"/>
  <c r="AY209" i="1"/>
  <c r="AX209" i="1"/>
  <c r="AW209" i="1"/>
  <c r="AU209" i="1"/>
  <c r="AT209" i="1"/>
  <c r="AS209" i="1"/>
  <c r="BK208" i="1"/>
  <c r="BJ208" i="1"/>
  <c r="BI208" i="1"/>
  <c r="BH208" i="1"/>
  <c r="BG208" i="1"/>
  <c r="BE208" i="1"/>
  <c r="BD208" i="1"/>
  <c r="BC208" i="1"/>
  <c r="BB208" i="1"/>
  <c r="AZ208" i="1"/>
  <c r="AY208" i="1"/>
  <c r="AX208" i="1"/>
  <c r="AW208" i="1"/>
  <c r="AU208" i="1"/>
  <c r="AT208" i="1"/>
  <c r="AS208" i="1"/>
  <c r="BK207" i="1"/>
  <c r="BJ207" i="1"/>
  <c r="BI207" i="1"/>
  <c r="BH207" i="1"/>
  <c r="BG207" i="1"/>
  <c r="BE207" i="1"/>
  <c r="BD207" i="1"/>
  <c r="BC207" i="1"/>
  <c r="BB207" i="1"/>
  <c r="AZ207" i="1"/>
  <c r="AY207" i="1"/>
  <c r="AX207" i="1"/>
  <c r="AW207" i="1"/>
  <c r="AU207" i="1"/>
  <c r="AT207" i="1"/>
  <c r="AS207" i="1"/>
  <c r="BK206" i="1"/>
  <c r="BJ206" i="1"/>
  <c r="BI206" i="1"/>
  <c r="BH206" i="1"/>
  <c r="BG206" i="1"/>
  <c r="BE206" i="1"/>
  <c r="BD206" i="1"/>
  <c r="BC206" i="1"/>
  <c r="BB206" i="1"/>
  <c r="AZ206" i="1"/>
  <c r="AY206" i="1"/>
  <c r="AX206" i="1"/>
  <c r="AW206" i="1"/>
  <c r="AU206" i="1"/>
  <c r="AT206" i="1"/>
  <c r="AS206" i="1"/>
  <c r="BK205" i="1"/>
  <c r="BJ205" i="1"/>
  <c r="BI205" i="1"/>
  <c r="BH205" i="1"/>
  <c r="BG205" i="1"/>
  <c r="BE205" i="1"/>
  <c r="BD205" i="1"/>
  <c r="BC205" i="1"/>
  <c r="BB205" i="1"/>
  <c r="AZ205" i="1"/>
  <c r="AY205" i="1"/>
  <c r="AX205" i="1"/>
  <c r="AW205" i="1"/>
  <c r="AU205" i="1"/>
  <c r="AT205" i="1"/>
  <c r="AS205" i="1"/>
  <c r="BK204" i="1"/>
  <c r="BJ204" i="1"/>
  <c r="BI204" i="1"/>
  <c r="BH204" i="1"/>
  <c r="BG204" i="1"/>
  <c r="BE204" i="1"/>
  <c r="BD204" i="1"/>
  <c r="BC204" i="1"/>
  <c r="BB204" i="1"/>
  <c r="AZ204" i="1"/>
  <c r="AY204" i="1"/>
  <c r="AX204" i="1"/>
  <c r="AW204" i="1"/>
  <c r="AU204" i="1"/>
  <c r="AT204" i="1"/>
  <c r="AS204" i="1"/>
  <c r="BK203" i="1"/>
  <c r="BJ203" i="1"/>
  <c r="BI203" i="1"/>
  <c r="BH203" i="1"/>
  <c r="BG203" i="1"/>
  <c r="BE203" i="1"/>
  <c r="BD203" i="1"/>
  <c r="BC203" i="1"/>
  <c r="BB203" i="1"/>
  <c r="AZ203" i="1"/>
  <c r="AY203" i="1"/>
  <c r="AX203" i="1"/>
  <c r="AW203" i="1"/>
  <c r="AU203" i="1"/>
  <c r="AT203" i="1"/>
  <c r="AS203" i="1"/>
  <c r="BK202" i="1"/>
  <c r="BJ202" i="1"/>
  <c r="BI202" i="1"/>
  <c r="BH202" i="1"/>
  <c r="BG202" i="1"/>
  <c r="BE202" i="1"/>
  <c r="BD202" i="1"/>
  <c r="BC202" i="1"/>
  <c r="BB202" i="1"/>
  <c r="AZ202" i="1"/>
  <c r="AY202" i="1"/>
  <c r="AX202" i="1"/>
  <c r="AW202" i="1"/>
  <c r="AU202" i="1"/>
  <c r="AT202" i="1"/>
  <c r="AS202" i="1"/>
  <c r="BK201" i="1"/>
  <c r="BJ201" i="1"/>
  <c r="BI201" i="1"/>
  <c r="BH201" i="1"/>
  <c r="BG201" i="1"/>
  <c r="BE201" i="1"/>
  <c r="BD201" i="1"/>
  <c r="BC201" i="1"/>
  <c r="BB201" i="1"/>
  <c r="AZ201" i="1"/>
  <c r="AY201" i="1"/>
  <c r="AX201" i="1"/>
  <c r="AW201" i="1"/>
  <c r="AU201" i="1"/>
  <c r="AT201" i="1"/>
  <c r="AS201" i="1"/>
  <c r="BK200" i="1"/>
  <c r="BJ200" i="1"/>
  <c r="BI200" i="1"/>
  <c r="BH200" i="1"/>
  <c r="BG200" i="1"/>
  <c r="BE200" i="1"/>
  <c r="BD200" i="1"/>
  <c r="BC200" i="1"/>
  <c r="BB200" i="1"/>
  <c r="AZ200" i="1"/>
  <c r="AY200" i="1"/>
  <c r="AX200" i="1"/>
  <c r="AW200" i="1"/>
  <c r="AU200" i="1"/>
  <c r="AT200" i="1"/>
  <c r="AS200" i="1"/>
  <c r="BK199" i="1"/>
  <c r="BJ199" i="1"/>
  <c r="BI199" i="1"/>
  <c r="BH199" i="1"/>
  <c r="BG199" i="1"/>
  <c r="BE199" i="1"/>
  <c r="BD199" i="1"/>
  <c r="BC199" i="1"/>
  <c r="BB199" i="1"/>
  <c r="AZ199" i="1"/>
  <c r="AY199" i="1"/>
  <c r="AX199" i="1"/>
  <c r="AW199" i="1"/>
  <c r="AU199" i="1"/>
  <c r="AT199" i="1"/>
  <c r="AS199" i="1"/>
  <c r="BK198" i="1"/>
  <c r="BJ198" i="1"/>
  <c r="BI198" i="1"/>
  <c r="BH198" i="1"/>
  <c r="BG198" i="1"/>
  <c r="BE198" i="1"/>
  <c r="BD198" i="1"/>
  <c r="BC198" i="1"/>
  <c r="BB198" i="1"/>
  <c r="AZ198" i="1"/>
  <c r="AY198" i="1"/>
  <c r="AX198" i="1"/>
  <c r="AW198" i="1"/>
  <c r="AU198" i="1"/>
  <c r="AT198" i="1"/>
  <c r="AS198" i="1"/>
  <c r="BK197" i="1"/>
  <c r="BJ197" i="1"/>
  <c r="BI197" i="1"/>
  <c r="BH197" i="1"/>
  <c r="BG197" i="1"/>
  <c r="BE197" i="1"/>
  <c r="BD197" i="1"/>
  <c r="BC197" i="1"/>
  <c r="BB197" i="1"/>
  <c r="AZ197" i="1"/>
  <c r="AY197" i="1"/>
  <c r="AX197" i="1"/>
  <c r="AW197" i="1"/>
  <c r="AU197" i="1"/>
  <c r="AT197" i="1"/>
  <c r="AS197" i="1"/>
  <c r="BK196" i="1"/>
  <c r="BJ196" i="1"/>
  <c r="BI196" i="1"/>
  <c r="BH196" i="1"/>
  <c r="BG196" i="1"/>
  <c r="BE196" i="1"/>
  <c r="BD196" i="1"/>
  <c r="BC196" i="1"/>
  <c r="BB196" i="1"/>
  <c r="AZ196" i="1"/>
  <c r="AY196" i="1"/>
  <c r="AX196" i="1"/>
  <c r="AW196" i="1"/>
  <c r="AU196" i="1"/>
  <c r="AT196" i="1"/>
  <c r="AS196" i="1"/>
  <c r="BK195" i="1"/>
  <c r="BJ195" i="1"/>
  <c r="BI195" i="1"/>
  <c r="BH195" i="1"/>
  <c r="BG195" i="1"/>
  <c r="BE195" i="1"/>
  <c r="BD195" i="1"/>
  <c r="BC195" i="1"/>
  <c r="BB195" i="1"/>
  <c r="AZ195" i="1"/>
  <c r="AY195" i="1"/>
  <c r="AX195" i="1"/>
  <c r="AW195" i="1"/>
  <c r="AU195" i="1"/>
  <c r="AT195" i="1"/>
  <c r="AS195" i="1"/>
  <c r="BK194" i="1"/>
  <c r="BJ194" i="1"/>
  <c r="BI194" i="1"/>
  <c r="BH194" i="1"/>
  <c r="BG194" i="1"/>
  <c r="BE194" i="1"/>
  <c r="BD194" i="1"/>
  <c r="BC194" i="1"/>
  <c r="BB194" i="1"/>
  <c r="AZ194" i="1"/>
  <c r="AY194" i="1"/>
  <c r="AX194" i="1"/>
  <c r="AW194" i="1"/>
  <c r="AU194" i="1"/>
  <c r="AT194" i="1"/>
  <c r="AS194" i="1"/>
  <c r="BK193" i="1"/>
  <c r="BJ193" i="1"/>
  <c r="BI193" i="1"/>
  <c r="BH193" i="1"/>
  <c r="BG193" i="1"/>
  <c r="BE193" i="1"/>
  <c r="BD193" i="1"/>
  <c r="BC193" i="1"/>
  <c r="BB193" i="1"/>
  <c r="AZ193" i="1"/>
  <c r="AY193" i="1"/>
  <c r="AX193" i="1"/>
  <c r="AW193" i="1"/>
  <c r="AU193" i="1"/>
  <c r="AT193" i="1"/>
  <c r="AS193" i="1"/>
  <c r="BK192" i="1"/>
  <c r="BJ192" i="1"/>
  <c r="BI192" i="1"/>
  <c r="BH192" i="1"/>
  <c r="BG192" i="1"/>
  <c r="BE192" i="1"/>
  <c r="BD192" i="1"/>
  <c r="BC192" i="1"/>
  <c r="BB192" i="1"/>
  <c r="AZ192" i="1"/>
  <c r="AY192" i="1"/>
  <c r="AX192" i="1"/>
  <c r="AW192" i="1"/>
  <c r="AU192" i="1"/>
  <c r="AT192" i="1"/>
  <c r="AS192" i="1"/>
  <c r="BK191" i="1"/>
  <c r="BJ191" i="1"/>
  <c r="BI191" i="1"/>
  <c r="BH191" i="1"/>
  <c r="BG191" i="1"/>
  <c r="BE191" i="1"/>
  <c r="BD191" i="1"/>
  <c r="BC191" i="1"/>
  <c r="BB191" i="1"/>
  <c r="AZ191" i="1"/>
  <c r="AY191" i="1"/>
  <c r="AX191" i="1"/>
  <c r="AW191" i="1"/>
  <c r="AU191" i="1"/>
  <c r="AT191" i="1"/>
  <c r="AS191" i="1"/>
  <c r="BK190" i="1"/>
  <c r="BJ190" i="1"/>
  <c r="BI190" i="1"/>
  <c r="BH190" i="1"/>
  <c r="BG190" i="1"/>
  <c r="BE190" i="1"/>
  <c r="BD190" i="1"/>
  <c r="BC190" i="1"/>
  <c r="BB190" i="1"/>
  <c r="AZ190" i="1"/>
  <c r="AY190" i="1"/>
  <c r="AX190" i="1"/>
  <c r="AW190" i="1"/>
  <c r="AU190" i="1"/>
  <c r="AT190" i="1"/>
  <c r="AS190" i="1"/>
  <c r="BK189" i="1"/>
  <c r="BJ189" i="1"/>
  <c r="BI189" i="1"/>
  <c r="BH189" i="1"/>
  <c r="BG189" i="1"/>
  <c r="BE189" i="1"/>
  <c r="BD189" i="1"/>
  <c r="BC189" i="1"/>
  <c r="BB189" i="1"/>
  <c r="AZ189" i="1"/>
  <c r="AY189" i="1"/>
  <c r="AX189" i="1"/>
  <c r="AW189" i="1"/>
  <c r="AU189" i="1"/>
  <c r="AT189" i="1"/>
  <c r="AS189" i="1"/>
  <c r="BK188" i="1"/>
  <c r="BJ188" i="1"/>
  <c r="BI188" i="1"/>
  <c r="BH188" i="1"/>
  <c r="BG188" i="1"/>
  <c r="BE188" i="1"/>
  <c r="BD188" i="1"/>
  <c r="BC188" i="1"/>
  <c r="BB188" i="1"/>
  <c r="AZ188" i="1"/>
  <c r="AY188" i="1"/>
  <c r="AX188" i="1"/>
  <c r="AW188" i="1"/>
  <c r="AU188" i="1"/>
  <c r="AT188" i="1"/>
  <c r="AS188" i="1"/>
  <c r="BK187" i="1"/>
  <c r="BJ187" i="1"/>
  <c r="BI187" i="1"/>
  <c r="BH187" i="1"/>
  <c r="BG187" i="1"/>
  <c r="BE187" i="1"/>
  <c r="BD187" i="1"/>
  <c r="BC187" i="1"/>
  <c r="BB187" i="1"/>
  <c r="AZ187" i="1"/>
  <c r="AY187" i="1"/>
  <c r="AX187" i="1"/>
  <c r="AW187" i="1"/>
  <c r="AU187" i="1"/>
  <c r="AT187" i="1"/>
  <c r="AS187" i="1"/>
  <c r="BK186" i="1"/>
  <c r="BJ186" i="1"/>
  <c r="BI186" i="1"/>
  <c r="BH186" i="1"/>
  <c r="BG186" i="1"/>
  <c r="BE186" i="1"/>
  <c r="BD186" i="1"/>
  <c r="BC186" i="1"/>
  <c r="BB186" i="1"/>
  <c r="AZ186" i="1"/>
  <c r="AY186" i="1"/>
  <c r="AX186" i="1"/>
  <c r="AW186" i="1"/>
  <c r="AU186" i="1"/>
  <c r="AT186" i="1"/>
  <c r="AS186" i="1"/>
  <c r="BK185" i="1"/>
  <c r="BJ185" i="1"/>
  <c r="BI185" i="1"/>
  <c r="BH185" i="1"/>
  <c r="BG185" i="1"/>
  <c r="BE185" i="1"/>
  <c r="BD185" i="1"/>
  <c r="BC185" i="1"/>
  <c r="BB185" i="1"/>
  <c r="AZ185" i="1"/>
  <c r="AY185" i="1"/>
  <c r="AX185" i="1"/>
  <c r="AW185" i="1"/>
  <c r="AU185" i="1"/>
  <c r="AT185" i="1"/>
  <c r="AS185" i="1"/>
  <c r="BK184" i="1"/>
  <c r="BJ184" i="1"/>
  <c r="BI184" i="1"/>
  <c r="BH184" i="1"/>
  <c r="BG184" i="1"/>
  <c r="BE184" i="1"/>
  <c r="BD184" i="1"/>
  <c r="BC184" i="1"/>
  <c r="BB184" i="1"/>
  <c r="AZ184" i="1"/>
  <c r="AY184" i="1"/>
  <c r="AX184" i="1"/>
  <c r="AW184" i="1"/>
  <c r="AU184" i="1"/>
  <c r="AT184" i="1"/>
  <c r="AS184" i="1"/>
  <c r="BK183" i="1"/>
  <c r="BJ183" i="1"/>
  <c r="BI183" i="1"/>
  <c r="BH183" i="1"/>
  <c r="BG183" i="1"/>
  <c r="BE183" i="1"/>
  <c r="BD183" i="1"/>
  <c r="BC183" i="1"/>
  <c r="BB183" i="1"/>
  <c r="AZ183" i="1"/>
  <c r="AY183" i="1"/>
  <c r="AX183" i="1"/>
  <c r="AW183" i="1"/>
  <c r="AU183" i="1"/>
  <c r="AT183" i="1"/>
  <c r="AS183" i="1"/>
  <c r="BK182" i="1"/>
  <c r="BJ182" i="1"/>
  <c r="BI182" i="1"/>
  <c r="BH182" i="1"/>
  <c r="BG182" i="1"/>
  <c r="BE182" i="1"/>
  <c r="BD182" i="1"/>
  <c r="BC182" i="1"/>
  <c r="BB182" i="1"/>
  <c r="AZ182" i="1"/>
  <c r="AY182" i="1"/>
  <c r="AX182" i="1"/>
  <c r="AW182" i="1"/>
  <c r="AU182" i="1"/>
  <c r="AT182" i="1"/>
  <c r="AS182" i="1"/>
  <c r="BK181" i="1"/>
  <c r="BJ181" i="1"/>
  <c r="BI181" i="1"/>
  <c r="BH181" i="1"/>
  <c r="BG181" i="1"/>
  <c r="BE181" i="1"/>
  <c r="BD181" i="1"/>
  <c r="BC181" i="1"/>
  <c r="BB181" i="1"/>
  <c r="AZ181" i="1"/>
  <c r="AY181" i="1"/>
  <c r="AX181" i="1"/>
  <c r="AW181" i="1"/>
  <c r="AU181" i="1"/>
  <c r="AT181" i="1"/>
  <c r="AS181" i="1"/>
  <c r="BK180" i="1"/>
  <c r="BJ180" i="1"/>
  <c r="BI180" i="1"/>
  <c r="BH180" i="1"/>
  <c r="BG180" i="1"/>
  <c r="BE180" i="1"/>
  <c r="BD180" i="1"/>
  <c r="BC180" i="1"/>
  <c r="BB180" i="1"/>
  <c r="AZ180" i="1"/>
  <c r="AY180" i="1"/>
  <c r="AX180" i="1"/>
  <c r="AW180" i="1"/>
  <c r="AU180" i="1"/>
  <c r="AT180" i="1"/>
  <c r="AS180" i="1"/>
  <c r="BK179" i="1"/>
  <c r="BJ179" i="1"/>
  <c r="BI179" i="1"/>
  <c r="BH179" i="1"/>
  <c r="BG179" i="1"/>
  <c r="BE179" i="1"/>
  <c r="BD179" i="1"/>
  <c r="BC179" i="1"/>
  <c r="BB179" i="1"/>
  <c r="AZ179" i="1"/>
  <c r="AY179" i="1"/>
  <c r="AX179" i="1"/>
  <c r="AW179" i="1"/>
  <c r="AU179" i="1"/>
  <c r="AT179" i="1"/>
  <c r="AS179" i="1"/>
  <c r="BK178" i="1"/>
  <c r="BJ178" i="1"/>
  <c r="BI178" i="1"/>
  <c r="BH178" i="1"/>
  <c r="BG178" i="1"/>
  <c r="BE178" i="1"/>
  <c r="BD178" i="1"/>
  <c r="BC178" i="1"/>
  <c r="BB178" i="1"/>
  <c r="AZ178" i="1"/>
  <c r="AY178" i="1"/>
  <c r="AX178" i="1"/>
  <c r="AW178" i="1"/>
  <c r="AU178" i="1"/>
  <c r="AT178" i="1"/>
  <c r="AS178" i="1"/>
  <c r="BK177" i="1"/>
  <c r="BJ177" i="1"/>
  <c r="BI177" i="1"/>
  <c r="BH177" i="1"/>
  <c r="BG177" i="1"/>
  <c r="BE177" i="1"/>
  <c r="BD177" i="1"/>
  <c r="BC177" i="1"/>
  <c r="BB177" i="1"/>
  <c r="AZ177" i="1"/>
  <c r="AY177" i="1"/>
  <c r="AX177" i="1"/>
  <c r="AW177" i="1"/>
  <c r="AU177" i="1"/>
  <c r="AT177" i="1"/>
  <c r="AS177" i="1"/>
  <c r="BK176" i="1"/>
  <c r="BJ176" i="1"/>
  <c r="BI176" i="1"/>
  <c r="BH176" i="1"/>
  <c r="BG176" i="1"/>
  <c r="BE176" i="1"/>
  <c r="BD176" i="1"/>
  <c r="BC176" i="1"/>
  <c r="BB176" i="1"/>
  <c r="AZ176" i="1"/>
  <c r="AY176" i="1"/>
  <c r="AX176" i="1"/>
  <c r="AW176" i="1"/>
  <c r="AU176" i="1"/>
  <c r="AT176" i="1"/>
  <c r="AS176" i="1"/>
  <c r="BK175" i="1"/>
  <c r="BJ175" i="1"/>
  <c r="BI175" i="1"/>
  <c r="BH175" i="1"/>
  <c r="BG175" i="1"/>
  <c r="BE175" i="1"/>
  <c r="BD175" i="1"/>
  <c r="BC175" i="1"/>
  <c r="BB175" i="1"/>
  <c r="AZ175" i="1"/>
  <c r="AY175" i="1"/>
  <c r="AX175" i="1"/>
  <c r="AW175" i="1"/>
  <c r="AU175" i="1"/>
  <c r="AT175" i="1"/>
  <c r="AS175" i="1"/>
  <c r="BK174" i="1"/>
  <c r="BJ174" i="1"/>
  <c r="BI174" i="1"/>
  <c r="BH174" i="1"/>
  <c r="BG174" i="1"/>
  <c r="BE174" i="1"/>
  <c r="BD174" i="1"/>
  <c r="BC174" i="1"/>
  <c r="BB174" i="1"/>
  <c r="AZ174" i="1"/>
  <c r="AY174" i="1"/>
  <c r="AX174" i="1"/>
  <c r="AW174" i="1"/>
  <c r="AU174" i="1"/>
  <c r="AT174" i="1"/>
  <c r="AS174" i="1"/>
  <c r="BK173" i="1"/>
  <c r="BJ173" i="1"/>
  <c r="BI173" i="1"/>
  <c r="BH173" i="1"/>
  <c r="BG173" i="1"/>
  <c r="BE173" i="1"/>
  <c r="BD173" i="1"/>
  <c r="BC173" i="1"/>
  <c r="BB173" i="1"/>
  <c r="AZ173" i="1"/>
  <c r="AY173" i="1"/>
  <c r="AX173" i="1"/>
  <c r="AW173" i="1"/>
  <c r="AU173" i="1"/>
  <c r="AT173" i="1"/>
  <c r="AS173" i="1"/>
  <c r="BK172" i="1"/>
  <c r="BJ172" i="1"/>
  <c r="BI172" i="1"/>
  <c r="BH172" i="1"/>
  <c r="BG172" i="1"/>
  <c r="BE172" i="1"/>
  <c r="BD172" i="1"/>
  <c r="BC172" i="1"/>
  <c r="BB172" i="1"/>
  <c r="AZ172" i="1"/>
  <c r="AY172" i="1"/>
  <c r="AX172" i="1"/>
  <c r="AW172" i="1"/>
  <c r="AU172" i="1"/>
  <c r="AT172" i="1"/>
  <c r="AS172" i="1"/>
  <c r="BK171" i="1"/>
  <c r="BJ171" i="1"/>
  <c r="BI171" i="1"/>
  <c r="BH171" i="1"/>
  <c r="BG171" i="1"/>
  <c r="BE171" i="1"/>
  <c r="BD171" i="1"/>
  <c r="BC171" i="1"/>
  <c r="BB171" i="1"/>
  <c r="AZ171" i="1"/>
  <c r="AY171" i="1"/>
  <c r="AX171" i="1"/>
  <c r="AW171" i="1"/>
  <c r="AU171" i="1"/>
  <c r="AT171" i="1"/>
  <c r="AS171" i="1"/>
  <c r="BK170" i="1"/>
  <c r="BJ170" i="1"/>
  <c r="BI170" i="1"/>
  <c r="BH170" i="1"/>
  <c r="BG170" i="1"/>
  <c r="BE170" i="1"/>
  <c r="BD170" i="1"/>
  <c r="BC170" i="1"/>
  <c r="BB170" i="1"/>
  <c r="AZ170" i="1"/>
  <c r="AY170" i="1"/>
  <c r="AX170" i="1"/>
  <c r="AW170" i="1"/>
  <c r="AU170" i="1"/>
  <c r="AT170" i="1"/>
  <c r="AS170" i="1"/>
  <c r="BK169" i="1"/>
  <c r="BJ169" i="1"/>
  <c r="BI169" i="1"/>
  <c r="BH169" i="1"/>
  <c r="BG169" i="1"/>
  <c r="BE169" i="1"/>
  <c r="BD169" i="1"/>
  <c r="BC169" i="1"/>
  <c r="BB169" i="1"/>
  <c r="AZ169" i="1"/>
  <c r="AY169" i="1"/>
  <c r="AX169" i="1"/>
  <c r="AW169" i="1"/>
  <c r="AU169" i="1"/>
  <c r="AT169" i="1"/>
  <c r="AS169" i="1"/>
  <c r="BK168" i="1"/>
  <c r="BJ168" i="1"/>
  <c r="BI168" i="1"/>
  <c r="BH168" i="1"/>
  <c r="BG168" i="1"/>
  <c r="BE168" i="1"/>
  <c r="BD168" i="1"/>
  <c r="BC168" i="1"/>
  <c r="BB168" i="1"/>
  <c r="AZ168" i="1"/>
  <c r="AY168" i="1"/>
  <c r="AX168" i="1"/>
  <c r="AW168" i="1"/>
  <c r="AU168" i="1"/>
  <c r="AT168" i="1"/>
  <c r="AS168" i="1"/>
  <c r="BK167" i="1"/>
  <c r="BJ167" i="1"/>
  <c r="BI167" i="1"/>
  <c r="BH167" i="1"/>
  <c r="BG167" i="1"/>
  <c r="BE167" i="1"/>
  <c r="BD167" i="1"/>
  <c r="BC167" i="1"/>
  <c r="BB167" i="1"/>
  <c r="AZ167" i="1"/>
  <c r="AY167" i="1"/>
  <c r="AX167" i="1"/>
  <c r="AW167" i="1"/>
  <c r="AU167" i="1"/>
  <c r="AT167" i="1"/>
  <c r="AS167" i="1"/>
  <c r="BK166" i="1"/>
  <c r="BJ166" i="1"/>
  <c r="BI166" i="1"/>
  <c r="BH166" i="1"/>
  <c r="BG166" i="1"/>
  <c r="BE166" i="1"/>
  <c r="BD166" i="1"/>
  <c r="BC166" i="1"/>
  <c r="BB166" i="1"/>
  <c r="AZ166" i="1"/>
  <c r="AY166" i="1"/>
  <c r="AX166" i="1"/>
  <c r="AW166" i="1"/>
  <c r="AU166" i="1"/>
  <c r="AT166" i="1"/>
  <c r="AS166" i="1"/>
  <c r="BK165" i="1"/>
  <c r="BJ165" i="1"/>
  <c r="BI165" i="1"/>
  <c r="BH165" i="1"/>
  <c r="BG165" i="1"/>
  <c r="BE165" i="1"/>
  <c r="BD165" i="1"/>
  <c r="BC165" i="1"/>
  <c r="BB165" i="1"/>
  <c r="AZ165" i="1"/>
  <c r="AY165" i="1"/>
  <c r="AX165" i="1"/>
  <c r="AW165" i="1"/>
  <c r="AU165" i="1"/>
  <c r="AT165" i="1"/>
  <c r="AS165" i="1"/>
  <c r="BK164" i="1"/>
  <c r="BJ164" i="1"/>
  <c r="BI164" i="1"/>
  <c r="BH164" i="1"/>
  <c r="BG164" i="1"/>
  <c r="BE164" i="1"/>
  <c r="BD164" i="1"/>
  <c r="BC164" i="1"/>
  <c r="BB164" i="1"/>
  <c r="AZ164" i="1"/>
  <c r="AY164" i="1"/>
  <c r="AX164" i="1"/>
  <c r="AW164" i="1"/>
  <c r="AU164" i="1"/>
  <c r="AT164" i="1"/>
  <c r="AS164" i="1"/>
  <c r="BK163" i="1"/>
  <c r="BJ163" i="1"/>
  <c r="BI163" i="1"/>
  <c r="BH163" i="1"/>
  <c r="BG163" i="1"/>
  <c r="BE163" i="1"/>
  <c r="BD163" i="1"/>
  <c r="BC163" i="1"/>
  <c r="BB163" i="1"/>
  <c r="AZ163" i="1"/>
  <c r="AY163" i="1"/>
  <c r="AX163" i="1"/>
  <c r="AW163" i="1"/>
  <c r="AU163" i="1"/>
  <c r="AT163" i="1"/>
  <c r="AS163" i="1"/>
  <c r="BK162" i="1"/>
  <c r="BJ162" i="1"/>
  <c r="BI162" i="1"/>
  <c r="BH162" i="1"/>
  <c r="BG162" i="1"/>
  <c r="BE162" i="1"/>
  <c r="BD162" i="1"/>
  <c r="BC162" i="1"/>
  <c r="BB162" i="1"/>
  <c r="AZ162" i="1"/>
  <c r="AY162" i="1"/>
  <c r="AX162" i="1"/>
  <c r="AW162" i="1"/>
  <c r="AU162" i="1"/>
  <c r="AT162" i="1"/>
  <c r="AS162" i="1"/>
  <c r="BK161" i="1"/>
  <c r="BJ161" i="1"/>
  <c r="BI161" i="1"/>
  <c r="BH161" i="1"/>
  <c r="BG161" i="1"/>
  <c r="BE161" i="1"/>
  <c r="BD161" i="1"/>
  <c r="BC161" i="1"/>
  <c r="BB161" i="1"/>
  <c r="AZ161" i="1"/>
  <c r="AY161" i="1"/>
  <c r="AX161" i="1"/>
  <c r="AW161" i="1"/>
  <c r="AU161" i="1"/>
  <c r="AT161" i="1"/>
  <c r="AS161" i="1"/>
  <c r="BK160" i="1"/>
  <c r="BJ160" i="1"/>
  <c r="BI160" i="1"/>
  <c r="BH160" i="1"/>
  <c r="BG160" i="1"/>
  <c r="BE160" i="1"/>
  <c r="BD160" i="1"/>
  <c r="BC160" i="1"/>
  <c r="BB160" i="1"/>
  <c r="AZ160" i="1"/>
  <c r="AY160" i="1"/>
  <c r="AX160" i="1"/>
  <c r="AW160" i="1"/>
  <c r="AU160" i="1"/>
  <c r="AT160" i="1"/>
  <c r="AS160" i="1"/>
  <c r="BK159" i="1"/>
  <c r="BJ159" i="1"/>
  <c r="BI159" i="1"/>
  <c r="BH159" i="1"/>
  <c r="BG159" i="1"/>
  <c r="BE159" i="1"/>
  <c r="BD159" i="1"/>
  <c r="BC159" i="1"/>
  <c r="BB159" i="1"/>
  <c r="AZ159" i="1"/>
  <c r="AY159" i="1"/>
  <c r="AX159" i="1"/>
  <c r="AW159" i="1"/>
  <c r="AU159" i="1"/>
  <c r="AT159" i="1"/>
  <c r="AS159" i="1"/>
  <c r="BK158" i="1"/>
  <c r="BJ158" i="1"/>
  <c r="BI158" i="1"/>
  <c r="BH158" i="1"/>
  <c r="BG158" i="1"/>
  <c r="BE158" i="1"/>
  <c r="BD158" i="1"/>
  <c r="BC158" i="1"/>
  <c r="BB158" i="1"/>
  <c r="AZ158" i="1"/>
  <c r="AY158" i="1"/>
  <c r="AX158" i="1"/>
  <c r="AW158" i="1"/>
  <c r="AU158" i="1"/>
  <c r="AT158" i="1"/>
  <c r="AS158" i="1"/>
  <c r="BK157" i="1"/>
  <c r="BJ157" i="1"/>
  <c r="BI157" i="1"/>
  <c r="BH157" i="1"/>
  <c r="BG157" i="1"/>
  <c r="BE157" i="1"/>
  <c r="BD157" i="1"/>
  <c r="BC157" i="1"/>
  <c r="BB157" i="1"/>
  <c r="AZ157" i="1"/>
  <c r="AY157" i="1"/>
  <c r="AX157" i="1"/>
  <c r="AW157" i="1"/>
  <c r="AU157" i="1"/>
  <c r="AT157" i="1"/>
  <c r="AS157" i="1"/>
  <c r="BK156" i="1"/>
  <c r="BJ156" i="1"/>
  <c r="BI156" i="1"/>
  <c r="BH156" i="1"/>
  <c r="BG156" i="1"/>
  <c r="BE156" i="1"/>
  <c r="BD156" i="1"/>
  <c r="BC156" i="1"/>
  <c r="BB156" i="1"/>
  <c r="AZ156" i="1"/>
  <c r="AY156" i="1"/>
  <c r="AX156" i="1"/>
  <c r="AW156" i="1"/>
  <c r="AU156" i="1"/>
  <c r="AT156" i="1"/>
  <c r="AS156" i="1"/>
  <c r="BK155" i="1"/>
  <c r="BJ155" i="1"/>
  <c r="BI155" i="1"/>
  <c r="BH155" i="1"/>
  <c r="BG155" i="1"/>
  <c r="BE155" i="1"/>
  <c r="BD155" i="1"/>
  <c r="BC155" i="1"/>
  <c r="BB155" i="1"/>
  <c r="AZ155" i="1"/>
  <c r="AY155" i="1"/>
  <c r="AX155" i="1"/>
  <c r="AW155" i="1"/>
  <c r="AU155" i="1"/>
  <c r="AT155" i="1"/>
  <c r="AS155" i="1"/>
  <c r="BK154" i="1"/>
  <c r="BJ154" i="1"/>
  <c r="BI154" i="1"/>
  <c r="BH154" i="1"/>
  <c r="BG154" i="1"/>
  <c r="BE154" i="1"/>
  <c r="BD154" i="1"/>
  <c r="BC154" i="1"/>
  <c r="BB154" i="1"/>
  <c r="AZ154" i="1"/>
  <c r="AY154" i="1"/>
  <c r="AX154" i="1"/>
  <c r="AW154" i="1"/>
  <c r="AU154" i="1"/>
  <c r="AT154" i="1"/>
  <c r="AS154" i="1"/>
  <c r="BK153" i="1"/>
  <c r="BJ153" i="1"/>
  <c r="BI153" i="1"/>
  <c r="BH153" i="1"/>
  <c r="BG153" i="1"/>
  <c r="BE153" i="1"/>
  <c r="BD153" i="1"/>
  <c r="BC153" i="1"/>
  <c r="BB153" i="1"/>
  <c r="AZ153" i="1"/>
  <c r="AY153" i="1"/>
  <c r="AX153" i="1"/>
  <c r="AW153" i="1"/>
  <c r="AU153" i="1"/>
  <c r="AT153" i="1"/>
  <c r="AS153" i="1"/>
  <c r="BK152" i="1"/>
  <c r="BJ152" i="1"/>
  <c r="BI152" i="1"/>
  <c r="BH152" i="1"/>
  <c r="BG152" i="1"/>
  <c r="BE152" i="1"/>
  <c r="BD152" i="1"/>
  <c r="BC152" i="1"/>
  <c r="BB152" i="1"/>
  <c r="AZ152" i="1"/>
  <c r="AY152" i="1"/>
  <c r="AX152" i="1"/>
  <c r="AW152" i="1"/>
  <c r="AU152" i="1"/>
  <c r="AT152" i="1"/>
  <c r="AS152" i="1"/>
  <c r="BK151" i="1"/>
  <c r="BJ151" i="1"/>
  <c r="BI151" i="1"/>
  <c r="BH151" i="1"/>
  <c r="BG151" i="1"/>
  <c r="BE151" i="1"/>
  <c r="BD151" i="1"/>
  <c r="BC151" i="1"/>
  <c r="BB151" i="1"/>
  <c r="AZ151" i="1"/>
  <c r="AY151" i="1"/>
  <c r="AX151" i="1"/>
  <c r="AW151" i="1"/>
  <c r="AU151" i="1"/>
  <c r="AT151" i="1"/>
  <c r="AS151" i="1"/>
  <c r="BK150" i="1"/>
  <c r="BJ150" i="1"/>
  <c r="BI150" i="1"/>
  <c r="BH150" i="1"/>
  <c r="BG150" i="1"/>
  <c r="BE150" i="1"/>
  <c r="BD150" i="1"/>
  <c r="BC150" i="1"/>
  <c r="BB150" i="1"/>
  <c r="AZ150" i="1"/>
  <c r="AY150" i="1"/>
  <c r="AX150" i="1"/>
  <c r="AW150" i="1"/>
  <c r="AU150" i="1"/>
  <c r="AT150" i="1"/>
  <c r="AS150" i="1"/>
  <c r="BK149" i="1"/>
  <c r="BJ149" i="1"/>
  <c r="BI149" i="1"/>
  <c r="BH149" i="1"/>
  <c r="BG149" i="1"/>
  <c r="BE149" i="1"/>
  <c r="BD149" i="1"/>
  <c r="BC149" i="1"/>
  <c r="BB149" i="1"/>
  <c r="AZ149" i="1"/>
  <c r="AY149" i="1"/>
  <c r="AX149" i="1"/>
  <c r="AW149" i="1"/>
  <c r="AU149" i="1"/>
  <c r="AT149" i="1"/>
  <c r="AS149" i="1"/>
  <c r="BK148" i="1"/>
  <c r="BJ148" i="1"/>
  <c r="BI148" i="1"/>
  <c r="BH148" i="1"/>
  <c r="BG148" i="1"/>
  <c r="BE148" i="1"/>
  <c r="BD148" i="1"/>
  <c r="BC148" i="1"/>
  <c r="BB148" i="1"/>
  <c r="AZ148" i="1"/>
  <c r="AY148" i="1"/>
  <c r="AX148" i="1"/>
  <c r="AW148" i="1"/>
  <c r="AU148" i="1"/>
  <c r="AT148" i="1"/>
  <c r="AS148" i="1"/>
  <c r="BK147" i="1"/>
  <c r="BJ147" i="1"/>
  <c r="BI147" i="1"/>
  <c r="BH147" i="1"/>
  <c r="BG147" i="1"/>
  <c r="BE147" i="1"/>
  <c r="BD147" i="1"/>
  <c r="BC147" i="1"/>
  <c r="BB147" i="1"/>
  <c r="AZ147" i="1"/>
  <c r="AY147" i="1"/>
  <c r="AX147" i="1"/>
  <c r="AW147" i="1"/>
  <c r="AU147" i="1"/>
  <c r="AT147" i="1"/>
  <c r="AS147" i="1"/>
  <c r="BK146" i="1"/>
  <c r="BJ146" i="1"/>
  <c r="BI146" i="1"/>
  <c r="BH146" i="1"/>
  <c r="BG146" i="1"/>
  <c r="BE146" i="1"/>
  <c r="BD146" i="1"/>
  <c r="BC146" i="1"/>
  <c r="BB146" i="1"/>
  <c r="AZ146" i="1"/>
  <c r="AY146" i="1"/>
  <c r="AX146" i="1"/>
  <c r="AW146" i="1"/>
  <c r="AU146" i="1"/>
  <c r="AT146" i="1"/>
  <c r="AS146" i="1"/>
  <c r="BK145" i="1"/>
  <c r="BJ145" i="1"/>
  <c r="BI145" i="1"/>
  <c r="BH145" i="1"/>
  <c r="BG145" i="1"/>
  <c r="BE145" i="1"/>
  <c r="BD145" i="1"/>
  <c r="BC145" i="1"/>
  <c r="BB145" i="1"/>
  <c r="AZ145" i="1"/>
  <c r="AY145" i="1"/>
  <c r="AX145" i="1"/>
  <c r="AW145" i="1"/>
  <c r="AU145" i="1"/>
  <c r="AT145" i="1"/>
  <c r="AS145" i="1"/>
  <c r="BK144" i="1"/>
  <c r="BJ144" i="1"/>
  <c r="BI144" i="1"/>
  <c r="BH144" i="1"/>
  <c r="BG144" i="1"/>
  <c r="BE144" i="1"/>
  <c r="BD144" i="1"/>
  <c r="BC144" i="1"/>
  <c r="BB144" i="1"/>
  <c r="AZ144" i="1"/>
  <c r="AY144" i="1"/>
  <c r="AX144" i="1"/>
  <c r="AW144" i="1"/>
  <c r="AU144" i="1"/>
  <c r="AT144" i="1"/>
  <c r="AS144" i="1"/>
  <c r="BK143" i="1"/>
  <c r="BJ143" i="1"/>
  <c r="BI143" i="1"/>
  <c r="BH143" i="1"/>
  <c r="BG143" i="1"/>
  <c r="BE143" i="1"/>
  <c r="BD143" i="1"/>
  <c r="BC143" i="1"/>
  <c r="BB143" i="1"/>
  <c r="AZ143" i="1"/>
  <c r="AY143" i="1"/>
  <c r="AX143" i="1"/>
  <c r="AW143" i="1"/>
  <c r="AU143" i="1"/>
  <c r="AT143" i="1"/>
  <c r="AS143" i="1"/>
  <c r="BK142" i="1"/>
  <c r="BJ142" i="1"/>
  <c r="BI142" i="1"/>
  <c r="BH142" i="1"/>
  <c r="BG142" i="1"/>
  <c r="BE142" i="1"/>
  <c r="BD142" i="1"/>
  <c r="BC142" i="1"/>
  <c r="BB142" i="1"/>
  <c r="AZ142" i="1"/>
  <c r="AY142" i="1"/>
  <c r="AX142" i="1"/>
  <c r="AW142" i="1"/>
  <c r="AU142" i="1"/>
  <c r="AT142" i="1"/>
  <c r="AS142" i="1"/>
  <c r="BK141" i="1"/>
  <c r="BJ141" i="1"/>
  <c r="BI141" i="1"/>
  <c r="BH141" i="1"/>
  <c r="BG141" i="1"/>
  <c r="BE141" i="1"/>
  <c r="BD141" i="1"/>
  <c r="BC141" i="1"/>
  <c r="BB141" i="1"/>
  <c r="AZ141" i="1"/>
  <c r="AY141" i="1"/>
  <c r="AX141" i="1"/>
  <c r="AW141" i="1"/>
  <c r="AU141" i="1"/>
  <c r="AT141" i="1"/>
  <c r="AS141" i="1"/>
  <c r="BK140" i="1"/>
  <c r="BJ140" i="1"/>
  <c r="BI140" i="1"/>
  <c r="BH140" i="1"/>
  <c r="BG140" i="1"/>
  <c r="BE140" i="1"/>
  <c r="BD140" i="1"/>
  <c r="BC140" i="1"/>
  <c r="BB140" i="1"/>
  <c r="AZ140" i="1"/>
  <c r="AY140" i="1"/>
  <c r="AX140" i="1"/>
  <c r="AW140" i="1"/>
  <c r="AU140" i="1"/>
  <c r="AT140" i="1"/>
  <c r="AS140" i="1"/>
  <c r="BK139" i="1"/>
  <c r="BJ139" i="1"/>
  <c r="BI139" i="1"/>
  <c r="BH139" i="1"/>
  <c r="BG139" i="1"/>
  <c r="BE139" i="1"/>
  <c r="BD139" i="1"/>
  <c r="BC139" i="1"/>
  <c r="BB139" i="1"/>
  <c r="AZ139" i="1"/>
  <c r="AY139" i="1"/>
  <c r="AX139" i="1"/>
  <c r="AW139" i="1"/>
  <c r="AU139" i="1"/>
  <c r="AT139" i="1"/>
  <c r="AS139" i="1"/>
  <c r="BK138" i="1"/>
  <c r="BJ138" i="1"/>
  <c r="BI138" i="1"/>
  <c r="BH138" i="1"/>
  <c r="BG138" i="1"/>
  <c r="BE138" i="1"/>
  <c r="BD138" i="1"/>
  <c r="BC138" i="1"/>
  <c r="BB138" i="1"/>
  <c r="AZ138" i="1"/>
  <c r="AY138" i="1"/>
  <c r="AX138" i="1"/>
  <c r="AW138" i="1"/>
  <c r="AU138" i="1"/>
  <c r="AT138" i="1"/>
  <c r="AS138" i="1"/>
  <c r="BK137" i="1"/>
  <c r="BJ137" i="1"/>
  <c r="BI137" i="1"/>
  <c r="BH137" i="1"/>
  <c r="BG137" i="1"/>
  <c r="BE137" i="1"/>
  <c r="BD137" i="1"/>
  <c r="BC137" i="1"/>
  <c r="BB137" i="1"/>
  <c r="AZ137" i="1"/>
  <c r="AY137" i="1"/>
  <c r="AX137" i="1"/>
  <c r="AW137" i="1"/>
  <c r="AU137" i="1"/>
  <c r="AT137" i="1"/>
  <c r="AS137" i="1"/>
  <c r="BK136" i="1"/>
  <c r="BJ136" i="1"/>
  <c r="BI136" i="1"/>
  <c r="BH136" i="1"/>
  <c r="BG136" i="1"/>
  <c r="BE136" i="1"/>
  <c r="BD136" i="1"/>
  <c r="BC136" i="1"/>
  <c r="BB136" i="1"/>
  <c r="AZ136" i="1"/>
  <c r="AY136" i="1"/>
  <c r="AX136" i="1"/>
  <c r="AW136" i="1"/>
  <c r="AU136" i="1"/>
  <c r="AT136" i="1"/>
  <c r="AS136" i="1"/>
  <c r="BK135" i="1"/>
  <c r="BJ135" i="1"/>
  <c r="BI135" i="1"/>
  <c r="BH135" i="1"/>
  <c r="BG135" i="1"/>
  <c r="BE135" i="1"/>
  <c r="BD135" i="1"/>
  <c r="BC135" i="1"/>
  <c r="BB135" i="1"/>
  <c r="AZ135" i="1"/>
  <c r="AY135" i="1"/>
  <c r="AX135" i="1"/>
  <c r="AW135" i="1"/>
  <c r="AU135" i="1"/>
  <c r="AT135" i="1"/>
  <c r="AS135" i="1"/>
  <c r="BK134" i="1"/>
  <c r="BJ134" i="1"/>
  <c r="BI134" i="1"/>
  <c r="BH134" i="1"/>
  <c r="BG134" i="1"/>
  <c r="BE134" i="1"/>
  <c r="BD134" i="1"/>
  <c r="BC134" i="1"/>
  <c r="BB134" i="1"/>
  <c r="AZ134" i="1"/>
  <c r="AY134" i="1"/>
  <c r="AX134" i="1"/>
  <c r="AW134" i="1"/>
  <c r="AU134" i="1"/>
  <c r="AT134" i="1"/>
  <c r="AS134" i="1"/>
  <c r="BK133" i="1"/>
  <c r="BJ133" i="1"/>
  <c r="BI133" i="1"/>
  <c r="BH133" i="1"/>
  <c r="BG133" i="1"/>
  <c r="BE133" i="1"/>
  <c r="BD133" i="1"/>
  <c r="BC133" i="1"/>
  <c r="BB133" i="1"/>
  <c r="AZ133" i="1"/>
  <c r="AY133" i="1"/>
  <c r="AX133" i="1"/>
  <c r="AW133" i="1"/>
  <c r="AU133" i="1"/>
  <c r="AT133" i="1"/>
  <c r="AS133" i="1"/>
  <c r="BK132" i="1"/>
  <c r="BJ132" i="1"/>
  <c r="BI132" i="1"/>
  <c r="BH132" i="1"/>
  <c r="BG132" i="1"/>
  <c r="BE132" i="1"/>
  <c r="BD132" i="1"/>
  <c r="BC132" i="1"/>
  <c r="BB132" i="1"/>
  <c r="AZ132" i="1"/>
  <c r="AY132" i="1"/>
  <c r="AX132" i="1"/>
  <c r="AW132" i="1"/>
  <c r="AU132" i="1"/>
  <c r="AT132" i="1"/>
  <c r="AS132" i="1"/>
  <c r="BK131" i="1"/>
  <c r="BJ131" i="1"/>
  <c r="BI131" i="1"/>
  <c r="BH131" i="1"/>
  <c r="BG131" i="1"/>
  <c r="BE131" i="1"/>
  <c r="BD131" i="1"/>
  <c r="BC131" i="1"/>
  <c r="BB131" i="1"/>
  <c r="AZ131" i="1"/>
  <c r="AY131" i="1"/>
  <c r="AX131" i="1"/>
  <c r="AW131" i="1"/>
  <c r="AU131" i="1"/>
  <c r="AT131" i="1"/>
  <c r="AS131" i="1"/>
  <c r="BK130" i="1"/>
  <c r="BJ130" i="1"/>
  <c r="BI130" i="1"/>
  <c r="BH130" i="1"/>
  <c r="BG130" i="1"/>
  <c r="BE130" i="1"/>
  <c r="BD130" i="1"/>
  <c r="BC130" i="1"/>
  <c r="BB130" i="1"/>
  <c r="AZ130" i="1"/>
  <c r="AY130" i="1"/>
  <c r="AX130" i="1"/>
  <c r="AW130" i="1"/>
  <c r="AU130" i="1"/>
  <c r="AT130" i="1"/>
  <c r="AS130" i="1"/>
  <c r="BK129" i="1"/>
  <c r="BJ129" i="1"/>
  <c r="BI129" i="1"/>
  <c r="BH129" i="1"/>
  <c r="BG129" i="1"/>
  <c r="BE129" i="1"/>
  <c r="BD129" i="1"/>
  <c r="BC129" i="1"/>
  <c r="BB129" i="1"/>
  <c r="AZ129" i="1"/>
  <c r="AY129" i="1"/>
  <c r="AX129" i="1"/>
  <c r="AW129" i="1"/>
  <c r="AU129" i="1"/>
  <c r="AT129" i="1"/>
  <c r="AS129" i="1"/>
  <c r="BK128" i="1"/>
  <c r="BJ128" i="1"/>
  <c r="BI128" i="1"/>
  <c r="BH128" i="1"/>
  <c r="BG128" i="1"/>
  <c r="BE128" i="1"/>
  <c r="BD128" i="1"/>
  <c r="BC128" i="1"/>
  <c r="BB128" i="1"/>
  <c r="AZ128" i="1"/>
  <c r="AY128" i="1"/>
  <c r="AX128" i="1"/>
  <c r="AW128" i="1"/>
  <c r="AU128" i="1"/>
  <c r="AT128" i="1"/>
  <c r="AS128" i="1"/>
  <c r="BK127" i="1"/>
  <c r="BJ127" i="1"/>
  <c r="BI127" i="1"/>
  <c r="BH127" i="1"/>
  <c r="BG127" i="1"/>
  <c r="BE127" i="1"/>
  <c r="BD127" i="1"/>
  <c r="BC127" i="1"/>
  <c r="BB127" i="1"/>
  <c r="AZ127" i="1"/>
  <c r="AY127" i="1"/>
  <c r="AX127" i="1"/>
  <c r="AW127" i="1"/>
  <c r="AU127" i="1"/>
  <c r="AT127" i="1"/>
  <c r="AS127" i="1"/>
  <c r="BK126" i="1"/>
  <c r="BJ126" i="1"/>
  <c r="BI126" i="1"/>
  <c r="BH126" i="1"/>
  <c r="BG126" i="1"/>
  <c r="BE126" i="1"/>
  <c r="BD126" i="1"/>
  <c r="BC126" i="1"/>
  <c r="BB126" i="1"/>
  <c r="AZ126" i="1"/>
  <c r="AY126" i="1"/>
  <c r="AX126" i="1"/>
  <c r="AW126" i="1"/>
  <c r="AU126" i="1"/>
  <c r="AT126" i="1"/>
  <c r="AS126" i="1"/>
  <c r="BK125" i="1"/>
  <c r="BJ125" i="1"/>
  <c r="BI125" i="1"/>
  <c r="BH125" i="1"/>
  <c r="BG125" i="1"/>
  <c r="BE125" i="1"/>
  <c r="BD125" i="1"/>
  <c r="BC125" i="1"/>
  <c r="BB125" i="1"/>
  <c r="AZ125" i="1"/>
  <c r="AY125" i="1"/>
  <c r="AX125" i="1"/>
  <c r="AW125" i="1"/>
  <c r="AU125" i="1"/>
  <c r="AT125" i="1"/>
  <c r="AS125" i="1"/>
  <c r="BK124" i="1"/>
  <c r="BJ124" i="1"/>
  <c r="BI124" i="1"/>
  <c r="BH124" i="1"/>
  <c r="BG124" i="1"/>
  <c r="BE124" i="1"/>
  <c r="BD124" i="1"/>
  <c r="BC124" i="1"/>
  <c r="BB124" i="1"/>
  <c r="AZ124" i="1"/>
  <c r="AY124" i="1"/>
  <c r="AX124" i="1"/>
  <c r="AW124" i="1"/>
  <c r="AU124" i="1"/>
  <c r="AT124" i="1"/>
  <c r="AS124" i="1"/>
  <c r="BK123" i="1"/>
  <c r="BJ123" i="1"/>
  <c r="BI123" i="1"/>
  <c r="BH123" i="1"/>
  <c r="BG123" i="1"/>
  <c r="BE123" i="1"/>
  <c r="BD123" i="1"/>
  <c r="BC123" i="1"/>
  <c r="BB123" i="1"/>
  <c r="AZ123" i="1"/>
  <c r="AY123" i="1"/>
  <c r="AX123" i="1"/>
  <c r="AW123" i="1"/>
  <c r="AU123" i="1"/>
  <c r="AT123" i="1"/>
  <c r="AS123" i="1"/>
  <c r="BK122" i="1"/>
  <c r="BJ122" i="1"/>
  <c r="BI122" i="1"/>
  <c r="BH122" i="1"/>
  <c r="BG122" i="1"/>
  <c r="BE122" i="1"/>
  <c r="BD122" i="1"/>
  <c r="BC122" i="1"/>
  <c r="BB122" i="1"/>
  <c r="AZ122" i="1"/>
  <c r="AY122" i="1"/>
  <c r="AX122" i="1"/>
  <c r="AW122" i="1"/>
  <c r="AU122" i="1"/>
  <c r="AT122" i="1"/>
  <c r="AS122" i="1"/>
  <c r="BK121" i="1"/>
  <c r="BJ121" i="1"/>
  <c r="BI121" i="1"/>
  <c r="BH121" i="1"/>
  <c r="BG121" i="1"/>
  <c r="BE121" i="1"/>
  <c r="BD121" i="1"/>
  <c r="BC121" i="1"/>
  <c r="BB121" i="1"/>
  <c r="AZ121" i="1"/>
  <c r="AY121" i="1"/>
  <c r="AX121" i="1"/>
  <c r="AW121" i="1"/>
  <c r="AU121" i="1"/>
  <c r="AT121" i="1"/>
  <c r="AS121" i="1"/>
  <c r="BK120" i="1"/>
  <c r="BJ120" i="1"/>
  <c r="BI120" i="1"/>
  <c r="BH120" i="1"/>
  <c r="BG120" i="1"/>
  <c r="BE120" i="1"/>
  <c r="BD120" i="1"/>
  <c r="BC120" i="1"/>
  <c r="BB120" i="1"/>
  <c r="AZ120" i="1"/>
  <c r="AY120" i="1"/>
  <c r="AX120" i="1"/>
  <c r="AW120" i="1"/>
  <c r="AU120" i="1"/>
  <c r="AT120" i="1"/>
  <c r="AS120" i="1"/>
  <c r="BK119" i="1"/>
  <c r="BJ119" i="1"/>
  <c r="BI119" i="1"/>
  <c r="BH119" i="1"/>
  <c r="BG119" i="1"/>
  <c r="BE119" i="1"/>
  <c r="BD119" i="1"/>
  <c r="BC119" i="1"/>
  <c r="BB119" i="1"/>
  <c r="AZ119" i="1"/>
  <c r="AY119" i="1"/>
  <c r="AX119" i="1"/>
  <c r="AW119" i="1"/>
  <c r="AU119" i="1"/>
  <c r="AT119" i="1"/>
  <c r="AS119" i="1"/>
  <c r="BK118" i="1"/>
  <c r="BJ118" i="1"/>
  <c r="BI118" i="1"/>
  <c r="BH118" i="1"/>
  <c r="BG118" i="1"/>
  <c r="BE118" i="1"/>
  <c r="BD118" i="1"/>
  <c r="BC118" i="1"/>
  <c r="BB118" i="1"/>
  <c r="AZ118" i="1"/>
  <c r="AY118" i="1"/>
  <c r="AX118" i="1"/>
  <c r="AW118" i="1"/>
  <c r="AU118" i="1"/>
  <c r="AT118" i="1"/>
  <c r="AS118" i="1"/>
  <c r="BK117" i="1"/>
  <c r="BJ117" i="1"/>
  <c r="BI117" i="1"/>
  <c r="BH117" i="1"/>
  <c r="BG117" i="1"/>
  <c r="BE117" i="1"/>
  <c r="BD117" i="1"/>
  <c r="BC117" i="1"/>
  <c r="BB117" i="1"/>
  <c r="AZ117" i="1"/>
  <c r="AY117" i="1"/>
  <c r="AX117" i="1"/>
  <c r="AW117" i="1"/>
  <c r="AU117" i="1"/>
  <c r="AT117" i="1"/>
  <c r="AS117" i="1"/>
  <c r="BK116" i="1"/>
  <c r="BJ116" i="1"/>
  <c r="BI116" i="1"/>
  <c r="BH116" i="1"/>
  <c r="BG116" i="1"/>
  <c r="BE116" i="1"/>
  <c r="BD116" i="1"/>
  <c r="BC116" i="1"/>
  <c r="BB116" i="1"/>
  <c r="AZ116" i="1"/>
  <c r="AY116" i="1"/>
  <c r="AX116" i="1"/>
  <c r="AW116" i="1"/>
  <c r="AU116" i="1"/>
  <c r="AT116" i="1"/>
  <c r="AS116" i="1"/>
  <c r="BK115" i="1"/>
  <c r="BJ115" i="1"/>
  <c r="BI115" i="1"/>
  <c r="BH115" i="1"/>
  <c r="BG115" i="1"/>
  <c r="BE115" i="1"/>
  <c r="BD115" i="1"/>
  <c r="BC115" i="1"/>
  <c r="BB115" i="1"/>
  <c r="AZ115" i="1"/>
  <c r="AY115" i="1"/>
  <c r="AX115" i="1"/>
  <c r="AW115" i="1"/>
  <c r="AU115" i="1"/>
  <c r="AT115" i="1"/>
  <c r="AS115" i="1"/>
  <c r="BK114" i="1"/>
  <c r="BJ114" i="1"/>
  <c r="BI114" i="1"/>
  <c r="BH114" i="1"/>
  <c r="BG114" i="1"/>
  <c r="BE114" i="1"/>
  <c r="BD114" i="1"/>
  <c r="BC114" i="1"/>
  <c r="BB114" i="1"/>
  <c r="AZ114" i="1"/>
  <c r="AY114" i="1"/>
  <c r="AX114" i="1"/>
  <c r="AW114" i="1"/>
  <c r="AU114" i="1"/>
  <c r="AT114" i="1"/>
  <c r="AS114" i="1"/>
  <c r="BK113" i="1"/>
  <c r="BJ113" i="1"/>
  <c r="BI113" i="1"/>
  <c r="BH113" i="1"/>
  <c r="BG113" i="1"/>
  <c r="BE113" i="1"/>
  <c r="BD113" i="1"/>
  <c r="BC113" i="1"/>
  <c r="BB113" i="1"/>
  <c r="AZ113" i="1"/>
  <c r="AY113" i="1"/>
  <c r="AX113" i="1"/>
  <c r="AW113" i="1"/>
  <c r="AU113" i="1"/>
  <c r="AT113" i="1"/>
  <c r="AS113" i="1"/>
  <c r="BK112" i="1"/>
  <c r="BJ112" i="1"/>
  <c r="BI112" i="1"/>
  <c r="BH112" i="1"/>
  <c r="BG112" i="1"/>
  <c r="BE112" i="1"/>
  <c r="BD112" i="1"/>
  <c r="BC112" i="1"/>
  <c r="BB112" i="1"/>
  <c r="AZ112" i="1"/>
  <c r="AY112" i="1"/>
  <c r="AX112" i="1"/>
  <c r="AW112" i="1"/>
  <c r="AU112" i="1"/>
  <c r="AT112" i="1"/>
  <c r="AS112" i="1"/>
  <c r="BK111" i="1"/>
  <c r="BJ111" i="1"/>
  <c r="BI111" i="1"/>
  <c r="BH111" i="1"/>
  <c r="BG111" i="1"/>
  <c r="BE111" i="1"/>
  <c r="BD111" i="1"/>
  <c r="BC111" i="1"/>
  <c r="BB111" i="1"/>
  <c r="AZ111" i="1"/>
  <c r="AY111" i="1"/>
  <c r="AX111" i="1"/>
  <c r="AW111" i="1"/>
  <c r="AU111" i="1"/>
  <c r="AT111" i="1"/>
  <c r="AS111" i="1"/>
  <c r="BK110" i="1"/>
  <c r="BJ110" i="1"/>
  <c r="BI110" i="1"/>
  <c r="BH110" i="1"/>
  <c r="BG110" i="1"/>
  <c r="BE110" i="1"/>
  <c r="BD110" i="1"/>
  <c r="BC110" i="1"/>
  <c r="BB110" i="1"/>
  <c r="AZ110" i="1"/>
  <c r="AY110" i="1"/>
  <c r="AX110" i="1"/>
  <c r="AW110" i="1"/>
  <c r="AU110" i="1"/>
  <c r="AT110" i="1"/>
  <c r="AS110" i="1"/>
  <c r="BK109" i="1"/>
  <c r="BJ109" i="1"/>
  <c r="BI109" i="1"/>
  <c r="BH109" i="1"/>
  <c r="BG109" i="1"/>
  <c r="BE109" i="1"/>
  <c r="BD109" i="1"/>
  <c r="BC109" i="1"/>
  <c r="BB109" i="1"/>
  <c r="AZ109" i="1"/>
  <c r="AY109" i="1"/>
  <c r="AX109" i="1"/>
  <c r="AW109" i="1"/>
  <c r="AU109" i="1"/>
  <c r="AT109" i="1"/>
  <c r="AS109" i="1"/>
  <c r="BK108" i="1"/>
  <c r="BJ108" i="1"/>
  <c r="BI108" i="1"/>
  <c r="BH108" i="1"/>
  <c r="BG108" i="1"/>
  <c r="BE108" i="1"/>
  <c r="BD108" i="1"/>
  <c r="BC108" i="1"/>
  <c r="BB108" i="1"/>
  <c r="AZ108" i="1"/>
  <c r="AY108" i="1"/>
  <c r="AX108" i="1"/>
  <c r="AW108" i="1"/>
  <c r="AU108" i="1"/>
  <c r="AT108" i="1"/>
  <c r="AS108" i="1"/>
  <c r="BK107" i="1"/>
  <c r="BJ107" i="1"/>
  <c r="BI107" i="1"/>
  <c r="BH107" i="1"/>
  <c r="BG107" i="1"/>
  <c r="BE107" i="1"/>
  <c r="BD107" i="1"/>
  <c r="BC107" i="1"/>
  <c r="BB107" i="1"/>
  <c r="AZ107" i="1"/>
  <c r="AY107" i="1"/>
  <c r="AX107" i="1"/>
  <c r="AW107" i="1"/>
  <c r="AU107" i="1"/>
  <c r="AT107" i="1"/>
  <c r="AS107" i="1"/>
  <c r="BK106" i="1"/>
  <c r="BJ106" i="1"/>
  <c r="BI106" i="1"/>
  <c r="BH106" i="1"/>
  <c r="BG106" i="1"/>
  <c r="BE106" i="1"/>
  <c r="BD106" i="1"/>
  <c r="BC106" i="1"/>
  <c r="BB106" i="1"/>
  <c r="AZ106" i="1"/>
  <c r="AY106" i="1"/>
  <c r="AX106" i="1"/>
  <c r="AW106" i="1"/>
  <c r="AU106" i="1"/>
  <c r="AT106" i="1"/>
  <c r="AS106" i="1"/>
  <c r="BK105" i="1"/>
  <c r="BJ105" i="1"/>
  <c r="BI105" i="1"/>
  <c r="BH105" i="1"/>
  <c r="BG105" i="1"/>
  <c r="BE105" i="1"/>
  <c r="BD105" i="1"/>
  <c r="BC105" i="1"/>
  <c r="BB105" i="1"/>
  <c r="AZ105" i="1"/>
  <c r="AY105" i="1"/>
  <c r="AX105" i="1"/>
  <c r="AW105" i="1"/>
  <c r="AU105" i="1"/>
  <c r="AT105" i="1"/>
  <c r="AS105" i="1"/>
  <c r="BK104" i="1"/>
  <c r="BJ104" i="1"/>
  <c r="BI104" i="1"/>
  <c r="BH104" i="1"/>
  <c r="BG104" i="1"/>
  <c r="BE104" i="1"/>
  <c r="BD104" i="1"/>
  <c r="BC104" i="1"/>
  <c r="BB104" i="1"/>
  <c r="AZ104" i="1"/>
  <c r="AY104" i="1"/>
  <c r="AX104" i="1"/>
  <c r="AW104" i="1"/>
  <c r="AU104" i="1"/>
  <c r="AT104" i="1"/>
  <c r="AS104" i="1"/>
  <c r="BK103" i="1"/>
  <c r="BJ103" i="1"/>
  <c r="BI103" i="1"/>
  <c r="BH103" i="1"/>
  <c r="BG103" i="1"/>
  <c r="BE103" i="1"/>
  <c r="BD103" i="1"/>
  <c r="BC103" i="1"/>
  <c r="BB103" i="1"/>
  <c r="AZ103" i="1"/>
  <c r="AY103" i="1"/>
  <c r="AX103" i="1"/>
  <c r="AW103" i="1"/>
  <c r="AU103" i="1"/>
  <c r="AT103" i="1"/>
  <c r="AS103" i="1"/>
  <c r="BK102" i="1"/>
  <c r="BJ102" i="1"/>
  <c r="BI102" i="1"/>
  <c r="BH102" i="1"/>
  <c r="BG102" i="1"/>
  <c r="BE102" i="1"/>
  <c r="BD102" i="1"/>
  <c r="BC102" i="1"/>
  <c r="BB102" i="1"/>
  <c r="AZ102" i="1"/>
  <c r="AY102" i="1"/>
  <c r="AX102" i="1"/>
  <c r="AW102" i="1"/>
  <c r="AU102" i="1"/>
  <c r="AT102" i="1"/>
  <c r="AS102" i="1"/>
  <c r="BK101" i="1"/>
  <c r="BJ101" i="1"/>
  <c r="BI101" i="1"/>
  <c r="BH101" i="1"/>
  <c r="BG101" i="1"/>
  <c r="BE101" i="1"/>
  <c r="BD101" i="1"/>
  <c r="BC101" i="1"/>
  <c r="BB101" i="1"/>
  <c r="AZ101" i="1"/>
  <c r="AY101" i="1"/>
  <c r="AX101" i="1"/>
  <c r="AW101" i="1"/>
  <c r="AU101" i="1"/>
  <c r="AT101" i="1"/>
  <c r="AS101" i="1"/>
  <c r="BK100" i="1"/>
  <c r="BJ100" i="1"/>
  <c r="BI100" i="1"/>
  <c r="BH100" i="1"/>
  <c r="BG100" i="1"/>
  <c r="BE100" i="1"/>
  <c r="BD100" i="1"/>
  <c r="BC100" i="1"/>
  <c r="BB100" i="1"/>
  <c r="AZ100" i="1"/>
  <c r="AY100" i="1"/>
  <c r="AX100" i="1"/>
  <c r="AW100" i="1"/>
  <c r="AU100" i="1"/>
  <c r="AT100" i="1"/>
  <c r="AS100" i="1"/>
  <c r="BK99" i="1"/>
  <c r="BJ99" i="1"/>
  <c r="BI99" i="1"/>
  <c r="BH99" i="1"/>
  <c r="BG99" i="1"/>
  <c r="BE99" i="1"/>
  <c r="BD99" i="1"/>
  <c r="BC99" i="1"/>
  <c r="BB99" i="1"/>
  <c r="AZ99" i="1"/>
  <c r="AY99" i="1"/>
  <c r="AX99" i="1"/>
  <c r="AW99" i="1"/>
  <c r="AU99" i="1"/>
  <c r="AT99" i="1"/>
  <c r="AS99" i="1"/>
  <c r="BK98" i="1"/>
  <c r="BJ98" i="1"/>
  <c r="BI98" i="1"/>
  <c r="BH98" i="1"/>
  <c r="BG98" i="1"/>
  <c r="BE98" i="1"/>
  <c r="BD98" i="1"/>
  <c r="BC98" i="1"/>
  <c r="BB98" i="1"/>
  <c r="AZ98" i="1"/>
  <c r="AY98" i="1"/>
  <c r="AX98" i="1"/>
  <c r="AW98" i="1"/>
  <c r="AU98" i="1"/>
  <c r="AT98" i="1"/>
  <c r="AS98" i="1"/>
  <c r="BK97" i="1"/>
  <c r="BJ97" i="1"/>
  <c r="BI97" i="1"/>
  <c r="BH97" i="1"/>
  <c r="BG97" i="1"/>
  <c r="BE97" i="1"/>
  <c r="BD97" i="1"/>
  <c r="BC97" i="1"/>
  <c r="BB97" i="1"/>
  <c r="AZ97" i="1"/>
  <c r="AY97" i="1"/>
  <c r="AX97" i="1"/>
  <c r="AW97" i="1"/>
  <c r="AU97" i="1"/>
  <c r="AT97" i="1"/>
  <c r="AS97" i="1"/>
  <c r="BK96" i="1"/>
  <c r="BJ96" i="1"/>
  <c r="BI96" i="1"/>
  <c r="BH96" i="1"/>
  <c r="BG96" i="1"/>
  <c r="BE96" i="1"/>
  <c r="BD96" i="1"/>
  <c r="BC96" i="1"/>
  <c r="BB96" i="1"/>
  <c r="AZ96" i="1"/>
  <c r="AY96" i="1"/>
  <c r="AX96" i="1"/>
  <c r="AW96" i="1"/>
  <c r="AU96" i="1"/>
  <c r="AT96" i="1"/>
  <c r="AS96" i="1"/>
  <c r="BK95" i="1"/>
  <c r="BJ95" i="1"/>
  <c r="BI95" i="1"/>
  <c r="BH95" i="1"/>
  <c r="BG95" i="1"/>
  <c r="BE95" i="1"/>
  <c r="BD95" i="1"/>
  <c r="BC95" i="1"/>
  <c r="BB95" i="1"/>
  <c r="AZ95" i="1"/>
  <c r="AY95" i="1"/>
  <c r="AX95" i="1"/>
  <c r="AW95" i="1"/>
  <c r="AU95" i="1"/>
  <c r="AT95" i="1"/>
  <c r="AS95" i="1"/>
  <c r="BK94" i="1"/>
  <c r="BJ94" i="1"/>
  <c r="BI94" i="1"/>
  <c r="BH94" i="1"/>
  <c r="BG94" i="1"/>
  <c r="BE94" i="1"/>
  <c r="BD94" i="1"/>
  <c r="BC94" i="1"/>
  <c r="BB94" i="1"/>
  <c r="AZ94" i="1"/>
  <c r="AY94" i="1"/>
  <c r="AX94" i="1"/>
  <c r="AW94" i="1"/>
  <c r="AU94" i="1"/>
  <c r="AT94" i="1"/>
  <c r="AS94" i="1"/>
  <c r="BK93" i="1"/>
  <c r="BJ93" i="1"/>
  <c r="BI93" i="1"/>
  <c r="BH93" i="1"/>
  <c r="BG93" i="1"/>
  <c r="BE93" i="1"/>
  <c r="BD93" i="1"/>
  <c r="BC93" i="1"/>
  <c r="BB93" i="1"/>
  <c r="AZ93" i="1"/>
  <c r="AY93" i="1"/>
  <c r="AX93" i="1"/>
  <c r="AW93" i="1"/>
  <c r="AU93" i="1"/>
  <c r="AT93" i="1"/>
  <c r="AS93" i="1"/>
  <c r="BK92" i="1"/>
  <c r="BJ92" i="1"/>
  <c r="BI92" i="1"/>
  <c r="BH92" i="1"/>
  <c r="BG92" i="1"/>
  <c r="BE92" i="1"/>
  <c r="BD92" i="1"/>
  <c r="BC92" i="1"/>
  <c r="BB92" i="1"/>
  <c r="AZ92" i="1"/>
  <c r="AY92" i="1"/>
  <c r="AX92" i="1"/>
  <c r="AW92" i="1"/>
  <c r="AU92" i="1"/>
  <c r="AT92" i="1"/>
  <c r="AS92" i="1"/>
  <c r="BK91" i="1"/>
  <c r="BJ91" i="1"/>
  <c r="BI91" i="1"/>
  <c r="BH91" i="1"/>
  <c r="BG91" i="1"/>
  <c r="BE91" i="1"/>
  <c r="BD91" i="1"/>
  <c r="BC91" i="1"/>
  <c r="BB91" i="1"/>
  <c r="AZ91" i="1"/>
  <c r="AY91" i="1"/>
  <c r="AX91" i="1"/>
  <c r="AW91" i="1"/>
  <c r="AU91" i="1"/>
  <c r="AT91" i="1"/>
  <c r="AS91" i="1"/>
  <c r="BK90" i="1"/>
  <c r="BJ90" i="1"/>
  <c r="BI90" i="1"/>
  <c r="BH90" i="1"/>
  <c r="BG90" i="1"/>
  <c r="BE90" i="1"/>
  <c r="BD90" i="1"/>
  <c r="BC90" i="1"/>
  <c r="BB90" i="1"/>
  <c r="AZ90" i="1"/>
  <c r="AY90" i="1"/>
  <c r="AX90" i="1"/>
  <c r="AW90" i="1"/>
  <c r="AU90" i="1"/>
  <c r="AT90" i="1"/>
  <c r="AS90" i="1"/>
  <c r="BK89" i="1"/>
  <c r="BJ89" i="1"/>
  <c r="BI89" i="1"/>
  <c r="BH89" i="1"/>
  <c r="BG89" i="1"/>
  <c r="BE89" i="1"/>
  <c r="BD89" i="1"/>
  <c r="BC89" i="1"/>
  <c r="BB89" i="1"/>
  <c r="AZ89" i="1"/>
  <c r="AY89" i="1"/>
  <c r="AX89" i="1"/>
  <c r="AW89" i="1"/>
  <c r="AU89" i="1"/>
  <c r="AT89" i="1"/>
  <c r="AS89" i="1"/>
  <c r="BK88" i="1"/>
  <c r="BJ88" i="1"/>
  <c r="BI88" i="1"/>
  <c r="BH88" i="1"/>
  <c r="BG88" i="1"/>
  <c r="BE88" i="1"/>
  <c r="BD88" i="1"/>
  <c r="BC88" i="1"/>
  <c r="BB88" i="1"/>
  <c r="AZ88" i="1"/>
  <c r="AY88" i="1"/>
  <c r="AX88" i="1"/>
  <c r="AW88" i="1"/>
  <c r="AU88" i="1"/>
  <c r="AT88" i="1"/>
  <c r="AS88" i="1"/>
  <c r="BK87" i="1"/>
  <c r="BJ87" i="1"/>
  <c r="BI87" i="1"/>
  <c r="BH87" i="1"/>
  <c r="BG87" i="1"/>
  <c r="BE87" i="1"/>
  <c r="BD87" i="1"/>
  <c r="BC87" i="1"/>
  <c r="BB87" i="1"/>
  <c r="AZ87" i="1"/>
  <c r="AY87" i="1"/>
  <c r="AX87" i="1"/>
  <c r="AW87" i="1"/>
  <c r="AU87" i="1"/>
  <c r="AT87" i="1"/>
  <c r="AS87" i="1"/>
  <c r="BK86" i="1"/>
  <c r="BJ86" i="1"/>
  <c r="BI86" i="1"/>
  <c r="BH86" i="1"/>
  <c r="BG86" i="1"/>
  <c r="BE86" i="1"/>
  <c r="BD86" i="1"/>
  <c r="BC86" i="1"/>
  <c r="BB86" i="1"/>
  <c r="AZ86" i="1"/>
  <c r="AY86" i="1"/>
  <c r="AX86" i="1"/>
  <c r="AW86" i="1"/>
  <c r="AU86" i="1"/>
  <c r="AT86" i="1"/>
  <c r="AS86" i="1"/>
  <c r="BK85" i="1"/>
  <c r="BJ85" i="1"/>
  <c r="BI85" i="1"/>
  <c r="BH85" i="1"/>
  <c r="BG85" i="1"/>
  <c r="BE85" i="1"/>
  <c r="BD85" i="1"/>
  <c r="BC85" i="1"/>
  <c r="BB85" i="1"/>
  <c r="AZ85" i="1"/>
  <c r="AY85" i="1"/>
  <c r="AX85" i="1"/>
  <c r="AW85" i="1"/>
  <c r="AU85" i="1"/>
  <c r="AT85" i="1"/>
  <c r="AS85" i="1"/>
  <c r="BK84" i="1"/>
  <c r="BJ84" i="1"/>
  <c r="BI84" i="1"/>
  <c r="BH84" i="1"/>
  <c r="BG84" i="1"/>
  <c r="BE84" i="1"/>
  <c r="BD84" i="1"/>
  <c r="BC84" i="1"/>
  <c r="BB84" i="1"/>
  <c r="AZ84" i="1"/>
  <c r="AY84" i="1"/>
  <c r="AX84" i="1"/>
  <c r="AW84" i="1"/>
  <c r="AU84" i="1"/>
  <c r="AT84" i="1"/>
  <c r="AS84" i="1"/>
  <c r="BK83" i="1"/>
  <c r="BJ83" i="1"/>
  <c r="BI83" i="1"/>
  <c r="BH83" i="1"/>
  <c r="BG83" i="1"/>
  <c r="BE83" i="1"/>
  <c r="BD83" i="1"/>
  <c r="BC83" i="1"/>
  <c r="BB83" i="1"/>
  <c r="AZ83" i="1"/>
  <c r="AY83" i="1"/>
  <c r="AX83" i="1"/>
  <c r="AW83" i="1"/>
  <c r="AU83" i="1"/>
  <c r="AT83" i="1"/>
  <c r="AS83" i="1"/>
  <c r="BK82" i="1"/>
  <c r="BJ82" i="1"/>
  <c r="BI82" i="1"/>
  <c r="BH82" i="1"/>
  <c r="BG82" i="1"/>
  <c r="BE82" i="1"/>
  <c r="BD82" i="1"/>
  <c r="BC82" i="1"/>
  <c r="BB82" i="1"/>
  <c r="AZ82" i="1"/>
  <c r="AY82" i="1"/>
  <c r="AX82" i="1"/>
  <c r="AW82" i="1"/>
  <c r="AU82" i="1"/>
  <c r="AT82" i="1"/>
  <c r="AS82" i="1"/>
  <c r="BK81" i="1"/>
  <c r="BJ81" i="1"/>
  <c r="BI81" i="1"/>
  <c r="BH81" i="1"/>
  <c r="BG81" i="1"/>
  <c r="BE81" i="1"/>
  <c r="BD81" i="1"/>
  <c r="BC81" i="1"/>
  <c r="BB81" i="1"/>
  <c r="AZ81" i="1"/>
  <c r="AY81" i="1"/>
  <c r="AX81" i="1"/>
  <c r="AW81" i="1"/>
  <c r="AU81" i="1"/>
  <c r="AT81" i="1"/>
  <c r="AS81" i="1"/>
  <c r="BK80" i="1"/>
  <c r="BJ80" i="1"/>
  <c r="BI80" i="1"/>
  <c r="BH80" i="1"/>
  <c r="BG80" i="1"/>
  <c r="BE80" i="1"/>
  <c r="BD80" i="1"/>
  <c r="BC80" i="1"/>
  <c r="BB80" i="1"/>
  <c r="AZ80" i="1"/>
  <c r="AY80" i="1"/>
  <c r="AX80" i="1"/>
  <c r="AW80" i="1"/>
  <c r="AU80" i="1"/>
  <c r="AT80" i="1"/>
  <c r="AS80" i="1"/>
  <c r="BK79" i="1"/>
  <c r="BJ79" i="1"/>
  <c r="BI79" i="1"/>
  <c r="BH79" i="1"/>
  <c r="BG79" i="1"/>
  <c r="BE79" i="1"/>
  <c r="BD79" i="1"/>
  <c r="BC79" i="1"/>
  <c r="BB79" i="1"/>
  <c r="AZ79" i="1"/>
  <c r="AY79" i="1"/>
  <c r="AX79" i="1"/>
  <c r="AW79" i="1"/>
  <c r="AU79" i="1"/>
  <c r="AT79" i="1"/>
  <c r="AS79" i="1"/>
  <c r="BK78" i="1"/>
  <c r="BJ78" i="1"/>
  <c r="BI78" i="1"/>
  <c r="BH78" i="1"/>
  <c r="BG78" i="1"/>
  <c r="BE78" i="1"/>
  <c r="BD78" i="1"/>
  <c r="BC78" i="1"/>
  <c r="BB78" i="1"/>
  <c r="AZ78" i="1"/>
  <c r="AY78" i="1"/>
  <c r="AX78" i="1"/>
  <c r="AW78" i="1"/>
  <c r="AU78" i="1"/>
  <c r="AT78" i="1"/>
  <c r="AS78" i="1"/>
  <c r="BK77" i="1"/>
  <c r="BJ77" i="1"/>
  <c r="BI77" i="1"/>
  <c r="BH77" i="1"/>
  <c r="BG77" i="1"/>
  <c r="BE77" i="1"/>
  <c r="BD77" i="1"/>
  <c r="BC77" i="1"/>
  <c r="BB77" i="1"/>
  <c r="AZ77" i="1"/>
  <c r="AY77" i="1"/>
  <c r="AX77" i="1"/>
  <c r="AW77" i="1"/>
  <c r="AU77" i="1"/>
  <c r="AT77" i="1"/>
  <c r="AS77" i="1"/>
  <c r="BK76" i="1"/>
  <c r="BJ76" i="1"/>
  <c r="BI76" i="1"/>
  <c r="BH76" i="1"/>
  <c r="BG76" i="1"/>
  <c r="BE76" i="1"/>
  <c r="BD76" i="1"/>
  <c r="BC76" i="1"/>
  <c r="BB76" i="1"/>
  <c r="AZ76" i="1"/>
  <c r="AY76" i="1"/>
  <c r="AX76" i="1"/>
  <c r="AW76" i="1"/>
  <c r="AU76" i="1"/>
  <c r="AT76" i="1"/>
  <c r="AS76" i="1"/>
  <c r="BK75" i="1"/>
  <c r="BJ75" i="1"/>
  <c r="BI75" i="1"/>
  <c r="BH75" i="1"/>
  <c r="BG75" i="1"/>
  <c r="BE75" i="1"/>
  <c r="BD75" i="1"/>
  <c r="BC75" i="1"/>
  <c r="BB75" i="1"/>
  <c r="AZ75" i="1"/>
  <c r="AY75" i="1"/>
  <c r="AX75" i="1"/>
  <c r="AW75" i="1"/>
  <c r="AU75" i="1"/>
  <c r="AT75" i="1"/>
  <c r="AS75" i="1"/>
  <c r="BK74" i="1"/>
  <c r="BJ74" i="1"/>
  <c r="BI74" i="1"/>
  <c r="BH74" i="1"/>
  <c r="BG74" i="1"/>
  <c r="BE74" i="1"/>
  <c r="BD74" i="1"/>
  <c r="BC74" i="1"/>
  <c r="BB74" i="1"/>
  <c r="AZ74" i="1"/>
  <c r="AY74" i="1"/>
  <c r="AX74" i="1"/>
  <c r="AW74" i="1"/>
  <c r="AU74" i="1"/>
  <c r="AT74" i="1"/>
  <c r="AS74" i="1"/>
  <c r="BK73" i="1"/>
  <c r="BJ73" i="1"/>
  <c r="BI73" i="1"/>
  <c r="BH73" i="1"/>
  <c r="BG73" i="1"/>
  <c r="BE73" i="1"/>
  <c r="BD73" i="1"/>
  <c r="BC73" i="1"/>
  <c r="BB73" i="1"/>
  <c r="AZ73" i="1"/>
  <c r="AY73" i="1"/>
  <c r="AX73" i="1"/>
  <c r="AW73" i="1"/>
  <c r="AU73" i="1"/>
  <c r="AT73" i="1"/>
  <c r="AS73" i="1"/>
  <c r="BK72" i="1"/>
  <c r="BJ72" i="1"/>
  <c r="BI72" i="1"/>
  <c r="BH72" i="1"/>
  <c r="BG72" i="1"/>
  <c r="BE72" i="1"/>
  <c r="BD72" i="1"/>
  <c r="BC72" i="1"/>
  <c r="BB72" i="1"/>
  <c r="AZ72" i="1"/>
  <c r="AY72" i="1"/>
  <c r="AX72" i="1"/>
  <c r="AW72" i="1"/>
  <c r="AU72" i="1"/>
  <c r="AT72" i="1"/>
  <c r="AS72" i="1"/>
  <c r="BK71" i="1"/>
  <c r="BJ71" i="1"/>
  <c r="BI71" i="1"/>
  <c r="BH71" i="1"/>
  <c r="BG71" i="1"/>
  <c r="BE71" i="1"/>
  <c r="BD71" i="1"/>
  <c r="BC71" i="1"/>
  <c r="BB71" i="1"/>
  <c r="AZ71" i="1"/>
  <c r="AY71" i="1"/>
  <c r="AX71" i="1"/>
  <c r="AW71" i="1"/>
  <c r="AU71" i="1"/>
  <c r="AT71" i="1"/>
  <c r="AS71" i="1"/>
  <c r="BK70" i="1"/>
  <c r="BJ70" i="1"/>
  <c r="BI70" i="1"/>
  <c r="BH70" i="1"/>
  <c r="BG70" i="1"/>
  <c r="BE70" i="1"/>
  <c r="BD70" i="1"/>
  <c r="BC70" i="1"/>
  <c r="BB70" i="1"/>
  <c r="AZ70" i="1"/>
  <c r="AY70" i="1"/>
  <c r="AX70" i="1"/>
  <c r="AW70" i="1"/>
  <c r="AU70" i="1"/>
  <c r="AT70" i="1"/>
  <c r="AS70" i="1"/>
  <c r="BK69" i="1"/>
  <c r="BJ69" i="1"/>
  <c r="BI69" i="1"/>
  <c r="BH69" i="1"/>
  <c r="BG69" i="1"/>
  <c r="BE69" i="1"/>
  <c r="BD69" i="1"/>
  <c r="BC69" i="1"/>
  <c r="BB69" i="1"/>
  <c r="AZ69" i="1"/>
  <c r="AY69" i="1"/>
  <c r="AX69" i="1"/>
  <c r="AW69" i="1"/>
  <c r="AU69" i="1"/>
  <c r="AT69" i="1"/>
  <c r="AS69" i="1"/>
  <c r="BJ68" i="1"/>
  <c r="BI68" i="1"/>
  <c r="BH68" i="1"/>
  <c r="BG68" i="1"/>
  <c r="BE68" i="1"/>
  <c r="BD68" i="1"/>
  <c r="BC68" i="1"/>
  <c r="BB68" i="1"/>
  <c r="AZ68" i="1"/>
  <c r="AY68" i="1"/>
  <c r="AX68" i="1"/>
  <c r="AW68" i="1"/>
  <c r="AU68" i="1"/>
  <c r="AT68" i="1"/>
  <c r="AS68" i="1"/>
  <c r="BJ67" i="1"/>
  <c r="BI67" i="1"/>
  <c r="BH67" i="1"/>
  <c r="BG67" i="1"/>
  <c r="BE67" i="1"/>
  <c r="BD67" i="1"/>
  <c r="BC67" i="1"/>
  <c r="BB67" i="1"/>
  <c r="AZ67" i="1"/>
  <c r="AY67" i="1"/>
  <c r="AX67" i="1"/>
  <c r="AW67" i="1"/>
  <c r="AU67" i="1"/>
  <c r="AT67" i="1"/>
  <c r="AS67" i="1"/>
  <c r="BJ66" i="1"/>
  <c r="BI66" i="1"/>
  <c r="BH66" i="1"/>
  <c r="BG66" i="1"/>
  <c r="BE66" i="1"/>
  <c r="BD66" i="1"/>
  <c r="BC66" i="1"/>
  <c r="BB66" i="1"/>
  <c r="AZ66" i="1"/>
  <c r="AY66" i="1"/>
  <c r="AX66" i="1"/>
  <c r="AW66" i="1"/>
  <c r="AU66" i="1"/>
  <c r="AT66" i="1"/>
  <c r="AS66" i="1"/>
  <c r="BJ65" i="1"/>
  <c r="BI65" i="1"/>
  <c r="BH65" i="1"/>
  <c r="BG65" i="1"/>
  <c r="BE65" i="1"/>
  <c r="BD65" i="1"/>
  <c r="BC65" i="1"/>
  <c r="BB65" i="1"/>
  <c r="AZ65" i="1"/>
  <c r="AY65" i="1"/>
  <c r="AX65" i="1"/>
  <c r="AW65" i="1"/>
  <c r="AU65" i="1"/>
  <c r="AT65" i="1"/>
  <c r="AS65" i="1"/>
  <c r="BJ64" i="1"/>
  <c r="BI64" i="1"/>
  <c r="BH64" i="1"/>
  <c r="BG64" i="1"/>
  <c r="BE64" i="1"/>
  <c r="BD64" i="1"/>
  <c r="BC64" i="1"/>
  <c r="BB64" i="1"/>
  <c r="AZ64" i="1"/>
  <c r="AY64" i="1"/>
  <c r="AX64" i="1"/>
  <c r="AW64" i="1"/>
  <c r="AU64" i="1"/>
  <c r="AT64" i="1"/>
  <c r="AS64" i="1"/>
  <c r="BJ63" i="1"/>
  <c r="BI63" i="1"/>
  <c r="BH63" i="1"/>
  <c r="BG63" i="1"/>
  <c r="BE63" i="1"/>
  <c r="BD63" i="1"/>
  <c r="BC63" i="1"/>
  <c r="BB63" i="1"/>
  <c r="AZ63" i="1"/>
  <c r="AY63" i="1"/>
  <c r="AX63" i="1"/>
  <c r="AW63" i="1"/>
  <c r="AU63" i="1"/>
  <c r="AT63" i="1"/>
  <c r="AS63" i="1"/>
  <c r="BJ62" i="1"/>
  <c r="BI62" i="1"/>
  <c r="BH62" i="1"/>
  <c r="BG62" i="1"/>
  <c r="BE62" i="1"/>
  <c r="BD62" i="1"/>
  <c r="BC62" i="1"/>
  <c r="BB62" i="1"/>
  <c r="AZ62" i="1"/>
  <c r="AY62" i="1"/>
  <c r="AX62" i="1"/>
  <c r="AW62" i="1"/>
  <c r="AU62" i="1"/>
  <c r="AT62" i="1"/>
  <c r="AS62" i="1"/>
  <c r="BJ61" i="1"/>
  <c r="BI61" i="1"/>
  <c r="BH61" i="1"/>
  <c r="BG61" i="1"/>
  <c r="BE61" i="1"/>
  <c r="BD61" i="1"/>
  <c r="BC61" i="1"/>
  <c r="BB61" i="1"/>
  <c r="AZ61" i="1"/>
  <c r="AY61" i="1"/>
  <c r="AX61" i="1"/>
  <c r="AW61" i="1"/>
  <c r="AU61" i="1"/>
  <c r="AT61" i="1"/>
  <c r="AS61" i="1"/>
  <c r="BJ60" i="1"/>
  <c r="BI60" i="1"/>
  <c r="BH60" i="1"/>
  <c r="BG60" i="1"/>
  <c r="BE60" i="1"/>
  <c r="BD60" i="1"/>
  <c r="BC60" i="1"/>
  <c r="BB60" i="1"/>
  <c r="AZ60" i="1"/>
  <c r="AY60" i="1"/>
  <c r="AX60" i="1"/>
  <c r="AW60" i="1"/>
  <c r="AU60" i="1"/>
  <c r="AT60" i="1"/>
  <c r="AS60" i="1"/>
  <c r="BJ59" i="1"/>
  <c r="BI59" i="1"/>
  <c r="BH59" i="1"/>
  <c r="BG59" i="1"/>
  <c r="BE59" i="1"/>
  <c r="BD59" i="1"/>
  <c r="BC59" i="1"/>
  <c r="BB59" i="1"/>
  <c r="AZ59" i="1"/>
  <c r="AY59" i="1"/>
  <c r="AX59" i="1"/>
  <c r="AW59" i="1"/>
  <c r="AU59" i="1"/>
  <c r="AT59" i="1"/>
  <c r="AS59" i="1"/>
  <c r="BJ58" i="1"/>
  <c r="BI58" i="1"/>
  <c r="BH58" i="1"/>
  <c r="BG58" i="1"/>
  <c r="BE58" i="1"/>
  <c r="BD58" i="1"/>
  <c r="BC58" i="1"/>
  <c r="BB58" i="1"/>
  <c r="AZ58" i="1"/>
  <c r="AY58" i="1"/>
  <c r="AX58" i="1"/>
  <c r="AW58" i="1"/>
  <c r="AU58" i="1"/>
  <c r="AT58" i="1"/>
  <c r="AS58" i="1"/>
  <c r="BJ57" i="1"/>
  <c r="BI57" i="1"/>
  <c r="BH57" i="1"/>
  <c r="BG57" i="1"/>
  <c r="BE57" i="1"/>
  <c r="BD57" i="1"/>
  <c r="BC57" i="1"/>
  <c r="BB57" i="1"/>
  <c r="AZ57" i="1"/>
  <c r="AY57" i="1"/>
  <c r="AX57" i="1"/>
  <c r="AW57" i="1"/>
  <c r="AU57" i="1"/>
  <c r="AT57" i="1"/>
  <c r="AS57" i="1"/>
  <c r="BJ56" i="1"/>
  <c r="BI56" i="1"/>
  <c r="BH56" i="1"/>
  <c r="BG56" i="1"/>
  <c r="BE56" i="1"/>
  <c r="BD56" i="1"/>
  <c r="BC56" i="1"/>
  <c r="BB56" i="1"/>
  <c r="AZ56" i="1"/>
  <c r="AY56" i="1"/>
  <c r="AX56" i="1"/>
  <c r="AW56" i="1"/>
  <c r="AU56" i="1"/>
  <c r="AT56" i="1"/>
  <c r="AS56" i="1"/>
  <c r="BJ55" i="1"/>
  <c r="BI55" i="1"/>
  <c r="BH55" i="1"/>
  <c r="BG55" i="1"/>
  <c r="BE55" i="1"/>
  <c r="BD55" i="1"/>
  <c r="BC55" i="1"/>
  <c r="BB55" i="1"/>
  <c r="AZ55" i="1"/>
  <c r="AY55" i="1"/>
  <c r="AX55" i="1"/>
  <c r="AW55" i="1"/>
  <c r="AU55" i="1"/>
  <c r="AT55" i="1"/>
  <c r="AS55" i="1"/>
  <c r="BJ54" i="1"/>
  <c r="BI54" i="1"/>
  <c r="BH54" i="1"/>
  <c r="BG54" i="1"/>
  <c r="BE54" i="1"/>
  <c r="BD54" i="1"/>
  <c r="BC54" i="1"/>
  <c r="BB54" i="1"/>
  <c r="AZ54" i="1"/>
  <c r="AY54" i="1"/>
  <c r="AX54" i="1"/>
  <c r="AW54" i="1"/>
  <c r="AU54" i="1"/>
  <c r="AT54" i="1"/>
  <c r="AS54" i="1"/>
  <c r="BJ53" i="1"/>
  <c r="BI53" i="1"/>
  <c r="BH53" i="1"/>
  <c r="BG53" i="1"/>
  <c r="BE53" i="1"/>
  <c r="BD53" i="1"/>
  <c r="BC53" i="1"/>
  <c r="BB53" i="1"/>
  <c r="AZ53" i="1"/>
  <c r="AY53" i="1"/>
  <c r="AX53" i="1"/>
  <c r="AW53" i="1"/>
  <c r="AU53" i="1"/>
  <c r="AT53" i="1"/>
  <c r="AS53" i="1"/>
  <c r="BJ52" i="1"/>
  <c r="BI52" i="1"/>
  <c r="BH52" i="1"/>
  <c r="BG52" i="1"/>
  <c r="BE52" i="1"/>
  <c r="BD52" i="1"/>
  <c r="BC52" i="1"/>
  <c r="BB52" i="1"/>
  <c r="AZ52" i="1"/>
  <c r="AY52" i="1"/>
  <c r="AX52" i="1"/>
  <c r="AW52" i="1"/>
  <c r="AU52" i="1"/>
  <c r="AT52" i="1"/>
  <c r="AS52" i="1"/>
  <c r="BJ51" i="1"/>
  <c r="BI51" i="1"/>
  <c r="BH51" i="1"/>
  <c r="BG51" i="1"/>
  <c r="BE51" i="1"/>
  <c r="BD51" i="1"/>
  <c r="BC51" i="1"/>
  <c r="BB51" i="1"/>
  <c r="AZ51" i="1"/>
  <c r="AY51" i="1"/>
  <c r="AX51" i="1"/>
  <c r="AW51" i="1"/>
  <c r="AU51" i="1"/>
  <c r="AT51" i="1"/>
  <c r="AS51" i="1"/>
  <c r="BJ50" i="1"/>
  <c r="BI50" i="1"/>
  <c r="BH50" i="1"/>
  <c r="BG50" i="1"/>
  <c r="BE50" i="1"/>
  <c r="BD50" i="1"/>
  <c r="BC50" i="1"/>
  <c r="BB50" i="1"/>
  <c r="AZ50" i="1"/>
  <c r="AY50" i="1"/>
  <c r="AX50" i="1"/>
  <c r="AW50" i="1"/>
  <c r="AU50" i="1"/>
  <c r="AT50" i="1"/>
  <c r="AS50" i="1"/>
  <c r="BJ49" i="1"/>
  <c r="BI49" i="1"/>
  <c r="BH49" i="1"/>
  <c r="BG49" i="1"/>
  <c r="BE49" i="1"/>
  <c r="BD49" i="1"/>
  <c r="BC49" i="1"/>
  <c r="BB49" i="1"/>
  <c r="AZ49" i="1"/>
  <c r="AY49" i="1"/>
  <c r="AX49" i="1"/>
  <c r="AW49" i="1"/>
  <c r="AU49" i="1"/>
  <c r="AT49" i="1"/>
  <c r="AS49" i="1"/>
  <c r="BJ48" i="1"/>
  <c r="BI48" i="1"/>
  <c r="BH48" i="1"/>
  <c r="BG48" i="1"/>
  <c r="BE48" i="1"/>
  <c r="BD48" i="1"/>
  <c r="BC48" i="1"/>
  <c r="BB48" i="1"/>
  <c r="AZ48" i="1"/>
  <c r="AY48" i="1"/>
  <c r="AX48" i="1"/>
  <c r="AW48" i="1"/>
  <c r="AU48" i="1"/>
  <c r="AT48" i="1"/>
  <c r="AS48" i="1"/>
  <c r="BJ47" i="1"/>
  <c r="BI47" i="1"/>
  <c r="BH47" i="1"/>
  <c r="BG47" i="1"/>
  <c r="BE47" i="1"/>
  <c r="BD47" i="1"/>
  <c r="BC47" i="1"/>
  <c r="BB47" i="1"/>
  <c r="AZ47" i="1"/>
  <c r="AY47" i="1"/>
  <c r="AX47" i="1"/>
  <c r="AW47" i="1"/>
  <c r="AU47" i="1"/>
  <c r="AT47" i="1"/>
  <c r="AS47" i="1"/>
  <c r="BJ46" i="1"/>
  <c r="BI46" i="1"/>
  <c r="BH46" i="1"/>
  <c r="BG46" i="1"/>
  <c r="BE46" i="1"/>
  <c r="BD46" i="1"/>
  <c r="BC46" i="1"/>
  <c r="BB46" i="1"/>
  <c r="AZ46" i="1"/>
  <c r="AY46" i="1"/>
  <c r="AX46" i="1"/>
  <c r="AW46" i="1"/>
  <c r="AU46" i="1"/>
  <c r="AT46" i="1"/>
  <c r="AS46" i="1"/>
  <c r="BJ45" i="1"/>
  <c r="BI45" i="1"/>
  <c r="BH45" i="1"/>
  <c r="BG45" i="1"/>
  <c r="BE45" i="1"/>
  <c r="BD45" i="1"/>
  <c r="BC45" i="1"/>
  <c r="BB45" i="1"/>
  <c r="AZ45" i="1"/>
  <c r="AY45" i="1"/>
  <c r="AX45" i="1"/>
  <c r="AW45" i="1"/>
  <c r="AU45" i="1"/>
  <c r="AT45" i="1"/>
  <c r="AS45" i="1"/>
  <c r="BJ44" i="1"/>
  <c r="BI44" i="1"/>
  <c r="BH44" i="1"/>
  <c r="BG44" i="1"/>
  <c r="BE44" i="1"/>
  <c r="BD44" i="1"/>
  <c r="BC44" i="1"/>
  <c r="BB44" i="1"/>
  <c r="AZ44" i="1"/>
  <c r="AY44" i="1"/>
  <c r="AX44" i="1"/>
  <c r="AW44" i="1"/>
  <c r="AU44" i="1"/>
  <c r="AT44" i="1"/>
  <c r="AS44" i="1"/>
  <c r="BJ43" i="1"/>
  <c r="BI43" i="1"/>
  <c r="BH43" i="1"/>
  <c r="BG43" i="1"/>
  <c r="BE43" i="1"/>
  <c r="BD43" i="1"/>
  <c r="BC43" i="1"/>
  <c r="BB43" i="1"/>
  <c r="AZ43" i="1"/>
  <c r="AY43" i="1"/>
  <c r="AX43" i="1"/>
  <c r="AW43" i="1"/>
  <c r="AU43" i="1"/>
  <c r="AT43" i="1"/>
  <c r="AS43" i="1"/>
  <c r="BJ42" i="1"/>
  <c r="BI42" i="1"/>
  <c r="BH42" i="1"/>
  <c r="BG42" i="1"/>
  <c r="BE42" i="1"/>
  <c r="BD42" i="1"/>
  <c r="BC42" i="1"/>
  <c r="BB42" i="1"/>
  <c r="AZ42" i="1"/>
  <c r="AY42" i="1"/>
  <c r="AX42" i="1"/>
  <c r="AW42" i="1"/>
  <c r="AU42" i="1"/>
  <c r="AT42" i="1"/>
  <c r="AS42" i="1"/>
  <c r="BJ41" i="1"/>
  <c r="BI41" i="1"/>
  <c r="BH41" i="1"/>
  <c r="BG41" i="1"/>
  <c r="BE41" i="1"/>
  <c r="BD41" i="1"/>
  <c r="BC41" i="1"/>
  <c r="BB41" i="1"/>
  <c r="AZ41" i="1"/>
  <c r="AY41" i="1"/>
  <c r="AX41" i="1"/>
  <c r="AW41" i="1"/>
  <c r="AU41" i="1"/>
  <c r="AT41" i="1"/>
  <c r="AS41" i="1"/>
  <c r="BJ40" i="1"/>
  <c r="BI40" i="1"/>
  <c r="BH40" i="1"/>
  <c r="BG40" i="1"/>
  <c r="BE40" i="1"/>
  <c r="BD40" i="1"/>
  <c r="BC40" i="1"/>
  <c r="BB40" i="1"/>
  <c r="AZ40" i="1"/>
  <c r="AY40" i="1"/>
  <c r="AX40" i="1"/>
  <c r="AW40" i="1"/>
  <c r="AU40" i="1"/>
  <c r="AT40" i="1"/>
  <c r="AS40" i="1"/>
  <c r="BJ39" i="1"/>
  <c r="BI39" i="1"/>
  <c r="BH39" i="1"/>
  <c r="BG39" i="1"/>
  <c r="BE39" i="1"/>
  <c r="BD39" i="1"/>
  <c r="BC39" i="1"/>
  <c r="BB39" i="1"/>
  <c r="AZ39" i="1"/>
  <c r="AY39" i="1"/>
  <c r="AX39" i="1"/>
  <c r="AW39" i="1"/>
  <c r="AU39" i="1"/>
  <c r="AT39" i="1"/>
  <c r="AS39" i="1"/>
  <c r="BJ38" i="1"/>
  <c r="BI38" i="1"/>
  <c r="BH38" i="1"/>
  <c r="BG38" i="1"/>
  <c r="BE38" i="1"/>
  <c r="BD38" i="1"/>
  <c r="BC38" i="1"/>
  <c r="BB38" i="1"/>
  <c r="AZ38" i="1"/>
  <c r="AY38" i="1"/>
  <c r="AX38" i="1"/>
  <c r="AW38" i="1"/>
  <c r="AU38" i="1"/>
  <c r="AT38" i="1"/>
  <c r="AS38" i="1"/>
  <c r="BJ37" i="1"/>
  <c r="BI37" i="1"/>
  <c r="BH37" i="1"/>
  <c r="BG37" i="1"/>
  <c r="BE37" i="1"/>
  <c r="BD37" i="1"/>
  <c r="BC37" i="1"/>
  <c r="BB37" i="1"/>
  <c r="AZ37" i="1"/>
  <c r="AY37" i="1"/>
  <c r="AX37" i="1"/>
  <c r="AW37" i="1"/>
  <c r="AU37" i="1"/>
  <c r="AT37" i="1"/>
  <c r="AS37" i="1"/>
  <c r="BJ36" i="1"/>
  <c r="BI36" i="1"/>
  <c r="BH36" i="1"/>
  <c r="BG36" i="1"/>
  <c r="BE36" i="1"/>
  <c r="BD36" i="1"/>
  <c r="BC36" i="1"/>
  <c r="BB36" i="1"/>
  <c r="AZ36" i="1"/>
  <c r="AY36" i="1"/>
  <c r="AX36" i="1"/>
  <c r="AW36" i="1"/>
  <c r="AU36" i="1"/>
  <c r="AT36" i="1"/>
  <c r="AS36" i="1"/>
  <c r="BJ35" i="1"/>
  <c r="BI35" i="1"/>
  <c r="BH35" i="1"/>
  <c r="BG35" i="1"/>
  <c r="BE35" i="1"/>
  <c r="BD35" i="1"/>
  <c r="BC35" i="1"/>
  <c r="BB35" i="1"/>
  <c r="AZ35" i="1"/>
  <c r="AY35" i="1"/>
  <c r="AX35" i="1"/>
  <c r="AW35" i="1"/>
  <c r="AU35" i="1"/>
  <c r="AT35" i="1"/>
  <c r="AS35" i="1"/>
  <c r="BJ34" i="1"/>
  <c r="BI34" i="1"/>
  <c r="BH34" i="1"/>
  <c r="BG34" i="1"/>
  <c r="BE34" i="1"/>
  <c r="BD34" i="1"/>
  <c r="BC34" i="1"/>
  <c r="BB34" i="1"/>
  <c r="AZ34" i="1"/>
  <c r="AY34" i="1"/>
  <c r="AX34" i="1"/>
  <c r="AW34" i="1"/>
  <c r="AU34" i="1"/>
  <c r="AT34" i="1"/>
  <c r="AS34" i="1"/>
  <c r="BJ33" i="1"/>
  <c r="BI33" i="1"/>
  <c r="BH33" i="1"/>
  <c r="BG33" i="1"/>
  <c r="BE33" i="1"/>
  <c r="BD33" i="1"/>
  <c r="BC33" i="1"/>
  <c r="BB33" i="1"/>
  <c r="AZ33" i="1"/>
  <c r="AY33" i="1"/>
  <c r="AX33" i="1"/>
  <c r="AW33" i="1"/>
  <c r="AU33" i="1"/>
  <c r="AT33" i="1"/>
  <c r="AS33" i="1"/>
  <c r="BJ32" i="1"/>
  <c r="BI32" i="1"/>
  <c r="BH32" i="1"/>
  <c r="BG32" i="1"/>
  <c r="BE32" i="1"/>
  <c r="BD32" i="1"/>
  <c r="BC32" i="1"/>
  <c r="BB32" i="1"/>
  <c r="AZ32" i="1"/>
  <c r="AY32" i="1"/>
  <c r="AX32" i="1"/>
  <c r="AW32" i="1"/>
  <c r="AU32" i="1"/>
  <c r="AT32" i="1"/>
  <c r="AS32" i="1"/>
  <c r="BJ31" i="1"/>
  <c r="BI31" i="1"/>
  <c r="BH31" i="1"/>
  <c r="BG31" i="1"/>
  <c r="BE31" i="1"/>
  <c r="BD31" i="1"/>
  <c r="BC31" i="1"/>
  <c r="BB31" i="1"/>
  <c r="AZ31" i="1"/>
  <c r="AY31" i="1"/>
  <c r="AX31" i="1"/>
  <c r="AW31" i="1"/>
  <c r="AU31" i="1"/>
  <c r="AT31" i="1"/>
  <c r="AS31" i="1"/>
  <c r="BJ30" i="1"/>
  <c r="BI30" i="1"/>
  <c r="BH30" i="1"/>
  <c r="BG30" i="1"/>
  <c r="BE30" i="1"/>
  <c r="BD30" i="1"/>
  <c r="BC30" i="1"/>
  <c r="BB30" i="1"/>
  <c r="AZ30" i="1"/>
  <c r="AY30" i="1"/>
  <c r="AX30" i="1"/>
  <c r="AW30" i="1"/>
  <c r="AU30" i="1"/>
  <c r="AT30" i="1"/>
  <c r="AS30" i="1"/>
  <c r="BJ29" i="1"/>
  <c r="BI29" i="1"/>
  <c r="BH29" i="1"/>
  <c r="BG29" i="1"/>
  <c r="BE29" i="1"/>
  <c r="BD29" i="1"/>
  <c r="BC29" i="1"/>
  <c r="BB29" i="1"/>
  <c r="AZ29" i="1"/>
  <c r="AY29" i="1"/>
  <c r="AX29" i="1"/>
  <c r="AW29" i="1"/>
  <c r="AU29" i="1"/>
  <c r="AT29" i="1"/>
  <c r="AS29" i="1"/>
  <c r="BJ28" i="1"/>
  <c r="BI28" i="1"/>
  <c r="BH28" i="1"/>
  <c r="BG28" i="1"/>
  <c r="BE28" i="1"/>
  <c r="BD28" i="1"/>
  <c r="BC28" i="1"/>
  <c r="BB28" i="1"/>
  <c r="AZ28" i="1"/>
  <c r="AY28" i="1"/>
  <c r="AX28" i="1"/>
  <c r="AW28" i="1"/>
  <c r="AU28" i="1"/>
  <c r="AT28" i="1"/>
  <c r="AS28" i="1"/>
  <c r="BJ27" i="1"/>
  <c r="BI27" i="1"/>
  <c r="BH27" i="1"/>
  <c r="BG27" i="1"/>
  <c r="BE27" i="1"/>
  <c r="BD27" i="1"/>
  <c r="BC27" i="1"/>
  <c r="BB27" i="1"/>
  <c r="AZ27" i="1"/>
  <c r="AY27" i="1"/>
  <c r="AX27" i="1"/>
  <c r="AW27" i="1"/>
  <c r="AU27" i="1"/>
  <c r="AT27" i="1"/>
  <c r="AS27" i="1"/>
  <c r="BJ26" i="1"/>
  <c r="BI26" i="1"/>
  <c r="BH26" i="1"/>
  <c r="BG26" i="1"/>
  <c r="BE26" i="1"/>
  <c r="BD26" i="1"/>
  <c r="BC26" i="1"/>
  <c r="BB26" i="1"/>
  <c r="AZ26" i="1"/>
  <c r="AY26" i="1"/>
  <c r="AX26" i="1"/>
  <c r="AW26" i="1"/>
  <c r="AU26" i="1"/>
  <c r="AT26" i="1"/>
  <c r="AS26" i="1"/>
  <c r="BJ25" i="1"/>
  <c r="BI25" i="1"/>
  <c r="BH25" i="1"/>
  <c r="BG25" i="1"/>
  <c r="BE25" i="1"/>
  <c r="BD25" i="1"/>
  <c r="BC25" i="1"/>
  <c r="BB25" i="1"/>
  <c r="AZ25" i="1"/>
  <c r="AY25" i="1"/>
  <c r="AX25" i="1"/>
  <c r="AW25" i="1"/>
  <c r="AU25" i="1"/>
  <c r="AT25" i="1"/>
  <c r="AS25" i="1"/>
  <c r="BJ24" i="1"/>
  <c r="BI24" i="1"/>
  <c r="BH24" i="1"/>
  <c r="BG24" i="1"/>
  <c r="BE24" i="1"/>
  <c r="BD24" i="1"/>
  <c r="BC24" i="1"/>
  <c r="BB24" i="1"/>
  <c r="AZ24" i="1"/>
  <c r="AY24" i="1"/>
  <c r="AX24" i="1"/>
  <c r="AW24" i="1"/>
  <c r="AU24" i="1"/>
  <c r="AT24" i="1"/>
  <c r="AS24" i="1"/>
  <c r="BJ23" i="1"/>
  <c r="BI23" i="1"/>
  <c r="BH23" i="1"/>
  <c r="BG23" i="1"/>
  <c r="BE23" i="1"/>
  <c r="BD23" i="1"/>
  <c r="BC23" i="1"/>
  <c r="BB23" i="1"/>
  <c r="AZ23" i="1"/>
  <c r="AY23" i="1"/>
  <c r="AX23" i="1"/>
  <c r="AW23" i="1"/>
  <c r="AU23" i="1"/>
  <c r="AT23" i="1"/>
  <c r="AS23" i="1"/>
  <c r="BJ22" i="1"/>
  <c r="BI22" i="1"/>
  <c r="BH22" i="1"/>
  <c r="BG22" i="1"/>
  <c r="BE22" i="1"/>
  <c r="BD22" i="1"/>
  <c r="BC22" i="1"/>
  <c r="BB22" i="1"/>
  <c r="AZ22" i="1"/>
  <c r="AY22" i="1"/>
  <c r="AX22" i="1"/>
  <c r="AW22" i="1"/>
  <c r="AU22" i="1"/>
  <c r="AT22" i="1"/>
  <c r="AS22" i="1"/>
  <c r="BJ21" i="1"/>
  <c r="BI21" i="1"/>
  <c r="BH21" i="1"/>
  <c r="BG21" i="1"/>
  <c r="BE21" i="1"/>
  <c r="BD21" i="1"/>
  <c r="BC21" i="1"/>
  <c r="BB21" i="1"/>
  <c r="AZ21" i="1"/>
  <c r="AY21" i="1"/>
  <c r="AX21" i="1"/>
  <c r="AW21" i="1"/>
  <c r="AU21" i="1"/>
  <c r="AT21" i="1"/>
  <c r="AS21" i="1"/>
  <c r="BJ20" i="1"/>
  <c r="BI20" i="1"/>
  <c r="BH20" i="1"/>
  <c r="BG20" i="1"/>
  <c r="BE20" i="1"/>
  <c r="BD20" i="1"/>
  <c r="BC20" i="1"/>
  <c r="BB20" i="1"/>
  <c r="AZ20" i="1"/>
  <c r="AY20" i="1"/>
  <c r="AX20" i="1"/>
  <c r="AW20" i="1"/>
  <c r="AU20" i="1"/>
  <c r="AT20" i="1"/>
  <c r="AS20" i="1"/>
  <c r="BJ19" i="1"/>
  <c r="BI19" i="1"/>
  <c r="BH19" i="1"/>
  <c r="BG19" i="1"/>
  <c r="BE19" i="1"/>
  <c r="BD19" i="1"/>
  <c r="BC19" i="1"/>
  <c r="BB19" i="1"/>
  <c r="AZ19" i="1"/>
  <c r="AY19" i="1"/>
  <c r="AX19" i="1"/>
  <c r="AW19" i="1"/>
  <c r="AU19" i="1"/>
  <c r="AT19" i="1"/>
  <c r="AS19" i="1"/>
  <c r="BJ18" i="1"/>
  <c r="BI18" i="1"/>
  <c r="BH18" i="1"/>
  <c r="BG18" i="1"/>
  <c r="BE18" i="1"/>
  <c r="BD18" i="1"/>
  <c r="BC18" i="1"/>
  <c r="BB18" i="1"/>
  <c r="AZ18" i="1"/>
  <c r="AY18" i="1"/>
  <c r="AX18" i="1"/>
  <c r="AW18" i="1"/>
  <c r="AU18" i="1"/>
  <c r="AT18" i="1"/>
  <c r="AS18" i="1"/>
  <c r="BJ17" i="1"/>
  <c r="BI17" i="1"/>
  <c r="BH17" i="1"/>
  <c r="BG17" i="1"/>
  <c r="BE17" i="1"/>
  <c r="BD17" i="1"/>
  <c r="BC17" i="1"/>
  <c r="BB17" i="1"/>
  <c r="AZ17" i="1"/>
  <c r="AY17" i="1"/>
  <c r="AX17" i="1"/>
  <c r="AW17" i="1"/>
  <c r="AU17" i="1"/>
  <c r="AT17" i="1"/>
  <c r="AS17" i="1"/>
  <c r="BJ16" i="1"/>
  <c r="BI16" i="1"/>
  <c r="BH16" i="1"/>
  <c r="BG16" i="1"/>
  <c r="BE16" i="1"/>
  <c r="BD16" i="1"/>
  <c r="BC16" i="1"/>
  <c r="BB16" i="1"/>
  <c r="AZ16" i="1"/>
  <c r="AY16" i="1"/>
  <c r="AX16" i="1"/>
  <c r="AW16" i="1"/>
  <c r="AU16" i="1"/>
  <c r="AT16" i="1"/>
  <c r="AS16" i="1"/>
  <c r="BJ15" i="1"/>
  <c r="BI15" i="1"/>
  <c r="BH15" i="1"/>
  <c r="BG15" i="1"/>
  <c r="BE15" i="1"/>
  <c r="BD15" i="1"/>
  <c r="BC15" i="1"/>
  <c r="BB15" i="1"/>
  <c r="AZ15" i="1"/>
  <c r="AY15" i="1"/>
  <c r="AX15" i="1"/>
  <c r="AW15" i="1"/>
  <c r="AU15" i="1"/>
  <c r="AT15" i="1"/>
  <c r="AS15" i="1"/>
  <c r="BJ14" i="1"/>
  <c r="BI14" i="1"/>
  <c r="BH14" i="1"/>
  <c r="BG14" i="1"/>
  <c r="BE14" i="1"/>
  <c r="BD14" i="1"/>
  <c r="BC14" i="1"/>
  <c r="BB14" i="1"/>
  <c r="AZ14" i="1"/>
  <c r="AY14" i="1"/>
  <c r="AX14" i="1"/>
  <c r="AW14" i="1"/>
  <c r="AU14" i="1"/>
  <c r="AT14" i="1"/>
  <c r="AS14" i="1"/>
  <c r="BJ13" i="1"/>
  <c r="BI13" i="1"/>
  <c r="BH13" i="1"/>
  <c r="BG13" i="1"/>
  <c r="BE13" i="1"/>
  <c r="BD13" i="1"/>
  <c r="BC13" i="1"/>
  <c r="BB13" i="1"/>
  <c r="AZ13" i="1"/>
  <c r="AY13" i="1"/>
  <c r="AX13" i="1"/>
  <c r="AW13" i="1"/>
  <c r="AU13" i="1"/>
  <c r="AT13" i="1"/>
  <c r="AS13" i="1"/>
  <c r="BJ12" i="1"/>
  <c r="BI12" i="1"/>
  <c r="BH12" i="1"/>
  <c r="BG12" i="1"/>
  <c r="BE12" i="1"/>
  <c r="BD12" i="1"/>
  <c r="BC12" i="1"/>
  <c r="BB12" i="1"/>
  <c r="AZ12" i="1"/>
  <c r="AY12" i="1"/>
  <c r="AX12" i="1"/>
  <c r="AW12" i="1"/>
  <c r="AU12" i="1"/>
  <c r="AT12" i="1"/>
  <c r="AS12" i="1"/>
  <c r="BJ11" i="1"/>
  <c r="BI11" i="1"/>
  <c r="BH11" i="1"/>
  <c r="BG11" i="1"/>
  <c r="BE11" i="1"/>
  <c r="BD11" i="1"/>
  <c r="BC11" i="1"/>
  <c r="BB11" i="1"/>
  <c r="AZ11" i="1"/>
  <c r="AY11" i="1"/>
  <c r="AX11" i="1"/>
  <c r="AW11" i="1"/>
  <c r="AU11" i="1"/>
  <c r="AT11" i="1"/>
  <c r="AS11" i="1"/>
  <c r="BJ10" i="1"/>
  <c r="BI10" i="1"/>
  <c r="BH10" i="1"/>
  <c r="BG10" i="1"/>
  <c r="BE10" i="1"/>
  <c r="BD10" i="1"/>
  <c r="BC10" i="1"/>
  <c r="BB10" i="1"/>
  <c r="AZ10" i="1"/>
  <c r="AY10" i="1"/>
  <c r="AX10" i="1"/>
  <c r="AW10" i="1"/>
  <c r="AU10" i="1"/>
  <c r="AT10" i="1"/>
  <c r="AS10" i="1"/>
  <c r="BJ9" i="1"/>
  <c r="BI9" i="1"/>
  <c r="BH9" i="1"/>
  <c r="BG9" i="1"/>
  <c r="BE9" i="1"/>
  <c r="BD9" i="1"/>
  <c r="BC9" i="1"/>
  <c r="BB9" i="1"/>
  <c r="AZ9" i="1"/>
  <c r="AY9" i="1"/>
  <c r="AX9" i="1"/>
  <c r="AW9" i="1"/>
  <c r="AU9" i="1"/>
  <c r="AT9" i="1"/>
  <c r="AS9" i="1"/>
  <c r="BJ8" i="1"/>
  <c r="BI8" i="1"/>
  <c r="BH8" i="1"/>
  <c r="BG8" i="1"/>
  <c r="BE8" i="1"/>
  <c r="BD8" i="1"/>
  <c r="BC8" i="1"/>
  <c r="BB8" i="1"/>
  <c r="AZ8" i="1"/>
  <c r="AY8" i="1"/>
  <c r="AX8" i="1"/>
  <c r="AW8" i="1"/>
  <c r="AU8" i="1"/>
  <c r="AT8" i="1"/>
  <c r="AS8" i="1"/>
  <c r="BJ7" i="1"/>
  <c r="BI7" i="1"/>
  <c r="BH7" i="1"/>
  <c r="BG7" i="1"/>
  <c r="BE7" i="1"/>
  <c r="BD7" i="1"/>
  <c r="BC7" i="1"/>
  <c r="BB7" i="1"/>
  <c r="AZ7" i="1"/>
  <c r="AY7" i="1"/>
  <c r="AX7" i="1"/>
  <c r="AW7" i="1"/>
  <c r="AU7" i="1"/>
  <c r="AT7" i="1"/>
  <c r="AS7" i="1"/>
  <c r="BJ6" i="1"/>
  <c r="BI6" i="1"/>
  <c r="BH6" i="1"/>
  <c r="BG6" i="1"/>
  <c r="BE6" i="1"/>
  <c r="BD6" i="1"/>
  <c r="BC6" i="1"/>
  <c r="BB6" i="1"/>
  <c r="AZ6" i="1"/>
  <c r="AY6" i="1"/>
  <c r="AX6" i="1"/>
  <c r="AW6" i="1"/>
  <c r="AU6" i="1"/>
  <c r="AT6" i="1"/>
  <c r="AS6" i="1"/>
  <c r="B6" i="1" l="1"/>
  <c r="AI68" i="1" l="1"/>
  <c r="BK68" i="1" s="1"/>
  <c r="AI67" i="1"/>
  <c r="BK67" i="1" s="1"/>
  <c r="AI66" i="1"/>
  <c r="BK66" i="1" s="1"/>
  <c r="AI65" i="1"/>
  <c r="BK65" i="1" s="1"/>
  <c r="AI64" i="1"/>
  <c r="BK64" i="1" s="1"/>
  <c r="AI63" i="1"/>
  <c r="BK63" i="1" s="1"/>
  <c r="AI62" i="1"/>
  <c r="BK62" i="1" s="1"/>
  <c r="AI61" i="1"/>
  <c r="BK61" i="1" s="1"/>
  <c r="AI60" i="1"/>
  <c r="BK60" i="1" s="1"/>
  <c r="AI59" i="1"/>
  <c r="BK59" i="1" s="1"/>
  <c r="AI58" i="1"/>
  <c r="BK58" i="1" s="1"/>
  <c r="AI57" i="1"/>
  <c r="BK57" i="1" s="1"/>
  <c r="AI56" i="1"/>
  <c r="BK56" i="1" s="1"/>
  <c r="AI55" i="1"/>
  <c r="BK55" i="1" s="1"/>
  <c r="AI54" i="1"/>
  <c r="BK54" i="1" s="1"/>
  <c r="AI53" i="1"/>
  <c r="BK53" i="1" s="1"/>
  <c r="AI52" i="1"/>
  <c r="BK52" i="1" s="1"/>
  <c r="AJ117" i="1" l="1"/>
  <c r="AJ115" i="1"/>
  <c r="AJ113" i="1"/>
  <c r="AJ111" i="1"/>
  <c r="AJ109" i="1"/>
  <c r="AJ107" i="1"/>
  <c r="AK107" i="1" s="1"/>
  <c r="BL107" i="1" s="1"/>
  <c r="AJ105" i="1"/>
  <c r="AK105" i="1" s="1"/>
  <c r="BL105" i="1" s="1"/>
  <c r="AJ103" i="1"/>
  <c r="AK103" i="1" s="1"/>
  <c r="BL103" i="1" s="1"/>
  <c r="AJ101" i="1"/>
  <c r="AK101" i="1" s="1"/>
  <c r="BL101" i="1" s="1"/>
  <c r="AI51" i="1"/>
  <c r="BK51" i="1" s="1"/>
  <c r="AI50" i="1"/>
  <c r="BK50" i="1" s="1"/>
  <c r="AI49" i="1"/>
  <c r="BK49" i="1" s="1"/>
  <c r="AI48" i="1"/>
  <c r="BK48" i="1" s="1"/>
  <c r="AI47" i="1"/>
  <c r="BK47" i="1" s="1"/>
  <c r="AI46" i="1"/>
  <c r="BK46" i="1" s="1"/>
  <c r="AI45" i="1"/>
  <c r="BK45" i="1" s="1"/>
  <c r="AI44" i="1"/>
  <c r="BK44" i="1" s="1"/>
  <c r="AI43" i="1"/>
  <c r="BK43" i="1" s="1"/>
  <c r="AI42" i="1"/>
  <c r="BK42" i="1" s="1"/>
  <c r="AI41" i="1"/>
  <c r="BK41" i="1" s="1"/>
  <c r="AI40" i="1"/>
  <c r="BK40" i="1" s="1"/>
  <c r="AI39" i="1"/>
  <c r="BK39" i="1" s="1"/>
  <c r="AJ102" i="1" l="1"/>
  <c r="AK102" i="1" s="1"/>
  <c r="BL102" i="1" s="1"/>
  <c r="AJ104" i="1"/>
  <c r="AK104" i="1" s="1"/>
  <c r="BL104" i="1" s="1"/>
  <c r="AJ106" i="1"/>
  <c r="AK106" i="1" s="1"/>
  <c r="BL106" i="1" s="1"/>
  <c r="AJ108" i="1"/>
  <c r="AK108" i="1" s="1"/>
  <c r="BL108" i="1" s="1"/>
  <c r="AJ110" i="1"/>
  <c r="AJ112" i="1"/>
  <c r="AJ114" i="1"/>
  <c r="AJ116" i="1"/>
  <c r="AI376" i="1" l="1"/>
  <c r="AI38" i="1"/>
  <c r="BK38" i="1" s="1"/>
  <c r="AI37" i="1"/>
  <c r="BK37" i="1" s="1"/>
  <c r="AI36" i="1"/>
  <c r="AI35" i="1"/>
  <c r="BK35" i="1" s="1"/>
  <c r="AI34" i="1"/>
  <c r="BK34" i="1" s="1"/>
  <c r="AI33" i="1"/>
  <c r="BK33" i="1" s="1"/>
  <c r="AI32" i="1"/>
  <c r="BK32" i="1" s="1"/>
  <c r="AI31" i="1"/>
  <c r="BK31" i="1" s="1"/>
  <c r="AI30" i="1"/>
  <c r="BK30" i="1" s="1"/>
  <c r="AI29" i="1"/>
  <c r="BK29" i="1" s="1"/>
  <c r="AI28" i="1"/>
  <c r="BK28" i="1" s="1"/>
  <c r="AI27" i="1"/>
  <c r="BK27" i="1" s="1"/>
  <c r="AI26" i="1"/>
  <c r="BK26" i="1" s="1"/>
  <c r="AI25" i="1"/>
  <c r="BK25" i="1" s="1"/>
  <c r="AI24" i="1"/>
  <c r="BK24" i="1" s="1"/>
  <c r="AI22" i="1"/>
  <c r="BK22" i="1" s="1"/>
  <c r="AI21" i="1"/>
  <c r="BK21" i="1" s="1"/>
  <c r="AI20" i="1"/>
  <c r="BK20" i="1" s="1"/>
  <c r="AI19" i="1"/>
  <c r="BK19" i="1" s="1"/>
  <c r="AI18" i="1"/>
  <c r="BK18" i="1" s="1"/>
  <c r="AI17" i="1"/>
  <c r="BK17" i="1" s="1"/>
  <c r="AI16" i="1"/>
  <c r="BK16" i="1" s="1"/>
  <c r="AI15" i="1"/>
  <c r="BK15" i="1" s="1"/>
  <c r="AI14" i="1"/>
  <c r="BK14" i="1" s="1"/>
  <c r="AI13" i="1"/>
  <c r="BK13" i="1" s="1"/>
  <c r="AI12" i="1"/>
  <c r="BK12" i="1" s="1"/>
  <c r="AI11" i="1"/>
  <c r="BK11" i="1" s="1"/>
  <c r="AI10" i="1"/>
  <c r="BK10" i="1" s="1"/>
  <c r="AI9" i="1"/>
  <c r="BK9" i="1" s="1"/>
  <c r="AI8" i="1"/>
  <c r="BK8" i="1" s="1"/>
  <c r="AI7" i="1"/>
  <c r="BK7" i="1" s="1"/>
  <c r="AI6" i="1"/>
  <c r="BK6" i="1" s="1"/>
  <c r="AK401" i="1"/>
  <c r="AN401" i="1"/>
  <c r="AI401" i="1"/>
  <c r="AB401" i="1"/>
  <c r="Z401" i="1"/>
  <c r="Y401" i="1"/>
  <c r="V401" i="1"/>
  <c r="T401" i="1"/>
  <c r="O401" i="1"/>
  <c r="N401" i="1"/>
  <c r="M401" i="1"/>
  <c r="L401" i="1"/>
  <c r="K401" i="1"/>
  <c r="J401" i="1"/>
  <c r="AK400" i="1"/>
  <c r="AN400" i="1"/>
  <c r="AI400" i="1"/>
  <c r="AB400" i="1"/>
  <c r="Z400" i="1"/>
  <c r="Y400" i="1"/>
  <c r="V400" i="1"/>
  <c r="T400" i="1"/>
  <c r="O400" i="1"/>
  <c r="N400" i="1"/>
  <c r="M400" i="1"/>
  <c r="L400" i="1"/>
  <c r="K400" i="1"/>
  <c r="J400" i="1"/>
  <c r="AN399" i="1"/>
  <c r="AI399" i="1"/>
  <c r="AB399" i="1"/>
  <c r="Z399" i="1"/>
  <c r="Y399" i="1"/>
  <c r="V399" i="1"/>
  <c r="T399" i="1"/>
  <c r="O399" i="1"/>
  <c r="N399" i="1"/>
  <c r="M399" i="1"/>
  <c r="L399" i="1"/>
  <c r="K399" i="1"/>
  <c r="J399" i="1"/>
  <c r="AN398" i="1"/>
  <c r="AI398" i="1"/>
  <c r="AB398" i="1"/>
  <c r="Z398" i="1"/>
  <c r="Y398" i="1"/>
  <c r="V398" i="1"/>
  <c r="T398" i="1"/>
  <c r="O398" i="1"/>
  <c r="N398" i="1"/>
  <c r="M398" i="1"/>
  <c r="L398" i="1"/>
  <c r="K398" i="1"/>
  <c r="J398" i="1"/>
  <c r="AN397" i="1"/>
  <c r="AI397" i="1"/>
  <c r="AB397" i="1"/>
  <c r="Z397" i="1"/>
  <c r="Y397" i="1"/>
  <c r="V397" i="1"/>
  <c r="T397" i="1"/>
  <c r="O397" i="1"/>
  <c r="N397" i="1"/>
  <c r="M397" i="1"/>
  <c r="L397" i="1"/>
  <c r="K397" i="1"/>
  <c r="J397" i="1"/>
  <c r="AN396" i="1"/>
  <c r="AI396" i="1"/>
  <c r="AB396" i="1"/>
  <c r="Z396" i="1"/>
  <c r="Y396" i="1"/>
  <c r="V396" i="1"/>
  <c r="T396" i="1"/>
  <c r="O396" i="1"/>
  <c r="N396" i="1"/>
  <c r="M396" i="1"/>
  <c r="L396" i="1"/>
  <c r="K396" i="1"/>
  <c r="J396" i="1"/>
  <c r="AN395" i="1"/>
  <c r="AI395" i="1"/>
  <c r="AB395" i="1"/>
  <c r="Z395" i="1"/>
  <c r="Y395" i="1"/>
  <c r="V395" i="1"/>
  <c r="T395" i="1"/>
  <c r="O395" i="1"/>
  <c r="N395" i="1"/>
  <c r="M395" i="1"/>
  <c r="L395" i="1"/>
  <c r="K395" i="1"/>
  <c r="J395" i="1"/>
  <c r="AN394" i="1"/>
  <c r="AI394" i="1"/>
  <c r="AB394" i="1"/>
  <c r="Z394" i="1"/>
  <c r="Y394" i="1"/>
  <c r="V394" i="1"/>
  <c r="T394" i="1"/>
  <c r="O394" i="1"/>
  <c r="N394" i="1"/>
  <c r="M394" i="1"/>
  <c r="L394" i="1"/>
  <c r="K394" i="1"/>
  <c r="J394" i="1"/>
  <c r="AN393" i="1"/>
  <c r="AI393" i="1"/>
  <c r="AB393" i="1"/>
  <c r="Z393" i="1"/>
  <c r="Y393" i="1"/>
  <c r="V393" i="1"/>
  <c r="T393" i="1"/>
  <c r="O393" i="1"/>
  <c r="N393" i="1"/>
  <c r="M393" i="1"/>
  <c r="L393" i="1"/>
  <c r="K393" i="1"/>
  <c r="J393" i="1"/>
  <c r="AN392" i="1"/>
  <c r="AB392" i="1"/>
  <c r="Z392" i="1"/>
  <c r="Y392" i="1"/>
  <c r="V392" i="1"/>
  <c r="T392" i="1"/>
  <c r="O392" i="1"/>
  <c r="N392" i="1"/>
  <c r="M392" i="1"/>
  <c r="L392" i="1"/>
  <c r="K392" i="1"/>
  <c r="J392" i="1"/>
  <c r="AN391" i="1"/>
  <c r="AB391" i="1"/>
  <c r="Z391" i="1"/>
  <c r="Y391" i="1"/>
  <c r="V391" i="1"/>
  <c r="T391" i="1"/>
  <c r="O391" i="1"/>
  <c r="N391" i="1"/>
  <c r="M391" i="1"/>
  <c r="L391" i="1"/>
  <c r="K391" i="1"/>
  <c r="J391" i="1"/>
  <c r="AN390" i="1"/>
  <c r="AB390" i="1"/>
  <c r="Z390" i="1"/>
  <c r="Y390" i="1"/>
  <c r="V390" i="1"/>
  <c r="T390" i="1"/>
  <c r="O390" i="1"/>
  <c r="N390" i="1"/>
  <c r="M390" i="1"/>
  <c r="L390" i="1"/>
  <c r="K390" i="1"/>
  <c r="J390" i="1"/>
  <c r="AK386" i="1"/>
  <c r="AN386" i="1"/>
  <c r="AI386" i="1"/>
  <c r="AB386" i="1"/>
  <c r="AA386" i="1"/>
  <c r="Z386" i="1"/>
  <c r="Y386" i="1"/>
  <c r="W386" i="1"/>
  <c r="V386" i="1"/>
  <c r="U386" i="1"/>
  <c r="T386" i="1"/>
  <c r="P386" i="1"/>
  <c r="O386" i="1"/>
  <c r="N386" i="1"/>
  <c r="M386" i="1"/>
  <c r="L386" i="1"/>
  <c r="K386" i="1"/>
  <c r="J386" i="1"/>
  <c r="AK385" i="1"/>
  <c r="AN385" i="1"/>
  <c r="AI385" i="1"/>
  <c r="AB385" i="1"/>
  <c r="AA385" i="1"/>
  <c r="Z385" i="1"/>
  <c r="Y385" i="1"/>
  <c r="W385" i="1"/>
  <c r="V385" i="1"/>
  <c r="U385" i="1"/>
  <c r="T385" i="1"/>
  <c r="P385" i="1"/>
  <c r="O385" i="1"/>
  <c r="N385" i="1"/>
  <c r="M385" i="1"/>
  <c r="L385" i="1"/>
  <c r="K385" i="1"/>
  <c r="J385" i="1"/>
  <c r="AN384" i="1"/>
  <c r="AI384" i="1"/>
  <c r="AB384" i="1"/>
  <c r="AA384" i="1"/>
  <c r="Z384" i="1"/>
  <c r="Y384" i="1"/>
  <c r="W384" i="1"/>
  <c r="V384" i="1"/>
  <c r="U384" i="1"/>
  <c r="T384" i="1"/>
  <c r="P384" i="1"/>
  <c r="O384" i="1"/>
  <c r="N384" i="1"/>
  <c r="M384" i="1"/>
  <c r="L384" i="1"/>
  <c r="K384" i="1"/>
  <c r="J384" i="1"/>
  <c r="AN383" i="1"/>
  <c r="AI383" i="1"/>
  <c r="AB383" i="1"/>
  <c r="AA383" i="1"/>
  <c r="Z383" i="1"/>
  <c r="Y383" i="1"/>
  <c r="W383" i="1"/>
  <c r="V383" i="1"/>
  <c r="U383" i="1"/>
  <c r="T383" i="1"/>
  <c r="P383" i="1"/>
  <c r="O383" i="1"/>
  <c r="N383" i="1"/>
  <c r="M383" i="1"/>
  <c r="L383" i="1"/>
  <c r="K383" i="1"/>
  <c r="J383" i="1"/>
  <c r="AN382" i="1"/>
  <c r="AI382" i="1"/>
  <c r="AB382" i="1"/>
  <c r="AA382" i="1"/>
  <c r="Z382" i="1"/>
  <c r="Y382" i="1"/>
  <c r="W382" i="1"/>
  <c r="V382" i="1"/>
  <c r="U382" i="1"/>
  <c r="T382" i="1"/>
  <c r="P382" i="1"/>
  <c r="O382" i="1"/>
  <c r="N382" i="1"/>
  <c r="M382" i="1"/>
  <c r="L382" i="1"/>
  <c r="K382" i="1"/>
  <c r="J382" i="1"/>
  <c r="AN381" i="1"/>
  <c r="AI381" i="1"/>
  <c r="AB381" i="1"/>
  <c r="AA381" i="1"/>
  <c r="Z381" i="1"/>
  <c r="Y381" i="1"/>
  <c r="W381" i="1"/>
  <c r="V381" i="1"/>
  <c r="U381" i="1"/>
  <c r="T381" i="1"/>
  <c r="P381" i="1"/>
  <c r="O381" i="1"/>
  <c r="N381" i="1"/>
  <c r="M381" i="1"/>
  <c r="L381" i="1"/>
  <c r="K381" i="1"/>
  <c r="J381" i="1"/>
  <c r="AN380" i="1"/>
  <c r="AI380" i="1"/>
  <c r="AB380" i="1"/>
  <c r="AA380" i="1"/>
  <c r="Z380" i="1"/>
  <c r="Y380" i="1"/>
  <c r="W380" i="1"/>
  <c r="V380" i="1"/>
  <c r="U380" i="1"/>
  <c r="T380" i="1"/>
  <c r="P380" i="1"/>
  <c r="O380" i="1"/>
  <c r="N380" i="1"/>
  <c r="M380" i="1"/>
  <c r="L380" i="1"/>
  <c r="K380" i="1"/>
  <c r="J380" i="1"/>
  <c r="AN379" i="1"/>
  <c r="AI379" i="1"/>
  <c r="AB379" i="1"/>
  <c r="AA379" i="1"/>
  <c r="Z379" i="1"/>
  <c r="Y379" i="1"/>
  <c r="W379" i="1"/>
  <c r="V379" i="1"/>
  <c r="U379" i="1"/>
  <c r="T379" i="1"/>
  <c r="P379" i="1"/>
  <c r="O379" i="1"/>
  <c r="N379" i="1"/>
  <c r="M379" i="1"/>
  <c r="L379" i="1"/>
  <c r="K379" i="1"/>
  <c r="J379" i="1"/>
  <c r="AN378" i="1"/>
  <c r="AI378" i="1"/>
  <c r="AB378" i="1"/>
  <c r="AA378" i="1"/>
  <c r="Z378" i="1"/>
  <c r="Y378" i="1"/>
  <c r="W378" i="1"/>
  <c r="V378" i="1"/>
  <c r="U378" i="1"/>
  <c r="T378" i="1"/>
  <c r="P378" i="1"/>
  <c r="O378" i="1"/>
  <c r="N378" i="1"/>
  <c r="M378" i="1"/>
  <c r="L378" i="1"/>
  <c r="K378" i="1"/>
  <c r="J378" i="1"/>
  <c r="AN377" i="1"/>
  <c r="AI377" i="1"/>
  <c r="AB377" i="1"/>
  <c r="AA377" i="1"/>
  <c r="Z377" i="1"/>
  <c r="Y377" i="1"/>
  <c r="W377" i="1"/>
  <c r="V377" i="1"/>
  <c r="U377" i="1"/>
  <c r="T377" i="1"/>
  <c r="P377" i="1"/>
  <c r="O377" i="1"/>
  <c r="N377" i="1"/>
  <c r="M377" i="1"/>
  <c r="L377" i="1"/>
  <c r="K377" i="1"/>
  <c r="J377" i="1"/>
  <c r="AN376" i="1"/>
  <c r="AB376" i="1"/>
  <c r="AA376" i="1"/>
  <c r="Z376" i="1"/>
  <c r="Y376" i="1"/>
  <c r="W376" i="1"/>
  <c r="V376" i="1"/>
  <c r="U376" i="1"/>
  <c r="T376" i="1"/>
  <c r="P376" i="1"/>
  <c r="O376" i="1"/>
  <c r="N376" i="1"/>
  <c r="M376" i="1"/>
  <c r="L376" i="1"/>
  <c r="K376" i="1"/>
  <c r="J376" i="1"/>
  <c r="AN375" i="1"/>
  <c r="AB375" i="1"/>
  <c r="AA375" i="1"/>
  <c r="Z375" i="1"/>
  <c r="Y375" i="1"/>
  <c r="W375" i="1"/>
  <c r="V375" i="1"/>
  <c r="U375" i="1"/>
  <c r="T375" i="1"/>
  <c r="P375" i="1"/>
  <c r="O375" i="1"/>
  <c r="N375" i="1"/>
  <c r="M375" i="1"/>
  <c r="L375" i="1"/>
  <c r="K375" i="1"/>
  <c r="J375" i="1"/>
  <c r="AI375" i="1" l="1"/>
  <c r="BK36" i="1"/>
  <c r="AI391" i="1"/>
  <c r="AI392" i="1"/>
  <c r="AI23" i="1" l="1"/>
  <c r="AI390" i="1" l="1"/>
  <c r="BK23" i="1"/>
  <c r="AJ62" i="1"/>
  <c r="AK295" i="1" l="1"/>
  <c r="BL295" i="1" s="1"/>
  <c r="AK294" i="1"/>
  <c r="BL294" i="1" s="1"/>
  <c r="AK293" i="1"/>
  <c r="BL293" i="1" s="1"/>
  <c r="AK292" i="1"/>
  <c r="BL292" i="1" s="1"/>
  <c r="AK291" i="1"/>
  <c r="BL291" i="1" s="1"/>
  <c r="AK290" i="1"/>
  <c r="BL290" i="1" s="1"/>
  <c r="AK289" i="1"/>
  <c r="BL289" i="1" s="1"/>
  <c r="AK288" i="1"/>
  <c r="BL288" i="1" s="1"/>
  <c r="AK287" i="1"/>
  <c r="BL287" i="1" s="1"/>
  <c r="AK286" i="1"/>
  <c r="BL286" i="1" s="1"/>
  <c r="AK285" i="1"/>
  <c r="BL285" i="1" s="1"/>
  <c r="AK284" i="1"/>
  <c r="BL284" i="1" s="1"/>
  <c r="AK283" i="1"/>
  <c r="BL283" i="1" s="1"/>
  <c r="AK282" i="1"/>
  <c r="BL282" i="1" s="1"/>
  <c r="AK281" i="1"/>
  <c r="BL281" i="1" s="1"/>
  <c r="AK280" i="1"/>
  <c r="BL280" i="1" s="1"/>
  <c r="AK279" i="1"/>
  <c r="BL279" i="1" s="1"/>
  <c r="AK278" i="1"/>
  <c r="BL278" i="1" s="1"/>
  <c r="AK277" i="1"/>
  <c r="BL277" i="1" s="1"/>
  <c r="AK276" i="1"/>
  <c r="BL276" i="1" s="1"/>
  <c r="AK275" i="1"/>
  <c r="BL275" i="1" s="1"/>
  <c r="AK274" i="1"/>
  <c r="BL274" i="1" s="1"/>
  <c r="AK273" i="1"/>
  <c r="BL273" i="1" s="1"/>
  <c r="AK272" i="1"/>
  <c r="BL272" i="1" s="1"/>
  <c r="AK271" i="1"/>
  <c r="BL271" i="1" s="1"/>
  <c r="AK270" i="1"/>
  <c r="BL270" i="1" s="1"/>
  <c r="AK269" i="1"/>
  <c r="BL269" i="1" s="1"/>
  <c r="AK268" i="1"/>
  <c r="BL268" i="1" s="1"/>
  <c r="AK267" i="1"/>
  <c r="BL267" i="1" s="1"/>
  <c r="AK266" i="1"/>
  <c r="BL266" i="1" s="1"/>
  <c r="AK265" i="1"/>
  <c r="BL265" i="1" s="1"/>
  <c r="AK264" i="1"/>
  <c r="BL264" i="1" s="1"/>
  <c r="AK263" i="1"/>
  <c r="BL263" i="1" s="1"/>
  <c r="AK262" i="1"/>
  <c r="BL262" i="1" s="1"/>
  <c r="AK261" i="1"/>
  <c r="BL261" i="1" s="1"/>
  <c r="AK260" i="1"/>
  <c r="BL260" i="1" s="1"/>
  <c r="AK259" i="1"/>
  <c r="BL259" i="1" s="1"/>
  <c r="AK258" i="1"/>
  <c r="BL258" i="1" s="1"/>
  <c r="AK257" i="1"/>
  <c r="BL257" i="1" s="1"/>
  <c r="AK256" i="1"/>
  <c r="BL256" i="1" s="1"/>
  <c r="AK255" i="1"/>
  <c r="BL255" i="1" s="1"/>
  <c r="AK254" i="1"/>
  <c r="BL254" i="1" s="1"/>
  <c r="AK253" i="1"/>
  <c r="BL253" i="1" s="1"/>
  <c r="AK252" i="1"/>
  <c r="BL252" i="1" s="1"/>
  <c r="AK251" i="1"/>
  <c r="BL251" i="1" s="1"/>
  <c r="AK250" i="1"/>
  <c r="BL250" i="1" s="1"/>
  <c r="AK249" i="1"/>
  <c r="BL249" i="1" s="1"/>
  <c r="AK248" i="1"/>
  <c r="BL248" i="1" s="1"/>
  <c r="AK247" i="1"/>
  <c r="BL247" i="1" s="1"/>
  <c r="AK246" i="1"/>
  <c r="BL246" i="1" s="1"/>
  <c r="AK245" i="1"/>
  <c r="BL245" i="1" s="1"/>
  <c r="AK244" i="1"/>
  <c r="BL244" i="1" s="1"/>
  <c r="AK243" i="1"/>
  <c r="BL243" i="1" s="1"/>
  <c r="AK242" i="1"/>
  <c r="BL242" i="1" s="1"/>
  <c r="AK241" i="1"/>
  <c r="BL241" i="1" s="1"/>
  <c r="AK240" i="1"/>
  <c r="BL240" i="1" s="1"/>
  <c r="AK239" i="1"/>
  <c r="BL239" i="1" s="1"/>
  <c r="AK238" i="1"/>
  <c r="BL238" i="1" s="1"/>
  <c r="AK237" i="1"/>
  <c r="BL237" i="1" s="1"/>
  <c r="AK236" i="1"/>
  <c r="BL236" i="1" s="1"/>
  <c r="AK235" i="1"/>
  <c r="BL235" i="1" s="1"/>
  <c r="AK234" i="1"/>
  <c r="BL234" i="1" s="1"/>
  <c r="AK233" i="1"/>
  <c r="BL233" i="1" s="1"/>
  <c r="AK232" i="1"/>
  <c r="BL232" i="1" s="1"/>
  <c r="AK231" i="1"/>
  <c r="BL231" i="1" s="1"/>
  <c r="AK230" i="1"/>
  <c r="BL230" i="1" s="1"/>
  <c r="AK229" i="1"/>
  <c r="BL229" i="1" s="1"/>
  <c r="AK228" i="1"/>
  <c r="BL228" i="1" s="1"/>
  <c r="AK227" i="1"/>
  <c r="BL227" i="1" s="1"/>
  <c r="AK226" i="1"/>
  <c r="BL226" i="1" s="1"/>
  <c r="AK225" i="1"/>
  <c r="BL225" i="1" s="1"/>
  <c r="AK224" i="1"/>
  <c r="BL224" i="1" s="1"/>
  <c r="AK223" i="1"/>
  <c r="BL223" i="1" s="1"/>
  <c r="AK222" i="1"/>
  <c r="BL222" i="1" s="1"/>
  <c r="AK221" i="1"/>
  <c r="BL221" i="1" s="1"/>
  <c r="AK220" i="1"/>
  <c r="BL220" i="1" s="1"/>
  <c r="AK219" i="1"/>
  <c r="BL219" i="1" s="1"/>
  <c r="AK218" i="1"/>
  <c r="BL218" i="1" s="1"/>
  <c r="AK217" i="1"/>
  <c r="BL217" i="1" s="1"/>
  <c r="AK216" i="1"/>
  <c r="BL216" i="1" s="1"/>
  <c r="AK215" i="1"/>
  <c r="BL215" i="1" s="1"/>
  <c r="AK214" i="1"/>
  <c r="BL214" i="1" s="1"/>
  <c r="AK213" i="1"/>
  <c r="BL213" i="1" s="1"/>
  <c r="AK212" i="1"/>
  <c r="BL212" i="1" s="1"/>
  <c r="AK211" i="1"/>
  <c r="BL211" i="1" s="1"/>
  <c r="AK210" i="1"/>
  <c r="BL210" i="1" s="1"/>
  <c r="AK209" i="1"/>
  <c r="BL209" i="1" s="1"/>
  <c r="AK208" i="1"/>
  <c r="BL208" i="1" s="1"/>
  <c r="AK207" i="1"/>
  <c r="BL207" i="1" s="1"/>
  <c r="AK206" i="1"/>
  <c r="BL206" i="1" s="1"/>
  <c r="AK205" i="1"/>
  <c r="BL205" i="1" s="1"/>
  <c r="AK204" i="1"/>
  <c r="BL204" i="1" s="1"/>
  <c r="AK203" i="1"/>
  <c r="BL203" i="1" s="1"/>
  <c r="AK202" i="1"/>
  <c r="BL202" i="1" s="1"/>
  <c r="AK201" i="1"/>
  <c r="BL201" i="1" s="1"/>
  <c r="AK200" i="1"/>
  <c r="BL200" i="1" s="1"/>
  <c r="AK199" i="1"/>
  <c r="BL199" i="1" s="1"/>
  <c r="AK198" i="1"/>
  <c r="BL198" i="1" s="1"/>
  <c r="AK197" i="1"/>
  <c r="BL197" i="1" s="1"/>
  <c r="AK196" i="1"/>
  <c r="BL196" i="1" s="1"/>
  <c r="AK195" i="1"/>
  <c r="BL195" i="1" s="1"/>
  <c r="AK194" i="1"/>
  <c r="BL194" i="1" s="1"/>
  <c r="AK193" i="1"/>
  <c r="BL193" i="1" s="1"/>
  <c r="AK192" i="1"/>
  <c r="BL192" i="1" s="1"/>
  <c r="AK191" i="1"/>
  <c r="BL191" i="1" s="1"/>
  <c r="AK190" i="1"/>
  <c r="BL190" i="1" s="1"/>
  <c r="AK189" i="1"/>
  <c r="BL189" i="1" s="1"/>
  <c r="AK188" i="1"/>
  <c r="BL188" i="1" s="1"/>
  <c r="AK187" i="1"/>
  <c r="BL187" i="1" s="1"/>
  <c r="AK186" i="1"/>
  <c r="BL186" i="1" s="1"/>
  <c r="AK185" i="1"/>
  <c r="BL185" i="1" s="1"/>
  <c r="AK184" i="1"/>
  <c r="BL184" i="1" s="1"/>
  <c r="AK183" i="1"/>
  <c r="BL183" i="1" s="1"/>
  <c r="AK182" i="1"/>
  <c r="BL182" i="1" s="1"/>
  <c r="AK181" i="1"/>
  <c r="BL181" i="1" s="1"/>
  <c r="AK180" i="1"/>
  <c r="BL180" i="1" s="1"/>
  <c r="AK179" i="1"/>
  <c r="BL179" i="1" s="1"/>
  <c r="AK178" i="1"/>
  <c r="BL178" i="1" s="1"/>
  <c r="AK177" i="1"/>
  <c r="BL177" i="1" s="1"/>
  <c r="AK176" i="1"/>
  <c r="BL176" i="1" s="1"/>
  <c r="AK175" i="1"/>
  <c r="BL175" i="1" s="1"/>
  <c r="AK174" i="1"/>
  <c r="BL174" i="1" s="1"/>
  <c r="AK173" i="1"/>
  <c r="BL173" i="1" s="1"/>
  <c r="AK172" i="1"/>
  <c r="BL172" i="1" s="1"/>
  <c r="AK171" i="1"/>
  <c r="BL171" i="1" s="1"/>
  <c r="AK170" i="1"/>
  <c r="BL170" i="1" s="1"/>
  <c r="AK169" i="1"/>
  <c r="BL169" i="1" s="1"/>
  <c r="AK168" i="1"/>
  <c r="BL168" i="1" s="1"/>
  <c r="AK167" i="1"/>
  <c r="BL167" i="1" s="1"/>
  <c r="AK166" i="1"/>
  <c r="BL166" i="1" s="1"/>
  <c r="AK165" i="1"/>
  <c r="BL165" i="1" s="1"/>
  <c r="AK164" i="1"/>
  <c r="BL164" i="1" s="1"/>
  <c r="AK163" i="1"/>
  <c r="BL163" i="1" s="1"/>
  <c r="AK162" i="1"/>
  <c r="BL162" i="1" s="1"/>
  <c r="AK161" i="1"/>
  <c r="BL161" i="1" s="1"/>
  <c r="AK160" i="1"/>
  <c r="BL160" i="1" s="1"/>
  <c r="AK159" i="1"/>
  <c r="BL159" i="1" s="1"/>
  <c r="AK158" i="1"/>
  <c r="BL158" i="1" s="1"/>
  <c r="AK157" i="1"/>
  <c r="BL157" i="1" s="1"/>
  <c r="AK156" i="1"/>
  <c r="BL156" i="1" s="1"/>
  <c r="AK155" i="1"/>
  <c r="BL155" i="1" s="1"/>
  <c r="AK154" i="1"/>
  <c r="BL154" i="1" s="1"/>
  <c r="AK153" i="1"/>
  <c r="BL153" i="1" s="1"/>
  <c r="AK152" i="1"/>
  <c r="BL152" i="1" s="1"/>
  <c r="AK397" i="1" l="1"/>
  <c r="AK382" i="1"/>
  <c r="AK395" i="1"/>
  <c r="AK380" i="1"/>
  <c r="AK381" i="1"/>
  <c r="AK396" i="1"/>
  <c r="AK383" i="1"/>
  <c r="AK398" i="1"/>
  <c r="AK399" i="1"/>
  <c r="AK384" i="1"/>
  <c r="AK151" i="1"/>
  <c r="BL151" i="1" s="1"/>
  <c r="AK150" i="1"/>
  <c r="BL150" i="1" s="1"/>
  <c r="AK149" i="1"/>
  <c r="BL149" i="1" s="1"/>
  <c r="AK148" i="1"/>
  <c r="BL148" i="1" s="1"/>
  <c r="AK147" i="1"/>
  <c r="BL147" i="1" s="1"/>
  <c r="AK146" i="1"/>
  <c r="BL146" i="1" s="1"/>
  <c r="AK145" i="1"/>
  <c r="BL145" i="1" s="1"/>
  <c r="AK144" i="1"/>
  <c r="BL144" i="1" s="1"/>
  <c r="AK143" i="1"/>
  <c r="BL143" i="1" s="1"/>
  <c r="AK142" i="1"/>
  <c r="BL142" i="1" s="1"/>
  <c r="AK141" i="1"/>
  <c r="BL141" i="1" s="1"/>
  <c r="AK140" i="1"/>
  <c r="BL140" i="1" s="1"/>
  <c r="AK139" i="1"/>
  <c r="BL139" i="1" s="1"/>
  <c r="AK138" i="1"/>
  <c r="BL138" i="1" s="1"/>
  <c r="AK137" i="1"/>
  <c r="BL137" i="1" s="1"/>
  <c r="AK136" i="1"/>
  <c r="BL136" i="1" s="1"/>
  <c r="AK135" i="1"/>
  <c r="BL135" i="1" s="1"/>
  <c r="AK134" i="1"/>
  <c r="BL134" i="1" s="1"/>
  <c r="AK133" i="1"/>
  <c r="BL133" i="1" s="1"/>
  <c r="AK132" i="1"/>
  <c r="BL132" i="1" s="1"/>
  <c r="AK131" i="1"/>
  <c r="BL131" i="1" s="1"/>
  <c r="AK130" i="1"/>
  <c r="BL130" i="1" s="1"/>
  <c r="AK129" i="1"/>
  <c r="BL129" i="1" s="1"/>
  <c r="AK128" i="1"/>
  <c r="BL128" i="1" s="1"/>
  <c r="AK127" i="1"/>
  <c r="BL127" i="1" s="1"/>
  <c r="AK126" i="1"/>
  <c r="BL126" i="1" s="1"/>
  <c r="AK125" i="1"/>
  <c r="BL125" i="1" s="1"/>
  <c r="AK124" i="1"/>
  <c r="BL124" i="1" s="1"/>
  <c r="AK123" i="1"/>
  <c r="BL123" i="1" s="1"/>
  <c r="AK122" i="1"/>
  <c r="BL122" i="1" s="1"/>
  <c r="AK121" i="1"/>
  <c r="BL121" i="1" s="1"/>
  <c r="AK120" i="1"/>
  <c r="BL120" i="1" s="1"/>
  <c r="AK119" i="1"/>
  <c r="BL119" i="1" s="1"/>
  <c r="AK118" i="1"/>
  <c r="BL118" i="1" s="1"/>
  <c r="AK117" i="1"/>
  <c r="BL117" i="1" s="1"/>
  <c r="AK116" i="1"/>
  <c r="BL116" i="1" s="1"/>
  <c r="AK115" i="1"/>
  <c r="BL115" i="1" s="1"/>
  <c r="AK114" i="1"/>
  <c r="BL114" i="1" s="1"/>
  <c r="AK113" i="1"/>
  <c r="BL113" i="1" s="1"/>
  <c r="AK112" i="1"/>
  <c r="BL112" i="1" s="1"/>
  <c r="AK111" i="1"/>
  <c r="BL111" i="1" s="1"/>
  <c r="AK110" i="1"/>
  <c r="BL110" i="1" s="1"/>
  <c r="AK109" i="1"/>
  <c r="BL109" i="1" s="1"/>
  <c r="AK379" i="1" l="1"/>
  <c r="AK394" i="1"/>
  <c r="AJ86" i="1"/>
  <c r="AK86" i="1" s="1"/>
  <c r="BL86" i="1" s="1"/>
  <c r="AJ90" i="1"/>
  <c r="AK90" i="1" s="1"/>
  <c r="BL90" i="1" s="1"/>
  <c r="AJ94" i="1"/>
  <c r="AK94" i="1" s="1"/>
  <c r="BL94" i="1" s="1"/>
  <c r="AJ98" i="1"/>
  <c r="AK98" i="1" s="1"/>
  <c r="BL98" i="1" s="1"/>
  <c r="AJ99" i="1"/>
  <c r="AK99" i="1" s="1"/>
  <c r="BL99" i="1" s="1"/>
  <c r="AJ87" i="1"/>
  <c r="AK87" i="1" s="1"/>
  <c r="BL87" i="1" s="1"/>
  <c r="AJ91" i="1"/>
  <c r="AK91" i="1" s="1"/>
  <c r="BL91" i="1" s="1"/>
  <c r="AJ95" i="1"/>
  <c r="AK95" i="1" s="1"/>
  <c r="BL95" i="1" s="1"/>
  <c r="AJ88" i="1"/>
  <c r="AK88" i="1" s="1"/>
  <c r="BL88" i="1" s="1"/>
  <c r="AJ92" i="1"/>
  <c r="AK92" i="1" s="1"/>
  <c r="BL92" i="1" s="1"/>
  <c r="AJ96" i="1"/>
  <c r="AK96" i="1" s="1"/>
  <c r="BL96" i="1" s="1"/>
  <c r="AJ100" i="1"/>
  <c r="AK100" i="1" s="1"/>
  <c r="BL100" i="1" s="1"/>
  <c r="AJ89" i="1"/>
  <c r="AK89" i="1" s="1"/>
  <c r="BL89" i="1" s="1"/>
  <c r="AJ93" i="1"/>
  <c r="AK93" i="1" s="1"/>
  <c r="BL93" i="1" s="1"/>
  <c r="AJ97" i="1"/>
  <c r="AK97" i="1" s="1"/>
  <c r="BL97" i="1" s="1"/>
  <c r="AP48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BM340" i="1" s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Q311" i="1" l="1"/>
  <c r="BN311" i="1" s="1"/>
  <c r="BM311" i="1"/>
  <c r="AQ313" i="1"/>
  <c r="BN313" i="1" s="1"/>
  <c r="BM313" i="1"/>
  <c r="AQ315" i="1"/>
  <c r="BN315" i="1" s="1"/>
  <c r="BM315" i="1"/>
  <c r="AQ317" i="1"/>
  <c r="BN317" i="1" s="1"/>
  <c r="BM317" i="1"/>
  <c r="AQ319" i="1"/>
  <c r="BN319" i="1" s="1"/>
  <c r="BM319" i="1"/>
  <c r="AQ321" i="1"/>
  <c r="BN321" i="1" s="1"/>
  <c r="BM321" i="1"/>
  <c r="AQ323" i="1"/>
  <c r="BN323" i="1" s="1"/>
  <c r="BM323" i="1"/>
  <c r="AQ325" i="1"/>
  <c r="BN325" i="1" s="1"/>
  <c r="BM325" i="1"/>
  <c r="AQ327" i="1"/>
  <c r="BN327" i="1" s="1"/>
  <c r="BM327" i="1"/>
  <c r="AQ329" i="1"/>
  <c r="BN329" i="1" s="1"/>
  <c r="BM329" i="1"/>
  <c r="AQ331" i="1"/>
  <c r="BN331" i="1" s="1"/>
  <c r="BM331" i="1"/>
  <c r="AQ333" i="1"/>
  <c r="BN333" i="1" s="1"/>
  <c r="BM333" i="1"/>
  <c r="AQ335" i="1"/>
  <c r="BN335" i="1" s="1"/>
  <c r="BM335" i="1"/>
  <c r="AQ337" i="1"/>
  <c r="BN337" i="1" s="1"/>
  <c r="BM337" i="1"/>
  <c r="AQ339" i="1"/>
  <c r="BN339" i="1" s="1"/>
  <c r="BM339" i="1"/>
  <c r="AQ341" i="1"/>
  <c r="BN341" i="1" s="1"/>
  <c r="BM341" i="1"/>
  <c r="AQ343" i="1"/>
  <c r="BN343" i="1" s="1"/>
  <c r="BM343" i="1"/>
  <c r="AQ345" i="1"/>
  <c r="BN345" i="1" s="1"/>
  <c r="BM345" i="1"/>
  <c r="AQ347" i="1"/>
  <c r="BN347" i="1" s="1"/>
  <c r="BM347" i="1"/>
  <c r="AQ349" i="1"/>
  <c r="BN349" i="1" s="1"/>
  <c r="BM349" i="1"/>
  <c r="AQ351" i="1"/>
  <c r="BN351" i="1" s="1"/>
  <c r="BM351" i="1"/>
  <c r="AQ353" i="1"/>
  <c r="BN353" i="1" s="1"/>
  <c r="BM353" i="1"/>
  <c r="AQ355" i="1"/>
  <c r="BN355" i="1" s="1"/>
  <c r="BM355" i="1"/>
  <c r="AQ357" i="1"/>
  <c r="BN357" i="1" s="1"/>
  <c r="BM357" i="1"/>
  <c r="AQ359" i="1"/>
  <c r="BN359" i="1" s="1"/>
  <c r="BM359" i="1"/>
  <c r="AQ361" i="1"/>
  <c r="BN361" i="1" s="1"/>
  <c r="BM361" i="1"/>
  <c r="AQ363" i="1"/>
  <c r="BN363" i="1" s="1"/>
  <c r="BM363" i="1"/>
  <c r="AQ365" i="1"/>
  <c r="BN365" i="1" s="1"/>
  <c r="BM365" i="1"/>
  <c r="AQ367" i="1"/>
  <c r="BN367" i="1" s="1"/>
  <c r="BM367" i="1"/>
  <c r="AQ369" i="1"/>
  <c r="BN369" i="1" s="1"/>
  <c r="BM369" i="1"/>
  <c r="AQ48" i="1"/>
  <c r="BN48" i="1" s="1"/>
  <c r="BM48" i="1"/>
  <c r="AQ312" i="1"/>
  <c r="BN312" i="1" s="1"/>
  <c r="BM312" i="1"/>
  <c r="AQ314" i="1"/>
  <c r="BN314" i="1" s="1"/>
  <c r="BM314" i="1"/>
  <c r="AQ316" i="1"/>
  <c r="BN316" i="1" s="1"/>
  <c r="BM316" i="1"/>
  <c r="AQ318" i="1"/>
  <c r="BN318" i="1" s="1"/>
  <c r="BM318" i="1"/>
  <c r="AQ320" i="1"/>
  <c r="BN320" i="1" s="1"/>
  <c r="BM320" i="1"/>
  <c r="AQ322" i="1"/>
  <c r="BN322" i="1" s="1"/>
  <c r="BM322" i="1"/>
  <c r="AQ324" i="1"/>
  <c r="BN324" i="1" s="1"/>
  <c r="BM324" i="1"/>
  <c r="AQ326" i="1"/>
  <c r="BN326" i="1" s="1"/>
  <c r="BM326" i="1"/>
  <c r="AQ328" i="1"/>
  <c r="BN328" i="1" s="1"/>
  <c r="BM328" i="1"/>
  <c r="AQ330" i="1"/>
  <c r="BN330" i="1" s="1"/>
  <c r="BM330" i="1"/>
  <c r="AQ332" i="1"/>
  <c r="BN332" i="1" s="1"/>
  <c r="BM332" i="1"/>
  <c r="AQ334" i="1"/>
  <c r="BN334" i="1" s="1"/>
  <c r="BM334" i="1"/>
  <c r="AQ336" i="1"/>
  <c r="BN336" i="1" s="1"/>
  <c r="BM336" i="1"/>
  <c r="AQ338" i="1"/>
  <c r="BN338" i="1" s="1"/>
  <c r="BM338" i="1"/>
  <c r="AQ342" i="1"/>
  <c r="BN342" i="1" s="1"/>
  <c r="BM342" i="1"/>
  <c r="AQ344" i="1"/>
  <c r="BN344" i="1" s="1"/>
  <c r="BM344" i="1"/>
  <c r="AQ346" i="1"/>
  <c r="BN346" i="1" s="1"/>
  <c r="BM346" i="1"/>
  <c r="AQ348" i="1"/>
  <c r="BN348" i="1" s="1"/>
  <c r="BM348" i="1"/>
  <c r="AQ350" i="1"/>
  <c r="BN350" i="1" s="1"/>
  <c r="BM350" i="1"/>
  <c r="AQ352" i="1"/>
  <c r="BN352" i="1" s="1"/>
  <c r="BM352" i="1"/>
  <c r="AQ354" i="1"/>
  <c r="BN354" i="1" s="1"/>
  <c r="BM354" i="1"/>
  <c r="AQ356" i="1"/>
  <c r="BN356" i="1" s="1"/>
  <c r="BM356" i="1"/>
  <c r="AQ358" i="1"/>
  <c r="BN358" i="1" s="1"/>
  <c r="BM358" i="1"/>
  <c r="AQ360" i="1"/>
  <c r="BN360" i="1" s="1"/>
  <c r="BM360" i="1"/>
  <c r="AQ362" i="1"/>
  <c r="BN362" i="1" s="1"/>
  <c r="BM362" i="1"/>
  <c r="AQ364" i="1"/>
  <c r="BN364" i="1" s="1"/>
  <c r="BM364" i="1"/>
  <c r="AQ366" i="1"/>
  <c r="BN366" i="1" s="1"/>
  <c r="BM366" i="1"/>
  <c r="AQ368" i="1"/>
  <c r="BN368" i="1" s="1"/>
  <c r="BM368" i="1"/>
  <c r="AQ370" i="1"/>
  <c r="BN370" i="1" s="1"/>
  <c r="BM370" i="1"/>
  <c r="AK393" i="1"/>
  <c r="AK378" i="1"/>
  <c r="AQ340" i="1"/>
  <c r="BN340" i="1" s="1"/>
  <c r="AP386" i="1"/>
  <c r="AP401" i="1"/>
  <c r="AP310" i="1"/>
  <c r="BM310" i="1" s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BM279" i="1" s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BM249" i="1" s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BM218" i="1" s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BM187" i="1" s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BM157" i="1" s="1"/>
  <c r="AP156" i="1"/>
  <c r="BM156" i="1" s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BM126" i="1" s="1"/>
  <c r="AQ129" i="1" l="1"/>
  <c r="BN129" i="1" s="1"/>
  <c r="BM129" i="1"/>
  <c r="AQ133" i="1"/>
  <c r="BN133" i="1" s="1"/>
  <c r="BM133" i="1"/>
  <c r="AQ139" i="1"/>
  <c r="BN139" i="1" s="1"/>
  <c r="BM139" i="1"/>
  <c r="AQ143" i="1"/>
  <c r="BN143" i="1" s="1"/>
  <c r="BM143" i="1"/>
  <c r="AQ147" i="1"/>
  <c r="BN147" i="1" s="1"/>
  <c r="BM147" i="1"/>
  <c r="AQ151" i="1"/>
  <c r="BN151" i="1" s="1"/>
  <c r="BM151" i="1"/>
  <c r="AQ155" i="1"/>
  <c r="BN155" i="1" s="1"/>
  <c r="BM155" i="1"/>
  <c r="AQ159" i="1"/>
  <c r="BN159" i="1" s="1"/>
  <c r="BM159" i="1"/>
  <c r="AQ163" i="1"/>
  <c r="BN163" i="1" s="1"/>
  <c r="BM163" i="1"/>
  <c r="AQ167" i="1"/>
  <c r="BN167" i="1" s="1"/>
  <c r="BM167" i="1"/>
  <c r="AQ128" i="1"/>
  <c r="BN128" i="1" s="1"/>
  <c r="BM128" i="1"/>
  <c r="AQ130" i="1"/>
  <c r="BN130" i="1" s="1"/>
  <c r="BM130" i="1"/>
  <c r="AQ132" i="1"/>
  <c r="BN132" i="1" s="1"/>
  <c r="BM132" i="1"/>
  <c r="AQ134" i="1"/>
  <c r="BN134" i="1" s="1"/>
  <c r="BM134" i="1"/>
  <c r="AQ136" i="1"/>
  <c r="BN136" i="1" s="1"/>
  <c r="BM136" i="1"/>
  <c r="AQ138" i="1"/>
  <c r="BN138" i="1" s="1"/>
  <c r="BM138" i="1"/>
  <c r="AQ140" i="1"/>
  <c r="BN140" i="1" s="1"/>
  <c r="BM140" i="1"/>
  <c r="AQ142" i="1"/>
  <c r="BN142" i="1" s="1"/>
  <c r="BM142" i="1"/>
  <c r="AQ144" i="1"/>
  <c r="BN144" i="1" s="1"/>
  <c r="BM144" i="1"/>
  <c r="AQ146" i="1"/>
  <c r="BN146" i="1" s="1"/>
  <c r="BM146" i="1"/>
  <c r="AQ148" i="1"/>
  <c r="BN148" i="1" s="1"/>
  <c r="BM148" i="1"/>
  <c r="AQ150" i="1"/>
  <c r="BN150" i="1" s="1"/>
  <c r="BM150" i="1"/>
  <c r="AQ152" i="1"/>
  <c r="BN152" i="1" s="1"/>
  <c r="BM152" i="1"/>
  <c r="AQ154" i="1"/>
  <c r="BN154" i="1" s="1"/>
  <c r="BM154" i="1"/>
  <c r="AQ158" i="1"/>
  <c r="BN158" i="1" s="1"/>
  <c r="BM158" i="1"/>
  <c r="AQ160" i="1"/>
  <c r="BN160" i="1" s="1"/>
  <c r="BM160" i="1"/>
  <c r="AQ162" i="1"/>
  <c r="BN162" i="1" s="1"/>
  <c r="BM162" i="1"/>
  <c r="AQ164" i="1"/>
  <c r="BN164" i="1" s="1"/>
  <c r="BM164" i="1"/>
  <c r="AQ166" i="1"/>
  <c r="BN166" i="1" s="1"/>
  <c r="BM166" i="1"/>
  <c r="AQ168" i="1"/>
  <c r="BN168" i="1" s="1"/>
  <c r="BM168" i="1"/>
  <c r="AQ170" i="1"/>
  <c r="BN170" i="1" s="1"/>
  <c r="BM170" i="1"/>
  <c r="AQ172" i="1"/>
  <c r="BN172" i="1" s="1"/>
  <c r="BM172" i="1"/>
  <c r="AQ174" i="1"/>
  <c r="BN174" i="1" s="1"/>
  <c r="BM174" i="1"/>
  <c r="AQ176" i="1"/>
  <c r="BN176" i="1" s="1"/>
  <c r="BM176" i="1"/>
  <c r="AQ178" i="1"/>
  <c r="BN178" i="1" s="1"/>
  <c r="BM178" i="1"/>
  <c r="AQ180" i="1"/>
  <c r="BN180" i="1" s="1"/>
  <c r="BM180" i="1"/>
  <c r="AQ182" i="1"/>
  <c r="BN182" i="1" s="1"/>
  <c r="BM182" i="1"/>
  <c r="AQ184" i="1"/>
  <c r="BN184" i="1" s="1"/>
  <c r="BM184" i="1"/>
  <c r="AQ186" i="1"/>
  <c r="BN186" i="1" s="1"/>
  <c r="BM186" i="1"/>
  <c r="AQ188" i="1"/>
  <c r="BN188" i="1" s="1"/>
  <c r="BM188" i="1"/>
  <c r="AQ190" i="1"/>
  <c r="BN190" i="1" s="1"/>
  <c r="BM190" i="1"/>
  <c r="AQ192" i="1"/>
  <c r="BN192" i="1" s="1"/>
  <c r="BM192" i="1"/>
  <c r="AQ194" i="1"/>
  <c r="BN194" i="1" s="1"/>
  <c r="BM194" i="1"/>
  <c r="AQ196" i="1"/>
  <c r="BN196" i="1" s="1"/>
  <c r="BM196" i="1"/>
  <c r="AQ198" i="1"/>
  <c r="BN198" i="1" s="1"/>
  <c r="BM198" i="1"/>
  <c r="AQ200" i="1"/>
  <c r="BN200" i="1" s="1"/>
  <c r="BM200" i="1"/>
  <c r="AQ202" i="1"/>
  <c r="BN202" i="1" s="1"/>
  <c r="BM202" i="1"/>
  <c r="AQ204" i="1"/>
  <c r="BN204" i="1" s="1"/>
  <c r="BM204" i="1"/>
  <c r="AQ206" i="1"/>
  <c r="BN206" i="1" s="1"/>
  <c r="BM206" i="1"/>
  <c r="AQ208" i="1"/>
  <c r="BN208" i="1" s="1"/>
  <c r="BM208" i="1"/>
  <c r="AQ210" i="1"/>
  <c r="BN210" i="1" s="1"/>
  <c r="BM210" i="1"/>
  <c r="AQ212" i="1"/>
  <c r="BN212" i="1" s="1"/>
  <c r="BM212" i="1"/>
  <c r="AQ214" i="1"/>
  <c r="BN214" i="1" s="1"/>
  <c r="BM214" i="1"/>
  <c r="AQ216" i="1"/>
  <c r="BN216" i="1" s="1"/>
  <c r="BM216" i="1"/>
  <c r="AQ220" i="1"/>
  <c r="BN220" i="1" s="1"/>
  <c r="BM220" i="1"/>
  <c r="AQ222" i="1"/>
  <c r="BN222" i="1" s="1"/>
  <c r="BM222" i="1"/>
  <c r="AQ224" i="1"/>
  <c r="BN224" i="1" s="1"/>
  <c r="BM224" i="1"/>
  <c r="AQ226" i="1"/>
  <c r="BN226" i="1" s="1"/>
  <c r="BM226" i="1"/>
  <c r="AQ228" i="1"/>
  <c r="BN228" i="1" s="1"/>
  <c r="BM228" i="1"/>
  <c r="AQ230" i="1"/>
  <c r="BN230" i="1" s="1"/>
  <c r="BM230" i="1"/>
  <c r="AQ232" i="1"/>
  <c r="BN232" i="1" s="1"/>
  <c r="BM232" i="1"/>
  <c r="AQ234" i="1"/>
  <c r="BN234" i="1" s="1"/>
  <c r="BM234" i="1"/>
  <c r="AQ236" i="1"/>
  <c r="BN236" i="1" s="1"/>
  <c r="BM236" i="1"/>
  <c r="AQ238" i="1"/>
  <c r="BN238" i="1" s="1"/>
  <c r="BM238" i="1"/>
  <c r="AQ240" i="1"/>
  <c r="BN240" i="1" s="1"/>
  <c r="BM240" i="1"/>
  <c r="AQ242" i="1"/>
  <c r="BN242" i="1" s="1"/>
  <c r="BM242" i="1"/>
  <c r="AQ244" i="1"/>
  <c r="BN244" i="1" s="1"/>
  <c r="BM244" i="1"/>
  <c r="AQ246" i="1"/>
  <c r="BN246" i="1" s="1"/>
  <c r="BM246" i="1"/>
  <c r="AQ248" i="1"/>
  <c r="BN248" i="1" s="1"/>
  <c r="BM248" i="1"/>
  <c r="AQ250" i="1"/>
  <c r="BN250" i="1" s="1"/>
  <c r="BM250" i="1"/>
  <c r="AQ252" i="1"/>
  <c r="BN252" i="1" s="1"/>
  <c r="BM252" i="1"/>
  <c r="AQ254" i="1"/>
  <c r="BN254" i="1" s="1"/>
  <c r="BM254" i="1"/>
  <c r="AQ256" i="1"/>
  <c r="BN256" i="1" s="1"/>
  <c r="BM256" i="1"/>
  <c r="AQ258" i="1"/>
  <c r="BN258" i="1" s="1"/>
  <c r="BM258" i="1"/>
  <c r="AQ260" i="1"/>
  <c r="BN260" i="1" s="1"/>
  <c r="BM260" i="1"/>
  <c r="AQ262" i="1"/>
  <c r="BN262" i="1" s="1"/>
  <c r="BM262" i="1"/>
  <c r="AQ264" i="1"/>
  <c r="BN264" i="1" s="1"/>
  <c r="BM264" i="1"/>
  <c r="AQ266" i="1"/>
  <c r="BN266" i="1" s="1"/>
  <c r="BM266" i="1"/>
  <c r="AQ268" i="1"/>
  <c r="BN268" i="1" s="1"/>
  <c r="BM268" i="1"/>
  <c r="AQ270" i="1"/>
  <c r="BN270" i="1" s="1"/>
  <c r="BM270" i="1"/>
  <c r="AQ272" i="1"/>
  <c r="BN272" i="1" s="1"/>
  <c r="BM272" i="1"/>
  <c r="AQ274" i="1"/>
  <c r="BN274" i="1" s="1"/>
  <c r="BM274" i="1"/>
  <c r="AQ276" i="1"/>
  <c r="BN276" i="1" s="1"/>
  <c r="BM276" i="1"/>
  <c r="AQ278" i="1"/>
  <c r="BN278" i="1" s="1"/>
  <c r="BM278" i="1"/>
  <c r="AQ280" i="1"/>
  <c r="BN280" i="1" s="1"/>
  <c r="BM280" i="1"/>
  <c r="AQ282" i="1"/>
  <c r="BN282" i="1" s="1"/>
  <c r="BM282" i="1"/>
  <c r="AQ284" i="1"/>
  <c r="BN284" i="1" s="1"/>
  <c r="BM284" i="1"/>
  <c r="AQ286" i="1"/>
  <c r="BN286" i="1" s="1"/>
  <c r="BM286" i="1"/>
  <c r="AQ288" i="1"/>
  <c r="BN288" i="1" s="1"/>
  <c r="BM288" i="1"/>
  <c r="AQ290" i="1"/>
  <c r="BN290" i="1" s="1"/>
  <c r="BM290" i="1"/>
  <c r="AQ292" i="1"/>
  <c r="BN292" i="1" s="1"/>
  <c r="BM292" i="1"/>
  <c r="AQ294" i="1"/>
  <c r="BN294" i="1" s="1"/>
  <c r="BM294" i="1"/>
  <c r="AQ296" i="1"/>
  <c r="BN296" i="1" s="1"/>
  <c r="BM296" i="1"/>
  <c r="AQ298" i="1"/>
  <c r="BN298" i="1" s="1"/>
  <c r="BM298" i="1"/>
  <c r="AQ300" i="1"/>
  <c r="BN300" i="1" s="1"/>
  <c r="BM300" i="1"/>
  <c r="AQ302" i="1"/>
  <c r="BN302" i="1" s="1"/>
  <c r="BM302" i="1"/>
  <c r="AQ304" i="1"/>
  <c r="BN304" i="1" s="1"/>
  <c r="BM304" i="1"/>
  <c r="AQ306" i="1"/>
  <c r="BN306" i="1" s="1"/>
  <c r="BM306" i="1"/>
  <c r="AQ308" i="1"/>
  <c r="BN308" i="1" s="1"/>
  <c r="BM308" i="1"/>
  <c r="AQ127" i="1"/>
  <c r="BN127" i="1" s="1"/>
  <c r="BM127" i="1"/>
  <c r="AQ131" i="1"/>
  <c r="BN131" i="1" s="1"/>
  <c r="BM131" i="1"/>
  <c r="AQ135" i="1"/>
  <c r="BN135" i="1" s="1"/>
  <c r="BM135" i="1"/>
  <c r="AQ137" i="1"/>
  <c r="BN137" i="1" s="1"/>
  <c r="BM137" i="1"/>
  <c r="AQ141" i="1"/>
  <c r="BN141" i="1" s="1"/>
  <c r="BM141" i="1"/>
  <c r="AQ145" i="1"/>
  <c r="BN145" i="1" s="1"/>
  <c r="BM145" i="1"/>
  <c r="AQ149" i="1"/>
  <c r="BN149" i="1" s="1"/>
  <c r="BM149" i="1"/>
  <c r="AQ153" i="1"/>
  <c r="BN153" i="1" s="1"/>
  <c r="BM153" i="1"/>
  <c r="AQ161" i="1"/>
  <c r="BN161" i="1" s="1"/>
  <c r="BM161" i="1"/>
  <c r="AQ165" i="1"/>
  <c r="BN165" i="1" s="1"/>
  <c r="BM165" i="1"/>
  <c r="AQ169" i="1"/>
  <c r="BN169" i="1" s="1"/>
  <c r="BM169" i="1"/>
  <c r="AQ171" i="1"/>
  <c r="BN171" i="1" s="1"/>
  <c r="BM171" i="1"/>
  <c r="AQ173" i="1"/>
  <c r="BN173" i="1" s="1"/>
  <c r="BM173" i="1"/>
  <c r="AQ175" i="1"/>
  <c r="BN175" i="1" s="1"/>
  <c r="BM175" i="1"/>
  <c r="AQ177" i="1"/>
  <c r="BN177" i="1" s="1"/>
  <c r="BM177" i="1"/>
  <c r="AQ179" i="1"/>
  <c r="BN179" i="1" s="1"/>
  <c r="BM179" i="1"/>
  <c r="AQ181" i="1"/>
  <c r="BN181" i="1" s="1"/>
  <c r="BM181" i="1"/>
  <c r="AQ183" i="1"/>
  <c r="BN183" i="1" s="1"/>
  <c r="BM183" i="1"/>
  <c r="AQ185" i="1"/>
  <c r="BN185" i="1" s="1"/>
  <c r="BM185" i="1"/>
  <c r="AQ189" i="1"/>
  <c r="BN189" i="1" s="1"/>
  <c r="BM189" i="1"/>
  <c r="AQ191" i="1"/>
  <c r="BN191" i="1" s="1"/>
  <c r="BM191" i="1"/>
  <c r="AQ193" i="1"/>
  <c r="BN193" i="1" s="1"/>
  <c r="BM193" i="1"/>
  <c r="AQ195" i="1"/>
  <c r="BN195" i="1" s="1"/>
  <c r="BM195" i="1"/>
  <c r="AQ197" i="1"/>
  <c r="BN197" i="1" s="1"/>
  <c r="BM197" i="1"/>
  <c r="AQ199" i="1"/>
  <c r="BN199" i="1" s="1"/>
  <c r="BM199" i="1"/>
  <c r="AQ201" i="1"/>
  <c r="BN201" i="1" s="1"/>
  <c r="BM201" i="1"/>
  <c r="AQ203" i="1"/>
  <c r="BN203" i="1" s="1"/>
  <c r="BM203" i="1"/>
  <c r="AQ205" i="1"/>
  <c r="BN205" i="1" s="1"/>
  <c r="BM205" i="1"/>
  <c r="AQ207" i="1"/>
  <c r="BN207" i="1" s="1"/>
  <c r="BM207" i="1"/>
  <c r="AQ209" i="1"/>
  <c r="BN209" i="1" s="1"/>
  <c r="BM209" i="1"/>
  <c r="AQ211" i="1"/>
  <c r="BN211" i="1" s="1"/>
  <c r="BM211" i="1"/>
  <c r="AQ213" i="1"/>
  <c r="BN213" i="1" s="1"/>
  <c r="BM213" i="1"/>
  <c r="AQ215" i="1"/>
  <c r="BN215" i="1" s="1"/>
  <c r="BM215" i="1"/>
  <c r="AQ217" i="1"/>
  <c r="BN217" i="1" s="1"/>
  <c r="BM217" i="1"/>
  <c r="AQ219" i="1"/>
  <c r="BN219" i="1" s="1"/>
  <c r="BM219" i="1"/>
  <c r="AQ221" i="1"/>
  <c r="BN221" i="1" s="1"/>
  <c r="BM221" i="1"/>
  <c r="AQ223" i="1"/>
  <c r="BN223" i="1" s="1"/>
  <c r="BM223" i="1"/>
  <c r="AQ225" i="1"/>
  <c r="BN225" i="1" s="1"/>
  <c r="BM225" i="1"/>
  <c r="AQ227" i="1"/>
  <c r="BN227" i="1" s="1"/>
  <c r="BM227" i="1"/>
  <c r="AQ229" i="1"/>
  <c r="BN229" i="1" s="1"/>
  <c r="BM229" i="1"/>
  <c r="AQ231" i="1"/>
  <c r="BN231" i="1" s="1"/>
  <c r="BM231" i="1"/>
  <c r="AQ233" i="1"/>
  <c r="BN233" i="1" s="1"/>
  <c r="BM233" i="1"/>
  <c r="AQ235" i="1"/>
  <c r="BN235" i="1" s="1"/>
  <c r="BM235" i="1"/>
  <c r="AQ237" i="1"/>
  <c r="BN237" i="1" s="1"/>
  <c r="BM237" i="1"/>
  <c r="AQ239" i="1"/>
  <c r="BN239" i="1" s="1"/>
  <c r="BM239" i="1"/>
  <c r="AQ241" i="1"/>
  <c r="BN241" i="1" s="1"/>
  <c r="BM241" i="1"/>
  <c r="AQ243" i="1"/>
  <c r="BN243" i="1" s="1"/>
  <c r="BM243" i="1"/>
  <c r="AQ245" i="1"/>
  <c r="BN245" i="1" s="1"/>
  <c r="BM245" i="1"/>
  <c r="AQ247" i="1"/>
  <c r="BN247" i="1" s="1"/>
  <c r="BM247" i="1"/>
  <c r="AQ251" i="1"/>
  <c r="BN251" i="1" s="1"/>
  <c r="BM251" i="1"/>
  <c r="AQ253" i="1"/>
  <c r="BN253" i="1" s="1"/>
  <c r="BM253" i="1"/>
  <c r="AQ255" i="1"/>
  <c r="BN255" i="1" s="1"/>
  <c r="BM255" i="1"/>
  <c r="AQ257" i="1"/>
  <c r="BN257" i="1" s="1"/>
  <c r="BM257" i="1"/>
  <c r="AQ259" i="1"/>
  <c r="BN259" i="1" s="1"/>
  <c r="BM259" i="1"/>
  <c r="AQ261" i="1"/>
  <c r="BN261" i="1" s="1"/>
  <c r="BM261" i="1"/>
  <c r="AQ263" i="1"/>
  <c r="BN263" i="1" s="1"/>
  <c r="BM263" i="1"/>
  <c r="AQ265" i="1"/>
  <c r="BN265" i="1" s="1"/>
  <c r="BM265" i="1"/>
  <c r="AQ267" i="1"/>
  <c r="BN267" i="1" s="1"/>
  <c r="BM267" i="1"/>
  <c r="AQ269" i="1"/>
  <c r="BN269" i="1" s="1"/>
  <c r="BM269" i="1"/>
  <c r="AQ271" i="1"/>
  <c r="BN271" i="1" s="1"/>
  <c r="BM271" i="1"/>
  <c r="AQ273" i="1"/>
  <c r="BN273" i="1" s="1"/>
  <c r="BM273" i="1"/>
  <c r="AQ275" i="1"/>
  <c r="BN275" i="1" s="1"/>
  <c r="BM275" i="1"/>
  <c r="AQ277" i="1"/>
  <c r="BN277" i="1" s="1"/>
  <c r="BM277" i="1"/>
  <c r="AQ281" i="1"/>
  <c r="BN281" i="1" s="1"/>
  <c r="BM281" i="1"/>
  <c r="AQ283" i="1"/>
  <c r="BN283" i="1" s="1"/>
  <c r="BM283" i="1"/>
  <c r="AQ285" i="1"/>
  <c r="BN285" i="1" s="1"/>
  <c r="BM285" i="1"/>
  <c r="AQ287" i="1"/>
  <c r="BN287" i="1" s="1"/>
  <c r="BM287" i="1"/>
  <c r="AQ289" i="1"/>
  <c r="BN289" i="1" s="1"/>
  <c r="BM289" i="1"/>
  <c r="AQ291" i="1"/>
  <c r="BN291" i="1" s="1"/>
  <c r="BM291" i="1"/>
  <c r="AQ293" i="1"/>
  <c r="BN293" i="1" s="1"/>
  <c r="BM293" i="1"/>
  <c r="AQ295" i="1"/>
  <c r="BN295" i="1" s="1"/>
  <c r="BM295" i="1"/>
  <c r="AQ297" i="1"/>
  <c r="BN297" i="1" s="1"/>
  <c r="BM297" i="1"/>
  <c r="AQ299" i="1"/>
  <c r="BN299" i="1" s="1"/>
  <c r="BM299" i="1"/>
  <c r="AQ301" i="1"/>
  <c r="BN301" i="1" s="1"/>
  <c r="BM301" i="1"/>
  <c r="AQ303" i="1"/>
  <c r="BN303" i="1" s="1"/>
  <c r="BM303" i="1"/>
  <c r="AQ305" i="1"/>
  <c r="BN305" i="1" s="1"/>
  <c r="BM305" i="1"/>
  <c r="AQ307" i="1"/>
  <c r="BN307" i="1" s="1"/>
  <c r="BM307" i="1"/>
  <c r="AQ309" i="1"/>
  <c r="BN309" i="1" s="1"/>
  <c r="BM309" i="1"/>
  <c r="AP400" i="1"/>
  <c r="AP385" i="1"/>
  <c r="AQ386" i="1"/>
  <c r="AQ401" i="1"/>
  <c r="AR386" i="1"/>
  <c r="AQ156" i="1"/>
  <c r="BN156" i="1" s="1"/>
  <c r="AP394" i="1"/>
  <c r="AP379" i="1"/>
  <c r="AP380" i="1"/>
  <c r="AP395" i="1"/>
  <c r="AP396" i="1"/>
  <c r="AP381" i="1"/>
  <c r="AP382" i="1"/>
  <c r="AP397" i="1"/>
  <c r="AQ249" i="1"/>
  <c r="AP398" i="1"/>
  <c r="AP383" i="1"/>
  <c r="AP384" i="1"/>
  <c r="AP399" i="1"/>
  <c r="AQ218" i="1"/>
  <c r="BN218" i="1" s="1"/>
  <c r="AQ279" i="1"/>
  <c r="BN279" i="1" s="1"/>
  <c r="AQ157" i="1"/>
  <c r="BN157" i="1" s="1"/>
  <c r="AQ126" i="1"/>
  <c r="BN126" i="1" s="1"/>
  <c r="AQ187" i="1"/>
  <c r="AQ310" i="1"/>
  <c r="BN310" i="1" s="1"/>
  <c r="AR381" i="1" l="1"/>
  <c r="BN187" i="1"/>
  <c r="AR383" i="1"/>
  <c r="BN249" i="1"/>
  <c r="AQ400" i="1"/>
  <c r="AQ385" i="1"/>
  <c r="AR385" i="1"/>
  <c r="AQ384" i="1"/>
  <c r="AQ399" i="1"/>
  <c r="AR384" i="1"/>
  <c r="AQ396" i="1"/>
  <c r="AQ381" i="1"/>
  <c r="AQ380" i="1"/>
  <c r="AQ395" i="1"/>
  <c r="AQ382" i="1"/>
  <c r="AQ397" i="1"/>
  <c r="AQ398" i="1"/>
  <c r="AQ383" i="1"/>
  <c r="AR382" i="1"/>
  <c r="AQ394" i="1"/>
  <c r="AQ379" i="1"/>
  <c r="AR380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BM96" i="1" s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BM65" i="1" s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7" i="1"/>
  <c r="AP46" i="1"/>
  <c r="AP45" i="1"/>
  <c r="AP44" i="1"/>
  <c r="AP43" i="1"/>
  <c r="AP42" i="1"/>
  <c r="AP41" i="1"/>
  <c r="AP40" i="1"/>
  <c r="AP39" i="1"/>
  <c r="AP38" i="1"/>
  <c r="AP37" i="1"/>
  <c r="BM37" i="1" s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BM6" i="1" s="1"/>
  <c r="AQ7" i="1" l="1"/>
  <c r="BN7" i="1" s="1"/>
  <c r="BM7" i="1"/>
  <c r="AQ9" i="1"/>
  <c r="BN9" i="1" s="1"/>
  <c r="BM9" i="1"/>
  <c r="AQ11" i="1"/>
  <c r="BN11" i="1" s="1"/>
  <c r="BM11" i="1"/>
  <c r="AQ13" i="1"/>
  <c r="BN13" i="1" s="1"/>
  <c r="BM13" i="1"/>
  <c r="AQ15" i="1"/>
  <c r="BN15" i="1" s="1"/>
  <c r="BM15" i="1"/>
  <c r="AQ17" i="1"/>
  <c r="BN17" i="1" s="1"/>
  <c r="BM17" i="1"/>
  <c r="AQ19" i="1"/>
  <c r="BN19" i="1" s="1"/>
  <c r="BM19" i="1"/>
  <c r="AQ21" i="1"/>
  <c r="BN21" i="1" s="1"/>
  <c r="BM21" i="1"/>
  <c r="AQ23" i="1"/>
  <c r="BN23" i="1" s="1"/>
  <c r="BM23" i="1"/>
  <c r="AQ25" i="1"/>
  <c r="BN25" i="1" s="1"/>
  <c r="BM25" i="1"/>
  <c r="AQ27" i="1"/>
  <c r="BN27" i="1" s="1"/>
  <c r="BM27" i="1"/>
  <c r="AQ29" i="1"/>
  <c r="BN29" i="1" s="1"/>
  <c r="BM29" i="1"/>
  <c r="AQ31" i="1"/>
  <c r="BN31" i="1" s="1"/>
  <c r="BM31" i="1"/>
  <c r="AQ33" i="1"/>
  <c r="BN33" i="1" s="1"/>
  <c r="BM33" i="1"/>
  <c r="AQ35" i="1"/>
  <c r="BN35" i="1" s="1"/>
  <c r="BM35" i="1"/>
  <c r="AQ39" i="1"/>
  <c r="BN39" i="1" s="1"/>
  <c r="BM39" i="1"/>
  <c r="AQ41" i="1"/>
  <c r="BN41" i="1" s="1"/>
  <c r="BM41" i="1"/>
  <c r="AQ43" i="1"/>
  <c r="BN43" i="1" s="1"/>
  <c r="BM43" i="1"/>
  <c r="AQ45" i="1"/>
  <c r="BN45" i="1" s="1"/>
  <c r="BM45" i="1"/>
  <c r="AQ47" i="1"/>
  <c r="BN47" i="1" s="1"/>
  <c r="BM47" i="1"/>
  <c r="AQ50" i="1"/>
  <c r="BN50" i="1" s="1"/>
  <c r="BM50" i="1"/>
  <c r="AQ52" i="1"/>
  <c r="BN52" i="1" s="1"/>
  <c r="BM52" i="1"/>
  <c r="AQ54" i="1"/>
  <c r="BN54" i="1" s="1"/>
  <c r="BM54" i="1"/>
  <c r="AQ56" i="1"/>
  <c r="BN56" i="1" s="1"/>
  <c r="BM56" i="1"/>
  <c r="AQ58" i="1"/>
  <c r="BN58" i="1" s="1"/>
  <c r="BM58" i="1"/>
  <c r="AQ60" i="1"/>
  <c r="BN60" i="1" s="1"/>
  <c r="BM60" i="1"/>
  <c r="AQ62" i="1"/>
  <c r="BN62" i="1" s="1"/>
  <c r="BM62" i="1"/>
  <c r="AQ64" i="1"/>
  <c r="BN64" i="1" s="1"/>
  <c r="BM64" i="1"/>
  <c r="AQ66" i="1"/>
  <c r="BN66" i="1" s="1"/>
  <c r="BM66" i="1"/>
  <c r="AQ68" i="1"/>
  <c r="BN68" i="1" s="1"/>
  <c r="BM68" i="1"/>
  <c r="AQ70" i="1"/>
  <c r="BN70" i="1" s="1"/>
  <c r="BM70" i="1"/>
  <c r="AQ72" i="1"/>
  <c r="BN72" i="1" s="1"/>
  <c r="BM72" i="1"/>
  <c r="AQ74" i="1"/>
  <c r="BN74" i="1" s="1"/>
  <c r="BM74" i="1"/>
  <c r="AQ76" i="1"/>
  <c r="BN76" i="1" s="1"/>
  <c r="BM76" i="1"/>
  <c r="AQ78" i="1"/>
  <c r="BN78" i="1" s="1"/>
  <c r="BM78" i="1"/>
  <c r="AQ80" i="1"/>
  <c r="BN80" i="1" s="1"/>
  <c r="BM80" i="1"/>
  <c r="AQ82" i="1"/>
  <c r="BN82" i="1" s="1"/>
  <c r="BM82" i="1"/>
  <c r="AQ84" i="1"/>
  <c r="BN84" i="1" s="1"/>
  <c r="BM84" i="1"/>
  <c r="AQ86" i="1"/>
  <c r="BN86" i="1" s="1"/>
  <c r="BM86" i="1"/>
  <c r="AQ88" i="1"/>
  <c r="BN88" i="1" s="1"/>
  <c r="BM88" i="1"/>
  <c r="AQ90" i="1"/>
  <c r="BN90" i="1" s="1"/>
  <c r="BM90" i="1"/>
  <c r="AQ92" i="1"/>
  <c r="BN92" i="1" s="1"/>
  <c r="BM92" i="1"/>
  <c r="AQ94" i="1"/>
  <c r="BN94" i="1" s="1"/>
  <c r="BM94" i="1"/>
  <c r="AQ98" i="1"/>
  <c r="BN98" i="1" s="1"/>
  <c r="BM98" i="1"/>
  <c r="AQ100" i="1"/>
  <c r="BN100" i="1" s="1"/>
  <c r="BM100" i="1"/>
  <c r="AQ102" i="1"/>
  <c r="BN102" i="1" s="1"/>
  <c r="BM102" i="1"/>
  <c r="AQ104" i="1"/>
  <c r="BN104" i="1" s="1"/>
  <c r="BM104" i="1"/>
  <c r="AQ106" i="1"/>
  <c r="BN106" i="1" s="1"/>
  <c r="BM106" i="1"/>
  <c r="AQ108" i="1"/>
  <c r="BN108" i="1" s="1"/>
  <c r="BM108" i="1"/>
  <c r="AQ110" i="1"/>
  <c r="BN110" i="1" s="1"/>
  <c r="BM110" i="1"/>
  <c r="AQ112" i="1"/>
  <c r="BN112" i="1" s="1"/>
  <c r="BM112" i="1"/>
  <c r="AQ114" i="1"/>
  <c r="BN114" i="1" s="1"/>
  <c r="BM114" i="1"/>
  <c r="AQ116" i="1"/>
  <c r="BN116" i="1" s="1"/>
  <c r="BM116" i="1"/>
  <c r="AQ118" i="1"/>
  <c r="BN118" i="1" s="1"/>
  <c r="BM118" i="1"/>
  <c r="AQ120" i="1"/>
  <c r="BN120" i="1" s="1"/>
  <c r="BM120" i="1"/>
  <c r="AQ122" i="1"/>
  <c r="BN122" i="1" s="1"/>
  <c r="BM122" i="1"/>
  <c r="AQ124" i="1"/>
  <c r="BN124" i="1" s="1"/>
  <c r="BM124" i="1"/>
  <c r="AQ8" i="1"/>
  <c r="BN8" i="1" s="1"/>
  <c r="BM8" i="1"/>
  <c r="AQ10" i="1"/>
  <c r="BN10" i="1" s="1"/>
  <c r="BM10" i="1"/>
  <c r="AQ12" i="1"/>
  <c r="BN12" i="1" s="1"/>
  <c r="BM12" i="1"/>
  <c r="AQ14" i="1"/>
  <c r="BN14" i="1" s="1"/>
  <c r="BM14" i="1"/>
  <c r="AQ16" i="1"/>
  <c r="BN16" i="1" s="1"/>
  <c r="BM16" i="1"/>
  <c r="AQ18" i="1"/>
  <c r="BN18" i="1" s="1"/>
  <c r="BM18" i="1"/>
  <c r="AQ20" i="1"/>
  <c r="BN20" i="1" s="1"/>
  <c r="BM20" i="1"/>
  <c r="AQ22" i="1"/>
  <c r="BN22" i="1" s="1"/>
  <c r="BM22" i="1"/>
  <c r="AQ24" i="1"/>
  <c r="BN24" i="1" s="1"/>
  <c r="BM24" i="1"/>
  <c r="AQ26" i="1"/>
  <c r="BN26" i="1" s="1"/>
  <c r="BM26" i="1"/>
  <c r="AQ28" i="1"/>
  <c r="BN28" i="1" s="1"/>
  <c r="BM28" i="1"/>
  <c r="AQ30" i="1"/>
  <c r="BN30" i="1" s="1"/>
  <c r="BM30" i="1"/>
  <c r="AQ32" i="1"/>
  <c r="BN32" i="1" s="1"/>
  <c r="BM32" i="1"/>
  <c r="AQ34" i="1"/>
  <c r="BN34" i="1" s="1"/>
  <c r="BM34" i="1"/>
  <c r="AQ36" i="1"/>
  <c r="BN36" i="1" s="1"/>
  <c r="BM36" i="1"/>
  <c r="AQ38" i="1"/>
  <c r="BN38" i="1" s="1"/>
  <c r="BM38" i="1"/>
  <c r="AQ40" i="1"/>
  <c r="BN40" i="1" s="1"/>
  <c r="BM40" i="1"/>
  <c r="AQ42" i="1"/>
  <c r="BN42" i="1" s="1"/>
  <c r="BM42" i="1"/>
  <c r="AQ44" i="1"/>
  <c r="BN44" i="1" s="1"/>
  <c r="BM44" i="1"/>
  <c r="AQ46" i="1"/>
  <c r="BN46" i="1" s="1"/>
  <c r="BM46" i="1"/>
  <c r="AQ49" i="1"/>
  <c r="BN49" i="1" s="1"/>
  <c r="BM49" i="1"/>
  <c r="AQ51" i="1"/>
  <c r="BN51" i="1" s="1"/>
  <c r="BM51" i="1"/>
  <c r="AQ53" i="1"/>
  <c r="BN53" i="1" s="1"/>
  <c r="BM53" i="1"/>
  <c r="AQ55" i="1"/>
  <c r="BN55" i="1" s="1"/>
  <c r="BM55" i="1"/>
  <c r="AQ57" i="1"/>
  <c r="BN57" i="1" s="1"/>
  <c r="BM57" i="1"/>
  <c r="AQ59" i="1"/>
  <c r="BN59" i="1" s="1"/>
  <c r="BM59" i="1"/>
  <c r="AQ61" i="1"/>
  <c r="BN61" i="1" s="1"/>
  <c r="BM61" i="1"/>
  <c r="AQ63" i="1"/>
  <c r="BN63" i="1" s="1"/>
  <c r="BM63" i="1"/>
  <c r="AQ67" i="1"/>
  <c r="BN67" i="1" s="1"/>
  <c r="BM67" i="1"/>
  <c r="AQ69" i="1"/>
  <c r="BN69" i="1" s="1"/>
  <c r="BM69" i="1"/>
  <c r="AQ71" i="1"/>
  <c r="BN71" i="1" s="1"/>
  <c r="BM71" i="1"/>
  <c r="AQ73" i="1"/>
  <c r="BN73" i="1" s="1"/>
  <c r="BM73" i="1"/>
  <c r="AQ75" i="1"/>
  <c r="BN75" i="1" s="1"/>
  <c r="BM75" i="1"/>
  <c r="AQ77" i="1"/>
  <c r="BN77" i="1" s="1"/>
  <c r="BM77" i="1"/>
  <c r="AQ79" i="1"/>
  <c r="BN79" i="1" s="1"/>
  <c r="BM79" i="1"/>
  <c r="AQ81" i="1"/>
  <c r="BN81" i="1" s="1"/>
  <c r="BM81" i="1"/>
  <c r="AQ83" i="1"/>
  <c r="BN83" i="1" s="1"/>
  <c r="BM83" i="1"/>
  <c r="AQ85" i="1"/>
  <c r="BN85" i="1" s="1"/>
  <c r="BM85" i="1"/>
  <c r="AQ87" i="1"/>
  <c r="BN87" i="1" s="1"/>
  <c r="BM87" i="1"/>
  <c r="AQ89" i="1"/>
  <c r="BN89" i="1" s="1"/>
  <c r="BM89" i="1"/>
  <c r="AQ91" i="1"/>
  <c r="BN91" i="1" s="1"/>
  <c r="BM91" i="1"/>
  <c r="AQ93" i="1"/>
  <c r="BN93" i="1" s="1"/>
  <c r="BM93" i="1"/>
  <c r="AQ95" i="1"/>
  <c r="BN95" i="1" s="1"/>
  <c r="BM95" i="1"/>
  <c r="AQ97" i="1"/>
  <c r="BN97" i="1" s="1"/>
  <c r="BM97" i="1"/>
  <c r="AQ99" i="1"/>
  <c r="BN99" i="1" s="1"/>
  <c r="BM99" i="1"/>
  <c r="AQ101" i="1"/>
  <c r="BN101" i="1" s="1"/>
  <c r="BM101" i="1"/>
  <c r="AQ103" i="1"/>
  <c r="BN103" i="1" s="1"/>
  <c r="BM103" i="1"/>
  <c r="AQ105" i="1"/>
  <c r="BN105" i="1" s="1"/>
  <c r="BM105" i="1"/>
  <c r="AQ107" i="1"/>
  <c r="BN107" i="1" s="1"/>
  <c r="BM107" i="1"/>
  <c r="AQ109" i="1"/>
  <c r="BN109" i="1" s="1"/>
  <c r="BM109" i="1"/>
  <c r="AQ111" i="1"/>
  <c r="BN111" i="1" s="1"/>
  <c r="BM111" i="1"/>
  <c r="AQ113" i="1"/>
  <c r="BN113" i="1" s="1"/>
  <c r="BM113" i="1"/>
  <c r="AQ115" i="1"/>
  <c r="BN115" i="1" s="1"/>
  <c r="BM115" i="1"/>
  <c r="AQ117" i="1"/>
  <c r="BN117" i="1" s="1"/>
  <c r="BM117" i="1"/>
  <c r="AQ119" i="1"/>
  <c r="BN119" i="1" s="1"/>
  <c r="BM119" i="1"/>
  <c r="AQ121" i="1"/>
  <c r="BN121" i="1" s="1"/>
  <c r="BM121" i="1"/>
  <c r="AQ123" i="1"/>
  <c r="BN123" i="1" s="1"/>
  <c r="BM123" i="1"/>
  <c r="AQ125" i="1"/>
  <c r="BM125" i="1"/>
  <c r="AP390" i="1"/>
  <c r="AP375" i="1"/>
  <c r="AP377" i="1"/>
  <c r="AP392" i="1"/>
  <c r="AP391" i="1"/>
  <c r="AP376" i="1"/>
  <c r="AP393" i="1"/>
  <c r="AP378" i="1"/>
  <c r="AQ65" i="1"/>
  <c r="AQ6" i="1"/>
  <c r="BN6" i="1" s="1"/>
  <c r="AQ37" i="1"/>
  <c r="AQ96" i="1"/>
  <c r="AR377" i="1" l="1"/>
  <c r="BN65" i="1"/>
  <c r="AR379" i="1"/>
  <c r="BN125" i="1"/>
  <c r="AR378" i="1"/>
  <c r="BN96" i="1"/>
  <c r="AR376" i="1"/>
  <c r="BN37" i="1"/>
  <c r="AQ393" i="1"/>
  <c r="AQ378" i="1"/>
  <c r="AR375" i="1"/>
  <c r="AQ390" i="1"/>
  <c r="AQ375" i="1"/>
  <c r="AQ391" i="1"/>
  <c r="AQ376" i="1"/>
  <c r="AQ377" i="1"/>
  <c r="AQ392" i="1"/>
  <c r="AJ6" i="1"/>
  <c r="AK6" i="1" s="1"/>
  <c r="BL6" i="1" s="1"/>
  <c r="B7" i="1"/>
  <c r="AJ49" i="1"/>
  <c r="AK49" i="1" s="1"/>
  <c r="BL49" i="1" s="1"/>
  <c r="B8" i="1" l="1"/>
  <c r="AJ16" i="1"/>
  <c r="AK16" i="1" s="1"/>
  <c r="BL16" i="1" s="1"/>
  <c r="AJ20" i="1"/>
  <c r="AK20" i="1" s="1"/>
  <c r="BL20" i="1" s="1"/>
  <c r="AJ24" i="1"/>
  <c r="AK24" i="1" s="1"/>
  <c r="BL24" i="1" s="1"/>
  <c r="AJ28" i="1"/>
  <c r="AK28" i="1" s="1"/>
  <c r="BL28" i="1" s="1"/>
  <c r="AJ32" i="1"/>
  <c r="AK32" i="1" s="1"/>
  <c r="BL32" i="1" s="1"/>
  <c r="AJ40" i="1"/>
  <c r="AK40" i="1" s="1"/>
  <c r="BL40" i="1" s="1"/>
  <c r="AJ44" i="1"/>
  <c r="AK44" i="1" s="1"/>
  <c r="BL44" i="1" s="1"/>
  <c r="AJ53" i="1"/>
  <c r="AK53" i="1" s="1"/>
  <c r="BL53" i="1" s="1"/>
  <c r="AJ57" i="1"/>
  <c r="AK57" i="1" s="1"/>
  <c r="BL57" i="1" s="1"/>
  <c r="AJ61" i="1"/>
  <c r="AK61" i="1" s="1"/>
  <c r="BL61" i="1" s="1"/>
  <c r="AJ68" i="1"/>
  <c r="AK68" i="1" s="1"/>
  <c r="BL68" i="1" s="1"/>
  <c r="AJ72" i="1"/>
  <c r="AK72" i="1" s="1"/>
  <c r="BL72" i="1" s="1"/>
  <c r="AJ76" i="1"/>
  <c r="AK76" i="1" s="1"/>
  <c r="BL76" i="1" s="1"/>
  <c r="AJ80" i="1"/>
  <c r="AK80" i="1" s="1"/>
  <c r="BL80" i="1" s="1"/>
  <c r="AJ10" i="1"/>
  <c r="AK10" i="1" s="1"/>
  <c r="BL10" i="1" s="1"/>
  <c r="AJ13" i="1"/>
  <c r="AK13" i="1" s="1"/>
  <c r="BL13" i="1" s="1"/>
  <c r="AJ17" i="1"/>
  <c r="AK17" i="1" s="1"/>
  <c r="BL17" i="1" s="1"/>
  <c r="AJ21" i="1"/>
  <c r="AK21" i="1" s="1"/>
  <c r="BL21" i="1" s="1"/>
  <c r="AJ25" i="1"/>
  <c r="AK25" i="1" s="1"/>
  <c r="BL25" i="1" s="1"/>
  <c r="AJ29" i="1"/>
  <c r="AK29" i="1" s="1"/>
  <c r="BL29" i="1" s="1"/>
  <c r="AJ33" i="1"/>
  <c r="AK33" i="1" s="1"/>
  <c r="BL33" i="1" s="1"/>
  <c r="AJ37" i="1"/>
  <c r="AK37" i="1" s="1"/>
  <c r="BL37" i="1" s="1"/>
  <c r="AJ41" i="1"/>
  <c r="AK41" i="1" s="1"/>
  <c r="BL41" i="1" s="1"/>
  <c r="AJ45" i="1"/>
  <c r="AK45" i="1" s="1"/>
  <c r="BL45" i="1" s="1"/>
  <c r="AJ50" i="1"/>
  <c r="AK50" i="1" s="1"/>
  <c r="BL50" i="1" s="1"/>
  <c r="AJ54" i="1"/>
  <c r="AK54" i="1" s="1"/>
  <c r="BL54" i="1" s="1"/>
  <c r="AJ58" i="1"/>
  <c r="AK58" i="1" s="1"/>
  <c r="BL58" i="1" s="1"/>
  <c r="AJ65" i="1"/>
  <c r="AK65" i="1" s="1"/>
  <c r="BL65" i="1" s="1"/>
  <c r="AJ69" i="1"/>
  <c r="AK69" i="1" s="1"/>
  <c r="BL69" i="1" s="1"/>
  <c r="AJ73" i="1"/>
  <c r="AK73" i="1" s="1"/>
  <c r="BL73" i="1" s="1"/>
  <c r="AJ77" i="1"/>
  <c r="AK77" i="1" s="1"/>
  <c r="BL77" i="1" s="1"/>
  <c r="AJ81" i="1"/>
  <c r="AK81" i="1" s="1"/>
  <c r="BL81" i="1" s="1"/>
  <c r="AJ7" i="1"/>
  <c r="AK7" i="1" s="1"/>
  <c r="BL7" i="1" s="1"/>
  <c r="AJ11" i="1"/>
  <c r="AK11" i="1" s="1"/>
  <c r="BL11" i="1" s="1"/>
  <c r="AJ14" i="1"/>
  <c r="AK14" i="1" s="1"/>
  <c r="BL14" i="1" s="1"/>
  <c r="AJ22" i="1"/>
  <c r="AK22" i="1" s="1"/>
  <c r="BL22" i="1" s="1"/>
  <c r="AJ34" i="1"/>
  <c r="AK34" i="1" s="1"/>
  <c r="BL34" i="1" s="1"/>
  <c r="AJ12" i="1"/>
  <c r="AK12" i="1" s="1"/>
  <c r="BL12" i="1" s="1"/>
  <c r="AJ36" i="1"/>
  <c r="AK36" i="1" s="1"/>
  <c r="BL36" i="1" s="1"/>
  <c r="AJ64" i="1"/>
  <c r="AK64" i="1" s="1"/>
  <c r="BL64" i="1" s="1"/>
  <c r="AJ84" i="1"/>
  <c r="AK84" i="1" s="1"/>
  <c r="BL84" i="1" s="1"/>
  <c r="AJ85" i="1"/>
  <c r="AK85" i="1" s="1"/>
  <c r="BL85" i="1" s="1"/>
  <c r="AL6" i="1"/>
  <c r="AJ18" i="1"/>
  <c r="AK18" i="1" s="1"/>
  <c r="BL18" i="1" s="1"/>
  <c r="AJ26" i="1"/>
  <c r="AK26" i="1" s="1"/>
  <c r="BL26" i="1" s="1"/>
  <c r="AJ30" i="1"/>
  <c r="AK30" i="1" s="1"/>
  <c r="BL30" i="1" s="1"/>
  <c r="AJ38" i="1"/>
  <c r="AK38" i="1" s="1"/>
  <c r="BL38" i="1" s="1"/>
  <c r="AJ42" i="1"/>
  <c r="AK42" i="1" s="1"/>
  <c r="BL42" i="1" s="1"/>
  <c r="AJ46" i="1"/>
  <c r="AK46" i="1" s="1"/>
  <c r="BL46" i="1" s="1"/>
  <c r="AJ51" i="1"/>
  <c r="AK51" i="1" s="1"/>
  <c r="BL51" i="1" s="1"/>
  <c r="AJ55" i="1"/>
  <c r="AK55" i="1" s="1"/>
  <c r="BL55" i="1" s="1"/>
  <c r="AJ59" i="1"/>
  <c r="AK59" i="1" s="1"/>
  <c r="BL59" i="1" s="1"/>
  <c r="AK62" i="1"/>
  <c r="BL62" i="1" s="1"/>
  <c r="AJ66" i="1"/>
  <c r="AK66" i="1" s="1"/>
  <c r="BL66" i="1" s="1"/>
  <c r="AJ70" i="1"/>
  <c r="AK70" i="1" s="1"/>
  <c r="BL70" i="1" s="1"/>
  <c r="AJ74" i="1"/>
  <c r="AK74" i="1" s="1"/>
  <c r="BL74" i="1" s="1"/>
  <c r="AJ78" i="1"/>
  <c r="AK78" i="1" s="1"/>
  <c r="BL78" i="1" s="1"/>
  <c r="AJ82" i="1"/>
  <c r="AK82" i="1" s="1"/>
  <c r="BL82" i="1" s="1"/>
  <c r="AJ8" i="1"/>
  <c r="AK8" i="1" s="1"/>
  <c r="BL8" i="1" s="1"/>
  <c r="AJ15" i="1"/>
  <c r="AK15" i="1" s="1"/>
  <c r="BL15" i="1" s="1"/>
  <c r="AJ19" i="1"/>
  <c r="AK19" i="1" s="1"/>
  <c r="BL19" i="1" s="1"/>
  <c r="AJ23" i="1"/>
  <c r="AK23" i="1" s="1"/>
  <c r="BL23" i="1" s="1"/>
  <c r="AJ27" i="1"/>
  <c r="AK27" i="1" s="1"/>
  <c r="BL27" i="1" s="1"/>
  <c r="AJ31" i="1"/>
  <c r="AK31" i="1" s="1"/>
  <c r="BL31" i="1" s="1"/>
  <c r="AJ35" i="1"/>
  <c r="AK35" i="1" s="1"/>
  <c r="BL35" i="1" s="1"/>
  <c r="AJ39" i="1"/>
  <c r="AK39" i="1" s="1"/>
  <c r="BL39" i="1" s="1"/>
  <c r="AJ43" i="1"/>
  <c r="AK43" i="1" s="1"/>
  <c r="BL43" i="1" s="1"/>
  <c r="AJ47" i="1"/>
  <c r="AK47" i="1" s="1"/>
  <c r="BL47" i="1" s="1"/>
  <c r="AJ48" i="1"/>
  <c r="AK48" i="1" s="1"/>
  <c r="BL48" i="1" s="1"/>
  <c r="AJ52" i="1"/>
  <c r="AK52" i="1" s="1"/>
  <c r="BL52" i="1" s="1"/>
  <c r="AJ56" i="1"/>
  <c r="AK56" i="1" s="1"/>
  <c r="BL56" i="1" s="1"/>
  <c r="AJ60" i="1"/>
  <c r="AK60" i="1" s="1"/>
  <c r="BL60" i="1" s="1"/>
  <c r="AJ63" i="1"/>
  <c r="AK63" i="1" s="1"/>
  <c r="BL63" i="1" s="1"/>
  <c r="AJ67" i="1"/>
  <c r="AK67" i="1" s="1"/>
  <c r="BL67" i="1" s="1"/>
  <c r="AJ71" i="1"/>
  <c r="AK71" i="1" s="1"/>
  <c r="BL71" i="1" s="1"/>
  <c r="AJ75" i="1"/>
  <c r="AK75" i="1" s="1"/>
  <c r="BL75" i="1" s="1"/>
  <c r="AJ79" i="1"/>
  <c r="AK79" i="1" s="1"/>
  <c r="BL79" i="1" s="1"/>
  <c r="AJ83" i="1"/>
  <c r="AK83" i="1" s="1"/>
  <c r="BL83" i="1" s="1"/>
  <c r="AJ9" i="1"/>
  <c r="AK9" i="1" s="1"/>
  <c r="BL9" i="1" s="1"/>
  <c r="B9" i="1" l="1"/>
  <c r="AK375" i="1"/>
  <c r="AK392" i="1"/>
  <c r="AK377" i="1"/>
  <c r="AK376" i="1"/>
  <c r="AK391" i="1"/>
  <c r="AK390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B10" i="1" l="1"/>
  <c r="AL62" i="1"/>
  <c r="B11" i="1" l="1"/>
  <c r="AL63" i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</calcChain>
</file>

<file path=xl/sharedStrings.xml><?xml version="1.0" encoding="utf-8"?>
<sst xmlns="http://schemas.openxmlformats.org/spreadsheetml/2006/main" count="1315" uniqueCount="120">
  <si>
    <t>YR</t>
  </si>
  <si>
    <t>Date</t>
  </si>
  <si>
    <t>DoY</t>
  </si>
  <si>
    <t>StnNo</t>
  </si>
  <si>
    <t>BatV</t>
  </si>
  <si>
    <t>Tref</t>
  </si>
  <si>
    <t>Max</t>
  </si>
  <si>
    <t>Min</t>
  </si>
  <si>
    <t>Solar</t>
  </si>
  <si>
    <t>MJ/m2/d</t>
  </si>
  <si>
    <t>Ave C</t>
  </si>
  <si>
    <t>Max C</t>
  </si>
  <si>
    <t>Min C</t>
  </si>
  <si>
    <t>V</t>
  </si>
  <si>
    <t>RH</t>
  </si>
  <si>
    <t>Tair</t>
  </si>
  <si>
    <t>C</t>
  </si>
  <si>
    <t>%</t>
  </si>
  <si>
    <t>Average</t>
  </si>
  <si>
    <t xml:space="preserve">Maximum </t>
  </si>
  <si>
    <t>Minimum</t>
  </si>
  <si>
    <t>Wind</t>
  </si>
  <si>
    <t>Ave m/s</t>
  </si>
  <si>
    <t>Max m/s</t>
  </si>
  <si>
    <t>Rain</t>
  </si>
  <si>
    <t>mm</t>
  </si>
  <si>
    <t>Snow Dist</t>
  </si>
  <si>
    <t>m</t>
  </si>
  <si>
    <t>Tpanel</t>
  </si>
  <si>
    <t>SnowDist</t>
  </si>
  <si>
    <t>cts</t>
  </si>
  <si>
    <t>Comments</t>
  </si>
  <si>
    <t>SolarMax</t>
  </si>
  <si>
    <t>SnowDepth</t>
  </si>
  <si>
    <t>Tsoil</t>
  </si>
  <si>
    <t>Short (mV)</t>
  </si>
  <si>
    <t>Ta1.5m</t>
  </si>
  <si>
    <t>Ta0.2m</t>
  </si>
  <si>
    <t xml:space="preserve">Adjusted </t>
  </si>
  <si>
    <t>Vapres</t>
  </si>
  <si>
    <t>vpd</t>
  </si>
  <si>
    <t>kPa</t>
  </si>
  <si>
    <t>Sol</t>
  </si>
  <si>
    <t>PPT</t>
  </si>
  <si>
    <t>vpdX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</si>
  <si>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</si>
  <si>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</si>
  <si>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</si>
  <si>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</si>
  <si>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</si>
  <si>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</si>
  <si>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</si>
  <si>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</si>
  <si>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</si>
  <si>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</si>
  <si>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</si>
  <si>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</si>
  <si>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From hourly</t>
  </si>
  <si>
    <t>Meta data for Chase Creek</t>
  </si>
  <si>
    <t>Kipp and Zonen silicon pyranomter 105.15 W/m2/mV at 2.5 m</t>
  </si>
  <si>
    <t>Texas Electronic tipping bucket on stump</t>
  </si>
  <si>
    <t>Approx. 0.1 m depth Chromel constantan thermocouples (average of three locations)  referenced to panel thermistor</t>
  </si>
  <si>
    <t>Solar radiation MJ/m2/d</t>
  </si>
  <si>
    <t xml:space="preserve">Air temperature </t>
  </si>
  <si>
    <t>Relative humidity %</t>
  </si>
  <si>
    <t>Rainfall mm</t>
  </si>
  <si>
    <t>Snow depth m</t>
  </si>
  <si>
    <t>Soil temperature C</t>
  </si>
  <si>
    <t>Wind speed m/s</t>
  </si>
  <si>
    <t>1.5 thermocouple not working</t>
  </si>
  <si>
    <t>Chromel constantan thermocouples at 1.5 and 0.2 m referenced to panel thermistor. No shielding</t>
  </si>
  <si>
    <t>Snow D mm</t>
  </si>
  <si>
    <t>End of month</t>
  </si>
  <si>
    <t>RMYoung Wind Sentry at 2.5 m</t>
  </si>
  <si>
    <t>from snow</t>
  </si>
  <si>
    <t>Snw+Rain</t>
  </si>
  <si>
    <t>Kmax from 10 min calculation</t>
  </si>
  <si>
    <t>Sum ppt</t>
  </si>
  <si>
    <t>TaAvg</t>
  </si>
  <si>
    <t>RHAvg</t>
  </si>
  <si>
    <t>Ta1.5Ave</t>
  </si>
  <si>
    <t>Ta20Avg</t>
  </si>
  <si>
    <t>TSoilAve</t>
  </si>
  <si>
    <t>Txavg</t>
  </si>
  <si>
    <t>Tmaxmax</t>
  </si>
  <si>
    <t>Tminavg</t>
  </si>
  <si>
    <t>TminTmin</t>
  </si>
  <si>
    <t>RHmin</t>
  </si>
  <si>
    <t>Rhminmin</t>
  </si>
  <si>
    <t>Uavg</t>
  </si>
  <si>
    <t>Uxavg</t>
  </si>
  <si>
    <t>Umax</t>
  </si>
  <si>
    <t>CSI SR50A at 2 m</t>
  </si>
  <si>
    <t>Broken</t>
  </si>
  <si>
    <t>MetOne installed 3 Feb . Progam not changed</t>
  </si>
  <si>
    <t>New program for anemometer 19 August</t>
  </si>
  <si>
    <t>Chase Creek 2025</t>
  </si>
  <si>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</si>
  <si>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</si>
  <si>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</si>
  <si>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</si>
  <si>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</si>
  <si>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</si>
  <si>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</si>
  <si>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</si>
  <si>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SnowD</t>
  </si>
  <si>
    <t>m/s</t>
  </si>
  <si>
    <t>NA</t>
  </si>
  <si>
    <t>PPT= snow+rain</t>
  </si>
  <si>
    <t>Snow = Daily increase in pack depth and assumed compacted density of 0.13 Mg/m3</t>
  </si>
  <si>
    <t>Vapour pressure kPa</t>
  </si>
  <si>
    <t>Calculated from the daily maximum temperature and mininimum relative humdity: esat(Tmax)*(1-RH/100)</t>
  </si>
  <si>
    <t>Maximum vapour presure deficit</t>
  </si>
  <si>
    <t>Summary</t>
  </si>
  <si>
    <t>CS500 platinum resistance thermometer  at 2.5 m in pie plate shield</t>
  </si>
  <si>
    <t>CS500  at 2.5 m in pie plate shield</t>
  </si>
  <si>
    <t xml:space="preserve">Rain = Rain gauge. </t>
  </si>
  <si>
    <t xml:space="preserve"> If there is a snow pack then  reviewed hourly data to determine if likely snow melt rather than rain, i.e., tipping when above zero and low humidity and sunny.</t>
  </si>
  <si>
    <t>Calculated from the daily maximum temperature and mininimum relative humdity: esat(Tmax)*RH/100</t>
  </si>
  <si>
    <t>Last edit 31/03/25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</si>
</sst>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;@"/>
    <numFmt numFmtId="165" formatCode="0.00_)"/>
    <numFmt numFmtId="166" formatCode="0.0_)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applyFont="1" applyProtection="1"/>
    <xf numFmtId="0" fontId="1" fillId="0" borderId="0" xfId="0" applyFont="1" applyFill="1"/>
    <xf numFmtId="165" fontId="1" fillId="0" borderId="0" xfId="0" applyNumberFormat="1" applyFont="1" applyFill="1"/>
    <xf numFmtId="165" fontId="1" fillId="0" borderId="0" xfId="0" applyNumberFormat="1" applyFont="1"/>
    <xf numFmtId="165" fontId="1" fillId="0" borderId="0" xfId="0" applyNumberFormat="1" applyFont="1" applyFill="1" applyBorder="1"/>
    <xf numFmtId="0" fontId="1" fillId="0" borderId="0" xfId="0" applyFont="1" applyFill="1" applyAlignment="1" applyProtection="1">
      <alignment horizontal="center"/>
    </xf>
    <xf numFmtId="0" fontId="1" fillId="0" borderId="0" xfId="0" applyFont="1" applyBorder="1"/>
    <xf numFmtId="0" fontId="1" fillId="0" borderId="0" xfId="0" applyFont="1" applyAlignment="1" applyProtection="1">
      <alignment horizontal="center"/>
    </xf>
    <xf numFmtId="166" fontId="1" fillId="0" borderId="0" xfId="0" applyNumberFormat="1" applyFont="1" applyFill="1"/>
    <xf numFmtId="1" fontId="1" fillId="0" borderId="0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calcChain" Target="calcChain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0.28499999999999998</c:v>
                </c:pt>
                <c:pt idx="1">
                  <c:v>0.184</c:v>
                </c:pt>
                <c:pt idx="2">
                  <c:v>0.33500000000000002</c:v>
                </c:pt>
                <c:pt idx="3">
                  <c:v>0.68899999999999995</c:v>
                </c:pt>
                <c:pt idx="4">
                  <c:v>0.41599999999999998</c:v>
                </c:pt>
                <c:pt idx="5">
                  <c:v>0.38100000000000001</c:v>
                </c:pt>
                <c:pt idx="6">
                  <c:v>0.45200000000000001</c:v>
                </c:pt>
                <c:pt idx="7">
                  <c:v>0.38900000000000001</c:v>
                </c:pt>
                <c:pt idx="8">
                  <c:v>0.64600000000000002</c:v>
                </c:pt>
                <c:pt idx="9">
                  <c:v>0.14499999999999999</c:v>
                </c:pt>
                <c:pt idx="10">
                  <c:v>0.49399999999999999</c:v>
                </c:pt>
                <c:pt idx="11">
                  <c:v>0.58899999999999997</c:v>
                </c:pt>
                <c:pt idx="12">
                  <c:v>0.83899999999999997</c:v>
                </c:pt>
                <c:pt idx="13">
                  <c:v>0.875</c:v>
                </c:pt>
                <c:pt idx="14">
                  <c:v>1.998</c:v>
                </c:pt>
                <c:pt idx="15">
                  <c:v>1.4419999999999999</c:v>
                </c:pt>
                <c:pt idx="16">
                  <c:v>1.5329999999999999</c:v>
                </c:pt>
                <c:pt idx="17">
                  <c:v>4.0209999999999999</c:v>
                </c:pt>
                <c:pt idx="18">
                  <c:v>3.9159999999999999</c:v>
                </c:pt>
                <c:pt idx="19">
                  <c:v>3.2719999999999998</c:v>
                </c:pt>
                <c:pt idx="20">
                  <c:v>1.214</c:v>
                </c:pt>
                <c:pt idx="21">
                  <c:v>3.3220000000000001</c:v>
                </c:pt>
                <c:pt idx="22">
                  <c:v>0.80200000000000005</c:v>
                </c:pt>
                <c:pt idx="23">
                  <c:v>1.4239999999999999</c:v>
                </c:pt>
                <c:pt idx="24">
                  <c:v>1.5820000000000001</c:v>
                </c:pt>
                <c:pt idx="25">
                  <c:v>3.411</c:v>
                </c:pt>
                <c:pt idx="26">
                  <c:v>4.0389999999999997</c:v>
                </c:pt>
                <c:pt idx="27">
                  <c:v>4.1319999999999997</c:v>
                </c:pt>
                <c:pt idx="28">
                  <c:v>4.4989999999999997</c:v>
                </c:pt>
                <c:pt idx="29">
                  <c:v>1.9059999999999999</c:v>
                </c:pt>
                <c:pt idx="30">
                  <c:v>1.52</c:v>
                </c:pt>
                <c:pt idx="31">
                  <c:v>1.407</c:v>
                </c:pt>
                <c:pt idx="32">
                  <c:v>2.0529999999999999</c:v>
                </c:pt>
                <c:pt idx="33">
                  <c:v>0.54900000000000004</c:v>
                </c:pt>
                <c:pt idx="34">
                  <c:v>0.64600000000000002</c:v>
                </c:pt>
                <c:pt idx="35">
                  <c:v>0.627</c:v>
                </c:pt>
                <c:pt idx="36">
                  <c:v>0.79700000000000004</c:v>
                </c:pt>
                <c:pt idx="37">
                  <c:v>0.88800000000000001</c:v>
                </c:pt>
                <c:pt idx="38">
                  <c:v>0.74</c:v>
                </c:pt>
                <c:pt idx="39">
                  <c:v>0.626</c:v>
                </c:pt>
                <c:pt idx="40">
                  <c:v>1.1579999999999999</c:v>
                </c:pt>
                <c:pt idx="41">
                  <c:v>1.3089999999999999</c:v>
                </c:pt>
                <c:pt idx="42">
                  <c:v>1.4139999999999999</c:v>
                </c:pt>
                <c:pt idx="43">
                  <c:v>1.659</c:v>
                </c:pt>
                <c:pt idx="44">
                  <c:v>1.5309999999999999</c:v>
                </c:pt>
                <c:pt idx="45">
                  <c:v>3.62</c:v>
                </c:pt>
                <c:pt idx="46">
                  <c:v>0.93700000000000006</c:v>
                </c:pt>
                <c:pt idx="47">
                  <c:v>0.63600000000000001</c:v>
                </c:pt>
                <c:pt idx="48">
                  <c:v>0.98799999999999999</c:v>
                </c:pt>
                <c:pt idx="49">
                  <c:v>0.51300000000000001</c:v>
                </c:pt>
                <c:pt idx="50">
                  <c:v>4.5220000000000002</c:v>
                </c:pt>
                <c:pt idx="51">
                  <c:v>0.39400000000000002</c:v>
                </c:pt>
                <c:pt idx="52">
                  <c:v>3.5419999999999998</c:v>
                </c:pt>
                <c:pt idx="53">
                  <c:v>8.32</c:v>
                </c:pt>
                <c:pt idx="54">
                  <c:v>4.1719999999999997</c:v>
                </c:pt>
                <c:pt idx="55">
                  <c:v>4.992</c:v>
                </c:pt>
                <c:pt idx="56">
                  <c:v>7.77</c:v>
                </c:pt>
                <c:pt idx="57">
                  <c:v>6.3710000000000004</c:v>
                </c:pt>
                <c:pt idx="58">
                  <c:v>5.806</c:v>
                </c:pt>
                <c:pt idx="59">
                  <c:v>10.36</c:v>
                </c:pt>
                <c:pt idx="60">
                  <c:v>9.15</c:v>
                </c:pt>
                <c:pt idx="61">
                  <c:v>8.08</c:v>
                </c:pt>
                <c:pt idx="62">
                  <c:v>8.58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36544"/>
        <c:axId val="155438080"/>
      </c:lineChart>
      <c:catAx>
        <c:axId val="155436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5438080"/>
        <c:crosses val="autoZero"/>
        <c:auto val="1"/>
        <c:lblAlgn val="ctr"/>
        <c:lblOffset val="100"/>
        <c:tickMarkSkip val="10"/>
        <c:noMultiLvlLbl val="0"/>
      </c:catAx>
      <c:valAx>
        <c:axId val="155438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436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0.28000000000000003</c:v>
                </c:pt>
                <c:pt idx="1">
                  <c:v>0.18</c:v>
                </c:pt>
                <c:pt idx="2">
                  <c:v>0.34</c:v>
                </c:pt>
                <c:pt idx="3">
                  <c:v>0.69</c:v>
                </c:pt>
                <c:pt idx="4">
                  <c:v>0.41</c:v>
                </c:pt>
                <c:pt idx="5">
                  <c:v>0.38</c:v>
                </c:pt>
                <c:pt idx="6">
                  <c:v>0.45</c:v>
                </c:pt>
                <c:pt idx="7">
                  <c:v>0.39</c:v>
                </c:pt>
                <c:pt idx="8">
                  <c:v>0.65</c:v>
                </c:pt>
                <c:pt idx="9">
                  <c:v>0.14000000000000001</c:v>
                </c:pt>
                <c:pt idx="10">
                  <c:v>0.49</c:v>
                </c:pt>
                <c:pt idx="11">
                  <c:v>0.59</c:v>
                </c:pt>
                <c:pt idx="12">
                  <c:v>0.84</c:v>
                </c:pt>
                <c:pt idx="13">
                  <c:v>0.87</c:v>
                </c:pt>
                <c:pt idx="14">
                  <c:v>2</c:v>
                </c:pt>
                <c:pt idx="15">
                  <c:v>1.44</c:v>
                </c:pt>
                <c:pt idx="16">
                  <c:v>1.53</c:v>
                </c:pt>
                <c:pt idx="17">
                  <c:v>4.0199999999999996</c:v>
                </c:pt>
                <c:pt idx="18">
                  <c:v>3.91</c:v>
                </c:pt>
                <c:pt idx="19">
                  <c:v>3.27</c:v>
                </c:pt>
                <c:pt idx="20">
                  <c:v>1.21</c:v>
                </c:pt>
                <c:pt idx="21">
                  <c:v>3.32</c:v>
                </c:pt>
                <c:pt idx="22">
                  <c:v>0.8</c:v>
                </c:pt>
                <c:pt idx="23">
                  <c:v>1.42</c:v>
                </c:pt>
                <c:pt idx="24">
                  <c:v>1.58</c:v>
                </c:pt>
                <c:pt idx="25">
                  <c:v>3.41</c:v>
                </c:pt>
                <c:pt idx="26">
                  <c:v>4.04</c:v>
                </c:pt>
                <c:pt idx="27">
                  <c:v>4.13</c:v>
                </c:pt>
                <c:pt idx="28">
                  <c:v>4.5</c:v>
                </c:pt>
                <c:pt idx="29">
                  <c:v>1.91</c:v>
                </c:pt>
                <c:pt idx="30">
                  <c:v>1.52</c:v>
                </c:pt>
                <c:pt idx="31">
                  <c:v>1.41</c:v>
                </c:pt>
                <c:pt idx="32">
                  <c:v>2.0499999999999998</c:v>
                </c:pt>
                <c:pt idx="33">
                  <c:v>0.55000000000000004</c:v>
                </c:pt>
                <c:pt idx="34">
                  <c:v>0.64</c:v>
                </c:pt>
                <c:pt idx="35">
                  <c:v>0.63</c:v>
                </c:pt>
                <c:pt idx="36">
                  <c:v>0.79</c:v>
                </c:pt>
                <c:pt idx="37">
                  <c:v>0.89</c:v>
                </c:pt>
                <c:pt idx="38">
                  <c:v>0.74</c:v>
                </c:pt>
                <c:pt idx="39">
                  <c:v>0.62</c:v>
                </c:pt>
                <c:pt idx="40">
                  <c:v>1.1599999999999999</c:v>
                </c:pt>
                <c:pt idx="41">
                  <c:v>1.31</c:v>
                </c:pt>
                <c:pt idx="42">
                  <c:v>1.41</c:v>
                </c:pt>
                <c:pt idx="43">
                  <c:v>1.65</c:v>
                </c:pt>
                <c:pt idx="44">
                  <c:v>1.53</c:v>
                </c:pt>
                <c:pt idx="45">
                  <c:v>3.62</c:v>
                </c:pt>
                <c:pt idx="46">
                  <c:v>0.94</c:v>
                </c:pt>
                <c:pt idx="47">
                  <c:v>0.63</c:v>
                </c:pt>
                <c:pt idx="48">
                  <c:v>0.99</c:v>
                </c:pt>
                <c:pt idx="49">
                  <c:v>0.51</c:v>
                </c:pt>
                <c:pt idx="50">
                  <c:v>4.5199999999999996</c:v>
                </c:pt>
                <c:pt idx="51">
                  <c:v>0.39</c:v>
                </c:pt>
                <c:pt idx="52">
                  <c:v>3.54</c:v>
                </c:pt>
                <c:pt idx="53">
                  <c:v>8.32</c:v>
                </c:pt>
                <c:pt idx="54">
                  <c:v>4.17</c:v>
                </c:pt>
                <c:pt idx="55">
                  <c:v>4.99</c:v>
                </c:pt>
                <c:pt idx="56">
                  <c:v>7.77</c:v>
                </c:pt>
                <c:pt idx="57">
                  <c:v>6.37</c:v>
                </c:pt>
                <c:pt idx="58">
                  <c:v>5.81</c:v>
                </c:pt>
                <c:pt idx="59">
                  <c:v>10.36</c:v>
                </c:pt>
                <c:pt idx="60">
                  <c:v>9.15</c:v>
                </c:pt>
                <c:pt idx="61">
                  <c:v>8.08</c:v>
                </c:pt>
                <c:pt idx="62">
                  <c:v>8.58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25728"/>
        <c:axId val="207003648"/>
      </c:lineChart>
      <c:catAx>
        <c:axId val="206825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003648"/>
        <c:crosses val="autoZero"/>
        <c:auto val="1"/>
        <c:lblAlgn val="ctr"/>
        <c:lblOffset val="100"/>
        <c:tickMarkSkip val="10"/>
        <c:noMultiLvlLbl val="0"/>
      </c:catAx>
      <c:valAx>
        <c:axId val="207003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6825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Ta/RH sensor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-7.15</c:v>
                </c:pt>
                <c:pt idx="1">
                  <c:v>-7.36</c:v>
                </c:pt>
                <c:pt idx="2">
                  <c:v>-5.2030000000000003</c:v>
                </c:pt>
                <c:pt idx="3">
                  <c:v>-5.4050000000000002</c:v>
                </c:pt>
                <c:pt idx="4">
                  <c:v>-5.1360000000000001</c:v>
                </c:pt>
                <c:pt idx="5">
                  <c:v>-3.9969999999999999</c:v>
                </c:pt>
                <c:pt idx="6">
                  <c:v>-5.7409999999999997</c:v>
                </c:pt>
                <c:pt idx="7">
                  <c:v>-4.7990000000000004</c:v>
                </c:pt>
                <c:pt idx="8">
                  <c:v>-5.0679999999999996</c:v>
                </c:pt>
                <c:pt idx="9">
                  <c:v>-3.1960000000000002</c:v>
                </c:pt>
                <c:pt idx="10">
                  <c:v>-3.3969999999999998</c:v>
                </c:pt>
                <c:pt idx="11">
                  <c:v>-7.42</c:v>
                </c:pt>
                <c:pt idx="12">
                  <c:v>-7.69</c:v>
                </c:pt>
                <c:pt idx="13">
                  <c:v>-6.0780000000000003</c:v>
                </c:pt>
                <c:pt idx="14">
                  <c:v>-3.7909999999999999</c:v>
                </c:pt>
                <c:pt idx="15">
                  <c:v>-6.3470000000000004</c:v>
                </c:pt>
                <c:pt idx="16">
                  <c:v>-11.31</c:v>
                </c:pt>
                <c:pt idx="17">
                  <c:v>-13.4</c:v>
                </c:pt>
                <c:pt idx="18">
                  <c:v>-14.2</c:v>
                </c:pt>
                <c:pt idx="19">
                  <c:v>-14.94</c:v>
                </c:pt>
                <c:pt idx="20">
                  <c:v>-11.12</c:v>
                </c:pt>
                <c:pt idx="21">
                  <c:v>-10.71</c:v>
                </c:pt>
                <c:pt idx="22">
                  <c:v>-8.5</c:v>
                </c:pt>
                <c:pt idx="23">
                  <c:v>-11.24</c:v>
                </c:pt>
                <c:pt idx="24">
                  <c:v>-11.98</c:v>
                </c:pt>
                <c:pt idx="25">
                  <c:v>-11.45</c:v>
                </c:pt>
                <c:pt idx="26">
                  <c:v>-11.18</c:v>
                </c:pt>
                <c:pt idx="27">
                  <c:v>-7.89</c:v>
                </c:pt>
                <c:pt idx="28">
                  <c:v>-8.6199999999999992</c:v>
                </c:pt>
                <c:pt idx="29">
                  <c:v>-2.3210000000000002</c:v>
                </c:pt>
                <c:pt idx="30">
                  <c:v>-2.86</c:v>
                </c:pt>
                <c:pt idx="31">
                  <c:v>-11.18</c:v>
                </c:pt>
                <c:pt idx="32">
                  <c:v>-20.66</c:v>
                </c:pt>
                <c:pt idx="33">
                  <c:v>-22.14</c:v>
                </c:pt>
                <c:pt idx="34">
                  <c:v>-24.97</c:v>
                </c:pt>
                <c:pt idx="35">
                  <c:v>-25.37</c:v>
                </c:pt>
                <c:pt idx="36">
                  <c:v>-22.74</c:v>
                </c:pt>
                <c:pt idx="37">
                  <c:v>-18.3</c:v>
                </c:pt>
                <c:pt idx="38">
                  <c:v>-17.36</c:v>
                </c:pt>
                <c:pt idx="39">
                  <c:v>-18.5</c:v>
                </c:pt>
                <c:pt idx="40">
                  <c:v>-20.25</c:v>
                </c:pt>
                <c:pt idx="41">
                  <c:v>-21.2</c:v>
                </c:pt>
                <c:pt idx="42">
                  <c:v>-18.57</c:v>
                </c:pt>
                <c:pt idx="43">
                  <c:v>-14.74</c:v>
                </c:pt>
                <c:pt idx="44">
                  <c:v>-13.06</c:v>
                </c:pt>
                <c:pt idx="45">
                  <c:v>-13.73</c:v>
                </c:pt>
                <c:pt idx="46">
                  <c:v>-6.6159999999999997</c:v>
                </c:pt>
                <c:pt idx="47">
                  <c:v>-10.17</c:v>
                </c:pt>
                <c:pt idx="48">
                  <c:v>-11.45</c:v>
                </c:pt>
                <c:pt idx="49">
                  <c:v>-4.1360000000000001</c:v>
                </c:pt>
                <c:pt idx="50">
                  <c:v>-2.5230000000000001</c:v>
                </c:pt>
                <c:pt idx="51">
                  <c:v>-2.3879999999999999</c:v>
                </c:pt>
                <c:pt idx="52">
                  <c:v>-0.77400000000000002</c:v>
                </c:pt>
                <c:pt idx="53">
                  <c:v>-0.316</c:v>
                </c:pt>
                <c:pt idx="54">
                  <c:v>-0.97599999999999998</c:v>
                </c:pt>
                <c:pt idx="55">
                  <c:v>-1.3120000000000001</c:v>
                </c:pt>
                <c:pt idx="56">
                  <c:v>-2.3889999999999998</c:v>
                </c:pt>
                <c:pt idx="57">
                  <c:v>-0.16900000000000001</c:v>
                </c:pt>
                <c:pt idx="58">
                  <c:v>0.36</c:v>
                </c:pt>
                <c:pt idx="59">
                  <c:v>0.505</c:v>
                </c:pt>
                <c:pt idx="60">
                  <c:v>-0.30299999999999999</c:v>
                </c:pt>
                <c:pt idx="61">
                  <c:v>-2.4550000000000001</c:v>
                </c:pt>
                <c:pt idx="62">
                  <c:v>-3.0489999999999999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-3.2519999999999998</c:v>
                </c:pt>
                <c:pt idx="1">
                  <c:v>-3.3860000000000001</c:v>
                </c:pt>
                <c:pt idx="2">
                  <c:v>-0.90800000000000003</c:v>
                </c:pt>
                <c:pt idx="3">
                  <c:v>2.72</c:v>
                </c:pt>
                <c:pt idx="4">
                  <c:v>0.90800000000000003</c:v>
                </c:pt>
                <c:pt idx="5">
                  <c:v>-0.37</c:v>
                </c:pt>
                <c:pt idx="6">
                  <c:v>-1.7150000000000001</c:v>
                </c:pt>
                <c:pt idx="7">
                  <c:v>2.5760000000000001</c:v>
                </c:pt>
                <c:pt idx="8">
                  <c:v>1.7090000000000001</c:v>
                </c:pt>
                <c:pt idx="9">
                  <c:v>0.77400000000000002</c:v>
                </c:pt>
                <c:pt idx="10">
                  <c:v>1.9810000000000001</c:v>
                </c:pt>
                <c:pt idx="11">
                  <c:v>2.319</c:v>
                </c:pt>
                <c:pt idx="12">
                  <c:v>0.30299999999999999</c:v>
                </c:pt>
                <c:pt idx="13">
                  <c:v>2.8559999999999999</c:v>
                </c:pt>
                <c:pt idx="14">
                  <c:v>4.5970000000000004</c:v>
                </c:pt>
                <c:pt idx="15">
                  <c:v>1.177</c:v>
                </c:pt>
                <c:pt idx="16">
                  <c:v>-3.52</c:v>
                </c:pt>
                <c:pt idx="17">
                  <c:v>-2.3730000000000002</c:v>
                </c:pt>
                <c:pt idx="18">
                  <c:v>-3.653</c:v>
                </c:pt>
                <c:pt idx="19">
                  <c:v>-6.7510000000000003</c:v>
                </c:pt>
                <c:pt idx="20">
                  <c:v>-3.2509999999999999</c:v>
                </c:pt>
                <c:pt idx="21">
                  <c:v>-0.90700000000000003</c:v>
                </c:pt>
                <c:pt idx="22">
                  <c:v>-3.1840000000000002</c:v>
                </c:pt>
                <c:pt idx="23">
                  <c:v>-2.5110000000000001</c:v>
                </c:pt>
                <c:pt idx="24">
                  <c:v>-4.4619999999999997</c:v>
                </c:pt>
                <c:pt idx="25">
                  <c:v>-1.375</c:v>
                </c:pt>
                <c:pt idx="26">
                  <c:v>0.499</c:v>
                </c:pt>
                <c:pt idx="27">
                  <c:v>2.391</c:v>
                </c:pt>
                <c:pt idx="28">
                  <c:v>2.8580000000000001</c:v>
                </c:pt>
                <c:pt idx="29">
                  <c:v>1.234</c:v>
                </c:pt>
                <c:pt idx="30">
                  <c:v>2.3069999999999999</c:v>
                </c:pt>
                <c:pt idx="31">
                  <c:v>-0.437</c:v>
                </c:pt>
                <c:pt idx="32">
                  <c:v>-8.02</c:v>
                </c:pt>
                <c:pt idx="33">
                  <c:v>-14</c:v>
                </c:pt>
                <c:pt idx="34">
                  <c:v>-14.88</c:v>
                </c:pt>
                <c:pt idx="35">
                  <c:v>-14.07</c:v>
                </c:pt>
                <c:pt idx="36">
                  <c:v>-7.35</c:v>
                </c:pt>
                <c:pt idx="37">
                  <c:v>-5.5419999999999998</c:v>
                </c:pt>
                <c:pt idx="38">
                  <c:v>-5.07</c:v>
                </c:pt>
                <c:pt idx="39">
                  <c:v>-9.3000000000000007</c:v>
                </c:pt>
                <c:pt idx="40">
                  <c:v>-6.4669999999999996</c:v>
                </c:pt>
                <c:pt idx="41">
                  <c:v>-7.49</c:v>
                </c:pt>
                <c:pt idx="42">
                  <c:v>-5.4720000000000004</c:v>
                </c:pt>
                <c:pt idx="43">
                  <c:v>-3.8010000000000002</c:v>
                </c:pt>
                <c:pt idx="44">
                  <c:v>-2.7919999999999998</c:v>
                </c:pt>
                <c:pt idx="45">
                  <c:v>0.439</c:v>
                </c:pt>
                <c:pt idx="46">
                  <c:v>-2.3889999999999998</c:v>
                </c:pt>
                <c:pt idx="47">
                  <c:v>-1.3120000000000001</c:v>
                </c:pt>
                <c:pt idx="48">
                  <c:v>-0.97599999999999998</c:v>
                </c:pt>
                <c:pt idx="49">
                  <c:v>-0.17100000000000001</c:v>
                </c:pt>
                <c:pt idx="50">
                  <c:v>7.42</c:v>
                </c:pt>
                <c:pt idx="51">
                  <c:v>1.5</c:v>
                </c:pt>
                <c:pt idx="52">
                  <c:v>6.6120000000000001</c:v>
                </c:pt>
                <c:pt idx="53">
                  <c:v>9.56</c:v>
                </c:pt>
                <c:pt idx="54">
                  <c:v>5.6689999999999996</c:v>
                </c:pt>
                <c:pt idx="55">
                  <c:v>5.8719999999999999</c:v>
                </c:pt>
                <c:pt idx="56">
                  <c:v>8.9600000000000009</c:v>
                </c:pt>
                <c:pt idx="57">
                  <c:v>9.2899999999999991</c:v>
                </c:pt>
                <c:pt idx="58">
                  <c:v>10.83</c:v>
                </c:pt>
                <c:pt idx="59">
                  <c:v>13.44</c:v>
                </c:pt>
                <c:pt idx="60">
                  <c:v>11.37</c:v>
                </c:pt>
                <c:pt idx="61">
                  <c:v>8.41</c:v>
                </c:pt>
                <c:pt idx="62">
                  <c:v>8.41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46176"/>
        <c:axId val="207795712"/>
      </c:lineChart>
      <c:catAx>
        <c:axId val="2077461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79571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795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746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80.400000000000006</c:v>
                </c:pt>
                <c:pt idx="1">
                  <c:v>80.8</c:v>
                </c:pt>
                <c:pt idx="2">
                  <c:v>72.8</c:v>
                </c:pt>
                <c:pt idx="3">
                  <c:v>67.95</c:v>
                </c:pt>
                <c:pt idx="4">
                  <c:v>76.8</c:v>
                </c:pt>
                <c:pt idx="5">
                  <c:v>78.599999999999994</c:v>
                </c:pt>
                <c:pt idx="6">
                  <c:v>81.3</c:v>
                </c:pt>
                <c:pt idx="7">
                  <c:v>78.400000000000006</c:v>
                </c:pt>
                <c:pt idx="8">
                  <c:v>72.900000000000006</c:v>
                </c:pt>
                <c:pt idx="9">
                  <c:v>81.2</c:v>
                </c:pt>
                <c:pt idx="10">
                  <c:v>66.599999999999994</c:v>
                </c:pt>
                <c:pt idx="11">
                  <c:v>61.36</c:v>
                </c:pt>
                <c:pt idx="12">
                  <c:v>63.92</c:v>
                </c:pt>
                <c:pt idx="13">
                  <c:v>65.39</c:v>
                </c:pt>
                <c:pt idx="14">
                  <c:v>62.23</c:v>
                </c:pt>
                <c:pt idx="15">
                  <c:v>57.66</c:v>
                </c:pt>
                <c:pt idx="16">
                  <c:v>64.28</c:v>
                </c:pt>
                <c:pt idx="17">
                  <c:v>52.62</c:v>
                </c:pt>
                <c:pt idx="18">
                  <c:v>54.77</c:v>
                </c:pt>
                <c:pt idx="19">
                  <c:v>65.02</c:v>
                </c:pt>
                <c:pt idx="20">
                  <c:v>72.8</c:v>
                </c:pt>
                <c:pt idx="21">
                  <c:v>56.05</c:v>
                </c:pt>
                <c:pt idx="22">
                  <c:v>72.2</c:v>
                </c:pt>
                <c:pt idx="23">
                  <c:v>61.85</c:v>
                </c:pt>
                <c:pt idx="24">
                  <c:v>67.17</c:v>
                </c:pt>
                <c:pt idx="25">
                  <c:v>59.35</c:v>
                </c:pt>
                <c:pt idx="26">
                  <c:v>56.03</c:v>
                </c:pt>
                <c:pt idx="27">
                  <c:v>50.33</c:v>
                </c:pt>
                <c:pt idx="28">
                  <c:v>42.19</c:v>
                </c:pt>
                <c:pt idx="29">
                  <c:v>43.8</c:v>
                </c:pt>
                <c:pt idx="30">
                  <c:v>68.010000000000005</c:v>
                </c:pt>
                <c:pt idx="31">
                  <c:v>49.05</c:v>
                </c:pt>
                <c:pt idx="32">
                  <c:v>55.01</c:v>
                </c:pt>
                <c:pt idx="33">
                  <c:v>60.41</c:v>
                </c:pt>
                <c:pt idx="34">
                  <c:v>61.57</c:v>
                </c:pt>
                <c:pt idx="35">
                  <c:v>60.01</c:v>
                </c:pt>
                <c:pt idx="36">
                  <c:v>49.81</c:v>
                </c:pt>
                <c:pt idx="37">
                  <c:v>51.42</c:v>
                </c:pt>
                <c:pt idx="38">
                  <c:v>50.8</c:v>
                </c:pt>
                <c:pt idx="39">
                  <c:v>57.63</c:v>
                </c:pt>
                <c:pt idx="40">
                  <c:v>33.72</c:v>
                </c:pt>
                <c:pt idx="41">
                  <c:v>43.41</c:v>
                </c:pt>
                <c:pt idx="42">
                  <c:v>45.43</c:v>
                </c:pt>
                <c:pt idx="43">
                  <c:v>37.409999999999997</c:v>
                </c:pt>
                <c:pt idx="44">
                  <c:v>53.29</c:v>
                </c:pt>
                <c:pt idx="45">
                  <c:v>44.53</c:v>
                </c:pt>
                <c:pt idx="46">
                  <c:v>75.8</c:v>
                </c:pt>
                <c:pt idx="47">
                  <c:v>73.3</c:v>
                </c:pt>
                <c:pt idx="48">
                  <c:v>58.2</c:v>
                </c:pt>
                <c:pt idx="49">
                  <c:v>71.400000000000006</c:v>
                </c:pt>
                <c:pt idx="50">
                  <c:v>54</c:v>
                </c:pt>
                <c:pt idx="51">
                  <c:v>80.599999999999994</c:v>
                </c:pt>
                <c:pt idx="52">
                  <c:v>65.709999999999994</c:v>
                </c:pt>
                <c:pt idx="53">
                  <c:v>38.520000000000003</c:v>
                </c:pt>
                <c:pt idx="54">
                  <c:v>52.73</c:v>
                </c:pt>
                <c:pt idx="55">
                  <c:v>61.61</c:v>
                </c:pt>
                <c:pt idx="56">
                  <c:v>44.93</c:v>
                </c:pt>
                <c:pt idx="57">
                  <c:v>39.799999999999997</c:v>
                </c:pt>
                <c:pt idx="58">
                  <c:v>47.47</c:v>
                </c:pt>
                <c:pt idx="59">
                  <c:v>31.52</c:v>
                </c:pt>
                <c:pt idx="60">
                  <c:v>43.69</c:v>
                </c:pt>
                <c:pt idx="61">
                  <c:v>37.79</c:v>
                </c:pt>
                <c:pt idx="62">
                  <c:v>33.479999999999997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Data!$P$6:$P$370</c:f>
              <c:numCache>
                <c:formatCode>General</c:formatCode>
                <c:ptCount val="365"/>
                <c:pt idx="0">
                  <c:v>89.5</c:v>
                </c:pt>
                <c:pt idx="1">
                  <c:v>88.8</c:v>
                </c:pt>
                <c:pt idx="2">
                  <c:v>90.2</c:v>
                </c:pt>
                <c:pt idx="3">
                  <c:v>91.7</c:v>
                </c:pt>
                <c:pt idx="4">
                  <c:v>92.4</c:v>
                </c:pt>
                <c:pt idx="5">
                  <c:v>91.6</c:v>
                </c:pt>
                <c:pt idx="6">
                  <c:v>91.6</c:v>
                </c:pt>
                <c:pt idx="7">
                  <c:v>93.5</c:v>
                </c:pt>
                <c:pt idx="8">
                  <c:v>92.8</c:v>
                </c:pt>
                <c:pt idx="9">
                  <c:v>91</c:v>
                </c:pt>
                <c:pt idx="10">
                  <c:v>88.5</c:v>
                </c:pt>
                <c:pt idx="11">
                  <c:v>91.3</c:v>
                </c:pt>
                <c:pt idx="12">
                  <c:v>92</c:v>
                </c:pt>
                <c:pt idx="13">
                  <c:v>92.7</c:v>
                </c:pt>
                <c:pt idx="14">
                  <c:v>93.3</c:v>
                </c:pt>
                <c:pt idx="15">
                  <c:v>90.1</c:v>
                </c:pt>
                <c:pt idx="16">
                  <c:v>88.8</c:v>
                </c:pt>
                <c:pt idx="17">
                  <c:v>89.8</c:v>
                </c:pt>
                <c:pt idx="18">
                  <c:v>87.3</c:v>
                </c:pt>
                <c:pt idx="19">
                  <c:v>86.7</c:v>
                </c:pt>
                <c:pt idx="20">
                  <c:v>90</c:v>
                </c:pt>
                <c:pt idx="21">
                  <c:v>90.4</c:v>
                </c:pt>
                <c:pt idx="22">
                  <c:v>90.5</c:v>
                </c:pt>
                <c:pt idx="23">
                  <c:v>91.4</c:v>
                </c:pt>
                <c:pt idx="24">
                  <c:v>88.6</c:v>
                </c:pt>
                <c:pt idx="25">
                  <c:v>90.2</c:v>
                </c:pt>
                <c:pt idx="26">
                  <c:v>89.6</c:v>
                </c:pt>
                <c:pt idx="27">
                  <c:v>88.2</c:v>
                </c:pt>
                <c:pt idx="28">
                  <c:v>84.8</c:v>
                </c:pt>
                <c:pt idx="29">
                  <c:v>90.4</c:v>
                </c:pt>
                <c:pt idx="30">
                  <c:v>90.2</c:v>
                </c:pt>
                <c:pt idx="31">
                  <c:v>89.6</c:v>
                </c:pt>
                <c:pt idx="32">
                  <c:v>87.5</c:v>
                </c:pt>
                <c:pt idx="33">
                  <c:v>78.5</c:v>
                </c:pt>
                <c:pt idx="34">
                  <c:v>77.900000000000006</c:v>
                </c:pt>
                <c:pt idx="35">
                  <c:v>78.400000000000006</c:v>
                </c:pt>
                <c:pt idx="36">
                  <c:v>83.8</c:v>
                </c:pt>
                <c:pt idx="37">
                  <c:v>87</c:v>
                </c:pt>
                <c:pt idx="38">
                  <c:v>85.4</c:v>
                </c:pt>
                <c:pt idx="39">
                  <c:v>83</c:v>
                </c:pt>
                <c:pt idx="40">
                  <c:v>83.3</c:v>
                </c:pt>
                <c:pt idx="41">
                  <c:v>82.8</c:v>
                </c:pt>
                <c:pt idx="42">
                  <c:v>83.3</c:v>
                </c:pt>
                <c:pt idx="43">
                  <c:v>79.3</c:v>
                </c:pt>
                <c:pt idx="44">
                  <c:v>87</c:v>
                </c:pt>
                <c:pt idx="45">
                  <c:v>87.6</c:v>
                </c:pt>
                <c:pt idx="46">
                  <c:v>89.2</c:v>
                </c:pt>
                <c:pt idx="47">
                  <c:v>89.4</c:v>
                </c:pt>
                <c:pt idx="48">
                  <c:v>89.1</c:v>
                </c:pt>
                <c:pt idx="49">
                  <c:v>90.2</c:v>
                </c:pt>
                <c:pt idx="50">
                  <c:v>91.6</c:v>
                </c:pt>
                <c:pt idx="51">
                  <c:v>92.3</c:v>
                </c:pt>
                <c:pt idx="52">
                  <c:v>91</c:v>
                </c:pt>
                <c:pt idx="53">
                  <c:v>92.3</c:v>
                </c:pt>
                <c:pt idx="54">
                  <c:v>91</c:v>
                </c:pt>
                <c:pt idx="55">
                  <c:v>90.5</c:v>
                </c:pt>
                <c:pt idx="56">
                  <c:v>89.8</c:v>
                </c:pt>
                <c:pt idx="57">
                  <c:v>84.1</c:v>
                </c:pt>
                <c:pt idx="58">
                  <c:v>92.4</c:v>
                </c:pt>
                <c:pt idx="59">
                  <c:v>84.1</c:v>
                </c:pt>
                <c:pt idx="60">
                  <c:v>87.5</c:v>
                </c:pt>
                <c:pt idx="61">
                  <c:v>88</c:v>
                </c:pt>
                <c:pt idx="62">
                  <c:v>91.6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88832"/>
        <c:axId val="210039168"/>
      </c:lineChart>
      <c:catAx>
        <c:axId val="2096888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0039168"/>
        <c:crosses val="autoZero"/>
        <c:auto val="1"/>
        <c:lblAlgn val="ctr"/>
        <c:lblOffset val="100"/>
        <c:tickMarkSkip val="9"/>
        <c:noMultiLvlLbl val="0"/>
      </c:catAx>
      <c:valAx>
        <c:axId val="21003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RH</a:t>
                </a:r>
                <a:r>
                  <a:rPr lang="en-CA" baseline="0"/>
                  <a:t> (%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9688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Taverage</a:t>
            </a:r>
          </a:p>
        </c:rich>
      </c:tx>
      <c:layout>
        <c:manualLayout>
          <c:xMode val="edge"/>
          <c:yMode val="edge"/>
          <c:x val="0.43859745651468784"/>
          <c:y val="1.21181009122926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Tair</c:v>
          </c:tx>
          <c:marker>
            <c:symbol val="none"/>
          </c:marker>
          <c:val>
            <c:numRef>
              <c:f>Data!$J$6:$J$370</c:f>
              <c:numCache>
                <c:formatCode>General</c:formatCode>
                <c:ptCount val="365"/>
                <c:pt idx="0">
                  <c:v>-5.5919999999999996</c:v>
                </c:pt>
                <c:pt idx="1">
                  <c:v>-5.28</c:v>
                </c:pt>
                <c:pt idx="2">
                  <c:v>-3.22</c:v>
                </c:pt>
                <c:pt idx="3">
                  <c:v>-2.1909999999999998</c:v>
                </c:pt>
                <c:pt idx="4">
                  <c:v>-1.915</c:v>
                </c:pt>
                <c:pt idx="5">
                  <c:v>-2.698</c:v>
                </c:pt>
                <c:pt idx="6">
                  <c:v>-4.048</c:v>
                </c:pt>
                <c:pt idx="7">
                  <c:v>-1.952</c:v>
                </c:pt>
                <c:pt idx="8">
                  <c:v>-2.508</c:v>
                </c:pt>
                <c:pt idx="9">
                  <c:v>-1.7829999999999999</c:v>
                </c:pt>
                <c:pt idx="10">
                  <c:v>-1.738</c:v>
                </c:pt>
                <c:pt idx="11">
                  <c:v>-3.6339999999999999</c:v>
                </c:pt>
                <c:pt idx="12">
                  <c:v>-5.07</c:v>
                </c:pt>
                <c:pt idx="13">
                  <c:v>-2.8410000000000002</c:v>
                </c:pt>
                <c:pt idx="14">
                  <c:v>-0.76300000000000001</c:v>
                </c:pt>
                <c:pt idx="15">
                  <c:v>-2.6459999999999999</c:v>
                </c:pt>
                <c:pt idx="16">
                  <c:v>-6.9870000000000001</c:v>
                </c:pt>
                <c:pt idx="17">
                  <c:v>-9.7799999999999994</c:v>
                </c:pt>
                <c:pt idx="18">
                  <c:v>-10.74</c:v>
                </c:pt>
                <c:pt idx="19">
                  <c:v>-10.94</c:v>
                </c:pt>
                <c:pt idx="20">
                  <c:v>-7.52</c:v>
                </c:pt>
                <c:pt idx="21">
                  <c:v>-7.17</c:v>
                </c:pt>
                <c:pt idx="22">
                  <c:v>-5.79</c:v>
                </c:pt>
                <c:pt idx="23">
                  <c:v>-7.4</c:v>
                </c:pt>
                <c:pt idx="24">
                  <c:v>-8.3699999999999992</c:v>
                </c:pt>
                <c:pt idx="25">
                  <c:v>-8.1199999999999992</c:v>
                </c:pt>
                <c:pt idx="26">
                  <c:v>-6.6479999999999997</c:v>
                </c:pt>
                <c:pt idx="27">
                  <c:v>-4.3819999999999997</c:v>
                </c:pt>
                <c:pt idx="28">
                  <c:v>-3.3980000000000001</c:v>
                </c:pt>
                <c:pt idx="29">
                  <c:v>-0.495</c:v>
                </c:pt>
                <c:pt idx="30">
                  <c:v>-1.0249999999999999</c:v>
                </c:pt>
                <c:pt idx="31">
                  <c:v>-6.0030000000000001</c:v>
                </c:pt>
                <c:pt idx="32">
                  <c:v>-14.86</c:v>
                </c:pt>
                <c:pt idx="33">
                  <c:v>-19.64</c:v>
                </c:pt>
                <c:pt idx="34">
                  <c:v>-21.13</c:v>
                </c:pt>
                <c:pt idx="35">
                  <c:v>-20.74</c:v>
                </c:pt>
                <c:pt idx="36">
                  <c:v>-16.920000000000002</c:v>
                </c:pt>
                <c:pt idx="37">
                  <c:v>-13.5</c:v>
                </c:pt>
                <c:pt idx="38">
                  <c:v>-11.96</c:v>
                </c:pt>
                <c:pt idx="39">
                  <c:v>-14.55</c:v>
                </c:pt>
                <c:pt idx="40">
                  <c:v>-15.73</c:v>
                </c:pt>
                <c:pt idx="41">
                  <c:v>-16.29</c:v>
                </c:pt>
                <c:pt idx="42">
                  <c:v>-13.6</c:v>
                </c:pt>
                <c:pt idx="43">
                  <c:v>-10.43</c:v>
                </c:pt>
                <c:pt idx="44">
                  <c:v>-8.3800000000000008</c:v>
                </c:pt>
                <c:pt idx="45">
                  <c:v>-7.76</c:v>
                </c:pt>
                <c:pt idx="46">
                  <c:v>-5.22</c:v>
                </c:pt>
                <c:pt idx="47">
                  <c:v>-5.7519999999999998</c:v>
                </c:pt>
                <c:pt idx="48">
                  <c:v>-5.9989999999999997</c:v>
                </c:pt>
                <c:pt idx="49">
                  <c:v>-2.3039999999999998</c:v>
                </c:pt>
                <c:pt idx="50">
                  <c:v>0.66700000000000004</c:v>
                </c:pt>
                <c:pt idx="51">
                  <c:v>0.03</c:v>
                </c:pt>
                <c:pt idx="52">
                  <c:v>1.7669999999999999</c:v>
                </c:pt>
                <c:pt idx="53">
                  <c:v>3.3010000000000002</c:v>
                </c:pt>
                <c:pt idx="54">
                  <c:v>1.093</c:v>
                </c:pt>
                <c:pt idx="55">
                  <c:v>1.171</c:v>
                </c:pt>
                <c:pt idx="56">
                  <c:v>2.016</c:v>
                </c:pt>
                <c:pt idx="57">
                  <c:v>4.1120000000000001</c:v>
                </c:pt>
                <c:pt idx="58">
                  <c:v>3.76</c:v>
                </c:pt>
                <c:pt idx="59">
                  <c:v>5.6719999999999997</c:v>
                </c:pt>
                <c:pt idx="60">
                  <c:v>3.5979999999999999</c:v>
                </c:pt>
                <c:pt idx="61">
                  <c:v>0.66500000000000004</c:v>
                </c:pt>
                <c:pt idx="62">
                  <c:v>1.369</c:v>
                </c:pt>
              </c:numCache>
            </c:numRef>
          </c:val>
          <c:smooth val="0"/>
        </c:ser>
        <c:ser>
          <c:idx val="1"/>
          <c:order val="1"/>
          <c:tx>
            <c:v>Ta1.5</c:v>
          </c:tx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2"/>
          <c:order val="2"/>
          <c:tx>
            <c:v>Ta0.2</c:v>
          </c:tx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-1.681</c:v>
                </c:pt>
                <c:pt idx="1">
                  <c:v>-1.8420000000000001</c:v>
                </c:pt>
                <c:pt idx="2">
                  <c:v>-1.47</c:v>
                </c:pt>
                <c:pt idx="3">
                  <c:v>-1.163</c:v>
                </c:pt>
                <c:pt idx="4">
                  <c:v>-0.91</c:v>
                </c:pt>
                <c:pt idx="5">
                  <c:v>-0.98399999999999999</c:v>
                </c:pt>
                <c:pt idx="6">
                  <c:v>-1.35</c:v>
                </c:pt>
                <c:pt idx="7">
                  <c:v>-1.0629999999999999</c:v>
                </c:pt>
                <c:pt idx="8">
                  <c:v>-1.1259999999999999</c:v>
                </c:pt>
                <c:pt idx="9">
                  <c:v>-0.93799999999999994</c:v>
                </c:pt>
                <c:pt idx="10">
                  <c:v>-0.69899999999999995</c:v>
                </c:pt>
                <c:pt idx="11">
                  <c:v>-0.90400000000000003</c:v>
                </c:pt>
                <c:pt idx="12">
                  <c:v>-1.3779999999999999</c:v>
                </c:pt>
                <c:pt idx="13">
                  <c:v>-1.333</c:v>
                </c:pt>
                <c:pt idx="14">
                  <c:v>-0.92400000000000004</c:v>
                </c:pt>
                <c:pt idx="15">
                  <c:v>-1.0609999999999999</c:v>
                </c:pt>
                <c:pt idx="16">
                  <c:v>-1.9830000000000001</c:v>
                </c:pt>
                <c:pt idx="17">
                  <c:v>-2.76</c:v>
                </c:pt>
                <c:pt idx="18">
                  <c:v>-3.1890000000000001</c:v>
                </c:pt>
                <c:pt idx="19">
                  <c:v>-3.6720000000000002</c:v>
                </c:pt>
                <c:pt idx="20">
                  <c:v>-3.1440000000000001</c:v>
                </c:pt>
                <c:pt idx="21">
                  <c:v>-2.843</c:v>
                </c:pt>
                <c:pt idx="22">
                  <c:v>-2.5499999999999998</c:v>
                </c:pt>
                <c:pt idx="23">
                  <c:v>-2.637</c:v>
                </c:pt>
                <c:pt idx="24">
                  <c:v>-2.8860000000000001</c:v>
                </c:pt>
                <c:pt idx="25">
                  <c:v>-2.89</c:v>
                </c:pt>
                <c:pt idx="26">
                  <c:v>-2.891</c:v>
                </c:pt>
                <c:pt idx="27">
                  <c:v>-2.5030000000000001</c:v>
                </c:pt>
                <c:pt idx="28">
                  <c:v>-2.2029999999999998</c:v>
                </c:pt>
                <c:pt idx="29">
                  <c:v>-1.25</c:v>
                </c:pt>
                <c:pt idx="30">
                  <c:v>-0.88700000000000001</c:v>
                </c:pt>
                <c:pt idx="31">
                  <c:v>-1.405</c:v>
                </c:pt>
                <c:pt idx="32">
                  <c:v>-3.1429999999999998</c:v>
                </c:pt>
                <c:pt idx="33">
                  <c:v>-4.5439999999999996</c:v>
                </c:pt>
                <c:pt idx="34">
                  <c:v>-5.1920000000000002</c:v>
                </c:pt>
                <c:pt idx="35">
                  <c:v>-5.5170000000000003</c:v>
                </c:pt>
                <c:pt idx="36">
                  <c:v>-5.234</c:v>
                </c:pt>
                <c:pt idx="37">
                  <c:v>-4.7309999999999999</c:v>
                </c:pt>
                <c:pt idx="38">
                  <c:v>-4.1980000000000004</c:v>
                </c:pt>
                <c:pt idx="39">
                  <c:v>-4.3730000000000002</c:v>
                </c:pt>
                <c:pt idx="40">
                  <c:v>-4.6740000000000004</c:v>
                </c:pt>
                <c:pt idx="41">
                  <c:v>-4.976</c:v>
                </c:pt>
                <c:pt idx="42">
                  <c:v>-4.8019999999999996</c:v>
                </c:pt>
                <c:pt idx="43">
                  <c:v>-4.3360000000000003</c:v>
                </c:pt>
                <c:pt idx="44">
                  <c:v>-3.6110000000000002</c:v>
                </c:pt>
                <c:pt idx="45">
                  <c:v>-3.2770000000000001</c:v>
                </c:pt>
                <c:pt idx="46">
                  <c:v>-2.5329999999999999</c:v>
                </c:pt>
                <c:pt idx="47">
                  <c:v>-2.1259999999999999</c:v>
                </c:pt>
                <c:pt idx="48">
                  <c:v>-2.1269999999999998</c:v>
                </c:pt>
                <c:pt idx="49">
                  <c:v>-1.5309999999999999</c:v>
                </c:pt>
                <c:pt idx="50">
                  <c:v>-0.54900000000000004</c:v>
                </c:pt>
                <c:pt idx="51">
                  <c:v>-0.111</c:v>
                </c:pt>
                <c:pt idx="52">
                  <c:v>1.0999999999999999E-2</c:v>
                </c:pt>
                <c:pt idx="53">
                  <c:v>4.2000000000000003E-2</c:v>
                </c:pt>
                <c:pt idx="54">
                  <c:v>6.0000000000000001E-3</c:v>
                </c:pt>
                <c:pt idx="55">
                  <c:v>2.5999999999999999E-2</c:v>
                </c:pt>
                <c:pt idx="56">
                  <c:v>3.5999999999999997E-2</c:v>
                </c:pt>
                <c:pt idx="57">
                  <c:v>8.3000000000000004E-2</c:v>
                </c:pt>
                <c:pt idx="58">
                  <c:v>7.0999999999999994E-2</c:v>
                </c:pt>
                <c:pt idx="59">
                  <c:v>7.6999999999999999E-2</c:v>
                </c:pt>
                <c:pt idx="60">
                  <c:v>4.2999999999999997E-2</c:v>
                </c:pt>
                <c:pt idx="61">
                  <c:v>-7.0000000000000007E-2</c:v>
                </c:pt>
                <c:pt idx="62">
                  <c:v>-0.41599999999999998</c:v>
                </c:pt>
              </c:numCache>
            </c:numRef>
          </c:val>
          <c:smooth val="0"/>
        </c:ser>
        <c:ser>
          <c:idx val="3"/>
          <c:order val="3"/>
          <c:tx>
            <c:v>Tsoil</c:v>
          </c:tx>
          <c:marker>
            <c:symbol val="none"/>
          </c:marker>
          <c:val>
            <c:numRef>
              <c:f>Data!$N$6:$N$370</c:f>
              <c:numCache>
                <c:formatCode>General</c:formatCode>
                <c:ptCount val="365"/>
                <c:pt idx="0">
                  <c:v>1.145</c:v>
                </c:pt>
                <c:pt idx="1">
                  <c:v>1.1579999999999999</c:v>
                </c:pt>
                <c:pt idx="2">
                  <c:v>1.139</c:v>
                </c:pt>
                <c:pt idx="3">
                  <c:v>1.1479999999999999</c:v>
                </c:pt>
                <c:pt idx="4">
                  <c:v>1.139</c:v>
                </c:pt>
                <c:pt idx="5">
                  <c:v>1.1499999999999999</c:v>
                </c:pt>
                <c:pt idx="6">
                  <c:v>1.123</c:v>
                </c:pt>
                <c:pt idx="7">
                  <c:v>1.123</c:v>
                </c:pt>
                <c:pt idx="8">
                  <c:v>1.0960000000000001</c:v>
                </c:pt>
                <c:pt idx="9">
                  <c:v>1.0680000000000001</c:v>
                </c:pt>
                <c:pt idx="10">
                  <c:v>1.0409999999999999</c:v>
                </c:pt>
                <c:pt idx="11">
                  <c:v>1.0109999999999999</c:v>
                </c:pt>
                <c:pt idx="12">
                  <c:v>1.036</c:v>
                </c:pt>
                <c:pt idx="13">
                  <c:v>1.02</c:v>
                </c:pt>
                <c:pt idx="14">
                  <c:v>1.0249999999999999</c:v>
                </c:pt>
                <c:pt idx="15">
                  <c:v>0.95899999999999996</c:v>
                </c:pt>
                <c:pt idx="16">
                  <c:v>0.96499999999999997</c:v>
                </c:pt>
                <c:pt idx="17">
                  <c:v>0.95599999999999996</c:v>
                </c:pt>
                <c:pt idx="18">
                  <c:v>0.84699999999999998</c:v>
                </c:pt>
                <c:pt idx="19">
                  <c:v>0.85499999999999998</c:v>
                </c:pt>
                <c:pt idx="20">
                  <c:v>0.77200000000000002</c:v>
                </c:pt>
                <c:pt idx="21">
                  <c:v>0.72899999999999998</c:v>
                </c:pt>
                <c:pt idx="22">
                  <c:v>0.69499999999999995</c:v>
                </c:pt>
                <c:pt idx="23">
                  <c:v>0.65900000000000003</c:v>
                </c:pt>
                <c:pt idx="24">
                  <c:v>0.71899999999999997</c:v>
                </c:pt>
                <c:pt idx="25">
                  <c:v>0.61099999999999999</c:v>
                </c:pt>
                <c:pt idx="26">
                  <c:v>0.61799999999999999</c:v>
                </c:pt>
                <c:pt idx="27">
                  <c:v>0.56499999999999995</c:v>
                </c:pt>
                <c:pt idx="28">
                  <c:v>0.56999999999999995</c:v>
                </c:pt>
                <c:pt idx="29">
                  <c:v>0.56799999999999995</c:v>
                </c:pt>
                <c:pt idx="30">
                  <c:v>0.59</c:v>
                </c:pt>
                <c:pt idx="31">
                  <c:v>0.52200000000000002</c:v>
                </c:pt>
                <c:pt idx="32">
                  <c:v>0.45900000000000002</c:v>
                </c:pt>
                <c:pt idx="33">
                  <c:v>0.47</c:v>
                </c:pt>
                <c:pt idx="34">
                  <c:v>0.30199999999999999</c:v>
                </c:pt>
                <c:pt idx="35">
                  <c:v>0.29599999999999999</c:v>
                </c:pt>
                <c:pt idx="36">
                  <c:v>0.32400000000000001</c:v>
                </c:pt>
                <c:pt idx="37">
                  <c:v>0.33700000000000002</c:v>
                </c:pt>
                <c:pt idx="38">
                  <c:v>0.251</c:v>
                </c:pt>
                <c:pt idx="39">
                  <c:v>0.30399999999999999</c:v>
                </c:pt>
                <c:pt idx="40">
                  <c:v>0.15</c:v>
                </c:pt>
                <c:pt idx="41">
                  <c:v>0.159</c:v>
                </c:pt>
                <c:pt idx="42">
                  <c:v>0.192</c:v>
                </c:pt>
                <c:pt idx="43">
                  <c:v>0.159</c:v>
                </c:pt>
                <c:pt idx="44">
                  <c:v>0.14199999999999999</c:v>
                </c:pt>
                <c:pt idx="45">
                  <c:v>0.183</c:v>
                </c:pt>
                <c:pt idx="46">
                  <c:v>0.151</c:v>
                </c:pt>
                <c:pt idx="47">
                  <c:v>0.125</c:v>
                </c:pt>
                <c:pt idx="48">
                  <c:v>0.22</c:v>
                </c:pt>
                <c:pt idx="49">
                  <c:v>0.215</c:v>
                </c:pt>
                <c:pt idx="50">
                  <c:v>0.23200000000000001</c:v>
                </c:pt>
                <c:pt idx="51">
                  <c:v>0.27900000000000003</c:v>
                </c:pt>
                <c:pt idx="52">
                  <c:v>0.32700000000000001</c:v>
                </c:pt>
                <c:pt idx="53">
                  <c:v>0.372</c:v>
                </c:pt>
                <c:pt idx="54">
                  <c:v>0.39700000000000002</c:v>
                </c:pt>
                <c:pt idx="55">
                  <c:v>0.439</c:v>
                </c:pt>
                <c:pt idx="56">
                  <c:v>0.50700000000000001</c:v>
                </c:pt>
                <c:pt idx="57">
                  <c:v>0.57899999999999996</c:v>
                </c:pt>
                <c:pt idx="58">
                  <c:v>0.58399999999999996</c:v>
                </c:pt>
                <c:pt idx="59">
                  <c:v>0.61199999999999999</c:v>
                </c:pt>
                <c:pt idx="60">
                  <c:v>0.60499999999999998</c:v>
                </c:pt>
                <c:pt idx="61">
                  <c:v>0.60799999999999998</c:v>
                </c:pt>
                <c:pt idx="62">
                  <c:v>0.64100000000000001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60320"/>
        <c:axId val="235586688"/>
      </c:lineChart>
      <c:catAx>
        <c:axId val="235560320"/>
        <c:scaling>
          <c:orientation val="minMax"/>
        </c:scaling>
        <c:delete val="0"/>
        <c:axPos val="b"/>
        <c:majorTickMark val="none"/>
        <c:minorTickMark val="none"/>
        <c:tickLblPos val="nextTo"/>
        <c:crossAx val="235586688"/>
        <c:crosses val="autoZero"/>
        <c:auto val="1"/>
        <c:lblAlgn val="ctr"/>
        <c:lblOffset val="100"/>
        <c:noMultiLvlLbl val="0"/>
      </c:catAx>
      <c:valAx>
        <c:axId val="235586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60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1.5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39488"/>
        <c:axId val="235841792"/>
      </c:lineChart>
      <c:catAx>
        <c:axId val="235839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584179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5841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5839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0.2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Data!$W$6:$W$370</c:f>
              <c:numCache>
                <c:formatCode>General</c:formatCode>
                <c:ptCount val="365"/>
                <c:pt idx="0">
                  <c:v>-1.917</c:v>
                </c:pt>
                <c:pt idx="1">
                  <c:v>-2.048</c:v>
                </c:pt>
                <c:pt idx="2">
                  <c:v>-1.8759999999999999</c:v>
                </c:pt>
                <c:pt idx="3">
                  <c:v>-1.744</c:v>
                </c:pt>
                <c:pt idx="4">
                  <c:v>-1.415</c:v>
                </c:pt>
                <c:pt idx="5">
                  <c:v>-1.244</c:v>
                </c:pt>
                <c:pt idx="6">
                  <c:v>-1.6579999999999999</c:v>
                </c:pt>
                <c:pt idx="7">
                  <c:v>-1.649</c:v>
                </c:pt>
                <c:pt idx="8">
                  <c:v>-1.629</c:v>
                </c:pt>
                <c:pt idx="9">
                  <c:v>-1.1970000000000001</c:v>
                </c:pt>
                <c:pt idx="10">
                  <c:v>-0.88400000000000001</c:v>
                </c:pt>
                <c:pt idx="11">
                  <c:v>-1.3420000000000001</c:v>
                </c:pt>
                <c:pt idx="12">
                  <c:v>-1.64</c:v>
                </c:pt>
                <c:pt idx="13">
                  <c:v>-1.734</c:v>
                </c:pt>
                <c:pt idx="14">
                  <c:v>-1.419</c:v>
                </c:pt>
                <c:pt idx="15">
                  <c:v>-1.716</c:v>
                </c:pt>
                <c:pt idx="16">
                  <c:v>-2.6389999999999998</c:v>
                </c:pt>
                <c:pt idx="17">
                  <c:v>-3.1779999999999999</c:v>
                </c:pt>
                <c:pt idx="18">
                  <c:v>-3.726</c:v>
                </c:pt>
                <c:pt idx="19">
                  <c:v>-4.24</c:v>
                </c:pt>
                <c:pt idx="20">
                  <c:v>-3.7320000000000002</c:v>
                </c:pt>
                <c:pt idx="21">
                  <c:v>-3.355</c:v>
                </c:pt>
                <c:pt idx="22">
                  <c:v>-2.8679999999999999</c:v>
                </c:pt>
                <c:pt idx="23">
                  <c:v>-3.0640000000000001</c:v>
                </c:pt>
                <c:pt idx="24">
                  <c:v>-3.4279999999999999</c:v>
                </c:pt>
                <c:pt idx="25">
                  <c:v>-3.3639999999999999</c:v>
                </c:pt>
                <c:pt idx="26">
                  <c:v>-3.5350000000000001</c:v>
                </c:pt>
                <c:pt idx="27">
                  <c:v>-3.101</c:v>
                </c:pt>
                <c:pt idx="28">
                  <c:v>-2.9129999999999998</c:v>
                </c:pt>
                <c:pt idx="29">
                  <c:v>-1.6890000000000001</c:v>
                </c:pt>
                <c:pt idx="30">
                  <c:v>-1.2849999999999999</c:v>
                </c:pt>
                <c:pt idx="31">
                  <c:v>-1.974</c:v>
                </c:pt>
                <c:pt idx="32">
                  <c:v>-4.2649999999999997</c:v>
                </c:pt>
                <c:pt idx="33">
                  <c:v>-5.0949999999999998</c:v>
                </c:pt>
                <c:pt idx="34">
                  <c:v>-5.8220000000000001</c:v>
                </c:pt>
                <c:pt idx="35">
                  <c:v>-6.1820000000000004</c:v>
                </c:pt>
                <c:pt idx="36">
                  <c:v>-6.0609999999999999</c:v>
                </c:pt>
                <c:pt idx="37">
                  <c:v>-5.3789999999999996</c:v>
                </c:pt>
                <c:pt idx="38">
                  <c:v>-4.6210000000000004</c:v>
                </c:pt>
                <c:pt idx="39">
                  <c:v>-4.9269999999999996</c:v>
                </c:pt>
                <c:pt idx="40">
                  <c:v>-5.2619999999999996</c:v>
                </c:pt>
                <c:pt idx="41">
                  <c:v>-5.53</c:v>
                </c:pt>
                <c:pt idx="42">
                  <c:v>-5.4710000000000001</c:v>
                </c:pt>
                <c:pt idx="43">
                  <c:v>-4.9729999999999999</c:v>
                </c:pt>
                <c:pt idx="44">
                  <c:v>-4.0910000000000002</c:v>
                </c:pt>
                <c:pt idx="45">
                  <c:v>-4.0330000000000004</c:v>
                </c:pt>
                <c:pt idx="46">
                  <c:v>-2.9780000000000002</c:v>
                </c:pt>
                <c:pt idx="47">
                  <c:v>-2.5379999999999998</c:v>
                </c:pt>
                <c:pt idx="48">
                  <c:v>-2.7160000000000002</c:v>
                </c:pt>
                <c:pt idx="49">
                  <c:v>-1.9279999999999999</c:v>
                </c:pt>
                <c:pt idx="50">
                  <c:v>-1.2769999999999999</c:v>
                </c:pt>
                <c:pt idx="51">
                  <c:v>-0.40799999999999997</c:v>
                </c:pt>
                <c:pt idx="52">
                  <c:v>-0.20499999999999999</c:v>
                </c:pt>
                <c:pt idx="53">
                  <c:v>-0.57599999999999996</c:v>
                </c:pt>
                <c:pt idx="54">
                  <c:v>-0.18</c:v>
                </c:pt>
                <c:pt idx="55">
                  <c:v>-0.36399999999999999</c:v>
                </c:pt>
                <c:pt idx="56">
                  <c:v>-0.33100000000000002</c:v>
                </c:pt>
                <c:pt idx="57">
                  <c:v>-0.191</c:v>
                </c:pt>
                <c:pt idx="58">
                  <c:v>-0.36299999999999999</c:v>
                </c:pt>
                <c:pt idx="59">
                  <c:v>-0.56599999999999995</c:v>
                </c:pt>
                <c:pt idx="60">
                  <c:v>-0.32700000000000001</c:v>
                </c:pt>
                <c:pt idx="61">
                  <c:v>-1.08</c:v>
                </c:pt>
                <c:pt idx="62">
                  <c:v>-2.2650000000000001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-1.681</c:v>
                </c:pt>
                <c:pt idx="1">
                  <c:v>-1.8420000000000001</c:v>
                </c:pt>
                <c:pt idx="2">
                  <c:v>-1.47</c:v>
                </c:pt>
                <c:pt idx="3">
                  <c:v>-1.163</c:v>
                </c:pt>
                <c:pt idx="4">
                  <c:v>-0.91</c:v>
                </c:pt>
                <c:pt idx="5">
                  <c:v>-0.98399999999999999</c:v>
                </c:pt>
                <c:pt idx="6">
                  <c:v>-1.35</c:v>
                </c:pt>
                <c:pt idx="7">
                  <c:v>-1.0629999999999999</c:v>
                </c:pt>
                <c:pt idx="8">
                  <c:v>-1.1259999999999999</c:v>
                </c:pt>
                <c:pt idx="9">
                  <c:v>-0.93799999999999994</c:v>
                </c:pt>
                <c:pt idx="10">
                  <c:v>-0.69899999999999995</c:v>
                </c:pt>
                <c:pt idx="11">
                  <c:v>-0.90400000000000003</c:v>
                </c:pt>
                <c:pt idx="12">
                  <c:v>-1.3779999999999999</c:v>
                </c:pt>
                <c:pt idx="13">
                  <c:v>-1.333</c:v>
                </c:pt>
                <c:pt idx="14">
                  <c:v>-0.92400000000000004</c:v>
                </c:pt>
                <c:pt idx="15">
                  <c:v>-1.0609999999999999</c:v>
                </c:pt>
                <c:pt idx="16">
                  <c:v>-1.9830000000000001</c:v>
                </c:pt>
                <c:pt idx="17">
                  <c:v>-2.76</c:v>
                </c:pt>
                <c:pt idx="18">
                  <c:v>-3.1890000000000001</c:v>
                </c:pt>
                <c:pt idx="19">
                  <c:v>-3.6720000000000002</c:v>
                </c:pt>
                <c:pt idx="20">
                  <c:v>-3.1440000000000001</c:v>
                </c:pt>
                <c:pt idx="21">
                  <c:v>-2.843</c:v>
                </c:pt>
                <c:pt idx="22">
                  <c:v>-2.5499999999999998</c:v>
                </c:pt>
                <c:pt idx="23">
                  <c:v>-2.637</c:v>
                </c:pt>
                <c:pt idx="24">
                  <c:v>-2.8860000000000001</c:v>
                </c:pt>
                <c:pt idx="25">
                  <c:v>-2.89</c:v>
                </c:pt>
                <c:pt idx="26">
                  <c:v>-2.891</c:v>
                </c:pt>
                <c:pt idx="27">
                  <c:v>-2.5030000000000001</c:v>
                </c:pt>
                <c:pt idx="28">
                  <c:v>-2.2029999999999998</c:v>
                </c:pt>
                <c:pt idx="29">
                  <c:v>-1.25</c:v>
                </c:pt>
                <c:pt idx="30">
                  <c:v>-0.88700000000000001</c:v>
                </c:pt>
                <c:pt idx="31">
                  <c:v>-1.405</c:v>
                </c:pt>
                <c:pt idx="32">
                  <c:v>-3.1429999999999998</c:v>
                </c:pt>
                <c:pt idx="33">
                  <c:v>-4.5439999999999996</c:v>
                </c:pt>
                <c:pt idx="34">
                  <c:v>-5.1920000000000002</c:v>
                </c:pt>
                <c:pt idx="35">
                  <c:v>-5.5170000000000003</c:v>
                </c:pt>
                <c:pt idx="36">
                  <c:v>-5.234</c:v>
                </c:pt>
                <c:pt idx="37">
                  <c:v>-4.7309999999999999</c:v>
                </c:pt>
                <c:pt idx="38">
                  <c:v>-4.1980000000000004</c:v>
                </c:pt>
                <c:pt idx="39">
                  <c:v>-4.3730000000000002</c:v>
                </c:pt>
                <c:pt idx="40">
                  <c:v>-4.6740000000000004</c:v>
                </c:pt>
                <c:pt idx="41">
                  <c:v>-4.976</c:v>
                </c:pt>
                <c:pt idx="42">
                  <c:v>-4.8019999999999996</c:v>
                </c:pt>
                <c:pt idx="43">
                  <c:v>-4.3360000000000003</c:v>
                </c:pt>
                <c:pt idx="44">
                  <c:v>-3.6110000000000002</c:v>
                </c:pt>
                <c:pt idx="45">
                  <c:v>-3.2770000000000001</c:v>
                </c:pt>
                <c:pt idx="46">
                  <c:v>-2.5329999999999999</c:v>
                </c:pt>
                <c:pt idx="47">
                  <c:v>-2.1259999999999999</c:v>
                </c:pt>
                <c:pt idx="48">
                  <c:v>-2.1269999999999998</c:v>
                </c:pt>
                <c:pt idx="49">
                  <c:v>-1.5309999999999999</c:v>
                </c:pt>
                <c:pt idx="50">
                  <c:v>-0.54900000000000004</c:v>
                </c:pt>
                <c:pt idx="51">
                  <c:v>-0.111</c:v>
                </c:pt>
                <c:pt idx="52">
                  <c:v>1.0999999999999999E-2</c:v>
                </c:pt>
                <c:pt idx="53">
                  <c:v>4.2000000000000003E-2</c:v>
                </c:pt>
                <c:pt idx="54">
                  <c:v>6.0000000000000001E-3</c:v>
                </c:pt>
                <c:pt idx="55">
                  <c:v>2.5999999999999999E-2</c:v>
                </c:pt>
                <c:pt idx="56">
                  <c:v>3.5999999999999997E-2</c:v>
                </c:pt>
                <c:pt idx="57">
                  <c:v>8.3000000000000004E-2</c:v>
                </c:pt>
                <c:pt idx="58">
                  <c:v>7.0999999999999994E-2</c:v>
                </c:pt>
                <c:pt idx="59">
                  <c:v>7.6999999999999999E-2</c:v>
                </c:pt>
                <c:pt idx="60">
                  <c:v>4.2999999999999997E-2</c:v>
                </c:pt>
                <c:pt idx="61">
                  <c:v>-7.0000000000000007E-2</c:v>
                </c:pt>
                <c:pt idx="62">
                  <c:v>-0.41599999999999998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862144"/>
        <c:axId val="185376768"/>
      </c:lineChart>
      <c:catAx>
        <c:axId val="239862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37676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537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9862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Tsoil Thermocouple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Data!$X$6:$X$370</c:f>
              <c:numCache>
                <c:formatCode>General</c:formatCode>
                <c:ptCount val="365"/>
                <c:pt idx="0">
                  <c:v>0.98599999999999999</c:v>
                </c:pt>
                <c:pt idx="1">
                  <c:v>1.0549999999999999</c:v>
                </c:pt>
                <c:pt idx="2">
                  <c:v>0.98299999999999998</c:v>
                </c:pt>
                <c:pt idx="3">
                  <c:v>0.83299999999999996</c:v>
                </c:pt>
                <c:pt idx="4">
                  <c:v>0.84099999999999997</c:v>
                </c:pt>
                <c:pt idx="5">
                  <c:v>1.0049999999999999</c:v>
                </c:pt>
                <c:pt idx="6">
                  <c:v>0.98099999999999998</c:v>
                </c:pt>
                <c:pt idx="7">
                  <c:v>0.751</c:v>
                </c:pt>
                <c:pt idx="8">
                  <c:v>0.81499999999999995</c:v>
                </c:pt>
                <c:pt idx="9">
                  <c:v>0.96599999999999997</c:v>
                </c:pt>
                <c:pt idx="10">
                  <c:v>0.89200000000000002</c:v>
                </c:pt>
                <c:pt idx="11">
                  <c:v>0.63900000000000001</c:v>
                </c:pt>
                <c:pt idx="12">
                  <c:v>0.71899999999999997</c:v>
                </c:pt>
                <c:pt idx="13">
                  <c:v>0.60499999999999998</c:v>
                </c:pt>
                <c:pt idx="14">
                  <c:v>0.81299999999999994</c:v>
                </c:pt>
                <c:pt idx="15">
                  <c:v>0.60699999999999998</c:v>
                </c:pt>
                <c:pt idx="16">
                  <c:v>0.63600000000000001</c:v>
                </c:pt>
                <c:pt idx="17">
                  <c:v>0.251</c:v>
                </c:pt>
                <c:pt idx="18">
                  <c:v>0.11700000000000001</c:v>
                </c:pt>
                <c:pt idx="19">
                  <c:v>0.48499999999999999</c:v>
                </c:pt>
                <c:pt idx="20">
                  <c:v>0.33500000000000002</c:v>
                </c:pt>
                <c:pt idx="21">
                  <c:v>0.314</c:v>
                </c:pt>
                <c:pt idx="22">
                  <c:v>0.38900000000000001</c:v>
                </c:pt>
                <c:pt idx="23">
                  <c:v>0.31900000000000001</c:v>
                </c:pt>
                <c:pt idx="24">
                  <c:v>0.28299999999999997</c:v>
                </c:pt>
                <c:pt idx="25">
                  <c:v>1.2E-2</c:v>
                </c:pt>
                <c:pt idx="26">
                  <c:v>-6.3E-2</c:v>
                </c:pt>
                <c:pt idx="27">
                  <c:v>0.151</c:v>
                </c:pt>
                <c:pt idx="28">
                  <c:v>-0.13200000000000001</c:v>
                </c:pt>
                <c:pt idx="29">
                  <c:v>0.40100000000000002</c:v>
                </c:pt>
                <c:pt idx="30">
                  <c:v>0.39700000000000002</c:v>
                </c:pt>
                <c:pt idx="31">
                  <c:v>0.10100000000000001</c:v>
                </c:pt>
                <c:pt idx="32">
                  <c:v>0.105</c:v>
                </c:pt>
                <c:pt idx="33">
                  <c:v>-3.1E-2</c:v>
                </c:pt>
                <c:pt idx="34">
                  <c:v>-0.187</c:v>
                </c:pt>
                <c:pt idx="35">
                  <c:v>1.9E-2</c:v>
                </c:pt>
                <c:pt idx="36">
                  <c:v>-0.19400000000000001</c:v>
                </c:pt>
                <c:pt idx="37">
                  <c:v>-0.51400000000000001</c:v>
                </c:pt>
                <c:pt idx="38">
                  <c:v>-0.66800000000000004</c:v>
                </c:pt>
                <c:pt idx="39">
                  <c:v>-0.158</c:v>
                </c:pt>
                <c:pt idx="40">
                  <c:v>-0.52300000000000002</c:v>
                </c:pt>
                <c:pt idx="41">
                  <c:v>-0.65</c:v>
                </c:pt>
                <c:pt idx="42">
                  <c:v>-0.39900000000000002</c:v>
                </c:pt>
                <c:pt idx="43">
                  <c:v>-0.35699999999999998</c:v>
                </c:pt>
                <c:pt idx="44">
                  <c:v>-0.45200000000000001</c:v>
                </c:pt>
                <c:pt idx="45">
                  <c:v>-0.432</c:v>
                </c:pt>
                <c:pt idx="46">
                  <c:v>-9.0999999999999998E-2</c:v>
                </c:pt>
                <c:pt idx="47">
                  <c:v>-0.33500000000000002</c:v>
                </c:pt>
                <c:pt idx="48">
                  <c:v>-2.8000000000000001E-2</c:v>
                </c:pt>
                <c:pt idx="49">
                  <c:v>-0.106</c:v>
                </c:pt>
                <c:pt idx="50">
                  <c:v>-0.09</c:v>
                </c:pt>
                <c:pt idx="51">
                  <c:v>0.18099999999999999</c:v>
                </c:pt>
                <c:pt idx="52">
                  <c:v>0.15</c:v>
                </c:pt>
                <c:pt idx="53">
                  <c:v>-0.27300000000000002</c:v>
                </c:pt>
                <c:pt idx="54">
                  <c:v>0.20899999999999999</c:v>
                </c:pt>
                <c:pt idx="55">
                  <c:v>3.2000000000000001E-2</c:v>
                </c:pt>
                <c:pt idx="56">
                  <c:v>0.129</c:v>
                </c:pt>
                <c:pt idx="57">
                  <c:v>0.29099999999999998</c:v>
                </c:pt>
                <c:pt idx="58">
                  <c:v>0.11</c:v>
                </c:pt>
                <c:pt idx="59">
                  <c:v>-9.1999999999999998E-2</c:v>
                </c:pt>
                <c:pt idx="60">
                  <c:v>0.16900000000000001</c:v>
                </c:pt>
                <c:pt idx="61">
                  <c:v>-8.0000000000000002E-3</c:v>
                </c:pt>
                <c:pt idx="62">
                  <c:v>0.16500000000000001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1.145</c:v>
                </c:pt>
                <c:pt idx="1">
                  <c:v>1.1579999999999999</c:v>
                </c:pt>
                <c:pt idx="2">
                  <c:v>1.139</c:v>
                </c:pt>
                <c:pt idx="3">
                  <c:v>1.1479999999999999</c:v>
                </c:pt>
                <c:pt idx="4">
                  <c:v>1.139</c:v>
                </c:pt>
                <c:pt idx="5">
                  <c:v>1.1499999999999999</c:v>
                </c:pt>
                <c:pt idx="6">
                  <c:v>1.123</c:v>
                </c:pt>
                <c:pt idx="7">
                  <c:v>1.123</c:v>
                </c:pt>
                <c:pt idx="8">
                  <c:v>1.0960000000000001</c:v>
                </c:pt>
                <c:pt idx="9">
                  <c:v>1.0680000000000001</c:v>
                </c:pt>
                <c:pt idx="10">
                  <c:v>1.0409999999999999</c:v>
                </c:pt>
                <c:pt idx="11">
                  <c:v>1.0109999999999999</c:v>
                </c:pt>
                <c:pt idx="12">
                  <c:v>1.036</c:v>
                </c:pt>
                <c:pt idx="13">
                  <c:v>1.02</c:v>
                </c:pt>
                <c:pt idx="14">
                  <c:v>1.0249999999999999</c:v>
                </c:pt>
                <c:pt idx="15">
                  <c:v>0.95899999999999996</c:v>
                </c:pt>
                <c:pt idx="16">
                  <c:v>0.96499999999999997</c:v>
                </c:pt>
                <c:pt idx="17">
                  <c:v>0.95599999999999996</c:v>
                </c:pt>
                <c:pt idx="18">
                  <c:v>0.84699999999999998</c:v>
                </c:pt>
                <c:pt idx="19">
                  <c:v>0.85499999999999998</c:v>
                </c:pt>
                <c:pt idx="20">
                  <c:v>0.77200000000000002</c:v>
                </c:pt>
                <c:pt idx="21">
                  <c:v>0.72899999999999998</c:v>
                </c:pt>
                <c:pt idx="22">
                  <c:v>0.69499999999999995</c:v>
                </c:pt>
                <c:pt idx="23">
                  <c:v>0.65900000000000003</c:v>
                </c:pt>
                <c:pt idx="24">
                  <c:v>0.71899999999999997</c:v>
                </c:pt>
                <c:pt idx="25">
                  <c:v>0.61099999999999999</c:v>
                </c:pt>
                <c:pt idx="26">
                  <c:v>0.61799999999999999</c:v>
                </c:pt>
                <c:pt idx="27">
                  <c:v>0.56499999999999995</c:v>
                </c:pt>
                <c:pt idx="28">
                  <c:v>0.56999999999999995</c:v>
                </c:pt>
                <c:pt idx="29">
                  <c:v>0.56799999999999995</c:v>
                </c:pt>
                <c:pt idx="30">
                  <c:v>0.59</c:v>
                </c:pt>
                <c:pt idx="31">
                  <c:v>0.52200000000000002</c:v>
                </c:pt>
                <c:pt idx="32">
                  <c:v>0.45900000000000002</c:v>
                </c:pt>
                <c:pt idx="33">
                  <c:v>0.47</c:v>
                </c:pt>
                <c:pt idx="34">
                  <c:v>0.30199999999999999</c:v>
                </c:pt>
                <c:pt idx="35">
                  <c:v>0.29599999999999999</c:v>
                </c:pt>
                <c:pt idx="36">
                  <c:v>0.32400000000000001</c:v>
                </c:pt>
                <c:pt idx="37">
                  <c:v>0.33700000000000002</c:v>
                </c:pt>
                <c:pt idx="38">
                  <c:v>0.251</c:v>
                </c:pt>
                <c:pt idx="39">
                  <c:v>0.30399999999999999</c:v>
                </c:pt>
                <c:pt idx="40">
                  <c:v>0.15</c:v>
                </c:pt>
                <c:pt idx="41">
                  <c:v>0.159</c:v>
                </c:pt>
                <c:pt idx="42">
                  <c:v>0.192</c:v>
                </c:pt>
                <c:pt idx="43">
                  <c:v>0.159</c:v>
                </c:pt>
                <c:pt idx="44">
                  <c:v>0.14199999999999999</c:v>
                </c:pt>
                <c:pt idx="45">
                  <c:v>0.183</c:v>
                </c:pt>
                <c:pt idx="46">
                  <c:v>0.151</c:v>
                </c:pt>
                <c:pt idx="47">
                  <c:v>0.125</c:v>
                </c:pt>
                <c:pt idx="48">
                  <c:v>0.22</c:v>
                </c:pt>
                <c:pt idx="49">
                  <c:v>0.215</c:v>
                </c:pt>
                <c:pt idx="50">
                  <c:v>0.23200000000000001</c:v>
                </c:pt>
                <c:pt idx="51">
                  <c:v>0.27900000000000003</c:v>
                </c:pt>
                <c:pt idx="52">
                  <c:v>0.32700000000000001</c:v>
                </c:pt>
                <c:pt idx="53">
                  <c:v>0.372</c:v>
                </c:pt>
                <c:pt idx="54">
                  <c:v>0.39700000000000002</c:v>
                </c:pt>
                <c:pt idx="55">
                  <c:v>0.439</c:v>
                </c:pt>
                <c:pt idx="56">
                  <c:v>0.50700000000000001</c:v>
                </c:pt>
                <c:pt idx="57">
                  <c:v>0.57899999999999996</c:v>
                </c:pt>
                <c:pt idx="58">
                  <c:v>0.58399999999999996</c:v>
                </c:pt>
                <c:pt idx="59">
                  <c:v>0.61199999999999999</c:v>
                </c:pt>
                <c:pt idx="60">
                  <c:v>0.60499999999999998</c:v>
                </c:pt>
                <c:pt idx="61">
                  <c:v>0.60799999999999998</c:v>
                </c:pt>
                <c:pt idx="62">
                  <c:v>0.64100000000000001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98784"/>
        <c:axId val="185400320"/>
      </c:lineChart>
      <c:catAx>
        <c:axId val="185398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40032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5400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539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5.0000000000000001E-3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4.0000000000000001E-3</c:v>
                </c:pt>
                <c:pt idx="8">
                  <c:v>0.18099999999999999</c:v>
                </c:pt>
                <c:pt idx="9">
                  <c:v>0</c:v>
                </c:pt>
                <c:pt idx="10">
                  <c:v>0.129</c:v>
                </c:pt>
                <c:pt idx="11">
                  <c:v>0.16400000000000001</c:v>
                </c:pt>
                <c:pt idx="12">
                  <c:v>1.7000000000000001E-2</c:v>
                </c:pt>
                <c:pt idx="13">
                  <c:v>8.6999999999999994E-2</c:v>
                </c:pt>
                <c:pt idx="14">
                  <c:v>0.18</c:v>
                </c:pt>
                <c:pt idx="15">
                  <c:v>0.184</c:v>
                </c:pt>
                <c:pt idx="16">
                  <c:v>6.0000000000000001E-3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1E-3</c:v>
                </c:pt>
                <c:pt idx="21">
                  <c:v>0</c:v>
                </c:pt>
                <c:pt idx="22">
                  <c:v>1E-3</c:v>
                </c:pt>
                <c:pt idx="23">
                  <c:v>1E-3</c:v>
                </c:pt>
                <c:pt idx="24">
                  <c:v>0</c:v>
                </c:pt>
                <c:pt idx="25">
                  <c:v>2E-3</c:v>
                </c:pt>
                <c:pt idx="26">
                  <c:v>4.2000000000000003E-2</c:v>
                </c:pt>
                <c:pt idx="27">
                  <c:v>0.112</c:v>
                </c:pt>
                <c:pt idx="28">
                  <c:v>0.47</c:v>
                </c:pt>
                <c:pt idx="29">
                  <c:v>1.02</c:v>
                </c:pt>
                <c:pt idx="30">
                  <c:v>0.81699999999999995</c:v>
                </c:pt>
                <c:pt idx="31">
                  <c:v>0.153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5.2999999999999999E-2</c:v>
                </c:pt>
                <c:pt idx="44">
                  <c:v>4.0000000000000001E-3</c:v>
                </c:pt>
                <c:pt idx="45">
                  <c:v>0.28000000000000003</c:v>
                </c:pt>
                <c:pt idx="46">
                  <c:v>0.41299999999999998</c:v>
                </c:pt>
                <c:pt idx="47">
                  <c:v>0.16900000000000001</c:v>
                </c:pt>
                <c:pt idx="48">
                  <c:v>0.40500000000000003</c:v>
                </c:pt>
                <c:pt idx="49">
                  <c:v>0.60499999999999998</c:v>
                </c:pt>
                <c:pt idx="50">
                  <c:v>0.54700000000000004</c:v>
                </c:pt>
                <c:pt idx="51">
                  <c:v>0.69799999999999995</c:v>
                </c:pt>
                <c:pt idx="52">
                  <c:v>1.113</c:v>
                </c:pt>
                <c:pt idx="53">
                  <c:v>1.0209999999999999</c:v>
                </c:pt>
                <c:pt idx="54">
                  <c:v>1</c:v>
                </c:pt>
                <c:pt idx="55">
                  <c:v>0.78300000000000003</c:v>
                </c:pt>
                <c:pt idx="56">
                  <c:v>0.66700000000000004</c:v>
                </c:pt>
                <c:pt idx="57">
                  <c:v>1.0209999999999999</c:v>
                </c:pt>
                <c:pt idx="58">
                  <c:v>0.32900000000000001</c:v>
                </c:pt>
                <c:pt idx="59">
                  <c:v>0.76100000000000001</c:v>
                </c:pt>
                <c:pt idx="60">
                  <c:v>0.42499999999999999</c:v>
                </c:pt>
                <c:pt idx="61">
                  <c:v>0.47299999999999998</c:v>
                </c:pt>
                <c:pt idx="62">
                  <c:v>0.53400000000000003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0.68700000000000006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0.76700000000000002</c:v>
                </c:pt>
                <c:pt idx="8">
                  <c:v>1.607</c:v>
                </c:pt>
                <c:pt idx="9">
                  <c:v>0</c:v>
                </c:pt>
                <c:pt idx="10">
                  <c:v>1.9</c:v>
                </c:pt>
                <c:pt idx="11">
                  <c:v>2.0470000000000002</c:v>
                </c:pt>
                <c:pt idx="12">
                  <c:v>0.83399999999999996</c:v>
                </c:pt>
                <c:pt idx="13">
                  <c:v>1.234</c:v>
                </c:pt>
                <c:pt idx="14">
                  <c:v>1.554</c:v>
                </c:pt>
                <c:pt idx="15">
                  <c:v>1.86</c:v>
                </c:pt>
                <c:pt idx="16">
                  <c:v>0.59399999999999997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0.46</c:v>
                </c:pt>
                <c:pt idx="21">
                  <c:v>0</c:v>
                </c:pt>
                <c:pt idx="22">
                  <c:v>0.76700000000000002</c:v>
                </c:pt>
                <c:pt idx="23">
                  <c:v>0.51400000000000001</c:v>
                </c:pt>
                <c:pt idx="24">
                  <c:v>0</c:v>
                </c:pt>
                <c:pt idx="25">
                  <c:v>0.55400000000000005</c:v>
                </c:pt>
                <c:pt idx="26">
                  <c:v>1.1539999999999999</c:v>
                </c:pt>
                <c:pt idx="27">
                  <c:v>1.4470000000000001</c:v>
                </c:pt>
                <c:pt idx="28">
                  <c:v>2.0739999999999998</c:v>
                </c:pt>
                <c:pt idx="29">
                  <c:v>2.234</c:v>
                </c:pt>
                <c:pt idx="30">
                  <c:v>2.1139999999999999</c:v>
                </c:pt>
                <c:pt idx="31">
                  <c:v>3.0739999999999998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0.78</c:v>
                </c:pt>
                <c:pt idx="44">
                  <c:v>0.54</c:v>
                </c:pt>
                <c:pt idx="45">
                  <c:v>1.274</c:v>
                </c:pt>
                <c:pt idx="46">
                  <c:v>1.0740000000000001</c:v>
                </c:pt>
                <c:pt idx="47">
                  <c:v>0.874</c:v>
                </c:pt>
                <c:pt idx="48">
                  <c:v>1.2470000000000001</c:v>
                </c:pt>
                <c:pt idx="49">
                  <c:v>1.74</c:v>
                </c:pt>
                <c:pt idx="50">
                  <c:v>2.0470000000000002</c:v>
                </c:pt>
                <c:pt idx="51">
                  <c:v>2.5</c:v>
                </c:pt>
                <c:pt idx="52">
                  <c:v>2.9</c:v>
                </c:pt>
                <c:pt idx="53">
                  <c:v>2.5139999999999998</c:v>
                </c:pt>
                <c:pt idx="54">
                  <c:v>2.5</c:v>
                </c:pt>
                <c:pt idx="55">
                  <c:v>2.0470000000000002</c:v>
                </c:pt>
                <c:pt idx="56">
                  <c:v>2.4870000000000001</c:v>
                </c:pt>
                <c:pt idx="57">
                  <c:v>2.5939999999999999</c:v>
                </c:pt>
                <c:pt idx="58">
                  <c:v>1.78</c:v>
                </c:pt>
                <c:pt idx="59">
                  <c:v>2.6070000000000002</c:v>
                </c:pt>
                <c:pt idx="60">
                  <c:v>1.714</c:v>
                </c:pt>
                <c:pt idx="61">
                  <c:v>2.0339999999999998</c:v>
                </c:pt>
                <c:pt idx="62">
                  <c:v>1.94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82592"/>
        <c:axId val="206384128"/>
      </c:lineChart>
      <c:catAx>
        <c:axId val="206382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384128"/>
        <c:crosses val="autoZero"/>
        <c:auto val="1"/>
        <c:lblAlgn val="ctr"/>
        <c:lblOffset val="100"/>
        <c:tickMarkSkip val="9"/>
        <c:noMultiLvlLbl val="0"/>
      </c:catAx>
      <c:valAx>
        <c:axId val="206384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m/s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38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0.31899999999999995</c:v>
                </c:pt>
                <c:pt idx="1">
                  <c:v>0.3580000000000001</c:v>
                </c:pt>
                <c:pt idx="2">
                  <c:v>0.34400000000000008</c:v>
                </c:pt>
                <c:pt idx="3">
                  <c:v>0.33699999999999997</c:v>
                </c:pt>
                <c:pt idx="4">
                  <c:v>0.33000000000000007</c:v>
                </c:pt>
                <c:pt idx="5">
                  <c:v>0.33000000000000007</c:v>
                </c:pt>
                <c:pt idx="6">
                  <c:v>0.32200000000000006</c:v>
                </c:pt>
                <c:pt idx="7">
                  <c:v>0.35299999999999998</c:v>
                </c:pt>
                <c:pt idx="8">
                  <c:v>0.34200000000000008</c:v>
                </c:pt>
                <c:pt idx="9">
                  <c:v>0.45999999999999996</c:v>
                </c:pt>
                <c:pt idx="10">
                  <c:v>0.43599999999999994</c:v>
                </c:pt>
                <c:pt idx="11">
                  <c:v>0.41000000000000014</c:v>
                </c:pt>
                <c:pt idx="12">
                  <c:v>0.39900000000000002</c:v>
                </c:pt>
                <c:pt idx="13">
                  <c:v>0.38700000000000001</c:v>
                </c:pt>
                <c:pt idx="14">
                  <c:v>0.375</c:v>
                </c:pt>
                <c:pt idx="15">
                  <c:v>0.37800000000000011</c:v>
                </c:pt>
                <c:pt idx="16">
                  <c:v>0.371</c:v>
                </c:pt>
                <c:pt idx="17">
                  <c:v>0.371</c:v>
                </c:pt>
                <c:pt idx="18">
                  <c:v>0.36099999999999999</c:v>
                </c:pt>
                <c:pt idx="19">
                  <c:v>0.3600000000000001</c:v>
                </c:pt>
                <c:pt idx="20">
                  <c:v>0.375</c:v>
                </c:pt>
                <c:pt idx="21">
                  <c:v>0.36099999999999999</c:v>
                </c:pt>
                <c:pt idx="22">
                  <c:v>0.39600000000000013</c:v>
                </c:pt>
                <c:pt idx="23">
                  <c:v>0.38700000000000001</c:v>
                </c:pt>
                <c:pt idx="24">
                  <c:v>0.38200000000000012</c:v>
                </c:pt>
                <c:pt idx="25">
                  <c:v>0.37800000000000011</c:v>
                </c:pt>
                <c:pt idx="26">
                  <c:v>0.3600000000000001</c:v>
                </c:pt>
                <c:pt idx="27">
                  <c:v>0.37600000000000011</c:v>
                </c:pt>
                <c:pt idx="28">
                  <c:v>0.377</c:v>
                </c:pt>
                <c:pt idx="29">
                  <c:v>0.40700000000000003</c:v>
                </c:pt>
                <c:pt idx="30">
                  <c:v>0.42500000000000004</c:v>
                </c:pt>
                <c:pt idx="31">
                  <c:v>0.42900000000000005</c:v>
                </c:pt>
                <c:pt idx="32">
                  <c:v>0.44399999999999995</c:v>
                </c:pt>
                <c:pt idx="33">
                  <c:v>0.47700000000000009</c:v>
                </c:pt>
                <c:pt idx="34">
                  <c:v>0.46799999999999997</c:v>
                </c:pt>
                <c:pt idx="35">
                  <c:v>0.46399999999999997</c:v>
                </c:pt>
                <c:pt idx="36">
                  <c:v>0.45799999999999996</c:v>
                </c:pt>
                <c:pt idx="37">
                  <c:v>0.45199999999999996</c:v>
                </c:pt>
                <c:pt idx="38">
                  <c:v>0.46199999999999997</c:v>
                </c:pt>
                <c:pt idx="39">
                  <c:v>0.46599999999999997</c:v>
                </c:pt>
                <c:pt idx="40">
                  <c:v>0.46199999999999997</c:v>
                </c:pt>
                <c:pt idx="41">
                  <c:v>0.46100000000000008</c:v>
                </c:pt>
                <c:pt idx="42">
                  <c:v>0.45999999999999996</c:v>
                </c:pt>
                <c:pt idx="43">
                  <c:v>0.46599999999999997</c:v>
                </c:pt>
                <c:pt idx="44">
                  <c:v>0.45700000000000007</c:v>
                </c:pt>
                <c:pt idx="45">
                  <c:v>0.45700000000000007</c:v>
                </c:pt>
                <c:pt idx="46">
                  <c:v>0.48199999999999998</c:v>
                </c:pt>
                <c:pt idx="47">
                  <c:v>0.502</c:v>
                </c:pt>
                <c:pt idx="48">
                  <c:v>0.49500000000000011</c:v>
                </c:pt>
                <c:pt idx="49">
                  <c:v>0.51700000000000013</c:v>
                </c:pt>
                <c:pt idx="50">
                  <c:v>0.4850000000000001</c:v>
                </c:pt>
                <c:pt idx="51">
                  <c:v>0.55000000000000004</c:v>
                </c:pt>
                <c:pt idx="52">
                  <c:v>0.52200000000000002</c:v>
                </c:pt>
                <c:pt idx="53">
                  <c:v>0.53500000000000014</c:v>
                </c:pt>
                <c:pt idx="54">
                  <c:v>0.50600000000000001</c:v>
                </c:pt>
                <c:pt idx="55">
                  <c:v>0.47900000000000009</c:v>
                </c:pt>
                <c:pt idx="56">
                  <c:v>0.47100000000000009</c:v>
                </c:pt>
                <c:pt idx="57">
                  <c:v>0.46300000000000008</c:v>
                </c:pt>
                <c:pt idx="58">
                  <c:v>0.43999999999999995</c:v>
                </c:pt>
                <c:pt idx="59">
                  <c:v>0.41999999999999993</c:v>
                </c:pt>
                <c:pt idx="60">
                  <c:v>0.40300000000000002</c:v>
                </c:pt>
                <c:pt idx="61">
                  <c:v>0.39100000000000001</c:v>
                </c:pt>
                <c:pt idx="62">
                  <c:v>0.40900000000000003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93728"/>
        <c:axId val="206395264"/>
      </c:lineChart>
      <c:catAx>
        <c:axId val="206393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395264"/>
        <c:crosses val="autoZero"/>
        <c:auto val="1"/>
        <c:lblAlgn val="ctr"/>
        <c:lblOffset val="100"/>
        <c:tickMarkSkip val="9"/>
        <c:noMultiLvlLbl val="0"/>
      </c:catAx>
      <c:valAx>
        <c:axId val="206395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393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Rain</c:v>
          </c:tx>
          <c:invertIfNegative val="0"/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2.1</c:v>
                </c:pt>
                <c:pt idx="51">
                  <c:v>0.1</c:v>
                </c:pt>
                <c:pt idx="52">
                  <c:v>2.2000000000000002</c:v>
                </c:pt>
                <c:pt idx="53">
                  <c:v>8.1999999999999993</c:v>
                </c:pt>
                <c:pt idx="54">
                  <c:v>3.6</c:v>
                </c:pt>
                <c:pt idx="55">
                  <c:v>0.4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12800"/>
        <c:axId val="206766848"/>
      </c:barChart>
      <c:catAx>
        <c:axId val="206412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766848"/>
        <c:crosses val="autoZero"/>
        <c:auto val="1"/>
        <c:lblAlgn val="ctr"/>
        <c:lblOffset val="100"/>
        <c:tickMarkSkip val="9"/>
        <c:noMultiLvlLbl val="0"/>
      </c:catAx>
      <c:valAx>
        <c:axId val="206766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412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9.1</c:v>
                </c:pt>
                <c:pt idx="8">
                  <c:v>9.1</c:v>
                </c:pt>
                <c:pt idx="9">
                  <c:v>24.4</c:v>
                </c:pt>
                <c:pt idx="10">
                  <c:v>24.4</c:v>
                </c:pt>
                <c:pt idx="11">
                  <c:v>24.4</c:v>
                </c:pt>
                <c:pt idx="12">
                  <c:v>24.4</c:v>
                </c:pt>
                <c:pt idx="13">
                  <c:v>24.4</c:v>
                </c:pt>
                <c:pt idx="14">
                  <c:v>24.4</c:v>
                </c:pt>
                <c:pt idx="15">
                  <c:v>24.799999999999997</c:v>
                </c:pt>
                <c:pt idx="16">
                  <c:v>24.799999999999997</c:v>
                </c:pt>
                <c:pt idx="17">
                  <c:v>24.799999999999997</c:v>
                </c:pt>
                <c:pt idx="18">
                  <c:v>24.799999999999997</c:v>
                </c:pt>
                <c:pt idx="19">
                  <c:v>24.799999999999997</c:v>
                </c:pt>
                <c:pt idx="20">
                  <c:v>26.699999999999996</c:v>
                </c:pt>
                <c:pt idx="21">
                  <c:v>26.699999999999996</c:v>
                </c:pt>
                <c:pt idx="22">
                  <c:v>31.299999999999997</c:v>
                </c:pt>
                <c:pt idx="23">
                  <c:v>31.299999999999997</c:v>
                </c:pt>
                <c:pt idx="24">
                  <c:v>31.299999999999997</c:v>
                </c:pt>
                <c:pt idx="25">
                  <c:v>31.299999999999997</c:v>
                </c:pt>
                <c:pt idx="26">
                  <c:v>31.299999999999997</c:v>
                </c:pt>
                <c:pt idx="27">
                  <c:v>33.4</c:v>
                </c:pt>
                <c:pt idx="28">
                  <c:v>33.5</c:v>
                </c:pt>
                <c:pt idx="29">
                  <c:v>37.4</c:v>
                </c:pt>
                <c:pt idx="30">
                  <c:v>39.699999999999996</c:v>
                </c:pt>
                <c:pt idx="31">
                  <c:v>40.199999999999996</c:v>
                </c:pt>
                <c:pt idx="32">
                  <c:v>42.099999999999994</c:v>
                </c:pt>
                <c:pt idx="33">
                  <c:v>46.399999999999991</c:v>
                </c:pt>
                <c:pt idx="34">
                  <c:v>46.399999999999991</c:v>
                </c:pt>
                <c:pt idx="35">
                  <c:v>46.399999999999991</c:v>
                </c:pt>
                <c:pt idx="36">
                  <c:v>46.399999999999991</c:v>
                </c:pt>
                <c:pt idx="37">
                  <c:v>46.399999999999991</c:v>
                </c:pt>
                <c:pt idx="38">
                  <c:v>47.699999999999989</c:v>
                </c:pt>
                <c:pt idx="39">
                  <c:v>48.199999999999989</c:v>
                </c:pt>
                <c:pt idx="40">
                  <c:v>48.199999999999989</c:v>
                </c:pt>
                <c:pt idx="41">
                  <c:v>48.199999999999989</c:v>
                </c:pt>
                <c:pt idx="42">
                  <c:v>48.199999999999989</c:v>
                </c:pt>
                <c:pt idx="43">
                  <c:v>48.999999999999986</c:v>
                </c:pt>
                <c:pt idx="44">
                  <c:v>48.999999999999986</c:v>
                </c:pt>
                <c:pt idx="45">
                  <c:v>48.999999999999986</c:v>
                </c:pt>
                <c:pt idx="46">
                  <c:v>52.199999999999989</c:v>
                </c:pt>
                <c:pt idx="47">
                  <c:v>54.79999999999999</c:v>
                </c:pt>
                <c:pt idx="48">
                  <c:v>54.79999999999999</c:v>
                </c:pt>
                <c:pt idx="49">
                  <c:v>57.699999999999989</c:v>
                </c:pt>
                <c:pt idx="50">
                  <c:v>57.699999999999989</c:v>
                </c:pt>
                <c:pt idx="51">
                  <c:v>66.099999999999994</c:v>
                </c:pt>
                <c:pt idx="52">
                  <c:v>66.099999999999994</c:v>
                </c:pt>
                <c:pt idx="53">
                  <c:v>67.8</c:v>
                </c:pt>
                <c:pt idx="54">
                  <c:v>67.8</c:v>
                </c:pt>
                <c:pt idx="55">
                  <c:v>67.8</c:v>
                </c:pt>
                <c:pt idx="56">
                  <c:v>67.8</c:v>
                </c:pt>
                <c:pt idx="57">
                  <c:v>67.8</c:v>
                </c:pt>
                <c:pt idx="58">
                  <c:v>67.8</c:v>
                </c:pt>
                <c:pt idx="59">
                  <c:v>67.8</c:v>
                </c:pt>
                <c:pt idx="60">
                  <c:v>67.8</c:v>
                </c:pt>
                <c:pt idx="61">
                  <c:v>67.8</c:v>
                </c:pt>
                <c:pt idx="62">
                  <c:v>70.099999999999994</c:v>
                </c:pt>
                <c:pt idx="63">
                  <c:v>70.099999999999994</c:v>
                </c:pt>
                <c:pt idx="64">
                  <c:v>70.099999999999994</c:v>
                </c:pt>
                <c:pt idx="65">
                  <c:v>70.099999999999994</c:v>
                </c:pt>
                <c:pt idx="66">
                  <c:v>70.099999999999994</c:v>
                </c:pt>
                <c:pt idx="67">
                  <c:v>70.099999999999994</c:v>
                </c:pt>
                <c:pt idx="68">
                  <c:v>70.099999999999994</c:v>
                </c:pt>
                <c:pt idx="69">
                  <c:v>70.099999999999994</c:v>
                </c:pt>
                <c:pt idx="70">
                  <c:v>70.099999999999994</c:v>
                </c:pt>
                <c:pt idx="71">
                  <c:v>70.099999999999994</c:v>
                </c:pt>
                <c:pt idx="72">
                  <c:v>70.099999999999994</c:v>
                </c:pt>
                <c:pt idx="73">
                  <c:v>70.099999999999994</c:v>
                </c:pt>
                <c:pt idx="74">
                  <c:v>70.099999999999994</c:v>
                </c:pt>
                <c:pt idx="75">
                  <c:v>70.099999999999994</c:v>
                </c:pt>
                <c:pt idx="76">
                  <c:v>70.099999999999994</c:v>
                </c:pt>
                <c:pt idx="77">
                  <c:v>70.099999999999994</c:v>
                </c:pt>
                <c:pt idx="78">
                  <c:v>70.099999999999994</c:v>
                </c:pt>
                <c:pt idx="79">
                  <c:v>70.099999999999994</c:v>
                </c:pt>
                <c:pt idx="80">
                  <c:v>70.099999999999994</c:v>
                </c:pt>
                <c:pt idx="81">
                  <c:v>70.099999999999994</c:v>
                </c:pt>
                <c:pt idx="82">
                  <c:v>70.099999999999994</c:v>
                </c:pt>
                <c:pt idx="83">
                  <c:v>70.099999999999994</c:v>
                </c:pt>
                <c:pt idx="84">
                  <c:v>70.099999999999994</c:v>
                </c:pt>
                <c:pt idx="85">
                  <c:v>70.099999999999994</c:v>
                </c:pt>
                <c:pt idx="86">
                  <c:v>70.099999999999994</c:v>
                </c:pt>
                <c:pt idx="87">
                  <c:v>70.099999999999994</c:v>
                </c:pt>
                <c:pt idx="88">
                  <c:v>70.099999999999994</c:v>
                </c:pt>
                <c:pt idx="89">
                  <c:v>70.099999999999994</c:v>
                </c:pt>
                <c:pt idx="90">
                  <c:v>70.099999999999994</c:v>
                </c:pt>
                <c:pt idx="91">
                  <c:v>70.099999999999994</c:v>
                </c:pt>
                <c:pt idx="92">
                  <c:v>70.099999999999994</c:v>
                </c:pt>
                <c:pt idx="93">
                  <c:v>70.099999999999994</c:v>
                </c:pt>
                <c:pt idx="94">
                  <c:v>70.099999999999994</c:v>
                </c:pt>
                <c:pt idx="95">
                  <c:v>70.099999999999994</c:v>
                </c:pt>
                <c:pt idx="96">
                  <c:v>70.099999999999994</c:v>
                </c:pt>
                <c:pt idx="97">
                  <c:v>70.099999999999994</c:v>
                </c:pt>
                <c:pt idx="98">
                  <c:v>70.099999999999994</c:v>
                </c:pt>
                <c:pt idx="99">
                  <c:v>70.099999999999994</c:v>
                </c:pt>
                <c:pt idx="100">
                  <c:v>70.099999999999994</c:v>
                </c:pt>
                <c:pt idx="101">
                  <c:v>70.099999999999994</c:v>
                </c:pt>
                <c:pt idx="102">
                  <c:v>70.099999999999994</c:v>
                </c:pt>
                <c:pt idx="103">
                  <c:v>70.099999999999994</c:v>
                </c:pt>
                <c:pt idx="104">
                  <c:v>70.099999999999994</c:v>
                </c:pt>
                <c:pt idx="105">
                  <c:v>70.099999999999994</c:v>
                </c:pt>
                <c:pt idx="106">
                  <c:v>70.099999999999994</c:v>
                </c:pt>
                <c:pt idx="107">
                  <c:v>70.099999999999994</c:v>
                </c:pt>
                <c:pt idx="108">
                  <c:v>70.099999999999994</c:v>
                </c:pt>
                <c:pt idx="109">
                  <c:v>70.099999999999994</c:v>
                </c:pt>
                <c:pt idx="110">
                  <c:v>70.099999999999994</c:v>
                </c:pt>
                <c:pt idx="111">
                  <c:v>70.099999999999994</c:v>
                </c:pt>
                <c:pt idx="112">
                  <c:v>70.099999999999994</c:v>
                </c:pt>
                <c:pt idx="113">
                  <c:v>70.099999999999994</c:v>
                </c:pt>
                <c:pt idx="114">
                  <c:v>70.099999999999994</c:v>
                </c:pt>
                <c:pt idx="115">
                  <c:v>70.099999999999994</c:v>
                </c:pt>
                <c:pt idx="116">
                  <c:v>70.099999999999994</c:v>
                </c:pt>
                <c:pt idx="117">
                  <c:v>70.099999999999994</c:v>
                </c:pt>
                <c:pt idx="118">
                  <c:v>70.099999999999994</c:v>
                </c:pt>
                <c:pt idx="119">
                  <c:v>70.099999999999994</c:v>
                </c:pt>
                <c:pt idx="120">
                  <c:v>70.099999999999994</c:v>
                </c:pt>
                <c:pt idx="121">
                  <c:v>70.099999999999994</c:v>
                </c:pt>
                <c:pt idx="122">
                  <c:v>70.099999999999994</c:v>
                </c:pt>
                <c:pt idx="123">
                  <c:v>70.099999999999994</c:v>
                </c:pt>
                <c:pt idx="124">
                  <c:v>70.099999999999994</c:v>
                </c:pt>
                <c:pt idx="125">
                  <c:v>70.099999999999994</c:v>
                </c:pt>
                <c:pt idx="126">
                  <c:v>70.099999999999994</c:v>
                </c:pt>
                <c:pt idx="127">
                  <c:v>70.099999999999994</c:v>
                </c:pt>
                <c:pt idx="128">
                  <c:v>70.099999999999994</c:v>
                </c:pt>
                <c:pt idx="129">
                  <c:v>70.099999999999994</c:v>
                </c:pt>
                <c:pt idx="130">
                  <c:v>70.099999999999994</c:v>
                </c:pt>
                <c:pt idx="131">
                  <c:v>70.099999999999994</c:v>
                </c:pt>
                <c:pt idx="132">
                  <c:v>70.099999999999994</c:v>
                </c:pt>
                <c:pt idx="133">
                  <c:v>70.099999999999994</c:v>
                </c:pt>
                <c:pt idx="134">
                  <c:v>70.099999999999994</c:v>
                </c:pt>
                <c:pt idx="135">
                  <c:v>70.099999999999994</c:v>
                </c:pt>
                <c:pt idx="136">
                  <c:v>70.099999999999994</c:v>
                </c:pt>
                <c:pt idx="137">
                  <c:v>70.099999999999994</c:v>
                </c:pt>
                <c:pt idx="138">
                  <c:v>70.099999999999994</c:v>
                </c:pt>
                <c:pt idx="139">
                  <c:v>70.099999999999994</c:v>
                </c:pt>
                <c:pt idx="140">
                  <c:v>70.099999999999994</c:v>
                </c:pt>
                <c:pt idx="141">
                  <c:v>70.099999999999994</c:v>
                </c:pt>
                <c:pt idx="142">
                  <c:v>70.099999999999994</c:v>
                </c:pt>
                <c:pt idx="143">
                  <c:v>70.099999999999994</c:v>
                </c:pt>
                <c:pt idx="144">
                  <c:v>70.099999999999994</c:v>
                </c:pt>
                <c:pt idx="145">
                  <c:v>70.099999999999994</c:v>
                </c:pt>
                <c:pt idx="146">
                  <c:v>70.099999999999994</c:v>
                </c:pt>
                <c:pt idx="147">
                  <c:v>70.099999999999994</c:v>
                </c:pt>
                <c:pt idx="148">
                  <c:v>70.099999999999994</c:v>
                </c:pt>
                <c:pt idx="149">
                  <c:v>70.099999999999994</c:v>
                </c:pt>
                <c:pt idx="150">
                  <c:v>70.099999999999994</c:v>
                </c:pt>
                <c:pt idx="151">
                  <c:v>70.099999999999994</c:v>
                </c:pt>
                <c:pt idx="152">
                  <c:v>70.099999999999994</c:v>
                </c:pt>
                <c:pt idx="153">
                  <c:v>70.099999999999994</c:v>
                </c:pt>
                <c:pt idx="154">
                  <c:v>70.099999999999994</c:v>
                </c:pt>
                <c:pt idx="155">
                  <c:v>70.099999999999994</c:v>
                </c:pt>
                <c:pt idx="156">
                  <c:v>70.099999999999994</c:v>
                </c:pt>
                <c:pt idx="157">
                  <c:v>70.099999999999994</c:v>
                </c:pt>
                <c:pt idx="158">
                  <c:v>70.099999999999994</c:v>
                </c:pt>
                <c:pt idx="159">
                  <c:v>70.099999999999994</c:v>
                </c:pt>
                <c:pt idx="160">
                  <c:v>70.099999999999994</c:v>
                </c:pt>
                <c:pt idx="161">
                  <c:v>70.099999999999994</c:v>
                </c:pt>
                <c:pt idx="162">
                  <c:v>70.099999999999994</c:v>
                </c:pt>
                <c:pt idx="163">
                  <c:v>70.099999999999994</c:v>
                </c:pt>
                <c:pt idx="164">
                  <c:v>70.099999999999994</c:v>
                </c:pt>
                <c:pt idx="165">
                  <c:v>70.099999999999994</c:v>
                </c:pt>
                <c:pt idx="166">
                  <c:v>70.099999999999994</c:v>
                </c:pt>
                <c:pt idx="167">
                  <c:v>70.099999999999994</c:v>
                </c:pt>
                <c:pt idx="168">
                  <c:v>70.099999999999994</c:v>
                </c:pt>
                <c:pt idx="169">
                  <c:v>70.099999999999994</c:v>
                </c:pt>
                <c:pt idx="170">
                  <c:v>70.099999999999994</c:v>
                </c:pt>
                <c:pt idx="171">
                  <c:v>70.099999999999994</c:v>
                </c:pt>
                <c:pt idx="172">
                  <c:v>70.099999999999994</c:v>
                </c:pt>
                <c:pt idx="173">
                  <c:v>70.099999999999994</c:v>
                </c:pt>
                <c:pt idx="174">
                  <c:v>70.099999999999994</c:v>
                </c:pt>
                <c:pt idx="175">
                  <c:v>70.099999999999994</c:v>
                </c:pt>
                <c:pt idx="176">
                  <c:v>70.099999999999994</c:v>
                </c:pt>
                <c:pt idx="177">
                  <c:v>70.099999999999994</c:v>
                </c:pt>
                <c:pt idx="178">
                  <c:v>70.099999999999994</c:v>
                </c:pt>
                <c:pt idx="179">
                  <c:v>70.099999999999994</c:v>
                </c:pt>
                <c:pt idx="180">
                  <c:v>70.099999999999994</c:v>
                </c:pt>
                <c:pt idx="181">
                  <c:v>70.099999999999994</c:v>
                </c:pt>
                <c:pt idx="182">
                  <c:v>70.099999999999994</c:v>
                </c:pt>
                <c:pt idx="183">
                  <c:v>70.099999999999994</c:v>
                </c:pt>
                <c:pt idx="184">
                  <c:v>70.099999999999994</c:v>
                </c:pt>
                <c:pt idx="185">
                  <c:v>70.099999999999994</c:v>
                </c:pt>
                <c:pt idx="186">
                  <c:v>70.099999999999994</c:v>
                </c:pt>
                <c:pt idx="187">
                  <c:v>70.099999999999994</c:v>
                </c:pt>
                <c:pt idx="188">
                  <c:v>70.099999999999994</c:v>
                </c:pt>
                <c:pt idx="189">
                  <c:v>70.099999999999994</c:v>
                </c:pt>
                <c:pt idx="190">
                  <c:v>70.099999999999994</c:v>
                </c:pt>
                <c:pt idx="191">
                  <c:v>70.099999999999994</c:v>
                </c:pt>
                <c:pt idx="192">
                  <c:v>70.099999999999994</c:v>
                </c:pt>
                <c:pt idx="193">
                  <c:v>70.099999999999994</c:v>
                </c:pt>
                <c:pt idx="194">
                  <c:v>70.099999999999994</c:v>
                </c:pt>
                <c:pt idx="195">
                  <c:v>70.099999999999994</c:v>
                </c:pt>
                <c:pt idx="196">
                  <c:v>70.099999999999994</c:v>
                </c:pt>
                <c:pt idx="197">
                  <c:v>70.099999999999994</c:v>
                </c:pt>
                <c:pt idx="198">
                  <c:v>70.099999999999994</c:v>
                </c:pt>
                <c:pt idx="199">
                  <c:v>70.099999999999994</c:v>
                </c:pt>
                <c:pt idx="200">
                  <c:v>70.099999999999994</c:v>
                </c:pt>
                <c:pt idx="201">
                  <c:v>70.099999999999994</c:v>
                </c:pt>
                <c:pt idx="202">
                  <c:v>70.099999999999994</c:v>
                </c:pt>
                <c:pt idx="203">
                  <c:v>70.099999999999994</c:v>
                </c:pt>
                <c:pt idx="204">
                  <c:v>70.099999999999994</c:v>
                </c:pt>
                <c:pt idx="205">
                  <c:v>70.099999999999994</c:v>
                </c:pt>
                <c:pt idx="206">
                  <c:v>70.099999999999994</c:v>
                </c:pt>
                <c:pt idx="207">
                  <c:v>70.099999999999994</c:v>
                </c:pt>
                <c:pt idx="208">
                  <c:v>70.099999999999994</c:v>
                </c:pt>
                <c:pt idx="209">
                  <c:v>70.099999999999994</c:v>
                </c:pt>
                <c:pt idx="210">
                  <c:v>70.099999999999994</c:v>
                </c:pt>
                <c:pt idx="211">
                  <c:v>70.099999999999994</c:v>
                </c:pt>
                <c:pt idx="212">
                  <c:v>70.099999999999994</c:v>
                </c:pt>
                <c:pt idx="213">
                  <c:v>70.099999999999994</c:v>
                </c:pt>
                <c:pt idx="214">
                  <c:v>70.099999999999994</c:v>
                </c:pt>
                <c:pt idx="215">
                  <c:v>70.099999999999994</c:v>
                </c:pt>
                <c:pt idx="216">
                  <c:v>70.099999999999994</c:v>
                </c:pt>
                <c:pt idx="217">
                  <c:v>70.099999999999994</c:v>
                </c:pt>
                <c:pt idx="218">
                  <c:v>70.099999999999994</c:v>
                </c:pt>
                <c:pt idx="219">
                  <c:v>70.099999999999994</c:v>
                </c:pt>
                <c:pt idx="220">
                  <c:v>70.099999999999994</c:v>
                </c:pt>
                <c:pt idx="221">
                  <c:v>70.099999999999994</c:v>
                </c:pt>
                <c:pt idx="222">
                  <c:v>70.099999999999994</c:v>
                </c:pt>
                <c:pt idx="223">
                  <c:v>70.099999999999994</c:v>
                </c:pt>
                <c:pt idx="224">
                  <c:v>70.099999999999994</c:v>
                </c:pt>
                <c:pt idx="225">
                  <c:v>70.099999999999994</c:v>
                </c:pt>
                <c:pt idx="226">
                  <c:v>70.099999999999994</c:v>
                </c:pt>
                <c:pt idx="227">
                  <c:v>70.099999999999994</c:v>
                </c:pt>
                <c:pt idx="228">
                  <c:v>70.099999999999994</c:v>
                </c:pt>
                <c:pt idx="229">
                  <c:v>70.099999999999994</c:v>
                </c:pt>
                <c:pt idx="230">
                  <c:v>70.099999999999994</c:v>
                </c:pt>
                <c:pt idx="231">
                  <c:v>70.099999999999994</c:v>
                </c:pt>
                <c:pt idx="232">
                  <c:v>70.099999999999994</c:v>
                </c:pt>
                <c:pt idx="233">
                  <c:v>70.099999999999994</c:v>
                </c:pt>
                <c:pt idx="234">
                  <c:v>70.099999999999994</c:v>
                </c:pt>
                <c:pt idx="235">
                  <c:v>70.099999999999994</c:v>
                </c:pt>
                <c:pt idx="236">
                  <c:v>70.099999999999994</c:v>
                </c:pt>
                <c:pt idx="237">
                  <c:v>70.099999999999994</c:v>
                </c:pt>
                <c:pt idx="238">
                  <c:v>70.099999999999994</c:v>
                </c:pt>
                <c:pt idx="239">
                  <c:v>70.099999999999994</c:v>
                </c:pt>
                <c:pt idx="240">
                  <c:v>70.099999999999994</c:v>
                </c:pt>
                <c:pt idx="241">
                  <c:v>70.099999999999994</c:v>
                </c:pt>
                <c:pt idx="242">
                  <c:v>70.099999999999994</c:v>
                </c:pt>
                <c:pt idx="243">
                  <c:v>70.099999999999994</c:v>
                </c:pt>
                <c:pt idx="244">
                  <c:v>70.099999999999994</c:v>
                </c:pt>
                <c:pt idx="245">
                  <c:v>70.099999999999994</c:v>
                </c:pt>
                <c:pt idx="246">
                  <c:v>70.099999999999994</c:v>
                </c:pt>
                <c:pt idx="247">
                  <c:v>70.099999999999994</c:v>
                </c:pt>
                <c:pt idx="248">
                  <c:v>70.099999999999994</c:v>
                </c:pt>
                <c:pt idx="249">
                  <c:v>70.099999999999994</c:v>
                </c:pt>
                <c:pt idx="250">
                  <c:v>70.099999999999994</c:v>
                </c:pt>
                <c:pt idx="251">
                  <c:v>70.099999999999994</c:v>
                </c:pt>
                <c:pt idx="252">
                  <c:v>70.099999999999994</c:v>
                </c:pt>
                <c:pt idx="253">
                  <c:v>70.099999999999994</c:v>
                </c:pt>
                <c:pt idx="254">
                  <c:v>70.099999999999994</c:v>
                </c:pt>
                <c:pt idx="255">
                  <c:v>70.099999999999994</c:v>
                </c:pt>
                <c:pt idx="256">
                  <c:v>70.099999999999994</c:v>
                </c:pt>
                <c:pt idx="257">
                  <c:v>70.099999999999994</c:v>
                </c:pt>
                <c:pt idx="258">
                  <c:v>70.099999999999994</c:v>
                </c:pt>
                <c:pt idx="259">
                  <c:v>70.099999999999994</c:v>
                </c:pt>
                <c:pt idx="260">
                  <c:v>70.099999999999994</c:v>
                </c:pt>
                <c:pt idx="261">
                  <c:v>70.099999999999994</c:v>
                </c:pt>
                <c:pt idx="262">
                  <c:v>70.099999999999994</c:v>
                </c:pt>
                <c:pt idx="263">
                  <c:v>70.099999999999994</c:v>
                </c:pt>
                <c:pt idx="264">
                  <c:v>70.099999999999994</c:v>
                </c:pt>
                <c:pt idx="265">
                  <c:v>70.099999999999994</c:v>
                </c:pt>
                <c:pt idx="266">
                  <c:v>70.099999999999994</c:v>
                </c:pt>
                <c:pt idx="267">
                  <c:v>70.099999999999994</c:v>
                </c:pt>
                <c:pt idx="268">
                  <c:v>70.099999999999994</c:v>
                </c:pt>
                <c:pt idx="269">
                  <c:v>70.099999999999994</c:v>
                </c:pt>
                <c:pt idx="270">
                  <c:v>70.099999999999994</c:v>
                </c:pt>
                <c:pt idx="271">
                  <c:v>70.099999999999994</c:v>
                </c:pt>
                <c:pt idx="272">
                  <c:v>70.099999999999994</c:v>
                </c:pt>
                <c:pt idx="273">
                  <c:v>70.099999999999994</c:v>
                </c:pt>
                <c:pt idx="274">
                  <c:v>70.099999999999994</c:v>
                </c:pt>
                <c:pt idx="275">
                  <c:v>70.099999999999994</c:v>
                </c:pt>
                <c:pt idx="276">
                  <c:v>70.099999999999994</c:v>
                </c:pt>
                <c:pt idx="277">
                  <c:v>70.099999999999994</c:v>
                </c:pt>
                <c:pt idx="278">
                  <c:v>70.099999999999994</c:v>
                </c:pt>
                <c:pt idx="279">
                  <c:v>70.099999999999994</c:v>
                </c:pt>
                <c:pt idx="280">
                  <c:v>70.099999999999994</c:v>
                </c:pt>
                <c:pt idx="281">
                  <c:v>70.099999999999994</c:v>
                </c:pt>
                <c:pt idx="282">
                  <c:v>70.099999999999994</c:v>
                </c:pt>
                <c:pt idx="283">
                  <c:v>70.099999999999994</c:v>
                </c:pt>
                <c:pt idx="284">
                  <c:v>70.099999999999994</c:v>
                </c:pt>
                <c:pt idx="285">
                  <c:v>70.099999999999994</c:v>
                </c:pt>
                <c:pt idx="286">
                  <c:v>70.099999999999994</c:v>
                </c:pt>
                <c:pt idx="287">
                  <c:v>70.099999999999994</c:v>
                </c:pt>
                <c:pt idx="288">
                  <c:v>70.099999999999994</c:v>
                </c:pt>
                <c:pt idx="289">
                  <c:v>70.099999999999994</c:v>
                </c:pt>
                <c:pt idx="290">
                  <c:v>70.099999999999994</c:v>
                </c:pt>
                <c:pt idx="291">
                  <c:v>70.099999999999994</c:v>
                </c:pt>
                <c:pt idx="292">
                  <c:v>70.099999999999994</c:v>
                </c:pt>
                <c:pt idx="293">
                  <c:v>70.099999999999994</c:v>
                </c:pt>
                <c:pt idx="294">
                  <c:v>70.099999999999994</c:v>
                </c:pt>
                <c:pt idx="295">
                  <c:v>70.099999999999994</c:v>
                </c:pt>
                <c:pt idx="296">
                  <c:v>70.099999999999994</c:v>
                </c:pt>
                <c:pt idx="297">
                  <c:v>70.099999999999994</c:v>
                </c:pt>
                <c:pt idx="298">
                  <c:v>70.099999999999994</c:v>
                </c:pt>
                <c:pt idx="299">
                  <c:v>70.099999999999994</c:v>
                </c:pt>
                <c:pt idx="300">
                  <c:v>70.099999999999994</c:v>
                </c:pt>
                <c:pt idx="301">
                  <c:v>70.099999999999994</c:v>
                </c:pt>
                <c:pt idx="302">
                  <c:v>70.099999999999994</c:v>
                </c:pt>
                <c:pt idx="303">
                  <c:v>70.099999999999994</c:v>
                </c:pt>
                <c:pt idx="304">
                  <c:v>70.099999999999994</c:v>
                </c:pt>
                <c:pt idx="305">
                  <c:v>70.099999999999994</c:v>
                </c:pt>
                <c:pt idx="306">
                  <c:v>70.099999999999994</c:v>
                </c:pt>
                <c:pt idx="307">
                  <c:v>70.099999999999994</c:v>
                </c:pt>
                <c:pt idx="308">
                  <c:v>70.099999999999994</c:v>
                </c:pt>
                <c:pt idx="309">
                  <c:v>70.099999999999994</c:v>
                </c:pt>
                <c:pt idx="310">
                  <c:v>70.099999999999994</c:v>
                </c:pt>
                <c:pt idx="311">
                  <c:v>70.099999999999994</c:v>
                </c:pt>
                <c:pt idx="312">
                  <c:v>70.099999999999994</c:v>
                </c:pt>
                <c:pt idx="313">
                  <c:v>70.099999999999994</c:v>
                </c:pt>
                <c:pt idx="314">
                  <c:v>70.099999999999994</c:v>
                </c:pt>
                <c:pt idx="315">
                  <c:v>70.099999999999994</c:v>
                </c:pt>
                <c:pt idx="316">
                  <c:v>70.099999999999994</c:v>
                </c:pt>
                <c:pt idx="317">
                  <c:v>70.099999999999994</c:v>
                </c:pt>
                <c:pt idx="318">
                  <c:v>70.099999999999994</c:v>
                </c:pt>
                <c:pt idx="319">
                  <c:v>70.099999999999994</c:v>
                </c:pt>
                <c:pt idx="320">
                  <c:v>70.099999999999994</c:v>
                </c:pt>
                <c:pt idx="321">
                  <c:v>70.099999999999994</c:v>
                </c:pt>
                <c:pt idx="322">
                  <c:v>70.099999999999994</c:v>
                </c:pt>
                <c:pt idx="323">
                  <c:v>70.099999999999994</c:v>
                </c:pt>
                <c:pt idx="324">
                  <c:v>70.099999999999994</c:v>
                </c:pt>
                <c:pt idx="325">
                  <c:v>70.099999999999994</c:v>
                </c:pt>
                <c:pt idx="326">
                  <c:v>70.099999999999994</c:v>
                </c:pt>
                <c:pt idx="327">
                  <c:v>70.099999999999994</c:v>
                </c:pt>
                <c:pt idx="328">
                  <c:v>70.099999999999994</c:v>
                </c:pt>
                <c:pt idx="329">
                  <c:v>70.099999999999994</c:v>
                </c:pt>
                <c:pt idx="330">
                  <c:v>70.099999999999994</c:v>
                </c:pt>
                <c:pt idx="331">
                  <c:v>70.099999999999994</c:v>
                </c:pt>
                <c:pt idx="332">
                  <c:v>70.099999999999994</c:v>
                </c:pt>
                <c:pt idx="333">
                  <c:v>70.099999999999994</c:v>
                </c:pt>
                <c:pt idx="334">
                  <c:v>70.099999999999994</c:v>
                </c:pt>
                <c:pt idx="335">
                  <c:v>70.099999999999994</c:v>
                </c:pt>
                <c:pt idx="336">
                  <c:v>70.099999999999994</c:v>
                </c:pt>
                <c:pt idx="337">
                  <c:v>70.099999999999994</c:v>
                </c:pt>
                <c:pt idx="338">
                  <c:v>70.099999999999994</c:v>
                </c:pt>
                <c:pt idx="339">
                  <c:v>70.099999999999994</c:v>
                </c:pt>
                <c:pt idx="340">
                  <c:v>70.099999999999994</c:v>
                </c:pt>
                <c:pt idx="341">
                  <c:v>70.099999999999994</c:v>
                </c:pt>
                <c:pt idx="342">
                  <c:v>70.099999999999994</c:v>
                </c:pt>
                <c:pt idx="343">
                  <c:v>70.099999999999994</c:v>
                </c:pt>
                <c:pt idx="344">
                  <c:v>70.099999999999994</c:v>
                </c:pt>
                <c:pt idx="345">
                  <c:v>70.099999999999994</c:v>
                </c:pt>
                <c:pt idx="346">
                  <c:v>70.099999999999994</c:v>
                </c:pt>
                <c:pt idx="347">
                  <c:v>70.099999999999994</c:v>
                </c:pt>
                <c:pt idx="348">
                  <c:v>70.099999999999994</c:v>
                </c:pt>
                <c:pt idx="349">
                  <c:v>70.099999999999994</c:v>
                </c:pt>
                <c:pt idx="350">
                  <c:v>70.099999999999994</c:v>
                </c:pt>
                <c:pt idx="351">
                  <c:v>70.099999999999994</c:v>
                </c:pt>
                <c:pt idx="352">
                  <c:v>70.099999999999994</c:v>
                </c:pt>
                <c:pt idx="353">
                  <c:v>70.099999999999994</c:v>
                </c:pt>
                <c:pt idx="354">
                  <c:v>70.099999999999994</c:v>
                </c:pt>
                <c:pt idx="355">
                  <c:v>70.099999999999994</c:v>
                </c:pt>
                <c:pt idx="356">
                  <c:v>70.099999999999994</c:v>
                </c:pt>
                <c:pt idx="357">
                  <c:v>70.099999999999994</c:v>
                </c:pt>
                <c:pt idx="358">
                  <c:v>70.099999999999994</c:v>
                </c:pt>
                <c:pt idx="359">
                  <c:v>70.099999999999994</c:v>
                </c:pt>
                <c:pt idx="360">
                  <c:v>70.099999999999994</c:v>
                </c:pt>
                <c:pt idx="361">
                  <c:v>70.099999999999994</c:v>
                </c:pt>
                <c:pt idx="362">
                  <c:v>70.099999999999994</c:v>
                </c:pt>
                <c:pt idx="363">
                  <c:v>70.099999999999994</c:v>
                </c:pt>
                <c:pt idx="364">
                  <c:v>70.099999999999994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84000"/>
        <c:axId val="206785536"/>
      </c:lineChart>
      <c:catAx>
        <c:axId val="206784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785536"/>
        <c:crosses val="autoZero"/>
        <c:auto val="1"/>
        <c:lblAlgn val="ctr"/>
        <c:lblOffset val="100"/>
        <c:tickMarkSkip val="9"/>
        <c:noMultiLvlLbl val="0"/>
      </c:catAx>
      <c:valAx>
        <c:axId val="206785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784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</a:t>
            </a:r>
            <a:r>
              <a:rPr lang="en-US" baseline="0"/>
              <a:t> pressure and max vpd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vapres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Data!$AP$6:$AP$371</c:f>
              <c:numCache>
                <c:formatCode>General</c:formatCode>
                <c:ptCount val="366"/>
                <c:pt idx="0">
                  <c:v>0.38600000000000001</c:v>
                </c:pt>
                <c:pt idx="1">
                  <c:v>0.38400000000000001</c:v>
                </c:pt>
                <c:pt idx="2">
                  <c:v>0.41599999999999998</c:v>
                </c:pt>
                <c:pt idx="3">
                  <c:v>0.505</c:v>
                </c:pt>
                <c:pt idx="4">
                  <c:v>0.501</c:v>
                </c:pt>
                <c:pt idx="5">
                  <c:v>0.46700000000000003</c:v>
                </c:pt>
                <c:pt idx="6">
                  <c:v>0.438</c:v>
                </c:pt>
                <c:pt idx="7">
                  <c:v>0.57599999999999996</c:v>
                </c:pt>
                <c:pt idx="8">
                  <c:v>0.504</c:v>
                </c:pt>
                <c:pt idx="9">
                  <c:v>0.52400000000000002</c:v>
                </c:pt>
                <c:pt idx="10">
                  <c:v>0.46899999999999997</c:v>
                </c:pt>
                <c:pt idx="11">
                  <c:v>0.443</c:v>
                </c:pt>
                <c:pt idx="12">
                  <c:v>0.39900000000000002</c:v>
                </c:pt>
                <c:pt idx="13">
                  <c:v>0.49</c:v>
                </c:pt>
                <c:pt idx="14">
                  <c:v>0.52800000000000002</c:v>
                </c:pt>
                <c:pt idx="15">
                  <c:v>0.38300000000000001</c:v>
                </c:pt>
                <c:pt idx="16">
                  <c:v>0.30299999999999999</c:v>
                </c:pt>
                <c:pt idx="17">
                  <c:v>0.27</c:v>
                </c:pt>
                <c:pt idx="18">
                  <c:v>0.255</c:v>
                </c:pt>
                <c:pt idx="19">
                  <c:v>0.23899999999999999</c:v>
                </c:pt>
                <c:pt idx="20">
                  <c:v>0.35</c:v>
                </c:pt>
                <c:pt idx="21">
                  <c:v>0.32</c:v>
                </c:pt>
                <c:pt idx="22">
                  <c:v>0.34799999999999998</c:v>
                </c:pt>
                <c:pt idx="23">
                  <c:v>0.314</c:v>
                </c:pt>
                <c:pt idx="24">
                  <c:v>0.29499999999999998</c:v>
                </c:pt>
                <c:pt idx="25">
                  <c:v>0.32800000000000001</c:v>
                </c:pt>
                <c:pt idx="26">
                  <c:v>0.35499999999999998</c:v>
                </c:pt>
                <c:pt idx="27">
                  <c:v>0.36499999999999999</c:v>
                </c:pt>
                <c:pt idx="28">
                  <c:v>0.316</c:v>
                </c:pt>
                <c:pt idx="29">
                  <c:v>0.29199999999999998</c:v>
                </c:pt>
                <c:pt idx="30">
                  <c:v>0.49</c:v>
                </c:pt>
                <c:pt idx="31">
                  <c:v>0.28999999999999998</c:v>
                </c:pt>
                <c:pt idx="32">
                  <c:v>0.184</c:v>
                </c:pt>
                <c:pt idx="33">
                  <c:v>0.125</c:v>
                </c:pt>
                <c:pt idx="34">
                  <c:v>0.11799999999999999</c:v>
                </c:pt>
                <c:pt idx="35">
                  <c:v>0.123</c:v>
                </c:pt>
                <c:pt idx="36">
                  <c:v>0.17499999999999999</c:v>
                </c:pt>
                <c:pt idx="37">
                  <c:v>0.20799999999999999</c:v>
                </c:pt>
                <c:pt idx="38">
                  <c:v>0.21299999999999999</c:v>
                </c:pt>
                <c:pt idx="39">
                  <c:v>0.17399999999999999</c:v>
                </c:pt>
                <c:pt idx="40">
                  <c:v>0.127</c:v>
                </c:pt>
                <c:pt idx="41">
                  <c:v>0.151</c:v>
                </c:pt>
                <c:pt idx="42">
                  <c:v>0.184</c:v>
                </c:pt>
                <c:pt idx="43">
                  <c:v>0.17199999999999999</c:v>
                </c:pt>
                <c:pt idx="44">
                  <c:v>0.26500000000000001</c:v>
                </c:pt>
                <c:pt idx="45">
                  <c:v>0.28100000000000003</c:v>
                </c:pt>
                <c:pt idx="46">
                  <c:v>0.38800000000000001</c:v>
                </c:pt>
                <c:pt idx="47">
                  <c:v>0.40699999999999997</c:v>
                </c:pt>
                <c:pt idx="48">
                  <c:v>0.33100000000000002</c:v>
                </c:pt>
                <c:pt idx="49">
                  <c:v>0.43099999999999999</c:v>
                </c:pt>
                <c:pt idx="50">
                  <c:v>0.55700000000000005</c:v>
                </c:pt>
                <c:pt idx="51">
                  <c:v>0.54800000000000004</c:v>
                </c:pt>
                <c:pt idx="52">
                  <c:v>0.64100000000000001</c:v>
                </c:pt>
                <c:pt idx="53">
                  <c:v>0.45900000000000002</c:v>
                </c:pt>
                <c:pt idx="54">
                  <c:v>0.48199999999999998</c:v>
                </c:pt>
                <c:pt idx="55">
                  <c:v>0.57099999999999995</c:v>
                </c:pt>
                <c:pt idx="56">
                  <c:v>0.51400000000000001</c:v>
                </c:pt>
                <c:pt idx="57">
                  <c:v>0.46600000000000003</c:v>
                </c:pt>
                <c:pt idx="58">
                  <c:v>0.61599999999999999</c:v>
                </c:pt>
                <c:pt idx="59">
                  <c:v>0.48599999999999999</c:v>
                </c:pt>
                <c:pt idx="60">
                  <c:v>0.58799999999999997</c:v>
                </c:pt>
                <c:pt idx="61">
                  <c:v>0.41699999999999998</c:v>
                </c:pt>
                <c:pt idx="62">
                  <c:v>0.36899999999999999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vpdMax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Data!$AQ$6:$AQ$371</c:f>
              <c:numCache>
                <c:formatCode>General</c:formatCode>
                <c:ptCount val="366"/>
                <c:pt idx="0">
                  <c:v>9.4E-2</c:v>
                </c:pt>
                <c:pt idx="1">
                  <c:v>9.0999999999999998E-2</c:v>
                </c:pt>
                <c:pt idx="2">
                  <c:v>0.155</c:v>
                </c:pt>
                <c:pt idx="3">
                  <c:v>0.23799999999999999</c:v>
                </c:pt>
                <c:pt idx="4">
                  <c:v>0.151</c:v>
                </c:pt>
                <c:pt idx="5">
                  <c:v>0.127</c:v>
                </c:pt>
                <c:pt idx="6">
                  <c:v>0.10100000000000001</c:v>
                </c:pt>
                <c:pt idx="7">
                  <c:v>0.159</c:v>
                </c:pt>
                <c:pt idx="8">
                  <c:v>0.187</c:v>
                </c:pt>
                <c:pt idx="9">
                  <c:v>0.121</c:v>
                </c:pt>
                <c:pt idx="10">
                  <c:v>0.23499999999999999</c:v>
                </c:pt>
                <c:pt idx="11">
                  <c:v>0.27900000000000003</c:v>
                </c:pt>
                <c:pt idx="12">
                  <c:v>0.22500000000000001</c:v>
                </c:pt>
                <c:pt idx="13">
                  <c:v>0.25900000000000001</c:v>
                </c:pt>
                <c:pt idx="14">
                  <c:v>0.32</c:v>
                </c:pt>
                <c:pt idx="15">
                  <c:v>0.28100000000000003</c:v>
                </c:pt>
                <c:pt idx="16">
                  <c:v>0.16800000000000001</c:v>
                </c:pt>
                <c:pt idx="17">
                  <c:v>0.24299999999999999</c:v>
                </c:pt>
                <c:pt idx="18">
                  <c:v>0.21099999999999999</c:v>
                </c:pt>
                <c:pt idx="19">
                  <c:v>0.129</c:v>
                </c:pt>
                <c:pt idx="20">
                  <c:v>0.13100000000000001</c:v>
                </c:pt>
                <c:pt idx="21">
                  <c:v>0.251</c:v>
                </c:pt>
                <c:pt idx="22">
                  <c:v>0.13400000000000001</c:v>
                </c:pt>
                <c:pt idx="23">
                  <c:v>0.19400000000000001</c:v>
                </c:pt>
                <c:pt idx="24">
                  <c:v>0.14399999999999999</c:v>
                </c:pt>
                <c:pt idx="25">
                  <c:v>0.22500000000000001</c:v>
                </c:pt>
                <c:pt idx="26">
                  <c:v>0.27900000000000003</c:v>
                </c:pt>
                <c:pt idx="27">
                  <c:v>0.36</c:v>
                </c:pt>
                <c:pt idx="28">
                  <c:v>0.433</c:v>
                </c:pt>
                <c:pt idx="29">
                  <c:v>0.375</c:v>
                </c:pt>
                <c:pt idx="30">
                  <c:v>0.23</c:v>
                </c:pt>
                <c:pt idx="31">
                  <c:v>0.30099999999999999</c:v>
                </c:pt>
                <c:pt idx="32">
                  <c:v>0.15</c:v>
                </c:pt>
                <c:pt idx="33">
                  <c:v>8.2000000000000003E-2</c:v>
                </c:pt>
                <c:pt idx="34">
                  <c:v>7.3999999999999996E-2</c:v>
                </c:pt>
                <c:pt idx="35">
                  <c:v>8.2000000000000003E-2</c:v>
                </c:pt>
                <c:pt idx="36">
                  <c:v>0.17599999999999999</c:v>
                </c:pt>
                <c:pt idx="37">
                  <c:v>0.19700000000000001</c:v>
                </c:pt>
                <c:pt idx="38">
                  <c:v>0.20599999999999999</c:v>
                </c:pt>
                <c:pt idx="39">
                  <c:v>0.128</c:v>
                </c:pt>
                <c:pt idx="40">
                  <c:v>0.25</c:v>
                </c:pt>
                <c:pt idx="41">
                  <c:v>0.19700000000000001</c:v>
                </c:pt>
                <c:pt idx="42">
                  <c:v>0.221</c:v>
                </c:pt>
                <c:pt idx="43">
                  <c:v>0.28799999999999998</c:v>
                </c:pt>
                <c:pt idx="44">
                  <c:v>0.23200000000000001</c:v>
                </c:pt>
                <c:pt idx="45">
                  <c:v>0.35</c:v>
                </c:pt>
                <c:pt idx="46">
                  <c:v>0.124</c:v>
                </c:pt>
                <c:pt idx="47">
                  <c:v>0.14799999999999999</c:v>
                </c:pt>
                <c:pt idx="48">
                  <c:v>0.23799999999999999</c:v>
                </c:pt>
                <c:pt idx="49">
                  <c:v>0.17299999999999999</c:v>
                </c:pt>
                <c:pt idx="50">
                  <c:v>0.47399999999999998</c:v>
                </c:pt>
                <c:pt idx="51">
                  <c:v>0.13200000000000001</c:v>
                </c:pt>
                <c:pt idx="52">
                  <c:v>0.33400000000000002</c:v>
                </c:pt>
                <c:pt idx="53">
                  <c:v>0.73299999999999998</c:v>
                </c:pt>
                <c:pt idx="54">
                  <c:v>0.432</c:v>
                </c:pt>
                <c:pt idx="55">
                  <c:v>0.35599999999999998</c:v>
                </c:pt>
                <c:pt idx="56">
                  <c:v>0.63</c:v>
                </c:pt>
                <c:pt idx="57">
                  <c:v>0.70499999999999996</c:v>
                </c:pt>
                <c:pt idx="58">
                  <c:v>0.68200000000000005</c:v>
                </c:pt>
                <c:pt idx="59">
                  <c:v>1.056</c:v>
                </c:pt>
                <c:pt idx="60">
                  <c:v>0.75800000000000001</c:v>
                </c:pt>
                <c:pt idx="61">
                  <c:v>0.68600000000000005</c:v>
                </c:pt>
                <c:pt idx="62">
                  <c:v>0.73299999999999998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9952"/>
        <c:axId val="207071488"/>
      </c:lineChart>
      <c:catAx>
        <c:axId val="2070699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071488"/>
        <c:crosses val="autoZero"/>
        <c:auto val="1"/>
        <c:lblAlgn val="ctr"/>
        <c:lblOffset val="100"/>
        <c:tickMarkSkip val="20"/>
        <c:noMultiLvlLbl val="0"/>
      </c:catAx>
      <c:valAx>
        <c:axId val="207071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069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Battery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BatV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12.72</c:v>
                </c:pt>
                <c:pt idx="1">
                  <c:v>12.72</c:v>
                </c:pt>
                <c:pt idx="2">
                  <c:v>12.72</c:v>
                </c:pt>
                <c:pt idx="3">
                  <c:v>12.89</c:v>
                </c:pt>
                <c:pt idx="4">
                  <c:v>12.74</c:v>
                </c:pt>
                <c:pt idx="5">
                  <c:v>12.72</c:v>
                </c:pt>
                <c:pt idx="6">
                  <c:v>12.76</c:v>
                </c:pt>
                <c:pt idx="7">
                  <c:v>12.77</c:v>
                </c:pt>
                <c:pt idx="8">
                  <c:v>12.94</c:v>
                </c:pt>
                <c:pt idx="9">
                  <c:v>12.72</c:v>
                </c:pt>
                <c:pt idx="10">
                  <c:v>12.76</c:v>
                </c:pt>
                <c:pt idx="11">
                  <c:v>12.88</c:v>
                </c:pt>
                <c:pt idx="12">
                  <c:v>12.92</c:v>
                </c:pt>
                <c:pt idx="13">
                  <c:v>12.99</c:v>
                </c:pt>
                <c:pt idx="14">
                  <c:v>13.01</c:v>
                </c:pt>
                <c:pt idx="15">
                  <c:v>12.83</c:v>
                </c:pt>
                <c:pt idx="16">
                  <c:v>12.76</c:v>
                </c:pt>
                <c:pt idx="17">
                  <c:v>13.01</c:v>
                </c:pt>
                <c:pt idx="18">
                  <c:v>13.04</c:v>
                </c:pt>
                <c:pt idx="19">
                  <c:v>13.07</c:v>
                </c:pt>
                <c:pt idx="20">
                  <c:v>12.96</c:v>
                </c:pt>
                <c:pt idx="21">
                  <c:v>13.08</c:v>
                </c:pt>
                <c:pt idx="22">
                  <c:v>12.94</c:v>
                </c:pt>
                <c:pt idx="23">
                  <c:v>13.03</c:v>
                </c:pt>
                <c:pt idx="24">
                  <c:v>12.96</c:v>
                </c:pt>
                <c:pt idx="25">
                  <c:v>13.07</c:v>
                </c:pt>
                <c:pt idx="26">
                  <c:v>13.07</c:v>
                </c:pt>
                <c:pt idx="27">
                  <c:v>13.09</c:v>
                </c:pt>
                <c:pt idx="28">
                  <c:v>13.09</c:v>
                </c:pt>
                <c:pt idx="29">
                  <c:v>12.98</c:v>
                </c:pt>
                <c:pt idx="30">
                  <c:v>12.97</c:v>
                </c:pt>
                <c:pt idx="31">
                  <c:v>13.04</c:v>
                </c:pt>
                <c:pt idx="32">
                  <c:v>13.09</c:v>
                </c:pt>
                <c:pt idx="33">
                  <c:v>12.95</c:v>
                </c:pt>
                <c:pt idx="34">
                  <c:v>12.9</c:v>
                </c:pt>
                <c:pt idx="35">
                  <c:v>12.86</c:v>
                </c:pt>
                <c:pt idx="36">
                  <c:v>13.03</c:v>
                </c:pt>
                <c:pt idx="37">
                  <c:v>13.07</c:v>
                </c:pt>
                <c:pt idx="38">
                  <c:v>13.06</c:v>
                </c:pt>
                <c:pt idx="39">
                  <c:v>13.04</c:v>
                </c:pt>
                <c:pt idx="40">
                  <c:v>13.09</c:v>
                </c:pt>
                <c:pt idx="41">
                  <c:v>13.1</c:v>
                </c:pt>
                <c:pt idx="42">
                  <c:v>13.12</c:v>
                </c:pt>
                <c:pt idx="43">
                  <c:v>13.13</c:v>
                </c:pt>
                <c:pt idx="44">
                  <c:v>13.12</c:v>
                </c:pt>
                <c:pt idx="45">
                  <c:v>13.12</c:v>
                </c:pt>
                <c:pt idx="46">
                  <c:v>13.04</c:v>
                </c:pt>
                <c:pt idx="47">
                  <c:v>12.97</c:v>
                </c:pt>
                <c:pt idx="48">
                  <c:v>13.06</c:v>
                </c:pt>
                <c:pt idx="49">
                  <c:v>12.94</c:v>
                </c:pt>
                <c:pt idx="50">
                  <c:v>13.09</c:v>
                </c:pt>
                <c:pt idx="51">
                  <c:v>12.93</c:v>
                </c:pt>
                <c:pt idx="52">
                  <c:v>13.03</c:v>
                </c:pt>
                <c:pt idx="53">
                  <c:v>13.11</c:v>
                </c:pt>
                <c:pt idx="54">
                  <c:v>13.12</c:v>
                </c:pt>
                <c:pt idx="55">
                  <c:v>13.12</c:v>
                </c:pt>
                <c:pt idx="56">
                  <c:v>13.14</c:v>
                </c:pt>
                <c:pt idx="57">
                  <c:v>13.12</c:v>
                </c:pt>
                <c:pt idx="58">
                  <c:v>13.13</c:v>
                </c:pt>
                <c:pt idx="59">
                  <c:v>13.12</c:v>
                </c:pt>
                <c:pt idx="60">
                  <c:v>13.13</c:v>
                </c:pt>
                <c:pt idx="61">
                  <c:v>13.12</c:v>
                </c:pt>
                <c:pt idx="62">
                  <c:v>13.12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05408"/>
        <c:axId val="207123584"/>
      </c:lineChart>
      <c:catAx>
        <c:axId val="207105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123584"/>
        <c:crosses val="autoZero"/>
        <c:auto val="1"/>
        <c:lblAlgn val="ctr"/>
        <c:lblOffset val="100"/>
        <c:tickMarkSkip val="9"/>
        <c:noMultiLvlLbl val="0"/>
      </c:catAx>
      <c:valAx>
        <c:axId val="207123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105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TReference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-7.81</c:v>
                </c:pt>
                <c:pt idx="1">
                  <c:v>-8.0299999999999994</c:v>
                </c:pt>
                <c:pt idx="2">
                  <c:v>-6.1420000000000003</c:v>
                </c:pt>
                <c:pt idx="3">
                  <c:v>-6.5590000000000002</c:v>
                </c:pt>
                <c:pt idx="4">
                  <c:v>-6.1029999999999998</c:v>
                </c:pt>
                <c:pt idx="5">
                  <c:v>-4.5599999999999996</c:v>
                </c:pt>
                <c:pt idx="6">
                  <c:v>-6.5590000000000002</c:v>
                </c:pt>
                <c:pt idx="7">
                  <c:v>-6.1820000000000004</c:v>
                </c:pt>
                <c:pt idx="8">
                  <c:v>-6.609</c:v>
                </c:pt>
                <c:pt idx="9">
                  <c:v>-3.548</c:v>
                </c:pt>
                <c:pt idx="10">
                  <c:v>-4.0919999999999996</c:v>
                </c:pt>
                <c:pt idx="11">
                  <c:v>-8.77</c:v>
                </c:pt>
                <c:pt idx="12">
                  <c:v>-9.08</c:v>
                </c:pt>
                <c:pt idx="13">
                  <c:v>-7.37</c:v>
                </c:pt>
                <c:pt idx="14">
                  <c:v>-4.9610000000000003</c:v>
                </c:pt>
                <c:pt idx="15">
                  <c:v>-7.75</c:v>
                </c:pt>
                <c:pt idx="16">
                  <c:v>-12.81</c:v>
                </c:pt>
                <c:pt idx="17">
                  <c:v>-14.99</c:v>
                </c:pt>
                <c:pt idx="18">
                  <c:v>-15.95</c:v>
                </c:pt>
                <c:pt idx="19">
                  <c:v>-16.7</c:v>
                </c:pt>
                <c:pt idx="20">
                  <c:v>-11.46</c:v>
                </c:pt>
                <c:pt idx="21">
                  <c:v>-12.27</c:v>
                </c:pt>
                <c:pt idx="22">
                  <c:v>-9.83</c:v>
                </c:pt>
                <c:pt idx="23">
                  <c:v>-12.66</c:v>
                </c:pt>
                <c:pt idx="24">
                  <c:v>-13.37</c:v>
                </c:pt>
                <c:pt idx="25">
                  <c:v>-12.87</c:v>
                </c:pt>
                <c:pt idx="26">
                  <c:v>-12.81</c:v>
                </c:pt>
                <c:pt idx="27">
                  <c:v>-9.4700000000000006</c:v>
                </c:pt>
                <c:pt idx="28">
                  <c:v>-9.9700000000000006</c:v>
                </c:pt>
                <c:pt idx="29">
                  <c:v>-2.8010000000000002</c:v>
                </c:pt>
                <c:pt idx="30">
                  <c:v>-3.5179999999999998</c:v>
                </c:pt>
                <c:pt idx="31">
                  <c:v>-12.11</c:v>
                </c:pt>
                <c:pt idx="32">
                  <c:v>-20.52</c:v>
                </c:pt>
                <c:pt idx="33">
                  <c:v>-22.31</c:v>
                </c:pt>
                <c:pt idx="34">
                  <c:v>-26.35</c:v>
                </c:pt>
                <c:pt idx="35">
                  <c:v>-27.13</c:v>
                </c:pt>
                <c:pt idx="36">
                  <c:v>-24.69</c:v>
                </c:pt>
                <c:pt idx="37">
                  <c:v>-20.39</c:v>
                </c:pt>
                <c:pt idx="38">
                  <c:v>-19.14</c:v>
                </c:pt>
                <c:pt idx="39">
                  <c:v>-20.49</c:v>
                </c:pt>
                <c:pt idx="40">
                  <c:v>-22.01</c:v>
                </c:pt>
                <c:pt idx="41">
                  <c:v>-23.17</c:v>
                </c:pt>
                <c:pt idx="42">
                  <c:v>-20.55</c:v>
                </c:pt>
                <c:pt idx="43">
                  <c:v>-16.28</c:v>
                </c:pt>
                <c:pt idx="44">
                  <c:v>-14.56</c:v>
                </c:pt>
                <c:pt idx="45">
                  <c:v>-15.49</c:v>
                </c:pt>
                <c:pt idx="46">
                  <c:v>-7.04</c:v>
                </c:pt>
                <c:pt idx="47">
                  <c:v>-11.56</c:v>
                </c:pt>
                <c:pt idx="48">
                  <c:v>-13.01</c:v>
                </c:pt>
                <c:pt idx="49">
                  <c:v>-4.7649999999999997</c:v>
                </c:pt>
                <c:pt idx="50">
                  <c:v>-4.2380000000000004</c:v>
                </c:pt>
                <c:pt idx="51">
                  <c:v>-4.218</c:v>
                </c:pt>
                <c:pt idx="52">
                  <c:v>-1.857</c:v>
                </c:pt>
                <c:pt idx="53">
                  <c:v>-1.5580000000000001</c:v>
                </c:pt>
                <c:pt idx="54">
                  <c:v>-2.5009999999999999</c:v>
                </c:pt>
                <c:pt idx="55">
                  <c:v>-3.3620000000000001</c:v>
                </c:pt>
                <c:pt idx="56">
                  <c:v>-4.4130000000000003</c:v>
                </c:pt>
                <c:pt idx="57">
                  <c:v>-1.5760000000000001</c:v>
                </c:pt>
                <c:pt idx="58">
                  <c:v>-1.1719999999999999</c:v>
                </c:pt>
                <c:pt idx="59">
                  <c:v>-1.5369999999999999</c:v>
                </c:pt>
                <c:pt idx="60">
                  <c:v>-2.0659999999999998</c:v>
                </c:pt>
                <c:pt idx="61">
                  <c:v>-4.55</c:v>
                </c:pt>
                <c:pt idx="62">
                  <c:v>-5.4909999999999997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-4.0529999999999999</c:v>
                </c:pt>
                <c:pt idx="1">
                  <c:v>-4.4240000000000004</c:v>
                </c:pt>
                <c:pt idx="2">
                  <c:v>-2.2400000000000002</c:v>
                </c:pt>
                <c:pt idx="3">
                  <c:v>0.245</c:v>
                </c:pt>
                <c:pt idx="4">
                  <c:v>-3.4000000000000002E-2</c:v>
                </c:pt>
                <c:pt idx="5">
                  <c:v>-1.3049999999999999</c:v>
                </c:pt>
                <c:pt idx="6">
                  <c:v>-2.5110000000000001</c:v>
                </c:pt>
                <c:pt idx="7">
                  <c:v>1.2350000000000001</c:v>
                </c:pt>
                <c:pt idx="8">
                  <c:v>-0.314</c:v>
                </c:pt>
                <c:pt idx="9">
                  <c:v>-0.85199999999999998</c:v>
                </c:pt>
                <c:pt idx="10">
                  <c:v>0.53400000000000003</c:v>
                </c:pt>
                <c:pt idx="11">
                  <c:v>1.978</c:v>
                </c:pt>
                <c:pt idx="12">
                  <c:v>-2.1829999999999998</c:v>
                </c:pt>
                <c:pt idx="13">
                  <c:v>0.77400000000000002</c:v>
                </c:pt>
                <c:pt idx="14">
                  <c:v>1.458</c:v>
                </c:pt>
                <c:pt idx="15">
                  <c:v>-1.8540000000000001</c:v>
                </c:pt>
                <c:pt idx="16">
                  <c:v>-5.2060000000000004</c:v>
                </c:pt>
                <c:pt idx="17">
                  <c:v>-1.9510000000000001</c:v>
                </c:pt>
                <c:pt idx="18">
                  <c:v>-2.3079999999999998</c:v>
                </c:pt>
                <c:pt idx="19">
                  <c:v>-7.95</c:v>
                </c:pt>
                <c:pt idx="20">
                  <c:v>-4.2279999999999998</c:v>
                </c:pt>
                <c:pt idx="21">
                  <c:v>-2.1920000000000002</c:v>
                </c:pt>
                <c:pt idx="22">
                  <c:v>-4.4909999999999997</c:v>
                </c:pt>
                <c:pt idx="23">
                  <c:v>-4.6870000000000003</c:v>
                </c:pt>
                <c:pt idx="24">
                  <c:v>-5.4219999999999997</c:v>
                </c:pt>
                <c:pt idx="25">
                  <c:v>-1.276</c:v>
                </c:pt>
                <c:pt idx="26">
                  <c:v>0.33200000000000002</c:v>
                </c:pt>
                <c:pt idx="27">
                  <c:v>1.391</c:v>
                </c:pt>
                <c:pt idx="28">
                  <c:v>2.581</c:v>
                </c:pt>
                <c:pt idx="29">
                  <c:v>0.11</c:v>
                </c:pt>
                <c:pt idx="30">
                  <c:v>0.97499999999999998</c:v>
                </c:pt>
                <c:pt idx="31">
                  <c:v>-1.3340000000000001</c:v>
                </c:pt>
                <c:pt idx="32">
                  <c:v>-9.16</c:v>
                </c:pt>
                <c:pt idx="33">
                  <c:v>-14.59</c:v>
                </c:pt>
                <c:pt idx="34">
                  <c:v>-14.15</c:v>
                </c:pt>
                <c:pt idx="35">
                  <c:v>-14.4</c:v>
                </c:pt>
                <c:pt idx="36">
                  <c:v>-6.5880000000000001</c:v>
                </c:pt>
                <c:pt idx="37">
                  <c:v>-4.657</c:v>
                </c:pt>
                <c:pt idx="38">
                  <c:v>-2.887</c:v>
                </c:pt>
                <c:pt idx="39">
                  <c:v>-10.28</c:v>
                </c:pt>
                <c:pt idx="40">
                  <c:v>-5.2839999999999998</c:v>
                </c:pt>
                <c:pt idx="41">
                  <c:v>-5.157</c:v>
                </c:pt>
                <c:pt idx="42">
                  <c:v>-5.4809999999999999</c:v>
                </c:pt>
                <c:pt idx="43">
                  <c:v>-2.9180000000000001</c:v>
                </c:pt>
                <c:pt idx="44">
                  <c:v>-3.093</c:v>
                </c:pt>
                <c:pt idx="45">
                  <c:v>1.3380000000000001</c:v>
                </c:pt>
                <c:pt idx="46">
                  <c:v>-2.58</c:v>
                </c:pt>
                <c:pt idx="47">
                  <c:v>-2.097</c:v>
                </c:pt>
                <c:pt idx="48">
                  <c:v>-2.2709999999999999</c:v>
                </c:pt>
                <c:pt idx="49">
                  <c:v>-0.77800000000000002</c:v>
                </c:pt>
                <c:pt idx="50">
                  <c:v>7.13</c:v>
                </c:pt>
                <c:pt idx="51">
                  <c:v>0.52900000000000003</c:v>
                </c:pt>
                <c:pt idx="52">
                  <c:v>5.008</c:v>
                </c:pt>
                <c:pt idx="53">
                  <c:v>11.58</c:v>
                </c:pt>
                <c:pt idx="54">
                  <c:v>4.484</c:v>
                </c:pt>
                <c:pt idx="55">
                  <c:v>4.6879999999999997</c:v>
                </c:pt>
                <c:pt idx="56">
                  <c:v>9.1</c:v>
                </c:pt>
                <c:pt idx="57">
                  <c:v>8.7200000000000006</c:v>
                </c:pt>
                <c:pt idx="58">
                  <c:v>10.62</c:v>
                </c:pt>
                <c:pt idx="59">
                  <c:v>15.37</c:v>
                </c:pt>
                <c:pt idx="60">
                  <c:v>13.07</c:v>
                </c:pt>
                <c:pt idx="61">
                  <c:v>8.94</c:v>
                </c:pt>
                <c:pt idx="62">
                  <c:v>7.99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50080"/>
        <c:axId val="207303424"/>
      </c:lineChart>
      <c:catAx>
        <c:axId val="2071500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0342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03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150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Panel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-7.69</c:v>
                </c:pt>
                <c:pt idx="1">
                  <c:v>-7.88</c:v>
                </c:pt>
                <c:pt idx="2">
                  <c:v>-5.976</c:v>
                </c:pt>
                <c:pt idx="3">
                  <c:v>-6.2949999999999999</c:v>
                </c:pt>
                <c:pt idx="4">
                  <c:v>-5.8280000000000003</c:v>
                </c:pt>
                <c:pt idx="5">
                  <c:v>-4.7530000000000001</c:v>
                </c:pt>
                <c:pt idx="6">
                  <c:v>-6.38</c:v>
                </c:pt>
                <c:pt idx="7">
                  <c:v>-6.0609999999999999</c:v>
                </c:pt>
                <c:pt idx="8">
                  <c:v>-6.4009999999999998</c:v>
                </c:pt>
                <c:pt idx="9">
                  <c:v>-3.423</c:v>
                </c:pt>
                <c:pt idx="10">
                  <c:v>-3.9430000000000001</c:v>
                </c:pt>
                <c:pt idx="11">
                  <c:v>-8.58</c:v>
                </c:pt>
                <c:pt idx="12">
                  <c:v>-8.9700000000000006</c:v>
                </c:pt>
                <c:pt idx="13">
                  <c:v>-7.24</c:v>
                </c:pt>
                <c:pt idx="14">
                  <c:v>-4.8159999999999998</c:v>
                </c:pt>
                <c:pt idx="15">
                  <c:v>-7.49</c:v>
                </c:pt>
                <c:pt idx="16">
                  <c:v>-12.63</c:v>
                </c:pt>
                <c:pt idx="17">
                  <c:v>-14.86</c:v>
                </c:pt>
                <c:pt idx="18">
                  <c:v>-15.83</c:v>
                </c:pt>
                <c:pt idx="19">
                  <c:v>-16.57</c:v>
                </c:pt>
                <c:pt idx="20">
                  <c:v>-11.28</c:v>
                </c:pt>
                <c:pt idx="21">
                  <c:v>-12.14</c:v>
                </c:pt>
                <c:pt idx="22">
                  <c:v>-9.58</c:v>
                </c:pt>
                <c:pt idx="23">
                  <c:v>-12.51</c:v>
                </c:pt>
                <c:pt idx="24">
                  <c:v>-13.28</c:v>
                </c:pt>
                <c:pt idx="25">
                  <c:v>-12.72</c:v>
                </c:pt>
                <c:pt idx="26">
                  <c:v>-12.65</c:v>
                </c:pt>
                <c:pt idx="27">
                  <c:v>-9.32</c:v>
                </c:pt>
                <c:pt idx="28">
                  <c:v>-9.85</c:v>
                </c:pt>
                <c:pt idx="29">
                  <c:v>-2.6520000000000001</c:v>
                </c:pt>
                <c:pt idx="30">
                  <c:v>-3.3809999999999998</c:v>
                </c:pt>
                <c:pt idx="31">
                  <c:v>-11.88</c:v>
                </c:pt>
                <c:pt idx="32">
                  <c:v>-20.29</c:v>
                </c:pt>
                <c:pt idx="33">
                  <c:v>-22.11</c:v>
                </c:pt>
                <c:pt idx="34">
                  <c:v>-26.13</c:v>
                </c:pt>
                <c:pt idx="35">
                  <c:v>-26.97</c:v>
                </c:pt>
                <c:pt idx="36">
                  <c:v>-24.59</c:v>
                </c:pt>
                <c:pt idx="37">
                  <c:v>-20.260000000000002</c:v>
                </c:pt>
                <c:pt idx="38">
                  <c:v>-18.96</c:v>
                </c:pt>
                <c:pt idx="39">
                  <c:v>-20.440000000000001</c:v>
                </c:pt>
                <c:pt idx="40">
                  <c:v>-21.69</c:v>
                </c:pt>
                <c:pt idx="41">
                  <c:v>-23.04</c:v>
                </c:pt>
                <c:pt idx="42">
                  <c:v>-20.5</c:v>
                </c:pt>
                <c:pt idx="43">
                  <c:v>-16.09</c:v>
                </c:pt>
                <c:pt idx="44">
                  <c:v>-14.4</c:v>
                </c:pt>
                <c:pt idx="45">
                  <c:v>-15.44</c:v>
                </c:pt>
                <c:pt idx="46">
                  <c:v>-6.9139999999999997</c:v>
                </c:pt>
                <c:pt idx="47">
                  <c:v>-11.21</c:v>
                </c:pt>
                <c:pt idx="48">
                  <c:v>-12.89</c:v>
                </c:pt>
                <c:pt idx="49">
                  <c:v>-4.633</c:v>
                </c:pt>
                <c:pt idx="50">
                  <c:v>-4.1120000000000001</c:v>
                </c:pt>
                <c:pt idx="51">
                  <c:v>-4.1120000000000001</c:v>
                </c:pt>
                <c:pt idx="52">
                  <c:v>-1.696</c:v>
                </c:pt>
                <c:pt idx="53">
                  <c:v>-1.385</c:v>
                </c:pt>
                <c:pt idx="54">
                  <c:v>-2.3610000000000002</c:v>
                </c:pt>
                <c:pt idx="55">
                  <c:v>-3.1309999999999998</c:v>
                </c:pt>
                <c:pt idx="56">
                  <c:v>-4.3</c:v>
                </c:pt>
                <c:pt idx="57">
                  <c:v>-1.3640000000000001</c:v>
                </c:pt>
                <c:pt idx="58">
                  <c:v>-1.0329999999999999</c:v>
                </c:pt>
                <c:pt idx="59">
                  <c:v>-1.3839999999999999</c:v>
                </c:pt>
                <c:pt idx="60">
                  <c:v>-1.9039999999999999</c:v>
                </c:pt>
                <c:pt idx="61">
                  <c:v>-4.3609999999999998</c:v>
                </c:pt>
                <c:pt idx="62">
                  <c:v>-5.3630000000000004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-3.9630000000000001</c:v>
                </c:pt>
                <c:pt idx="1">
                  <c:v>-4.3339999999999996</c:v>
                </c:pt>
                <c:pt idx="2">
                  <c:v>-2.09</c:v>
                </c:pt>
                <c:pt idx="3">
                  <c:v>0.57799999999999996</c:v>
                </c:pt>
                <c:pt idx="4">
                  <c:v>0.1</c:v>
                </c:pt>
                <c:pt idx="5">
                  <c:v>-1.198</c:v>
                </c:pt>
                <c:pt idx="6">
                  <c:v>-2.4020000000000001</c:v>
                </c:pt>
                <c:pt idx="7">
                  <c:v>1.385</c:v>
                </c:pt>
                <c:pt idx="8">
                  <c:v>-0.125</c:v>
                </c:pt>
                <c:pt idx="9">
                  <c:v>-0.72199999999999998</c:v>
                </c:pt>
                <c:pt idx="10">
                  <c:v>0.78400000000000003</c:v>
                </c:pt>
                <c:pt idx="11">
                  <c:v>1.8839999999999999</c:v>
                </c:pt>
                <c:pt idx="12">
                  <c:v>-1.966</c:v>
                </c:pt>
                <c:pt idx="13">
                  <c:v>1.0109999999999999</c:v>
                </c:pt>
                <c:pt idx="14">
                  <c:v>1.7170000000000001</c:v>
                </c:pt>
                <c:pt idx="15">
                  <c:v>-1.883</c:v>
                </c:pt>
                <c:pt idx="16">
                  <c:v>-5.1310000000000002</c:v>
                </c:pt>
                <c:pt idx="17">
                  <c:v>-1.6120000000000001</c:v>
                </c:pt>
                <c:pt idx="18">
                  <c:v>-1.8819999999999999</c:v>
                </c:pt>
                <c:pt idx="19">
                  <c:v>-7.73</c:v>
                </c:pt>
                <c:pt idx="20">
                  <c:v>-4.0880000000000001</c:v>
                </c:pt>
                <c:pt idx="21">
                  <c:v>-1.716</c:v>
                </c:pt>
                <c:pt idx="22">
                  <c:v>-4.3970000000000002</c:v>
                </c:pt>
                <c:pt idx="23">
                  <c:v>-4.46</c:v>
                </c:pt>
                <c:pt idx="24">
                  <c:v>-5.3630000000000004</c:v>
                </c:pt>
                <c:pt idx="25">
                  <c:v>-0.70099999999999996</c:v>
                </c:pt>
                <c:pt idx="26">
                  <c:v>1.054</c:v>
                </c:pt>
                <c:pt idx="27">
                  <c:v>2.1749999999999998</c:v>
                </c:pt>
                <c:pt idx="28">
                  <c:v>3.3820000000000001</c:v>
                </c:pt>
                <c:pt idx="29">
                  <c:v>0.26600000000000001</c:v>
                </c:pt>
                <c:pt idx="30">
                  <c:v>1.0940000000000001</c:v>
                </c:pt>
                <c:pt idx="31">
                  <c:v>-1.2390000000000001</c:v>
                </c:pt>
                <c:pt idx="32">
                  <c:v>-9.1199999999999992</c:v>
                </c:pt>
                <c:pt idx="33">
                  <c:v>-14.56</c:v>
                </c:pt>
                <c:pt idx="34">
                  <c:v>-13.91</c:v>
                </c:pt>
                <c:pt idx="35">
                  <c:v>-14.26</c:v>
                </c:pt>
                <c:pt idx="36">
                  <c:v>-6.3369999999999997</c:v>
                </c:pt>
                <c:pt idx="37">
                  <c:v>-4.0039999999999996</c:v>
                </c:pt>
                <c:pt idx="38">
                  <c:v>-2.4020000000000001</c:v>
                </c:pt>
                <c:pt idx="39">
                  <c:v>-10.210000000000001</c:v>
                </c:pt>
                <c:pt idx="40">
                  <c:v>-5.09</c:v>
                </c:pt>
                <c:pt idx="41">
                  <c:v>-4.63</c:v>
                </c:pt>
                <c:pt idx="42">
                  <c:v>-5.1100000000000003</c:v>
                </c:pt>
                <c:pt idx="43">
                  <c:v>-2.4020000000000001</c:v>
                </c:pt>
                <c:pt idx="44">
                  <c:v>-2.9849999999999999</c:v>
                </c:pt>
                <c:pt idx="45">
                  <c:v>1.988</c:v>
                </c:pt>
                <c:pt idx="46">
                  <c:v>-2.548</c:v>
                </c:pt>
                <c:pt idx="47">
                  <c:v>-2.09</c:v>
                </c:pt>
                <c:pt idx="48">
                  <c:v>-2.0489999999999999</c:v>
                </c:pt>
                <c:pt idx="49">
                  <c:v>-0.72399999999999998</c:v>
                </c:pt>
                <c:pt idx="50">
                  <c:v>7.31</c:v>
                </c:pt>
                <c:pt idx="51">
                  <c:v>0.65800000000000003</c:v>
                </c:pt>
                <c:pt idx="52">
                  <c:v>5.5270000000000001</c:v>
                </c:pt>
                <c:pt idx="53">
                  <c:v>12.46</c:v>
                </c:pt>
                <c:pt idx="54">
                  <c:v>5.1509999999999998</c:v>
                </c:pt>
                <c:pt idx="55">
                  <c:v>4.7359999999999998</c:v>
                </c:pt>
                <c:pt idx="56">
                  <c:v>9.5299999999999994</c:v>
                </c:pt>
                <c:pt idx="57">
                  <c:v>8.99</c:v>
                </c:pt>
                <c:pt idx="58">
                  <c:v>10.62</c:v>
                </c:pt>
                <c:pt idx="59">
                  <c:v>16.309999999999999</c:v>
                </c:pt>
                <c:pt idx="60">
                  <c:v>13.69</c:v>
                </c:pt>
                <c:pt idx="61">
                  <c:v>8.99</c:v>
                </c:pt>
                <c:pt idx="62">
                  <c:v>8.33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58208"/>
        <c:axId val="207384576"/>
      </c:lineChart>
      <c:catAx>
        <c:axId val="207358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8457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84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35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Short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7.0000000000000001E-3</c:v>
                </c:pt>
                <c:pt idx="8">
                  <c:v>7.0000000000000001E-3</c:v>
                </c:pt>
                <c:pt idx="9">
                  <c:v>6.0000000000000001E-3</c:v>
                </c:pt>
                <c:pt idx="10">
                  <c:v>6.0000000000000001E-3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7.0000000000000001E-3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6.0000000000000001E-3</c:v>
                </c:pt>
                <c:pt idx="23">
                  <c:v>6.0000000000000001E-3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6.0000000000000001E-3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7.0000000000000001E-3</c:v>
                </c:pt>
                <c:pt idx="30">
                  <c:v>7.0000000000000001E-3</c:v>
                </c:pt>
                <c:pt idx="31">
                  <c:v>6.0000000000000001E-3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5.0000000000000001E-3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6.0000000000000001E-3</c:v>
                </c:pt>
                <c:pt idx="44">
                  <c:v>6.0000000000000001E-3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7.0000000000000001E-3</c:v>
                </c:pt>
                <c:pt idx="48">
                  <c:v>6.0000000000000001E-3</c:v>
                </c:pt>
                <c:pt idx="49">
                  <c:v>6.0000000000000001E-3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6.0000000000000001E-3</c:v>
                </c:pt>
                <c:pt idx="53">
                  <c:v>6.0000000000000001E-3</c:v>
                </c:pt>
                <c:pt idx="54">
                  <c:v>7.0000000000000001E-3</c:v>
                </c:pt>
                <c:pt idx="55">
                  <c:v>6.0000000000000001E-3</c:v>
                </c:pt>
                <c:pt idx="56">
                  <c:v>7.0000000000000001E-3</c:v>
                </c:pt>
                <c:pt idx="57">
                  <c:v>7.0000000000000001E-3</c:v>
                </c:pt>
                <c:pt idx="58">
                  <c:v>6.0000000000000001E-3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6.0000000000000001E-3</c:v>
                </c:pt>
                <c:pt idx="62">
                  <c:v>6.0000000000000001E-3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8.0000000000000002E-3</c:v>
                </c:pt>
                <c:pt idx="34">
                  <c:v>8.0000000000000002E-3</c:v>
                </c:pt>
                <c:pt idx="35">
                  <c:v>8.0000000000000002E-3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8.0000000000000002E-3</c:v>
                </c:pt>
                <c:pt idx="40">
                  <c:v>8.9999999999999993E-3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8.0000000000000002E-3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89760"/>
        <c:axId val="209591296"/>
      </c:lineChart>
      <c:catAx>
        <c:axId val="209589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59129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9591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mV</a:t>
                </a:r>
              </a:p>
            </c:rich>
          </c:tx>
          <c:layout>
            <c:manualLayout>
              <c:xMode val="edge"/>
              <c:yMode val="edge"/>
              <c:x val="1.7579164088501544E-2"/>
              <c:y val="0.489147459997514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9589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"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3"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4"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9"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6"/>
  <sheetViews>
    <sheetView zoomScale="11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7"/>
  <sheetViews>
    <sheetView zoomScale="114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8"/>
  <sheetViews>
    <sheetView zoomScale="114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G401"/>
  <sheetViews>
    <sheetView tabSelected="1" workbookViewId="0">
      <pane xSplit="3" ySplit="4" topLeftCell="AS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6.7109375" customWidth="1"/>
    <col min="2" max="2" width="10.42578125" bestFit="1" customWidth="1"/>
    <col min="3" max="33" width="6.7109375" customWidth="1"/>
    <col min="35" max="38" width="6.7109375" customWidth="1"/>
    <col min="39" max="39" width="6.7109375" style="5" customWidth="1"/>
    <col min="40" max="66" width="6.7109375" customWidth="1"/>
  </cols>
  <sheetData>
    <row r="1" spans="1:66" x14ac:dyDescent="0.25">
      <c r="A1" t="s">
        <v>96</v>
      </c>
      <c r="AB1" s="20" t="s">
        <v>57</v>
      </c>
      <c r="AI1">
        <v>2.04</v>
      </c>
      <c r="AJ1">
        <v>130</v>
      </c>
      <c r="AM1" s="3"/>
      <c r="AS1" t="s">
        <v>113</v>
      </c>
    </row>
    <row r="2" spans="1:66" x14ac:dyDescent="0.25">
      <c r="A2" t="s">
        <v>119</v>
      </c>
      <c r="J2" t="s">
        <v>18</v>
      </c>
      <c r="O2" t="s">
        <v>19</v>
      </c>
      <c r="T2" t="s">
        <v>20</v>
      </c>
      <c r="AJ2" t="s">
        <v>43</v>
      </c>
      <c r="AK2" t="s">
        <v>43</v>
      </c>
      <c r="AL2" t="s">
        <v>77</v>
      </c>
      <c r="AM2" s="3"/>
      <c r="AN2" t="s">
        <v>38</v>
      </c>
      <c r="AT2" t="s">
        <v>97</v>
      </c>
      <c r="AV2" s="23" t="s">
        <v>98</v>
      </c>
      <c r="AW2" s="23" t="s">
        <v>98</v>
      </c>
      <c r="AX2" s="24" t="s">
        <v>99</v>
      </c>
      <c r="AY2" t="s">
        <v>100</v>
      </c>
      <c r="BA2" s="23" t="s">
        <v>98</v>
      </c>
      <c r="BB2" s="23" t="s">
        <v>98</v>
      </c>
      <c r="BC2" s="24" t="s">
        <v>99</v>
      </c>
      <c r="BD2" t="s">
        <v>101</v>
      </c>
      <c r="BF2" s="23" t="s">
        <v>98</v>
      </c>
      <c r="BG2" s="23" t="s">
        <v>98</v>
      </c>
      <c r="BH2" s="24" t="s">
        <v>99</v>
      </c>
      <c r="BI2" t="s">
        <v>102</v>
      </c>
      <c r="BJ2" t="s">
        <v>103</v>
      </c>
      <c r="BK2" t="s">
        <v>104</v>
      </c>
      <c r="BM2" t="s">
        <v>102</v>
      </c>
      <c r="BN2" t="s">
        <v>6</v>
      </c>
    </row>
    <row r="3" spans="1:6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t="s">
        <v>8</v>
      </c>
      <c r="J3" t="s">
        <v>15</v>
      </c>
      <c r="K3" t="s">
        <v>14</v>
      </c>
      <c r="L3" t="s">
        <v>36</v>
      </c>
      <c r="M3" t="s">
        <v>37</v>
      </c>
      <c r="N3" t="s">
        <v>34</v>
      </c>
      <c r="O3" t="s">
        <v>15</v>
      </c>
      <c r="P3" t="s">
        <v>14</v>
      </c>
      <c r="Q3" t="s">
        <v>36</v>
      </c>
      <c r="R3" t="s">
        <v>37</v>
      </c>
      <c r="S3" t="s">
        <v>34</v>
      </c>
      <c r="T3" t="s">
        <v>15</v>
      </c>
      <c r="U3" t="s">
        <v>14</v>
      </c>
      <c r="V3" t="s">
        <v>36</v>
      </c>
      <c r="W3" t="s">
        <v>37</v>
      </c>
      <c r="X3" t="s">
        <v>34</v>
      </c>
      <c r="Y3" t="s">
        <v>21</v>
      </c>
      <c r="Z3" t="s">
        <v>21</v>
      </c>
      <c r="AA3" t="s">
        <v>24</v>
      </c>
      <c r="AB3" t="s">
        <v>26</v>
      </c>
      <c r="AC3" t="s">
        <v>28</v>
      </c>
      <c r="AE3" t="s">
        <v>35</v>
      </c>
      <c r="AG3" t="s">
        <v>29</v>
      </c>
      <c r="AH3" t="s">
        <v>31</v>
      </c>
      <c r="AI3" t="s">
        <v>33</v>
      </c>
      <c r="AJ3" s="2" t="s">
        <v>74</v>
      </c>
      <c r="AK3" t="s">
        <v>75</v>
      </c>
      <c r="AM3" s="3" t="s">
        <v>32</v>
      </c>
      <c r="AN3" t="s">
        <v>8</v>
      </c>
      <c r="AP3" s="2" t="s">
        <v>39</v>
      </c>
      <c r="AQ3" s="2" t="s">
        <v>40</v>
      </c>
      <c r="AS3" t="s">
        <v>8</v>
      </c>
      <c r="AT3" t="s">
        <v>15</v>
      </c>
      <c r="AU3" t="s">
        <v>14</v>
      </c>
      <c r="AV3" t="s">
        <v>36</v>
      </c>
      <c r="AW3" t="s">
        <v>37</v>
      </c>
      <c r="AX3" t="s">
        <v>34</v>
      </c>
      <c r="AY3" t="s">
        <v>15</v>
      </c>
      <c r="AZ3" t="s">
        <v>14</v>
      </c>
      <c r="BA3" t="s">
        <v>36</v>
      </c>
      <c r="BB3" t="s">
        <v>37</v>
      </c>
      <c r="BC3" t="s">
        <v>34</v>
      </c>
      <c r="BD3" t="s">
        <v>15</v>
      </c>
      <c r="BE3" t="s">
        <v>14</v>
      </c>
      <c r="BF3" t="s">
        <v>36</v>
      </c>
      <c r="BG3" t="s">
        <v>37</v>
      </c>
      <c r="BH3" t="s">
        <v>34</v>
      </c>
      <c r="BI3" t="s">
        <v>21</v>
      </c>
      <c r="BJ3" t="s">
        <v>21</v>
      </c>
      <c r="BK3" t="s">
        <v>105</v>
      </c>
      <c r="BL3" t="s">
        <v>43</v>
      </c>
      <c r="BM3" s="3" t="s">
        <v>39</v>
      </c>
      <c r="BN3" s="3" t="s">
        <v>40</v>
      </c>
    </row>
    <row r="4" spans="1:66" x14ac:dyDescent="0.25">
      <c r="E4" t="s">
        <v>13</v>
      </c>
      <c r="F4" t="s">
        <v>10</v>
      </c>
      <c r="G4" t="s">
        <v>11</v>
      </c>
      <c r="H4" t="s">
        <v>12</v>
      </c>
      <c r="I4" t="s">
        <v>9</v>
      </c>
      <c r="J4" t="s">
        <v>16</v>
      </c>
      <c r="K4" t="s">
        <v>17</v>
      </c>
      <c r="L4" t="s">
        <v>16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16</v>
      </c>
      <c r="S4" t="s">
        <v>16</v>
      </c>
      <c r="T4" t="s">
        <v>16</v>
      </c>
      <c r="U4" t="s">
        <v>17</v>
      </c>
      <c r="V4" t="s">
        <v>16</v>
      </c>
      <c r="W4" t="s">
        <v>16</v>
      </c>
      <c r="X4" t="s">
        <v>16</v>
      </c>
      <c r="Y4" t="s">
        <v>22</v>
      </c>
      <c r="Z4" t="s">
        <v>23</v>
      </c>
      <c r="AA4" t="s">
        <v>25</v>
      </c>
      <c r="AB4" t="s">
        <v>27</v>
      </c>
      <c r="AC4" t="s">
        <v>6</v>
      </c>
      <c r="AD4" t="s">
        <v>7</v>
      </c>
      <c r="AE4" t="s">
        <v>6</v>
      </c>
      <c r="AF4" t="s">
        <v>7</v>
      </c>
      <c r="AG4" t="s">
        <v>30</v>
      </c>
      <c r="AI4" t="s">
        <v>27</v>
      </c>
      <c r="AJ4" s="2" t="s">
        <v>25</v>
      </c>
      <c r="AK4" s="2" t="s">
        <v>25</v>
      </c>
      <c r="AM4" s="3"/>
      <c r="AN4" t="s">
        <v>9</v>
      </c>
      <c r="AP4" s="2" t="s">
        <v>41</v>
      </c>
      <c r="AQ4" s="2" t="s">
        <v>41</v>
      </c>
      <c r="AS4" t="s">
        <v>9</v>
      </c>
      <c r="AT4" t="s">
        <v>16</v>
      </c>
      <c r="AU4" t="s">
        <v>17</v>
      </c>
      <c r="AV4" t="s">
        <v>16</v>
      </c>
      <c r="AW4" t="s">
        <v>16</v>
      </c>
      <c r="AX4" t="s">
        <v>16</v>
      </c>
      <c r="AY4" t="s">
        <v>16</v>
      </c>
      <c r="AZ4" t="s">
        <v>17</v>
      </c>
      <c r="BA4" t="s">
        <v>16</v>
      </c>
      <c r="BB4" t="s">
        <v>16</v>
      </c>
      <c r="BC4" t="s">
        <v>16</v>
      </c>
      <c r="BD4" t="s">
        <v>16</v>
      </c>
      <c r="BE4" t="s">
        <v>17</v>
      </c>
      <c r="BF4" t="s">
        <v>16</v>
      </c>
      <c r="BG4" t="s">
        <v>16</v>
      </c>
      <c r="BH4" t="s">
        <v>16</v>
      </c>
      <c r="BI4" t="s">
        <v>106</v>
      </c>
      <c r="BJ4" t="s">
        <v>106</v>
      </c>
      <c r="BK4" t="s">
        <v>27</v>
      </c>
      <c r="BL4" t="s">
        <v>25</v>
      </c>
      <c r="BM4" s="3" t="s">
        <v>41</v>
      </c>
      <c r="BN4" s="3" t="s">
        <v>41</v>
      </c>
    </row>
    <row r="5" spans="1:66" x14ac:dyDescent="0.25">
      <c r="AI5">
        <v>0.33400000000000002</v>
      </c>
      <c r="AM5" s="3"/>
      <c r="AP5" s="2"/>
      <c r="AQ5" s="7"/>
    </row>
    <row r="6" spans="1:66" x14ac:dyDescent="0.25">
      <c r="A6">
        <v>2025</v>
      </c>
      <c r="B6" s="1">
        <f>DATE(2025,1,1)</f>
        <v>45658</v>
      </c>
      <c r="C6">
        <v>1</v>
      </c>
      <c r="D6">
        <v>70</v>
      </c>
      <c r="E6" s="6">
        <v>12.72</v>
      </c>
      <c r="F6" s="6">
        <v>-6.3230000000000004</v>
      </c>
      <c r="G6" s="6">
        <v>-4.0529999999999999</v>
      </c>
      <c r="H6" s="6">
        <v>-7.81</v>
      </c>
      <c r="I6" s="6">
        <v>0.28499999999999998</v>
      </c>
      <c r="J6" s="6">
        <v>-5.5919999999999996</v>
      </c>
      <c r="K6" s="6">
        <v>87.4</v>
      </c>
      <c r="L6" s="6"/>
      <c r="M6" s="6">
        <v>-1.681</v>
      </c>
      <c r="N6" s="6">
        <v>1.145</v>
      </c>
      <c r="O6" s="6">
        <v>-3.2519999999999998</v>
      </c>
      <c r="P6" s="6">
        <v>89.5</v>
      </c>
      <c r="Q6" s="6"/>
      <c r="R6" s="6">
        <v>-1.3959999999999999</v>
      </c>
      <c r="S6" s="6">
        <v>1.4159999999999999</v>
      </c>
      <c r="T6" s="6">
        <v>-7.15</v>
      </c>
      <c r="U6" s="6">
        <v>80.400000000000006</v>
      </c>
      <c r="V6" s="6"/>
      <c r="W6" s="6">
        <v>-1.917</v>
      </c>
      <c r="X6" s="6">
        <v>0.98599999999999999</v>
      </c>
      <c r="Y6" s="6">
        <v>0</v>
      </c>
      <c r="Z6" s="6">
        <v>0</v>
      </c>
      <c r="AA6" s="6">
        <v>0</v>
      </c>
      <c r="AB6" s="6">
        <v>1.7210000000000001</v>
      </c>
      <c r="AC6" s="6">
        <v>-3.9630000000000001</v>
      </c>
      <c r="AD6" s="6">
        <v>-7.69</v>
      </c>
      <c r="AE6" s="6">
        <v>8.9999999999999993E-3</v>
      </c>
      <c r="AF6" s="6">
        <v>6.0000000000000001E-3</v>
      </c>
      <c r="AG6" s="6">
        <v>1.742</v>
      </c>
      <c r="AH6" s="6"/>
      <c r="AI6" s="6">
        <f t="shared" ref="AI6:AI68" si="0">AI$1-AB6</f>
        <v>0.31899999999999995</v>
      </c>
      <c r="AJ6">
        <f t="shared" ref="AJ6:AJ37" si="1">IF(AI6&gt;AI5,ROUND((AI6-AI5)*AJ$1,1),0)</f>
        <v>0</v>
      </c>
      <c r="AK6" s="21">
        <f t="shared" ref="AK6:AK7" si="2">AJ6</f>
        <v>0</v>
      </c>
      <c r="AL6">
        <f>AK6</f>
        <v>0</v>
      </c>
      <c r="AM6" s="4">
        <v>4.62</v>
      </c>
      <c r="AN6">
        <v>0.28000000000000003</v>
      </c>
      <c r="AP6" s="7">
        <f t="shared" ref="AP6:AP69" si="3">ROUND((0.6105*(EXP((17.273*O6)/(O6+237.3))))*U6/100,3)</f>
        <v>0.38600000000000001</v>
      </c>
      <c r="AQ6" s="7">
        <f t="shared" ref="AQ6:AQ69" si="4">ROUND(AP6/U6*(100-U6),3)</f>
        <v>9.4E-2</v>
      </c>
      <c r="AS6">
        <f t="shared" ref="AS6:AS69" si="5">AN6</f>
        <v>0.28000000000000003</v>
      </c>
      <c r="AT6">
        <f t="shared" ref="AT6:AT69" si="6">ROUND(J6,1)</f>
        <v>-5.6</v>
      </c>
      <c r="AU6">
        <f t="shared" ref="AU6:AU69" si="7">ROUND(K6,1)</f>
        <v>87.4</v>
      </c>
      <c r="AV6" t="s">
        <v>107</v>
      </c>
      <c r="AW6">
        <f t="shared" ref="AW6:AW69" si="8">ROUND(M6,1)</f>
        <v>-1.7</v>
      </c>
      <c r="AX6">
        <f t="shared" ref="AX6:AX69" si="9">ROUND(N6,1)</f>
        <v>1.1000000000000001</v>
      </c>
      <c r="AY6">
        <f t="shared" ref="AY6:AY69" si="10">ROUND(O6,1)</f>
        <v>-3.3</v>
      </c>
      <c r="AZ6">
        <f t="shared" ref="AZ6:AZ69" si="11">ROUND(P6,1)</f>
        <v>89.5</v>
      </c>
      <c r="BA6" t="s">
        <v>107</v>
      </c>
      <c r="BB6">
        <f t="shared" ref="BB6:BB69" si="12">ROUND(R6,1)</f>
        <v>-1.4</v>
      </c>
      <c r="BC6">
        <f t="shared" ref="BC6:BC69" si="13">ROUND(S6,1)</f>
        <v>1.4</v>
      </c>
      <c r="BD6">
        <f t="shared" ref="BD6:BD69" si="14">ROUND(T6,1)</f>
        <v>-7.2</v>
      </c>
      <c r="BE6">
        <f t="shared" ref="BE6:BE69" si="15">ROUND(U6,1)</f>
        <v>80.400000000000006</v>
      </c>
      <c r="BF6" t="s">
        <v>107</v>
      </c>
      <c r="BG6">
        <f t="shared" ref="BG6:BG69" si="16">ROUND(W6,1)</f>
        <v>-1.9</v>
      </c>
      <c r="BH6">
        <f t="shared" ref="BH6:BH69" si="17">ROUND(X6,1)</f>
        <v>1</v>
      </c>
      <c r="BI6">
        <f t="shared" ref="BI6:BI69" si="18">ROUND(Y6,2)</f>
        <v>0</v>
      </c>
      <c r="BJ6">
        <f t="shared" ref="BJ6:BJ69" si="19">ROUND(Z6,2)</f>
        <v>0</v>
      </c>
      <c r="BK6">
        <f t="shared" ref="BK6:BK69" si="20">AI6</f>
        <v>0.31899999999999995</v>
      </c>
      <c r="BL6">
        <f t="shared" ref="BL6:BL69" si="21">ROUND(AK6,1)</f>
        <v>0</v>
      </c>
      <c r="BM6">
        <f t="shared" ref="BM6:BN69" si="22">ROUND(AP6,3)</f>
        <v>0.38600000000000001</v>
      </c>
      <c r="BN6">
        <f t="shared" si="22"/>
        <v>9.4E-2</v>
      </c>
    </row>
    <row r="7" spans="1:66" x14ac:dyDescent="0.25">
      <c r="A7">
        <v>2025</v>
      </c>
      <c r="B7" s="1">
        <f t="shared" ref="B7:B70" si="23">B6+1</f>
        <v>45659</v>
      </c>
      <c r="C7">
        <v>2</v>
      </c>
      <c r="D7">
        <v>70</v>
      </c>
      <c r="E7" s="6">
        <v>12.72</v>
      </c>
      <c r="F7" s="6">
        <v>-6.1210000000000004</v>
      </c>
      <c r="G7" s="6">
        <v>-4.4240000000000004</v>
      </c>
      <c r="H7" s="6">
        <v>-8.0299999999999994</v>
      </c>
      <c r="I7" s="6">
        <v>0.184</v>
      </c>
      <c r="J7" s="6">
        <v>-5.28</v>
      </c>
      <c r="K7" s="6">
        <v>86.9</v>
      </c>
      <c r="L7" s="6"/>
      <c r="M7" s="6">
        <v>-1.8420000000000001</v>
      </c>
      <c r="N7" s="6">
        <v>1.1579999999999999</v>
      </c>
      <c r="O7" s="6">
        <v>-3.3860000000000001</v>
      </c>
      <c r="P7" s="6">
        <v>88.8</v>
      </c>
      <c r="Q7" s="6"/>
      <c r="R7" s="6">
        <v>-1.6559999999999999</v>
      </c>
      <c r="S7" s="6">
        <v>1.327</v>
      </c>
      <c r="T7" s="6">
        <v>-7.36</v>
      </c>
      <c r="U7" s="6">
        <v>80.8</v>
      </c>
      <c r="V7" s="6"/>
      <c r="W7" s="6">
        <v>-2.048</v>
      </c>
      <c r="X7" s="6">
        <v>1.0549999999999999</v>
      </c>
      <c r="Y7" s="6">
        <v>0</v>
      </c>
      <c r="Z7" s="6">
        <v>0</v>
      </c>
      <c r="AA7" s="6">
        <v>0</v>
      </c>
      <c r="AB7" s="6">
        <v>1.6819999999999999</v>
      </c>
      <c r="AC7" s="6">
        <v>-4.3339999999999996</v>
      </c>
      <c r="AD7" s="6">
        <v>-7.88</v>
      </c>
      <c r="AE7" s="6">
        <v>8.9999999999999993E-3</v>
      </c>
      <c r="AF7" s="6">
        <v>6.0000000000000001E-3</v>
      </c>
      <c r="AG7" s="6">
        <v>1.694</v>
      </c>
      <c r="AH7" s="6"/>
      <c r="AI7" s="6">
        <f t="shared" si="0"/>
        <v>0.3580000000000001</v>
      </c>
      <c r="AJ7">
        <f t="shared" si="1"/>
        <v>5.0999999999999996</v>
      </c>
      <c r="AK7" s="21">
        <f t="shared" si="2"/>
        <v>5.0999999999999996</v>
      </c>
      <c r="AL7">
        <f>AL6+AK7</f>
        <v>5.0999999999999996</v>
      </c>
      <c r="AM7" s="4">
        <v>4.66</v>
      </c>
      <c r="AN7">
        <v>0.18</v>
      </c>
      <c r="AP7" s="7">
        <f t="shared" si="3"/>
        <v>0.38400000000000001</v>
      </c>
      <c r="AQ7" s="7">
        <f t="shared" si="4"/>
        <v>9.0999999999999998E-2</v>
      </c>
      <c r="AS7">
        <f t="shared" si="5"/>
        <v>0.18</v>
      </c>
      <c r="AT7">
        <f t="shared" si="6"/>
        <v>-5.3</v>
      </c>
      <c r="AU7">
        <f t="shared" si="7"/>
        <v>86.9</v>
      </c>
      <c r="AV7" t="s">
        <v>107</v>
      </c>
      <c r="AW7">
        <f t="shared" si="8"/>
        <v>-1.8</v>
      </c>
      <c r="AX7">
        <f t="shared" si="9"/>
        <v>1.2</v>
      </c>
      <c r="AY7">
        <f t="shared" si="10"/>
        <v>-3.4</v>
      </c>
      <c r="AZ7">
        <f t="shared" si="11"/>
        <v>88.8</v>
      </c>
      <c r="BA7" t="s">
        <v>107</v>
      </c>
      <c r="BB7">
        <f t="shared" si="12"/>
        <v>-1.7</v>
      </c>
      <c r="BC7">
        <f t="shared" si="13"/>
        <v>1.3</v>
      </c>
      <c r="BD7">
        <f t="shared" si="14"/>
        <v>-7.4</v>
      </c>
      <c r="BE7">
        <f t="shared" si="15"/>
        <v>80.8</v>
      </c>
      <c r="BF7" t="s">
        <v>107</v>
      </c>
      <c r="BG7">
        <f t="shared" si="16"/>
        <v>-2</v>
      </c>
      <c r="BH7">
        <f t="shared" si="17"/>
        <v>1.1000000000000001</v>
      </c>
      <c r="BI7">
        <f t="shared" si="18"/>
        <v>0</v>
      </c>
      <c r="BJ7">
        <f t="shared" si="19"/>
        <v>0</v>
      </c>
      <c r="BK7">
        <f t="shared" si="20"/>
        <v>0.3580000000000001</v>
      </c>
      <c r="BL7">
        <f t="shared" si="21"/>
        <v>5.0999999999999996</v>
      </c>
      <c r="BM7">
        <f t="shared" si="22"/>
        <v>0.38400000000000001</v>
      </c>
      <c r="BN7">
        <f t="shared" si="22"/>
        <v>9.0999999999999998E-2</v>
      </c>
    </row>
    <row r="8" spans="1:66" x14ac:dyDescent="0.25">
      <c r="A8">
        <v>2025</v>
      </c>
      <c r="B8" s="1">
        <f t="shared" si="23"/>
        <v>45660</v>
      </c>
      <c r="C8">
        <v>3</v>
      </c>
      <c r="D8">
        <v>70</v>
      </c>
      <c r="E8" s="6">
        <v>12.72</v>
      </c>
      <c r="F8" s="6">
        <v>-4.1390000000000002</v>
      </c>
      <c r="G8" s="6">
        <v>-2.2400000000000002</v>
      </c>
      <c r="H8" s="6">
        <v>-6.1420000000000003</v>
      </c>
      <c r="I8" s="6">
        <v>0.33500000000000002</v>
      </c>
      <c r="J8" s="6">
        <v>-3.22</v>
      </c>
      <c r="K8" s="6">
        <v>85.4</v>
      </c>
      <c r="L8" s="6"/>
      <c r="M8" s="6">
        <v>-1.47</v>
      </c>
      <c r="N8" s="6">
        <v>1.139</v>
      </c>
      <c r="O8" s="6">
        <v>-0.90800000000000003</v>
      </c>
      <c r="P8" s="6">
        <v>90.2</v>
      </c>
      <c r="Q8" s="6"/>
      <c r="R8" s="6">
        <v>-1.129</v>
      </c>
      <c r="S8" s="6">
        <v>1.351</v>
      </c>
      <c r="T8" s="6">
        <v>-5.2030000000000003</v>
      </c>
      <c r="U8" s="6">
        <v>72.8</v>
      </c>
      <c r="V8" s="6"/>
      <c r="W8" s="6">
        <v>-1.8759999999999999</v>
      </c>
      <c r="X8" s="6">
        <v>0.98299999999999998</v>
      </c>
      <c r="Y8" s="6">
        <v>0</v>
      </c>
      <c r="Z8" s="6">
        <v>0</v>
      </c>
      <c r="AA8" s="6">
        <v>0</v>
      </c>
      <c r="AB8" s="6">
        <v>1.696</v>
      </c>
      <c r="AC8" s="6">
        <v>-2.09</v>
      </c>
      <c r="AD8" s="6">
        <v>-5.976</v>
      </c>
      <c r="AE8" s="6">
        <v>8.9999999999999993E-3</v>
      </c>
      <c r="AF8" s="6">
        <v>6.0000000000000001E-3</v>
      </c>
      <c r="AG8" s="6">
        <v>1.7050000000000001</v>
      </c>
      <c r="AH8" s="6"/>
      <c r="AI8" s="6">
        <f t="shared" si="0"/>
        <v>0.34400000000000008</v>
      </c>
      <c r="AJ8">
        <f t="shared" si="1"/>
        <v>0</v>
      </c>
      <c r="AK8" s="21">
        <f t="shared" ref="AK8:AK70" si="24">AJ8</f>
        <v>0</v>
      </c>
      <c r="AL8">
        <f t="shared" ref="AL8:AL70" si="25">AL7+AK8</f>
        <v>5.0999999999999996</v>
      </c>
      <c r="AM8" s="4">
        <v>4.7</v>
      </c>
      <c r="AN8">
        <v>0.34</v>
      </c>
      <c r="AP8" s="7">
        <f t="shared" si="3"/>
        <v>0.41599999999999998</v>
      </c>
      <c r="AQ8" s="7">
        <f t="shared" si="4"/>
        <v>0.155</v>
      </c>
      <c r="AS8">
        <f t="shared" si="5"/>
        <v>0.34</v>
      </c>
      <c r="AT8">
        <f t="shared" si="6"/>
        <v>-3.2</v>
      </c>
      <c r="AU8">
        <f t="shared" si="7"/>
        <v>85.4</v>
      </c>
      <c r="AV8" t="s">
        <v>107</v>
      </c>
      <c r="AW8">
        <f t="shared" si="8"/>
        <v>-1.5</v>
      </c>
      <c r="AX8">
        <f t="shared" si="9"/>
        <v>1.1000000000000001</v>
      </c>
      <c r="AY8">
        <f t="shared" si="10"/>
        <v>-0.9</v>
      </c>
      <c r="AZ8">
        <f t="shared" si="11"/>
        <v>90.2</v>
      </c>
      <c r="BA8" t="s">
        <v>107</v>
      </c>
      <c r="BB8">
        <f t="shared" si="12"/>
        <v>-1.1000000000000001</v>
      </c>
      <c r="BC8">
        <f t="shared" si="13"/>
        <v>1.4</v>
      </c>
      <c r="BD8">
        <f t="shared" si="14"/>
        <v>-5.2</v>
      </c>
      <c r="BE8">
        <f t="shared" si="15"/>
        <v>72.8</v>
      </c>
      <c r="BF8" t="s">
        <v>107</v>
      </c>
      <c r="BG8">
        <f t="shared" si="16"/>
        <v>-1.9</v>
      </c>
      <c r="BH8">
        <f t="shared" si="17"/>
        <v>1</v>
      </c>
      <c r="BI8">
        <f t="shared" si="18"/>
        <v>0</v>
      </c>
      <c r="BJ8">
        <f t="shared" si="19"/>
        <v>0</v>
      </c>
      <c r="BK8">
        <f t="shared" si="20"/>
        <v>0.34400000000000008</v>
      </c>
      <c r="BL8">
        <f t="shared" si="21"/>
        <v>0</v>
      </c>
      <c r="BM8">
        <f t="shared" si="22"/>
        <v>0.41599999999999998</v>
      </c>
      <c r="BN8">
        <f t="shared" si="22"/>
        <v>0.155</v>
      </c>
    </row>
    <row r="9" spans="1:66" x14ac:dyDescent="0.25">
      <c r="A9">
        <v>2025</v>
      </c>
      <c r="B9" s="1">
        <f t="shared" si="23"/>
        <v>45661</v>
      </c>
      <c r="C9">
        <v>4</v>
      </c>
      <c r="D9">
        <v>70</v>
      </c>
      <c r="E9" s="6">
        <v>12.89</v>
      </c>
      <c r="F9" s="6">
        <v>-3.35</v>
      </c>
      <c r="G9" s="6">
        <v>0.245</v>
      </c>
      <c r="H9" s="6">
        <v>-6.5590000000000002</v>
      </c>
      <c r="I9" s="6">
        <v>0.68899999999999995</v>
      </c>
      <c r="J9" s="6">
        <v>-2.1909999999999998</v>
      </c>
      <c r="K9" s="6">
        <v>87.4</v>
      </c>
      <c r="L9" s="6"/>
      <c r="M9" s="6">
        <v>-1.163</v>
      </c>
      <c r="N9" s="6">
        <v>1.1479999999999999</v>
      </c>
      <c r="O9" s="6">
        <v>2.72</v>
      </c>
      <c r="P9" s="6">
        <v>91.7</v>
      </c>
      <c r="Q9" s="6"/>
      <c r="R9" s="6">
        <v>-0.442</v>
      </c>
      <c r="S9" s="6">
        <v>1.607</v>
      </c>
      <c r="T9" s="6">
        <v>-5.4050000000000002</v>
      </c>
      <c r="U9" s="6">
        <v>67.95</v>
      </c>
      <c r="V9" s="6"/>
      <c r="W9" s="6">
        <v>-1.744</v>
      </c>
      <c r="X9" s="6">
        <v>0.83299999999999996</v>
      </c>
      <c r="Y9" s="6">
        <v>5.0000000000000001E-3</v>
      </c>
      <c r="Z9" s="6">
        <v>0.68700000000000006</v>
      </c>
      <c r="AA9" s="6">
        <v>0</v>
      </c>
      <c r="AB9" s="6">
        <v>1.7030000000000001</v>
      </c>
      <c r="AC9" s="6">
        <v>0.57799999999999996</v>
      </c>
      <c r="AD9" s="6">
        <v>-6.2949999999999999</v>
      </c>
      <c r="AE9" s="6">
        <v>8.9999999999999993E-3</v>
      </c>
      <c r="AF9" s="6">
        <v>7.0000000000000001E-3</v>
      </c>
      <c r="AG9" s="6">
        <v>1.708</v>
      </c>
      <c r="AH9" s="6"/>
      <c r="AI9" s="6">
        <f t="shared" si="0"/>
        <v>0.33699999999999997</v>
      </c>
      <c r="AJ9">
        <f t="shared" si="1"/>
        <v>0</v>
      </c>
      <c r="AK9" s="21">
        <f t="shared" si="24"/>
        <v>0</v>
      </c>
      <c r="AL9">
        <f t="shared" si="25"/>
        <v>5.0999999999999996</v>
      </c>
      <c r="AM9" s="4">
        <v>4.75</v>
      </c>
      <c r="AN9">
        <v>0.69</v>
      </c>
      <c r="AP9" s="7">
        <f t="shared" si="3"/>
        <v>0.505</v>
      </c>
      <c r="AQ9" s="7">
        <f t="shared" si="4"/>
        <v>0.23799999999999999</v>
      </c>
      <c r="AS9">
        <f t="shared" si="5"/>
        <v>0.69</v>
      </c>
      <c r="AT9">
        <f t="shared" si="6"/>
        <v>-2.2000000000000002</v>
      </c>
      <c r="AU9">
        <f t="shared" si="7"/>
        <v>87.4</v>
      </c>
      <c r="AV9" t="s">
        <v>107</v>
      </c>
      <c r="AW9">
        <f t="shared" si="8"/>
        <v>-1.2</v>
      </c>
      <c r="AX9">
        <f t="shared" si="9"/>
        <v>1.1000000000000001</v>
      </c>
      <c r="AY9">
        <f t="shared" si="10"/>
        <v>2.7</v>
      </c>
      <c r="AZ9">
        <f t="shared" si="11"/>
        <v>91.7</v>
      </c>
      <c r="BA9" t="s">
        <v>107</v>
      </c>
      <c r="BB9">
        <f t="shared" si="12"/>
        <v>-0.4</v>
      </c>
      <c r="BC9">
        <f t="shared" si="13"/>
        <v>1.6</v>
      </c>
      <c r="BD9">
        <f t="shared" si="14"/>
        <v>-5.4</v>
      </c>
      <c r="BE9">
        <f t="shared" si="15"/>
        <v>68</v>
      </c>
      <c r="BF9" t="s">
        <v>107</v>
      </c>
      <c r="BG9">
        <f t="shared" si="16"/>
        <v>-1.7</v>
      </c>
      <c r="BH9">
        <f t="shared" si="17"/>
        <v>0.8</v>
      </c>
      <c r="BI9">
        <f t="shared" si="18"/>
        <v>0.01</v>
      </c>
      <c r="BJ9">
        <f t="shared" si="19"/>
        <v>0.69</v>
      </c>
      <c r="BK9">
        <f t="shared" si="20"/>
        <v>0.33699999999999997</v>
      </c>
      <c r="BL9">
        <f t="shared" si="21"/>
        <v>0</v>
      </c>
      <c r="BM9">
        <f t="shared" si="22"/>
        <v>0.505</v>
      </c>
      <c r="BN9">
        <f t="shared" si="22"/>
        <v>0.23799999999999999</v>
      </c>
    </row>
    <row r="10" spans="1:66" x14ac:dyDescent="0.25">
      <c r="A10">
        <v>2025</v>
      </c>
      <c r="B10" s="1">
        <f t="shared" si="23"/>
        <v>45662</v>
      </c>
      <c r="C10">
        <v>5</v>
      </c>
      <c r="D10">
        <v>70</v>
      </c>
      <c r="E10" s="6">
        <v>12.74</v>
      </c>
      <c r="F10" s="6">
        <v>-2.7040000000000002</v>
      </c>
      <c r="G10" s="6">
        <v>-3.4000000000000002E-2</v>
      </c>
      <c r="H10" s="6">
        <v>-6.1029999999999998</v>
      </c>
      <c r="I10" s="6">
        <v>0.41599999999999998</v>
      </c>
      <c r="J10" s="6">
        <v>-1.915</v>
      </c>
      <c r="K10" s="6">
        <v>88</v>
      </c>
      <c r="L10" s="6"/>
      <c r="M10" s="6">
        <v>-0.91</v>
      </c>
      <c r="N10" s="6">
        <v>1.139</v>
      </c>
      <c r="O10" s="6">
        <v>0.90800000000000003</v>
      </c>
      <c r="P10" s="6">
        <v>92.4</v>
      </c>
      <c r="Q10" s="6"/>
      <c r="R10" s="6">
        <v>-0.46800000000000003</v>
      </c>
      <c r="S10" s="6">
        <v>1.4670000000000001</v>
      </c>
      <c r="T10" s="6">
        <v>-5.1360000000000001</v>
      </c>
      <c r="U10" s="6">
        <v>76.8</v>
      </c>
      <c r="V10" s="6"/>
      <c r="W10" s="6">
        <v>-1.415</v>
      </c>
      <c r="X10" s="6">
        <v>0.84099999999999997</v>
      </c>
      <c r="Y10" s="6">
        <v>0</v>
      </c>
      <c r="Z10" s="6">
        <v>0</v>
      </c>
      <c r="AA10" s="6">
        <v>0.7</v>
      </c>
      <c r="AB10" s="6">
        <v>1.71</v>
      </c>
      <c r="AC10" s="6">
        <v>0.1</v>
      </c>
      <c r="AD10" s="6">
        <v>-5.8280000000000003</v>
      </c>
      <c r="AE10" s="6">
        <v>8.9999999999999993E-3</v>
      </c>
      <c r="AF10" s="6">
        <v>7.0000000000000001E-3</v>
      </c>
      <c r="AG10" s="6">
        <v>1.72</v>
      </c>
      <c r="AH10" s="6"/>
      <c r="AI10" s="6">
        <f t="shared" si="0"/>
        <v>0.33000000000000007</v>
      </c>
      <c r="AJ10">
        <f t="shared" si="1"/>
        <v>0</v>
      </c>
      <c r="AK10" s="21">
        <f t="shared" si="24"/>
        <v>0</v>
      </c>
      <c r="AL10">
        <f t="shared" si="25"/>
        <v>5.0999999999999996</v>
      </c>
      <c r="AM10" s="4">
        <v>4.79</v>
      </c>
      <c r="AN10">
        <v>0.41</v>
      </c>
      <c r="AP10" s="7">
        <f t="shared" si="3"/>
        <v>0.501</v>
      </c>
      <c r="AQ10" s="7">
        <f t="shared" si="4"/>
        <v>0.151</v>
      </c>
      <c r="AS10">
        <f t="shared" si="5"/>
        <v>0.41</v>
      </c>
      <c r="AT10">
        <f t="shared" si="6"/>
        <v>-1.9</v>
      </c>
      <c r="AU10">
        <f t="shared" si="7"/>
        <v>88</v>
      </c>
      <c r="AV10" t="s">
        <v>107</v>
      </c>
      <c r="AW10">
        <f t="shared" si="8"/>
        <v>-0.9</v>
      </c>
      <c r="AX10">
        <f t="shared" si="9"/>
        <v>1.1000000000000001</v>
      </c>
      <c r="AY10">
        <f t="shared" si="10"/>
        <v>0.9</v>
      </c>
      <c r="AZ10">
        <f t="shared" si="11"/>
        <v>92.4</v>
      </c>
      <c r="BA10" t="s">
        <v>107</v>
      </c>
      <c r="BB10">
        <f t="shared" si="12"/>
        <v>-0.5</v>
      </c>
      <c r="BC10">
        <f t="shared" si="13"/>
        <v>1.5</v>
      </c>
      <c r="BD10">
        <f t="shared" si="14"/>
        <v>-5.0999999999999996</v>
      </c>
      <c r="BE10">
        <f t="shared" si="15"/>
        <v>76.8</v>
      </c>
      <c r="BF10" t="s">
        <v>107</v>
      </c>
      <c r="BG10">
        <f t="shared" si="16"/>
        <v>-1.4</v>
      </c>
      <c r="BH10">
        <f t="shared" si="17"/>
        <v>0.8</v>
      </c>
      <c r="BI10">
        <f t="shared" si="18"/>
        <v>0</v>
      </c>
      <c r="BJ10">
        <f t="shared" si="19"/>
        <v>0</v>
      </c>
      <c r="BK10">
        <f t="shared" si="20"/>
        <v>0.33000000000000007</v>
      </c>
      <c r="BL10">
        <f t="shared" si="21"/>
        <v>0</v>
      </c>
      <c r="BM10">
        <f t="shared" si="22"/>
        <v>0.501</v>
      </c>
      <c r="BN10">
        <f t="shared" si="22"/>
        <v>0.151</v>
      </c>
    </row>
    <row r="11" spans="1:66" x14ac:dyDescent="0.25">
      <c r="A11">
        <v>2025</v>
      </c>
      <c r="B11" s="1">
        <f t="shared" si="23"/>
        <v>45663</v>
      </c>
      <c r="C11">
        <v>6</v>
      </c>
      <c r="D11">
        <v>70</v>
      </c>
      <c r="E11" s="6">
        <v>12.72</v>
      </c>
      <c r="F11" s="6">
        <v>-3.3330000000000002</v>
      </c>
      <c r="G11" s="6">
        <v>-1.3049999999999999</v>
      </c>
      <c r="H11" s="6">
        <v>-4.5599999999999996</v>
      </c>
      <c r="I11" s="6">
        <v>0.38100000000000001</v>
      </c>
      <c r="J11" s="6">
        <v>-2.698</v>
      </c>
      <c r="K11" s="6">
        <v>87.7</v>
      </c>
      <c r="L11" s="6"/>
      <c r="M11" s="6">
        <v>-0.98399999999999999</v>
      </c>
      <c r="N11" s="6">
        <v>1.1499999999999999</v>
      </c>
      <c r="O11" s="6">
        <v>-0.37</v>
      </c>
      <c r="P11" s="6">
        <v>91.6</v>
      </c>
      <c r="Q11" s="6"/>
      <c r="R11" s="6">
        <v>-0.65500000000000003</v>
      </c>
      <c r="S11" s="6">
        <v>1.337</v>
      </c>
      <c r="T11" s="6">
        <v>-3.9969999999999999</v>
      </c>
      <c r="U11" s="6">
        <v>78.599999999999994</v>
      </c>
      <c r="V11" s="6"/>
      <c r="W11" s="6">
        <v>-1.244</v>
      </c>
      <c r="X11" s="6">
        <v>1.0049999999999999</v>
      </c>
      <c r="Y11" s="6">
        <v>0</v>
      </c>
      <c r="Z11" s="6">
        <v>0</v>
      </c>
      <c r="AA11" s="6">
        <v>0</v>
      </c>
      <c r="AB11" s="6">
        <v>1.71</v>
      </c>
      <c r="AC11" s="6">
        <v>-1.198</v>
      </c>
      <c r="AD11" s="6">
        <v>-4.7530000000000001</v>
      </c>
      <c r="AE11" s="6">
        <v>8.9999999999999993E-3</v>
      </c>
      <c r="AF11" s="6">
        <v>6.0000000000000001E-3</v>
      </c>
      <c r="AG11" s="6">
        <v>1.7210000000000001</v>
      </c>
      <c r="AH11" s="6"/>
      <c r="AI11" s="6">
        <f t="shared" si="0"/>
        <v>0.33000000000000007</v>
      </c>
      <c r="AJ11">
        <f t="shared" si="1"/>
        <v>0</v>
      </c>
      <c r="AK11" s="21">
        <f t="shared" si="24"/>
        <v>0</v>
      </c>
      <c r="AL11">
        <f t="shared" si="25"/>
        <v>5.0999999999999996</v>
      </c>
      <c r="AM11" s="4">
        <v>4.8499999999999996</v>
      </c>
      <c r="AN11">
        <v>0.38</v>
      </c>
      <c r="AP11" s="7">
        <f t="shared" si="3"/>
        <v>0.46700000000000003</v>
      </c>
      <c r="AQ11" s="7">
        <f t="shared" si="4"/>
        <v>0.127</v>
      </c>
      <c r="AS11">
        <f t="shared" si="5"/>
        <v>0.38</v>
      </c>
      <c r="AT11">
        <f t="shared" si="6"/>
        <v>-2.7</v>
      </c>
      <c r="AU11">
        <f t="shared" si="7"/>
        <v>87.7</v>
      </c>
      <c r="AV11" t="s">
        <v>107</v>
      </c>
      <c r="AW11">
        <f t="shared" si="8"/>
        <v>-1</v>
      </c>
      <c r="AX11">
        <f t="shared" si="9"/>
        <v>1.2</v>
      </c>
      <c r="AY11">
        <f t="shared" si="10"/>
        <v>-0.4</v>
      </c>
      <c r="AZ11">
        <f t="shared" si="11"/>
        <v>91.6</v>
      </c>
      <c r="BA11" t="s">
        <v>107</v>
      </c>
      <c r="BB11">
        <f t="shared" si="12"/>
        <v>-0.7</v>
      </c>
      <c r="BC11">
        <f t="shared" si="13"/>
        <v>1.3</v>
      </c>
      <c r="BD11">
        <f t="shared" si="14"/>
        <v>-4</v>
      </c>
      <c r="BE11">
        <f t="shared" si="15"/>
        <v>78.599999999999994</v>
      </c>
      <c r="BF11" t="s">
        <v>107</v>
      </c>
      <c r="BG11">
        <f t="shared" si="16"/>
        <v>-1.2</v>
      </c>
      <c r="BH11">
        <f t="shared" si="17"/>
        <v>1</v>
      </c>
      <c r="BI11">
        <f t="shared" si="18"/>
        <v>0</v>
      </c>
      <c r="BJ11">
        <f t="shared" si="19"/>
        <v>0</v>
      </c>
      <c r="BK11">
        <f t="shared" si="20"/>
        <v>0.33000000000000007</v>
      </c>
      <c r="BL11">
        <f t="shared" si="21"/>
        <v>0</v>
      </c>
      <c r="BM11">
        <f t="shared" si="22"/>
        <v>0.46700000000000003</v>
      </c>
      <c r="BN11">
        <f t="shared" si="22"/>
        <v>0.127</v>
      </c>
    </row>
    <row r="12" spans="1:66" x14ac:dyDescent="0.25">
      <c r="A12">
        <v>2025</v>
      </c>
      <c r="B12" s="1">
        <f t="shared" si="23"/>
        <v>45664</v>
      </c>
      <c r="C12">
        <v>7</v>
      </c>
      <c r="D12">
        <v>70</v>
      </c>
      <c r="E12" s="6">
        <v>12.76</v>
      </c>
      <c r="F12" s="6">
        <v>-4.8</v>
      </c>
      <c r="G12" s="6">
        <v>-2.5110000000000001</v>
      </c>
      <c r="H12" s="6">
        <v>-6.5590000000000002</v>
      </c>
      <c r="I12" s="6">
        <v>0.45200000000000001</v>
      </c>
      <c r="J12" s="6">
        <v>-4.048</v>
      </c>
      <c r="K12" s="6">
        <v>87.4</v>
      </c>
      <c r="L12" s="6"/>
      <c r="M12" s="6">
        <v>-1.35</v>
      </c>
      <c r="N12" s="6">
        <v>1.123</v>
      </c>
      <c r="O12" s="6">
        <v>-1.7150000000000001</v>
      </c>
      <c r="P12" s="6">
        <v>91.6</v>
      </c>
      <c r="Q12" s="6"/>
      <c r="R12" s="6">
        <v>-0.96399999999999997</v>
      </c>
      <c r="S12" s="6">
        <v>1.4870000000000001</v>
      </c>
      <c r="T12" s="6">
        <v>-5.7409999999999997</v>
      </c>
      <c r="U12" s="6">
        <v>81.3</v>
      </c>
      <c r="V12" s="6"/>
      <c r="W12" s="6">
        <v>-1.6579999999999999</v>
      </c>
      <c r="X12" s="6">
        <v>0.98099999999999998</v>
      </c>
      <c r="Y12" s="6">
        <v>0</v>
      </c>
      <c r="Z12" s="6">
        <v>0</v>
      </c>
      <c r="AA12" s="6">
        <v>0</v>
      </c>
      <c r="AB12" s="6">
        <v>1.718</v>
      </c>
      <c r="AC12" s="6">
        <v>-2.4020000000000001</v>
      </c>
      <c r="AD12" s="6">
        <v>-6.38</v>
      </c>
      <c r="AE12" s="6">
        <v>8.9999999999999993E-3</v>
      </c>
      <c r="AF12" s="6">
        <v>7.0000000000000001E-3</v>
      </c>
      <c r="AG12" s="6">
        <v>1.7290000000000001</v>
      </c>
      <c r="AH12" s="6"/>
      <c r="AI12" s="6">
        <f t="shared" si="0"/>
        <v>0.32200000000000006</v>
      </c>
      <c r="AJ12">
        <f t="shared" si="1"/>
        <v>0</v>
      </c>
      <c r="AK12" s="21">
        <f t="shared" si="24"/>
        <v>0</v>
      </c>
      <c r="AL12">
        <f t="shared" si="25"/>
        <v>5.0999999999999996</v>
      </c>
      <c r="AM12" s="4">
        <v>4.91</v>
      </c>
      <c r="AN12">
        <v>0.45</v>
      </c>
      <c r="AP12" s="7">
        <f t="shared" si="3"/>
        <v>0.438</v>
      </c>
      <c r="AQ12" s="7">
        <f t="shared" si="4"/>
        <v>0.10100000000000001</v>
      </c>
      <c r="AS12">
        <f t="shared" si="5"/>
        <v>0.45</v>
      </c>
      <c r="AT12">
        <f t="shared" si="6"/>
        <v>-4</v>
      </c>
      <c r="AU12">
        <f t="shared" si="7"/>
        <v>87.4</v>
      </c>
      <c r="AV12" t="s">
        <v>107</v>
      </c>
      <c r="AW12">
        <f t="shared" si="8"/>
        <v>-1.4</v>
      </c>
      <c r="AX12">
        <f t="shared" si="9"/>
        <v>1.1000000000000001</v>
      </c>
      <c r="AY12">
        <f t="shared" si="10"/>
        <v>-1.7</v>
      </c>
      <c r="AZ12">
        <f t="shared" si="11"/>
        <v>91.6</v>
      </c>
      <c r="BA12" t="s">
        <v>107</v>
      </c>
      <c r="BB12">
        <f t="shared" si="12"/>
        <v>-1</v>
      </c>
      <c r="BC12">
        <f t="shared" si="13"/>
        <v>1.5</v>
      </c>
      <c r="BD12">
        <f t="shared" si="14"/>
        <v>-5.7</v>
      </c>
      <c r="BE12">
        <f t="shared" si="15"/>
        <v>81.3</v>
      </c>
      <c r="BF12" t="s">
        <v>107</v>
      </c>
      <c r="BG12">
        <f t="shared" si="16"/>
        <v>-1.7</v>
      </c>
      <c r="BH12">
        <f t="shared" si="17"/>
        <v>1</v>
      </c>
      <c r="BI12">
        <f t="shared" si="18"/>
        <v>0</v>
      </c>
      <c r="BJ12">
        <f t="shared" si="19"/>
        <v>0</v>
      </c>
      <c r="BK12">
        <f t="shared" si="20"/>
        <v>0.32200000000000006</v>
      </c>
      <c r="BL12">
        <f t="shared" si="21"/>
        <v>0</v>
      </c>
      <c r="BM12">
        <f t="shared" si="22"/>
        <v>0.438</v>
      </c>
      <c r="BN12">
        <f t="shared" si="22"/>
        <v>0.10100000000000001</v>
      </c>
    </row>
    <row r="13" spans="1:66" x14ac:dyDescent="0.25">
      <c r="A13">
        <v>2025</v>
      </c>
      <c r="B13" s="1">
        <f t="shared" si="23"/>
        <v>45665</v>
      </c>
      <c r="C13">
        <v>8</v>
      </c>
      <c r="D13">
        <v>70</v>
      </c>
      <c r="E13" s="6">
        <v>12.77</v>
      </c>
      <c r="F13" s="6">
        <v>-3.0840000000000001</v>
      </c>
      <c r="G13" s="6">
        <v>1.2350000000000001</v>
      </c>
      <c r="H13" s="6">
        <v>-6.1820000000000004</v>
      </c>
      <c r="I13" s="6">
        <v>0.38900000000000001</v>
      </c>
      <c r="J13" s="6">
        <v>-1.952</v>
      </c>
      <c r="K13" s="6">
        <v>89.7</v>
      </c>
      <c r="L13" s="6"/>
      <c r="M13" s="6">
        <v>-1.0629999999999999</v>
      </c>
      <c r="N13" s="6">
        <v>1.123</v>
      </c>
      <c r="O13" s="6">
        <v>2.5760000000000001</v>
      </c>
      <c r="P13" s="6">
        <v>93.5</v>
      </c>
      <c r="Q13" s="6"/>
      <c r="R13" s="6">
        <v>-0.38200000000000001</v>
      </c>
      <c r="S13" s="6">
        <v>1.504</v>
      </c>
      <c r="T13" s="6">
        <v>-4.7990000000000004</v>
      </c>
      <c r="U13" s="6">
        <v>78.400000000000006</v>
      </c>
      <c r="V13" s="6"/>
      <c r="W13" s="6">
        <v>-1.649</v>
      </c>
      <c r="X13" s="6">
        <v>0.751</v>
      </c>
      <c r="Y13" s="6">
        <v>4.0000000000000001E-3</v>
      </c>
      <c r="Z13" s="6">
        <v>0.76700000000000002</v>
      </c>
      <c r="AA13" s="6">
        <v>0.1</v>
      </c>
      <c r="AB13" s="6">
        <v>1.6870000000000001</v>
      </c>
      <c r="AC13" s="6">
        <v>1.385</v>
      </c>
      <c r="AD13" s="6">
        <v>-6.0609999999999999</v>
      </c>
      <c r="AE13" s="6">
        <v>8.9999999999999993E-3</v>
      </c>
      <c r="AF13" s="6">
        <v>7.0000000000000001E-3</v>
      </c>
      <c r="AG13" s="6">
        <v>1.6990000000000001</v>
      </c>
      <c r="AH13" s="6"/>
      <c r="AI13" s="6">
        <f t="shared" si="0"/>
        <v>0.35299999999999998</v>
      </c>
      <c r="AJ13">
        <f t="shared" si="1"/>
        <v>4</v>
      </c>
      <c r="AK13" s="21">
        <f t="shared" si="24"/>
        <v>4</v>
      </c>
      <c r="AL13">
        <f t="shared" si="25"/>
        <v>9.1</v>
      </c>
      <c r="AM13" s="4">
        <v>4.97</v>
      </c>
      <c r="AN13">
        <v>0.39</v>
      </c>
      <c r="AP13" s="7">
        <f t="shared" si="3"/>
        <v>0.57599999999999996</v>
      </c>
      <c r="AQ13" s="7">
        <f t="shared" si="4"/>
        <v>0.159</v>
      </c>
      <c r="AS13">
        <f t="shared" si="5"/>
        <v>0.39</v>
      </c>
      <c r="AT13">
        <f t="shared" si="6"/>
        <v>-2</v>
      </c>
      <c r="AU13">
        <f t="shared" si="7"/>
        <v>89.7</v>
      </c>
      <c r="AV13" t="s">
        <v>107</v>
      </c>
      <c r="AW13">
        <f t="shared" si="8"/>
        <v>-1.1000000000000001</v>
      </c>
      <c r="AX13">
        <f t="shared" si="9"/>
        <v>1.1000000000000001</v>
      </c>
      <c r="AY13">
        <f t="shared" si="10"/>
        <v>2.6</v>
      </c>
      <c r="AZ13">
        <f t="shared" si="11"/>
        <v>93.5</v>
      </c>
      <c r="BA13" t="s">
        <v>107</v>
      </c>
      <c r="BB13">
        <f t="shared" si="12"/>
        <v>-0.4</v>
      </c>
      <c r="BC13">
        <f t="shared" si="13"/>
        <v>1.5</v>
      </c>
      <c r="BD13">
        <f t="shared" si="14"/>
        <v>-4.8</v>
      </c>
      <c r="BE13">
        <f t="shared" si="15"/>
        <v>78.400000000000006</v>
      </c>
      <c r="BF13" t="s">
        <v>107</v>
      </c>
      <c r="BG13">
        <f t="shared" si="16"/>
        <v>-1.6</v>
      </c>
      <c r="BH13">
        <f t="shared" si="17"/>
        <v>0.8</v>
      </c>
      <c r="BI13">
        <f t="shared" si="18"/>
        <v>0</v>
      </c>
      <c r="BJ13">
        <f t="shared" si="19"/>
        <v>0.77</v>
      </c>
      <c r="BK13">
        <f t="shared" si="20"/>
        <v>0.35299999999999998</v>
      </c>
      <c r="BL13">
        <f t="shared" si="21"/>
        <v>4</v>
      </c>
      <c r="BM13">
        <f t="shared" si="22"/>
        <v>0.57599999999999996</v>
      </c>
      <c r="BN13">
        <f t="shared" si="22"/>
        <v>0.159</v>
      </c>
    </row>
    <row r="14" spans="1:66" x14ac:dyDescent="0.25">
      <c r="A14">
        <v>2025</v>
      </c>
      <c r="B14" s="1">
        <f t="shared" si="23"/>
        <v>45666</v>
      </c>
      <c r="C14">
        <v>9</v>
      </c>
      <c r="D14">
        <v>70</v>
      </c>
      <c r="E14" s="6">
        <v>12.94</v>
      </c>
      <c r="F14" s="6">
        <v>-3.71</v>
      </c>
      <c r="G14" s="6">
        <v>-0.314</v>
      </c>
      <c r="H14" s="6">
        <v>-6.609</v>
      </c>
      <c r="I14" s="6">
        <v>0.64600000000000002</v>
      </c>
      <c r="J14" s="6">
        <v>-2.508</v>
      </c>
      <c r="K14" s="6">
        <v>87.5</v>
      </c>
      <c r="L14" s="6"/>
      <c r="M14" s="6">
        <v>-1.1259999999999999</v>
      </c>
      <c r="N14" s="6">
        <v>1.0960000000000001</v>
      </c>
      <c r="O14" s="6">
        <v>1.7090000000000001</v>
      </c>
      <c r="P14" s="6">
        <v>92.8</v>
      </c>
      <c r="Q14" s="6"/>
      <c r="R14" s="6">
        <v>-0.61799999999999999</v>
      </c>
      <c r="S14" s="6">
        <v>1.5569999999999999</v>
      </c>
      <c r="T14" s="6">
        <v>-5.0679999999999996</v>
      </c>
      <c r="U14" s="6">
        <v>72.900000000000006</v>
      </c>
      <c r="V14" s="6"/>
      <c r="W14" s="6">
        <v>-1.629</v>
      </c>
      <c r="X14" s="6">
        <v>0.81499999999999995</v>
      </c>
      <c r="Y14" s="6">
        <v>0.18099999999999999</v>
      </c>
      <c r="Z14" s="6">
        <v>1.607</v>
      </c>
      <c r="AA14" s="6">
        <v>0</v>
      </c>
      <c r="AB14" s="6">
        <v>1.698</v>
      </c>
      <c r="AC14" s="6">
        <v>-0.125</v>
      </c>
      <c r="AD14" s="6">
        <v>-6.4009999999999998</v>
      </c>
      <c r="AE14" s="6">
        <v>8.9999999999999993E-3</v>
      </c>
      <c r="AF14" s="6">
        <v>7.0000000000000001E-3</v>
      </c>
      <c r="AG14" s="6">
        <v>1.7050000000000001</v>
      </c>
      <c r="AH14" s="6"/>
      <c r="AI14" s="6">
        <f t="shared" si="0"/>
        <v>0.34200000000000008</v>
      </c>
      <c r="AJ14">
        <f t="shared" si="1"/>
        <v>0</v>
      </c>
      <c r="AK14" s="21">
        <f t="shared" si="24"/>
        <v>0</v>
      </c>
      <c r="AL14">
        <f t="shared" si="25"/>
        <v>9.1</v>
      </c>
      <c r="AM14" s="4">
        <v>5.03</v>
      </c>
      <c r="AN14">
        <v>0.65</v>
      </c>
      <c r="AP14" s="7">
        <f t="shared" si="3"/>
        <v>0.504</v>
      </c>
      <c r="AQ14" s="7">
        <f t="shared" si="4"/>
        <v>0.187</v>
      </c>
      <c r="AS14">
        <f t="shared" si="5"/>
        <v>0.65</v>
      </c>
      <c r="AT14">
        <f t="shared" si="6"/>
        <v>-2.5</v>
      </c>
      <c r="AU14">
        <f t="shared" si="7"/>
        <v>87.5</v>
      </c>
      <c r="AV14" t="s">
        <v>107</v>
      </c>
      <c r="AW14">
        <f t="shared" si="8"/>
        <v>-1.1000000000000001</v>
      </c>
      <c r="AX14">
        <f t="shared" si="9"/>
        <v>1.1000000000000001</v>
      </c>
      <c r="AY14">
        <f t="shared" si="10"/>
        <v>1.7</v>
      </c>
      <c r="AZ14">
        <f t="shared" si="11"/>
        <v>92.8</v>
      </c>
      <c r="BA14" t="s">
        <v>107</v>
      </c>
      <c r="BB14">
        <f t="shared" si="12"/>
        <v>-0.6</v>
      </c>
      <c r="BC14">
        <f t="shared" si="13"/>
        <v>1.6</v>
      </c>
      <c r="BD14">
        <f t="shared" si="14"/>
        <v>-5.0999999999999996</v>
      </c>
      <c r="BE14">
        <f t="shared" si="15"/>
        <v>72.900000000000006</v>
      </c>
      <c r="BF14" t="s">
        <v>107</v>
      </c>
      <c r="BG14">
        <f t="shared" si="16"/>
        <v>-1.6</v>
      </c>
      <c r="BH14">
        <f t="shared" si="17"/>
        <v>0.8</v>
      </c>
      <c r="BI14">
        <f t="shared" si="18"/>
        <v>0.18</v>
      </c>
      <c r="BJ14">
        <f t="shared" si="19"/>
        <v>1.61</v>
      </c>
      <c r="BK14">
        <f t="shared" si="20"/>
        <v>0.34200000000000008</v>
      </c>
      <c r="BL14">
        <f t="shared" si="21"/>
        <v>0</v>
      </c>
      <c r="BM14">
        <f t="shared" si="22"/>
        <v>0.504</v>
      </c>
      <c r="BN14">
        <f t="shared" si="22"/>
        <v>0.187</v>
      </c>
    </row>
    <row r="15" spans="1:66" x14ac:dyDescent="0.25">
      <c r="A15">
        <v>2025</v>
      </c>
      <c r="B15" s="1">
        <f t="shared" si="23"/>
        <v>45667</v>
      </c>
      <c r="C15">
        <v>10</v>
      </c>
      <c r="D15">
        <v>70</v>
      </c>
      <c r="E15" s="6">
        <v>12.72</v>
      </c>
      <c r="F15" s="6">
        <v>-2.504</v>
      </c>
      <c r="G15" s="6">
        <v>-0.85199999999999998</v>
      </c>
      <c r="H15" s="6">
        <v>-3.548</v>
      </c>
      <c r="I15" s="6">
        <v>0.14499999999999999</v>
      </c>
      <c r="J15" s="6">
        <v>-1.7829999999999999</v>
      </c>
      <c r="K15" s="6">
        <v>87.1</v>
      </c>
      <c r="L15" s="6"/>
      <c r="M15" s="6">
        <v>-0.93799999999999994</v>
      </c>
      <c r="N15" s="6">
        <v>1.0680000000000001</v>
      </c>
      <c r="O15" s="6">
        <v>0.77400000000000002</v>
      </c>
      <c r="P15" s="6">
        <v>91</v>
      </c>
      <c r="Q15" s="6"/>
      <c r="R15" s="6">
        <v>-0.52700000000000002</v>
      </c>
      <c r="S15" s="6">
        <v>1.3280000000000001</v>
      </c>
      <c r="T15" s="6">
        <v>-3.1960000000000002</v>
      </c>
      <c r="U15" s="6">
        <v>81.2</v>
      </c>
      <c r="V15" s="6"/>
      <c r="W15" s="6">
        <v>-1.1970000000000001</v>
      </c>
      <c r="X15" s="6">
        <v>0.96599999999999997</v>
      </c>
      <c r="Y15" s="6">
        <v>0</v>
      </c>
      <c r="Z15" s="6">
        <v>0</v>
      </c>
      <c r="AA15" s="6">
        <v>0</v>
      </c>
      <c r="AB15" s="6">
        <v>1.58</v>
      </c>
      <c r="AC15" s="6">
        <v>-0.72199999999999998</v>
      </c>
      <c r="AD15" s="6">
        <v>-3.423</v>
      </c>
      <c r="AE15" s="6">
        <v>8.9999999999999993E-3</v>
      </c>
      <c r="AF15" s="6">
        <v>6.0000000000000001E-3</v>
      </c>
      <c r="AG15" s="6">
        <v>1.583</v>
      </c>
      <c r="AH15" s="6"/>
      <c r="AI15" s="6">
        <f t="shared" si="0"/>
        <v>0.45999999999999996</v>
      </c>
      <c r="AJ15">
        <f t="shared" si="1"/>
        <v>15.3</v>
      </c>
      <c r="AK15" s="21">
        <f t="shared" si="24"/>
        <v>15.3</v>
      </c>
      <c r="AL15">
        <f t="shared" si="25"/>
        <v>24.4</v>
      </c>
      <c r="AM15" s="4">
        <v>5.09</v>
      </c>
      <c r="AN15">
        <v>0.14000000000000001</v>
      </c>
      <c r="AP15" s="7">
        <f t="shared" si="3"/>
        <v>0.52400000000000002</v>
      </c>
      <c r="AQ15" s="7">
        <f t="shared" si="4"/>
        <v>0.121</v>
      </c>
      <c r="AS15">
        <f t="shared" si="5"/>
        <v>0.14000000000000001</v>
      </c>
      <c r="AT15">
        <f t="shared" si="6"/>
        <v>-1.8</v>
      </c>
      <c r="AU15">
        <f t="shared" si="7"/>
        <v>87.1</v>
      </c>
      <c r="AV15" t="s">
        <v>107</v>
      </c>
      <c r="AW15">
        <f t="shared" si="8"/>
        <v>-0.9</v>
      </c>
      <c r="AX15">
        <f t="shared" si="9"/>
        <v>1.1000000000000001</v>
      </c>
      <c r="AY15">
        <f t="shared" si="10"/>
        <v>0.8</v>
      </c>
      <c r="AZ15">
        <f t="shared" si="11"/>
        <v>91</v>
      </c>
      <c r="BA15" t="s">
        <v>107</v>
      </c>
      <c r="BB15">
        <f t="shared" si="12"/>
        <v>-0.5</v>
      </c>
      <c r="BC15">
        <f t="shared" si="13"/>
        <v>1.3</v>
      </c>
      <c r="BD15">
        <f t="shared" si="14"/>
        <v>-3.2</v>
      </c>
      <c r="BE15">
        <f t="shared" si="15"/>
        <v>81.2</v>
      </c>
      <c r="BF15" t="s">
        <v>107</v>
      </c>
      <c r="BG15">
        <f t="shared" si="16"/>
        <v>-1.2</v>
      </c>
      <c r="BH15">
        <f t="shared" si="17"/>
        <v>1</v>
      </c>
      <c r="BI15">
        <f t="shared" si="18"/>
        <v>0</v>
      </c>
      <c r="BJ15">
        <f t="shared" si="19"/>
        <v>0</v>
      </c>
      <c r="BK15">
        <f t="shared" si="20"/>
        <v>0.45999999999999996</v>
      </c>
      <c r="BL15">
        <f t="shared" si="21"/>
        <v>15.3</v>
      </c>
      <c r="BM15">
        <f t="shared" si="22"/>
        <v>0.52400000000000002</v>
      </c>
      <c r="BN15">
        <f t="shared" si="22"/>
        <v>0.121</v>
      </c>
    </row>
    <row r="16" spans="1:66" x14ac:dyDescent="0.25">
      <c r="A16">
        <v>2025</v>
      </c>
      <c r="B16" s="1">
        <f t="shared" si="23"/>
        <v>45668</v>
      </c>
      <c r="C16">
        <v>11</v>
      </c>
      <c r="D16">
        <v>70</v>
      </c>
      <c r="E16" s="6">
        <v>12.76</v>
      </c>
      <c r="F16" s="6">
        <v>-2.3690000000000002</v>
      </c>
      <c r="G16" s="6">
        <v>0.53400000000000003</v>
      </c>
      <c r="H16" s="6">
        <v>-4.0919999999999996</v>
      </c>
      <c r="I16" s="6">
        <v>0.49399999999999999</v>
      </c>
      <c r="J16" s="6">
        <v>-1.738</v>
      </c>
      <c r="K16" s="6">
        <v>83.6</v>
      </c>
      <c r="L16" s="6"/>
      <c r="M16" s="6">
        <v>-0.69899999999999995</v>
      </c>
      <c r="N16" s="6">
        <v>1.0409999999999999</v>
      </c>
      <c r="O16" s="6">
        <v>1.9810000000000001</v>
      </c>
      <c r="P16" s="6">
        <v>88.5</v>
      </c>
      <c r="Q16" s="6"/>
      <c r="R16" s="6">
        <v>-6.3E-2</v>
      </c>
      <c r="S16" s="6">
        <v>1.54</v>
      </c>
      <c r="T16" s="6">
        <v>-3.3969999999999998</v>
      </c>
      <c r="U16" s="6">
        <v>66.599999999999994</v>
      </c>
      <c r="V16" s="6"/>
      <c r="W16" s="6">
        <v>-0.88400000000000001</v>
      </c>
      <c r="X16" s="6">
        <v>0.89200000000000002</v>
      </c>
      <c r="Y16" s="6">
        <v>0.129</v>
      </c>
      <c r="Z16" s="6">
        <v>1.9</v>
      </c>
      <c r="AA16" s="6">
        <v>0</v>
      </c>
      <c r="AB16" s="6">
        <v>1.6040000000000001</v>
      </c>
      <c r="AC16" s="6">
        <v>0.78400000000000003</v>
      </c>
      <c r="AD16" s="6">
        <v>-3.9430000000000001</v>
      </c>
      <c r="AE16" s="6">
        <v>8.9999999999999993E-3</v>
      </c>
      <c r="AF16" s="6">
        <v>6.0000000000000001E-3</v>
      </c>
      <c r="AG16" s="6">
        <v>1.6120000000000001</v>
      </c>
      <c r="AH16" s="6"/>
      <c r="AI16" s="6">
        <f t="shared" si="0"/>
        <v>0.43599999999999994</v>
      </c>
      <c r="AJ16">
        <f t="shared" si="1"/>
        <v>0</v>
      </c>
      <c r="AK16" s="21">
        <f t="shared" si="24"/>
        <v>0</v>
      </c>
      <c r="AL16">
        <f t="shared" si="25"/>
        <v>24.4</v>
      </c>
      <c r="AM16" s="4">
        <v>5.16</v>
      </c>
      <c r="AN16">
        <v>0.49</v>
      </c>
      <c r="AP16" s="7">
        <f t="shared" si="3"/>
        <v>0.46899999999999997</v>
      </c>
      <c r="AQ16" s="7">
        <f t="shared" si="4"/>
        <v>0.23499999999999999</v>
      </c>
      <c r="AS16">
        <f t="shared" si="5"/>
        <v>0.49</v>
      </c>
      <c r="AT16">
        <f t="shared" si="6"/>
        <v>-1.7</v>
      </c>
      <c r="AU16">
        <f t="shared" si="7"/>
        <v>83.6</v>
      </c>
      <c r="AV16" t="s">
        <v>107</v>
      </c>
      <c r="AW16">
        <f t="shared" si="8"/>
        <v>-0.7</v>
      </c>
      <c r="AX16">
        <f t="shared" si="9"/>
        <v>1</v>
      </c>
      <c r="AY16">
        <f t="shared" si="10"/>
        <v>2</v>
      </c>
      <c r="AZ16">
        <f t="shared" si="11"/>
        <v>88.5</v>
      </c>
      <c r="BA16" t="s">
        <v>107</v>
      </c>
      <c r="BB16">
        <f t="shared" si="12"/>
        <v>-0.1</v>
      </c>
      <c r="BC16">
        <f t="shared" si="13"/>
        <v>1.5</v>
      </c>
      <c r="BD16">
        <f t="shared" si="14"/>
        <v>-3.4</v>
      </c>
      <c r="BE16">
        <f t="shared" si="15"/>
        <v>66.599999999999994</v>
      </c>
      <c r="BF16" t="s">
        <v>107</v>
      </c>
      <c r="BG16">
        <f t="shared" si="16"/>
        <v>-0.9</v>
      </c>
      <c r="BH16">
        <f t="shared" si="17"/>
        <v>0.9</v>
      </c>
      <c r="BI16">
        <f t="shared" si="18"/>
        <v>0.13</v>
      </c>
      <c r="BJ16">
        <f t="shared" si="19"/>
        <v>1.9</v>
      </c>
      <c r="BK16">
        <f t="shared" si="20"/>
        <v>0.43599999999999994</v>
      </c>
      <c r="BL16">
        <f t="shared" si="21"/>
        <v>0</v>
      </c>
      <c r="BM16">
        <f t="shared" si="22"/>
        <v>0.46899999999999997</v>
      </c>
      <c r="BN16">
        <f t="shared" si="22"/>
        <v>0.23499999999999999</v>
      </c>
    </row>
    <row r="17" spans="1:66" x14ac:dyDescent="0.25">
      <c r="A17">
        <v>2025</v>
      </c>
      <c r="B17" s="1">
        <f t="shared" si="23"/>
        <v>45669</v>
      </c>
      <c r="C17">
        <v>12</v>
      </c>
      <c r="D17">
        <v>70</v>
      </c>
      <c r="E17" s="6">
        <v>12.88</v>
      </c>
      <c r="F17" s="6">
        <v>-4.4020000000000001</v>
      </c>
      <c r="G17" s="6">
        <v>1.978</v>
      </c>
      <c r="H17" s="6">
        <v>-8.77</v>
      </c>
      <c r="I17" s="6">
        <v>0.58899999999999997</v>
      </c>
      <c r="J17" s="6">
        <v>-3.6339999999999999</v>
      </c>
      <c r="K17" s="6">
        <v>84.9</v>
      </c>
      <c r="L17" s="6"/>
      <c r="M17" s="6">
        <v>-0.90400000000000003</v>
      </c>
      <c r="N17" s="6">
        <v>1.0109999999999999</v>
      </c>
      <c r="O17" s="6">
        <v>2.319</v>
      </c>
      <c r="P17" s="6">
        <v>91.3</v>
      </c>
      <c r="Q17" s="6"/>
      <c r="R17" s="6">
        <v>0.56999999999999995</v>
      </c>
      <c r="S17" s="6">
        <v>2.2559999999999998</v>
      </c>
      <c r="T17" s="6">
        <v>-7.42</v>
      </c>
      <c r="U17" s="6">
        <v>61.36</v>
      </c>
      <c r="V17" s="6"/>
      <c r="W17" s="6">
        <v>-1.3420000000000001</v>
      </c>
      <c r="X17" s="6">
        <v>0.63900000000000001</v>
      </c>
      <c r="Y17" s="6">
        <v>0.16400000000000001</v>
      </c>
      <c r="Z17" s="6">
        <v>2.0470000000000002</v>
      </c>
      <c r="AA17" s="6">
        <v>0</v>
      </c>
      <c r="AB17" s="6">
        <v>1.63</v>
      </c>
      <c r="AC17" s="6">
        <v>1.8839999999999999</v>
      </c>
      <c r="AD17" s="6">
        <v>-8.58</v>
      </c>
      <c r="AE17" s="6">
        <v>8.9999999999999993E-3</v>
      </c>
      <c r="AF17" s="6">
        <v>6.0000000000000001E-3</v>
      </c>
      <c r="AG17" s="6">
        <v>1.651</v>
      </c>
      <c r="AH17" s="6"/>
      <c r="AI17" s="6">
        <f t="shared" si="0"/>
        <v>0.41000000000000014</v>
      </c>
      <c r="AJ17">
        <f t="shared" si="1"/>
        <v>0</v>
      </c>
      <c r="AK17" s="21">
        <f t="shared" si="24"/>
        <v>0</v>
      </c>
      <c r="AL17">
        <f t="shared" si="25"/>
        <v>24.4</v>
      </c>
      <c r="AM17" s="4">
        <v>5.24</v>
      </c>
      <c r="AN17">
        <v>0.59</v>
      </c>
      <c r="AP17" s="7">
        <f t="shared" si="3"/>
        <v>0.443</v>
      </c>
      <c r="AQ17" s="7">
        <f t="shared" si="4"/>
        <v>0.27900000000000003</v>
      </c>
      <c r="AS17">
        <f t="shared" si="5"/>
        <v>0.59</v>
      </c>
      <c r="AT17">
        <f t="shared" si="6"/>
        <v>-3.6</v>
      </c>
      <c r="AU17">
        <f t="shared" si="7"/>
        <v>84.9</v>
      </c>
      <c r="AV17" t="s">
        <v>107</v>
      </c>
      <c r="AW17">
        <f t="shared" si="8"/>
        <v>-0.9</v>
      </c>
      <c r="AX17">
        <f t="shared" si="9"/>
        <v>1</v>
      </c>
      <c r="AY17">
        <f t="shared" si="10"/>
        <v>2.2999999999999998</v>
      </c>
      <c r="AZ17">
        <f t="shared" si="11"/>
        <v>91.3</v>
      </c>
      <c r="BA17" t="s">
        <v>107</v>
      </c>
      <c r="BB17">
        <f t="shared" si="12"/>
        <v>0.6</v>
      </c>
      <c r="BC17">
        <f t="shared" si="13"/>
        <v>2.2999999999999998</v>
      </c>
      <c r="BD17">
        <f t="shared" si="14"/>
        <v>-7.4</v>
      </c>
      <c r="BE17">
        <f t="shared" si="15"/>
        <v>61.4</v>
      </c>
      <c r="BF17" t="s">
        <v>107</v>
      </c>
      <c r="BG17">
        <f t="shared" si="16"/>
        <v>-1.3</v>
      </c>
      <c r="BH17">
        <f t="shared" si="17"/>
        <v>0.6</v>
      </c>
      <c r="BI17">
        <f t="shared" si="18"/>
        <v>0.16</v>
      </c>
      <c r="BJ17">
        <f t="shared" si="19"/>
        <v>2.0499999999999998</v>
      </c>
      <c r="BK17">
        <f t="shared" si="20"/>
        <v>0.41000000000000014</v>
      </c>
      <c r="BL17">
        <f t="shared" si="21"/>
        <v>0</v>
      </c>
      <c r="BM17">
        <f t="shared" si="22"/>
        <v>0.443</v>
      </c>
      <c r="BN17">
        <f t="shared" si="22"/>
        <v>0.27900000000000003</v>
      </c>
    </row>
    <row r="18" spans="1:66" x14ac:dyDescent="0.25">
      <c r="A18">
        <v>2025</v>
      </c>
      <c r="B18" s="1">
        <f t="shared" si="23"/>
        <v>45670</v>
      </c>
      <c r="C18">
        <v>13</v>
      </c>
      <c r="D18">
        <v>70</v>
      </c>
      <c r="E18" s="6">
        <v>12.92</v>
      </c>
      <c r="F18" s="6">
        <v>-6.7140000000000004</v>
      </c>
      <c r="G18" s="6">
        <v>-2.1829999999999998</v>
      </c>
      <c r="H18" s="6">
        <v>-9.08</v>
      </c>
      <c r="I18" s="6">
        <v>0.83899999999999997</v>
      </c>
      <c r="J18" s="6">
        <v>-5.07</v>
      </c>
      <c r="K18" s="6">
        <v>85.9</v>
      </c>
      <c r="L18" s="6"/>
      <c r="M18" s="6">
        <v>-1.3779999999999999</v>
      </c>
      <c r="N18" s="6">
        <v>1.036</v>
      </c>
      <c r="O18" s="6">
        <v>0.30299999999999999</v>
      </c>
      <c r="P18" s="6">
        <v>92</v>
      </c>
      <c r="Q18" s="6"/>
      <c r="R18" s="6">
        <v>-0.86899999999999999</v>
      </c>
      <c r="S18" s="6">
        <v>1.4430000000000001</v>
      </c>
      <c r="T18" s="6">
        <v>-7.69</v>
      </c>
      <c r="U18" s="6">
        <v>63.92</v>
      </c>
      <c r="V18" s="6"/>
      <c r="W18" s="6">
        <v>-1.64</v>
      </c>
      <c r="X18" s="6">
        <v>0.71899999999999997</v>
      </c>
      <c r="Y18" s="6">
        <v>1.7000000000000001E-2</v>
      </c>
      <c r="Z18" s="6">
        <v>0.83399999999999996</v>
      </c>
      <c r="AA18" s="6">
        <v>0</v>
      </c>
      <c r="AB18" s="6">
        <v>1.641</v>
      </c>
      <c r="AC18" s="6">
        <v>-1.966</v>
      </c>
      <c r="AD18" s="6">
        <v>-8.9700000000000006</v>
      </c>
      <c r="AE18" s="6">
        <v>8.9999999999999993E-3</v>
      </c>
      <c r="AF18" s="6">
        <v>6.0000000000000001E-3</v>
      </c>
      <c r="AG18" s="6">
        <v>1.6539999999999999</v>
      </c>
      <c r="AH18" s="6"/>
      <c r="AI18" s="6">
        <f t="shared" si="0"/>
        <v>0.39900000000000002</v>
      </c>
      <c r="AJ18">
        <f t="shared" si="1"/>
        <v>0</v>
      </c>
      <c r="AK18" s="21">
        <f t="shared" si="24"/>
        <v>0</v>
      </c>
      <c r="AL18">
        <f t="shared" si="25"/>
        <v>24.4</v>
      </c>
      <c r="AM18" s="4">
        <v>5.32</v>
      </c>
      <c r="AN18">
        <v>0.84</v>
      </c>
      <c r="AP18" s="7">
        <f t="shared" si="3"/>
        <v>0.39900000000000002</v>
      </c>
      <c r="AQ18" s="7">
        <f t="shared" si="4"/>
        <v>0.22500000000000001</v>
      </c>
      <c r="AS18">
        <f t="shared" si="5"/>
        <v>0.84</v>
      </c>
      <c r="AT18">
        <f t="shared" si="6"/>
        <v>-5.0999999999999996</v>
      </c>
      <c r="AU18">
        <f t="shared" si="7"/>
        <v>85.9</v>
      </c>
      <c r="AV18" t="s">
        <v>107</v>
      </c>
      <c r="AW18">
        <f t="shared" si="8"/>
        <v>-1.4</v>
      </c>
      <c r="AX18">
        <f t="shared" si="9"/>
        <v>1</v>
      </c>
      <c r="AY18">
        <f t="shared" si="10"/>
        <v>0.3</v>
      </c>
      <c r="AZ18">
        <f t="shared" si="11"/>
        <v>92</v>
      </c>
      <c r="BA18" t="s">
        <v>107</v>
      </c>
      <c r="BB18">
        <f t="shared" si="12"/>
        <v>-0.9</v>
      </c>
      <c r="BC18">
        <f t="shared" si="13"/>
        <v>1.4</v>
      </c>
      <c r="BD18">
        <f t="shared" si="14"/>
        <v>-7.7</v>
      </c>
      <c r="BE18">
        <f t="shared" si="15"/>
        <v>63.9</v>
      </c>
      <c r="BF18" t="s">
        <v>107</v>
      </c>
      <c r="BG18">
        <f t="shared" si="16"/>
        <v>-1.6</v>
      </c>
      <c r="BH18">
        <f t="shared" si="17"/>
        <v>0.7</v>
      </c>
      <c r="BI18">
        <f t="shared" si="18"/>
        <v>0.02</v>
      </c>
      <c r="BJ18">
        <f t="shared" si="19"/>
        <v>0.83</v>
      </c>
      <c r="BK18">
        <f t="shared" si="20"/>
        <v>0.39900000000000002</v>
      </c>
      <c r="BL18">
        <f t="shared" si="21"/>
        <v>0</v>
      </c>
      <c r="BM18">
        <f t="shared" si="22"/>
        <v>0.39900000000000002</v>
      </c>
      <c r="BN18">
        <f t="shared" si="22"/>
        <v>0.22500000000000001</v>
      </c>
    </row>
    <row r="19" spans="1:66" x14ac:dyDescent="0.25">
      <c r="A19">
        <v>2025</v>
      </c>
      <c r="B19" s="1">
        <f t="shared" si="23"/>
        <v>45671</v>
      </c>
      <c r="C19">
        <v>14</v>
      </c>
      <c r="D19">
        <v>70</v>
      </c>
      <c r="E19" s="6">
        <v>12.99</v>
      </c>
      <c r="F19" s="6">
        <v>-4.2590000000000003</v>
      </c>
      <c r="G19" s="6">
        <v>0.77400000000000002</v>
      </c>
      <c r="H19" s="6">
        <v>-7.37</v>
      </c>
      <c r="I19" s="6">
        <v>0.875</v>
      </c>
      <c r="J19" s="6">
        <v>-2.8410000000000002</v>
      </c>
      <c r="K19" s="6">
        <v>87.2</v>
      </c>
      <c r="L19" s="6"/>
      <c r="M19" s="6">
        <v>-1.333</v>
      </c>
      <c r="N19" s="6">
        <v>1.02</v>
      </c>
      <c r="O19" s="6">
        <v>2.8559999999999999</v>
      </c>
      <c r="P19" s="6">
        <v>92.7</v>
      </c>
      <c r="Q19" s="6"/>
      <c r="R19" s="6">
        <v>-0.68100000000000005</v>
      </c>
      <c r="S19" s="6">
        <v>1.5289999999999999</v>
      </c>
      <c r="T19" s="6">
        <v>-6.0780000000000003</v>
      </c>
      <c r="U19" s="6">
        <v>65.39</v>
      </c>
      <c r="V19" s="6"/>
      <c r="W19" s="6">
        <v>-1.734</v>
      </c>
      <c r="X19" s="6">
        <v>0.60499999999999998</v>
      </c>
      <c r="Y19" s="6">
        <v>8.6999999999999994E-2</v>
      </c>
      <c r="Z19" s="6">
        <v>1.234</v>
      </c>
      <c r="AA19" s="6">
        <v>0</v>
      </c>
      <c r="AB19" s="6">
        <v>1.653</v>
      </c>
      <c r="AC19" s="6">
        <v>1.0109999999999999</v>
      </c>
      <c r="AD19" s="6">
        <v>-7.24</v>
      </c>
      <c r="AE19" s="6">
        <v>8.9999999999999993E-3</v>
      </c>
      <c r="AF19" s="6">
        <v>6.0000000000000001E-3</v>
      </c>
      <c r="AG19" s="6">
        <v>1.661</v>
      </c>
      <c r="AH19" s="6"/>
      <c r="AI19" s="6">
        <f t="shared" si="0"/>
        <v>0.38700000000000001</v>
      </c>
      <c r="AJ19">
        <f t="shared" si="1"/>
        <v>0</v>
      </c>
      <c r="AK19" s="21">
        <f t="shared" si="24"/>
        <v>0</v>
      </c>
      <c r="AL19">
        <f t="shared" si="25"/>
        <v>24.4</v>
      </c>
      <c r="AM19" s="4">
        <v>5.39</v>
      </c>
      <c r="AN19">
        <v>0.87</v>
      </c>
      <c r="AP19" s="7">
        <f t="shared" si="3"/>
        <v>0.49</v>
      </c>
      <c r="AQ19" s="7">
        <f t="shared" si="4"/>
        <v>0.25900000000000001</v>
      </c>
      <c r="AS19">
        <f t="shared" si="5"/>
        <v>0.87</v>
      </c>
      <c r="AT19">
        <f t="shared" si="6"/>
        <v>-2.8</v>
      </c>
      <c r="AU19">
        <f t="shared" si="7"/>
        <v>87.2</v>
      </c>
      <c r="AV19" t="s">
        <v>107</v>
      </c>
      <c r="AW19">
        <f t="shared" si="8"/>
        <v>-1.3</v>
      </c>
      <c r="AX19">
        <f t="shared" si="9"/>
        <v>1</v>
      </c>
      <c r="AY19">
        <f t="shared" si="10"/>
        <v>2.9</v>
      </c>
      <c r="AZ19">
        <f t="shared" si="11"/>
        <v>92.7</v>
      </c>
      <c r="BA19" t="s">
        <v>107</v>
      </c>
      <c r="BB19">
        <f t="shared" si="12"/>
        <v>-0.7</v>
      </c>
      <c r="BC19">
        <f t="shared" si="13"/>
        <v>1.5</v>
      </c>
      <c r="BD19">
        <f t="shared" si="14"/>
        <v>-6.1</v>
      </c>
      <c r="BE19">
        <f t="shared" si="15"/>
        <v>65.400000000000006</v>
      </c>
      <c r="BF19" t="s">
        <v>107</v>
      </c>
      <c r="BG19">
        <f t="shared" si="16"/>
        <v>-1.7</v>
      </c>
      <c r="BH19">
        <f t="shared" si="17"/>
        <v>0.6</v>
      </c>
      <c r="BI19">
        <f t="shared" si="18"/>
        <v>0.09</v>
      </c>
      <c r="BJ19">
        <f t="shared" si="19"/>
        <v>1.23</v>
      </c>
      <c r="BK19">
        <f t="shared" si="20"/>
        <v>0.38700000000000001</v>
      </c>
      <c r="BL19">
        <f t="shared" si="21"/>
        <v>0</v>
      </c>
      <c r="BM19">
        <f t="shared" si="22"/>
        <v>0.49</v>
      </c>
      <c r="BN19">
        <f t="shared" si="22"/>
        <v>0.25900000000000001</v>
      </c>
    </row>
    <row r="20" spans="1:66" x14ac:dyDescent="0.25">
      <c r="A20">
        <v>2025</v>
      </c>
      <c r="B20" s="1">
        <f t="shared" si="23"/>
        <v>45672</v>
      </c>
      <c r="C20">
        <v>15</v>
      </c>
      <c r="D20">
        <v>70</v>
      </c>
      <c r="E20" s="6">
        <v>13.01</v>
      </c>
      <c r="F20" s="6">
        <v>-2.286</v>
      </c>
      <c r="G20" s="6">
        <v>1.458</v>
      </c>
      <c r="H20" s="6">
        <v>-4.9610000000000003</v>
      </c>
      <c r="I20" s="6">
        <v>1.998</v>
      </c>
      <c r="J20" s="6">
        <v>-0.76300000000000001</v>
      </c>
      <c r="K20" s="6">
        <v>87.7</v>
      </c>
      <c r="L20" s="6"/>
      <c r="M20" s="6">
        <v>-0.92400000000000004</v>
      </c>
      <c r="N20" s="6">
        <v>1.0249999999999999</v>
      </c>
      <c r="O20" s="6">
        <v>4.5970000000000004</v>
      </c>
      <c r="P20" s="6">
        <v>93.3</v>
      </c>
      <c r="Q20" s="6"/>
      <c r="R20" s="6">
        <v>-0.3</v>
      </c>
      <c r="S20" s="6">
        <v>1.3759999999999999</v>
      </c>
      <c r="T20" s="6">
        <v>-3.7909999999999999</v>
      </c>
      <c r="U20" s="6">
        <v>62.23</v>
      </c>
      <c r="V20" s="6"/>
      <c r="W20" s="6">
        <v>-1.419</v>
      </c>
      <c r="X20" s="6">
        <v>0.81299999999999994</v>
      </c>
      <c r="Y20" s="6">
        <v>0.18</v>
      </c>
      <c r="Z20" s="6">
        <v>1.554</v>
      </c>
      <c r="AA20" s="6">
        <v>0</v>
      </c>
      <c r="AB20" s="6">
        <v>1.665</v>
      </c>
      <c r="AC20" s="6">
        <v>1.7170000000000001</v>
      </c>
      <c r="AD20" s="6">
        <v>-4.8159999999999998</v>
      </c>
      <c r="AE20" s="6">
        <v>8.9999999999999993E-3</v>
      </c>
      <c r="AF20" s="6">
        <v>6.0000000000000001E-3</v>
      </c>
      <c r="AG20" s="6">
        <v>1.665</v>
      </c>
      <c r="AH20" s="6"/>
      <c r="AI20" s="6">
        <f t="shared" si="0"/>
        <v>0.375</v>
      </c>
      <c r="AJ20">
        <f t="shared" si="1"/>
        <v>0</v>
      </c>
      <c r="AK20" s="21">
        <f t="shared" si="24"/>
        <v>0</v>
      </c>
      <c r="AL20">
        <f t="shared" si="25"/>
        <v>24.4</v>
      </c>
      <c r="AM20" s="4">
        <v>5.48</v>
      </c>
      <c r="AN20">
        <v>2</v>
      </c>
      <c r="AP20" s="7">
        <f t="shared" si="3"/>
        <v>0.52800000000000002</v>
      </c>
      <c r="AQ20" s="7">
        <f t="shared" si="4"/>
        <v>0.32</v>
      </c>
      <c r="AS20">
        <f t="shared" si="5"/>
        <v>2</v>
      </c>
      <c r="AT20">
        <f t="shared" si="6"/>
        <v>-0.8</v>
      </c>
      <c r="AU20">
        <f t="shared" si="7"/>
        <v>87.7</v>
      </c>
      <c r="AV20" t="s">
        <v>107</v>
      </c>
      <c r="AW20">
        <f t="shared" si="8"/>
        <v>-0.9</v>
      </c>
      <c r="AX20">
        <f t="shared" si="9"/>
        <v>1</v>
      </c>
      <c r="AY20">
        <f t="shared" si="10"/>
        <v>4.5999999999999996</v>
      </c>
      <c r="AZ20">
        <f t="shared" si="11"/>
        <v>93.3</v>
      </c>
      <c r="BA20" t="s">
        <v>107</v>
      </c>
      <c r="BB20">
        <f t="shared" si="12"/>
        <v>-0.3</v>
      </c>
      <c r="BC20">
        <f t="shared" si="13"/>
        <v>1.4</v>
      </c>
      <c r="BD20">
        <f t="shared" si="14"/>
        <v>-3.8</v>
      </c>
      <c r="BE20">
        <f t="shared" si="15"/>
        <v>62.2</v>
      </c>
      <c r="BF20" t="s">
        <v>107</v>
      </c>
      <c r="BG20">
        <f t="shared" si="16"/>
        <v>-1.4</v>
      </c>
      <c r="BH20">
        <f t="shared" si="17"/>
        <v>0.8</v>
      </c>
      <c r="BI20">
        <f t="shared" si="18"/>
        <v>0.18</v>
      </c>
      <c r="BJ20">
        <f t="shared" si="19"/>
        <v>1.55</v>
      </c>
      <c r="BK20">
        <f t="shared" si="20"/>
        <v>0.375</v>
      </c>
      <c r="BL20">
        <f t="shared" si="21"/>
        <v>0</v>
      </c>
      <c r="BM20">
        <f t="shared" si="22"/>
        <v>0.52800000000000002</v>
      </c>
      <c r="BN20">
        <f t="shared" si="22"/>
        <v>0.32</v>
      </c>
    </row>
    <row r="21" spans="1:66" x14ac:dyDescent="0.25">
      <c r="A21">
        <v>2025</v>
      </c>
      <c r="B21" s="1">
        <f t="shared" si="23"/>
        <v>45673</v>
      </c>
      <c r="C21">
        <v>16</v>
      </c>
      <c r="D21">
        <v>70</v>
      </c>
      <c r="E21" s="6">
        <v>12.83</v>
      </c>
      <c r="F21" s="6">
        <v>-4.24</v>
      </c>
      <c r="G21" s="6">
        <v>-1.8540000000000001</v>
      </c>
      <c r="H21" s="6">
        <v>-7.75</v>
      </c>
      <c r="I21" s="6">
        <v>1.4419999999999999</v>
      </c>
      <c r="J21" s="6">
        <v>-2.6459999999999999</v>
      </c>
      <c r="K21" s="6">
        <v>73.8</v>
      </c>
      <c r="L21" s="6"/>
      <c r="M21" s="6">
        <v>-1.0609999999999999</v>
      </c>
      <c r="N21" s="6">
        <v>0.95899999999999996</v>
      </c>
      <c r="O21" s="6">
        <v>1.177</v>
      </c>
      <c r="P21" s="6">
        <v>90.1</v>
      </c>
      <c r="Q21" s="6"/>
      <c r="R21" s="6">
        <v>-0.58199999999999996</v>
      </c>
      <c r="S21" s="6">
        <v>1.1879999999999999</v>
      </c>
      <c r="T21" s="6">
        <v>-6.3470000000000004</v>
      </c>
      <c r="U21" s="6">
        <v>57.66</v>
      </c>
      <c r="V21" s="6"/>
      <c r="W21" s="6">
        <v>-1.716</v>
      </c>
      <c r="X21" s="6">
        <v>0.60699999999999998</v>
      </c>
      <c r="Y21" s="6">
        <v>0.184</v>
      </c>
      <c r="Z21" s="6">
        <v>1.86</v>
      </c>
      <c r="AA21" s="6">
        <v>0</v>
      </c>
      <c r="AB21" s="6">
        <v>1.6619999999999999</v>
      </c>
      <c r="AC21" s="6">
        <v>-1.883</v>
      </c>
      <c r="AD21" s="6">
        <v>-7.49</v>
      </c>
      <c r="AE21" s="6">
        <v>8.9999999999999993E-3</v>
      </c>
      <c r="AF21" s="6">
        <v>7.0000000000000001E-3</v>
      </c>
      <c r="AG21" s="6">
        <v>1.679</v>
      </c>
      <c r="AH21" s="6"/>
      <c r="AI21" s="6">
        <f t="shared" si="0"/>
        <v>0.37800000000000011</v>
      </c>
      <c r="AJ21">
        <f t="shared" si="1"/>
        <v>0.4</v>
      </c>
      <c r="AK21" s="21">
        <f t="shared" si="24"/>
        <v>0.4</v>
      </c>
      <c r="AL21">
        <f t="shared" si="25"/>
        <v>24.799999999999997</v>
      </c>
      <c r="AM21" s="4">
        <v>5.57</v>
      </c>
      <c r="AN21">
        <v>1.44</v>
      </c>
      <c r="AP21" s="7">
        <f t="shared" si="3"/>
        <v>0.38300000000000001</v>
      </c>
      <c r="AQ21" s="7">
        <f t="shared" si="4"/>
        <v>0.28100000000000003</v>
      </c>
      <c r="AS21">
        <f t="shared" si="5"/>
        <v>1.44</v>
      </c>
      <c r="AT21">
        <f t="shared" si="6"/>
        <v>-2.6</v>
      </c>
      <c r="AU21">
        <f t="shared" si="7"/>
        <v>73.8</v>
      </c>
      <c r="AV21" t="s">
        <v>107</v>
      </c>
      <c r="AW21">
        <f t="shared" si="8"/>
        <v>-1.1000000000000001</v>
      </c>
      <c r="AX21">
        <f t="shared" si="9"/>
        <v>1</v>
      </c>
      <c r="AY21">
        <f t="shared" si="10"/>
        <v>1.2</v>
      </c>
      <c r="AZ21">
        <f t="shared" si="11"/>
        <v>90.1</v>
      </c>
      <c r="BA21" t="s">
        <v>107</v>
      </c>
      <c r="BB21">
        <f t="shared" si="12"/>
        <v>-0.6</v>
      </c>
      <c r="BC21">
        <f t="shared" si="13"/>
        <v>1.2</v>
      </c>
      <c r="BD21">
        <f t="shared" si="14"/>
        <v>-6.3</v>
      </c>
      <c r="BE21">
        <f t="shared" si="15"/>
        <v>57.7</v>
      </c>
      <c r="BF21" t="s">
        <v>107</v>
      </c>
      <c r="BG21">
        <f t="shared" si="16"/>
        <v>-1.7</v>
      </c>
      <c r="BH21">
        <f t="shared" si="17"/>
        <v>0.6</v>
      </c>
      <c r="BI21">
        <f t="shared" si="18"/>
        <v>0.18</v>
      </c>
      <c r="BJ21">
        <f t="shared" si="19"/>
        <v>1.86</v>
      </c>
      <c r="BK21">
        <f t="shared" si="20"/>
        <v>0.37800000000000011</v>
      </c>
      <c r="BL21">
        <f t="shared" si="21"/>
        <v>0.4</v>
      </c>
      <c r="BM21">
        <f t="shared" si="22"/>
        <v>0.38300000000000001</v>
      </c>
      <c r="BN21">
        <f t="shared" si="22"/>
        <v>0.28100000000000003</v>
      </c>
    </row>
    <row r="22" spans="1:66" x14ac:dyDescent="0.25">
      <c r="A22">
        <v>2025</v>
      </c>
      <c r="B22" s="1">
        <f t="shared" si="23"/>
        <v>45674</v>
      </c>
      <c r="C22">
        <v>17</v>
      </c>
      <c r="D22">
        <v>70</v>
      </c>
      <c r="E22" s="6">
        <v>12.76</v>
      </c>
      <c r="F22" s="6">
        <v>-8.1199999999999992</v>
      </c>
      <c r="G22" s="6">
        <v>-5.2060000000000004</v>
      </c>
      <c r="H22" s="6">
        <v>-12.81</v>
      </c>
      <c r="I22" s="6">
        <v>1.5329999999999999</v>
      </c>
      <c r="J22" s="6">
        <v>-6.9870000000000001</v>
      </c>
      <c r="K22" s="6">
        <v>78.7</v>
      </c>
      <c r="L22" s="6"/>
      <c r="M22" s="6">
        <v>-1.9830000000000001</v>
      </c>
      <c r="N22" s="6">
        <v>0.96499999999999997</v>
      </c>
      <c r="O22" s="6">
        <v>-3.52</v>
      </c>
      <c r="P22" s="6">
        <v>88.8</v>
      </c>
      <c r="Q22" s="6"/>
      <c r="R22" s="6">
        <v>-1.4279999999999999</v>
      </c>
      <c r="S22" s="6">
        <v>1.4179999999999999</v>
      </c>
      <c r="T22" s="6">
        <v>-11.31</v>
      </c>
      <c r="U22" s="6">
        <v>64.28</v>
      </c>
      <c r="V22" s="6"/>
      <c r="W22" s="6">
        <v>-2.6389999999999998</v>
      </c>
      <c r="X22" s="6">
        <v>0.63600000000000001</v>
      </c>
      <c r="Y22" s="6">
        <v>6.0000000000000001E-3</v>
      </c>
      <c r="Z22" s="6">
        <v>0.59399999999999997</v>
      </c>
      <c r="AA22" s="6">
        <v>0</v>
      </c>
      <c r="AB22" s="6">
        <v>1.669</v>
      </c>
      <c r="AC22" s="6">
        <v>-5.1310000000000002</v>
      </c>
      <c r="AD22" s="6">
        <v>-12.63</v>
      </c>
      <c r="AE22" s="6">
        <v>8.9999999999999993E-3</v>
      </c>
      <c r="AF22" s="6">
        <v>6.0000000000000001E-3</v>
      </c>
      <c r="AG22" s="6">
        <v>1.702</v>
      </c>
      <c r="AH22" s="6"/>
      <c r="AI22" s="6">
        <f t="shared" si="0"/>
        <v>0.371</v>
      </c>
      <c r="AJ22">
        <f t="shared" si="1"/>
        <v>0</v>
      </c>
      <c r="AK22" s="21">
        <f t="shared" si="24"/>
        <v>0</v>
      </c>
      <c r="AL22">
        <f t="shared" si="25"/>
        <v>24.799999999999997</v>
      </c>
      <c r="AM22" s="4">
        <v>5.66</v>
      </c>
      <c r="AN22">
        <v>1.53</v>
      </c>
      <c r="AP22" s="7">
        <f t="shared" si="3"/>
        <v>0.30299999999999999</v>
      </c>
      <c r="AQ22" s="7">
        <f t="shared" si="4"/>
        <v>0.16800000000000001</v>
      </c>
      <c r="AS22">
        <f t="shared" si="5"/>
        <v>1.53</v>
      </c>
      <c r="AT22">
        <f t="shared" si="6"/>
        <v>-7</v>
      </c>
      <c r="AU22">
        <f t="shared" si="7"/>
        <v>78.7</v>
      </c>
      <c r="AV22" t="s">
        <v>107</v>
      </c>
      <c r="AW22">
        <f t="shared" si="8"/>
        <v>-2</v>
      </c>
      <c r="AX22">
        <f t="shared" si="9"/>
        <v>1</v>
      </c>
      <c r="AY22">
        <f t="shared" si="10"/>
        <v>-3.5</v>
      </c>
      <c r="AZ22">
        <f t="shared" si="11"/>
        <v>88.8</v>
      </c>
      <c r="BA22" t="s">
        <v>107</v>
      </c>
      <c r="BB22">
        <f t="shared" si="12"/>
        <v>-1.4</v>
      </c>
      <c r="BC22">
        <f t="shared" si="13"/>
        <v>1.4</v>
      </c>
      <c r="BD22">
        <f t="shared" si="14"/>
        <v>-11.3</v>
      </c>
      <c r="BE22">
        <f t="shared" si="15"/>
        <v>64.3</v>
      </c>
      <c r="BF22" t="s">
        <v>107</v>
      </c>
      <c r="BG22">
        <f t="shared" si="16"/>
        <v>-2.6</v>
      </c>
      <c r="BH22">
        <f t="shared" si="17"/>
        <v>0.6</v>
      </c>
      <c r="BI22">
        <f t="shared" si="18"/>
        <v>0.01</v>
      </c>
      <c r="BJ22">
        <f t="shared" si="19"/>
        <v>0.59</v>
      </c>
      <c r="BK22">
        <f t="shared" si="20"/>
        <v>0.371</v>
      </c>
      <c r="BL22">
        <f t="shared" si="21"/>
        <v>0</v>
      </c>
      <c r="BM22">
        <f t="shared" si="22"/>
        <v>0.30299999999999999</v>
      </c>
      <c r="BN22">
        <f t="shared" si="22"/>
        <v>0.16800000000000001</v>
      </c>
    </row>
    <row r="23" spans="1:66" x14ac:dyDescent="0.25">
      <c r="A23">
        <v>2025</v>
      </c>
      <c r="B23" s="1">
        <f t="shared" si="23"/>
        <v>45675</v>
      </c>
      <c r="C23">
        <v>18</v>
      </c>
      <c r="D23">
        <v>70</v>
      </c>
      <c r="E23" s="6">
        <v>13.01</v>
      </c>
      <c r="F23" s="6">
        <v>-11.02</v>
      </c>
      <c r="G23" s="6">
        <v>-1.9510000000000001</v>
      </c>
      <c r="H23" s="6">
        <v>-14.99</v>
      </c>
      <c r="I23" s="6">
        <v>4.0209999999999999</v>
      </c>
      <c r="J23" s="6">
        <v>-9.7799999999999994</v>
      </c>
      <c r="K23" s="6">
        <v>78.900000000000006</v>
      </c>
      <c r="L23" s="6"/>
      <c r="M23" s="6">
        <v>-2.76</v>
      </c>
      <c r="N23" s="6">
        <v>0.95599999999999996</v>
      </c>
      <c r="O23" s="6">
        <v>-2.3730000000000002</v>
      </c>
      <c r="P23" s="6">
        <v>89.8</v>
      </c>
      <c r="Q23" s="6"/>
      <c r="R23" s="6">
        <v>-1.0549999999999999</v>
      </c>
      <c r="S23" s="6">
        <v>2.4849999999999999</v>
      </c>
      <c r="T23" s="6">
        <v>-13.4</v>
      </c>
      <c r="U23" s="6">
        <v>52.62</v>
      </c>
      <c r="V23" s="6"/>
      <c r="W23" s="6">
        <v>-3.1779999999999999</v>
      </c>
      <c r="X23" s="6">
        <v>0.251</v>
      </c>
      <c r="Y23" s="6">
        <v>0</v>
      </c>
      <c r="Z23" s="6">
        <v>0</v>
      </c>
      <c r="AA23" s="6">
        <v>0</v>
      </c>
      <c r="AB23" s="6">
        <v>1.669</v>
      </c>
      <c r="AC23" s="6">
        <v>-1.6120000000000001</v>
      </c>
      <c r="AD23" s="6">
        <v>-14.86</v>
      </c>
      <c r="AE23" s="6">
        <v>8.9999999999999993E-3</v>
      </c>
      <c r="AF23" s="6">
        <v>6.0000000000000001E-3</v>
      </c>
      <c r="AG23" s="6">
        <v>1.698</v>
      </c>
      <c r="AH23" s="6"/>
      <c r="AI23" s="6">
        <f t="shared" si="0"/>
        <v>0.371</v>
      </c>
      <c r="AJ23">
        <f t="shared" si="1"/>
        <v>0</v>
      </c>
      <c r="AK23" s="21">
        <f t="shared" si="24"/>
        <v>0</v>
      </c>
      <c r="AL23">
        <f t="shared" si="25"/>
        <v>24.799999999999997</v>
      </c>
      <c r="AM23" s="4">
        <v>5.75</v>
      </c>
      <c r="AN23">
        <v>4.0199999999999996</v>
      </c>
      <c r="AP23" s="7">
        <f t="shared" si="3"/>
        <v>0.27</v>
      </c>
      <c r="AQ23" s="7">
        <f t="shared" si="4"/>
        <v>0.24299999999999999</v>
      </c>
      <c r="AS23">
        <f t="shared" si="5"/>
        <v>4.0199999999999996</v>
      </c>
      <c r="AT23">
        <f t="shared" si="6"/>
        <v>-9.8000000000000007</v>
      </c>
      <c r="AU23">
        <f t="shared" si="7"/>
        <v>78.900000000000006</v>
      </c>
      <c r="AV23" t="s">
        <v>107</v>
      </c>
      <c r="AW23">
        <f t="shared" si="8"/>
        <v>-2.8</v>
      </c>
      <c r="AX23">
        <f t="shared" si="9"/>
        <v>1</v>
      </c>
      <c r="AY23">
        <f t="shared" si="10"/>
        <v>-2.4</v>
      </c>
      <c r="AZ23">
        <f t="shared" si="11"/>
        <v>89.8</v>
      </c>
      <c r="BA23" t="s">
        <v>107</v>
      </c>
      <c r="BB23">
        <f t="shared" si="12"/>
        <v>-1.1000000000000001</v>
      </c>
      <c r="BC23">
        <f t="shared" si="13"/>
        <v>2.5</v>
      </c>
      <c r="BD23">
        <f t="shared" si="14"/>
        <v>-13.4</v>
      </c>
      <c r="BE23">
        <f t="shared" si="15"/>
        <v>52.6</v>
      </c>
      <c r="BF23" t="s">
        <v>107</v>
      </c>
      <c r="BG23">
        <f t="shared" si="16"/>
        <v>-3.2</v>
      </c>
      <c r="BH23">
        <f t="shared" si="17"/>
        <v>0.3</v>
      </c>
      <c r="BI23">
        <f t="shared" si="18"/>
        <v>0</v>
      </c>
      <c r="BJ23">
        <f t="shared" si="19"/>
        <v>0</v>
      </c>
      <c r="BK23">
        <f t="shared" si="20"/>
        <v>0.371</v>
      </c>
      <c r="BL23">
        <f t="shared" si="21"/>
        <v>0</v>
      </c>
      <c r="BM23">
        <f t="shared" si="22"/>
        <v>0.27</v>
      </c>
      <c r="BN23">
        <f t="shared" si="22"/>
        <v>0.24299999999999999</v>
      </c>
    </row>
    <row r="24" spans="1:66" x14ac:dyDescent="0.25">
      <c r="A24">
        <v>2025</v>
      </c>
      <c r="B24" s="1">
        <f t="shared" si="23"/>
        <v>45676</v>
      </c>
      <c r="C24">
        <v>19</v>
      </c>
      <c r="D24">
        <v>70</v>
      </c>
      <c r="E24" s="6">
        <v>13.04</v>
      </c>
      <c r="F24" s="6">
        <v>-11.84</v>
      </c>
      <c r="G24" s="6">
        <v>-2.3079999999999998</v>
      </c>
      <c r="H24" s="6">
        <v>-15.95</v>
      </c>
      <c r="I24" s="6">
        <v>3.9159999999999999</v>
      </c>
      <c r="J24" s="6">
        <v>-10.74</v>
      </c>
      <c r="K24" s="6">
        <v>79.900000000000006</v>
      </c>
      <c r="L24" s="6"/>
      <c r="M24" s="6">
        <v>-3.1890000000000001</v>
      </c>
      <c r="N24" s="6">
        <v>0.84699999999999998</v>
      </c>
      <c r="O24" s="6">
        <v>-3.653</v>
      </c>
      <c r="P24" s="6">
        <v>87.3</v>
      </c>
      <c r="Q24" s="6"/>
      <c r="R24" s="6">
        <v>-1.4670000000000001</v>
      </c>
      <c r="S24" s="6">
        <v>2.3479999999999999</v>
      </c>
      <c r="T24" s="6">
        <v>-14.2</v>
      </c>
      <c r="U24" s="6">
        <v>54.77</v>
      </c>
      <c r="V24" s="6"/>
      <c r="W24" s="6">
        <v>-3.726</v>
      </c>
      <c r="X24" s="6">
        <v>0.11700000000000001</v>
      </c>
      <c r="Y24" s="6">
        <v>0</v>
      </c>
      <c r="Z24" s="6">
        <v>0</v>
      </c>
      <c r="AA24" s="6">
        <v>0</v>
      </c>
      <c r="AB24" s="6">
        <v>1.679</v>
      </c>
      <c r="AC24" s="6">
        <v>-1.8819999999999999</v>
      </c>
      <c r="AD24" s="6">
        <v>-15.83</v>
      </c>
      <c r="AE24" s="6">
        <v>8.9999999999999993E-3</v>
      </c>
      <c r="AF24" s="6">
        <v>6.0000000000000001E-3</v>
      </c>
      <c r="AG24" s="6">
        <v>1.72</v>
      </c>
      <c r="AH24" s="6"/>
      <c r="AI24" s="6">
        <f t="shared" si="0"/>
        <v>0.36099999999999999</v>
      </c>
      <c r="AJ24">
        <f t="shared" si="1"/>
        <v>0</v>
      </c>
      <c r="AK24" s="21">
        <f t="shared" si="24"/>
        <v>0</v>
      </c>
      <c r="AL24">
        <f t="shared" si="25"/>
        <v>24.799999999999997</v>
      </c>
      <c r="AM24" s="4">
        <v>5.85</v>
      </c>
      <c r="AN24">
        <v>3.91</v>
      </c>
      <c r="AP24" s="7">
        <f t="shared" si="3"/>
        <v>0.255</v>
      </c>
      <c r="AQ24" s="7">
        <f t="shared" si="4"/>
        <v>0.21099999999999999</v>
      </c>
      <c r="AS24">
        <f t="shared" si="5"/>
        <v>3.91</v>
      </c>
      <c r="AT24">
        <f t="shared" si="6"/>
        <v>-10.7</v>
      </c>
      <c r="AU24">
        <f t="shared" si="7"/>
        <v>79.900000000000006</v>
      </c>
      <c r="AV24" t="s">
        <v>107</v>
      </c>
      <c r="AW24">
        <f t="shared" si="8"/>
        <v>-3.2</v>
      </c>
      <c r="AX24">
        <f t="shared" si="9"/>
        <v>0.8</v>
      </c>
      <c r="AY24">
        <f t="shared" si="10"/>
        <v>-3.7</v>
      </c>
      <c r="AZ24">
        <f t="shared" si="11"/>
        <v>87.3</v>
      </c>
      <c r="BA24" t="s">
        <v>107</v>
      </c>
      <c r="BB24">
        <f t="shared" si="12"/>
        <v>-1.5</v>
      </c>
      <c r="BC24">
        <f t="shared" si="13"/>
        <v>2.2999999999999998</v>
      </c>
      <c r="BD24">
        <f t="shared" si="14"/>
        <v>-14.2</v>
      </c>
      <c r="BE24">
        <f t="shared" si="15"/>
        <v>54.8</v>
      </c>
      <c r="BF24" t="s">
        <v>107</v>
      </c>
      <c r="BG24">
        <f t="shared" si="16"/>
        <v>-3.7</v>
      </c>
      <c r="BH24">
        <f t="shared" si="17"/>
        <v>0.1</v>
      </c>
      <c r="BI24">
        <f t="shared" si="18"/>
        <v>0</v>
      </c>
      <c r="BJ24">
        <f t="shared" si="19"/>
        <v>0</v>
      </c>
      <c r="BK24">
        <f t="shared" si="20"/>
        <v>0.36099999999999999</v>
      </c>
      <c r="BL24">
        <f t="shared" si="21"/>
        <v>0</v>
      </c>
      <c r="BM24">
        <f t="shared" si="22"/>
        <v>0.255</v>
      </c>
      <c r="BN24">
        <f t="shared" si="22"/>
        <v>0.21099999999999999</v>
      </c>
    </row>
    <row r="25" spans="1:66" x14ac:dyDescent="0.25">
      <c r="A25">
        <v>2025</v>
      </c>
      <c r="B25" s="1">
        <f t="shared" si="23"/>
        <v>45677</v>
      </c>
      <c r="C25">
        <v>20</v>
      </c>
      <c r="D25">
        <v>70</v>
      </c>
      <c r="E25" s="6">
        <v>13.07</v>
      </c>
      <c r="F25" s="6">
        <v>-12.38</v>
      </c>
      <c r="G25" s="6">
        <v>-7.95</v>
      </c>
      <c r="H25" s="6">
        <v>-16.7</v>
      </c>
      <c r="I25" s="6">
        <v>3.2719999999999998</v>
      </c>
      <c r="J25" s="6">
        <v>-10.94</v>
      </c>
      <c r="K25" s="6">
        <v>79.8</v>
      </c>
      <c r="L25" s="6"/>
      <c r="M25" s="6">
        <v>-3.6720000000000002</v>
      </c>
      <c r="N25" s="6">
        <v>0.85499999999999998</v>
      </c>
      <c r="O25" s="6">
        <v>-6.7510000000000003</v>
      </c>
      <c r="P25" s="6">
        <v>86.7</v>
      </c>
      <c r="Q25" s="6"/>
      <c r="R25" s="6">
        <v>-3.2370000000000001</v>
      </c>
      <c r="S25" s="6">
        <v>1.5529999999999999</v>
      </c>
      <c r="T25" s="6">
        <v>-14.94</v>
      </c>
      <c r="U25" s="6">
        <v>65.02</v>
      </c>
      <c r="V25" s="6"/>
      <c r="W25" s="6">
        <v>-4.24</v>
      </c>
      <c r="X25" s="6">
        <v>0.48499999999999999</v>
      </c>
      <c r="Y25" s="6">
        <v>0</v>
      </c>
      <c r="Z25" s="6">
        <v>0</v>
      </c>
      <c r="AA25" s="6">
        <v>0</v>
      </c>
      <c r="AB25" s="6">
        <v>1.68</v>
      </c>
      <c r="AC25" s="6">
        <v>-7.73</v>
      </c>
      <c r="AD25" s="6">
        <v>-16.57</v>
      </c>
      <c r="AE25" s="6">
        <v>8.9999999999999993E-3</v>
      </c>
      <c r="AF25" s="6">
        <v>6.0000000000000001E-3</v>
      </c>
      <c r="AG25" s="6">
        <v>1.71</v>
      </c>
      <c r="AH25" s="6"/>
      <c r="AI25" s="6">
        <f t="shared" si="0"/>
        <v>0.3600000000000001</v>
      </c>
      <c r="AJ25">
        <f t="shared" si="1"/>
        <v>0</v>
      </c>
      <c r="AK25" s="21">
        <f t="shared" si="24"/>
        <v>0</v>
      </c>
      <c r="AL25">
        <f t="shared" si="25"/>
        <v>24.799999999999997</v>
      </c>
      <c r="AM25" s="4">
        <v>5.96</v>
      </c>
      <c r="AN25">
        <v>3.27</v>
      </c>
      <c r="AP25" s="7">
        <f t="shared" si="3"/>
        <v>0.23899999999999999</v>
      </c>
      <c r="AQ25" s="7">
        <f t="shared" si="4"/>
        <v>0.129</v>
      </c>
      <c r="AS25">
        <f t="shared" si="5"/>
        <v>3.27</v>
      </c>
      <c r="AT25">
        <f t="shared" si="6"/>
        <v>-10.9</v>
      </c>
      <c r="AU25">
        <f t="shared" si="7"/>
        <v>79.8</v>
      </c>
      <c r="AV25" t="s">
        <v>107</v>
      </c>
      <c r="AW25">
        <f t="shared" si="8"/>
        <v>-3.7</v>
      </c>
      <c r="AX25">
        <f t="shared" si="9"/>
        <v>0.9</v>
      </c>
      <c r="AY25">
        <f t="shared" si="10"/>
        <v>-6.8</v>
      </c>
      <c r="AZ25">
        <f t="shared" si="11"/>
        <v>86.7</v>
      </c>
      <c r="BA25" t="s">
        <v>107</v>
      </c>
      <c r="BB25">
        <f t="shared" si="12"/>
        <v>-3.2</v>
      </c>
      <c r="BC25">
        <f t="shared" si="13"/>
        <v>1.6</v>
      </c>
      <c r="BD25">
        <f t="shared" si="14"/>
        <v>-14.9</v>
      </c>
      <c r="BE25">
        <f t="shared" si="15"/>
        <v>65</v>
      </c>
      <c r="BF25" t="s">
        <v>107</v>
      </c>
      <c r="BG25">
        <f t="shared" si="16"/>
        <v>-4.2</v>
      </c>
      <c r="BH25">
        <f t="shared" si="17"/>
        <v>0.5</v>
      </c>
      <c r="BI25">
        <f t="shared" si="18"/>
        <v>0</v>
      </c>
      <c r="BJ25">
        <f t="shared" si="19"/>
        <v>0</v>
      </c>
      <c r="BK25">
        <f t="shared" si="20"/>
        <v>0.3600000000000001</v>
      </c>
      <c r="BL25">
        <f t="shared" si="21"/>
        <v>0</v>
      </c>
      <c r="BM25">
        <f t="shared" si="22"/>
        <v>0.23899999999999999</v>
      </c>
      <c r="BN25">
        <f t="shared" si="22"/>
        <v>0.129</v>
      </c>
    </row>
    <row r="26" spans="1:66" x14ac:dyDescent="0.25">
      <c r="A26">
        <v>2025</v>
      </c>
      <c r="B26" s="1">
        <f t="shared" si="23"/>
        <v>45678</v>
      </c>
      <c r="C26">
        <v>21</v>
      </c>
      <c r="D26">
        <v>70</v>
      </c>
      <c r="E26" s="6">
        <v>12.96</v>
      </c>
      <c r="F26" s="6">
        <v>-8.48</v>
      </c>
      <c r="G26" s="6">
        <v>-4.2279999999999998</v>
      </c>
      <c r="H26" s="6">
        <v>-11.46</v>
      </c>
      <c r="I26" s="6">
        <v>1.214</v>
      </c>
      <c r="J26" s="6">
        <v>-7.52</v>
      </c>
      <c r="K26" s="6">
        <v>82.9</v>
      </c>
      <c r="L26" s="6"/>
      <c r="M26" s="6">
        <v>-3.1440000000000001</v>
      </c>
      <c r="N26" s="6">
        <v>0.77200000000000002</v>
      </c>
      <c r="O26" s="6">
        <v>-3.2509999999999999</v>
      </c>
      <c r="P26" s="6">
        <v>90</v>
      </c>
      <c r="Q26" s="6"/>
      <c r="R26" s="6">
        <v>-2.5329999999999999</v>
      </c>
      <c r="S26" s="6">
        <v>1.3280000000000001</v>
      </c>
      <c r="T26" s="6">
        <v>-11.12</v>
      </c>
      <c r="U26" s="6">
        <v>72.8</v>
      </c>
      <c r="V26" s="6"/>
      <c r="W26" s="6">
        <v>-3.7320000000000002</v>
      </c>
      <c r="X26" s="6">
        <v>0.33500000000000002</v>
      </c>
      <c r="Y26" s="6">
        <v>1E-3</v>
      </c>
      <c r="Z26" s="6">
        <v>0.46</v>
      </c>
      <c r="AA26" s="6">
        <v>0</v>
      </c>
      <c r="AB26" s="6">
        <v>1.665</v>
      </c>
      <c r="AC26" s="6">
        <v>-4.0880000000000001</v>
      </c>
      <c r="AD26" s="6">
        <v>-11.28</v>
      </c>
      <c r="AE26" s="6">
        <v>8.9999999999999993E-3</v>
      </c>
      <c r="AF26" s="6">
        <v>6.0000000000000001E-3</v>
      </c>
      <c r="AG26" s="6">
        <v>1.6919999999999999</v>
      </c>
      <c r="AH26" s="6"/>
      <c r="AI26" s="6">
        <f t="shared" si="0"/>
        <v>0.375</v>
      </c>
      <c r="AJ26">
        <f t="shared" si="1"/>
        <v>1.9</v>
      </c>
      <c r="AK26" s="21">
        <f t="shared" si="24"/>
        <v>1.9</v>
      </c>
      <c r="AL26">
        <f t="shared" si="25"/>
        <v>26.699999999999996</v>
      </c>
      <c r="AM26" s="4">
        <v>6.06</v>
      </c>
      <c r="AN26">
        <v>1.21</v>
      </c>
      <c r="AP26" s="7">
        <f t="shared" si="3"/>
        <v>0.35</v>
      </c>
      <c r="AQ26" s="7">
        <f t="shared" si="4"/>
        <v>0.13100000000000001</v>
      </c>
      <c r="AS26">
        <f t="shared" si="5"/>
        <v>1.21</v>
      </c>
      <c r="AT26">
        <f t="shared" si="6"/>
        <v>-7.5</v>
      </c>
      <c r="AU26">
        <f t="shared" si="7"/>
        <v>82.9</v>
      </c>
      <c r="AV26" t="s">
        <v>107</v>
      </c>
      <c r="AW26">
        <f t="shared" si="8"/>
        <v>-3.1</v>
      </c>
      <c r="AX26">
        <f t="shared" si="9"/>
        <v>0.8</v>
      </c>
      <c r="AY26">
        <f t="shared" si="10"/>
        <v>-3.3</v>
      </c>
      <c r="AZ26">
        <f t="shared" si="11"/>
        <v>90</v>
      </c>
      <c r="BA26" t="s">
        <v>107</v>
      </c>
      <c r="BB26">
        <f t="shared" si="12"/>
        <v>-2.5</v>
      </c>
      <c r="BC26">
        <f t="shared" si="13"/>
        <v>1.3</v>
      </c>
      <c r="BD26">
        <f t="shared" si="14"/>
        <v>-11.1</v>
      </c>
      <c r="BE26">
        <f t="shared" si="15"/>
        <v>72.8</v>
      </c>
      <c r="BF26" t="s">
        <v>107</v>
      </c>
      <c r="BG26">
        <f t="shared" si="16"/>
        <v>-3.7</v>
      </c>
      <c r="BH26">
        <f t="shared" si="17"/>
        <v>0.3</v>
      </c>
      <c r="BI26">
        <f t="shared" si="18"/>
        <v>0</v>
      </c>
      <c r="BJ26">
        <f t="shared" si="19"/>
        <v>0.46</v>
      </c>
      <c r="BK26">
        <f t="shared" si="20"/>
        <v>0.375</v>
      </c>
      <c r="BL26">
        <f t="shared" si="21"/>
        <v>1.9</v>
      </c>
      <c r="BM26">
        <f t="shared" si="22"/>
        <v>0.35</v>
      </c>
      <c r="BN26">
        <f t="shared" si="22"/>
        <v>0.13100000000000001</v>
      </c>
    </row>
    <row r="27" spans="1:66" x14ac:dyDescent="0.25">
      <c r="A27">
        <v>2025</v>
      </c>
      <c r="B27" s="1">
        <f t="shared" si="23"/>
        <v>45679</v>
      </c>
      <c r="C27">
        <v>22</v>
      </c>
      <c r="D27">
        <v>70</v>
      </c>
      <c r="E27" s="6">
        <v>13.08</v>
      </c>
      <c r="F27" s="6">
        <v>-8.7899999999999991</v>
      </c>
      <c r="G27" s="6">
        <v>-2.1920000000000002</v>
      </c>
      <c r="H27" s="6">
        <v>-12.27</v>
      </c>
      <c r="I27" s="6">
        <v>3.3220000000000001</v>
      </c>
      <c r="J27" s="6">
        <v>-7.17</v>
      </c>
      <c r="K27" s="6">
        <v>81.5</v>
      </c>
      <c r="L27" s="6"/>
      <c r="M27" s="6">
        <v>-2.843</v>
      </c>
      <c r="N27" s="6">
        <v>0.72899999999999998</v>
      </c>
      <c r="O27" s="6">
        <v>-0.90700000000000003</v>
      </c>
      <c r="P27" s="6">
        <v>90.4</v>
      </c>
      <c r="Q27" s="6"/>
      <c r="R27" s="6">
        <v>-1.8009999999999999</v>
      </c>
      <c r="S27" s="6">
        <v>1.607</v>
      </c>
      <c r="T27" s="6">
        <v>-10.71</v>
      </c>
      <c r="U27" s="6">
        <v>56.05</v>
      </c>
      <c r="V27" s="6"/>
      <c r="W27" s="6">
        <v>-3.355</v>
      </c>
      <c r="X27" s="6">
        <v>0.314</v>
      </c>
      <c r="Y27" s="6">
        <v>0</v>
      </c>
      <c r="Z27" s="6">
        <v>0</v>
      </c>
      <c r="AA27" s="6">
        <v>0</v>
      </c>
      <c r="AB27" s="6">
        <v>1.679</v>
      </c>
      <c r="AC27" s="6">
        <v>-1.716</v>
      </c>
      <c r="AD27" s="6">
        <v>-12.14</v>
      </c>
      <c r="AE27" s="6">
        <v>8.9999999999999993E-3</v>
      </c>
      <c r="AF27" s="6">
        <v>6.0000000000000001E-3</v>
      </c>
      <c r="AG27" s="6">
        <v>1.7010000000000001</v>
      </c>
      <c r="AH27" s="6"/>
      <c r="AI27" s="6">
        <f t="shared" si="0"/>
        <v>0.36099999999999999</v>
      </c>
      <c r="AJ27">
        <f t="shared" si="1"/>
        <v>0</v>
      </c>
      <c r="AK27" s="21">
        <f t="shared" si="24"/>
        <v>0</v>
      </c>
      <c r="AL27">
        <f t="shared" si="25"/>
        <v>26.699999999999996</v>
      </c>
      <c r="AM27" s="4">
        <v>6.17</v>
      </c>
      <c r="AN27">
        <v>3.32</v>
      </c>
      <c r="AP27" s="7">
        <f t="shared" si="3"/>
        <v>0.32</v>
      </c>
      <c r="AQ27" s="7">
        <f t="shared" si="4"/>
        <v>0.251</v>
      </c>
      <c r="AS27">
        <f t="shared" si="5"/>
        <v>3.32</v>
      </c>
      <c r="AT27">
        <f t="shared" si="6"/>
        <v>-7.2</v>
      </c>
      <c r="AU27">
        <f t="shared" si="7"/>
        <v>81.5</v>
      </c>
      <c r="AV27" t="s">
        <v>107</v>
      </c>
      <c r="AW27">
        <f t="shared" si="8"/>
        <v>-2.8</v>
      </c>
      <c r="AX27">
        <f t="shared" si="9"/>
        <v>0.7</v>
      </c>
      <c r="AY27">
        <f t="shared" si="10"/>
        <v>-0.9</v>
      </c>
      <c r="AZ27">
        <f t="shared" si="11"/>
        <v>90.4</v>
      </c>
      <c r="BA27" t="s">
        <v>107</v>
      </c>
      <c r="BB27">
        <f t="shared" si="12"/>
        <v>-1.8</v>
      </c>
      <c r="BC27">
        <f t="shared" si="13"/>
        <v>1.6</v>
      </c>
      <c r="BD27">
        <f t="shared" si="14"/>
        <v>-10.7</v>
      </c>
      <c r="BE27">
        <f t="shared" si="15"/>
        <v>56.1</v>
      </c>
      <c r="BF27" t="s">
        <v>107</v>
      </c>
      <c r="BG27">
        <f t="shared" si="16"/>
        <v>-3.4</v>
      </c>
      <c r="BH27">
        <f t="shared" si="17"/>
        <v>0.3</v>
      </c>
      <c r="BI27">
        <f t="shared" si="18"/>
        <v>0</v>
      </c>
      <c r="BJ27">
        <f t="shared" si="19"/>
        <v>0</v>
      </c>
      <c r="BK27">
        <f t="shared" si="20"/>
        <v>0.36099999999999999</v>
      </c>
      <c r="BL27">
        <f t="shared" si="21"/>
        <v>0</v>
      </c>
      <c r="BM27">
        <f t="shared" si="22"/>
        <v>0.32</v>
      </c>
      <c r="BN27">
        <f t="shared" si="22"/>
        <v>0.251</v>
      </c>
    </row>
    <row r="28" spans="1:66" x14ac:dyDescent="0.25">
      <c r="A28">
        <v>2025</v>
      </c>
      <c r="B28" s="1">
        <f t="shared" si="23"/>
        <v>45680</v>
      </c>
      <c r="C28">
        <v>23</v>
      </c>
      <c r="D28">
        <v>70</v>
      </c>
      <c r="E28" s="6">
        <v>12.94</v>
      </c>
      <c r="F28" s="6">
        <v>-6.8879999999999999</v>
      </c>
      <c r="G28" s="6">
        <v>-4.4909999999999997</v>
      </c>
      <c r="H28" s="6">
        <v>-9.83</v>
      </c>
      <c r="I28" s="6">
        <v>0.80200000000000005</v>
      </c>
      <c r="J28" s="6">
        <v>-5.79</v>
      </c>
      <c r="K28" s="6">
        <v>83</v>
      </c>
      <c r="L28" s="6"/>
      <c r="M28" s="6">
        <v>-2.5499999999999998</v>
      </c>
      <c r="N28" s="6">
        <v>0.69499999999999995</v>
      </c>
      <c r="O28" s="6">
        <v>-3.1840000000000002</v>
      </c>
      <c r="P28" s="6">
        <v>90.5</v>
      </c>
      <c r="Q28" s="6"/>
      <c r="R28" s="6">
        <v>-2.1360000000000001</v>
      </c>
      <c r="S28" s="6">
        <v>1.014</v>
      </c>
      <c r="T28" s="6">
        <v>-8.5</v>
      </c>
      <c r="U28" s="6">
        <v>72.2</v>
      </c>
      <c r="V28" s="6"/>
      <c r="W28" s="6">
        <v>-2.8679999999999999</v>
      </c>
      <c r="X28" s="6">
        <v>0.38900000000000001</v>
      </c>
      <c r="Y28" s="6">
        <v>1E-3</v>
      </c>
      <c r="Z28" s="6">
        <v>0.76700000000000002</v>
      </c>
      <c r="AA28" s="6">
        <v>0</v>
      </c>
      <c r="AB28" s="6">
        <v>1.6439999999999999</v>
      </c>
      <c r="AC28" s="6">
        <v>-4.3970000000000002</v>
      </c>
      <c r="AD28" s="6">
        <v>-9.58</v>
      </c>
      <c r="AE28" s="6">
        <v>8.9999999999999993E-3</v>
      </c>
      <c r="AF28" s="6">
        <v>6.0000000000000001E-3</v>
      </c>
      <c r="AG28" s="6">
        <v>1.667</v>
      </c>
      <c r="AH28" s="6"/>
      <c r="AI28" s="6">
        <f t="shared" si="0"/>
        <v>0.39600000000000013</v>
      </c>
      <c r="AJ28">
        <f t="shared" si="1"/>
        <v>4.5999999999999996</v>
      </c>
      <c r="AK28" s="21">
        <f t="shared" si="24"/>
        <v>4.5999999999999996</v>
      </c>
      <c r="AL28">
        <f t="shared" si="25"/>
        <v>31.299999999999997</v>
      </c>
      <c r="AM28" s="4">
        <v>6.28</v>
      </c>
      <c r="AN28">
        <v>0.8</v>
      </c>
      <c r="AP28" s="7">
        <f t="shared" si="3"/>
        <v>0.34799999999999998</v>
      </c>
      <c r="AQ28" s="7">
        <f t="shared" si="4"/>
        <v>0.13400000000000001</v>
      </c>
      <c r="AS28">
        <f t="shared" si="5"/>
        <v>0.8</v>
      </c>
      <c r="AT28">
        <f t="shared" si="6"/>
        <v>-5.8</v>
      </c>
      <c r="AU28">
        <f t="shared" si="7"/>
        <v>83</v>
      </c>
      <c r="AV28" t="s">
        <v>107</v>
      </c>
      <c r="AW28">
        <f t="shared" si="8"/>
        <v>-2.6</v>
      </c>
      <c r="AX28">
        <f t="shared" si="9"/>
        <v>0.7</v>
      </c>
      <c r="AY28">
        <f t="shared" si="10"/>
        <v>-3.2</v>
      </c>
      <c r="AZ28">
        <f t="shared" si="11"/>
        <v>90.5</v>
      </c>
      <c r="BA28" t="s">
        <v>107</v>
      </c>
      <c r="BB28">
        <f t="shared" si="12"/>
        <v>-2.1</v>
      </c>
      <c r="BC28">
        <f t="shared" si="13"/>
        <v>1</v>
      </c>
      <c r="BD28">
        <f t="shared" si="14"/>
        <v>-8.5</v>
      </c>
      <c r="BE28">
        <f t="shared" si="15"/>
        <v>72.2</v>
      </c>
      <c r="BF28" t="s">
        <v>107</v>
      </c>
      <c r="BG28">
        <f t="shared" si="16"/>
        <v>-2.9</v>
      </c>
      <c r="BH28">
        <f t="shared" si="17"/>
        <v>0.4</v>
      </c>
      <c r="BI28">
        <f t="shared" si="18"/>
        <v>0</v>
      </c>
      <c r="BJ28">
        <f t="shared" si="19"/>
        <v>0.77</v>
      </c>
      <c r="BK28">
        <f t="shared" si="20"/>
        <v>0.39600000000000013</v>
      </c>
      <c r="BL28">
        <f t="shared" si="21"/>
        <v>4.5999999999999996</v>
      </c>
      <c r="BM28">
        <f t="shared" si="22"/>
        <v>0.34799999999999998</v>
      </c>
      <c r="BN28">
        <f t="shared" si="22"/>
        <v>0.13400000000000001</v>
      </c>
    </row>
    <row r="29" spans="1:66" x14ac:dyDescent="0.25">
      <c r="A29">
        <v>2025</v>
      </c>
      <c r="B29" s="1">
        <f t="shared" si="23"/>
        <v>45681</v>
      </c>
      <c r="C29">
        <v>24</v>
      </c>
      <c r="D29">
        <v>70</v>
      </c>
      <c r="E29" s="6">
        <v>13.03</v>
      </c>
      <c r="F29" s="6">
        <v>-8.91</v>
      </c>
      <c r="G29" s="6">
        <v>-4.6870000000000003</v>
      </c>
      <c r="H29" s="6">
        <v>-12.66</v>
      </c>
      <c r="I29" s="6">
        <v>1.4239999999999999</v>
      </c>
      <c r="J29" s="6">
        <v>-7.4</v>
      </c>
      <c r="K29" s="6">
        <v>81.900000000000006</v>
      </c>
      <c r="L29" s="6"/>
      <c r="M29" s="6">
        <v>-2.637</v>
      </c>
      <c r="N29" s="6">
        <v>0.65900000000000003</v>
      </c>
      <c r="O29" s="6">
        <v>-2.5110000000000001</v>
      </c>
      <c r="P29" s="6">
        <v>91.4</v>
      </c>
      <c r="Q29" s="6"/>
      <c r="R29" s="6">
        <v>-2.081</v>
      </c>
      <c r="S29" s="6">
        <v>1.214</v>
      </c>
      <c r="T29" s="6">
        <v>-11.24</v>
      </c>
      <c r="U29" s="6">
        <v>61.85</v>
      </c>
      <c r="V29" s="6"/>
      <c r="W29" s="6">
        <v>-3.0640000000000001</v>
      </c>
      <c r="X29" s="6">
        <v>0.31900000000000001</v>
      </c>
      <c r="Y29" s="6">
        <v>1E-3</v>
      </c>
      <c r="Z29" s="6">
        <v>0.51400000000000001</v>
      </c>
      <c r="AA29" s="6">
        <v>0</v>
      </c>
      <c r="AB29" s="6">
        <v>1.653</v>
      </c>
      <c r="AC29" s="6">
        <v>-4.46</v>
      </c>
      <c r="AD29" s="6">
        <v>-12.51</v>
      </c>
      <c r="AE29" s="6">
        <v>8.9999999999999993E-3</v>
      </c>
      <c r="AF29" s="6">
        <v>6.0000000000000001E-3</v>
      </c>
      <c r="AG29" s="6">
        <v>1.6870000000000001</v>
      </c>
      <c r="AH29" s="6"/>
      <c r="AI29" s="6">
        <f t="shared" si="0"/>
        <v>0.38700000000000001</v>
      </c>
      <c r="AJ29">
        <f t="shared" si="1"/>
        <v>0</v>
      </c>
      <c r="AK29" s="21">
        <f t="shared" si="24"/>
        <v>0</v>
      </c>
      <c r="AL29">
        <f t="shared" si="25"/>
        <v>31.299999999999997</v>
      </c>
      <c r="AM29" s="4">
        <v>6.4</v>
      </c>
      <c r="AN29">
        <v>1.42</v>
      </c>
      <c r="AP29" s="7">
        <f t="shared" si="3"/>
        <v>0.314</v>
      </c>
      <c r="AQ29" s="7">
        <f t="shared" si="4"/>
        <v>0.19400000000000001</v>
      </c>
      <c r="AS29">
        <f t="shared" si="5"/>
        <v>1.42</v>
      </c>
      <c r="AT29">
        <f t="shared" si="6"/>
        <v>-7.4</v>
      </c>
      <c r="AU29">
        <f t="shared" si="7"/>
        <v>81.900000000000006</v>
      </c>
      <c r="AV29" t="s">
        <v>107</v>
      </c>
      <c r="AW29">
        <f t="shared" si="8"/>
        <v>-2.6</v>
      </c>
      <c r="AX29">
        <f t="shared" si="9"/>
        <v>0.7</v>
      </c>
      <c r="AY29">
        <f t="shared" si="10"/>
        <v>-2.5</v>
      </c>
      <c r="AZ29">
        <f t="shared" si="11"/>
        <v>91.4</v>
      </c>
      <c r="BA29" t="s">
        <v>107</v>
      </c>
      <c r="BB29">
        <f t="shared" si="12"/>
        <v>-2.1</v>
      </c>
      <c r="BC29">
        <f t="shared" si="13"/>
        <v>1.2</v>
      </c>
      <c r="BD29">
        <f t="shared" si="14"/>
        <v>-11.2</v>
      </c>
      <c r="BE29">
        <f t="shared" si="15"/>
        <v>61.9</v>
      </c>
      <c r="BF29" t="s">
        <v>107</v>
      </c>
      <c r="BG29">
        <f t="shared" si="16"/>
        <v>-3.1</v>
      </c>
      <c r="BH29">
        <f t="shared" si="17"/>
        <v>0.3</v>
      </c>
      <c r="BI29">
        <f t="shared" si="18"/>
        <v>0</v>
      </c>
      <c r="BJ29">
        <f t="shared" si="19"/>
        <v>0.51</v>
      </c>
      <c r="BK29">
        <f t="shared" si="20"/>
        <v>0.38700000000000001</v>
      </c>
      <c r="BL29">
        <f t="shared" si="21"/>
        <v>0</v>
      </c>
      <c r="BM29">
        <f t="shared" si="22"/>
        <v>0.314</v>
      </c>
      <c r="BN29">
        <f t="shared" si="22"/>
        <v>0.19400000000000001</v>
      </c>
    </row>
    <row r="30" spans="1:66" x14ac:dyDescent="0.25">
      <c r="A30">
        <v>2025</v>
      </c>
      <c r="B30" s="1">
        <f t="shared" si="23"/>
        <v>45682</v>
      </c>
      <c r="C30">
        <v>25</v>
      </c>
      <c r="D30">
        <v>70</v>
      </c>
      <c r="E30" s="6">
        <v>12.96</v>
      </c>
      <c r="F30" s="6">
        <v>-9.58</v>
      </c>
      <c r="G30" s="6">
        <v>-5.4219999999999997</v>
      </c>
      <c r="H30" s="6">
        <v>-13.37</v>
      </c>
      <c r="I30" s="6">
        <v>1.5820000000000001</v>
      </c>
      <c r="J30" s="6">
        <v>-8.3699999999999992</v>
      </c>
      <c r="K30" s="6">
        <v>83.5</v>
      </c>
      <c r="L30" s="6"/>
      <c r="M30" s="6">
        <v>-2.8860000000000001</v>
      </c>
      <c r="N30" s="6">
        <v>0.71899999999999997</v>
      </c>
      <c r="O30" s="6">
        <v>-4.4619999999999997</v>
      </c>
      <c r="P30" s="6">
        <v>88.6</v>
      </c>
      <c r="Q30" s="6"/>
      <c r="R30" s="6">
        <v>-2.4830000000000001</v>
      </c>
      <c r="S30" s="6">
        <v>1.117</v>
      </c>
      <c r="T30" s="6">
        <v>-11.98</v>
      </c>
      <c r="U30" s="6">
        <v>67.17</v>
      </c>
      <c r="V30" s="6"/>
      <c r="W30" s="6">
        <v>-3.4279999999999999</v>
      </c>
      <c r="X30" s="6">
        <v>0.28299999999999997</v>
      </c>
      <c r="Y30" s="6">
        <v>0</v>
      </c>
      <c r="Z30" s="6">
        <v>0</v>
      </c>
      <c r="AA30" s="6">
        <v>0</v>
      </c>
      <c r="AB30" s="6">
        <v>1.6579999999999999</v>
      </c>
      <c r="AC30" s="6">
        <v>-5.3630000000000004</v>
      </c>
      <c r="AD30" s="6">
        <v>-13.28</v>
      </c>
      <c r="AE30" s="6">
        <v>8.9999999999999993E-3</v>
      </c>
      <c r="AF30" s="6">
        <v>6.0000000000000001E-3</v>
      </c>
      <c r="AG30" s="6">
        <v>1.6819999999999999</v>
      </c>
      <c r="AH30" s="6"/>
      <c r="AI30" s="6">
        <f t="shared" si="0"/>
        <v>0.38200000000000012</v>
      </c>
      <c r="AJ30">
        <f t="shared" si="1"/>
        <v>0</v>
      </c>
      <c r="AK30" s="21">
        <f t="shared" si="24"/>
        <v>0</v>
      </c>
      <c r="AL30">
        <f t="shared" si="25"/>
        <v>31.299999999999997</v>
      </c>
      <c r="AM30" s="4">
        <v>6.52</v>
      </c>
      <c r="AN30">
        <v>1.58</v>
      </c>
      <c r="AP30" s="7">
        <f t="shared" si="3"/>
        <v>0.29499999999999998</v>
      </c>
      <c r="AQ30" s="7">
        <f t="shared" si="4"/>
        <v>0.14399999999999999</v>
      </c>
      <c r="AS30">
        <f t="shared" si="5"/>
        <v>1.58</v>
      </c>
      <c r="AT30">
        <f t="shared" si="6"/>
        <v>-8.4</v>
      </c>
      <c r="AU30">
        <f t="shared" si="7"/>
        <v>83.5</v>
      </c>
      <c r="AV30" t="s">
        <v>107</v>
      </c>
      <c r="AW30">
        <f t="shared" si="8"/>
        <v>-2.9</v>
      </c>
      <c r="AX30">
        <f t="shared" si="9"/>
        <v>0.7</v>
      </c>
      <c r="AY30">
        <f t="shared" si="10"/>
        <v>-4.5</v>
      </c>
      <c r="AZ30">
        <f t="shared" si="11"/>
        <v>88.6</v>
      </c>
      <c r="BA30" t="s">
        <v>107</v>
      </c>
      <c r="BB30">
        <f t="shared" si="12"/>
        <v>-2.5</v>
      </c>
      <c r="BC30">
        <f t="shared" si="13"/>
        <v>1.1000000000000001</v>
      </c>
      <c r="BD30">
        <f t="shared" si="14"/>
        <v>-12</v>
      </c>
      <c r="BE30">
        <f t="shared" si="15"/>
        <v>67.2</v>
      </c>
      <c r="BF30" t="s">
        <v>107</v>
      </c>
      <c r="BG30">
        <f t="shared" si="16"/>
        <v>-3.4</v>
      </c>
      <c r="BH30">
        <f t="shared" si="17"/>
        <v>0.3</v>
      </c>
      <c r="BI30">
        <f t="shared" si="18"/>
        <v>0</v>
      </c>
      <c r="BJ30">
        <f t="shared" si="19"/>
        <v>0</v>
      </c>
      <c r="BK30">
        <f t="shared" si="20"/>
        <v>0.38200000000000012</v>
      </c>
      <c r="BL30">
        <f t="shared" si="21"/>
        <v>0</v>
      </c>
      <c r="BM30">
        <f t="shared" si="22"/>
        <v>0.29499999999999998</v>
      </c>
      <c r="BN30">
        <f t="shared" si="22"/>
        <v>0.14399999999999999</v>
      </c>
    </row>
    <row r="31" spans="1:66" x14ac:dyDescent="0.25">
      <c r="A31">
        <v>2025</v>
      </c>
      <c r="B31" s="1">
        <f t="shared" si="23"/>
        <v>45683</v>
      </c>
      <c r="C31">
        <v>26</v>
      </c>
      <c r="D31">
        <v>70</v>
      </c>
      <c r="E31" s="6">
        <v>13.07</v>
      </c>
      <c r="F31" s="6">
        <v>-9.4</v>
      </c>
      <c r="G31" s="6">
        <v>-1.276</v>
      </c>
      <c r="H31" s="6">
        <v>-12.87</v>
      </c>
      <c r="I31" s="6">
        <v>3.411</v>
      </c>
      <c r="J31" s="6">
        <v>-8.1199999999999992</v>
      </c>
      <c r="K31" s="6">
        <v>83.5</v>
      </c>
      <c r="L31" s="6"/>
      <c r="M31" s="6">
        <v>-2.89</v>
      </c>
      <c r="N31" s="6">
        <v>0.61099999999999999</v>
      </c>
      <c r="O31" s="6">
        <v>-1.375</v>
      </c>
      <c r="P31" s="6">
        <v>90.2</v>
      </c>
      <c r="Q31" s="6"/>
      <c r="R31" s="6">
        <v>-1.7390000000000001</v>
      </c>
      <c r="S31" s="6">
        <v>1.613</v>
      </c>
      <c r="T31" s="6">
        <v>-11.45</v>
      </c>
      <c r="U31" s="6">
        <v>59.35</v>
      </c>
      <c r="V31" s="6"/>
      <c r="W31" s="6">
        <v>-3.3639999999999999</v>
      </c>
      <c r="X31" s="6">
        <v>1.2E-2</v>
      </c>
      <c r="Y31" s="6">
        <v>2E-3</v>
      </c>
      <c r="Z31" s="6">
        <v>0.55400000000000005</v>
      </c>
      <c r="AA31" s="6">
        <v>0</v>
      </c>
      <c r="AB31" s="6">
        <v>1.6619999999999999</v>
      </c>
      <c r="AC31" s="6">
        <v>-0.70099999999999996</v>
      </c>
      <c r="AD31" s="6">
        <v>-12.72</v>
      </c>
      <c r="AE31" s="6">
        <v>8.9999999999999993E-3</v>
      </c>
      <c r="AF31" s="6">
        <v>6.0000000000000001E-3</v>
      </c>
      <c r="AG31" s="6">
        <v>1.6919999999999999</v>
      </c>
      <c r="AH31" s="6"/>
      <c r="AI31" s="6">
        <f t="shared" si="0"/>
        <v>0.37800000000000011</v>
      </c>
      <c r="AJ31">
        <f t="shared" si="1"/>
        <v>0</v>
      </c>
      <c r="AK31" s="21">
        <f t="shared" si="24"/>
        <v>0</v>
      </c>
      <c r="AL31">
        <f t="shared" si="25"/>
        <v>31.299999999999997</v>
      </c>
      <c r="AM31" s="4">
        <v>6.65</v>
      </c>
      <c r="AN31">
        <v>3.41</v>
      </c>
      <c r="AP31" s="7">
        <f t="shared" si="3"/>
        <v>0.32800000000000001</v>
      </c>
      <c r="AQ31" s="7">
        <f t="shared" si="4"/>
        <v>0.22500000000000001</v>
      </c>
      <c r="AS31">
        <f t="shared" si="5"/>
        <v>3.41</v>
      </c>
      <c r="AT31">
        <f t="shared" si="6"/>
        <v>-8.1</v>
      </c>
      <c r="AU31">
        <f t="shared" si="7"/>
        <v>83.5</v>
      </c>
      <c r="AV31" t="s">
        <v>107</v>
      </c>
      <c r="AW31">
        <f t="shared" si="8"/>
        <v>-2.9</v>
      </c>
      <c r="AX31">
        <f t="shared" si="9"/>
        <v>0.6</v>
      </c>
      <c r="AY31">
        <f t="shared" si="10"/>
        <v>-1.4</v>
      </c>
      <c r="AZ31">
        <f t="shared" si="11"/>
        <v>90.2</v>
      </c>
      <c r="BA31" t="s">
        <v>107</v>
      </c>
      <c r="BB31">
        <f t="shared" si="12"/>
        <v>-1.7</v>
      </c>
      <c r="BC31">
        <f t="shared" si="13"/>
        <v>1.6</v>
      </c>
      <c r="BD31">
        <f t="shared" si="14"/>
        <v>-11.5</v>
      </c>
      <c r="BE31">
        <f t="shared" si="15"/>
        <v>59.4</v>
      </c>
      <c r="BF31" t="s">
        <v>107</v>
      </c>
      <c r="BG31">
        <f t="shared" si="16"/>
        <v>-3.4</v>
      </c>
      <c r="BH31">
        <f t="shared" si="17"/>
        <v>0</v>
      </c>
      <c r="BI31">
        <f t="shared" si="18"/>
        <v>0</v>
      </c>
      <c r="BJ31">
        <f t="shared" si="19"/>
        <v>0.55000000000000004</v>
      </c>
      <c r="BK31">
        <f t="shared" si="20"/>
        <v>0.37800000000000011</v>
      </c>
      <c r="BL31">
        <f t="shared" si="21"/>
        <v>0</v>
      </c>
      <c r="BM31">
        <f t="shared" si="22"/>
        <v>0.32800000000000001</v>
      </c>
      <c r="BN31">
        <f t="shared" si="22"/>
        <v>0.22500000000000001</v>
      </c>
    </row>
    <row r="32" spans="1:66" x14ac:dyDescent="0.25">
      <c r="A32">
        <v>2025</v>
      </c>
      <c r="B32" s="1">
        <f t="shared" si="23"/>
        <v>45684</v>
      </c>
      <c r="C32">
        <v>27</v>
      </c>
      <c r="D32">
        <v>70</v>
      </c>
      <c r="E32" s="6">
        <v>13.07</v>
      </c>
      <c r="F32" s="6">
        <v>-8.5299999999999994</v>
      </c>
      <c r="G32" s="6">
        <v>0.33200000000000002</v>
      </c>
      <c r="H32" s="6">
        <v>-12.81</v>
      </c>
      <c r="I32" s="6">
        <v>4.0389999999999997</v>
      </c>
      <c r="J32" s="6">
        <v>-6.6479999999999997</v>
      </c>
      <c r="K32" s="6">
        <v>81.099999999999994</v>
      </c>
      <c r="L32" s="6"/>
      <c r="M32" s="6">
        <v>-2.891</v>
      </c>
      <c r="N32" s="6">
        <v>0.61799999999999999</v>
      </c>
      <c r="O32" s="6">
        <v>0.499</v>
      </c>
      <c r="P32" s="6">
        <v>89.6</v>
      </c>
      <c r="Q32" s="6"/>
      <c r="R32" s="6">
        <v>-1.3580000000000001</v>
      </c>
      <c r="S32" s="6">
        <v>1.9670000000000001</v>
      </c>
      <c r="T32" s="6">
        <v>-11.18</v>
      </c>
      <c r="U32" s="6">
        <v>56.03</v>
      </c>
      <c r="V32" s="6"/>
      <c r="W32" s="6">
        <v>-3.5350000000000001</v>
      </c>
      <c r="X32" s="6">
        <v>-6.3E-2</v>
      </c>
      <c r="Y32" s="6">
        <v>4.2000000000000003E-2</v>
      </c>
      <c r="Z32" s="6">
        <v>1.1539999999999999</v>
      </c>
      <c r="AA32" s="6">
        <v>0</v>
      </c>
      <c r="AB32" s="6">
        <v>1.68</v>
      </c>
      <c r="AC32" s="6">
        <v>1.054</v>
      </c>
      <c r="AD32" s="6">
        <v>-12.65</v>
      </c>
      <c r="AE32" s="6">
        <v>8.9999999999999993E-3</v>
      </c>
      <c r="AF32" s="6">
        <v>6.0000000000000001E-3</v>
      </c>
      <c r="AG32" s="6">
        <v>1.7010000000000001</v>
      </c>
      <c r="AH32" s="6"/>
      <c r="AI32" s="6">
        <f t="shared" si="0"/>
        <v>0.3600000000000001</v>
      </c>
      <c r="AJ32">
        <f t="shared" si="1"/>
        <v>0</v>
      </c>
      <c r="AK32" s="21">
        <f t="shared" si="24"/>
        <v>0</v>
      </c>
      <c r="AL32">
        <f t="shared" si="25"/>
        <v>31.299999999999997</v>
      </c>
      <c r="AM32" s="4">
        <v>6.78</v>
      </c>
      <c r="AN32">
        <v>4.04</v>
      </c>
      <c r="AP32" s="7">
        <f t="shared" si="3"/>
        <v>0.35499999999999998</v>
      </c>
      <c r="AQ32" s="7">
        <f t="shared" si="4"/>
        <v>0.27900000000000003</v>
      </c>
      <c r="AS32">
        <f t="shared" si="5"/>
        <v>4.04</v>
      </c>
      <c r="AT32">
        <f t="shared" si="6"/>
        <v>-6.6</v>
      </c>
      <c r="AU32">
        <f t="shared" si="7"/>
        <v>81.099999999999994</v>
      </c>
      <c r="AV32" t="s">
        <v>107</v>
      </c>
      <c r="AW32">
        <f t="shared" si="8"/>
        <v>-2.9</v>
      </c>
      <c r="AX32">
        <f t="shared" si="9"/>
        <v>0.6</v>
      </c>
      <c r="AY32">
        <f t="shared" si="10"/>
        <v>0.5</v>
      </c>
      <c r="AZ32">
        <f t="shared" si="11"/>
        <v>89.6</v>
      </c>
      <c r="BA32" t="s">
        <v>107</v>
      </c>
      <c r="BB32">
        <f t="shared" si="12"/>
        <v>-1.4</v>
      </c>
      <c r="BC32">
        <f t="shared" si="13"/>
        <v>2</v>
      </c>
      <c r="BD32">
        <f t="shared" si="14"/>
        <v>-11.2</v>
      </c>
      <c r="BE32">
        <f t="shared" si="15"/>
        <v>56</v>
      </c>
      <c r="BF32" t="s">
        <v>107</v>
      </c>
      <c r="BG32">
        <f t="shared" si="16"/>
        <v>-3.5</v>
      </c>
      <c r="BH32">
        <f t="shared" si="17"/>
        <v>-0.1</v>
      </c>
      <c r="BI32">
        <f t="shared" si="18"/>
        <v>0.04</v>
      </c>
      <c r="BJ32">
        <f t="shared" si="19"/>
        <v>1.1499999999999999</v>
      </c>
      <c r="BK32">
        <f t="shared" si="20"/>
        <v>0.3600000000000001</v>
      </c>
      <c r="BL32">
        <f t="shared" si="21"/>
        <v>0</v>
      </c>
      <c r="BM32">
        <f t="shared" si="22"/>
        <v>0.35499999999999998</v>
      </c>
      <c r="BN32">
        <f t="shared" si="22"/>
        <v>0.27900000000000003</v>
      </c>
    </row>
    <row r="33" spans="1:66" x14ac:dyDescent="0.25">
      <c r="A33">
        <v>2025</v>
      </c>
      <c r="B33" s="1">
        <f t="shared" si="23"/>
        <v>45685</v>
      </c>
      <c r="C33">
        <v>28</v>
      </c>
      <c r="D33">
        <v>70</v>
      </c>
      <c r="E33" s="6">
        <v>13.09</v>
      </c>
      <c r="F33" s="6">
        <v>-6.2380000000000004</v>
      </c>
      <c r="G33" s="6">
        <v>1.391</v>
      </c>
      <c r="H33" s="6">
        <v>-9.4700000000000006</v>
      </c>
      <c r="I33" s="6">
        <v>4.1319999999999997</v>
      </c>
      <c r="J33" s="6">
        <v>-4.3819999999999997</v>
      </c>
      <c r="K33" s="6">
        <v>77.599999999999994</v>
      </c>
      <c r="L33" s="6"/>
      <c r="M33" s="6">
        <v>-2.5030000000000001</v>
      </c>
      <c r="N33" s="6">
        <v>0.56499999999999995</v>
      </c>
      <c r="O33" s="6">
        <v>2.391</v>
      </c>
      <c r="P33" s="6">
        <v>88.2</v>
      </c>
      <c r="Q33" s="6"/>
      <c r="R33" s="6">
        <v>-1.123</v>
      </c>
      <c r="S33" s="6">
        <v>1.67</v>
      </c>
      <c r="T33" s="6">
        <v>-7.89</v>
      </c>
      <c r="U33" s="6">
        <v>50.33</v>
      </c>
      <c r="V33" s="6"/>
      <c r="W33" s="6">
        <v>-3.101</v>
      </c>
      <c r="X33" s="6">
        <v>0.151</v>
      </c>
      <c r="Y33" s="6">
        <v>0.112</v>
      </c>
      <c r="Z33" s="6">
        <v>1.4470000000000001</v>
      </c>
      <c r="AA33" s="6">
        <v>0</v>
      </c>
      <c r="AB33" s="6">
        <v>1.6639999999999999</v>
      </c>
      <c r="AC33" s="6">
        <v>2.1749999999999998</v>
      </c>
      <c r="AD33" s="6">
        <v>-9.32</v>
      </c>
      <c r="AE33" s="6">
        <v>8.9999999999999993E-3</v>
      </c>
      <c r="AF33" s="6">
        <v>6.0000000000000001E-3</v>
      </c>
      <c r="AG33" s="6">
        <v>1.68</v>
      </c>
      <c r="AH33" s="6"/>
      <c r="AI33" s="6">
        <f t="shared" si="0"/>
        <v>0.37600000000000011</v>
      </c>
      <c r="AJ33">
        <f t="shared" si="1"/>
        <v>2.1</v>
      </c>
      <c r="AK33" s="21">
        <f t="shared" si="24"/>
        <v>2.1</v>
      </c>
      <c r="AL33">
        <f t="shared" si="25"/>
        <v>33.4</v>
      </c>
      <c r="AM33" s="4">
        <v>6.91</v>
      </c>
      <c r="AN33">
        <v>4.13</v>
      </c>
      <c r="AP33" s="7">
        <f t="shared" si="3"/>
        <v>0.36499999999999999</v>
      </c>
      <c r="AQ33" s="7">
        <f t="shared" si="4"/>
        <v>0.36</v>
      </c>
      <c r="AS33">
        <f t="shared" si="5"/>
        <v>4.13</v>
      </c>
      <c r="AT33">
        <f t="shared" si="6"/>
        <v>-4.4000000000000004</v>
      </c>
      <c r="AU33">
        <f t="shared" si="7"/>
        <v>77.599999999999994</v>
      </c>
      <c r="AV33" t="s">
        <v>107</v>
      </c>
      <c r="AW33">
        <f t="shared" si="8"/>
        <v>-2.5</v>
      </c>
      <c r="AX33">
        <f t="shared" si="9"/>
        <v>0.6</v>
      </c>
      <c r="AY33">
        <f t="shared" si="10"/>
        <v>2.4</v>
      </c>
      <c r="AZ33">
        <f t="shared" si="11"/>
        <v>88.2</v>
      </c>
      <c r="BA33" t="s">
        <v>107</v>
      </c>
      <c r="BB33">
        <f t="shared" si="12"/>
        <v>-1.1000000000000001</v>
      </c>
      <c r="BC33">
        <f t="shared" si="13"/>
        <v>1.7</v>
      </c>
      <c r="BD33">
        <f t="shared" si="14"/>
        <v>-7.9</v>
      </c>
      <c r="BE33">
        <f t="shared" si="15"/>
        <v>50.3</v>
      </c>
      <c r="BF33" t="s">
        <v>107</v>
      </c>
      <c r="BG33">
        <f t="shared" si="16"/>
        <v>-3.1</v>
      </c>
      <c r="BH33">
        <f t="shared" si="17"/>
        <v>0.2</v>
      </c>
      <c r="BI33">
        <f t="shared" si="18"/>
        <v>0.11</v>
      </c>
      <c r="BJ33">
        <f t="shared" si="19"/>
        <v>1.45</v>
      </c>
      <c r="BK33">
        <f t="shared" si="20"/>
        <v>0.37600000000000011</v>
      </c>
      <c r="BL33">
        <f t="shared" si="21"/>
        <v>2.1</v>
      </c>
      <c r="BM33">
        <f t="shared" si="22"/>
        <v>0.36499999999999999</v>
      </c>
      <c r="BN33">
        <f t="shared" si="22"/>
        <v>0.36</v>
      </c>
    </row>
    <row r="34" spans="1:66" x14ac:dyDescent="0.25">
      <c r="A34">
        <v>2025</v>
      </c>
      <c r="B34" s="1">
        <f t="shared" si="23"/>
        <v>45686</v>
      </c>
      <c r="C34">
        <v>29</v>
      </c>
      <c r="D34">
        <v>70</v>
      </c>
      <c r="E34" s="6">
        <v>13.09</v>
      </c>
      <c r="F34" s="6">
        <v>-5.3419999999999996</v>
      </c>
      <c r="G34" s="6">
        <v>2.581</v>
      </c>
      <c r="H34" s="6">
        <v>-9.9700000000000006</v>
      </c>
      <c r="I34" s="6">
        <v>4.4989999999999997</v>
      </c>
      <c r="J34" s="6">
        <v>-3.3980000000000001</v>
      </c>
      <c r="K34" s="6">
        <v>67.87</v>
      </c>
      <c r="L34" s="6"/>
      <c r="M34" s="6">
        <v>-2.2029999999999998</v>
      </c>
      <c r="N34" s="6">
        <v>0.56999999999999995</v>
      </c>
      <c r="O34" s="6">
        <v>2.8580000000000001</v>
      </c>
      <c r="P34" s="6">
        <v>84.8</v>
      </c>
      <c r="Q34" s="6"/>
      <c r="R34" s="6">
        <v>-0.88500000000000001</v>
      </c>
      <c r="S34" s="6">
        <v>1.6970000000000001</v>
      </c>
      <c r="T34" s="6">
        <v>-8.6199999999999992</v>
      </c>
      <c r="U34" s="6">
        <v>42.19</v>
      </c>
      <c r="V34" s="6"/>
      <c r="W34" s="6">
        <v>-2.9129999999999998</v>
      </c>
      <c r="X34" s="6">
        <v>-0.13200000000000001</v>
      </c>
      <c r="Y34" s="6">
        <v>0.47</v>
      </c>
      <c r="Z34" s="6">
        <v>2.0739999999999998</v>
      </c>
      <c r="AA34" s="6">
        <v>0</v>
      </c>
      <c r="AB34" s="6">
        <v>1.663</v>
      </c>
      <c r="AC34" s="6">
        <v>3.3820000000000001</v>
      </c>
      <c r="AD34" s="6">
        <v>-9.85</v>
      </c>
      <c r="AE34" s="6">
        <v>8.9999999999999993E-3</v>
      </c>
      <c r="AF34" s="6">
        <v>6.0000000000000001E-3</v>
      </c>
      <c r="AG34" s="6">
        <v>1.663</v>
      </c>
      <c r="AH34" s="6"/>
      <c r="AI34" s="6">
        <f t="shared" si="0"/>
        <v>0.377</v>
      </c>
      <c r="AJ34">
        <f t="shared" si="1"/>
        <v>0.1</v>
      </c>
      <c r="AK34" s="21">
        <f t="shared" si="24"/>
        <v>0.1</v>
      </c>
      <c r="AL34">
        <f t="shared" si="25"/>
        <v>33.5</v>
      </c>
      <c r="AM34" s="4">
        <v>7.04</v>
      </c>
      <c r="AN34">
        <v>4.5</v>
      </c>
      <c r="AP34" s="7">
        <f t="shared" si="3"/>
        <v>0.316</v>
      </c>
      <c r="AQ34" s="7">
        <f t="shared" si="4"/>
        <v>0.433</v>
      </c>
      <c r="AS34">
        <f t="shared" si="5"/>
        <v>4.5</v>
      </c>
      <c r="AT34">
        <f t="shared" si="6"/>
        <v>-3.4</v>
      </c>
      <c r="AU34">
        <f t="shared" si="7"/>
        <v>67.900000000000006</v>
      </c>
      <c r="AV34" t="s">
        <v>107</v>
      </c>
      <c r="AW34">
        <f t="shared" si="8"/>
        <v>-2.2000000000000002</v>
      </c>
      <c r="AX34">
        <f t="shared" si="9"/>
        <v>0.6</v>
      </c>
      <c r="AY34">
        <f t="shared" si="10"/>
        <v>2.9</v>
      </c>
      <c r="AZ34">
        <f t="shared" si="11"/>
        <v>84.8</v>
      </c>
      <c r="BA34" t="s">
        <v>107</v>
      </c>
      <c r="BB34">
        <f t="shared" si="12"/>
        <v>-0.9</v>
      </c>
      <c r="BC34">
        <f t="shared" si="13"/>
        <v>1.7</v>
      </c>
      <c r="BD34">
        <f t="shared" si="14"/>
        <v>-8.6</v>
      </c>
      <c r="BE34">
        <f t="shared" si="15"/>
        <v>42.2</v>
      </c>
      <c r="BF34" t="s">
        <v>107</v>
      </c>
      <c r="BG34">
        <f t="shared" si="16"/>
        <v>-2.9</v>
      </c>
      <c r="BH34">
        <f t="shared" si="17"/>
        <v>-0.1</v>
      </c>
      <c r="BI34">
        <f t="shared" si="18"/>
        <v>0.47</v>
      </c>
      <c r="BJ34">
        <f t="shared" si="19"/>
        <v>2.0699999999999998</v>
      </c>
      <c r="BK34">
        <f t="shared" si="20"/>
        <v>0.377</v>
      </c>
      <c r="BL34">
        <f t="shared" si="21"/>
        <v>0.1</v>
      </c>
      <c r="BM34">
        <f t="shared" si="22"/>
        <v>0.316</v>
      </c>
      <c r="BN34">
        <f t="shared" si="22"/>
        <v>0.433</v>
      </c>
    </row>
    <row r="35" spans="1:66" x14ac:dyDescent="0.25">
      <c r="A35">
        <v>2025</v>
      </c>
      <c r="B35" s="1">
        <f t="shared" si="23"/>
        <v>45687</v>
      </c>
      <c r="C35">
        <v>30</v>
      </c>
      <c r="D35">
        <v>70</v>
      </c>
      <c r="E35" s="6">
        <v>12.98</v>
      </c>
      <c r="F35" s="6">
        <v>-1.522</v>
      </c>
      <c r="G35" s="6">
        <v>0.11</v>
      </c>
      <c r="H35" s="6">
        <v>-2.8010000000000002</v>
      </c>
      <c r="I35" s="6">
        <v>1.9059999999999999</v>
      </c>
      <c r="J35" s="6">
        <v>-0.495</v>
      </c>
      <c r="K35" s="6">
        <v>61.53</v>
      </c>
      <c r="L35" s="6"/>
      <c r="M35" s="6">
        <v>-1.25</v>
      </c>
      <c r="N35" s="6">
        <v>0.56799999999999995</v>
      </c>
      <c r="O35" s="6">
        <v>1.234</v>
      </c>
      <c r="P35" s="6">
        <v>90.4</v>
      </c>
      <c r="Q35" s="6"/>
      <c r="R35" s="6">
        <v>-0.90300000000000002</v>
      </c>
      <c r="S35" s="6">
        <v>0.69199999999999995</v>
      </c>
      <c r="T35" s="6">
        <v>-2.3210000000000002</v>
      </c>
      <c r="U35" s="6">
        <v>43.8</v>
      </c>
      <c r="V35" s="6"/>
      <c r="W35" s="6">
        <v>-1.6890000000000001</v>
      </c>
      <c r="X35" s="6">
        <v>0.40100000000000002</v>
      </c>
      <c r="Y35" s="6">
        <v>1.02</v>
      </c>
      <c r="Z35" s="6">
        <v>2.234</v>
      </c>
      <c r="AA35" s="6">
        <v>0</v>
      </c>
      <c r="AB35" s="6">
        <v>1.633</v>
      </c>
      <c r="AC35" s="6">
        <v>0.26600000000000001</v>
      </c>
      <c r="AD35" s="6">
        <v>-2.6520000000000001</v>
      </c>
      <c r="AE35" s="6">
        <v>8.9999999999999993E-3</v>
      </c>
      <c r="AF35" s="6">
        <v>7.0000000000000001E-3</v>
      </c>
      <c r="AG35" s="6">
        <v>1.639</v>
      </c>
      <c r="AH35" s="6"/>
      <c r="AI35" s="6">
        <f t="shared" si="0"/>
        <v>0.40700000000000003</v>
      </c>
      <c r="AJ35">
        <f t="shared" si="1"/>
        <v>3.9</v>
      </c>
      <c r="AK35" s="21">
        <f t="shared" si="24"/>
        <v>3.9</v>
      </c>
      <c r="AL35">
        <f t="shared" si="25"/>
        <v>37.4</v>
      </c>
      <c r="AM35" s="4">
        <v>7.18</v>
      </c>
      <c r="AN35">
        <v>1.91</v>
      </c>
      <c r="AP35" s="7">
        <f t="shared" si="3"/>
        <v>0.29199999999999998</v>
      </c>
      <c r="AQ35" s="7">
        <f t="shared" si="4"/>
        <v>0.375</v>
      </c>
      <c r="AS35">
        <f t="shared" si="5"/>
        <v>1.91</v>
      </c>
      <c r="AT35">
        <f t="shared" si="6"/>
        <v>-0.5</v>
      </c>
      <c r="AU35">
        <f t="shared" si="7"/>
        <v>61.5</v>
      </c>
      <c r="AV35" t="s">
        <v>107</v>
      </c>
      <c r="AW35">
        <f t="shared" si="8"/>
        <v>-1.3</v>
      </c>
      <c r="AX35">
        <f t="shared" si="9"/>
        <v>0.6</v>
      </c>
      <c r="AY35">
        <f t="shared" si="10"/>
        <v>1.2</v>
      </c>
      <c r="AZ35">
        <f t="shared" si="11"/>
        <v>90.4</v>
      </c>
      <c r="BA35" t="s">
        <v>107</v>
      </c>
      <c r="BB35">
        <f t="shared" si="12"/>
        <v>-0.9</v>
      </c>
      <c r="BC35">
        <f t="shared" si="13"/>
        <v>0.7</v>
      </c>
      <c r="BD35">
        <f t="shared" si="14"/>
        <v>-2.2999999999999998</v>
      </c>
      <c r="BE35">
        <f t="shared" si="15"/>
        <v>43.8</v>
      </c>
      <c r="BF35" t="s">
        <v>107</v>
      </c>
      <c r="BG35">
        <f t="shared" si="16"/>
        <v>-1.7</v>
      </c>
      <c r="BH35">
        <f t="shared" si="17"/>
        <v>0.4</v>
      </c>
      <c r="BI35">
        <f t="shared" si="18"/>
        <v>1.02</v>
      </c>
      <c r="BJ35">
        <f t="shared" si="19"/>
        <v>2.23</v>
      </c>
      <c r="BK35">
        <f t="shared" si="20"/>
        <v>0.40700000000000003</v>
      </c>
      <c r="BL35">
        <f t="shared" si="21"/>
        <v>3.9</v>
      </c>
      <c r="BM35">
        <f t="shared" si="22"/>
        <v>0.29199999999999998</v>
      </c>
      <c r="BN35">
        <f t="shared" si="22"/>
        <v>0.375</v>
      </c>
    </row>
    <row r="36" spans="1:66" x14ac:dyDescent="0.25">
      <c r="A36">
        <v>2025</v>
      </c>
      <c r="B36" s="1">
        <f t="shared" si="23"/>
        <v>45688</v>
      </c>
      <c r="C36">
        <v>31</v>
      </c>
      <c r="D36">
        <v>70</v>
      </c>
      <c r="E36" s="6">
        <v>12.97</v>
      </c>
      <c r="F36" s="6">
        <v>-1.726</v>
      </c>
      <c r="G36" s="6">
        <v>0.97499999999999998</v>
      </c>
      <c r="H36" s="6">
        <v>-3.5179999999999998</v>
      </c>
      <c r="I36" s="6">
        <v>1.52</v>
      </c>
      <c r="J36" s="6">
        <v>-1.0249999999999999</v>
      </c>
      <c r="K36" s="6">
        <v>83.3</v>
      </c>
      <c r="L36" s="6"/>
      <c r="M36" s="6">
        <v>-0.88700000000000001</v>
      </c>
      <c r="N36" s="6">
        <v>0.59</v>
      </c>
      <c r="O36" s="6">
        <v>2.3069999999999999</v>
      </c>
      <c r="P36" s="6">
        <v>90.2</v>
      </c>
      <c r="Q36" s="6"/>
      <c r="R36" s="6">
        <v>-0.40100000000000002</v>
      </c>
      <c r="S36" s="6">
        <v>0.90400000000000003</v>
      </c>
      <c r="T36" s="6">
        <v>-2.86</v>
      </c>
      <c r="U36" s="6">
        <v>68.010000000000005</v>
      </c>
      <c r="V36" s="6"/>
      <c r="W36" s="6">
        <v>-1.2849999999999999</v>
      </c>
      <c r="X36" s="6">
        <v>0.39700000000000002</v>
      </c>
      <c r="Y36" s="6">
        <v>0.81699999999999995</v>
      </c>
      <c r="Z36" s="6">
        <v>2.1139999999999999</v>
      </c>
      <c r="AA36" s="6">
        <v>0</v>
      </c>
      <c r="AB36" s="6">
        <v>1.615</v>
      </c>
      <c r="AC36" s="6">
        <v>1.0940000000000001</v>
      </c>
      <c r="AD36" s="6">
        <v>-3.3809999999999998</v>
      </c>
      <c r="AE36" s="6">
        <v>8.9999999999999993E-3</v>
      </c>
      <c r="AF36" s="6">
        <v>7.0000000000000001E-3</v>
      </c>
      <c r="AG36" s="6">
        <v>1.6160000000000001</v>
      </c>
      <c r="AH36" s="6"/>
      <c r="AI36" s="6">
        <f t="shared" si="0"/>
        <v>0.42500000000000004</v>
      </c>
      <c r="AJ36">
        <f t="shared" si="1"/>
        <v>2.2999999999999998</v>
      </c>
      <c r="AK36" s="21">
        <f t="shared" si="24"/>
        <v>2.2999999999999998</v>
      </c>
      <c r="AL36">
        <f t="shared" si="25"/>
        <v>39.699999999999996</v>
      </c>
      <c r="AM36" s="4">
        <v>7.32</v>
      </c>
      <c r="AN36">
        <v>1.52</v>
      </c>
      <c r="AP36" s="7">
        <f t="shared" si="3"/>
        <v>0.49</v>
      </c>
      <c r="AQ36" s="7">
        <f t="shared" si="4"/>
        <v>0.23</v>
      </c>
      <c r="AS36">
        <f t="shared" si="5"/>
        <v>1.52</v>
      </c>
      <c r="AT36">
        <f t="shared" si="6"/>
        <v>-1</v>
      </c>
      <c r="AU36">
        <f t="shared" si="7"/>
        <v>83.3</v>
      </c>
      <c r="AV36" t="s">
        <v>107</v>
      </c>
      <c r="AW36">
        <f t="shared" si="8"/>
        <v>-0.9</v>
      </c>
      <c r="AX36">
        <f t="shared" si="9"/>
        <v>0.6</v>
      </c>
      <c r="AY36">
        <f t="shared" si="10"/>
        <v>2.2999999999999998</v>
      </c>
      <c r="AZ36">
        <f t="shared" si="11"/>
        <v>90.2</v>
      </c>
      <c r="BA36" t="s">
        <v>107</v>
      </c>
      <c r="BB36">
        <f t="shared" si="12"/>
        <v>-0.4</v>
      </c>
      <c r="BC36">
        <f t="shared" si="13"/>
        <v>0.9</v>
      </c>
      <c r="BD36">
        <f t="shared" si="14"/>
        <v>-2.9</v>
      </c>
      <c r="BE36">
        <f t="shared" si="15"/>
        <v>68</v>
      </c>
      <c r="BF36" t="s">
        <v>107</v>
      </c>
      <c r="BG36">
        <f t="shared" si="16"/>
        <v>-1.3</v>
      </c>
      <c r="BH36">
        <f t="shared" si="17"/>
        <v>0.4</v>
      </c>
      <c r="BI36">
        <f t="shared" si="18"/>
        <v>0.82</v>
      </c>
      <c r="BJ36">
        <f t="shared" si="19"/>
        <v>2.11</v>
      </c>
      <c r="BK36">
        <f t="shared" si="20"/>
        <v>0.42500000000000004</v>
      </c>
      <c r="BL36">
        <f t="shared" si="21"/>
        <v>2.2999999999999998</v>
      </c>
      <c r="BM36">
        <f t="shared" si="22"/>
        <v>0.49</v>
      </c>
      <c r="BN36">
        <f t="shared" si="22"/>
        <v>0.23</v>
      </c>
    </row>
    <row r="37" spans="1:66" x14ac:dyDescent="0.25">
      <c r="A37">
        <v>2025</v>
      </c>
      <c r="B37" s="1">
        <f t="shared" si="23"/>
        <v>45689</v>
      </c>
      <c r="C37">
        <v>32</v>
      </c>
      <c r="D37">
        <v>70</v>
      </c>
      <c r="E37" s="6">
        <v>13.04</v>
      </c>
      <c r="F37" s="6">
        <v>-6.7830000000000004</v>
      </c>
      <c r="G37" s="6">
        <v>-1.3340000000000001</v>
      </c>
      <c r="H37" s="6">
        <v>-12.11</v>
      </c>
      <c r="I37" s="6">
        <v>1.407</v>
      </c>
      <c r="J37" s="6">
        <v>-6.0030000000000001</v>
      </c>
      <c r="K37" s="6">
        <v>75.8</v>
      </c>
      <c r="L37" s="6"/>
      <c r="M37" s="6">
        <v>-1.405</v>
      </c>
      <c r="N37" s="6">
        <v>0.52200000000000002</v>
      </c>
      <c r="O37" s="6">
        <v>-0.437</v>
      </c>
      <c r="P37" s="6">
        <v>89.6</v>
      </c>
      <c r="Q37" s="6"/>
      <c r="R37" s="6">
        <v>-0.64400000000000002</v>
      </c>
      <c r="S37" s="6">
        <v>1.393</v>
      </c>
      <c r="T37" s="6">
        <v>-11.18</v>
      </c>
      <c r="U37" s="6">
        <v>49.05</v>
      </c>
      <c r="V37" s="6"/>
      <c r="W37" s="6">
        <v>-1.974</v>
      </c>
      <c r="X37" s="6">
        <v>0.10100000000000001</v>
      </c>
      <c r="Y37" s="6">
        <v>0.153</v>
      </c>
      <c r="Z37" s="6">
        <v>3.0739999999999998</v>
      </c>
      <c r="AA37" s="6">
        <v>0</v>
      </c>
      <c r="AB37" s="6">
        <v>1.611</v>
      </c>
      <c r="AC37" s="6">
        <v>-1.2390000000000001</v>
      </c>
      <c r="AD37" s="6">
        <v>-11.88</v>
      </c>
      <c r="AE37" s="6">
        <v>8.9999999999999993E-3</v>
      </c>
      <c r="AF37" s="6">
        <v>6.0000000000000001E-3</v>
      </c>
      <c r="AG37" s="6">
        <v>1.6339999999999999</v>
      </c>
      <c r="AH37" s="6"/>
      <c r="AI37" s="6">
        <f t="shared" si="0"/>
        <v>0.42900000000000005</v>
      </c>
      <c r="AJ37">
        <f t="shared" si="1"/>
        <v>0.5</v>
      </c>
      <c r="AK37" s="21">
        <f t="shared" si="24"/>
        <v>0.5</v>
      </c>
      <c r="AL37">
        <f t="shared" si="25"/>
        <v>40.199999999999996</v>
      </c>
      <c r="AM37" s="4">
        <v>7.47</v>
      </c>
      <c r="AN37">
        <v>1.41</v>
      </c>
      <c r="AP37" s="7">
        <f t="shared" si="3"/>
        <v>0.28999999999999998</v>
      </c>
      <c r="AQ37" s="7">
        <f t="shared" si="4"/>
        <v>0.30099999999999999</v>
      </c>
      <c r="AS37">
        <f t="shared" si="5"/>
        <v>1.41</v>
      </c>
      <c r="AT37">
        <f t="shared" si="6"/>
        <v>-6</v>
      </c>
      <c r="AU37">
        <f t="shared" si="7"/>
        <v>75.8</v>
      </c>
      <c r="AV37" t="s">
        <v>107</v>
      </c>
      <c r="AW37">
        <f t="shared" si="8"/>
        <v>-1.4</v>
      </c>
      <c r="AX37">
        <f t="shared" si="9"/>
        <v>0.5</v>
      </c>
      <c r="AY37">
        <f t="shared" si="10"/>
        <v>-0.4</v>
      </c>
      <c r="AZ37">
        <f t="shared" si="11"/>
        <v>89.6</v>
      </c>
      <c r="BA37" t="s">
        <v>107</v>
      </c>
      <c r="BB37">
        <f t="shared" si="12"/>
        <v>-0.6</v>
      </c>
      <c r="BC37">
        <f t="shared" si="13"/>
        <v>1.4</v>
      </c>
      <c r="BD37">
        <f t="shared" si="14"/>
        <v>-11.2</v>
      </c>
      <c r="BE37">
        <f t="shared" si="15"/>
        <v>49.1</v>
      </c>
      <c r="BF37" t="s">
        <v>107</v>
      </c>
      <c r="BG37">
        <f t="shared" si="16"/>
        <v>-2</v>
      </c>
      <c r="BH37">
        <f t="shared" si="17"/>
        <v>0.1</v>
      </c>
      <c r="BI37">
        <f t="shared" si="18"/>
        <v>0.15</v>
      </c>
      <c r="BJ37">
        <f t="shared" si="19"/>
        <v>3.07</v>
      </c>
      <c r="BK37">
        <f t="shared" si="20"/>
        <v>0.42900000000000005</v>
      </c>
      <c r="BL37">
        <f t="shared" si="21"/>
        <v>0.5</v>
      </c>
      <c r="BM37">
        <f t="shared" si="22"/>
        <v>0.28999999999999998</v>
      </c>
      <c r="BN37">
        <f t="shared" si="22"/>
        <v>0.30099999999999999</v>
      </c>
    </row>
    <row r="38" spans="1:66" x14ac:dyDescent="0.25">
      <c r="A38">
        <v>2025</v>
      </c>
      <c r="B38" s="1">
        <f t="shared" si="23"/>
        <v>45690</v>
      </c>
      <c r="C38">
        <v>33</v>
      </c>
      <c r="D38">
        <v>70</v>
      </c>
      <c r="E38" s="6">
        <v>13.09</v>
      </c>
      <c r="F38" s="6">
        <v>-15.43</v>
      </c>
      <c r="G38" s="6">
        <v>-9.16</v>
      </c>
      <c r="H38" s="6">
        <v>-20.52</v>
      </c>
      <c r="I38" s="6">
        <v>2.0529999999999999</v>
      </c>
      <c r="J38" s="6">
        <v>-14.86</v>
      </c>
      <c r="K38" s="6">
        <v>77.8</v>
      </c>
      <c r="L38" s="6"/>
      <c r="M38" s="6">
        <v>-3.1429999999999998</v>
      </c>
      <c r="N38" s="6">
        <v>0.45900000000000002</v>
      </c>
      <c r="O38" s="6">
        <v>-8.02</v>
      </c>
      <c r="P38" s="6">
        <v>87.5</v>
      </c>
      <c r="Q38" s="6"/>
      <c r="R38" s="6">
        <v>-1.837</v>
      </c>
      <c r="S38" s="6">
        <v>1.458</v>
      </c>
      <c r="T38" s="6">
        <v>-20.66</v>
      </c>
      <c r="U38" s="6">
        <v>55.01</v>
      </c>
      <c r="V38" s="6"/>
      <c r="W38" s="6">
        <v>-4.2649999999999997</v>
      </c>
      <c r="X38" s="6">
        <v>0.105</v>
      </c>
      <c r="Y38" s="6">
        <v>0</v>
      </c>
      <c r="Z38" s="6">
        <v>0</v>
      </c>
      <c r="AA38" s="6">
        <v>0</v>
      </c>
      <c r="AB38" s="6">
        <v>1.5960000000000001</v>
      </c>
      <c r="AC38" s="6">
        <v>-9.1199999999999992</v>
      </c>
      <c r="AD38" s="6">
        <v>-20.29</v>
      </c>
      <c r="AE38" s="6">
        <v>8.9999999999999993E-3</v>
      </c>
      <c r="AF38" s="6">
        <v>6.0000000000000001E-3</v>
      </c>
      <c r="AG38" s="6">
        <v>1.659</v>
      </c>
      <c r="AH38" s="6"/>
      <c r="AI38" s="6">
        <f t="shared" si="0"/>
        <v>0.44399999999999995</v>
      </c>
      <c r="AJ38">
        <f t="shared" ref="AJ38:AJ69" si="26">IF(AI38&gt;AI37,ROUND((AI38-AI37)*AJ$1,1),0)</f>
        <v>1.9</v>
      </c>
      <c r="AK38" s="21">
        <f t="shared" si="24"/>
        <v>1.9</v>
      </c>
      <c r="AL38">
        <f t="shared" si="25"/>
        <v>42.099999999999994</v>
      </c>
      <c r="AM38" s="4">
        <v>7.62</v>
      </c>
      <c r="AN38">
        <v>2.0499999999999998</v>
      </c>
      <c r="AP38" s="7">
        <f t="shared" si="3"/>
        <v>0.184</v>
      </c>
      <c r="AQ38" s="7">
        <f t="shared" si="4"/>
        <v>0.15</v>
      </c>
      <c r="AS38">
        <f t="shared" si="5"/>
        <v>2.0499999999999998</v>
      </c>
      <c r="AT38">
        <f t="shared" si="6"/>
        <v>-14.9</v>
      </c>
      <c r="AU38">
        <f t="shared" si="7"/>
        <v>77.8</v>
      </c>
      <c r="AV38" t="s">
        <v>107</v>
      </c>
      <c r="AW38">
        <f t="shared" si="8"/>
        <v>-3.1</v>
      </c>
      <c r="AX38">
        <f t="shared" si="9"/>
        <v>0.5</v>
      </c>
      <c r="AY38">
        <f t="shared" si="10"/>
        <v>-8</v>
      </c>
      <c r="AZ38">
        <f t="shared" si="11"/>
        <v>87.5</v>
      </c>
      <c r="BA38" t="s">
        <v>107</v>
      </c>
      <c r="BB38">
        <f t="shared" si="12"/>
        <v>-1.8</v>
      </c>
      <c r="BC38">
        <f t="shared" si="13"/>
        <v>1.5</v>
      </c>
      <c r="BD38">
        <f t="shared" si="14"/>
        <v>-20.7</v>
      </c>
      <c r="BE38">
        <f t="shared" si="15"/>
        <v>55</v>
      </c>
      <c r="BF38" t="s">
        <v>107</v>
      </c>
      <c r="BG38">
        <f t="shared" si="16"/>
        <v>-4.3</v>
      </c>
      <c r="BH38">
        <f t="shared" si="17"/>
        <v>0.1</v>
      </c>
      <c r="BI38">
        <f t="shared" si="18"/>
        <v>0</v>
      </c>
      <c r="BJ38">
        <f t="shared" si="19"/>
        <v>0</v>
      </c>
      <c r="BK38">
        <f t="shared" si="20"/>
        <v>0.44399999999999995</v>
      </c>
      <c r="BL38">
        <f t="shared" si="21"/>
        <v>1.9</v>
      </c>
      <c r="BM38">
        <f t="shared" si="22"/>
        <v>0.184</v>
      </c>
      <c r="BN38">
        <f t="shared" si="22"/>
        <v>0.15</v>
      </c>
    </row>
    <row r="39" spans="1:66" x14ac:dyDescent="0.25">
      <c r="A39">
        <v>2025</v>
      </c>
      <c r="B39" s="1">
        <f t="shared" si="23"/>
        <v>45691</v>
      </c>
      <c r="C39">
        <v>34</v>
      </c>
      <c r="D39">
        <v>70</v>
      </c>
      <c r="E39" s="6">
        <v>12.95</v>
      </c>
      <c r="F39" s="6">
        <v>-19.7</v>
      </c>
      <c r="G39" s="6">
        <v>-14.59</v>
      </c>
      <c r="H39" s="6">
        <v>-22.31</v>
      </c>
      <c r="I39" s="6">
        <v>0.54900000000000004</v>
      </c>
      <c r="J39" s="6">
        <v>-19.64</v>
      </c>
      <c r="K39" s="6">
        <v>74.2</v>
      </c>
      <c r="L39" s="6"/>
      <c r="M39" s="6">
        <v>-4.5439999999999996</v>
      </c>
      <c r="N39" s="6">
        <v>0.47</v>
      </c>
      <c r="O39" s="6">
        <v>-14</v>
      </c>
      <c r="P39" s="6">
        <v>78.5</v>
      </c>
      <c r="Q39" s="6"/>
      <c r="R39" s="6">
        <v>-3.8879999999999999</v>
      </c>
      <c r="S39" s="6">
        <v>1.131</v>
      </c>
      <c r="T39" s="6">
        <v>-22.14</v>
      </c>
      <c r="U39" s="6">
        <v>60.41</v>
      </c>
      <c r="V39" s="6"/>
      <c r="W39" s="6">
        <v>-5.0949999999999998</v>
      </c>
      <c r="X39" s="6">
        <v>-3.1E-2</v>
      </c>
      <c r="Y39" s="6">
        <v>0</v>
      </c>
      <c r="Z39" s="6">
        <v>0</v>
      </c>
      <c r="AA39" s="6">
        <v>0</v>
      </c>
      <c r="AB39" s="6">
        <v>1.5629999999999999</v>
      </c>
      <c r="AC39" s="6">
        <v>-14.56</v>
      </c>
      <c r="AD39" s="6">
        <v>-22.11</v>
      </c>
      <c r="AE39" s="6">
        <v>8.0000000000000002E-3</v>
      </c>
      <c r="AF39" s="6">
        <v>6.0000000000000001E-3</v>
      </c>
      <c r="AG39" s="6">
        <v>1.6259999999999999</v>
      </c>
      <c r="AH39" s="6"/>
      <c r="AI39" s="6">
        <f t="shared" si="0"/>
        <v>0.47700000000000009</v>
      </c>
      <c r="AJ39">
        <f t="shared" si="26"/>
        <v>4.3</v>
      </c>
      <c r="AK39" s="21">
        <f t="shared" si="24"/>
        <v>4.3</v>
      </c>
      <c r="AL39">
        <f t="shared" si="25"/>
        <v>46.399999999999991</v>
      </c>
      <c r="AM39" s="4">
        <v>7.78</v>
      </c>
      <c r="AN39">
        <v>0.55000000000000004</v>
      </c>
      <c r="AP39" s="7">
        <f t="shared" si="3"/>
        <v>0.125</v>
      </c>
      <c r="AQ39" s="7">
        <f t="shared" si="4"/>
        <v>8.2000000000000003E-2</v>
      </c>
      <c r="AS39">
        <f t="shared" si="5"/>
        <v>0.55000000000000004</v>
      </c>
      <c r="AT39">
        <f t="shared" si="6"/>
        <v>-19.600000000000001</v>
      </c>
      <c r="AU39">
        <f t="shared" si="7"/>
        <v>74.2</v>
      </c>
      <c r="AV39" t="s">
        <v>107</v>
      </c>
      <c r="AW39">
        <f t="shared" si="8"/>
        <v>-4.5</v>
      </c>
      <c r="AX39">
        <f t="shared" si="9"/>
        <v>0.5</v>
      </c>
      <c r="AY39">
        <f t="shared" si="10"/>
        <v>-14</v>
      </c>
      <c r="AZ39">
        <f t="shared" si="11"/>
        <v>78.5</v>
      </c>
      <c r="BA39" t="s">
        <v>107</v>
      </c>
      <c r="BB39">
        <f t="shared" si="12"/>
        <v>-3.9</v>
      </c>
      <c r="BC39">
        <f t="shared" si="13"/>
        <v>1.1000000000000001</v>
      </c>
      <c r="BD39">
        <f t="shared" si="14"/>
        <v>-22.1</v>
      </c>
      <c r="BE39">
        <f t="shared" si="15"/>
        <v>60.4</v>
      </c>
      <c r="BF39" t="s">
        <v>107</v>
      </c>
      <c r="BG39">
        <f t="shared" si="16"/>
        <v>-5.0999999999999996</v>
      </c>
      <c r="BH39">
        <f t="shared" si="17"/>
        <v>0</v>
      </c>
      <c r="BI39">
        <f t="shared" si="18"/>
        <v>0</v>
      </c>
      <c r="BJ39">
        <f t="shared" si="19"/>
        <v>0</v>
      </c>
      <c r="BK39">
        <f t="shared" si="20"/>
        <v>0.47700000000000009</v>
      </c>
      <c r="BL39">
        <f t="shared" si="21"/>
        <v>4.3</v>
      </c>
      <c r="BM39">
        <f t="shared" si="22"/>
        <v>0.125</v>
      </c>
      <c r="BN39">
        <f t="shared" si="22"/>
        <v>8.2000000000000003E-2</v>
      </c>
    </row>
    <row r="40" spans="1:66" x14ac:dyDescent="0.25">
      <c r="A40">
        <v>2025</v>
      </c>
      <c r="B40" s="1">
        <f t="shared" si="23"/>
        <v>45692</v>
      </c>
      <c r="C40">
        <v>35</v>
      </c>
      <c r="D40">
        <v>70</v>
      </c>
      <c r="E40" s="6">
        <v>12.9</v>
      </c>
      <c r="F40" s="6">
        <v>-21.95</v>
      </c>
      <c r="G40" s="6">
        <v>-14.15</v>
      </c>
      <c r="H40" s="6">
        <v>-26.35</v>
      </c>
      <c r="I40" s="6">
        <v>0.64600000000000002</v>
      </c>
      <c r="J40" s="6">
        <v>-21.13</v>
      </c>
      <c r="K40" s="6">
        <v>73.3</v>
      </c>
      <c r="L40" s="6"/>
      <c r="M40" s="6">
        <v>-5.1920000000000002</v>
      </c>
      <c r="N40" s="6">
        <v>0.30199999999999999</v>
      </c>
      <c r="O40" s="6">
        <v>-14.88</v>
      </c>
      <c r="P40" s="6">
        <v>77.900000000000006</v>
      </c>
      <c r="Q40" s="6"/>
      <c r="R40" s="6">
        <v>-4.173</v>
      </c>
      <c r="S40" s="6">
        <v>1.1990000000000001</v>
      </c>
      <c r="T40" s="6">
        <v>-24.97</v>
      </c>
      <c r="U40" s="6">
        <v>61.57</v>
      </c>
      <c r="V40" s="6"/>
      <c r="W40" s="6">
        <v>-5.8220000000000001</v>
      </c>
      <c r="X40" s="6">
        <v>-0.187</v>
      </c>
      <c r="Y40" s="6">
        <v>0</v>
      </c>
      <c r="Z40" s="6">
        <v>0</v>
      </c>
      <c r="AA40" s="6">
        <v>0</v>
      </c>
      <c r="AB40" s="6">
        <v>1.5720000000000001</v>
      </c>
      <c r="AC40" s="6">
        <v>-13.91</v>
      </c>
      <c r="AD40" s="6">
        <v>-26.13</v>
      </c>
      <c r="AE40" s="6">
        <v>8.0000000000000002E-3</v>
      </c>
      <c r="AF40" s="6">
        <v>6.0000000000000001E-3</v>
      </c>
      <c r="AG40" s="6">
        <v>1.6459999999999999</v>
      </c>
      <c r="AH40" s="6"/>
      <c r="AI40" s="6">
        <f t="shared" si="0"/>
        <v>0.46799999999999997</v>
      </c>
      <c r="AJ40">
        <f t="shared" si="26"/>
        <v>0</v>
      </c>
      <c r="AK40" s="21">
        <f t="shared" si="24"/>
        <v>0</v>
      </c>
      <c r="AL40">
        <f t="shared" si="25"/>
        <v>46.399999999999991</v>
      </c>
      <c r="AM40" s="4">
        <v>7.93</v>
      </c>
      <c r="AN40">
        <v>0.64</v>
      </c>
      <c r="AP40" s="7">
        <f t="shared" si="3"/>
        <v>0.11799999999999999</v>
      </c>
      <c r="AQ40" s="7">
        <f t="shared" si="4"/>
        <v>7.3999999999999996E-2</v>
      </c>
      <c r="AS40">
        <f t="shared" si="5"/>
        <v>0.64</v>
      </c>
      <c r="AT40">
        <f t="shared" si="6"/>
        <v>-21.1</v>
      </c>
      <c r="AU40">
        <f t="shared" si="7"/>
        <v>73.3</v>
      </c>
      <c r="AV40" t="s">
        <v>107</v>
      </c>
      <c r="AW40">
        <f t="shared" si="8"/>
        <v>-5.2</v>
      </c>
      <c r="AX40">
        <f t="shared" si="9"/>
        <v>0.3</v>
      </c>
      <c r="AY40">
        <f t="shared" si="10"/>
        <v>-14.9</v>
      </c>
      <c r="AZ40">
        <f t="shared" si="11"/>
        <v>77.900000000000006</v>
      </c>
      <c r="BA40" t="s">
        <v>107</v>
      </c>
      <c r="BB40">
        <f t="shared" si="12"/>
        <v>-4.2</v>
      </c>
      <c r="BC40">
        <f t="shared" si="13"/>
        <v>1.2</v>
      </c>
      <c r="BD40">
        <f t="shared" si="14"/>
        <v>-25</v>
      </c>
      <c r="BE40">
        <f t="shared" si="15"/>
        <v>61.6</v>
      </c>
      <c r="BF40" t="s">
        <v>107</v>
      </c>
      <c r="BG40">
        <f t="shared" si="16"/>
        <v>-5.8</v>
      </c>
      <c r="BH40">
        <f t="shared" si="17"/>
        <v>-0.2</v>
      </c>
      <c r="BI40">
        <f t="shared" si="18"/>
        <v>0</v>
      </c>
      <c r="BJ40">
        <f t="shared" si="19"/>
        <v>0</v>
      </c>
      <c r="BK40">
        <f t="shared" si="20"/>
        <v>0.46799999999999997</v>
      </c>
      <c r="BL40">
        <f t="shared" si="21"/>
        <v>0</v>
      </c>
      <c r="BM40">
        <f t="shared" si="22"/>
        <v>0.11799999999999999</v>
      </c>
      <c r="BN40">
        <f t="shared" si="22"/>
        <v>7.3999999999999996E-2</v>
      </c>
    </row>
    <row r="41" spans="1:66" x14ac:dyDescent="0.25">
      <c r="A41">
        <v>2025</v>
      </c>
      <c r="B41" s="1">
        <f t="shared" si="23"/>
        <v>45693</v>
      </c>
      <c r="C41">
        <v>36</v>
      </c>
      <c r="D41">
        <v>70</v>
      </c>
      <c r="E41" s="6">
        <v>12.86</v>
      </c>
      <c r="F41" s="6">
        <v>-21.85</v>
      </c>
      <c r="G41" s="6">
        <v>-14.4</v>
      </c>
      <c r="H41" s="6">
        <v>-27.13</v>
      </c>
      <c r="I41" s="6">
        <v>0.627</v>
      </c>
      <c r="J41" s="6">
        <v>-20.74</v>
      </c>
      <c r="K41" s="6">
        <v>73.3</v>
      </c>
      <c r="L41" s="6"/>
      <c r="M41" s="6">
        <v>-5.5170000000000003</v>
      </c>
      <c r="N41" s="6">
        <v>0.29599999999999999</v>
      </c>
      <c r="O41" s="6">
        <v>-14.07</v>
      </c>
      <c r="P41" s="6">
        <v>78.400000000000006</v>
      </c>
      <c r="Q41" s="6"/>
      <c r="R41" s="6">
        <v>-4.5149999999999997</v>
      </c>
      <c r="S41" s="6">
        <v>1.278</v>
      </c>
      <c r="T41" s="6">
        <v>-25.37</v>
      </c>
      <c r="U41" s="6">
        <v>60.01</v>
      </c>
      <c r="V41" s="6"/>
      <c r="W41" s="6">
        <v>-6.1820000000000004</v>
      </c>
      <c r="X41" s="6">
        <v>1.9E-2</v>
      </c>
      <c r="Y41" s="6">
        <v>0</v>
      </c>
      <c r="Z41" s="6">
        <v>0</v>
      </c>
      <c r="AA41" s="6">
        <v>0</v>
      </c>
      <c r="AB41" s="6">
        <v>1.5760000000000001</v>
      </c>
      <c r="AC41" s="6">
        <v>-14.26</v>
      </c>
      <c r="AD41" s="6">
        <v>-26.97</v>
      </c>
      <c r="AE41" s="6">
        <v>8.0000000000000002E-3</v>
      </c>
      <c r="AF41" s="6">
        <v>6.0000000000000001E-3</v>
      </c>
      <c r="AG41" s="6">
        <v>1.64</v>
      </c>
      <c r="AH41" s="6"/>
      <c r="AI41" s="6">
        <f t="shared" si="0"/>
        <v>0.46399999999999997</v>
      </c>
      <c r="AJ41">
        <f t="shared" si="26"/>
        <v>0</v>
      </c>
      <c r="AK41" s="21">
        <f t="shared" si="24"/>
        <v>0</v>
      </c>
      <c r="AL41">
        <f t="shared" si="25"/>
        <v>46.399999999999991</v>
      </c>
      <c r="AM41" s="4">
        <v>8.1</v>
      </c>
      <c r="AN41">
        <v>0.63</v>
      </c>
      <c r="AP41" s="7">
        <f t="shared" si="3"/>
        <v>0.123</v>
      </c>
      <c r="AQ41" s="7">
        <f t="shared" si="4"/>
        <v>8.2000000000000003E-2</v>
      </c>
      <c r="AS41">
        <f t="shared" si="5"/>
        <v>0.63</v>
      </c>
      <c r="AT41">
        <f t="shared" si="6"/>
        <v>-20.7</v>
      </c>
      <c r="AU41">
        <f t="shared" si="7"/>
        <v>73.3</v>
      </c>
      <c r="AV41" t="s">
        <v>107</v>
      </c>
      <c r="AW41">
        <f t="shared" si="8"/>
        <v>-5.5</v>
      </c>
      <c r="AX41">
        <f t="shared" si="9"/>
        <v>0.3</v>
      </c>
      <c r="AY41">
        <f t="shared" si="10"/>
        <v>-14.1</v>
      </c>
      <c r="AZ41">
        <f t="shared" si="11"/>
        <v>78.400000000000006</v>
      </c>
      <c r="BA41" t="s">
        <v>107</v>
      </c>
      <c r="BB41">
        <f t="shared" si="12"/>
        <v>-4.5</v>
      </c>
      <c r="BC41">
        <f t="shared" si="13"/>
        <v>1.3</v>
      </c>
      <c r="BD41">
        <f t="shared" si="14"/>
        <v>-25.4</v>
      </c>
      <c r="BE41">
        <f t="shared" si="15"/>
        <v>60</v>
      </c>
      <c r="BF41" t="s">
        <v>107</v>
      </c>
      <c r="BG41">
        <f t="shared" si="16"/>
        <v>-6.2</v>
      </c>
      <c r="BH41">
        <f t="shared" si="17"/>
        <v>0</v>
      </c>
      <c r="BI41">
        <f t="shared" si="18"/>
        <v>0</v>
      </c>
      <c r="BJ41">
        <f t="shared" si="19"/>
        <v>0</v>
      </c>
      <c r="BK41">
        <f t="shared" si="20"/>
        <v>0.46399999999999997</v>
      </c>
      <c r="BL41">
        <f t="shared" si="21"/>
        <v>0</v>
      </c>
      <c r="BM41">
        <f t="shared" si="22"/>
        <v>0.123</v>
      </c>
      <c r="BN41">
        <f t="shared" si="22"/>
        <v>8.2000000000000003E-2</v>
      </c>
    </row>
    <row r="42" spans="1:66" x14ac:dyDescent="0.25">
      <c r="A42">
        <v>2025</v>
      </c>
      <c r="B42" s="1">
        <f t="shared" si="23"/>
        <v>45694</v>
      </c>
      <c r="C42">
        <v>37</v>
      </c>
      <c r="D42">
        <v>70</v>
      </c>
      <c r="E42" s="6">
        <v>13.03</v>
      </c>
      <c r="F42" s="6">
        <v>-18.420000000000002</v>
      </c>
      <c r="G42" s="6">
        <v>-6.5880000000000001</v>
      </c>
      <c r="H42" s="6">
        <v>-24.69</v>
      </c>
      <c r="I42" s="6">
        <v>0.79700000000000004</v>
      </c>
      <c r="J42" s="6">
        <v>-16.920000000000002</v>
      </c>
      <c r="K42" s="6">
        <v>75.2</v>
      </c>
      <c r="L42" s="6"/>
      <c r="M42" s="6">
        <v>-5.234</v>
      </c>
      <c r="N42" s="6">
        <v>0.32400000000000001</v>
      </c>
      <c r="O42" s="6">
        <v>-7.35</v>
      </c>
      <c r="P42" s="6">
        <v>83.8</v>
      </c>
      <c r="Q42" s="6"/>
      <c r="R42" s="6">
        <v>-3.6</v>
      </c>
      <c r="S42" s="6">
        <v>1.9550000000000001</v>
      </c>
      <c r="T42" s="6">
        <v>-22.74</v>
      </c>
      <c r="U42" s="6">
        <v>49.81</v>
      </c>
      <c r="V42" s="6"/>
      <c r="W42" s="6">
        <v>-6.0609999999999999</v>
      </c>
      <c r="X42" s="6">
        <v>-0.19400000000000001</v>
      </c>
      <c r="Y42" s="6">
        <v>0</v>
      </c>
      <c r="Z42" s="6">
        <v>0</v>
      </c>
      <c r="AA42" s="6">
        <v>0</v>
      </c>
      <c r="AB42" s="6">
        <v>1.5820000000000001</v>
      </c>
      <c r="AC42" s="6">
        <v>-6.3369999999999997</v>
      </c>
      <c r="AD42" s="6">
        <v>-24.59</v>
      </c>
      <c r="AE42" s="6">
        <v>8.9999999999999993E-3</v>
      </c>
      <c r="AF42" s="6">
        <v>6.0000000000000001E-3</v>
      </c>
      <c r="AG42" s="6">
        <v>1.63</v>
      </c>
      <c r="AH42" s="6"/>
      <c r="AI42" s="6">
        <f t="shared" si="0"/>
        <v>0.45799999999999996</v>
      </c>
      <c r="AJ42">
        <f t="shared" si="26"/>
        <v>0</v>
      </c>
      <c r="AK42" s="21">
        <f t="shared" si="24"/>
        <v>0</v>
      </c>
      <c r="AL42">
        <f t="shared" si="25"/>
        <v>46.399999999999991</v>
      </c>
      <c r="AM42" s="4">
        <v>8.27</v>
      </c>
      <c r="AN42">
        <v>0.79</v>
      </c>
      <c r="AP42" s="7">
        <f t="shared" si="3"/>
        <v>0.17499999999999999</v>
      </c>
      <c r="AQ42" s="7">
        <f t="shared" si="4"/>
        <v>0.17599999999999999</v>
      </c>
      <c r="AS42">
        <f t="shared" si="5"/>
        <v>0.79</v>
      </c>
      <c r="AT42">
        <f t="shared" si="6"/>
        <v>-16.899999999999999</v>
      </c>
      <c r="AU42">
        <f t="shared" si="7"/>
        <v>75.2</v>
      </c>
      <c r="AV42" t="s">
        <v>107</v>
      </c>
      <c r="AW42">
        <f t="shared" si="8"/>
        <v>-5.2</v>
      </c>
      <c r="AX42">
        <f t="shared" si="9"/>
        <v>0.3</v>
      </c>
      <c r="AY42">
        <f t="shared" si="10"/>
        <v>-7.4</v>
      </c>
      <c r="AZ42">
        <f t="shared" si="11"/>
        <v>83.8</v>
      </c>
      <c r="BA42" t="s">
        <v>107</v>
      </c>
      <c r="BB42">
        <f t="shared" si="12"/>
        <v>-3.6</v>
      </c>
      <c r="BC42">
        <f t="shared" si="13"/>
        <v>2</v>
      </c>
      <c r="BD42">
        <f t="shared" si="14"/>
        <v>-22.7</v>
      </c>
      <c r="BE42">
        <f t="shared" si="15"/>
        <v>49.8</v>
      </c>
      <c r="BF42" t="s">
        <v>107</v>
      </c>
      <c r="BG42">
        <f t="shared" si="16"/>
        <v>-6.1</v>
      </c>
      <c r="BH42">
        <f t="shared" si="17"/>
        <v>-0.2</v>
      </c>
      <c r="BI42">
        <f t="shared" si="18"/>
        <v>0</v>
      </c>
      <c r="BJ42">
        <f t="shared" si="19"/>
        <v>0</v>
      </c>
      <c r="BK42">
        <f t="shared" si="20"/>
        <v>0.45799999999999996</v>
      </c>
      <c r="BL42">
        <f t="shared" si="21"/>
        <v>0</v>
      </c>
      <c r="BM42">
        <f t="shared" si="22"/>
        <v>0.17499999999999999</v>
      </c>
      <c r="BN42">
        <f t="shared" si="22"/>
        <v>0.17599999999999999</v>
      </c>
    </row>
    <row r="43" spans="1:66" x14ac:dyDescent="0.25">
      <c r="A43">
        <v>2025</v>
      </c>
      <c r="B43" s="1">
        <f t="shared" si="23"/>
        <v>45695</v>
      </c>
      <c r="C43">
        <v>38</v>
      </c>
      <c r="D43">
        <v>70</v>
      </c>
      <c r="E43" s="6">
        <v>13.07</v>
      </c>
      <c r="F43" s="6">
        <v>-15.2</v>
      </c>
      <c r="G43" s="6">
        <v>-4.657</v>
      </c>
      <c r="H43" s="6">
        <v>-20.39</v>
      </c>
      <c r="I43" s="6">
        <v>0.88800000000000001</v>
      </c>
      <c r="J43" s="6">
        <v>-13.5</v>
      </c>
      <c r="K43" s="6">
        <v>77</v>
      </c>
      <c r="L43" s="6"/>
      <c r="M43" s="6">
        <v>-4.7309999999999999</v>
      </c>
      <c r="N43" s="6">
        <v>0.33700000000000002</v>
      </c>
      <c r="O43" s="6">
        <v>-5.5419999999999998</v>
      </c>
      <c r="P43" s="6">
        <v>87</v>
      </c>
      <c r="Q43" s="6"/>
      <c r="R43" s="6">
        <v>-3.3679999999999999</v>
      </c>
      <c r="S43" s="6">
        <v>1.7250000000000001</v>
      </c>
      <c r="T43" s="6">
        <v>-18.3</v>
      </c>
      <c r="U43" s="6">
        <v>51.42</v>
      </c>
      <c r="V43" s="6"/>
      <c r="W43" s="6">
        <v>-5.3789999999999996</v>
      </c>
      <c r="X43" s="6">
        <v>-0.51400000000000001</v>
      </c>
      <c r="Y43" s="6">
        <v>0</v>
      </c>
      <c r="Z43" s="6">
        <v>0</v>
      </c>
      <c r="AA43" s="6">
        <v>0</v>
      </c>
      <c r="AB43" s="6">
        <v>1.5880000000000001</v>
      </c>
      <c r="AC43" s="6">
        <v>-4.0039999999999996</v>
      </c>
      <c r="AD43" s="6">
        <v>-20.260000000000002</v>
      </c>
      <c r="AE43" s="6">
        <v>8.9999999999999993E-3</v>
      </c>
      <c r="AF43" s="6">
        <v>6.0000000000000001E-3</v>
      </c>
      <c r="AG43" s="6">
        <v>1.62</v>
      </c>
      <c r="AH43" s="6"/>
      <c r="AI43" s="6">
        <f t="shared" si="0"/>
        <v>0.45199999999999996</v>
      </c>
      <c r="AJ43">
        <f t="shared" si="26"/>
        <v>0</v>
      </c>
      <c r="AK43" s="21">
        <f t="shared" si="24"/>
        <v>0</v>
      </c>
      <c r="AL43">
        <f t="shared" si="25"/>
        <v>46.399999999999991</v>
      </c>
      <c r="AM43" s="4">
        <v>8.44</v>
      </c>
      <c r="AN43">
        <v>0.89</v>
      </c>
      <c r="AP43" s="7">
        <f t="shared" si="3"/>
        <v>0.20799999999999999</v>
      </c>
      <c r="AQ43" s="7">
        <f t="shared" si="4"/>
        <v>0.19700000000000001</v>
      </c>
      <c r="AS43">
        <f t="shared" si="5"/>
        <v>0.89</v>
      </c>
      <c r="AT43">
        <f t="shared" si="6"/>
        <v>-13.5</v>
      </c>
      <c r="AU43">
        <f t="shared" si="7"/>
        <v>77</v>
      </c>
      <c r="AV43" t="s">
        <v>107</v>
      </c>
      <c r="AW43">
        <f t="shared" si="8"/>
        <v>-4.7</v>
      </c>
      <c r="AX43">
        <f t="shared" si="9"/>
        <v>0.3</v>
      </c>
      <c r="AY43">
        <f t="shared" si="10"/>
        <v>-5.5</v>
      </c>
      <c r="AZ43">
        <f t="shared" si="11"/>
        <v>87</v>
      </c>
      <c r="BA43" t="s">
        <v>107</v>
      </c>
      <c r="BB43">
        <f t="shared" si="12"/>
        <v>-3.4</v>
      </c>
      <c r="BC43">
        <f t="shared" si="13"/>
        <v>1.7</v>
      </c>
      <c r="BD43">
        <f t="shared" si="14"/>
        <v>-18.3</v>
      </c>
      <c r="BE43">
        <f t="shared" si="15"/>
        <v>51.4</v>
      </c>
      <c r="BF43" t="s">
        <v>107</v>
      </c>
      <c r="BG43">
        <f t="shared" si="16"/>
        <v>-5.4</v>
      </c>
      <c r="BH43">
        <f t="shared" si="17"/>
        <v>-0.5</v>
      </c>
      <c r="BI43">
        <f t="shared" si="18"/>
        <v>0</v>
      </c>
      <c r="BJ43">
        <f t="shared" si="19"/>
        <v>0</v>
      </c>
      <c r="BK43">
        <f t="shared" si="20"/>
        <v>0.45199999999999996</v>
      </c>
      <c r="BL43">
        <f t="shared" si="21"/>
        <v>0</v>
      </c>
      <c r="BM43">
        <f t="shared" si="22"/>
        <v>0.20799999999999999</v>
      </c>
      <c r="BN43">
        <f t="shared" si="22"/>
        <v>0.19700000000000001</v>
      </c>
    </row>
    <row r="44" spans="1:66" x14ac:dyDescent="0.25">
      <c r="A44">
        <v>2025</v>
      </c>
      <c r="B44" s="1">
        <f t="shared" si="23"/>
        <v>45696</v>
      </c>
      <c r="C44">
        <v>39</v>
      </c>
      <c r="D44">
        <v>70</v>
      </c>
      <c r="E44" s="6">
        <v>13.06</v>
      </c>
      <c r="F44" s="6">
        <v>-12.55</v>
      </c>
      <c r="G44" s="6">
        <v>-2.887</v>
      </c>
      <c r="H44" s="6">
        <v>-19.14</v>
      </c>
      <c r="I44" s="6">
        <v>0.74</v>
      </c>
      <c r="J44" s="6">
        <v>-11.96</v>
      </c>
      <c r="K44" s="6">
        <v>77.599999999999994</v>
      </c>
      <c r="L44" s="6"/>
      <c r="M44" s="6">
        <v>-4.1980000000000004</v>
      </c>
      <c r="N44" s="6">
        <v>0.251</v>
      </c>
      <c r="O44" s="6">
        <v>-5.07</v>
      </c>
      <c r="P44" s="6">
        <v>85.4</v>
      </c>
      <c r="Q44" s="6"/>
      <c r="R44" s="6">
        <v>-2.9260000000000002</v>
      </c>
      <c r="S44" s="6">
        <v>1.214</v>
      </c>
      <c r="T44" s="6">
        <v>-17.36</v>
      </c>
      <c r="U44" s="6">
        <v>50.8</v>
      </c>
      <c r="V44" s="6"/>
      <c r="W44" s="6">
        <v>-4.6210000000000004</v>
      </c>
      <c r="X44" s="6">
        <v>-0.66800000000000004</v>
      </c>
      <c r="Y44" s="6">
        <v>0</v>
      </c>
      <c r="Z44" s="6">
        <v>0</v>
      </c>
      <c r="AA44" s="6">
        <v>0</v>
      </c>
      <c r="AB44" s="6">
        <v>1.5780000000000001</v>
      </c>
      <c r="AC44" s="6">
        <v>-2.4020000000000001</v>
      </c>
      <c r="AD44" s="6">
        <v>-18.96</v>
      </c>
      <c r="AE44" s="6">
        <v>8.9999999999999993E-3</v>
      </c>
      <c r="AF44" s="6">
        <v>6.0000000000000001E-3</v>
      </c>
      <c r="AG44" s="6">
        <v>1.629</v>
      </c>
      <c r="AH44" s="6"/>
      <c r="AI44" s="6">
        <f t="shared" si="0"/>
        <v>0.46199999999999997</v>
      </c>
      <c r="AJ44">
        <f t="shared" si="26"/>
        <v>1.3</v>
      </c>
      <c r="AK44" s="21">
        <f t="shared" si="24"/>
        <v>1.3</v>
      </c>
      <c r="AL44">
        <f t="shared" si="25"/>
        <v>47.699999999999989</v>
      </c>
      <c r="AM44" s="4">
        <v>8.61</v>
      </c>
      <c r="AN44">
        <v>0.74</v>
      </c>
      <c r="AP44" s="7">
        <f t="shared" si="3"/>
        <v>0.21299999999999999</v>
      </c>
      <c r="AQ44" s="7">
        <f t="shared" si="4"/>
        <v>0.20599999999999999</v>
      </c>
      <c r="AS44">
        <f t="shared" si="5"/>
        <v>0.74</v>
      </c>
      <c r="AT44">
        <f t="shared" si="6"/>
        <v>-12</v>
      </c>
      <c r="AU44">
        <f t="shared" si="7"/>
        <v>77.599999999999994</v>
      </c>
      <c r="AV44" t="s">
        <v>107</v>
      </c>
      <c r="AW44">
        <f t="shared" si="8"/>
        <v>-4.2</v>
      </c>
      <c r="AX44">
        <f t="shared" si="9"/>
        <v>0.3</v>
      </c>
      <c r="AY44">
        <f t="shared" si="10"/>
        <v>-5.0999999999999996</v>
      </c>
      <c r="AZ44">
        <f t="shared" si="11"/>
        <v>85.4</v>
      </c>
      <c r="BA44" t="s">
        <v>107</v>
      </c>
      <c r="BB44">
        <f t="shared" si="12"/>
        <v>-2.9</v>
      </c>
      <c r="BC44">
        <f t="shared" si="13"/>
        <v>1.2</v>
      </c>
      <c r="BD44">
        <f t="shared" si="14"/>
        <v>-17.399999999999999</v>
      </c>
      <c r="BE44">
        <f t="shared" si="15"/>
        <v>50.8</v>
      </c>
      <c r="BF44" t="s">
        <v>107</v>
      </c>
      <c r="BG44">
        <f t="shared" si="16"/>
        <v>-4.5999999999999996</v>
      </c>
      <c r="BH44">
        <f t="shared" si="17"/>
        <v>-0.7</v>
      </c>
      <c r="BI44">
        <f t="shared" si="18"/>
        <v>0</v>
      </c>
      <c r="BJ44">
        <f t="shared" si="19"/>
        <v>0</v>
      </c>
      <c r="BK44">
        <f t="shared" si="20"/>
        <v>0.46199999999999997</v>
      </c>
      <c r="BL44">
        <f t="shared" si="21"/>
        <v>1.3</v>
      </c>
      <c r="BM44">
        <f t="shared" si="22"/>
        <v>0.21299999999999999</v>
      </c>
      <c r="BN44">
        <f t="shared" si="22"/>
        <v>0.20599999999999999</v>
      </c>
    </row>
    <row r="45" spans="1:66" x14ac:dyDescent="0.25">
      <c r="A45">
        <v>2025</v>
      </c>
      <c r="B45" s="1">
        <f t="shared" si="23"/>
        <v>45697</v>
      </c>
      <c r="C45">
        <v>40</v>
      </c>
      <c r="D45">
        <v>70</v>
      </c>
      <c r="E45" s="6">
        <v>13.04</v>
      </c>
      <c r="F45" s="6">
        <v>-15.89</v>
      </c>
      <c r="G45" s="6">
        <v>-10.28</v>
      </c>
      <c r="H45" s="6">
        <v>-20.49</v>
      </c>
      <c r="I45" s="6">
        <v>0.626</v>
      </c>
      <c r="J45" s="6">
        <v>-14.55</v>
      </c>
      <c r="K45" s="6">
        <v>75.7</v>
      </c>
      <c r="L45" s="6"/>
      <c r="M45" s="6">
        <v>-4.3730000000000002</v>
      </c>
      <c r="N45" s="6">
        <v>0.30399999999999999</v>
      </c>
      <c r="O45" s="6">
        <v>-9.3000000000000007</v>
      </c>
      <c r="P45" s="6">
        <v>83</v>
      </c>
      <c r="Q45" s="6"/>
      <c r="R45" s="6">
        <v>-3.8839999999999999</v>
      </c>
      <c r="S45" s="6">
        <v>1.083</v>
      </c>
      <c r="T45" s="6">
        <v>-18.5</v>
      </c>
      <c r="U45" s="6">
        <v>57.63</v>
      </c>
      <c r="V45" s="6"/>
      <c r="W45" s="6">
        <v>-4.9269999999999996</v>
      </c>
      <c r="X45" s="6">
        <v>-0.158</v>
      </c>
      <c r="Y45" s="6">
        <v>0</v>
      </c>
      <c r="Z45" s="6">
        <v>0</v>
      </c>
      <c r="AA45" s="6">
        <v>0</v>
      </c>
      <c r="AB45" s="6">
        <v>1.5740000000000001</v>
      </c>
      <c r="AC45" s="6">
        <v>-10.210000000000001</v>
      </c>
      <c r="AD45" s="6">
        <v>-20.440000000000001</v>
      </c>
      <c r="AE45" s="6">
        <v>8.0000000000000002E-3</v>
      </c>
      <c r="AF45" s="6">
        <v>6.0000000000000001E-3</v>
      </c>
      <c r="AG45" s="6">
        <v>1.6180000000000001</v>
      </c>
      <c r="AH45" s="6"/>
      <c r="AI45" s="6">
        <f t="shared" si="0"/>
        <v>0.46599999999999997</v>
      </c>
      <c r="AJ45">
        <f t="shared" si="26"/>
        <v>0.5</v>
      </c>
      <c r="AK45" s="21">
        <f t="shared" si="24"/>
        <v>0.5</v>
      </c>
      <c r="AL45">
        <f t="shared" si="25"/>
        <v>48.199999999999989</v>
      </c>
      <c r="AM45" s="4">
        <v>8.7799999999999994</v>
      </c>
      <c r="AN45">
        <v>0.62</v>
      </c>
      <c r="AP45" s="7">
        <f t="shared" si="3"/>
        <v>0.17399999999999999</v>
      </c>
      <c r="AQ45" s="7">
        <f t="shared" si="4"/>
        <v>0.128</v>
      </c>
      <c r="AS45">
        <f t="shared" si="5"/>
        <v>0.62</v>
      </c>
      <c r="AT45">
        <f t="shared" si="6"/>
        <v>-14.6</v>
      </c>
      <c r="AU45">
        <f t="shared" si="7"/>
        <v>75.7</v>
      </c>
      <c r="AV45" t="s">
        <v>107</v>
      </c>
      <c r="AW45">
        <f t="shared" si="8"/>
        <v>-4.4000000000000004</v>
      </c>
      <c r="AX45">
        <f t="shared" si="9"/>
        <v>0.3</v>
      </c>
      <c r="AY45">
        <f t="shared" si="10"/>
        <v>-9.3000000000000007</v>
      </c>
      <c r="AZ45">
        <f t="shared" si="11"/>
        <v>83</v>
      </c>
      <c r="BA45" t="s">
        <v>107</v>
      </c>
      <c r="BB45">
        <f t="shared" si="12"/>
        <v>-3.9</v>
      </c>
      <c r="BC45">
        <f t="shared" si="13"/>
        <v>1.1000000000000001</v>
      </c>
      <c r="BD45">
        <f t="shared" si="14"/>
        <v>-18.5</v>
      </c>
      <c r="BE45">
        <f t="shared" si="15"/>
        <v>57.6</v>
      </c>
      <c r="BF45" t="s">
        <v>107</v>
      </c>
      <c r="BG45">
        <f t="shared" si="16"/>
        <v>-4.9000000000000004</v>
      </c>
      <c r="BH45">
        <f t="shared" si="17"/>
        <v>-0.2</v>
      </c>
      <c r="BI45">
        <f t="shared" si="18"/>
        <v>0</v>
      </c>
      <c r="BJ45">
        <f t="shared" si="19"/>
        <v>0</v>
      </c>
      <c r="BK45">
        <f t="shared" si="20"/>
        <v>0.46599999999999997</v>
      </c>
      <c r="BL45">
        <f t="shared" si="21"/>
        <v>0.5</v>
      </c>
      <c r="BM45">
        <f t="shared" si="22"/>
        <v>0.17399999999999999</v>
      </c>
      <c r="BN45">
        <f t="shared" si="22"/>
        <v>0.128</v>
      </c>
    </row>
    <row r="46" spans="1:66" x14ac:dyDescent="0.25">
      <c r="A46">
        <v>2025</v>
      </c>
      <c r="B46" s="1">
        <f t="shared" si="23"/>
        <v>45698</v>
      </c>
      <c r="C46">
        <v>41</v>
      </c>
      <c r="D46">
        <v>70</v>
      </c>
      <c r="E46" s="6">
        <v>13.09</v>
      </c>
      <c r="F46" s="6">
        <v>-16.97</v>
      </c>
      <c r="G46" s="6">
        <v>-5.2839999999999998</v>
      </c>
      <c r="H46" s="6">
        <v>-22.01</v>
      </c>
      <c r="I46" s="6">
        <v>1.1579999999999999</v>
      </c>
      <c r="J46" s="6">
        <v>-15.73</v>
      </c>
      <c r="K46" s="6">
        <v>72.8</v>
      </c>
      <c r="L46" s="6"/>
      <c r="M46" s="6">
        <v>-4.6740000000000004</v>
      </c>
      <c r="N46" s="6">
        <v>0.15</v>
      </c>
      <c r="O46" s="6">
        <v>-6.4669999999999996</v>
      </c>
      <c r="P46" s="6">
        <v>83.3</v>
      </c>
      <c r="Q46" s="6"/>
      <c r="R46" s="6">
        <v>-2.6850000000000001</v>
      </c>
      <c r="S46" s="6">
        <v>2.0179999999999998</v>
      </c>
      <c r="T46" s="6">
        <v>-20.25</v>
      </c>
      <c r="U46" s="6">
        <v>33.72</v>
      </c>
      <c r="V46" s="6"/>
      <c r="W46" s="6">
        <v>-5.2619999999999996</v>
      </c>
      <c r="X46" s="6">
        <v>-0.52300000000000002</v>
      </c>
      <c r="Y46" s="6">
        <v>0</v>
      </c>
      <c r="Z46" s="6">
        <v>0</v>
      </c>
      <c r="AA46" s="6">
        <v>0</v>
      </c>
      <c r="AB46" s="6">
        <v>1.5780000000000001</v>
      </c>
      <c r="AC46" s="6">
        <v>-5.09</v>
      </c>
      <c r="AD46" s="6">
        <v>-21.69</v>
      </c>
      <c r="AE46" s="6">
        <v>8.9999999999999993E-3</v>
      </c>
      <c r="AF46" s="6">
        <v>5.0000000000000001E-3</v>
      </c>
      <c r="AG46" s="6">
        <v>1.6379999999999999</v>
      </c>
      <c r="AH46" s="6"/>
      <c r="AI46" s="6">
        <f t="shared" si="0"/>
        <v>0.46199999999999997</v>
      </c>
      <c r="AJ46">
        <f t="shared" si="26"/>
        <v>0</v>
      </c>
      <c r="AK46" s="21">
        <f t="shared" si="24"/>
        <v>0</v>
      </c>
      <c r="AL46">
        <f t="shared" si="25"/>
        <v>48.199999999999989</v>
      </c>
      <c r="AM46" s="4">
        <v>8.9600000000000009</v>
      </c>
      <c r="AN46">
        <v>1.1599999999999999</v>
      </c>
      <c r="AP46" s="7">
        <f t="shared" si="3"/>
        <v>0.127</v>
      </c>
      <c r="AQ46" s="7">
        <f t="shared" si="4"/>
        <v>0.25</v>
      </c>
      <c r="AS46">
        <f t="shared" si="5"/>
        <v>1.1599999999999999</v>
      </c>
      <c r="AT46">
        <f t="shared" si="6"/>
        <v>-15.7</v>
      </c>
      <c r="AU46">
        <f t="shared" si="7"/>
        <v>72.8</v>
      </c>
      <c r="AV46" t="s">
        <v>107</v>
      </c>
      <c r="AW46">
        <f t="shared" si="8"/>
        <v>-4.7</v>
      </c>
      <c r="AX46">
        <f t="shared" si="9"/>
        <v>0.2</v>
      </c>
      <c r="AY46">
        <f t="shared" si="10"/>
        <v>-6.5</v>
      </c>
      <c r="AZ46">
        <f t="shared" si="11"/>
        <v>83.3</v>
      </c>
      <c r="BA46" t="s">
        <v>107</v>
      </c>
      <c r="BB46">
        <f t="shared" si="12"/>
        <v>-2.7</v>
      </c>
      <c r="BC46">
        <f t="shared" si="13"/>
        <v>2</v>
      </c>
      <c r="BD46">
        <f t="shared" si="14"/>
        <v>-20.3</v>
      </c>
      <c r="BE46">
        <f t="shared" si="15"/>
        <v>33.700000000000003</v>
      </c>
      <c r="BF46" t="s">
        <v>107</v>
      </c>
      <c r="BG46">
        <f t="shared" si="16"/>
        <v>-5.3</v>
      </c>
      <c r="BH46">
        <f t="shared" si="17"/>
        <v>-0.5</v>
      </c>
      <c r="BI46">
        <f t="shared" si="18"/>
        <v>0</v>
      </c>
      <c r="BJ46">
        <f t="shared" si="19"/>
        <v>0</v>
      </c>
      <c r="BK46">
        <f t="shared" si="20"/>
        <v>0.46199999999999997</v>
      </c>
      <c r="BL46">
        <f t="shared" si="21"/>
        <v>0</v>
      </c>
      <c r="BM46">
        <f t="shared" si="22"/>
        <v>0.127</v>
      </c>
      <c r="BN46">
        <f t="shared" si="22"/>
        <v>0.25</v>
      </c>
    </row>
    <row r="47" spans="1:66" x14ac:dyDescent="0.25">
      <c r="A47">
        <v>2025</v>
      </c>
      <c r="B47" s="1">
        <f t="shared" si="23"/>
        <v>45699</v>
      </c>
      <c r="C47">
        <v>42</v>
      </c>
      <c r="D47">
        <v>70</v>
      </c>
      <c r="E47" s="6">
        <v>13.1</v>
      </c>
      <c r="F47" s="6">
        <v>-17.54</v>
      </c>
      <c r="G47" s="6">
        <v>-5.157</v>
      </c>
      <c r="H47" s="6">
        <v>-23.17</v>
      </c>
      <c r="I47" s="6">
        <v>1.3089999999999999</v>
      </c>
      <c r="J47" s="6">
        <v>-16.29</v>
      </c>
      <c r="K47" s="6">
        <v>72.5</v>
      </c>
      <c r="L47" s="6"/>
      <c r="M47" s="6">
        <v>-4.976</v>
      </c>
      <c r="N47" s="6">
        <v>0.159</v>
      </c>
      <c r="O47" s="6">
        <v>-7.49</v>
      </c>
      <c r="P47" s="6">
        <v>82.8</v>
      </c>
      <c r="Q47" s="6"/>
      <c r="R47" s="6">
        <v>-3.569</v>
      </c>
      <c r="S47" s="6">
        <v>1.4990000000000001</v>
      </c>
      <c r="T47" s="6">
        <v>-21.2</v>
      </c>
      <c r="U47" s="6">
        <v>43.41</v>
      </c>
      <c r="V47" s="6"/>
      <c r="W47" s="6">
        <v>-5.53</v>
      </c>
      <c r="X47" s="6">
        <v>-0.65</v>
      </c>
      <c r="Y47" s="6">
        <v>0</v>
      </c>
      <c r="Z47" s="6">
        <v>0</v>
      </c>
      <c r="AA47" s="6">
        <v>0</v>
      </c>
      <c r="AB47" s="6">
        <v>1.579</v>
      </c>
      <c r="AC47" s="6">
        <v>-4.63</v>
      </c>
      <c r="AD47" s="6">
        <v>-23.04</v>
      </c>
      <c r="AE47" s="6">
        <v>8.9999999999999993E-3</v>
      </c>
      <c r="AF47" s="6">
        <v>6.0000000000000001E-3</v>
      </c>
      <c r="AG47" s="6">
        <v>1.6319999999999999</v>
      </c>
      <c r="AH47" s="6"/>
      <c r="AI47" s="6">
        <f t="shared" si="0"/>
        <v>0.46100000000000008</v>
      </c>
      <c r="AJ47">
        <f t="shared" si="26"/>
        <v>0</v>
      </c>
      <c r="AK47" s="21">
        <f t="shared" si="24"/>
        <v>0</v>
      </c>
      <c r="AL47">
        <f t="shared" si="25"/>
        <v>48.199999999999989</v>
      </c>
      <c r="AM47" s="4">
        <v>9.15</v>
      </c>
      <c r="AN47">
        <v>1.31</v>
      </c>
      <c r="AP47" s="7">
        <f t="shared" si="3"/>
        <v>0.151</v>
      </c>
      <c r="AQ47" s="7">
        <f t="shared" si="4"/>
        <v>0.19700000000000001</v>
      </c>
      <c r="AS47">
        <f t="shared" si="5"/>
        <v>1.31</v>
      </c>
      <c r="AT47">
        <f t="shared" si="6"/>
        <v>-16.3</v>
      </c>
      <c r="AU47">
        <f t="shared" si="7"/>
        <v>72.5</v>
      </c>
      <c r="AV47" t="s">
        <v>107</v>
      </c>
      <c r="AW47">
        <f t="shared" si="8"/>
        <v>-5</v>
      </c>
      <c r="AX47">
        <f t="shared" si="9"/>
        <v>0.2</v>
      </c>
      <c r="AY47">
        <f t="shared" si="10"/>
        <v>-7.5</v>
      </c>
      <c r="AZ47">
        <f t="shared" si="11"/>
        <v>82.8</v>
      </c>
      <c r="BA47" t="s">
        <v>107</v>
      </c>
      <c r="BB47">
        <f t="shared" si="12"/>
        <v>-3.6</v>
      </c>
      <c r="BC47">
        <f t="shared" si="13"/>
        <v>1.5</v>
      </c>
      <c r="BD47">
        <f t="shared" si="14"/>
        <v>-21.2</v>
      </c>
      <c r="BE47">
        <f t="shared" si="15"/>
        <v>43.4</v>
      </c>
      <c r="BF47" t="s">
        <v>107</v>
      </c>
      <c r="BG47">
        <f t="shared" si="16"/>
        <v>-5.5</v>
      </c>
      <c r="BH47">
        <f t="shared" si="17"/>
        <v>-0.7</v>
      </c>
      <c r="BI47">
        <f t="shared" si="18"/>
        <v>0</v>
      </c>
      <c r="BJ47">
        <f t="shared" si="19"/>
        <v>0</v>
      </c>
      <c r="BK47">
        <f t="shared" si="20"/>
        <v>0.46100000000000008</v>
      </c>
      <c r="BL47">
        <f t="shared" si="21"/>
        <v>0</v>
      </c>
      <c r="BM47">
        <f t="shared" si="22"/>
        <v>0.151</v>
      </c>
      <c r="BN47">
        <f t="shared" si="22"/>
        <v>0.19700000000000001</v>
      </c>
    </row>
    <row r="48" spans="1:66" x14ac:dyDescent="0.25">
      <c r="A48">
        <v>2025</v>
      </c>
      <c r="B48" s="1">
        <f t="shared" si="23"/>
        <v>45700</v>
      </c>
      <c r="C48">
        <v>43</v>
      </c>
      <c r="D48">
        <v>70</v>
      </c>
      <c r="E48" s="6">
        <v>13.12</v>
      </c>
      <c r="F48" s="6">
        <v>-15.2</v>
      </c>
      <c r="G48" s="6">
        <v>-5.4809999999999999</v>
      </c>
      <c r="H48" s="6">
        <v>-20.55</v>
      </c>
      <c r="I48" s="6">
        <v>1.4139999999999999</v>
      </c>
      <c r="J48" s="6">
        <v>-13.6</v>
      </c>
      <c r="K48" s="6">
        <v>73.3</v>
      </c>
      <c r="L48" s="6"/>
      <c r="M48" s="6">
        <v>-4.8019999999999996</v>
      </c>
      <c r="N48" s="6">
        <v>0.192</v>
      </c>
      <c r="O48" s="6">
        <v>-5.4720000000000004</v>
      </c>
      <c r="P48" s="6">
        <v>83.3</v>
      </c>
      <c r="Q48" s="6"/>
      <c r="R48" s="6">
        <v>-3.6629999999999998</v>
      </c>
      <c r="S48" s="6">
        <v>1.3080000000000001</v>
      </c>
      <c r="T48" s="6">
        <v>-18.57</v>
      </c>
      <c r="U48" s="6">
        <v>45.43</v>
      </c>
      <c r="V48" s="6"/>
      <c r="W48" s="6">
        <v>-5.4710000000000001</v>
      </c>
      <c r="X48" s="6">
        <v>-0.39900000000000002</v>
      </c>
      <c r="Y48" s="6">
        <v>0</v>
      </c>
      <c r="Z48" s="6">
        <v>0</v>
      </c>
      <c r="AA48" s="6">
        <v>0</v>
      </c>
      <c r="AB48" s="6">
        <v>1.58</v>
      </c>
      <c r="AC48" s="6">
        <v>-5.1100000000000003</v>
      </c>
      <c r="AD48" s="6">
        <v>-20.5</v>
      </c>
      <c r="AE48" s="6">
        <v>8.9999999999999993E-3</v>
      </c>
      <c r="AF48" s="6">
        <v>6.0000000000000001E-3</v>
      </c>
      <c r="AG48" s="6">
        <v>1.621</v>
      </c>
      <c r="AH48" s="6"/>
      <c r="AI48" s="6">
        <f t="shared" si="0"/>
        <v>0.45999999999999996</v>
      </c>
      <c r="AJ48">
        <f t="shared" si="26"/>
        <v>0</v>
      </c>
      <c r="AK48" s="21">
        <f t="shared" si="24"/>
        <v>0</v>
      </c>
      <c r="AL48">
        <f t="shared" si="25"/>
        <v>48.199999999999989</v>
      </c>
      <c r="AM48" s="4">
        <v>9.34</v>
      </c>
      <c r="AN48">
        <v>1.41</v>
      </c>
      <c r="AP48" s="7">
        <f t="shared" si="3"/>
        <v>0.184</v>
      </c>
      <c r="AQ48" s="7">
        <f t="shared" si="4"/>
        <v>0.221</v>
      </c>
      <c r="AS48">
        <f t="shared" si="5"/>
        <v>1.41</v>
      </c>
      <c r="AT48">
        <f t="shared" si="6"/>
        <v>-13.6</v>
      </c>
      <c r="AU48">
        <f t="shared" si="7"/>
        <v>73.3</v>
      </c>
      <c r="AV48" t="s">
        <v>107</v>
      </c>
      <c r="AW48">
        <f t="shared" si="8"/>
        <v>-4.8</v>
      </c>
      <c r="AX48">
        <f t="shared" si="9"/>
        <v>0.2</v>
      </c>
      <c r="AY48">
        <f t="shared" si="10"/>
        <v>-5.5</v>
      </c>
      <c r="AZ48">
        <f t="shared" si="11"/>
        <v>83.3</v>
      </c>
      <c r="BA48" t="s">
        <v>107</v>
      </c>
      <c r="BB48">
        <f t="shared" si="12"/>
        <v>-3.7</v>
      </c>
      <c r="BC48">
        <f t="shared" si="13"/>
        <v>1.3</v>
      </c>
      <c r="BD48">
        <f t="shared" si="14"/>
        <v>-18.600000000000001</v>
      </c>
      <c r="BE48">
        <f t="shared" si="15"/>
        <v>45.4</v>
      </c>
      <c r="BF48" t="s">
        <v>107</v>
      </c>
      <c r="BG48">
        <f t="shared" si="16"/>
        <v>-5.5</v>
      </c>
      <c r="BH48">
        <f t="shared" si="17"/>
        <v>-0.4</v>
      </c>
      <c r="BI48">
        <f t="shared" si="18"/>
        <v>0</v>
      </c>
      <c r="BJ48">
        <f t="shared" si="19"/>
        <v>0</v>
      </c>
      <c r="BK48">
        <f t="shared" si="20"/>
        <v>0.45999999999999996</v>
      </c>
      <c r="BL48">
        <f t="shared" si="21"/>
        <v>0</v>
      </c>
      <c r="BM48">
        <f t="shared" si="22"/>
        <v>0.184</v>
      </c>
      <c r="BN48">
        <f t="shared" si="22"/>
        <v>0.221</v>
      </c>
    </row>
    <row r="49" spans="1:66" x14ac:dyDescent="0.25">
      <c r="A49">
        <v>2025</v>
      </c>
      <c r="B49" s="1">
        <f t="shared" si="23"/>
        <v>45701</v>
      </c>
      <c r="C49">
        <v>44</v>
      </c>
      <c r="D49">
        <v>70</v>
      </c>
      <c r="E49" s="6">
        <v>13.13</v>
      </c>
      <c r="F49" s="6">
        <v>-12.03</v>
      </c>
      <c r="G49" s="6">
        <v>-2.9180000000000001</v>
      </c>
      <c r="H49" s="6">
        <v>-16.28</v>
      </c>
      <c r="I49" s="6">
        <v>1.659</v>
      </c>
      <c r="J49" s="6">
        <v>-10.43</v>
      </c>
      <c r="K49" s="6">
        <v>65.13</v>
      </c>
      <c r="L49" s="6"/>
      <c r="M49" s="6">
        <v>-4.3360000000000003</v>
      </c>
      <c r="N49" s="6">
        <v>0.159</v>
      </c>
      <c r="O49" s="6">
        <v>-3.8010000000000002</v>
      </c>
      <c r="P49" s="6">
        <v>79.3</v>
      </c>
      <c r="Q49" s="6"/>
      <c r="R49" s="6">
        <v>-3.5619999999999998</v>
      </c>
      <c r="S49" s="6">
        <v>0.94299999999999995</v>
      </c>
      <c r="T49" s="6">
        <v>-14.74</v>
      </c>
      <c r="U49" s="6">
        <v>37.409999999999997</v>
      </c>
      <c r="V49" s="6"/>
      <c r="W49" s="6">
        <v>-4.9729999999999999</v>
      </c>
      <c r="X49" s="6">
        <v>-0.35699999999999998</v>
      </c>
      <c r="Y49" s="6">
        <v>5.2999999999999999E-2</v>
      </c>
      <c r="Z49" s="6">
        <v>0.78</v>
      </c>
      <c r="AA49" s="6">
        <v>0</v>
      </c>
      <c r="AB49" s="6">
        <v>1.5740000000000001</v>
      </c>
      <c r="AC49" s="6">
        <v>-2.4020000000000001</v>
      </c>
      <c r="AD49" s="6">
        <v>-16.09</v>
      </c>
      <c r="AE49" s="6">
        <v>8.9999999999999993E-3</v>
      </c>
      <c r="AF49" s="6">
        <v>6.0000000000000001E-3</v>
      </c>
      <c r="AG49" s="6">
        <v>1.601</v>
      </c>
      <c r="AH49" s="6"/>
      <c r="AI49" s="6">
        <f t="shared" si="0"/>
        <v>0.46599999999999997</v>
      </c>
      <c r="AJ49">
        <f t="shared" si="26"/>
        <v>0.8</v>
      </c>
      <c r="AK49" s="21">
        <f t="shared" si="24"/>
        <v>0.8</v>
      </c>
      <c r="AL49">
        <f t="shared" si="25"/>
        <v>48.999999999999986</v>
      </c>
      <c r="AM49" s="4">
        <v>9.5299999999999994</v>
      </c>
      <c r="AN49">
        <v>1.65</v>
      </c>
      <c r="AP49" s="7">
        <f t="shared" si="3"/>
        <v>0.17199999999999999</v>
      </c>
      <c r="AQ49" s="7">
        <f t="shared" si="4"/>
        <v>0.28799999999999998</v>
      </c>
      <c r="AS49">
        <f t="shared" si="5"/>
        <v>1.65</v>
      </c>
      <c r="AT49">
        <f t="shared" si="6"/>
        <v>-10.4</v>
      </c>
      <c r="AU49">
        <f t="shared" si="7"/>
        <v>65.099999999999994</v>
      </c>
      <c r="AV49" t="s">
        <v>107</v>
      </c>
      <c r="AW49">
        <f t="shared" si="8"/>
        <v>-4.3</v>
      </c>
      <c r="AX49">
        <f t="shared" si="9"/>
        <v>0.2</v>
      </c>
      <c r="AY49">
        <f t="shared" si="10"/>
        <v>-3.8</v>
      </c>
      <c r="AZ49">
        <f t="shared" si="11"/>
        <v>79.3</v>
      </c>
      <c r="BA49" t="s">
        <v>107</v>
      </c>
      <c r="BB49">
        <f t="shared" si="12"/>
        <v>-3.6</v>
      </c>
      <c r="BC49">
        <f t="shared" si="13"/>
        <v>0.9</v>
      </c>
      <c r="BD49">
        <f t="shared" si="14"/>
        <v>-14.7</v>
      </c>
      <c r="BE49">
        <f t="shared" si="15"/>
        <v>37.4</v>
      </c>
      <c r="BF49" t="s">
        <v>107</v>
      </c>
      <c r="BG49">
        <f t="shared" si="16"/>
        <v>-5</v>
      </c>
      <c r="BH49">
        <f t="shared" si="17"/>
        <v>-0.4</v>
      </c>
      <c r="BI49">
        <f t="shared" si="18"/>
        <v>0.05</v>
      </c>
      <c r="BJ49">
        <f t="shared" si="19"/>
        <v>0.78</v>
      </c>
      <c r="BK49">
        <f t="shared" si="20"/>
        <v>0.46599999999999997</v>
      </c>
      <c r="BL49">
        <f t="shared" si="21"/>
        <v>0.8</v>
      </c>
      <c r="BM49">
        <f t="shared" si="22"/>
        <v>0.17199999999999999</v>
      </c>
      <c r="BN49">
        <f t="shared" si="22"/>
        <v>0.28799999999999998</v>
      </c>
    </row>
    <row r="50" spans="1:66" x14ac:dyDescent="0.25">
      <c r="A50">
        <v>2025</v>
      </c>
      <c r="B50" s="1">
        <f t="shared" si="23"/>
        <v>45702</v>
      </c>
      <c r="C50">
        <v>45</v>
      </c>
      <c r="D50">
        <v>70</v>
      </c>
      <c r="E50" s="6">
        <v>13.12</v>
      </c>
      <c r="F50" s="6">
        <v>-9.17</v>
      </c>
      <c r="G50" s="6">
        <v>-3.093</v>
      </c>
      <c r="H50" s="6">
        <v>-14.56</v>
      </c>
      <c r="I50" s="6">
        <v>1.5309999999999999</v>
      </c>
      <c r="J50" s="6">
        <v>-8.3800000000000008</v>
      </c>
      <c r="K50" s="6">
        <v>71.3</v>
      </c>
      <c r="L50" s="6"/>
      <c r="M50" s="6">
        <v>-3.6110000000000002</v>
      </c>
      <c r="N50" s="6">
        <v>0.14199999999999999</v>
      </c>
      <c r="O50" s="6">
        <v>-2.7919999999999998</v>
      </c>
      <c r="P50" s="6">
        <v>87</v>
      </c>
      <c r="Q50" s="6"/>
      <c r="R50" s="6">
        <v>-2.879</v>
      </c>
      <c r="S50" s="6">
        <v>0.56100000000000005</v>
      </c>
      <c r="T50" s="6">
        <v>-13.06</v>
      </c>
      <c r="U50" s="6">
        <v>53.29</v>
      </c>
      <c r="V50" s="6"/>
      <c r="W50" s="6">
        <v>-4.0910000000000002</v>
      </c>
      <c r="X50" s="6">
        <v>-0.45200000000000001</v>
      </c>
      <c r="Y50" s="6">
        <v>4.0000000000000001E-3</v>
      </c>
      <c r="Z50" s="6">
        <v>0.54</v>
      </c>
      <c r="AA50" s="6">
        <v>0</v>
      </c>
      <c r="AB50" s="6">
        <v>1.583</v>
      </c>
      <c r="AC50" s="6">
        <v>-2.9849999999999999</v>
      </c>
      <c r="AD50" s="6">
        <v>-14.4</v>
      </c>
      <c r="AE50" s="6">
        <v>8.9999999999999993E-3</v>
      </c>
      <c r="AF50" s="6">
        <v>6.0000000000000001E-3</v>
      </c>
      <c r="AG50" s="6">
        <v>1.62</v>
      </c>
      <c r="AH50" s="6"/>
      <c r="AI50" s="6">
        <f t="shared" si="0"/>
        <v>0.45700000000000007</v>
      </c>
      <c r="AJ50">
        <f t="shared" si="26"/>
        <v>0</v>
      </c>
      <c r="AK50" s="21">
        <f t="shared" si="24"/>
        <v>0</v>
      </c>
      <c r="AL50">
        <f t="shared" si="25"/>
        <v>48.999999999999986</v>
      </c>
      <c r="AM50" s="4">
        <v>9.7200000000000006</v>
      </c>
      <c r="AN50">
        <v>1.53</v>
      </c>
      <c r="AP50" s="7">
        <f t="shared" si="3"/>
        <v>0.26500000000000001</v>
      </c>
      <c r="AQ50" s="7">
        <f t="shared" si="4"/>
        <v>0.23200000000000001</v>
      </c>
      <c r="AS50">
        <f t="shared" si="5"/>
        <v>1.53</v>
      </c>
      <c r="AT50">
        <f t="shared" si="6"/>
        <v>-8.4</v>
      </c>
      <c r="AU50">
        <f t="shared" si="7"/>
        <v>71.3</v>
      </c>
      <c r="AV50" t="s">
        <v>107</v>
      </c>
      <c r="AW50">
        <f t="shared" si="8"/>
        <v>-3.6</v>
      </c>
      <c r="AX50">
        <f t="shared" si="9"/>
        <v>0.1</v>
      </c>
      <c r="AY50">
        <f t="shared" si="10"/>
        <v>-2.8</v>
      </c>
      <c r="AZ50">
        <f t="shared" si="11"/>
        <v>87</v>
      </c>
      <c r="BA50" t="s">
        <v>107</v>
      </c>
      <c r="BB50">
        <f t="shared" si="12"/>
        <v>-2.9</v>
      </c>
      <c r="BC50">
        <f t="shared" si="13"/>
        <v>0.6</v>
      </c>
      <c r="BD50">
        <f t="shared" si="14"/>
        <v>-13.1</v>
      </c>
      <c r="BE50">
        <f t="shared" si="15"/>
        <v>53.3</v>
      </c>
      <c r="BF50" t="s">
        <v>107</v>
      </c>
      <c r="BG50">
        <f t="shared" si="16"/>
        <v>-4.0999999999999996</v>
      </c>
      <c r="BH50">
        <f t="shared" si="17"/>
        <v>-0.5</v>
      </c>
      <c r="BI50">
        <f t="shared" si="18"/>
        <v>0</v>
      </c>
      <c r="BJ50">
        <f t="shared" si="19"/>
        <v>0.54</v>
      </c>
      <c r="BK50">
        <f t="shared" si="20"/>
        <v>0.45700000000000007</v>
      </c>
      <c r="BL50">
        <f t="shared" si="21"/>
        <v>0</v>
      </c>
      <c r="BM50">
        <f t="shared" si="22"/>
        <v>0.26500000000000001</v>
      </c>
      <c r="BN50">
        <f t="shared" si="22"/>
        <v>0.23200000000000001</v>
      </c>
    </row>
    <row r="51" spans="1:66" x14ac:dyDescent="0.25">
      <c r="A51">
        <v>2025</v>
      </c>
      <c r="B51" s="1">
        <f t="shared" si="23"/>
        <v>45703</v>
      </c>
      <c r="C51">
        <v>46</v>
      </c>
      <c r="D51">
        <v>70</v>
      </c>
      <c r="E51" s="6">
        <v>13.12</v>
      </c>
      <c r="F51" s="6">
        <v>-9.1</v>
      </c>
      <c r="G51" s="6">
        <v>1.3380000000000001</v>
      </c>
      <c r="H51" s="6">
        <v>-15.49</v>
      </c>
      <c r="I51" s="6">
        <v>3.62</v>
      </c>
      <c r="J51" s="6">
        <v>-7.76</v>
      </c>
      <c r="K51" s="6">
        <v>73.900000000000006</v>
      </c>
      <c r="L51" s="6"/>
      <c r="M51" s="6">
        <v>-3.2770000000000001</v>
      </c>
      <c r="N51" s="6">
        <v>0.183</v>
      </c>
      <c r="O51" s="6">
        <v>0.439</v>
      </c>
      <c r="P51" s="6">
        <v>87.6</v>
      </c>
      <c r="Q51" s="6"/>
      <c r="R51" s="6">
        <v>-2.1669999999999998</v>
      </c>
      <c r="S51" s="6">
        <v>1.028</v>
      </c>
      <c r="T51" s="6">
        <v>-13.73</v>
      </c>
      <c r="U51" s="6">
        <v>44.53</v>
      </c>
      <c r="V51" s="6"/>
      <c r="W51" s="6">
        <v>-4.0330000000000004</v>
      </c>
      <c r="X51" s="6">
        <v>-0.432</v>
      </c>
      <c r="Y51" s="6">
        <v>0.28000000000000003</v>
      </c>
      <c r="Z51" s="6">
        <v>1.274</v>
      </c>
      <c r="AA51" s="6">
        <v>0</v>
      </c>
      <c r="AB51" s="6">
        <v>1.583</v>
      </c>
      <c r="AC51" s="6">
        <v>1.988</v>
      </c>
      <c r="AD51" s="6">
        <v>-15.44</v>
      </c>
      <c r="AE51" s="6">
        <v>8.9999999999999993E-3</v>
      </c>
      <c r="AF51" s="6">
        <v>6.0000000000000001E-3</v>
      </c>
      <c r="AG51" s="6">
        <v>1.6</v>
      </c>
      <c r="AH51" s="6"/>
      <c r="AI51" s="6">
        <f t="shared" si="0"/>
        <v>0.45700000000000007</v>
      </c>
      <c r="AJ51">
        <f t="shared" si="26"/>
        <v>0</v>
      </c>
      <c r="AK51" s="21">
        <f t="shared" si="24"/>
        <v>0</v>
      </c>
      <c r="AL51">
        <f t="shared" si="25"/>
        <v>48.999999999999986</v>
      </c>
      <c r="AM51" s="4">
        <v>9.92</v>
      </c>
      <c r="AN51">
        <v>3.62</v>
      </c>
      <c r="AP51" s="7">
        <f t="shared" si="3"/>
        <v>0.28100000000000003</v>
      </c>
      <c r="AQ51" s="7">
        <f t="shared" si="4"/>
        <v>0.35</v>
      </c>
      <c r="AS51">
        <f t="shared" si="5"/>
        <v>3.62</v>
      </c>
      <c r="AT51">
        <f t="shared" si="6"/>
        <v>-7.8</v>
      </c>
      <c r="AU51">
        <f t="shared" si="7"/>
        <v>73.900000000000006</v>
      </c>
      <c r="AV51" t="s">
        <v>107</v>
      </c>
      <c r="AW51">
        <f t="shared" si="8"/>
        <v>-3.3</v>
      </c>
      <c r="AX51">
        <f t="shared" si="9"/>
        <v>0.2</v>
      </c>
      <c r="AY51">
        <f t="shared" si="10"/>
        <v>0.4</v>
      </c>
      <c r="AZ51">
        <f t="shared" si="11"/>
        <v>87.6</v>
      </c>
      <c r="BA51" t="s">
        <v>107</v>
      </c>
      <c r="BB51">
        <f t="shared" si="12"/>
        <v>-2.2000000000000002</v>
      </c>
      <c r="BC51">
        <f t="shared" si="13"/>
        <v>1</v>
      </c>
      <c r="BD51">
        <f t="shared" si="14"/>
        <v>-13.7</v>
      </c>
      <c r="BE51">
        <f t="shared" si="15"/>
        <v>44.5</v>
      </c>
      <c r="BF51" t="s">
        <v>107</v>
      </c>
      <c r="BG51">
        <f t="shared" si="16"/>
        <v>-4</v>
      </c>
      <c r="BH51">
        <f t="shared" si="17"/>
        <v>-0.4</v>
      </c>
      <c r="BI51">
        <f t="shared" si="18"/>
        <v>0.28000000000000003</v>
      </c>
      <c r="BJ51">
        <f t="shared" si="19"/>
        <v>1.27</v>
      </c>
      <c r="BK51">
        <f t="shared" si="20"/>
        <v>0.45700000000000007</v>
      </c>
      <c r="BL51">
        <f t="shared" si="21"/>
        <v>0</v>
      </c>
      <c r="BM51">
        <f t="shared" si="22"/>
        <v>0.28100000000000003</v>
      </c>
      <c r="BN51">
        <f t="shared" si="22"/>
        <v>0.35</v>
      </c>
    </row>
    <row r="52" spans="1:66" x14ac:dyDescent="0.25">
      <c r="A52">
        <v>2025</v>
      </c>
      <c r="B52" s="1">
        <f t="shared" si="23"/>
        <v>45704</v>
      </c>
      <c r="C52">
        <v>47</v>
      </c>
      <c r="D52">
        <v>70</v>
      </c>
      <c r="E52" s="6">
        <v>13.04</v>
      </c>
      <c r="F52" s="6">
        <v>-5.6420000000000003</v>
      </c>
      <c r="G52" s="6">
        <v>-2.58</v>
      </c>
      <c r="H52" s="6">
        <v>-7.04</v>
      </c>
      <c r="I52" s="6">
        <v>0.93700000000000006</v>
      </c>
      <c r="J52" s="6">
        <v>-5.22</v>
      </c>
      <c r="K52" s="6">
        <v>84.9</v>
      </c>
      <c r="L52" s="6"/>
      <c r="M52" s="6">
        <v>-2.5329999999999999</v>
      </c>
      <c r="N52" s="6">
        <v>0.151</v>
      </c>
      <c r="O52" s="6">
        <v>-2.3889999999999998</v>
      </c>
      <c r="P52" s="6">
        <v>89.2</v>
      </c>
      <c r="Q52" s="6"/>
      <c r="R52" s="6">
        <v>-2.0419999999999998</v>
      </c>
      <c r="S52" s="6">
        <v>0.34300000000000003</v>
      </c>
      <c r="T52" s="6">
        <v>-6.6159999999999997</v>
      </c>
      <c r="U52" s="6">
        <v>75.8</v>
      </c>
      <c r="V52" s="6"/>
      <c r="W52" s="6">
        <v>-2.9780000000000002</v>
      </c>
      <c r="X52" s="6">
        <v>-9.0999999999999998E-2</v>
      </c>
      <c r="Y52" s="6">
        <v>0.41299999999999998</v>
      </c>
      <c r="Z52" s="6">
        <v>1.0740000000000001</v>
      </c>
      <c r="AA52" s="6">
        <v>0</v>
      </c>
      <c r="AB52" s="6">
        <v>1.5580000000000001</v>
      </c>
      <c r="AC52" s="6">
        <v>-2.548</v>
      </c>
      <c r="AD52" s="6">
        <v>-6.9139999999999997</v>
      </c>
      <c r="AE52" s="6">
        <v>8.9999999999999993E-3</v>
      </c>
      <c r="AF52" s="6">
        <v>6.0000000000000001E-3</v>
      </c>
      <c r="AG52" s="6">
        <v>1.5740000000000001</v>
      </c>
      <c r="AH52" s="6"/>
      <c r="AI52" s="6">
        <f t="shared" si="0"/>
        <v>0.48199999999999998</v>
      </c>
      <c r="AJ52">
        <f t="shared" si="26"/>
        <v>3.2</v>
      </c>
      <c r="AK52" s="21">
        <f t="shared" si="24"/>
        <v>3.2</v>
      </c>
      <c r="AL52">
        <f t="shared" si="25"/>
        <v>52.199999999999989</v>
      </c>
      <c r="AM52" s="4">
        <v>10.119999999999999</v>
      </c>
      <c r="AN52">
        <v>0.94</v>
      </c>
      <c r="AP52" s="7">
        <f t="shared" si="3"/>
        <v>0.38800000000000001</v>
      </c>
      <c r="AQ52" s="7">
        <f t="shared" si="4"/>
        <v>0.124</v>
      </c>
      <c r="AS52">
        <f t="shared" si="5"/>
        <v>0.94</v>
      </c>
      <c r="AT52">
        <f t="shared" si="6"/>
        <v>-5.2</v>
      </c>
      <c r="AU52">
        <f t="shared" si="7"/>
        <v>84.9</v>
      </c>
      <c r="AV52" t="s">
        <v>107</v>
      </c>
      <c r="AW52">
        <f t="shared" si="8"/>
        <v>-2.5</v>
      </c>
      <c r="AX52">
        <f t="shared" si="9"/>
        <v>0.2</v>
      </c>
      <c r="AY52">
        <f t="shared" si="10"/>
        <v>-2.4</v>
      </c>
      <c r="AZ52">
        <f t="shared" si="11"/>
        <v>89.2</v>
      </c>
      <c r="BA52" t="s">
        <v>107</v>
      </c>
      <c r="BB52">
        <f t="shared" si="12"/>
        <v>-2</v>
      </c>
      <c r="BC52">
        <f t="shared" si="13"/>
        <v>0.3</v>
      </c>
      <c r="BD52">
        <f t="shared" si="14"/>
        <v>-6.6</v>
      </c>
      <c r="BE52">
        <f t="shared" si="15"/>
        <v>75.8</v>
      </c>
      <c r="BF52" t="s">
        <v>107</v>
      </c>
      <c r="BG52">
        <f t="shared" si="16"/>
        <v>-3</v>
      </c>
      <c r="BH52">
        <f t="shared" si="17"/>
        <v>-0.1</v>
      </c>
      <c r="BI52">
        <f t="shared" si="18"/>
        <v>0.41</v>
      </c>
      <c r="BJ52">
        <f t="shared" si="19"/>
        <v>1.07</v>
      </c>
      <c r="BK52">
        <f t="shared" si="20"/>
        <v>0.48199999999999998</v>
      </c>
      <c r="BL52">
        <f t="shared" si="21"/>
        <v>3.2</v>
      </c>
      <c r="BM52">
        <f t="shared" si="22"/>
        <v>0.38800000000000001</v>
      </c>
      <c r="BN52">
        <f t="shared" si="22"/>
        <v>0.124</v>
      </c>
    </row>
    <row r="53" spans="1:66" x14ac:dyDescent="0.25">
      <c r="A53">
        <v>2025</v>
      </c>
      <c r="B53" s="1">
        <f t="shared" si="23"/>
        <v>45705</v>
      </c>
      <c r="C53">
        <v>48</v>
      </c>
      <c r="D53">
        <v>70</v>
      </c>
      <c r="E53" s="6">
        <v>12.97</v>
      </c>
      <c r="F53" s="6">
        <v>-6.4359999999999999</v>
      </c>
      <c r="G53" s="6">
        <v>-2.097</v>
      </c>
      <c r="H53" s="6">
        <v>-11.56</v>
      </c>
      <c r="I53" s="6">
        <v>0.63600000000000001</v>
      </c>
      <c r="J53" s="6">
        <v>-5.7519999999999998</v>
      </c>
      <c r="K53" s="6">
        <v>85.3</v>
      </c>
      <c r="L53" s="6"/>
      <c r="M53" s="6">
        <v>-2.1259999999999999</v>
      </c>
      <c r="N53" s="6">
        <v>0.125</v>
      </c>
      <c r="O53" s="6">
        <v>-1.3120000000000001</v>
      </c>
      <c r="P53" s="6">
        <v>89.4</v>
      </c>
      <c r="Q53" s="6"/>
      <c r="R53" s="6">
        <v>-1.577</v>
      </c>
      <c r="S53" s="6">
        <v>0.51100000000000001</v>
      </c>
      <c r="T53" s="6">
        <v>-10.17</v>
      </c>
      <c r="U53" s="6">
        <v>73.3</v>
      </c>
      <c r="V53" s="6"/>
      <c r="W53" s="6">
        <v>-2.5379999999999998</v>
      </c>
      <c r="X53" s="6">
        <v>-0.33500000000000002</v>
      </c>
      <c r="Y53" s="6">
        <v>0.16900000000000001</v>
      </c>
      <c r="Z53" s="6">
        <v>0.874</v>
      </c>
      <c r="AA53" s="6">
        <v>0</v>
      </c>
      <c r="AB53" s="6">
        <v>1.538</v>
      </c>
      <c r="AC53" s="6">
        <v>-2.09</v>
      </c>
      <c r="AD53" s="6">
        <v>-11.21</v>
      </c>
      <c r="AE53" s="6">
        <v>8.9999999999999993E-3</v>
      </c>
      <c r="AF53" s="6">
        <v>7.0000000000000001E-3</v>
      </c>
      <c r="AG53" s="6">
        <v>1.5660000000000001</v>
      </c>
      <c r="AH53" s="6"/>
      <c r="AI53" s="6">
        <f t="shared" si="0"/>
        <v>0.502</v>
      </c>
      <c r="AJ53">
        <f t="shared" si="26"/>
        <v>2.6</v>
      </c>
      <c r="AK53" s="21">
        <f t="shared" si="24"/>
        <v>2.6</v>
      </c>
      <c r="AL53">
        <f t="shared" si="25"/>
        <v>54.79999999999999</v>
      </c>
      <c r="AM53" s="4">
        <v>10.32</v>
      </c>
      <c r="AN53">
        <v>0.63</v>
      </c>
      <c r="AP53" s="7">
        <f t="shared" si="3"/>
        <v>0.40699999999999997</v>
      </c>
      <c r="AQ53" s="7">
        <f t="shared" si="4"/>
        <v>0.14799999999999999</v>
      </c>
      <c r="AS53">
        <f t="shared" si="5"/>
        <v>0.63</v>
      </c>
      <c r="AT53">
        <f t="shared" si="6"/>
        <v>-5.8</v>
      </c>
      <c r="AU53">
        <f t="shared" si="7"/>
        <v>85.3</v>
      </c>
      <c r="AV53" t="s">
        <v>107</v>
      </c>
      <c r="AW53">
        <f t="shared" si="8"/>
        <v>-2.1</v>
      </c>
      <c r="AX53">
        <f t="shared" si="9"/>
        <v>0.1</v>
      </c>
      <c r="AY53">
        <f t="shared" si="10"/>
        <v>-1.3</v>
      </c>
      <c r="AZ53">
        <f t="shared" si="11"/>
        <v>89.4</v>
      </c>
      <c r="BA53" t="s">
        <v>107</v>
      </c>
      <c r="BB53">
        <f t="shared" si="12"/>
        <v>-1.6</v>
      </c>
      <c r="BC53">
        <f t="shared" si="13"/>
        <v>0.5</v>
      </c>
      <c r="BD53">
        <f t="shared" si="14"/>
        <v>-10.199999999999999</v>
      </c>
      <c r="BE53">
        <f t="shared" si="15"/>
        <v>73.3</v>
      </c>
      <c r="BF53" t="s">
        <v>107</v>
      </c>
      <c r="BG53">
        <f t="shared" si="16"/>
        <v>-2.5</v>
      </c>
      <c r="BH53">
        <f t="shared" si="17"/>
        <v>-0.3</v>
      </c>
      <c r="BI53">
        <f t="shared" si="18"/>
        <v>0.17</v>
      </c>
      <c r="BJ53">
        <f t="shared" si="19"/>
        <v>0.87</v>
      </c>
      <c r="BK53">
        <f t="shared" si="20"/>
        <v>0.502</v>
      </c>
      <c r="BL53">
        <f t="shared" si="21"/>
        <v>2.6</v>
      </c>
      <c r="BM53">
        <f t="shared" si="22"/>
        <v>0.40699999999999997</v>
      </c>
      <c r="BN53">
        <f t="shared" si="22"/>
        <v>0.14799999999999999</v>
      </c>
    </row>
    <row r="54" spans="1:66" x14ac:dyDescent="0.25">
      <c r="A54">
        <v>2025</v>
      </c>
      <c r="B54" s="1">
        <f t="shared" si="23"/>
        <v>45706</v>
      </c>
      <c r="C54">
        <v>49</v>
      </c>
      <c r="D54">
        <v>70</v>
      </c>
      <c r="E54" s="6">
        <v>13.06</v>
      </c>
      <c r="F54" s="6">
        <v>-7.42</v>
      </c>
      <c r="G54" s="6">
        <v>-2.2709999999999999</v>
      </c>
      <c r="H54" s="6">
        <v>-13.01</v>
      </c>
      <c r="I54" s="6">
        <v>0.98799999999999999</v>
      </c>
      <c r="J54" s="6">
        <v>-5.9989999999999997</v>
      </c>
      <c r="K54" s="6">
        <v>80</v>
      </c>
      <c r="L54" s="6"/>
      <c r="M54" s="6">
        <v>-2.1269999999999998</v>
      </c>
      <c r="N54" s="6">
        <v>0.22</v>
      </c>
      <c r="O54" s="6">
        <v>-0.97599999999999998</v>
      </c>
      <c r="P54" s="6">
        <v>89.1</v>
      </c>
      <c r="Q54" s="6"/>
      <c r="R54" s="6">
        <v>-1.6830000000000001</v>
      </c>
      <c r="S54" s="6">
        <v>0.85499999999999998</v>
      </c>
      <c r="T54" s="6">
        <v>-11.45</v>
      </c>
      <c r="U54" s="6">
        <v>58.2</v>
      </c>
      <c r="V54" s="6"/>
      <c r="W54" s="6">
        <v>-2.7160000000000002</v>
      </c>
      <c r="X54" s="6">
        <v>-2.8000000000000001E-2</v>
      </c>
      <c r="Y54" s="6">
        <v>0.40500000000000003</v>
      </c>
      <c r="Z54" s="6">
        <v>1.2470000000000001</v>
      </c>
      <c r="AA54" s="6">
        <v>0</v>
      </c>
      <c r="AB54" s="6">
        <v>1.5449999999999999</v>
      </c>
      <c r="AC54" s="6">
        <v>-2.0489999999999999</v>
      </c>
      <c r="AD54" s="6">
        <v>-12.89</v>
      </c>
      <c r="AE54" s="6">
        <v>8.0000000000000002E-3</v>
      </c>
      <c r="AF54" s="6">
        <v>6.0000000000000001E-3</v>
      </c>
      <c r="AG54" s="6">
        <v>1.556</v>
      </c>
      <c r="AH54" s="6"/>
      <c r="AI54" s="6">
        <f t="shared" si="0"/>
        <v>0.49500000000000011</v>
      </c>
      <c r="AJ54">
        <f t="shared" si="26"/>
        <v>0</v>
      </c>
      <c r="AK54" s="21">
        <f t="shared" si="24"/>
        <v>0</v>
      </c>
      <c r="AL54">
        <f t="shared" si="25"/>
        <v>54.79999999999999</v>
      </c>
      <c r="AM54" s="4">
        <v>10.53</v>
      </c>
      <c r="AN54">
        <v>0.99</v>
      </c>
      <c r="AP54" s="7">
        <f t="shared" si="3"/>
        <v>0.33100000000000002</v>
      </c>
      <c r="AQ54" s="7">
        <f t="shared" si="4"/>
        <v>0.23799999999999999</v>
      </c>
      <c r="AS54">
        <f t="shared" si="5"/>
        <v>0.99</v>
      </c>
      <c r="AT54">
        <f t="shared" si="6"/>
        <v>-6</v>
      </c>
      <c r="AU54">
        <f t="shared" si="7"/>
        <v>80</v>
      </c>
      <c r="AV54" t="s">
        <v>107</v>
      </c>
      <c r="AW54">
        <f t="shared" si="8"/>
        <v>-2.1</v>
      </c>
      <c r="AX54">
        <f t="shared" si="9"/>
        <v>0.2</v>
      </c>
      <c r="AY54">
        <f t="shared" si="10"/>
        <v>-1</v>
      </c>
      <c r="AZ54">
        <f t="shared" si="11"/>
        <v>89.1</v>
      </c>
      <c r="BA54" t="s">
        <v>107</v>
      </c>
      <c r="BB54">
        <f t="shared" si="12"/>
        <v>-1.7</v>
      </c>
      <c r="BC54">
        <f t="shared" si="13"/>
        <v>0.9</v>
      </c>
      <c r="BD54">
        <f t="shared" si="14"/>
        <v>-11.5</v>
      </c>
      <c r="BE54">
        <f t="shared" si="15"/>
        <v>58.2</v>
      </c>
      <c r="BF54" t="s">
        <v>107</v>
      </c>
      <c r="BG54">
        <f t="shared" si="16"/>
        <v>-2.7</v>
      </c>
      <c r="BH54">
        <f t="shared" si="17"/>
        <v>0</v>
      </c>
      <c r="BI54">
        <f t="shared" si="18"/>
        <v>0.41</v>
      </c>
      <c r="BJ54">
        <f t="shared" si="19"/>
        <v>1.25</v>
      </c>
      <c r="BK54">
        <f t="shared" si="20"/>
        <v>0.49500000000000011</v>
      </c>
      <c r="BL54">
        <f t="shared" si="21"/>
        <v>0</v>
      </c>
      <c r="BM54">
        <f t="shared" si="22"/>
        <v>0.33100000000000002</v>
      </c>
      <c r="BN54">
        <f t="shared" si="22"/>
        <v>0.23799999999999999</v>
      </c>
    </row>
    <row r="55" spans="1:66" x14ac:dyDescent="0.25">
      <c r="A55">
        <v>2025</v>
      </c>
      <c r="B55" s="1">
        <f t="shared" si="23"/>
        <v>45707</v>
      </c>
      <c r="C55">
        <v>50</v>
      </c>
      <c r="D55">
        <v>70</v>
      </c>
      <c r="E55" s="6">
        <v>12.94</v>
      </c>
      <c r="F55" s="6">
        <v>-3.0430000000000001</v>
      </c>
      <c r="G55" s="6">
        <v>-0.77800000000000002</v>
      </c>
      <c r="H55" s="6">
        <v>-4.7649999999999997</v>
      </c>
      <c r="I55" s="6">
        <v>0.51300000000000001</v>
      </c>
      <c r="J55" s="6">
        <v>-2.3039999999999998</v>
      </c>
      <c r="K55" s="6">
        <v>82.1</v>
      </c>
      <c r="L55" s="6"/>
      <c r="M55" s="6">
        <v>-1.5309999999999999</v>
      </c>
      <c r="N55" s="6">
        <v>0.215</v>
      </c>
      <c r="O55" s="6">
        <v>-0.17100000000000001</v>
      </c>
      <c r="P55" s="6">
        <v>90.2</v>
      </c>
      <c r="Q55" s="6"/>
      <c r="R55" s="6">
        <v>-1.1459999999999999</v>
      </c>
      <c r="S55" s="6">
        <v>0.39500000000000002</v>
      </c>
      <c r="T55" s="6">
        <v>-4.1360000000000001</v>
      </c>
      <c r="U55" s="6">
        <v>71.400000000000006</v>
      </c>
      <c r="V55" s="6"/>
      <c r="W55" s="6">
        <v>-1.9279999999999999</v>
      </c>
      <c r="X55" s="6">
        <v>-0.106</v>
      </c>
      <c r="Y55" s="6">
        <v>0.60499999999999998</v>
      </c>
      <c r="Z55" s="6">
        <v>1.74</v>
      </c>
      <c r="AA55" s="6">
        <v>0</v>
      </c>
      <c r="AB55" s="6">
        <v>1.5229999999999999</v>
      </c>
      <c r="AC55" s="6">
        <v>-0.72399999999999998</v>
      </c>
      <c r="AD55" s="6">
        <v>-4.633</v>
      </c>
      <c r="AE55" s="6">
        <v>8.9999999999999993E-3</v>
      </c>
      <c r="AF55" s="6">
        <v>6.0000000000000001E-3</v>
      </c>
      <c r="AG55" s="6">
        <v>1.5249999999999999</v>
      </c>
      <c r="AH55" s="6"/>
      <c r="AI55" s="6">
        <f t="shared" si="0"/>
        <v>0.51700000000000013</v>
      </c>
      <c r="AJ55">
        <f t="shared" si="26"/>
        <v>2.9</v>
      </c>
      <c r="AK55" s="21">
        <f t="shared" si="24"/>
        <v>2.9</v>
      </c>
      <c r="AL55">
        <f t="shared" si="25"/>
        <v>57.699999999999989</v>
      </c>
      <c r="AM55" s="4">
        <v>10.74</v>
      </c>
      <c r="AN55">
        <v>0.51</v>
      </c>
      <c r="AP55" s="7">
        <f t="shared" si="3"/>
        <v>0.43099999999999999</v>
      </c>
      <c r="AQ55" s="7">
        <f t="shared" si="4"/>
        <v>0.17299999999999999</v>
      </c>
      <c r="AS55">
        <f t="shared" si="5"/>
        <v>0.51</v>
      </c>
      <c r="AT55">
        <f t="shared" si="6"/>
        <v>-2.2999999999999998</v>
      </c>
      <c r="AU55">
        <f t="shared" si="7"/>
        <v>82.1</v>
      </c>
      <c r="AV55" t="s">
        <v>107</v>
      </c>
      <c r="AW55">
        <f t="shared" si="8"/>
        <v>-1.5</v>
      </c>
      <c r="AX55">
        <f t="shared" si="9"/>
        <v>0.2</v>
      </c>
      <c r="AY55">
        <f t="shared" si="10"/>
        <v>-0.2</v>
      </c>
      <c r="AZ55">
        <f t="shared" si="11"/>
        <v>90.2</v>
      </c>
      <c r="BA55" t="s">
        <v>107</v>
      </c>
      <c r="BB55">
        <f t="shared" si="12"/>
        <v>-1.1000000000000001</v>
      </c>
      <c r="BC55">
        <f t="shared" si="13"/>
        <v>0.4</v>
      </c>
      <c r="BD55">
        <f t="shared" si="14"/>
        <v>-4.0999999999999996</v>
      </c>
      <c r="BE55">
        <f t="shared" si="15"/>
        <v>71.400000000000006</v>
      </c>
      <c r="BF55" t="s">
        <v>107</v>
      </c>
      <c r="BG55">
        <f t="shared" si="16"/>
        <v>-1.9</v>
      </c>
      <c r="BH55">
        <f t="shared" si="17"/>
        <v>-0.1</v>
      </c>
      <c r="BI55">
        <f t="shared" si="18"/>
        <v>0.61</v>
      </c>
      <c r="BJ55">
        <f t="shared" si="19"/>
        <v>1.74</v>
      </c>
      <c r="BK55">
        <f t="shared" si="20"/>
        <v>0.51700000000000013</v>
      </c>
      <c r="BL55">
        <f t="shared" si="21"/>
        <v>2.9</v>
      </c>
      <c r="BM55">
        <f t="shared" si="22"/>
        <v>0.43099999999999999</v>
      </c>
      <c r="BN55">
        <f t="shared" si="22"/>
        <v>0.17299999999999999</v>
      </c>
    </row>
    <row r="56" spans="1:66" x14ac:dyDescent="0.25">
      <c r="A56">
        <v>2025</v>
      </c>
      <c r="B56" s="1">
        <f t="shared" si="23"/>
        <v>45708</v>
      </c>
      <c r="C56">
        <v>51</v>
      </c>
      <c r="D56">
        <v>70</v>
      </c>
      <c r="E56" s="6">
        <v>13.09</v>
      </c>
      <c r="F56" s="6">
        <v>-0.22500000000000001</v>
      </c>
      <c r="G56" s="6">
        <v>7.13</v>
      </c>
      <c r="H56" s="6">
        <v>-4.2380000000000004</v>
      </c>
      <c r="I56" s="6">
        <v>4.5220000000000002</v>
      </c>
      <c r="J56" s="6">
        <v>0.66700000000000004</v>
      </c>
      <c r="K56" s="6">
        <v>78.7</v>
      </c>
      <c r="L56" s="6"/>
      <c r="M56" s="6">
        <v>-0.54900000000000004</v>
      </c>
      <c r="N56" s="6">
        <v>0.23200000000000001</v>
      </c>
      <c r="O56" s="6">
        <v>7.42</v>
      </c>
      <c r="P56" s="6">
        <v>91.6</v>
      </c>
      <c r="Q56" s="6"/>
      <c r="R56" s="6">
        <v>0.79500000000000004</v>
      </c>
      <c r="S56" s="6">
        <v>1.327</v>
      </c>
      <c r="T56" s="6">
        <v>-2.5230000000000001</v>
      </c>
      <c r="U56" s="6">
        <v>54</v>
      </c>
      <c r="V56" s="6"/>
      <c r="W56" s="6">
        <v>-1.2769999999999999</v>
      </c>
      <c r="X56" s="6">
        <v>-0.09</v>
      </c>
      <c r="Y56" s="6">
        <v>0.54700000000000004</v>
      </c>
      <c r="Z56" s="6">
        <v>2.0470000000000002</v>
      </c>
      <c r="AA56" s="6">
        <v>2.1</v>
      </c>
      <c r="AB56" s="6">
        <v>1.5549999999999999</v>
      </c>
      <c r="AC56" s="6">
        <v>7.31</v>
      </c>
      <c r="AD56" s="6">
        <v>-4.1120000000000001</v>
      </c>
      <c r="AE56" s="6">
        <v>8.9999999999999993E-3</v>
      </c>
      <c r="AF56" s="6">
        <v>7.0000000000000001E-3</v>
      </c>
      <c r="AG56" s="6">
        <v>1.5609999999999999</v>
      </c>
      <c r="AH56" s="6"/>
      <c r="AI56" s="6">
        <f t="shared" si="0"/>
        <v>0.4850000000000001</v>
      </c>
      <c r="AJ56">
        <f t="shared" si="26"/>
        <v>0</v>
      </c>
      <c r="AK56" s="21">
        <f t="shared" si="24"/>
        <v>0</v>
      </c>
      <c r="AL56">
        <f t="shared" si="25"/>
        <v>57.699999999999989</v>
      </c>
      <c r="AM56" s="4">
        <v>10.95</v>
      </c>
      <c r="AN56">
        <v>4.5199999999999996</v>
      </c>
      <c r="AP56" s="7">
        <f t="shared" si="3"/>
        <v>0.55700000000000005</v>
      </c>
      <c r="AQ56" s="7">
        <f t="shared" si="4"/>
        <v>0.47399999999999998</v>
      </c>
      <c r="AS56">
        <f t="shared" si="5"/>
        <v>4.5199999999999996</v>
      </c>
      <c r="AT56">
        <f t="shared" si="6"/>
        <v>0.7</v>
      </c>
      <c r="AU56">
        <f t="shared" si="7"/>
        <v>78.7</v>
      </c>
      <c r="AV56" t="s">
        <v>107</v>
      </c>
      <c r="AW56">
        <f t="shared" si="8"/>
        <v>-0.5</v>
      </c>
      <c r="AX56">
        <f t="shared" si="9"/>
        <v>0.2</v>
      </c>
      <c r="AY56">
        <f t="shared" si="10"/>
        <v>7.4</v>
      </c>
      <c r="AZ56">
        <f t="shared" si="11"/>
        <v>91.6</v>
      </c>
      <c r="BA56" t="s">
        <v>107</v>
      </c>
      <c r="BB56">
        <f t="shared" si="12"/>
        <v>0.8</v>
      </c>
      <c r="BC56">
        <f t="shared" si="13"/>
        <v>1.3</v>
      </c>
      <c r="BD56">
        <f t="shared" si="14"/>
        <v>-2.5</v>
      </c>
      <c r="BE56">
        <f t="shared" si="15"/>
        <v>54</v>
      </c>
      <c r="BF56" t="s">
        <v>107</v>
      </c>
      <c r="BG56">
        <f t="shared" si="16"/>
        <v>-1.3</v>
      </c>
      <c r="BH56">
        <f t="shared" si="17"/>
        <v>-0.1</v>
      </c>
      <c r="BI56">
        <f t="shared" si="18"/>
        <v>0.55000000000000004</v>
      </c>
      <c r="BJ56">
        <f t="shared" si="19"/>
        <v>2.0499999999999998</v>
      </c>
      <c r="BK56">
        <f t="shared" si="20"/>
        <v>0.4850000000000001</v>
      </c>
      <c r="BL56">
        <f t="shared" si="21"/>
        <v>0</v>
      </c>
      <c r="BM56">
        <f t="shared" si="22"/>
        <v>0.55700000000000005</v>
      </c>
      <c r="BN56">
        <f t="shared" si="22"/>
        <v>0.47399999999999998</v>
      </c>
    </row>
    <row r="57" spans="1:66" x14ac:dyDescent="0.25">
      <c r="A57">
        <v>2025</v>
      </c>
      <c r="B57" s="1">
        <f t="shared" si="23"/>
        <v>45709</v>
      </c>
      <c r="C57">
        <v>52</v>
      </c>
      <c r="D57">
        <v>70</v>
      </c>
      <c r="E57" s="6">
        <v>12.93</v>
      </c>
      <c r="F57" s="6">
        <v>-0.75700000000000001</v>
      </c>
      <c r="G57" s="6">
        <v>0.52900000000000003</v>
      </c>
      <c r="H57" s="6">
        <v>-4.218</v>
      </c>
      <c r="I57" s="6">
        <v>0.39400000000000002</v>
      </c>
      <c r="J57" s="6">
        <v>0.03</v>
      </c>
      <c r="K57" s="6">
        <v>88.4</v>
      </c>
      <c r="L57" s="6"/>
      <c r="M57" s="6">
        <v>-0.111</v>
      </c>
      <c r="N57" s="6">
        <v>0.27900000000000003</v>
      </c>
      <c r="O57" s="6">
        <v>1.5</v>
      </c>
      <c r="P57" s="6">
        <v>92.3</v>
      </c>
      <c r="Q57" s="6"/>
      <c r="R57" s="6">
        <v>0.10100000000000001</v>
      </c>
      <c r="S57" s="6">
        <v>0.38900000000000001</v>
      </c>
      <c r="T57" s="6">
        <v>-2.3879999999999999</v>
      </c>
      <c r="U57" s="6">
        <v>80.599999999999994</v>
      </c>
      <c r="V57" s="6"/>
      <c r="W57" s="6">
        <v>-0.40799999999999997</v>
      </c>
      <c r="X57" s="6">
        <v>0.18099999999999999</v>
      </c>
      <c r="Y57" s="6">
        <v>0.69799999999999995</v>
      </c>
      <c r="Z57" s="6">
        <v>2.5</v>
      </c>
      <c r="AA57" s="6">
        <v>0.1</v>
      </c>
      <c r="AB57" s="6">
        <v>1.49</v>
      </c>
      <c r="AC57" s="6">
        <v>0.65800000000000003</v>
      </c>
      <c r="AD57" s="6">
        <v>-4.1120000000000001</v>
      </c>
      <c r="AE57" s="6">
        <v>8.9999999999999993E-3</v>
      </c>
      <c r="AF57" s="6">
        <v>7.0000000000000001E-3</v>
      </c>
      <c r="AG57" s="6">
        <v>1.4890000000000001</v>
      </c>
      <c r="AH57" s="6"/>
      <c r="AI57" s="6">
        <f t="shared" si="0"/>
        <v>0.55000000000000004</v>
      </c>
      <c r="AJ57">
        <f t="shared" si="26"/>
        <v>8.4</v>
      </c>
      <c r="AK57" s="21">
        <f t="shared" si="24"/>
        <v>8.4</v>
      </c>
      <c r="AL57">
        <f t="shared" si="25"/>
        <v>66.099999999999994</v>
      </c>
      <c r="AM57" s="4">
        <v>11.17</v>
      </c>
      <c r="AN57">
        <v>0.39</v>
      </c>
      <c r="AP57" s="7">
        <f t="shared" si="3"/>
        <v>0.54800000000000004</v>
      </c>
      <c r="AQ57" s="7">
        <f t="shared" si="4"/>
        <v>0.13200000000000001</v>
      </c>
      <c r="AS57">
        <f t="shared" si="5"/>
        <v>0.39</v>
      </c>
      <c r="AT57">
        <f t="shared" si="6"/>
        <v>0</v>
      </c>
      <c r="AU57">
        <f t="shared" si="7"/>
        <v>88.4</v>
      </c>
      <c r="AV57" t="s">
        <v>107</v>
      </c>
      <c r="AW57">
        <f t="shared" si="8"/>
        <v>-0.1</v>
      </c>
      <c r="AX57">
        <f t="shared" si="9"/>
        <v>0.3</v>
      </c>
      <c r="AY57">
        <f t="shared" si="10"/>
        <v>1.5</v>
      </c>
      <c r="AZ57">
        <f t="shared" si="11"/>
        <v>92.3</v>
      </c>
      <c r="BA57" t="s">
        <v>107</v>
      </c>
      <c r="BB57">
        <f t="shared" si="12"/>
        <v>0.1</v>
      </c>
      <c r="BC57">
        <f t="shared" si="13"/>
        <v>0.4</v>
      </c>
      <c r="BD57">
        <f t="shared" si="14"/>
        <v>-2.4</v>
      </c>
      <c r="BE57">
        <f t="shared" si="15"/>
        <v>80.599999999999994</v>
      </c>
      <c r="BF57" t="s">
        <v>107</v>
      </c>
      <c r="BG57">
        <f t="shared" si="16"/>
        <v>-0.4</v>
      </c>
      <c r="BH57">
        <f t="shared" si="17"/>
        <v>0.2</v>
      </c>
      <c r="BI57">
        <f t="shared" si="18"/>
        <v>0.7</v>
      </c>
      <c r="BJ57">
        <f t="shared" si="19"/>
        <v>2.5</v>
      </c>
      <c r="BK57">
        <f t="shared" si="20"/>
        <v>0.55000000000000004</v>
      </c>
      <c r="BL57">
        <f t="shared" si="21"/>
        <v>8.4</v>
      </c>
      <c r="BM57">
        <f t="shared" si="22"/>
        <v>0.54800000000000004</v>
      </c>
      <c r="BN57">
        <f t="shared" si="22"/>
        <v>0.13200000000000001</v>
      </c>
    </row>
    <row r="58" spans="1:66" x14ac:dyDescent="0.25">
      <c r="A58">
        <v>2025</v>
      </c>
      <c r="B58" s="1">
        <f t="shared" si="23"/>
        <v>45710</v>
      </c>
      <c r="C58">
        <v>53</v>
      </c>
      <c r="D58">
        <v>70</v>
      </c>
      <c r="E58" s="6">
        <v>13.03</v>
      </c>
      <c r="F58" s="6">
        <v>0.65900000000000003</v>
      </c>
      <c r="G58" s="6">
        <v>5.008</v>
      </c>
      <c r="H58" s="6">
        <v>-1.857</v>
      </c>
      <c r="I58" s="6">
        <v>3.5419999999999998</v>
      </c>
      <c r="J58" s="6">
        <v>1.7669999999999999</v>
      </c>
      <c r="K58" s="6">
        <v>84.1</v>
      </c>
      <c r="L58" s="6"/>
      <c r="M58" s="6">
        <v>1.0999999999999999E-2</v>
      </c>
      <c r="N58" s="6">
        <v>0.32700000000000001</v>
      </c>
      <c r="O58" s="6">
        <v>6.6120000000000001</v>
      </c>
      <c r="P58" s="6">
        <v>91</v>
      </c>
      <c r="Q58" s="6"/>
      <c r="R58" s="6">
        <v>0.371</v>
      </c>
      <c r="S58" s="6">
        <v>0.67800000000000005</v>
      </c>
      <c r="T58" s="6">
        <v>-0.77400000000000002</v>
      </c>
      <c r="U58" s="6">
        <v>65.709999999999994</v>
      </c>
      <c r="V58" s="6"/>
      <c r="W58" s="6">
        <v>-0.20499999999999999</v>
      </c>
      <c r="X58" s="6">
        <v>0.15</v>
      </c>
      <c r="Y58" s="6">
        <v>1.113</v>
      </c>
      <c r="Z58" s="6">
        <v>2.9</v>
      </c>
      <c r="AA58" s="6">
        <v>2.2000000000000002</v>
      </c>
      <c r="AB58" s="6">
        <v>1.518</v>
      </c>
      <c r="AC58" s="6">
        <v>5.5270000000000001</v>
      </c>
      <c r="AD58" s="6">
        <v>-1.696</v>
      </c>
      <c r="AE58" s="6">
        <v>8.9999999999999993E-3</v>
      </c>
      <c r="AF58" s="6">
        <v>6.0000000000000001E-3</v>
      </c>
      <c r="AG58" s="6">
        <v>1.5089999999999999</v>
      </c>
      <c r="AH58" s="6"/>
      <c r="AI58" s="6">
        <f t="shared" si="0"/>
        <v>0.52200000000000002</v>
      </c>
      <c r="AJ58">
        <f t="shared" si="26"/>
        <v>0</v>
      </c>
      <c r="AK58" s="21">
        <f t="shared" si="24"/>
        <v>0</v>
      </c>
      <c r="AL58">
        <f t="shared" si="25"/>
        <v>66.099999999999994</v>
      </c>
      <c r="AM58" s="4">
        <v>11.39</v>
      </c>
      <c r="AN58">
        <v>3.54</v>
      </c>
      <c r="AP58" s="7">
        <f t="shared" si="3"/>
        <v>0.64100000000000001</v>
      </c>
      <c r="AQ58" s="7">
        <f t="shared" si="4"/>
        <v>0.33400000000000002</v>
      </c>
      <c r="AS58">
        <f t="shared" si="5"/>
        <v>3.54</v>
      </c>
      <c r="AT58">
        <f t="shared" si="6"/>
        <v>1.8</v>
      </c>
      <c r="AU58">
        <f t="shared" si="7"/>
        <v>84.1</v>
      </c>
      <c r="AV58" t="s">
        <v>107</v>
      </c>
      <c r="AW58">
        <f t="shared" si="8"/>
        <v>0</v>
      </c>
      <c r="AX58">
        <f t="shared" si="9"/>
        <v>0.3</v>
      </c>
      <c r="AY58">
        <f t="shared" si="10"/>
        <v>6.6</v>
      </c>
      <c r="AZ58">
        <f t="shared" si="11"/>
        <v>91</v>
      </c>
      <c r="BA58" t="s">
        <v>107</v>
      </c>
      <c r="BB58">
        <f t="shared" si="12"/>
        <v>0.4</v>
      </c>
      <c r="BC58">
        <f t="shared" si="13"/>
        <v>0.7</v>
      </c>
      <c r="BD58">
        <f t="shared" si="14"/>
        <v>-0.8</v>
      </c>
      <c r="BE58">
        <f t="shared" si="15"/>
        <v>65.7</v>
      </c>
      <c r="BF58" t="s">
        <v>107</v>
      </c>
      <c r="BG58">
        <f t="shared" si="16"/>
        <v>-0.2</v>
      </c>
      <c r="BH58">
        <f t="shared" si="17"/>
        <v>0.2</v>
      </c>
      <c r="BI58">
        <f t="shared" si="18"/>
        <v>1.1100000000000001</v>
      </c>
      <c r="BJ58">
        <f t="shared" si="19"/>
        <v>2.9</v>
      </c>
      <c r="BK58">
        <f t="shared" si="20"/>
        <v>0.52200000000000002</v>
      </c>
      <c r="BL58">
        <f t="shared" si="21"/>
        <v>0</v>
      </c>
      <c r="BM58">
        <f t="shared" si="22"/>
        <v>0.64100000000000001</v>
      </c>
      <c r="BN58">
        <f t="shared" si="22"/>
        <v>0.33400000000000002</v>
      </c>
    </row>
    <row r="59" spans="1:66" x14ac:dyDescent="0.25">
      <c r="A59">
        <v>2025</v>
      </c>
      <c r="B59" s="1">
        <f t="shared" si="23"/>
        <v>45711</v>
      </c>
      <c r="C59">
        <v>54</v>
      </c>
      <c r="D59">
        <v>70</v>
      </c>
      <c r="E59" s="6">
        <v>13.11</v>
      </c>
      <c r="F59" s="6">
        <v>2.3740000000000001</v>
      </c>
      <c r="G59" s="6">
        <v>11.58</v>
      </c>
      <c r="H59" s="6">
        <v>-1.5580000000000001</v>
      </c>
      <c r="I59" s="6">
        <v>8.32</v>
      </c>
      <c r="J59" s="6">
        <v>3.3010000000000002</v>
      </c>
      <c r="K59" s="6">
        <v>69.150000000000006</v>
      </c>
      <c r="L59" s="6"/>
      <c r="M59" s="6">
        <v>4.2000000000000003E-2</v>
      </c>
      <c r="N59" s="6">
        <v>0.372</v>
      </c>
      <c r="O59" s="6">
        <v>9.56</v>
      </c>
      <c r="P59" s="6">
        <v>92.3</v>
      </c>
      <c r="Q59" s="6"/>
      <c r="R59" s="6">
        <v>1.226</v>
      </c>
      <c r="S59" s="6">
        <v>1.544</v>
      </c>
      <c r="T59" s="6">
        <v>-0.316</v>
      </c>
      <c r="U59" s="6">
        <v>38.520000000000003</v>
      </c>
      <c r="V59" s="6"/>
      <c r="W59" s="6">
        <v>-0.57599999999999996</v>
      </c>
      <c r="X59" s="6">
        <v>-0.27300000000000002</v>
      </c>
      <c r="Y59" s="6">
        <v>1.0209999999999999</v>
      </c>
      <c r="Z59" s="6">
        <v>2.5139999999999998</v>
      </c>
      <c r="AA59" s="6">
        <v>8.1999999999999993</v>
      </c>
      <c r="AB59" s="6">
        <v>1.5049999999999999</v>
      </c>
      <c r="AC59" s="6">
        <v>12.46</v>
      </c>
      <c r="AD59" s="6">
        <v>-1.385</v>
      </c>
      <c r="AE59" s="6">
        <v>8.9999999999999993E-3</v>
      </c>
      <c r="AF59" s="6">
        <v>6.0000000000000001E-3</v>
      </c>
      <c r="AG59" s="6">
        <v>1.504</v>
      </c>
      <c r="AH59" s="6"/>
      <c r="AI59" s="6">
        <f t="shared" si="0"/>
        <v>0.53500000000000014</v>
      </c>
      <c r="AJ59">
        <f t="shared" si="26"/>
        <v>1.7</v>
      </c>
      <c r="AK59" s="21">
        <f t="shared" si="24"/>
        <v>1.7</v>
      </c>
      <c r="AL59">
        <f t="shared" si="25"/>
        <v>67.8</v>
      </c>
      <c r="AM59" s="4">
        <v>11.61</v>
      </c>
      <c r="AN59">
        <v>8.32</v>
      </c>
      <c r="AP59" s="7">
        <f t="shared" si="3"/>
        <v>0.45900000000000002</v>
      </c>
      <c r="AQ59" s="7">
        <f t="shared" si="4"/>
        <v>0.73299999999999998</v>
      </c>
      <c r="AS59">
        <f t="shared" si="5"/>
        <v>8.32</v>
      </c>
      <c r="AT59">
        <f t="shared" si="6"/>
        <v>3.3</v>
      </c>
      <c r="AU59">
        <f t="shared" si="7"/>
        <v>69.2</v>
      </c>
      <c r="AV59" t="s">
        <v>107</v>
      </c>
      <c r="AW59">
        <f t="shared" si="8"/>
        <v>0</v>
      </c>
      <c r="AX59">
        <f t="shared" si="9"/>
        <v>0.4</v>
      </c>
      <c r="AY59">
        <f t="shared" si="10"/>
        <v>9.6</v>
      </c>
      <c r="AZ59">
        <f t="shared" si="11"/>
        <v>92.3</v>
      </c>
      <c r="BA59" t="s">
        <v>107</v>
      </c>
      <c r="BB59">
        <f t="shared" si="12"/>
        <v>1.2</v>
      </c>
      <c r="BC59">
        <f t="shared" si="13"/>
        <v>1.5</v>
      </c>
      <c r="BD59">
        <f t="shared" si="14"/>
        <v>-0.3</v>
      </c>
      <c r="BE59">
        <f t="shared" si="15"/>
        <v>38.5</v>
      </c>
      <c r="BF59" t="s">
        <v>107</v>
      </c>
      <c r="BG59">
        <f t="shared" si="16"/>
        <v>-0.6</v>
      </c>
      <c r="BH59">
        <f t="shared" si="17"/>
        <v>-0.3</v>
      </c>
      <c r="BI59">
        <f t="shared" si="18"/>
        <v>1.02</v>
      </c>
      <c r="BJ59">
        <f t="shared" si="19"/>
        <v>2.5099999999999998</v>
      </c>
      <c r="BK59">
        <f t="shared" si="20"/>
        <v>0.53500000000000014</v>
      </c>
      <c r="BL59">
        <f t="shared" si="21"/>
        <v>1.7</v>
      </c>
      <c r="BM59">
        <f t="shared" si="22"/>
        <v>0.45900000000000002</v>
      </c>
      <c r="BN59">
        <f t="shared" si="22"/>
        <v>0.73299999999999998</v>
      </c>
    </row>
    <row r="60" spans="1:66" x14ac:dyDescent="0.25">
      <c r="A60">
        <v>2025</v>
      </c>
      <c r="B60" s="1">
        <f t="shared" si="23"/>
        <v>45712</v>
      </c>
      <c r="C60">
        <v>55</v>
      </c>
      <c r="D60">
        <v>70</v>
      </c>
      <c r="E60" s="6">
        <v>13.12</v>
      </c>
      <c r="F60" s="6">
        <v>-0.113</v>
      </c>
      <c r="G60" s="6">
        <v>4.484</v>
      </c>
      <c r="H60" s="6">
        <v>-2.5009999999999999</v>
      </c>
      <c r="I60" s="6">
        <v>4.1719999999999997</v>
      </c>
      <c r="J60" s="6">
        <v>1.093</v>
      </c>
      <c r="K60" s="6">
        <v>77.599999999999994</v>
      </c>
      <c r="L60" s="6"/>
      <c r="M60" s="6">
        <v>6.0000000000000001E-3</v>
      </c>
      <c r="N60" s="6">
        <v>0.39700000000000002</v>
      </c>
      <c r="O60" s="6">
        <v>5.6689999999999996</v>
      </c>
      <c r="P60" s="6">
        <v>91</v>
      </c>
      <c r="Q60" s="6"/>
      <c r="R60" s="6">
        <v>0.54</v>
      </c>
      <c r="S60" s="6">
        <v>0.89900000000000002</v>
      </c>
      <c r="T60" s="6">
        <v>-0.97599999999999998</v>
      </c>
      <c r="U60" s="6">
        <v>52.73</v>
      </c>
      <c r="V60" s="6"/>
      <c r="W60" s="6">
        <v>-0.18</v>
      </c>
      <c r="X60" s="6">
        <v>0.20899999999999999</v>
      </c>
      <c r="Y60" s="6">
        <v>1</v>
      </c>
      <c r="Z60" s="6">
        <v>2.5</v>
      </c>
      <c r="AA60" s="6">
        <v>3.6</v>
      </c>
      <c r="AB60" s="6">
        <v>1.534</v>
      </c>
      <c r="AC60" s="6">
        <v>5.1509999999999998</v>
      </c>
      <c r="AD60" s="6">
        <v>-2.3610000000000002</v>
      </c>
      <c r="AE60" s="6">
        <v>8.9999999999999993E-3</v>
      </c>
      <c r="AF60" s="6">
        <v>7.0000000000000001E-3</v>
      </c>
      <c r="AG60" s="6">
        <v>1.534</v>
      </c>
      <c r="AH60" s="6"/>
      <c r="AI60" s="6">
        <f t="shared" si="0"/>
        <v>0.50600000000000001</v>
      </c>
      <c r="AJ60">
        <f t="shared" si="26"/>
        <v>0</v>
      </c>
      <c r="AK60" s="21">
        <f t="shared" si="24"/>
        <v>0</v>
      </c>
      <c r="AL60">
        <f t="shared" si="25"/>
        <v>67.8</v>
      </c>
      <c r="AM60" s="4">
        <v>11.84</v>
      </c>
      <c r="AN60">
        <v>4.17</v>
      </c>
      <c r="AP60" s="7">
        <f t="shared" si="3"/>
        <v>0.48199999999999998</v>
      </c>
      <c r="AQ60" s="7">
        <f t="shared" si="4"/>
        <v>0.432</v>
      </c>
      <c r="AS60">
        <f t="shared" si="5"/>
        <v>4.17</v>
      </c>
      <c r="AT60">
        <f t="shared" si="6"/>
        <v>1.1000000000000001</v>
      </c>
      <c r="AU60">
        <f t="shared" si="7"/>
        <v>77.599999999999994</v>
      </c>
      <c r="AV60" t="s">
        <v>107</v>
      </c>
      <c r="AW60">
        <f t="shared" si="8"/>
        <v>0</v>
      </c>
      <c r="AX60">
        <f t="shared" si="9"/>
        <v>0.4</v>
      </c>
      <c r="AY60">
        <f t="shared" si="10"/>
        <v>5.7</v>
      </c>
      <c r="AZ60">
        <f t="shared" si="11"/>
        <v>91</v>
      </c>
      <c r="BA60" t="s">
        <v>107</v>
      </c>
      <c r="BB60">
        <f t="shared" si="12"/>
        <v>0.5</v>
      </c>
      <c r="BC60">
        <f t="shared" si="13"/>
        <v>0.9</v>
      </c>
      <c r="BD60">
        <f t="shared" si="14"/>
        <v>-1</v>
      </c>
      <c r="BE60">
        <f t="shared" si="15"/>
        <v>52.7</v>
      </c>
      <c r="BF60" t="s">
        <v>107</v>
      </c>
      <c r="BG60">
        <f t="shared" si="16"/>
        <v>-0.2</v>
      </c>
      <c r="BH60">
        <f t="shared" si="17"/>
        <v>0.2</v>
      </c>
      <c r="BI60">
        <f t="shared" si="18"/>
        <v>1</v>
      </c>
      <c r="BJ60">
        <f t="shared" si="19"/>
        <v>2.5</v>
      </c>
      <c r="BK60">
        <f t="shared" si="20"/>
        <v>0.50600000000000001</v>
      </c>
      <c r="BL60">
        <f t="shared" si="21"/>
        <v>0</v>
      </c>
      <c r="BM60">
        <f t="shared" si="22"/>
        <v>0.48199999999999998</v>
      </c>
      <c r="BN60">
        <f t="shared" si="22"/>
        <v>0.432</v>
      </c>
    </row>
    <row r="61" spans="1:66" x14ac:dyDescent="0.25">
      <c r="A61">
        <v>2025</v>
      </c>
      <c r="B61" s="1">
        <f t="shared" si="23"/>
        <v>45713</v>
      </c>
      <c r="C61">
        <v>56</v>
      </c>
      <c r="D61">
        <v>70</v>
      </c>
      <c r="E61" s="6">
        <v>13.12</v>
      </c>
      <c r="F61" s="6">
        <v>2.5000000000000001E-2</v>
      </c>
      <c r="G61" s="6">
        <v>4.6879999999999997</v>
      </c>
      <c r="H61" s="6">
        <v>-3.3620000000000001</v>
      </c>
      <c r="I61" s="6">
        <v>4.992</v>
      </c>
      <c r="J61" s="6">
        <v>1.171</v>
      </c>
      <c r="K61" s="6">
        <v>79.5</v>
      </c>
      <c r="L61" s="6"/>
      <c r="M61" s="6">
        <v>2.5999999999999999E-2</v>
      </c>
      <c r="N61" s="6">
        <v>0.439</v>
      </c>
      <c r="O61" s="6">
        <v>5.8719999999999999</v>
      </c>
      <c r="P61" s="6">
        <v>90.5</v>
      </c>
      <c r="Q61" s="6"/>
      <c r="R61" s="6">
        <v>0.503</v>
      </c>
      <c r="S61" s="6">
        <v>0.89800000000000002</v>
      </c>
      <c r="T61" s="6">
        <v>-1.3120000000000001</v>
      </c>
      <c r="U61" s="6">
        <v>61.61</v>
      </c>
      <c r="V61" s="6"/>
      <c r="W61" s="6">
        <v>-0.36399999999999999</v>
      </c>
      <c r="X61" s="6">
        <v>3.2000000000000001E-2</v>
      </c>
      <c r="Y61" s="6">
        <v>0.78300000000000003</v>
      </c>
      <c r="Z61" s="6">
        <v>2.0470000000000002</v>
      </c>
      <c r="AA61" s="6">
        <v>0.4</v>
      </c>
      <c r="AB61" s="6">
        <v>1.5609999999999999</v>
      </c>
      <c r="AC61" s="6">
        <v>4.7359999999999998</v>
      </c>
      <c r="AD61" s="6">
        <v>-3.1309999999999998</v>
      </c>
      <c r="AE61" s="6">
        <v>8.9999999999999993E-3</v>
      </c>
      <c r="AF61" s="6">
        <v>6.0000000000000001E-3</v>
      </c>
      <c r="AG61" s="6">
        <v>1.5629999999999999</v>
      </c>
      <c r="AH61" s="6"/>
      <c r="AI61" s="6">
        <f t="shared" si="0"/>
        <v>0.47900000000000009</v>
      </c>
      <c r="AJ61">
        <f t="shared" si="26"/>
        <v>0</v>
      </c>
      <c r="AK61" s="21">
        <f t="shared" si="24"/>
        <v>0</v>
      </c>
      <c r="AL61">
        <f t="shared" si="25"/>
        <v>67.8</v>
      </c>
      <c r="AM61" s="4">
        <v>12.06</v>
      </c>
      <c r="AN61">
        <v>4.99</v>
      </c>
      <c r="AP61" s="7">
        <f t="shared" si="3"/>
        <v>0.57099999999999995</v>
      </c>
      <c r="AQ61" s="7">
        <f t="shared" si="4"/>
        <v>0.35599999999999998</v>
      </c>
      <c r="AS61">
        <f t="shared" si="5"/>
        <v>4.99</v>
      </c>
      <c r="AT61">
        <f t="shared" si="6"/>
        <v>1.2</v>
      </c>
      <c r="AU61">
        <f t="shared" si="7"/>
        <v>79.5</v>
      </c>
      <c r="AV61" t="s">
        <v>107</v>
      </c>
      <c r="AW61">
        <f t="shared" si="8"/>
        <v>0</v>
      </c>
      <c r="AX61">
        <f t="shared" si="9"/>
        <v>0.4</v>
      </c>
      <c r="AY61">
        <f t="shared" si="10"/>
        <v>5.9</v>
      </c>
      <c r="AZ61">
        <f t="shared" si="11"/>
        <v>90.5</v>
      </c>
      <c r="BA61" t="s">
        <v>107</v>
      </c>
      <c r="BB61">
        <f t="shared" si="12"/>
        <v>0.5</v>
      </c>
      <c r="BC61">
        <f t="shared" si="13"/>
        <v>0.9</v>
      </c>
      <c r="BD61">
        <f t="shared" si="14"/>
        <v>-1.3</v>
      </c>
      <c r="BE61">
        <f t="shared" si="15"/>
        <v>61.6</v>
      </c>
      <c r="BF61" t="s">
        <v>107</v>
      </c>
      <c r="BG61">
        <f t="shared" si="16"/>
        <v>-0.4</v>
      </c>
      <c r="BH61">
        <f t="shared" si="17"/>
        <v>0</v>
      </c>
      <c r="BI61">
        <f t="shared" si="18"/>
        <v>0.78</v>
      </c>
      <c r="BJ61">
        <f t="shared" si="19"/>
        <v>2.0499999999999998</v>
      </c>
      <c r="BK61">
        <f t="shared" si="20"/>
        <v>0.47900000000000009</v>
      </c>
      <c r="BL61">
        <f t="shared" si="21"/>
        <v>0</v>
      </c>
      <c r="BM61">
        <f t="shared" si="22"/>
        <v>0.57099999999999995</v>
      </c>
      <c r="BN61">
        <f t="shared" si="22"/>
        <v>0.35599999999999998</v>
      </c>
    </row>
    <row r="62" spans="1:66" x14ac:dyDescent="0.25">
      <c r="A62">
        <v>2025</v>
      </c>
      <c r="B62" s="1">
        <f t="shared" si="23"/>
        <v>45714</v>
      </c>
      <c r="C62">
        <v>57</v>
      </c>
      <c r="D62">
        <v>70</v>
      </c>
      <c r="E62" s="6">
        <v>13.14</v>
      </c>
      <c r="F62" s="6">
        <v>0.68500000000000005</v>
      </c>
      <c r="G62" s="6">
        <v>9.1</v>
      </c>
      <c r="H62" s="6">
        <v>-4.4130000000000003</v>
      </c>
      <c r="I62" s="6">
        <v>7.77</v>
      </c>
      <c r="J62" s="6">
        <v>2.016</v>
      </c>
      <c r="K62" s="6">
        <v>71.8</v>
      </c>
      <c r="L62" s="6"/>
      <c r="M62" s="6">
        <v>3.5999999999999997E-2</v>
      </c>
      <c r="N62" s="6">
        <v>0.50700000000000001</v>
      </c>
      <c r="O62" s="6">
        <v>8.9600000000000009</v>
      </c>
      <c r="P62" s="6">
        <v>89.8</v>
      </c>
      <c r="Q62" s="6"/>
      <c r="R62" s="6">
        <v>1.319</v>
      </c>
      <c r="S62" s="6">
        <v>1.7170000000000001</v>
      </c>
      <c r="T62" s="6">
        <v>-2.3889999999999998</v>
      </c>
      <c r="U62" s="6">
        <v>44.93</v>
      </c>
      <c r="V62" s="6"/>
      <c r="W62" s="6">
        <v>-0.33100000000000002</v>
      </c>
      <c r="X62" s="6">
        <v>0.129</v>
      </c>
      <c r="Y62" s="6">
        <v>0.66700000000000004</v>
      </c>
      <c r="Z62" s="6">
        <v>2.4870000000000001</v>
      </c>
      <c r="AA62" s="6">
        <v>0</v>
      </c>
      <c r="AB62" s="6">
        <v>1.569</v>
      </c>
      <c r="AC62" s="6">
        <v>9.5299999999999994</v>
      </c>
      <c r="AD62" s="6">
        <v>-4.3</v>
      </c>
      <c r="AE62" s="6">
        <v>8.9999999999999993E-3</v>
      </c>
      <c r="AF62" s="6">
        <v>7.0000000000000001E-3</v>
      </c>
      <c r="AG62" s="6">
        <v>1.5640000000000001</v>
      </c>
      <c r="AH62" s="6"/>
      <c r="AI62" s="6">
        <f t="shared" si="0"/>
        <v>0.47100000000000009</v>
      </c>
      <c r="AJ62">
        <f t="shared" si="26"/>
        <v>0</v>
      </c>
      <c r="AK62" s="21">
        <f t="shared" si="24"/>
        <v>0</v>
      </c>
      <c r="AL62">
        <f t="shared" si="25"/>
        <v>67.8</v>
      </c>
      <c r="AM62" s="4">
        <v>12.3</v>
      </c>
      <c r="AN62">
        <v>7.77</v>
      </c>
      <c r="AP62" s="7">
        <f t="shared" si="3"/>
        <v>0.51400000000000001</v>
      </c>
      <c r="AQ62" s="7">
        <f t="shared" si="4"/>
        <v>0.63</v>
      </c>
      <c r="AS62">
        <f t="shared" si="5"/>
        <v>7.77</v>
      </c>
      <c r="AT62">
        <f t="shared" si="6"/>
        <v>2</v>
      </c>
      <c r="AU62">
        <f t="shared" si="7"/>
        <v>71.8</v>
      </c>
      <c r="AV62" t="s">
        <v>107</v>
      </c>
      <c r="AW62">
        <f t="shared" si="8"/>
        <v>0</v>
      </c>
      <c r="AX62">
        <f t="shared" si="9"/>
        <v>0.5</v>
      </c>
      <c r="AY62">
        <f t="shared" si="10"/>
        <v>9</v>
      </c>
      <c r="AZ62">
        <f t="shared" si="11"/>
        <v>89.8</v>
      </c>
      <c r="BA62" t="s">
        <v>107</v>
      </c>
      <c r="BB62">
        <f t="shared" si="12"/>
        <v>1.3</v>
      </c>
      <c r="BC62">
        <f t="shared" si="13"/>
        <v>1.7</v>
      </c>
      <c r="BD62">
        <f t="shared" si="14"/>
        <v>-2.4</v>
      </c>
      <c r="BE62">
        <f t="shared" si="15"/>
        <v>44.9</v>
      </c>
      <c r="BF62" t="s">
        <v>107</v>
      </c>
      <c r="BG62">
        <f t="shared" si="16"/>
        <v>-0.3</v>
      </c>
      <c r="BH62">
        <f t="shared" si="17"/>
        <v>0.1</v>
      </c>
      <c r="BI62">
        <f t="shared" si="18"/>
        <v>0.67</v>
      </c>
      <c r="BJ62">
        <f t="shared" si="19"/>
        <v>2.4900000000000002</v>
      </c>
      <c r="BK62">
        <f t="shared" si="20"/>
        <v>0.47100000000000009</v>
      </c>
      <c r="BL62">
        <f t="shared" si="21"/>
        <v>0</v>
      </c>
      <c r="BM62">
        <f t="shared" si="22"/>
        <v>0.51400000000000001</v>
      </c>
      <c r="BN62">
        <f t="shared" si="22"/>
        <v>0.63</v>
      </c>
    </row>
    <row r="63" spans="1:66" x14ac:dyDescent="0.25">
      <c r="A63">
        <v>2025</v>
      </c>
      <c r="B63" s="1">
        <f t="shared" si="23"/>
        <v>45715</v>
      </c>
      <c r="C63">
        <v>58</v>
      </c>
      <c r="D63">
        <v>70</v>
      </c>
      <c r="E63" s="6">
        <v>13.12</v>
      </c>
      <c r="F63" s="6">
        <v>2.629</v>
      </c>
      <c r="G63" s="6">
        <v>8.7200000000000006</v>
      </c>
      <c r="H63" s="6">
        <v>-1.5760000000000001</v>
      </c>
      <c r="I63" s="6">
        <v>6.3710000000000004</v>
      </c>
      <c r="J63" s="6">
        <v>4.1120000000000001</v>
      </c>
      <c r="K63" s="6">
        <v>63.5</v>
      </c>
      <c r="L63" s="6"/>
      <c r="M63" s="6">
        <v>8.3000000000000004E-2</v>
      </c>
      <c r="N63" s="6">
        <v>0.57899999999999996</v>
      </c>
      <c r="O63" s="6">
        <v>9.2899999999999991</v>
      </c>
      <c r="P63" s="6">
        <v>84.1</v>
      </c>
      <c r="Q63" s="6"/>
      <c r="R63" s="6">
        <v>0.85699999999999998</v>
      </c>
      <c r="S63" s="6">
        <v>1.349</v>
      </c>
      <c r="T63" s="6">
        <v>-0.16900000000000001</v>
      </c>
      <c r="U63" s="6">
        <v>39.799999999999997</v>
      </c>
      <c r="V63" s="6"/>
      <c r="W63" s="6">
        <v>-0.191</v>
      </c>
      <c r="X63" s="6">
        <v>0.29099999999999998</v>
      </c>
      <c r="Y63" s="6">
        <v>1.0209999999999999</v>
      </c>
      <c r="Z63" s="6">
        <v>2.5939999999999999</v>
      </c>
      <c r="AA63" s="6">
        <v>0</v>
      </c>
      <c r="AB63" s="6">
        <v>1.577</v>
      </c>
      <c r="AC63" s="6">
        <v>8.99</v>
      </c>
      <c r="AD63" s="6">
        <v>-1.3640000000000001</v>
      </c>
      <c r="AE63" s="6">
        <v>8.9999999999999993E-3</v>
      </c>
      <c r="AF63" s="6">
        <v>7.0000000000000001E-3</v>
      </c>
      <c r="AG63" s="6">
        <v>1.571</v>
      </c>
      <c r="AH63" s="6"/>
      <c r="AI63" s="6">
        <f t="shared" si="0"/>
        <v>0.46300000000000008</v>
      </c>
      <c r="AJ63">
        <f t="shared" si="26"/>
        <v>0</v>
      </c>
      <c r="AK63" s="21">
        <f t="shared" si="24"/>
        <v>0</v>
      </c>
      <c r="AL63">
        <f>AL62+AK63</f>
        <v>67.8</v>
      </c>
      <c r="AM63" s="4">
        <v>12.53</v>
      </c>
      <c r="AN63">
        <v>6.37</v>
      </c>
      <c r="AP63" s="7">
        <f t="shared" si="3"/>
        <v>0.46600000000000003</v>
      </c>
      <c r="AQ63" s="7">
        <f t="shared" si="4"/>
        <v>0.70499999999999996</v>
      </c>
      <c r="AS63">
        <f t="shared" si="5"/>
        <v>6.37</v>
      </c>
      <c r="AT63">
        <f t="shared" si="6"/>
        <v>4.0999999999999996</v>
      </c>
      <c r="AU63">
        <f t="shared" si="7"/>
        <v>63.5</v>
      </c>
      <c r="AV63" t="s">
        <v>107</v>
      </c>
      <c r="AW63">
        <f t="shared" si="8"/>
        <v>0.1</v>
      </c>
      <c r="AX63">
        <f t="shared" si="9"/>
        <v>0.6</v>
      </c>
      <c r="AY63">
        <f t="shared" si="10"/>
        <v>9.3000000000000007</v>
      </c>
      <c r="AZ63">
        <f t="shared" si="11"/>
        <v>84.1</v>
      </c>
      <c r="BA63" t="s">
        <v>107</v>
      </c>
      <c r="BB63">
        <f t="shared" si="12"/>
        <v>0.9</v>
      </c>
      <c r="BC63">
        <f t="shared" si="13"/>
        <v>1.3</v>
      </c>
      <c r="BD63">
        <f t="shared" si="14"/>
        <v>-0.2</v>
      </c>
      <c r="BE63">
        <f t="shared" si="15"/>
        <v>39.799999999999997</v>
      </c>
      <c r="BF63" t="s">
        <v>107</v>
      </c>
      <c r="BG63">
        <f t="shared" si="16"/>
        <v>-0.2</v>
      </c>
      <c r="BH63">
        <f t="shared" si="17"/>
        <v>0.3</v>
      </c>
      <c r="BI63">
        <f t="shared" si="18"/>
        <v>1.02</v>
      </c>
      <c r="BJ63">
        <f t="shared" si="19"/>
        <v>2.59</v>
      </c>
      <c r="BK63">
        <f t="shared" si="20"/>
        <v>0.46300000000000008</v>
      </c>
      <c r="BL63">
        <f t="shared" si="21"/>
        <v>0</v>
      </c>
      <c r="BM63">
        <f t="shared" si="22"/>
        <v>0.46600000000000003</v>
      </c>
      <c r="BN63">
        <f t="shared" si="22"/>
        <v>0.70499999999999996</v>
      </c>
    </row>
    <row r="64" spans="1:66" x14ac:dyDescent="0.25">
      <c r="A64">
        <v>2025</v>
      </c>
      <c r="B64" s="1">
        <f t="shared" si="23"/>
        <v>45716</v>
      </c>
      <c r="C64">
        <v>59</v>
      </c>
      <c r="D64">
        <v>70</v>
      </c>
      <c r="E64" s="6">
        <v>13.13</v>
      </c>
      <c r="F64" s="6">
        <v>2.4780000000000002</v>
      </c>
      <c r="G64" s="6">
        <v>10.62</v>
      </c>
      <c r="H64" s="6">
        <v>-1.1719999999999999</v>
      </c>
      <c r="I64" s="6">
        <v>5.806</v>
      </c>
      <c r="J64" s="6">
        <v>3.76</v>
      </c>
      <c r="K64" s="6">
        <v>75.5</v>
      </c>
      <c r="L64" s="6"/>
      <c r="M64" s="6">
        <v>7.0999999999999994E-2</v>
      </c>
      <c r="N64" s="6">
        <v>0.58399999999999996</v>
      </c>
      <c r="O64" s="6">
        <v>10.83</v>
      </c>
      <c r="P64" s="6">
        <v>92.4</v>
      </c>
      <c r="Q64" s="6"/>
      <c r="R64" s="6">
        <v>0.96199999999999997</v>
      </c>
      <c r="S64" s="6">
        <v>1.448</v>
      </c>
      <c r="T64" s="6">
        <v>0.36</v>
      </c>
      <c r="U64" s="6">
        <v>47.47</v>
      </c>
      <c r="V64" s="6"/>
      <c r="W64" s="6">
        <v>-0.36299999999999999</v>
      </c>
      <c r="X64" s="6">
        <v>0.11</v>
      </c>
      <c r="Y64" s="6">
        <v>0.32900000000000001</v>
      </c>
      <c r="Z64" s="6">
        <v>1.78</v>
      </c>
      <c r="AA64" s="6">
        <v>0</v>
      </c>
      <c r="AB64" s="6">
        <v>1.6</v>
      </c>
      <c r="AC64" s="6">
        <v>10.62</v>
      </c>
      <c r="AD64" s="6">
        <v>-1.0329999999999999</v>
      </c>
      <c r="AE64" s="6">
        <v>8.9999999999999993E-3</v>
      </c>
      <c r="AF64" s="6">
        <v>6.0000000000000001E-3</v>
      </c>
      <c r="AG64" s="6">
        <v>1.589</v>
      </c>
      <c r="AH64" s="6"/>
      <c r="AI64" s="6">
        <f t="shared" si="0"/>
        <v>0.43999999999999995</v>
      </c>
      <c r="AJ64">
        <f t="shared" si="26"/>
        <v>0</v>
      </c>
      <c r="AK64" s="21">
        <f t="shared" si="24"/>
        <v>0</v>
      </c>
      <c r="AL64">
        <f t="shared" si="25"/>
        <v>67.8</v>
      </c>
      <c r="AM64" s="4">
        <v>12.77</v>
      </c>
      <c r="AN64">
        <v>5.81</v>
      </c>
      <c r="AP64" s="7">
        <f t="shared" si="3"/>
        <v>0.61599999999999999</v>
      </c>
      <c r="AQ64" s="7">
        <f t="shared" si="4"/>
        <v>0.68200000000000005</v>
      </c>
      <c r="AS64">
        <f t="shared" si="5"/>
        <v>5.81</v>
      </c>
      <c r="AT64">
        <f t="shared" si="6"/>
        <v>3.8</v>
      </c>
      <c r="AU64">
        <f t="shared" si="7"/>
        <v>75.5</v>
      </c>
      <c r="AV64" t="s">
        <v>107</v>
      </c>
      <c r="AW64">
        <f t="shared" si="8"/>
        <v>0.1</v>
      </c>
      <c r="AX64">
        <f t="shared" si="9"/>
        <v>0.6</v>
      </c>
      <c r="AY64">
        <f t="shared" si="10"/>
        <v>10.8</v>
      </c>
      <c r="AZ64">
        <f t="shared" si="11"/>
        <v>92.4</v>
      </c>
      <c r="BA64" t="s">
        <v>107</v>
      </c>
      <c r="BB64">
        <f t="shared" si="12"/>
        <v>1</v>
      </c>
      <c r="BC64">
        <f t="shared" si="13"/>
        <v>1.4</v>
      </c>
      <c r="BD64">
        <f t="shared" si="14"/>
        <v>0.4</v>
      </c>
      <c r="BE64">
        <f t="shared" si="15"/>
        <v>47.5</v>
      </c>
      <c r="BF64" t="s">
        <v>107</v>
      </c>
      <c r="BG64">
        <f t="shared" si="16"/>
        <v>-0.4</v>
      </c>
      <c r="BH64">
        <f t="shared" si="17"/>
        <v>0.1</v>
      </c>
      <c r="BI64">
        <f t="shared" si="18"/>
        <v>0.33</v>
      </c>
      <c r="BJ64">
        <f t="shared" si="19"/>
        <v>1.78</v>
      </c>
      <c r="BK64">
        <f t="shared" si="20"/>
        <v>0.43999999999999995</v>
      </c>
      <c r="BL64">
        <f t="shared" si="21"/>
        <v>0</v>
      </c>
      <c r="BM64">
        <f t="shared" si="22"/>
        <v>0.61599999999999999</v>
      </c>
      <c r="BN64">
        <f t="shared" si="22"/>
        <v>0.68200000000000005</v>
      </c>
    </row>
    <row r="65" spans="1:66" x14ac:dyDescent="0.25">
      <c r="A65">
        <v>2025</v>
      </c>
      <c r="B65" s="1">
        <f t="shared" si="23"/>
        <v>45717</v>
      </c>
      <c r="C65">
        <v>60</v>
      </c>
      <c r="D65">
        <v>70</v>
      </c>
      <c r="E65" s="6">
        <v>13.12</v>
      </c>
      <c r="F65" s="6">
        <v>3.8069999999999999</v>
      </c>
      <c r="G65" s="6">
        <v>15.37</v>
      </c>
      <c r="H65" s="6">
        <v>-1.5369999999999999</v>
      </c>
      <c r="I65" s="6">
        <v>10.36</v>
      </c>
      <c r="J65" s="6">
        <v>5.6719999999999997</v>
      </c>
      <c r="K65" s="6">
        <v>60.6</v>
      </c>
      <c r="L65" s="6"/>
      <c r="M65" s="6">
        <v>7.6999999999999999E-2</v>
      </c>
      <c r="N65" s="6">
        <v>0.61199999999999999</v>
      </c>
      <c r="O65" s="6">
        <v>13.44</v>
      </c>
      <c r="P65" s="6">
        <v>84.1</v>
      </c>
      <c r="Q65" s="6"/>
      <c r="R65" s="6">
        <v>1.298</v>
      </c>
      <c r="S65" s="6">
        <v>1.8080000000000001</v>
      </c>
      <c r="T65" s="6">
        <v>0.505</v>
      </c>
      <c r="U65" s="6">
        <v>31.52</v>
      </c>
      <c r="V65" s="6"/>
      <c r="W65" s="6">
        <v>-0.56599999999999995</v>
      </c>
      <c r="X65" s="6">
        <v>-9.1999999999999998E-2</v>
      </c>
      <c r="Y65" s="6">
        <v>0.76100000000000001</v>
      </c>
      <c r="Z65" s="6">
        <v>2.6070000000000002</v>
      </c>
      <c r="AA65" s="6">
        <v>0</v>
      </c>
      <c r="AB65" s="6">
        <v>1.62</v>
      </c>
      <c r="AC65" s="6">
        <v>16.309999999999999</v>
      </c>
      <c r="AD65" s="6">
        <v>-1.3839999999999999</v>
      </c>
      <c r="AE65" s="6">
        <v>8.9999999999999993E-3</v>
      </c>
      <c r="AF65" s="6">
        <v>6.0000000000000001E-3</v>
      </c>
      <c r="AG65" s="6">
        <v>1.611</v>
      </c>
      <c r="AH65" s="6"/>
      <c r="AI65" s="6">
        <f t="shared" si="0"/>
        <v>0.41999999999999993</v>
      </c>
      <c r="AJ65">
        <f t="shared" si="26"/>
        <v>0</v>
      </c>
      <c r="AK65" s="21">
        <f t="shared" si="24"/>
        <v>0</v>
      </c>
      <c r="AL65">
        <f t="shared" si="25"/>
        <v>67.8</v>
      </c>
      <c r="AM65" s="4">
        <v>13</v>
      </c>
      <c r="AN65">
        <v>10.36</v>
      </c>
      <c r="AP65" s="7">
        <f t="shared" si="3"/>
        <v>0.48599999999999999</v>
      </c>
      <c r="AQ65" s="7">
        <f t="shared" si="4"/>
        <v>1.056</v>
      </c>
      <c r="AS65">
        <f t="shared" si="5"/>
        <v>10.36</v>
      </c>
      <c r="AT65">
        <f t="shared" si="6"/>
        <v>5.7</v>
      </c>
      <c r="AU65">
        <f t="shared" si="7"/>
        <v>60.6</v>
      </c>
      <c r="AV65" t="s">
        <v>107</v>
      </c>
      <c r="AW65">
        <f t="shared" si="8"/>
        <v>0.1</v>
      </c>
      <c r="AX65">
        <f t="shared" si="9"/>
        <v>0.6</v>
      </c>
      <c r="AY65">
        <f t="shared" si="10"/>
        <v>13.4</v>
      </c>
      <c r="AZ65">
        <f t="shared" si="11"/>
        <v>84.1</v>
      </c>
      <c r="BA65" t="s">
        <v>107</v>
      </c>
      <c r="BB65">
        <f t="shared" si="12"/>
        <v>1.3</v>
      </c>
      <c r="BC65">
        <f t="shared" si="13"/>
        <v>1.8</v>
      </c>
      <c r="BD65">
        <f t="shared" si="14"/>
        <v>0.5</v>
      </c>
      <c r="BE65">
        <f t="shared" si="15"/>
        <v>31.5</v>
      </c>
      <c r="BF65" t="s">
        <v>107</v>
      </c>
      <c r="BG65">
        <f t="shared" si="16"/>
        <v>-0.6</v>
      </c>
      <c r="BH65">
        <f t="shared" si="17"/>
        <v>-0.1</v>
      </c>
      <c r="BI65">
        <f t="shared" si="18"/>
        <v>0.76</v>
      </c>
      <c r="BJ65">
        <f t="shared" si="19"/>
        <v>2.61</v>
      </c>
      <c r="BK65">
        <f t="shared" si="20"/>
        <v>0.41999999999999993</v>
      </c>
      <c r="BL65">
        <f t="shared" si="21"/>
        <v>0</v>
      </c>
      <c r="BM65">
        <f t="shared" si="22"/>
        <v>0.48599999999999999</v>
      </c>
      <c r="BN65">
        <f t="shared" si="22"/>
        <v>1.056</v>
      </c>
    </row>
    <row r="66" spans="1:66" x14ac:dyDescent="0.25">
      <c r="A66">
        <v>2025</v>
      </c>
      <c r="B66" s="1">
        <f t="shared" si="23"/>
        <v>45718</v>
      </c>
      <c r="C66">
        <v>61</v>
      </c>
      <c r="D66">
        <v>70</v>
      </c>
      <c r="E66" s="6">
        <v>13.13</v>
      </c>
      <c r="F66" s="6">
        <v>2.0920000000000001</v>
      </c>
      <c r="G66" s="6">
        <v>13.07</v>
      </c>
      <c r="H66" s="6">
        <v>-2.0659999999999998</v>
      </c>
      <c r="I66" s="6">
        <v>9.15</v>
      </c>
      <c r="J66" s="6">
        <v>3.5979999999999999</v>
      </c>
      <c r="K66" s="6">
        <v>70.3</v>
      </c>
      <c r="L66" s="6"/>
      <c r="M66" s="6">
        <v>4.2999999999999997E-2</v>
      </c>
      <c r="N66" s="6">
        <v>0.60499999999999998</v>
      </c>
      <c r="O66" s="6">
        <v>11.37</v>
      </c>
      <c r="P66" s="6">
        <v>87.5</v>
      </c>
      <c r="Q66" s="6"/>
      <c r="R66" s="6">
        <v>1.036</v>
      </c>
      <c r="S66" s="6">
        <v>1.4970000000000001</v>
      </c>
      <c r="T66" s="6">
        <v>-0.30299999999999999</v>
      </c>
      <c r="U66" s="6">
        <v>43.69</v>
      </c>
      <c r="V66" s="6"/>
      <c r="W66" s="6">
        <v>-0.32700000000000001</v>
      </c>
      <c r="X66" s="6">
        <v>0.16900000000000001</v>
      </c>
      <c r="Y66" s="6">
        <v>0.42499999999999999</v>
      </c>
      <c r="Z66" s="6">
        <v>1.714</v>
      </c>
      <c r="AA66" s="6">
        <v>0</v>
      </c>
      <c r="AB66" s="6">
        <v>1.637</v>
      </c>
      <c r="AC66" s="6">
        <v>13.69</v>
      </c>
      <c r="AD66" s="6">
        <v>-1.9039999999999999</v>
      </c>
      <c r="AE66" s="6">
        <v>8.9999999999999993E-3</v>
      </c>
      <c r="AF66" s="6">
        <v>7.0000000000000001E-3</v>
      </c>
      <c r="AG66" s="6">
        <v>1.635</v>
      </c>
      <c r="AH66" s="6"/>
      <c r="AI66" s="6">
        <f t="shared" si="0"/>
        <v>0.40300000000000002</v>
      </c>
      <c r="AJ66">
        <f t="shared" si="26"/>
        <v>0</v>
      </c>
      <c r="AK66" s="21">
        <f t="shared" si="24"/>
        <v>0</v>
      </c>
      <c r="AL66">
        <f t="shared" si="25"/>
        <v>67.8</v>
      </c>
      <c r="AM66" s="4">
        <v>13.24</v>
      </c>
      <c r="AN66">
        <v>9.15</v>
      </c>
      <c r="AP66" s="7">
        <f t="shared" si="3"/>
        <v>0.58799999999999997</v>
      </c>
      <c r="AQ66" s="7">
        <f t="shared" si="4"/>
        <v>0.75800000000000001</v>
      </c>
      <c r="AS66">
        <f t="shared" si="5"/>
        <v>9.15</v>
      </c>
      <c r="AT66">
        <f t="shared" si="6"/>
        <v>3.6</v>
      </c>
      <c r="AU66">
        <f t="shared" si="7"/>
        <v>70.3</v>
      </c>
      <c r="AV66" t="s">
        <v>107</v>
      </c>
      <c r="AW66">
        <f t="shared" si="8"/>
        <v>0</v>
      </c>
      <c r="AX66">
        <f t="shared" si="9"/>
        <v>0.6</v>
      </c>
      <c r="AY66">
        <f t="shared" si="10"/>
        <v>11.4</v>
      </c>
      <c r="AZ66">
        <f t="shared" si="11"/>
        <v>87.5</v>
      </c>
      <c r="BA66" t="s">
        <v>107</v>
      </c>
      <c r="BB66">
        <f t="shared" si="12"/>
        <v>1</v>
      </c>
      <c r="BC66">
        <f t="shared" si="13"/>
        <v>1.5</v>
      </c>
      <c r="BD66">
        <f t="shared" si="14"/>
        <v>-0.3</v>
      </c>
      <c r="BE66">
        <f t="shared" si="15"/>
        <v>43.7</v>
      </c>
      <c r="BF66" t="s">
        <v>107</v>
      </c>
      <c r="BG66">
        <f t="shared" si="16"/>
        <v>-0.3</v>
      </c>
      <c r="BH66">
        <f t="shared" si="17"/>
        <v>0.2</v>
      </c>
      <c r="BI66">
        <f t="shared" si="18"/>
        <v>0.43</v>
      </c>
      <c r="BJ66">
        <f t="shared" si="19"/>
        <v>1.71</v>
      </c>
      <c r="BK66">
        <f t="shared" si="20"/>
        <v>0.40300000000000002</v>
      </c>
      <c r="BL66">
        <f t="shared" si="21"/>
        <v>0</v>
      </c>
      <c r="BM66">
        <f t="shared" si="22"/>
        <v>0.58799999999999997</v>
      </c>
      <c r="BN66">
        <f t="shared" si="22"/>
        <v>0.75800000000000001</v>
      </c>
    </row>
    <row r="67" spans="1:66" x14ac:dyDescent="0.25">
      <c r="A67">
        <v>2025</v>
      </c>
      <c r="B67" s="1">
        <f t="shared" si="23"/>
        <v>45719</v>
      </c>
      <c r="C67">
        <v>62</v>
      </c>
      <c r="D67">
        <v>70</v>
      </c>
      <c r="E67" s="6">
        <v>13.12</v>
      </c>
      <c r="F67" s="6">
        <v>-0.48299999999999998</v>
      </c>
      <c r="G67" s="6">
        <v>8.94</v>
      </c>
      <c r="H67" s="6">
        <v>-4.55</v>
      </c>
      <c r="I67" s="6">
        <v>8.08</v>
      </c>
      <c r="J67" s="6">
        <v>0.66500000000000004</v>
      </c>
      <c r="K67" s="6">
        <v>69.650000000000006</v>
      </c>
      <c r="L67" s="6"/>
      <c r="M67" s="6">
        <v>-7.0000000000000007E-2</v>
      </c>
      <c r="N67" s="6">
        <v>0.60799999999999998</v>
      </c>
      <c r="O67" s="6">
        <v>8.41</v>
      </c>
      <c r="P67" s="6">
        <v>88</v>
      </c>
      <c r="Q67" s="6"/>
      <c r="R67" s="6">
        <v>1.458</v>
      </c>
      <c r="S67" s="6">
        <v>1.5580000000000001</v>
      </c>
      <c r="T67" s="6">
        <v>-2.4550000000000001</v>
      </c>
      <c r="U67" s="6">
        <v>37.79</v>
      </c>
      <c r="V67" s="6"/>
      <c r="W67" s="6">
        <v>-1.08</v>
      </c>
      <c r="X67" s="6">
        <v>-8.0000000000000002E-3</v>
      </c>
      <c r="Y67" s="6">
        <v>0.47299999999999998</v>
      </c>
      <c r="Z67" s="6">
        <v>2.0339999999999998</v>
      </c>
      <c r="AA67" s="6">
        <v>0</v>
      </c>
      <c r="AB67" s="6">
        <v>1.649</v>
      </c>
      <c r="AC67" s="6">
        <v>8.99</v>
      </c>
      <c r="AD67" s="6">
        <v>-4.3609999999999998</v>
      </c>
      <c r="AE67" s="6">
        <v>8.9999999999999993E-3</v>
      </c>
      <c r="AF67" s="6">
        <v>6.0000000000000001E-3</v>
      </c>
      <c r="AG67" s="6">
        <v>1.6539999999999999</v>
      </c>
      <c r="AH67" s="6"/>
      <c r="AI67" s="6">
        <f t="shared" si="0"/>
        <v>0.39100000000000001</v>
      </c>
      <c r="AJ67">
        <f t="shared" si="26"/>
        <v>0</v>
      </c>
      <c r="AK67" s="21">
        <f t="shared" si="24"/>
        <v>0</v>
      </c>
      <c r="AL67">
        <f t="shared" si="25"/>
        <v>67.8</v>
      </c>
      <c r="AM67" s="4">
        <v>13.48</v>
      </c>
      <c r="AN67">
        <v>8.08</v>
      </c>
      <c r="AP67" s="7">
        <f t="shared" si="3"/>
        <v>0.41699999999999998</v>
      </c>
      <c r="AQ67" s="7">
        <f t="shared" si="4"/>
        <v>0.68600000000000005</v>
      </c>
      <c r="AS67">
        <f t="shared" si="5"/>
        <v>8.08</v>
      </c>
      <c r="AT67">
        <f t="shared" si="6"/>
        <v>0.7</v>
      </c>
      <c r="AU67">
        <f t="shared" si="7"/>
        <v>69.7</v>
      </c>
      <c r="AV67" t="s">
        <v>107</v>
      </c>
      <c r="AW67">
        <f t="shared" si="8"/>
        <v>-0.1</v>
      </c>
      <c r="AX67">
        <f t="shared" si="9"/>
        <v>0.6</v>
      </c>
      <c r="AY67">
        <f t="shared" si="10"/>
        <v>8.4</v>
      </c>
      <c r="AZ67">
        <f t="shared" si="11"/>
        <v>88</v>
      </c>
      <c r="BA67" t="s">
        <v>107</v>
      </c>
      <c r="BB67">
        <f t="shared" si="12"/>
        <v>1.5</v>
      </c>
      <c r="BC67">
        <f t="shared" si="13"/>
        <v>1.6</v>
      </c>
      <c r="BD67">
        <f t="shared" si="14"/>
        <v>-2.5</v>
      </c>
      <c r="BE67">
        <f t="shared" si="15"/>
        <v>37.799999999999997</v>
      </c>
      <c r="BF67" t="s">
        <v>107</v>
      </c>
      <c r="BG67">
        <f t="shared" si="16"/>
        <v>-1.1000000000000001</v>
      </c>
      <c r="BH67">
        <f t="shared" si="17"/>
        <v>0</v>
      </c>
      <c r="BI67">
        <f t="shared" si="18"/>
        <v>0.47</v>
      </c>
      <c r="BJ67">
        <f t="shared" si="19"/>
        <v>2.0299999999999998</v>
      </c>
      <c r="BK67">
        <f t="shared" si="20"/>
        <v>0.39100000000000001</v>
      </c>
      <c r="BL67">
        <f t="shared" si="21"/>
        <v>0</v>
      </c>
      <c r="BM67">
        <f t="shared" si="22"/>
        <v>0.41699999999999998</v>
      </c>
      <c r="BN67">
        <f t="shared" si="22"/>
        <v>0.68600000000000005</v>
      </c>
    </row>
    <row r="68" spans="1:66" x14ac:dyDescent="0.25">
      <c r="A68">
        <v>2025</v>
      </c>
      <c r="B68" s="1">
        <f t="shared" si="23"/>
        <v>45720</v>
      </c>
      <c r="C68">
        <v>63</v>
      </c>
      <c r="D68">
        <v>70</v>
      </c>
      <c r="E68" s="6">
        <v>13.12</v>
      </c>
      <c r="F68" s="6">
        <v>-3.3000000000000002E-2</v>
      </c>
      <c r="G68" s="6">
        <v>7.99</v>
      </c>
      <c r="H68" s="6">
        <v>-5.4909999999999997</v>
      </c>
      <c r="I68" s="6">
        <v>8.58</v>
      </c>
      <c r="J68" s="6">
        <v>1.369</v>
      </c>
      <c r="K68" s="6">
        <v>65.12</v>
      </c>
      <c r="L68" s="6"/>
      <c r="M68" s="6">
        <v>-0.41599999999999998</v>
      </c>
      <c r="N68" s="6">
        <v>0.64100000000000001</v>
      </c>
      <c r="O68" s="6">
        <v>8.41</v>
      </c>
      <c r="P68" s="6">
        <v>91.6</v>
      </c>
      <c r="Q68" s="6"/>
      <c r="R68" s="6">
        <v>1.1020000000000001</v>
      </c>
      <c r="S68" s="6">
        <v>1.7470000000000001</v>
      </c>
      <c r="T68" s="6">
        <v>-3.0489999999999999</v>
      </c>
      <c r="U68" s="6">
        <v>33.479999999999997</v>
      </c>
      <c r="V68" s="6"/>
      <c r="W68" s="6">
        <v>-2.2650000000000001</v>
      </c>
      <c r="X68" s="6">
        <v>0.16500000000000001</v>
      </c>
      <c r="Y68" s="6">
        <v>0.53400000000000003</v>
      </c>
      <c r="Z68" s="6">
        <v>1.94</v>
      </c>
      <c r="AA68" s="6">
        <v>0</v>
      </c>
      <c r="AB68" s="6">
        <v>1.631</v>
      </c>
      <c r="AC68" s="6">
        <v>8.33</v>
      </c>
      <c r="AD68" s="6">
        <v>-5.3630000000000004</v>
      </c>
      <c r="AE68" s="6">
        <v>8.9999999999999993E-3</v>
      </c>
      <c r="AF68" s="6">
        <v>6.0000000000000001E-3</v>
      </c>
      <c r="AG68" s="6">
        <v>1.6319999999999999</v>
      </c>
      <c r="AH68" s="6"/>
      <c r="AI68" s="6">
        <f t="shared" si="0"/>
        <v>0.40900000000000003</v>
      </c>
      <c r="AJ68">
        <f t="shared" si="26"/>
        <v>2.2999999999999998</v>
      </c>
      <c r="AK68" s="21">
        <f t="shared" si="24"/>
        <v>2.2999999999999998</v>
      </c>
      <c r="AL68">
        <f t="shared" si="25"/>
        <v>70.099999999999994</v>
      </c>
      <c r="AM68" s="4">
        <v>13.73</v>
      </c>
      <c r="AN68">
        <v>8.58</v>
      </c>
      <c r="AP68" s="7">
        <f t="shared" si="3"/>
        <v>0.36899999999999999</v>
      </c>
      <c r="AQ68" s="7">
        <f t="shared" si="4"/>
        <v>0.73299999999999998</v>
      </c>
      <c r="AS68">
        <f t="shared" si="5"/>
        <v>8.58</v>
      </c>
      <c r="AT68">
        <f t="shared" si="6"/>
        <v>1.4</v>
      </c>
      <c r="AU68">
        <f t="shared" si="7"/>
        <v>65.099999999999994</v>
      </c>
      <c r="AV68" t="s">
        <v>107</v>
      </c>
      <c r="AW68">
        <f t="shared" si="8"/>
        <v>-0.4</v>
      </c>
      <c r="AX68">
        <f t="shared" si="9"/>
        <v>0.6</v>
      </c>
      <c r="AY68">
        <f t="shared" si="10"/>
        <v>8.4</v>
      </c>
      <c r="AZ68">
        <f t="shared" si="11"/>
        <v>91.6</v>
      </c>
      <c r="BA68" t="s">
        <v>107</v>
      </c>
      <c r="BB68">
        <f t="shared" si="12"/>
        <v>1.1000000000000001</v>
      </c>
      <c r="BC68">
        <f t="shared" si="13"/>
        <v>1.7</v>
      </c>
      <c r="BD68">
        <f t="shared" si="14"/>
        <v>-3</v>
      </c>
      <c r="BE68">
        <f t="shared" si="15"/>
        <v>33.5</v>
      </c>
      <c r="BF68" t="s">
        <v>107</v>
      </c>
      <c r="BG68">
        <f t="shared" si="16"/>
        <v>-2.2999999999999998</v>
      </c>
      <c r="BH68">
        <f t="shared" si="17"/>
        <v>0.2</v>
      </c>
      <c r="BI68">
        <f t="shared" si="18"/>
        <v>0.53</v>
      </c>
      <c r="BJ68">
        <f t="shared" si="19"/>
        <v>1.94</v>
      </c>
      <c r="BK68">
        <f t="shared" si="20"/>
        <v>0.40900000000000003</v>
      </c>
      <c r="BL68">
        <f t="shared" si="21"/>
        <v>2.2999999999999998</v>
      </c>
      <c r="BM68">
        <f t="shared" si="22"/>
        <v>0.36899999999999999</v>
      </c>
      <c r="BN68">
        <f t="shared" si="22"/>
        <v>0.73299999999999998</v>
      </c>
    </row>
    <row r="69" spans="1:66" x14ac:dyDescent="0.25">
      <c r="A69">
        <v>2025</v>
      </c>
      <c r="B69" s="1">
        <f t="shared" si="23"/>
        <v>45721</v>
      </c>
      <c r="C69">
        <v>64</v>
      </c>
      <c r="D69">
        <v>70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>
        <f t="shared" si="26"/>
        <v>0</v>
      </c>
      <c r="AK69" s="21">
        <f t="shared" si="24"/>
        <v>0</v>
      </c>
      <c r="AL69">
        <f t="shared" si="25"/>
        <v>70.099999999999994</v>
      </c>
      <c r="AM69" s="4">
        <v>13.97</v>
      </c>
      <c r="AP69" s="7">
        <f t="shared" si="3"/>
        <v>0</v>
      </c>
      <c r="AQ69" s="7" t="e">
        <f t="shared" si="4"/>
        <v>#DIV/0!</v>
      </c>
      <c r="AS69">
        <f t="shared" si="5"/>
        <v>0</v>
      </c>
      <c r="AT69">
        <f t="shared" si="6"/>
        <v>0</v>
      </c>
      <c r="AU69">
        <f t="shared" si="7"/>
        <v>0</v>
      </c>
      <c r="AV69" t="s">
        <v>107</v>
      </c>
      <c r="AW69">
        <f t="shared" si="8"/>
        <v>0</v>
      </c>
      <c r="AX69">
        <f t="shared" si="9"/>
        <v>0</v>
      </c>
      <c r="AY69">
        <f t="shared" si="10"/>
        <v>0</v>
      </c>
      <c r="AZ69">
        <f t="shared" si="11"/>
        <v>0</v>
      </c>
      <c r="BA69" t="s">
        <v>107</v>
      </c>
      <c r="BB69">
        <f t="shared" si="12"/>
        <v>0</v>
      </c>
      <c r="BC69">
        <f t="shared" si="13"/>
        <v>0</v>
      </c>
      <c r="BD69">
        <f t="shared" si="14"/>
        <v>0</v>
      </c>
      <c r="BE69">
        <f t="shared" si="15"/>
        <v>0</v>
      </c>
      <c r="BF69" t="s">
        <v>107</v>
      </c>
      <c r="BG69">
        <f t="shared" si="16"/>
        <v>0</v>
      </c>
      <c r="BH69">
        <f t="shared" si="17"/>
        <v>0</v>
      </c>
      <c r="BI69">
        <f t="shared" si="18"/>
        <v>0</v>
      </c>
      <c r="BJ69">
        <f t="shared" si="19"/>
        <v>0</v>
      </c>
      <c r="BK69">
        <f t="shared" si="20"/>
        <v>0</v>
      </c>
      <c r="BL69">
        <f t="shared" si="21"/>
        <v>0</v>
      </c>
      <c r="BM69">
        <f t="shared" si="22"/>
        <v>0</v>
      </c>
      <c r="BN69" t="e">
        <f t="shared" si="22"/>
        <v>#DIV/0!</v>
      </c>
    </row>
    <row r="70" spans="1:66" x14ac:dyDescent="0.25">
      <c r="A70">
        <v>2025</v>
      </c>
      <c r="B70" s="1">
        <f t="shared" si="23"/>
        <v>45722</v>
      </c>
      <c r="C70">
        <v>65</v>
      </c>
      <c r="D70">
        <v>70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>
        <f t="shared" ref="AJ70:AJ101" si="27">IF(AI70&gt;AI69,ROUND((AI70-AI69)*AJ$1,1),0)</f>
        <v>0</v>
      </c>
      <c r="AK70" s="21">
        <f t="shared" si="24"/>
        <v>0</v>
      </c>
      <c r="AL70">
        <f t="shared" si="25"/>
        <v>70.099999999999994</v>
      </c>
      <c r="AM70" s="4">
        <v>14.22</v>
      </c>
      <c r="AP70" s="7">
        <f t="shared" ref="AP70:AP133" si="28">ROUND((0.6105*(EXP((17.273*O70)/(O70+237.3))))*U70/100,3)</f>
        <v>0</v>
      </c>
      <c r="AQ70" s="7" t="e">
        <f t="shared" ref="AQ70:AQ133" si="29">ROUND(AP70/U70*(100-U70),3)</f>
        <v>#DIV/0!</v>
      </c>
      <c r="AS70">
        <f t="shared" ref="AS70:AS133" si="30">AN70</f>
        <v>0</v>
      </c>
      <c r="AT70">
        <f t="shared" ref="AT70:AT133" si="31">ROUND(J70,1)</f>
        <v>0</v>
      </c>
      <c r="AU70">
        <f t="shared" ref="AU70:AU133" si="32">ROUND(K70,1)</f>
        <v>0</v>
      </c>
      <c r="AV70" t="s">
        <v>107</v>
      </c>
      <c r="AW70">
        <f t="shared" ref="AW70:AW133" si="33">ROUND(M70,1)</f>
        <v>0</v>
      </c>
      <c r="AX70">
        <f t="shared" ref="AX70:AX133" si="34">ROUND(N70,1)</f>
        <v>0</v>
      </c>
      <c r="AY70">
        <f t="shared" ref="AY70:AY133" si="35">ROUND(O70,1)</f>
        <v>0</v>
      </c>
      <c r="AZ70">
        <f t="shared" ref="AZ70:AZ133" si="36">ROUND(P70,1)</f>
        <v>0</v>
      </c>
      <c r="BA70" t="s">
        <v>107</v>
      </c>
      <c r="BB70">
        <f t="shared" ref="BB70:BB133" si="37">ROUND(R70,1)</f>
        <v>0</v>
      </c>
      <c r="BC70">
        <f t="shared" ref="BC70:BC133" si="38">ROUND(S70,1)</f>
        <v>0</v>
      </c>
      <c r="BD70">
        <f t="shared" ref="BD70:BD133" si="39">ROUND(T70,1)</f>
        <v>0</v>
      </c>
      <c r="BE70">
        <f t="shared" ref="BE70:BE133" si="40">ROUND(U70,1)</f>
        <v>0</v>
      </c>
      <c r="BF70" t="s">
        <v>107</v>
      </c>
      <c r="BG70">
        <f t="shared" ref="BG70:BG133" si="41">ROUND(W70,1)</f>
        <v>0</v>
      </c>
      <c r="BH70">
        <f t="shared" ref="BH70:BH133" si="42">ROUND(X70,1)</f>
        <v>0</v>
      </c>
      <c r="BI70">
        <f t="shared" ref="BI70:BI133" si="43">ROUND(Y70,2)</f>
        <v>0</v>
      </c>
      <c r="BJ70">
        <f t="shared" ref="BJ70:BJ133" si="44">ROUND(Z70,2)</f>
        <v>0</v>
      </c>
      <c r="BK70">
        <f t="shared" ref="BK70:BK133" si="45">AI70</f>
        <v>0</v>
      </c>
      <c r="BL70">
        <f t="shared" ref="BL70:BL133" si="46">ROUND(AK70,1)</f>
        <v>0</v>
      </c>
      <c r="BM70">
        <f t="shared" ref="BM70:BN133" si="47">ROUND(AP70,3)</f>
        <v>0</v>
      </c>
      <c r="BN70" t="e">
        <f t="shared" si="47"/>
        <v>#DIV/0!</v>
      </c>
    </row>
    <row r="71" spans="1:66" x14ac:dyDescent="0.25">
      <c r="A71">
        <v>2025</v>
      </c>
      <c r="B71" s="1">
        <f t="shared" ref="B71:B134" si="48">B70+1</f>
        <v>45723</v>
      </c>
      <c r="C71">
        <v>66</v>
      </c>
      <c r="D71">
        <v>70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>
        <f t="shared" si="27"/>
        <v>0</v>
      </c>
      <c r="AK71" s="21">
        <f t="shared" ref="AK71:AK108" si="49">AJ71</f>
        <v>0</v>
      </c>
      <c r="AL71">
        <f t="shared" ref="AL71:AL134" si="50">AL70+AK71</f>
        <v>70.099999999999994</v>
      </c>
      <c r="AM71" s="4">
        <v>14.47</v>
      </c>
      <c r="AP71" s="7">
        <f t="shared" si="28"/>
        <v>0</v>
      </c>
      <c r="AQ71" s="7" t="e">
        <f t="shared" si="29"/>
        <v>#DIV/0!</v>
      </c>
      <c r="AS71">
        <f t="shared" si="30"/>
        <v>0</v>
      </c>
      <c r="AT71">
        <f t="shared" si="31"/>
        <v>0</v>
      </c>
      <c r="AU71">
        <f t="shared" si="32"/>
        <v>0</v>
      </c>
      <c r="AV71" t="s">
        <v>107</v>
      </c>
      <c r="AW71">
        <f t="shared" si="33"/>
        <v>0</v>
      </c>
      <c r="AX71">
        <f t="shared" si="34"/>
        <v>0</v>
      </c>
      <c r="AY71">
        <f t="shared" si="35"/>
        <v>0</v>
      </c>
      <c r="AZ71">
        <f t="shared" si="36"/>
        <v>0</v>
      </c>
      <c r="BA71" t="s">
        <v>107</v>
      </c>
      <c r="BB71">
        <f t="shared" si="37"/>
        <v>0</v>
      </c>
      <c r="BC71">
        <f t="shared" si="38"/>
        <v>0</v>
      </c>
      <c r="BD71">
        <f t="shared" si="39"/>
        <v>0</v>
      </c>
      <c r="BE71">
        <f t="shared" si="40"/>
        <v>0</v>
      </c>
      <c r="BF71" t="s">
        <v>107</v>
      </c>
      <c r="BG71">
        <f t="shared" si="41"/>
        <v>0</v>
      </c>
      <c r="BH71">
        <f t="shared" si="42"/>
        <v>0</v>
      </c>
      <c r="BI71">
        <f t="shared" si="43"/>
        <v>0</v>
      </c>
      <c r="BJ71">
        <f t="shared" si="44"/>
        <v>0</v>
      </c>
      <c r="BK71">
        <f t="shared" si="45"/>
        <v>0</v>
      </c>
      <c r="BL71">
        <f t="shared" si="46"/>
        <v>0</v>
      </c>
      <c r="BM71">
        <f t="shared" si="47"/>
        <v>0</v>
      </c>
      <c r="BN71" t="e">
        <f t="shared" si="47"/>
        <v>#DIV/0!</v>
      </c>
    </row>
    <row r="72" spans="1:66" x14ac:dyDescent="0.25">
      <c r="A72">
        <v>2025</v>
      </c>
      <c r="B72" s="1">
        <f t="shared" si="48"/>
        <v>45724</v>
      </c>
      <c r="C72">
        <v>67</v>
      </c>
      <c r="D72">
        <v>70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>
        <f t="shared" si="27"/>
        <v>0</v>
      </c>
      <c r="AK72" s="21">
        <f t="shared" si="49"/>
        <v>0</v>
      </c>
      <c r="AL72">
        <f t="shared" si="50"/>
        <v>70.099999999999994</v>
      </c>
      <c r="AM72" s="4">
        <v>14.71</v>
      </c>
      <c r="AP72" s="7">
        <f t="shared" si="28"/>
        <v>0</v>
      </c>
      <c r="AQ72" s="7" t="e">
        <f t="shared" si="29"/>
        <v>#DIV/0!</v>
      </c>
      <c r="AS72">
        <f t="shared" si="30"/>
        <v>0</v>
      </c>
      <c r="AT72">
        <f t="shared" si="31"/>
        <v>0</v>
      </c>
      <c r="AU72">
        <f t="shared" si="32"/>
        <v>0</v>
      </c>
      <c r="AV72" t="s">
        <v>107</v>
      </c>
      <c r="AW72">
        <f t="shared" si="33"/>
        <v>0</v>
      </c>
      <c r="AX72">
        <f t="shared" si="34"/>
        <v>0</v>
      </c>
      <c r="AY72">
        <f t="shared" si="35"/>
        <v>0</v>
      </c>
      <c r="AZ72">
        <f t="shared" si="36"/>
        <v>0</v>
      </c>
      <c r="BA72" t="s">
        <v>107</v>
      </c>
      <c r="BB72">
        <f t="shared" si="37"/>
        <v>0</v>
      </c>
      <c r="BC72">
        <f t="shared" si="38"/>
        <v>0</v>
      </c>
      <c r="BD72">
        <f t="shared" si="39"/>
        <v>0</v>
      </c>
      <c r="BE72">
        <f t="shared" si="40"/>
        <v>0</v>
      </c>
      <c r="BF72" t="s">
        <v>107</v>
      </c>
      <c r="BG72">
        <f t="shared" si="41"/>
        <v>0</v>
      </c>
      <c r="BH72">
        <f t="shared" si="42"/>
        <v>0</v>
      </c>
      <c r="BI72">
        <f t="shared" si="43"/>
        <v>0</v>
      </c>
      <c r="BJ72">
        <f t="shared" si="44"/>
        <v>0</v>
      </c>
      <c r="BK72">
        <f t="shared" si="45"/>
        <v>0</v>
      </c>
      <c r="BL72">
        <f t="shared" si="46"/>
        <v>0</v>
      </c>
      <c r="BM72">
        <f t="shared" si="47"/>
        <v>0</v>
      </c>
      <c r="BN72" t="e">
        <f t="shared" si="47"/>
        <v>#DIV/0!</v>
      </c>
    </row>
    <row r="73" spans="1:66" x14ac:dyDescent="0.25">
      <c r="A73">
        <v>2025</v>
      </c>
      <c r="B73" s="1">
        <f t="shared" si="48"/>
        <v>45725</v>
      </c>
      <c r="C73">
        <v>68</v>
      </c>
      <c r="D73">
        <v>70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>
        <f t="shared" si="27"/>
        <v>0</v>
      </c>
      <c r="AK73" s="21">
        <f t="shared" si="49"/>
        <v>0</v>
      </c>
      <c r="AL73">
        <f t="shared" si="50"/>
        <v>70.099999999999994</v>
      </c>
      <c r="AM73" s="4">
        <v>14.97</v>
      </c>
      <c r="AP73" s="7">
        <f t="shared" si="28"/>
        <v>0</v>
      </c>
      <c r="AQ73" s="7" t="e">
        <f t="shared" si="29"/>
        <v>#DIV/0!</v>
      </c>
      <c r="AS73">
        <f t="shared" si="30"/>
        <v>0</v>
      </c>
      <c r="AT73">
        <f t="shared" si="31"/>
        <v>0</v>
      </c>
      <c r="AU73">
        <f t="shared" si="32"/>
        <v>0</v>
      </c>
      <c r="AV73" t="s">
        <v>107</v>
      </c>
      <c r="AW73">
        <f t="shared" si="33"/>
        <v>0</v>
      </c>
      <c r="AX73">
        <f t="shared" si="34"/>
        <v>0</v>
      </c>
      <c r="AY73">
        <f t="shared" si="35"/>
        <v>0</v>
      </c>
      <c r="AZ73">
        <f t="shared" si="36"/>
        <v>0</v>
      </c>
      <c r="BA73" t="s">
        <v>107</v>
      </c>
      <c r="BB73">
        <f t="shared" si="37"/>
        <v>0</v>
      </c>
      <c r="BC73">
        <f t="shared" si="38"/>
        <v>0</v>
      </c>
      <c r="BD73">
        <f t="shared" si="39"/>
        <v>0</v>
      </c>
      <c r="BE73">
        <f t="shared" si="40"/>
        <v>0</v>
      </c>
      <c r="BF73" t="s">
        <v>107</v>
      </c>
      <c r="BG73">
        <f t="shared" si="41"/>
        <v>0</v>
      </c>
      <c r="BH73">
        <f t="shared" si="42"/>
        <v>0</v>
      </c>
      <c r="BI73">
        <f t="shared" si="43"/>
        <v>0</v>
      </c>
      <c r="BJ73">
        <f t="shared" si="44"/>
        <v>0</v>
      </c>
      <c r="BK73">
        <f t="shared" si="45"/>
        <v>0</v>
      </c>
      <c r="BL73">
        <f t="shared" si="46"/>
        <v>0</v>
      </c>
      <c r="BM73">
        <f t="shared" si="47"/>
        <v>0</v>
      </c>
      <c r="BN73" t="e">
        <f t="shared" si="47"/>
        <v>#DIV/0!</v>
      </c>
    </row>
    <row r="74" spans="1:66" x14ac:dyDescent="0.25">
      <c r="A74">
        <v>2025</v>
      </c>
      <c r="B74" s="1">
        <f t="shared" si="48"/>
        <v>45726</v>
      </c>
      <c r="C74">
        <v>69</v>
      </c>
      <c r="D74">
        <v>70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>
        <f t="shared" si="27"/>
        <v>0</v>
      </c>
      <c r="AK74" s="21">
        <f t="shared" si="49"/>
        <v>0</v>
      </c>
      <c r="AL74">
        <f t="shared" si="50"/>
        <v>70.099999999999994</v>
      </c>
      <c r="AM74" s="4">
        <v>15.22</v>
      </c>
      <c r="AP74" s="7">
        <f t="shared" si="28"/>
        <v>0</v>
      </c>
      <c r="AQ74" s="7" t="e">
        <f t="shared" si="29"/>
        <v>#DIV/0!</v>
      </c>
      <c r="AS74">
        <f t="shared" si="30"/>
        <v>0</v>
      </c>
      <c r="AT74">
        <f t="shared" si="31"/>
        <v>0</v>
      </c>
      <c r="AU74">
        <f t="shared" si="32"/>
        <v>0</v>
      </c>
      <c r="AV74" t="s">
        <v>107</v>
      </c>
      <c r="AW74">
        <f t="shared" si="33"/>
        <v>0</v>
      </c>
      <c r="AX74">
        <f t="shared" si="34"/>
        <v>0</v>
      </c>
      <c r="AY74">
        <f t="shared" si="35"/>
        <v>0</v>
      </c>
      <c r="AZ74">
        <f t="shared" si="36"/>
        <v>0</v>
      </c>
      <c r="BA74" t="s">
        <v>107</v>
      </c>
      <c r="BB74">
        <f t="shared" si="37"/>
        <v>0</v>
      </c>
      <c r="BC74">
        <f t="shared" si="38"/>
        <v>0</v>
      </c>
      <c r="BD74">
        <f t="shared" si="39"/>
        <v>0</v>
      </c>
      <c r="BE74">
        <f t="shared" si="40"/>
        <v>0</v>
      </c>
      <c r="BF74" t="s">
        <v>107</v>
      </c>
      <c r="BG74">
        <f t="shared" si="41"/>
        <v>0</v>
      </c>
      <c r="BH74">
        <f t="shared" si="42"/>
        <v>0</v>
      </c>
      <c r="BI74">
        <f t="shared" si="43"/>
        <v>0</v>
      </c>
      <c r="BJ74">
        <f t="shared" si="44"/>
        <v>0</v>
      </c>
      <c r="BK74">
        <f t="shared" si="45"/>
        <v>0</v>
      </c>
      <c r="BL74">
        <f t="shared" si="46"/>
        <v>0</v>
      </c>
      <c r="BM74">
        <f t="shared" si="47"/>
        <v>0</v>
      </c>
      <c r="BN74" t="e">
        <f t="shared" si="47"/>
        <v>#DIV/0!</v>
      </c>
    </row>
    <row r="75" spans="1:66" x14ac:dyDescent="0.25">
      <c r="A75">
        <v>2025</v>
      </c>
      <c r="B75" s="1">
        <f t="shared" si="48"/>
        <v>45727</v>
      </c>
      <c r="C75">
        <v>70</v>
      </c>
      <c r="D75">
        <v>70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>
        <f t="shared" si="27"/>
        <v>0</v>
      </c>
      <c r="AK75" s="21">
        <f t="shared" si="49"/>
        <v>0</v>
      </c>
      <c r="AL75">
        <f t="shared" si="50"/>
        <v>70.099999999999994</v>
      </c>
      <c r="AM75" s="4">
        <v>15.48</v>
      </c>
      <c r="AP75" s="7">
        <f t="shared" si="28"/>
        <v>0</v>
      </c>
      <c r="AQ75" s="7" t="e">
        <f t="shared" si="29"/>
        <v>#DIV/0!</v>
      </c>
      <c r="AS75">
        <f t="shared" si="30"/>
        <v>0</v>
      </c>
      <c r="AT75">
        <f t="shared" si="31"/>
        <v>0</v>
      </c>
      <c r="AU75">
        <f t="shared" si="32"/>
        <v>0</v>
      </c>
      <c r="AV75" t="s">
        <v>107</v>
      </c>
      <c r="AW75">
        <f t="shared" si="33"/>
        <v>0</v>
      </c>
      <c r="AX75">
        <f t="shared" si="34"/>
        <v>0</v>
      </c>
      <c r="AY75">
        <f t="shared" si="35"/>
        <v>0</v>
      </c>
      <c r="AZ75">
        <f t="shared" si="36"/>
        <v>0</v>
      </c>
      <c r="BA75" t="s">
        <v>107</v>
      </c>
      <c r="BB75">
        <f t="shared" si="37"/>
        <v>0</v>
      </c>
      <c r="BC75">
        <f t="shared" si="38"/>
        <v>0</v>
      </c>
      <c r="BD75">
        <f t="shared" si="39"/>
        <v>0</v>
      </c>
      <c r="BE75">
        <f t="shared" si="40"/>
        <v>0</v>
      </c>
      <c r="BF75" t="s">
        <v>107</v>
      </c>
      <c r="BG75">
        <f t="shared" si="41"/>
        <v>0</v>
      </c>
      <c r="BH75">
        <f t="shared" si="42"/>
        <v>0</v>
      </c>
      <c r="BI75">
        <f t="shared" si="43"/>
        <v>0</v>
      </c>
      <c r="BJ75">
        <f t="shared" si="44"/>
        <v>0</v>
      </c>
      <c r="BK75">
        <f t="shared" si="45"/>
        <v>0</v>
      </c>
      <c r="BL75">
        <f t="shared" si="46"/>
        <v>0</v>
      </c>
      <c r="BM75">
        <f t="shared" si="47"/>
        <v>0</v>
      </c>
      <c r="BN75" t="e">
        <f t="shared" si="47"/>
        <v>#DIV/0!</v>
      </c>
    </row>
    <row r="76" spans="1:66" x14ac:dyDescent="0.25">
      <c r="A76">
        <v>2025</v>
      </c>
      <c r="B76" s="1">
        <f t="shared" si="48"/>
        <v>45728</v>
      </c>
      <c r="C76">
        <v>71</v>
      </c>
      <c r="D76">
        <v>70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>
        <f t="shared" si="27"/>
        <v>0</v>
      </c>
      <c r="AK76" s="21">
        <f t="shared" si="49"/>
        <v>0</v>
      </c>
      <c r="AL76">
        <f t="shared" si="50"/>
        <v>70.099999999999994</v>
      </c>
      <c r="AM76" s="4">
        <v>15.73</v>
      </c>
      <c r="AP76" s="7">
        <f t="shared" si="28"/>
        <v>0</v>
      </c>
      <c r="AQ76" s="7" t="e">
        <f t="shared" si="29"/>
        <v>#DIV/0!</v>
      </c>
      <c r="AS76">
        <f t="shared" si="30"/>
        <v>0</v>
      </c>
      <c r="AT76">
        <f t="shared" si="31"/>
        <v>0</v>
      </c>
      <c r="AU76">
        <f t="shared" si="32"/>
        <v>0</v>
      </c>
      <c r="AV76" t="s">
        <v>107</v>
      </c>
      <c r="AW76">
        <f t="shared" si="33"/>
        <v>0</v>
      </c>
      <c r="AX76">
        <f t="shared" si="34"/>
        <v>0</v>
      </c>
      <c r="AY76">
        <f t="shared" si="35"/>
        <v>0</v>
      </c>
      <c r="AZ76">
        <f t="shared" si="36"/>
        <v>0</v>
      </c>
      <c r="BA76" t="s">
        <v>107</v>
      </c>
      <c r="BB76">
        <f t="shared" si="37"/>
        <v>0</v>
      </c>
      <c r="BC76">
        <f t="shared" si="38"/>
        <v>0</v>
      </c>
      <c r="BD76">
        <f t="shared" si="39"/>
        <v>0</v>
      </c>
      <c r="BE76">
        <f t="shared" si="40"/>
        <v>0</v>
      </c>
      <c r="BF76" t="s">
        <v>107</v>
      </c>
      <c r="BG76">
        <f t="shared" si="41"/>
        <v>0</v>
      </c>
      <c r="BH76">
        <f t="shared" si="42"/>
        <v>0</v>
      </c>
      <c r="BI76">
        <f t="shared" si="43"/>
        <v>0</v>
      </c>
      <c r="BJ76">
        <f t="shared" si="44"/>
        <v>0</v>
      </c>
      <c r="BK76">
        <f t="shared" si="45"/>
        <v>0</v>
      </c>
      <c r="BL76">
        <f t="shared" si="46"/>
        <v>0</v>
      </c>
      <c r="BM76">
        <f t="shared" si="47"/>
        <v>0</v>
      </c>
      <c r="BN76" t="e">
        <f t="shared" si="47"/>
        <v>#DIV/0!</v>
      </c>
    </row>
    <row r="77" spans="1:66" x14ac:dyDescent="0.25">
      <c r="A77">
        <v>2025</v>
      </c>
      <c r="B77" s="1">
        <f t="shared" si="48"/>
        <v>45729</v>
      </c>
      <c r="C77">
        <v>72</v>
      </c>
      <c r="D77">
        <v>70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>
        <f t="shared" si="27"/>
        <v>0</v>
      </c>
      <c r="AK77" s="21">
        <f t="shared" si="49"/>
        <v>0</v>
      </c>
      <c r="AL77">
        <f t="shared" si="50"/>
        <v>70.099999999999994</v>
      </c>
      <c r="AM77" s="4">
        <v>15.99</v>
      </c>
      <c r="AP77" s="7">
        <f t="shared" si="28"/>
        <v>0</v>
      </c>
      <c r="AQ77" s="7" t="e">
        <f t="shared" si="29"/>
        <v>#DIV/0!</v>
      </c>
      <c r="AS77">
        <f t="shared" si="30"/>
        <v>0</v>
      </c>
      <c r="AT77">
        <f t="shared" si="31"/>
        <v>0</v>
      </c>
      <c r="AU77">
        <f t="shared" si="32"/>
        <v>0</v>
      </c>
      <c r="AV77" t="s">
        <v>107</v>
      </c>
      <c r="AW77">
        <f t="shared" si="33"/>
        <v>0</v>
      </c>
      <c r="AX77">
        <f t="shared" si="34"/>
        <v>0</v>
      </c>
      <c r="AY77">
        <f t="shared" si="35"/>
        <v>0</v>
      </c>
      <c r="AZ77">
        <f t="shared" si="36"/>
        <v>0</v>
      </c>
      <c r="BA77" t="s">
        <v>107</v>
      </c>
      <c r="BB77">
        <f t="shared" si="37"/>
        <v>0</v>
      </c>
      <c r="BC77">
        <f t="shared" si="38"/>
        <v>0</v>
      </c>
      <c r="BD77">
        <f t="shared" si="39"/>
        <v>0</v>
      </c>
      <c r="BE77">
        <f t="shared" si="40"/>
        <v>0</v>
      </c>
      <c r="BF77" t="s">
        <v>107</v>
      </c>
      <c r="BG77">
        <f t="shared" si="41"/>
        <v>0</v>
      </c>
      <c r="BH77">
        <f t="shared" si="42"/>
        <v>0</v>
      </c>
      <c r="BI77">
        <f t="shared" si="43"/>
        <v>0</v>
      </c>
      <c r="BJ77">
        <f t="shared" si="44"/>
        <v>0</v>
      </c>
      <c r="BK77">
        <f t="shared" si="45"/>
        <v>0</v>
      </c>
      <c r="BL77">
        <f t="shared" si="46"/>
        <v>0</v>
      </c>
      <c r="BM77">
        <f t="shared" si="47"/>
        <v>0</v>
      </c>
      <c r="BN77" t="e">
        <f t="shared" si="47"/>
        <v>#DIV/0!</v>
      </c>
    </row>
    <row r="78" spans="1:66" x14ac:dyDescent="0.25">
      <c r="A78">
        <v>2025</v>
      </c>
      <c r="B78" s="1">
        <f t="shared" si="48"/>
        <v>45730</v>
      </c>
      <c r="C78">
        <v>73</v>
      </c>
      <c r="D78">
        <v>70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>
        <f t="shared" si="27"/>
        <v>0</v>
      </c>
      <c r="AK78" s="21">
        <f t="shared" si="49"/>
        <v>0</v>
      </c>
      <c r="AL78">
        <f t="shared" si="50"/>
        <v>70.099999999999994</v>
      </c>
      <c r="AM78" s="4">
        <v>16.25</v>
      </c>
      <c r="AP78" s="7">
        <f t="shared" si="28"/>
        <v>0</v>
      </c>
      <c r="AQ78" s="7" t="e">
        <f t="shared" si="29"/>
        <v>#DIV/0!</v>
      </c>
      <c r="AS78">
        <f t="shared" si="30"/>
        <v>0</v>
      </c>
      <c r="AT78">
        <f t="shared" si="31"/>
        <v>0</v>
      </c>
      <c r="AU78">
        <f t="shared" si="32"/>
        <v>0</v>
      </c>
      <c r="AV78" t="s">
        <v>107</v>
      </c>
      <c r="AW78">
        <f t="shared" si="33"/>
        <v>0</v>
      </c>
      <c r="AX78">
        <f t="shared" si="34"/>
        <v>0</v>
      </c>
      <c r="AY78">
        <f t="shared" si="35"/>
        <v>0</v>
      </c>
      <c r="AZ78">
        <f t="shared" si="36"/>
        <v>0</v>
      </c>
      <c r="BA78" t="s">
        <v>107</v>
      </c>
      <c r="BB78">
        <f t="shared" si="37"/>
        <v>0</v>
      </c>
      <c r="BC78">
        <f t="shared" si="38"/>
        <v>0</v>
      </c>
      <c r="BD78">
        <f t="shared" si="39"/>
        <v>0</v>
      </c>
      <c r="BE78">
        <f t="shared" si="40"/>
        <v>0</v>
      </c>
      <c r="BF78" t="s">
        <v>107</v>
      </c>
      <c r="BG78">
        <f t="shared" si="41"/>
        <v>0</v>
      </c>
      <c r="BH78">
        <f t="shared" si="42"/>
        <v>0</v>
      </c>
      <c r="BI78">
        <f t="shared" si="43"/>
        <v>0</v>
      </c>
      <c r="BJ78">
        <f t="shared" si="44"/>
        <v>0</v>
      </c>
      <c r="BK78">
        <f t="shared" si="45"/>
        <v>0</v>
      </c>
      <c r="BL78">
        <f t="shared" si="46"/>
        <v>0</v>
      </c>
      <c r="BM78">
        <f t="shared" si="47"/>
        <v>0</v>
      </c>
      <c r="BN78" t="e">
        <f t="shared" si="47"/>
        <v>#DIV/0!</v>
      </c>
    </row>
    <row r="79" spans="1:66" x14ac:dyDescent="0.25">
      <c r="A79">
        <v>2025</v>
      </c>
      <c r="B79" s="1">
        <f t="shared" si="48"/>
        <v>45731</v>
      </c>
      <c r="C79">
        <v>74</v>
      </c>
      <c r="D79">
        <v>70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>
        <f t="shared" si="27"/>
        <v>0</v>
      </c>
      <c r="AK79" s="21">
        <f t="shared" si="49"/>
        <v>0</v>
      </c>
      <c r="AL79">
        <f t="shared" si="50"/>
        <v>70.099999999999994</v>
      </c>
      <c r="AM79" s="4">
        <v>16.510000000000002</v>
      </c>
      <c r="AP79" s="7">
        <f t="shared" si="28"/>
        <v>0</v>
      </c>
      <c r="AQ79" s="7" t="e">
        <f t="shared" si="29"/>
        <v>#DIV/0!</v>
      </c>
      <c r="AS79">
        <f t="shared" si="30"/>
        <v>0</v>
      </c>
      <c r="AT79">
        <f t="shared" si="31"/>
        <v>0</v>
      </c>
      <c r="AU79">
        <f t="shared" si="32"/>
        <v>0</v>
      </c>
      <c r="AV79" t="s">
        <v>107</v>
      </c>
      <c r="AW79">
        <f t="shared" si="33"/>
        <v>0</v>
      </c>
      <c r="AX79">
        <f t="shared" si="34"/>
        <v>0</v>
      </c>
      <c r="AY79">
        <f t="shared" si="35"/>
        <v>0</v>
      </c>
      <c r="AZ79">
        <f t="shared" si="36"/>
        <v>0</v>
      </c>
      <c r="BA79" t="s">
        <v>107</v>
      </c>
      <c r="BB79">
        <f t="shared" si="37"/>
        <v>0</v>
      </c>
      <c r="BC79">
        <f t="shared" si="38"/>
        <v>0</v>
      </c>
      <c r="BD79">
        <f t="shared" si="39"/>
        <v>0</v>
      </c>
      <c r="BE79">
        <f t="shared" si="40"/>
        <v>0</v>
      </c>
      <c r="BF79" t="s">
        <v>107</v>
      </c>
      <c r="BG79">
        <f t="shared" si="41"/>
        <v>0</v>
      </c>
      <c r="BH79">
        <f t="shared" si="42"/>
        <v>0</v>
      </c>
      <c r="BI79">
        <f t="shared" si="43"/>
        <v>0</v>
      </c>
      <c r="BJ79">
        <f t="shared" si="44"/>
        <v>0</v>
      </c>
      <c r="BK79">
        <f t="shared" si="45"/>
        <v>0</v>
      </c>
      <c r="BL79">
        <f t="shared" si="46"/>
        <v>0</v>
      </c>
      <c r="BM79">
        <f t="shared" si="47"/>
        <v>0</v>
      </c>
      <c r="BN79" t="e">
        <f t="shared" si="47"/>
        <v>#DIV/0!</v>
      </c>
    </row>
    <row r="80" spans="1:66" x14ac:dyDescent="0.25">
      <c r="A80">
        <v>2025</v>
      </c>
      <c r="B80" s="1">
        <f t="shared" si="48"/>
        <v>45732</v>
      </c>
      <c r="C80">
        <v>75</v>
      </c>
      <c r="D80">
        <v>70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>
        <f t="shared" si="27"/>
        <v>0</v>
      </c>
      <c r="AK80" s="21">
        <f t="shared" si="49"/>
        <v>0</v>
      </c>
      <c r="AL80">
        <f t="shared" si="50"/>
        <v>70.099999999999994</v>
      </c>
      <c r="AM80" s="4">
        <v>16.77</v>
      </c>
      <c r="AP80" s="7">
        <f t="shared" si="28"/>
        <v>0</v>
      </c>
      <c r="AQ80" s="7" t="e">
        <f t="shared" si="29"/>
        <v>#DIV/0!</v>
      </c>
      <c r="AS80">
        <f t="shared" si="30"/>
        <v>0</v>
      </c>
      <c r="AT80">
        <f t="shared" si="31"/>
        <v>0</v>
      </c>
      <c r="AU80">
        <f t="shared" si="32"/>
        <v>0</v>
      </c>
      <c r="AV80" t="s">
        <v>107</v>
      </c>
      <c r="AW80">
        <f t="shared" si="33"/>
        <v>0</v>
      </c>
      <c r="AX80">
        <f t="shared" si="34"/>
        <v>0</v>
      </c>
      <c r="AY80">
        <f t="shared" si="35"/>
        <v>0</v>
      </c>
      <c r="AZ80">
        <f t="shared" si="36"/>
        <v>0</v>
      </c>
      <c r="BA80" t="s">
        <v>107</v>
      </c>
      <c r="BB80">
        <f t="shared" si="37"/>
        <v>0</v>
      </c>
      <c r="BC80">
        <f t="shared" si="38"/>
        <v>0</v>
      </c>
      <c r="BD80">
        <f t="shared" si="39"/>
        <v>0</v>
      </c>
      <c r="BE80">
        <f t="shared" si="40"/>
        <v>0</v>
      </c>
      <c r="BF80" t="s">
        <v>107</v>
      </c>
      <c r="BG80">
        <f t="shared" si="41"/>
        <v>0</v>
      </c>
      <c r="BH80">
        <f t="shared" si="42"/>
        <v>0</v>
      </c>
      <c r="BI80">
        <f t="shared" si="43"/>
        <v>0</v>
      </c>
      <c r="BJ80">
        <f t="shared" si="44"/>
        <v>0</v>
      </c>
      <c r="BK80">
        <f t="shared" si="45"/>
        <v>0</v>
      </c>
      <c r="BL80">
        <f t="shared" si="46"/>
        <v>0</v>
      </c>
      <c r="BM80">
        <f t="shared" si="47"/>
        <v>0</v>
      </c>
      <c r="BN80" t="e">
        <f t="shared" si="47"/>
        <v>#DIV/0!</v>
      </c>
    </row>
    <row r="81" spans="1:66" x14ac:dyDescent="0.25">
      <c r="A81">
        <v>2025</v>
      </c>
      <c r="B81" s="1">
        <f t="shared" si="48"/>
        <v>45733</v>
      </c>
      <c r="C81">
        <v>76</v>
      </c>
      <c r="D81">
        <v>70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>
        <f t="shared" si="27"/>
        <v>0</v>
      </c>
      <c r="AK81" s="21">
        <f t="shared" si="49"/>
        <v>0</v>
      </c>
      <c r="AL81">
        <f t="shared" si="50"/>
        <v>70.099999999999994</v>
      </c>
      <c r="AM81" s="4">
        <v>17.03</v>
      </c>
      <c r="AP81" s="7">
        <f t="shared" si="28"/>
        <v>0</v>
      </c>
      <c r="AQ81" s="7" t="e">
        <f t="shared" si="29"/>
        <v>#DIV/0!</v>
      </c>
      <c r="AS81">
        <f t="shared" si="30"/>
        <v>0</v>
      </c>
      <c r="AT81">
        <f t="shared" si="31"/>
        <v>0</v>
      </c>
      <c r="AU81">
        <f t="shared" si="32"/>
        <v>0</v>
      </c>
      <c r="AV81" t="s">
        <v>107</v>
      </c>
      <c r="AW81">
        <f t="shared" si="33"/>
        <v>0</v>
      </c>
      <c r="AX81">
        <f t="shared" si="34"/>
        <v>0</v>
      </c>
      <c r="AY81">
        <f t="shared" si="35"/>
        <v>0</v>
      </c>
      <c r="AZ81">
        <f t="shared" si="36"/>
        <v>0</v>
      </c>
      <c r="BA81" t="s">
        <v>107</v>
      </c>
      <c r="BB81">
        <f t="shared" si="37"/>
        <v>0</v>
      </c>
      <c r="BC81">
        <f t="shared" si="38"/>
        <v>0</v>
      </c>
      <c r="BD81">
        <f t="shared" si="39"/>
        <v>0</v>
      </c>
      <c r="BE81">
        <f t="shared" si="40"/>
        <v>0</v>
      </c>
      <c r="BF81" t="s">
        <v>107</v>
      </c>
      <c r="BG81">
        <f t="shared" si="41"/>
        <v>0</v>
      </c>
      <c r="BH81">
        <f t="shared" si="42"/>
        <v>0</v>
      </c>
      <c r="BI81">
        <f t="shared" si="43"/>
        <v>0</v>
      </c>
      <c r="BJ81">
        <f t="shared" si="44"/>
        <v>0</v>
      </c>
      <c r="BK81">
        <f t="shared" si="45"/>
        <v>0</v>
      </c>
      <c r="BL81">
        <f t="shared" si="46"/>
        <v>0</v>
      </c>
      <c r="BM81">
        <f t="shared" si="47"/>
        <v>0</v>
      </c>
      <c r="BN81" t="e">
        <f t="shared" si="47"/>
        <v>#DIV/0!</v>
      </c>
    </row>
    <row r="82" spans="1:66" x14ac:dyDescent="0.25">
      <c r="A82">
        <v>2025</v>
      </c>
      <c r="B82" s="1">
        <f t="shared" si="48"/>
        <v>45734</v>
      </c>
      <c r="C82">
        <v>77</v>
      </c>
      <c r="D82">
        <v>70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>
        <f t="shared" si="27"/>
        <v>0</v>
      </c>
      <c r="AK82" s="21">
        <f t="shared" si="49"/>
        <v>0</v>
      </c>
      <c r="AL82">
        <f t="shared" si="50"/>
        <v>70.099999999999994</v>
      </c>
      <c r="AM82" s="4">
        <v>17.29</v>
      </c>
      <c r="AP82" s="7">
        <f t="shared" si="28"/>
        <v>0</v>
      </c>
      <c r="AQ82" s="7" t="e">
        <f t="shared" si="29"/>
        <v>#DIV/0!</v>
      </c>
      <c r="AS82">
        <f t="shared" si="30"/>
        <v>0</v>
      </c>
      <c r="AT82">
        <f t="shared" si="31"/>
        <v>0</v>
      </c>
      <c r="AU82">
        <f t="shared" si="32"/>
        <v>0</v>
      </c>
      <c r="AV82" t="s">
        <v>107</v>
      </c>
      <c r="AW82">
        <f t="shared" si="33"/>
        <v>0</v>
      </c>
      <c r="AX82">
        <f t="shared" si="34"/>
        <v>0</v>
      </c>
      <c r="AY82">
        <f t="shared" si="35"/>
        <v>0</v>
      </c>
      <c r="AZ82">
        <f t="shared" si="36"/>
        <v>0</v>
      </c>
      <c r="BA82" t="s">
        <v>107</v>
      </c>
      <c r="BB82">
        <f t="shared" si="37"/>
        <v>0</v>
      </c>
      <c r="BC82">
        <f t="shared" si="38"/>
        <v>0</v>
      </c>
      <c r="BD82">
        <f t="shared" si="39"/>
        <v>0</v>
      </c>
      <c r="BE82">
        <f t="shared" si="40"/>
        <v>0</v>
      </c>
      <c r="BF82" t="s">
        <v>107</v>
      </c>
      <c r="BG82">
        <f t="shared" si="41"/>
        <v>0</v>
      </c>
      <c r="BH82">
        <f t="shared" si="42"/>
        <v>0</v>
      </c>
      <c r="BI82">
        <f t="shared" si="43"/>
        <v>0</v>
      </c>
      <c r="BJ82">
        <f t="shared" si="44"/>
        <v>0</v>
      </c>
      <c r="BK82">
        <f t="shared" si="45"/>
        <v>0</v>
      </c>
      <c r="BL82">
        <f t="shared" si="46"/>
        <v>0</v>
      </c>
      <c r="BM82">
        <f t="shared" si="47"/>
        <v>0</v>
      </c>
      <c r="BN82" t="e">
        <f t="shared" si="47"/>
        <v>#DIV/0!</v>
      </c>
    </row>
    <row r="83" spans="1:66" x14ac:dyDescent="0.25">
      <c r="A83">
        <v>2025</v>
      </c>
      <c r="B83" s="1">
        <f t="shared" si="48"/>
        <v>45735</v>
      </c>
      <c r="C83">
        <v>78</v>
      </c>
      <c r="D83">
        <v>70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>
        <f t="shared" si="27"/>
        <v>0</v>
      </c>
      <c r="AK83" s="21">
        <f t="shared" si="49"/>
        <v>0</v>
      </c>
      <c r="AL83">
        <f t="shared" si="50"/>
        <v>70.099999999999994</v>
      </c>
      <c r="AM83" s="4">
        <v>17.559999999999999</v>
      </c>
      <c r="AP83" s="7">
        <f t="shared" si="28"/>
        <v>0</v>
      </c>
      <c r="AQ83" s="7" t="e">
        <f t="shared" si="29"/>
        <v>#DIV/0!</v>
      </c>
      <c r="AS83">
        <f t="shared" si="30"/>
        <v>0</v>
      </c>
      <c r="AT83">
        <f t="shared" si="31"/>
        <v>0</v>
      </c>
      <c r="AU83">
        <f t="shared" si="32"/>
        <v>0</v>
      </c>
      <c r="AV83" t="s">
        <v>107</v>
      </c>
      <c r="AW83">
        <f t="shared" si="33"/>
        <v>0</v>
      </c>
      <c r="AX83">
        <f t="shared" si="34"/>
        <v>0</v>
      </c>
      <c r="AY83">
        <f t="shared" si="35"/>
        <v>0</v>
      </c>
      <c r="AZ83">
        <f t="shared" si="36"/>
        <v>0</v>
      </c>
      <c r="BA83" t="s">
        <v>107</v>
      </c>
      <c r="BB83">
        <f t="shared" si="37"/>
        <v>0</v>
      </c>
      <c r="BC83">
        <f t="shared" si="38"/>
        <v>0</v>
      </c>
      <c r="BD83">
        <f t="shared" si="39"/>
        <v>0</v>
      </c>
      <c r="BE83">
        <f t="shared" si="40"/>
        <v>0</v>
      </c>
      <c r="BF83" t="s">
        <v>107</v>
      </c>
      <c r="BG83">
        <f t="shared" si="41"/>
        <v>0</v>
      </c>
      <c r="BH83">
        <f t="shared" si="42"/>
        <v>0</v>
      </c>
      <c r="BI83">
        <f t="shared" si="43"/>
        <v>0</v>
      </c>
      <c r="BJ83">
        <f t="shared" si="44"/>
        <v>0</v>
      </c>
      <c r="BK83">
        <f t="shared" si="45"/>
        <v>0</v>
      </c>
      <c r="BL83">
        <f t="shared" si="46"/>
        <v>0</v>
      </c>
      <c r="BM83">
        <f t="shared" si="47"/>
        <v>0</v>
      </c>
      <c r="BN83" t="e">
        <f t="shared" si="47"/>
        <v>#DIV/0!</v>
      </c>
    </row>
    <row r="84" spans="1:66" x14ac:dyDescent="0.25">
      <c r="A84">
        <v>2025</v>
      </c>
      <c r="B84" s="1">
        <f t="shared" si="48"/>
        <v>45736</v>
      </c>
      <c r="C84">
        <v>79</v>
      </c>
      <c r="D84">
        <v>70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>
        <f t="shared" si="27"/>
        <v>0</v>
      </c>
      <c r="AK84" s="21">
        <f t="shared" si="49"/>
        <v>0</v>
      </c>
      <c r="AL84">
        <f t="shared" si="50"/>
        <v>70.099999999999994</v>
      </c>
      <c r="AM84" s="4">
        <v>17.829999999999998</v>
      </c>
      <c r="AP84" s="7">
        <f t="shared" si="28"/>
        <v>0</v>
      </c>
      <c r="AQ84" s="7" t="e">
        <f t="shared" si="29"/>
        <v>#DIV/0!</v>
      </c>
      <c r="AS84">
        <f t="shared" si="30"/>
        <v>0</v>
      </c>
      <c r="AT84">
        <f t="shared" si="31"/>
        <v>0</v>
      </c>
      <c r="AU84">
        <f t="shared" si="32"/>
        <v>0</v>
      </c>
      <c r="AV84" t="s">
        <v>107</v>
      </c>
      <c r="AW84">
        <f t="shared" si="33"/>
        <v>0</v>
      </c>
      <c r="AX84">
        <f t="shared" si="34"/>
        <v>0</v>
      </c>
      <c r="AY84">
        <f t="shared" si="35"/>
        <v>0</v>
      </c>
      <c r="AZ84">
        <f t="shared" si="36"/>
        <v>0</v>
      </c>
      <c r="BA84" t="s">
        <v>107</v>
      </c>
      <c r="BB84">
        <f t="shared" si="37"/>
        <v>0</v>
      </c>
      <c r="BC84">
        <f t="shared" si="38"/>
        <v>0</v>
      </c>
      <c r="BD84">
        <f t="shared" si="39"/>
        <v>0</v>
      </c>
      <c r="BE84">
        <f t="shared" si="40"/>
        <v>0</v>
      </c>
      <c r="BF84" t="s">
        <v>107</v>
      </c>
      <c r="BG84">
        <f t="shared" si="41"/>
        <v>0</v>
      </c>
      <c r="BH84">
        <f t="shared" si="42"/>
        <v>0</v>
      </c>
      <c r="BI84">
        <f t="shared" si="43"/>
        <v>0</v>
      </c>
      <c r="BJ84">
        <f t="shared" si="44"/>
        <v>0</v>
      </c>
      <c r="BK84">
        <f t="shared" si="45"/>
        <v>0</v>
      </c>
      <c r="BL84">
        <f t="shared" si="46"/>
        <v>0</v>
      </c>
      <c r="BM84">
        <f t="shared" si="47"/>
        <v>0</v>
      </c>
      <c r="BN84" t="e">
        <f t="shared" si="47"/>
        <v>#DIV/0!</v>
      </c>
    </row>
    <row r="85" spans="1:66" x14ac:dyDescent="0.25">
      <c r="A85">
        <v>2025</v>
      </c>
      <c r="B85" s="1">
        <f t="shared" si="48"/>
        <v>45737</v>
      </c>
      <c r="C85">
        <v>80</v>
      </c>
      <c r="D85">
        <v>70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>
        <f t="shared" si="27"/>
        <v>0</v>
      </c>
      <c r="AK85" s="21">
        <f t="shared" si="49"/>
        <v>0</v>
      </c>
      <c r="AL85">
        <f t="shared" si="50"/>
        <v>70.099999999999994</v>
      </c>
      <c r="AM85" s="4">
        <v>18.09</v>
      </c>
      <c r="AP85" s="7">
        <f t="shared" si="28"/>
        <v>0</v>
      </c>
      <c r="AQ85" s="7" t="e">
        <f t="shared" si="29"/>
        <v>#DIV/0!</v>
      </c>
      <c r="AS85">
        <f t="shared" si="30"/>
        <v>0</v>
      </c>
      <c r="AT85">
        <f t="shared" si="31"/>
        <v>0</v>
      </c>
      <c r="AU85">
        <f t="shared" si="32"/>
        <v>0</v>
      </c>
      <c r="AV85" t="s">
        <v>107</v>
      </c>
      <c r="AW85">
        <f t="shared" si="33"/>
        <v>0</v>
      </c>
      <c r="AX85">
        <f t="shared" si="34"/>
        <v>0</v>
      </c>
      <c r="AY85">
        <f t="shared" si="35"/>
        <v>0</v>
      </c>
      <c r="AZ85">
        <f t="shared" si="36"/>
        <v>0</v>
      </c>
      <c r="BA85" t="s">
        <v>107</v>
      </c>
      <c r="BB85">
        <f t="shared" si="37"/>
        <v>0</v>
      </c>
      <c r="BC85">
        <f t="shared" si="38"/>
        <v>0</v>
      </c>
      <c r="BD85">
        <f t="shared" si="39"/>
        <v>0</v>
      </c>
      <c r="BE85">
        <f t="shared" si="40"/>
        <v>0</v>
      </c>
      <c r="BF85" t="s">
        <v>107</v>
      </c>
      <c r="BG85">
        <f t="shared" si="41"/>
        <v>0</v>
      </c>
      <c r="BH85">
        <f t="shared" si="42"/>
        <v>0</v>
      </c>
      <c r="BI85">
        <f t="shared" si="43"/>
        <v>0</v>
      </c>
      <c r="BJ85">
        <f t="shared" si="44"/>
        <v>0</v>
      </c>
      <c r="BK85">
        <f t="shared" si="45"/>
        <v>0</v>
      </c>
      <c r="BL85">
        <f t="shared" si="46"/>
        <v>0</v>
      </c>
      <c r="BM85">
        <f t="shared" si="47"/>
        <v>0</v>
      </c>
      <c r="BN85" t="e">
        <f t="shared" si="47"/>
        <v>#DIV/0!</v>
      </c>
    </row>
    <row r="86" spans="1:66" x14ac:dyDescent="0.25">
      <c r="A86">
        <v>2025</v>
      </c>
      <c r="B86" s="1">
        <f t="shared" si="48"/>
        <v>45738</v>
      </c>
      <c r="C86">
        <v>81</v>
      </c>
      <c r="D86">
        <v>70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>
        <f t="shared" si="27"/>
        <v>0</v>
      </c>
      <c r="AK86" s="21">
        <f t="shared" si="49"/>
        <v>0</v>
      </c>
      <c r="AL86">
        <f t="shared" si="50"/>
        <v>70.099999999999994</v>
      </c>
      <c r="AM86" s="4">
        <v>18.36</v>
      </c>
      <c r="AP86" s="7">
        <f t="shared" si="28"/>
        <v>0</v>
      </c>
      <c r="AQ86" s="7" t="e">
        <f t="shared" si="29"/>
        <v>#DIV/0!</v>
      </c>
      <c r="AS86">
        <f t="shared" si="30"/>
        <v>0</v>
      </c>
      <c r="AT86">
        <f t="shared" si="31"/>
        <v>0</v>
      </c>
      <c r="AU86">
        <f t="shared" si="32"/>
        <v>0</v>
      </c>
      <c r="AV86" t="s">
        <v>107</v>
      </c>
      <c r="AW86">
        <f t="shared" si="33"/>
        <v>0</v>
      </c>
      <c r="AX86">
        <f t="shared" si="34"/>
        <v>0</v>
      </c>
      <c r="AY86">
        <f t="shared" si="35"/>
        <v>0</v>
      </c>
      <c r="AZ86">
        <f t="shared" si="36"/>
        <v>0</v>
      </c>
      <c r="BA86" t="s">
        <v>107</v>
      </c>
      <c r="BB86">
        <f t="shared" si="37"/>
        <v>0</v>
      </c>
      <c r="BC86">
        <f t="shared" si="38"/>
        <v>0</v>
      </c>
      <c r="BD86">
        <f t="shared" si="39"/>
        <v>0</v>
      </c>
      <c r="BE86">
        <f t="shared" si="40"/>
        <v>0</v>
      </c>
      <c r="BF86" t="s">
        <v>107</v>
      </c>
      <c r="BG86">
        <f t="shared" si="41"/>
        <v>0</v>
      </c>
      <c r="BH86">
        <f t="shared" si="42"/>
        <v>0</v>
      </c>
      <c r="BI86">
        <f t="shared" si="43"/>
        <v>0</v>
      </c>
      <c r="BJ86">
        <f t="shared" si="44"/>
        <v>0</v>
      </c>
      <c r="BK86">
        <f t="shared" si="45"/>
        <v>0</v>
      </c>
      <c r="BL86">
        <f t="shared" si="46"/>
        <v>0</v>
      </c>
      <c r="BM86">
        <f t="shared" si="47"/>
        <v>0</v>
      </c>
      <c r="BN86" t="e">
        <f t="shared" si="47"/>
        <v>#DIV/0!</v>
      </c>
    </row>
    <row r="87" spans="1:66" x14ac:dyDescent="0.25">
      <c r="A87">
        <v>2025</v>
      </c>
      <c r="B87" s="1">
        <f t="shared" si="48"/>
        <v>45739</v>
      </c>
      <c r="C87">
        <v>82</v>
      </c>
      <c r="D87">
        <v>70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>
        <f t="shared" si="27"/>
        <v>0</v>
      </c>
      <c r="AK87" s="21">
        <f t="shared" si="49"/>
        <v>0</v>
      </c>
      <c r="AL87">
        <f t="shared" si="50"/>
        <v>70.099999999999994</v>
      </c>
      <c r="AM87" s="4">
        <v>18.62</v>
      </c>
      <c r="AP87" s="7">
        <f t="shared" si="28"/>
        <v>0</v>
      </c>
      <c r="AQ87" s="7" t="e">
        <f t="shared" si="29"/>
        <v>#DIV/0!</v>
      </c>
      <c r="AS87">
        <f t="shared" si="30"/>
        <v>0</v>
      </c>
      <c r="AT87">
        <f t="shared" si="31"/>
        <v>0</v>
      </c>
      <c r="AU87">
        <f t="shared" si="32"/>
        <v>0</v>
      </c>
      <c r="AV87" t="s">
        <v>107</v>
      </c>
      <c r="AW87">
        <f t="shared" si="33"/>
        <v>0</v>
      </c>
      <c r="AX87">
        <f t="shared" si="34"/>
        <v>0</v>
      </c>
      <c r="AY87">
        <f t="shared" si="35"/>
        <v>0</v>
      </c>
      <c r="AZ87">
        <f t="shared" si="36"/>
        <v>0</v>
      </c>
      <c r="BA87" t="s">
        <v>107</v>
      </c>
      <c r="BB87">
        <f t="shared" si="37"/>
        <v>0</v>
      </c>
      <c r="BC87">
        <f t="shared" si="38"/>
        <v>0</v>
      </c>
      <c r="BD87">
        <f t="shared" si="39"/>
        <v>0</v>
      </c>
      <c r="BE87">
        <f t="shared" si="40"/>
        <v>0</v>
      </c>
      <c r="BF87" t="s">
        <v>107</v>
      </c>
      <c r="BG87">
        <f t="shared" si="41"/>
        <v>0</v>
      </c>
      <c r="BH87">
        <f t="shared" si="42"/>
        <v>0</v>
      </c>
      <c r="BI87">
        <f t="shared" si="43"/>
        <v>0</v>
      </c>
      <c r="BJ87">
        <f t="shared" si="44"/>
        <v>0</v>
      </c>
      <c r="BK87">
        <f t="shared" si="45"/>
        <v>0</v>
      </c>
      <c r="BL87">
        <f t="shared" si="46"/>
        <v>0</v>
      </c>
      <c r="BM87">
        <f t="shared" si="47"/>
        <v>0</v>
      </c>
      <c r="BN87" t="e">
        <f t="shared" si="47"/>
        <v>#DIV/0!</v>
      </c>
    </row>
    <row r="88" spans="1:66" x14ac:dyDescent="0.25">
      <c r="A88">
        <v>2025</v>
      </c>
      <c r="B88" s="1">
        <f t="shared" si="48"/>
        <v>45740</v>
      </c>
      <c r="C88">
        <v>83</v>
      </c>
      <c r="D88">
        <v>70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>
        <f t="shared" si="27"/>
        <v>0</v>
      </c>
      <c r="AK88" s="21">
        <f t="shared" si="49"/>
        <v>0</v>
      </c>
      <c r="AL88">
        <f t="shared" si="50"/>
        <v>70.099999999999994</v>
      </c>
      <c r="AM88" s="4">
        <v>18.89</v>
      </c>
      <c r="AP88" s="7">
        <f t="shared" si="28"/>
        <v>0</v>
      </c>
      <c r="AQ88" s="7" t="e">
        <f t="shared" si="29"/>
        <v>#DIV/0!</v>
      </c>
      <c r="AS88">
        <f t="shared" si="30"/>
        <v>0</v>
      </c>
      <c r="AT88">
        <f t="shared" si="31"/>
        <v>0</v>
      </c>
      <c r="AU88">
        <f t="shared" si="32"/>
        <v>0</v>
      </c>
      <c r="AV88" t="s">
        <v>107</v>
      </c>
      <c r="AW88">
        <f t="shared" si="33"/>
        <v>0</v>
      </c>
      <c r="AX88">
        <f t="shared" si="34"/>
        <v>0</v>
      </c>
      <c r="AY88">
        <f t="shared" si="35"/>
        <v>0</v>
      </c>
      <c r="AZ88">
        <f t="shared" si="36"/>
        <v>0</v>
      </c>
      <c r="BA88" t="s">
        <v>107</v>
      </c>
      <c r="BB88">
        <f t="shared" si="37"/>
        <v>0</v>
      </c>
      <c r="BC88">
        <f t="shared" si="38"/>
        <v>0</v>
      </c>
      <c r="BD88">
        <f t="shared" si="39"/>
        <v>0</v>
      </c>
      <c r="BE88">
        <f t="shared" si="40"/>
        <v>0</v>
      </c>
      <c r="BF88" t="s">
        <v>107</v>
      </c>
      <c r="BG88">
        <f t="shared" si="41"/>
        <v>0</v>
      </c>
      <c r="BH88">
        <f t="shared" si="42"/>
        <v>0</v>
      </c>
      <c r="BI88">
        <f t="shared" si="43"/>
        <v>0</v>
      </c>
      <c r="BJ88">
        <f t="shared" si="44"/>
        <v>0</v>
      </c>
      <c r="BK88">
        <f t="shared" si="45"/>
        <v>0</v>
      </c>
      <c r="BL88">
        <f t="shared" si="46"/>
        <v>0</v>
      </c>
      <c r="BM88">
        <f t="shared" si="47"/>
        <v>0</v>
      </c>
      <c r="BN88" t="e">
        <f t="shared" si="47"/>
        <v>#DIV/0!</v>
      </c>
    </row>
    <row r="89" spans="1:66" x14ac:dyDescent="0.25">
      <c r="A89">
        <v>2025</v>
      </c>
      <c r="B89" s="1">
        <f t="shared" si="48"/>
        <v>45741</v>
      </c>
      <c r="C89">
        <v>84</v>
      </c>
      <c r="D89">
        <v>70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>
        <f t="shared" si="27"/>
        <v>0</v>
      </c>
      <c r="AK89" s="21">
        <f t="shared" si="49"/>
        <v>0</v>
      </c>
      <c r="AL89">
        <f t="shared" si="50"/>
        <v>70.099999999999994</v>
      </c>
      <c r="AM89" s="4">
        <v>19.149999999999999</v>
      </c>
      <c r="AP89" s="7">
        <f t="shared" si="28"/>
        <v>0</v>
      </c>
      <c r="AQ89" s="7" t="e">
        <f t="shared" si="29"/>
        <v>#DIV/0!</v>
      </c>
      <c r="AS89">
        <f t="shared" si="30"/>
        <v>0</v>
      </c>
      <c r="AT89">
        <f t="shared" si="31"/>
        <v>0</v>
      </c>
      <c r="AU89">
        <f t="shared" si="32"/>
        <v>0</v>
      </c>
      <c r="AV89" t="s">
        <v>107</v>
      </c>
      <c r="AW89">
        <f t="shared" si="33"/>
        <v>0</v>
      </c>
      <c r="AX89">
        <f t="shared" si="34"/>
        <v>0</v>
      </c>
      <c r="AY89">
        <f t="shared" si="35"/>
        <v>0</v>
      </c>
      <c r="AZ89">
        <f t="shared" si="36"/>
        <v>0</v>
      </c>
      <c r="BA89" t="s">
        <v>107</v>
      </c>
      <c r="BB89">
        <f t="shared" si="37"/>
        <v>0</v>
      </c>
      <c r="BC89">
        <f t="shared" si="38"/>
        <v>0</v>
      </c>
      <c r="BD89">
        <f t="shared" si="39"/>
        <v>0</v>
      </c>
      <c r="BE89">
        <f t="shared" si="40"/>
        <v>0</v>
      </c>
      <c r="BF89" t="s">
        <v>107</v>
      </c>
      <c r="BG89">
        <f t="shared" si="41"/>
        <v>0</v>
      </c>
      <c r="BH89">
        <f t="shared" si="42"/>
        <v>0</v>
      </c>
      <c r="BI89">
        <f t="shared" si="43"/>
        <v>0</v>
      </c>
      <c r="BJ89">
        <f t="shared" si="44"/>
        <v>0</v>
      </c>
      <c r="BK89">
        <f t="shared" si="45"/>
        <v>0</v>
      </c>
      <c r="BL89">
        <f t="shared" si="46"/>
        <v>0</v>
      </c>
      <c r="BM89">
        <f t="shared" si="47"/>
        <v>0</v>
      </c>
      <c r="BN89" t="e">
        <f t="shared" si="47"/>
        <v>#DIV/0!</v>
      </c>
    </row>
    <row r="90" spans="1:66" x14ac:dyDescent="0.25">
      <c r="A90">
        <v>2025</v>
      </c>
      <c r="B90" s="1">
        <f t="shared" si="48"/>
        <v>45742</v>
      </c>
      <c r="C90">
        <v>85</v>
      </c>
      <c r="D90">
        <v>70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>
        <f t="shared" si="27"/>
        <v>0</v>
      </c>
      <c r="AK90" s="21">
        <f t="shared" si="49"/>
        <v>0</v>
      </c>
      <c r="AL90">
        <f t="shared" si="50"/>
        <v>70.099999999999994</v>
      </c>
      <c r="AM90" s="4">
        <v>19.420000000000002</v>
      </c>
      <c r="AP90" s="7">
        <f t="shared" si="28"/>
        <v>0</v>
      </c>
      <c r="AQ90" s="7" t="e">
        <f t="shared" si="29"/>
        <v>#DIV/0!</v>
      </c>
      <c r="AS90">
        <f t="shared" si="30"/>
        <v>0</v>
      </c>
      <c r="AT90">
        <f t="shared" si="31"/>
        <v>0</v>
      </c>
      <c r="AU90">
        <f t="shared" si="32"/>
        <v>0</v>
      </c>
      <c r="AV90" t="s">
        <v>107</v>
      </c>
      <c r="AW90">
        <f t="shared" si="33"/>
        <v>0</v>
      </c>
      <c r="AX90">
        <f t="shared" si="34"/>
        <v>0</v>
      </c>
      <c r="AY90">
        <f t="shared" si="35"/>
        <v>0</v>
      </c>
      <c r="AZ90">
        <f t="shared" si="36"/>
        <v>0</v>
      </c>
      <c r="BA90" t="s">
        <v>107</v>
      </c>
      <c r="BB90">
        <f t="shared" si="37"/>
        <v>0</v>
      </c>
      <c r="BC90">
        <f t="shared" si="38"/>
        <v>0</v>
      </c>
      <c r="BD90">
        <f t="shared" si="39"/>
        <v>0</v>
      </c>
      <c r="BE90">
        <f t="shared" si="40"/>
        <v>0</v>
      </c>
      <c r="BF90" t="s">
        <v>107</v>
      </c>
      <c r="BG90">
        <f t="shared" si="41"/>
        <v>0</v>
      </c>
      <c r="BH90">
        <f t="shared" si="42"/>
        <v>0</v>
      </c>
      <c r="BI90">
        <f t="shared" si="43"/>
        <v>0</v>
      </c>
      <c r="BJ90">
        <f t="shared" si="44"/>
        <v>0</v>
      </c>
      <c r="BK90">
        <f t="shared" si="45"/>
        <v>0</v>
      </c>
      <c r="BL90">
        <f t="shared" si="46"/>
        <v>0</v>
      </c>
      <c r="BM90">
        <f t="shared" si="47"/>
        <v>0</v>
      </c>
      <c r="BN90" t="e">
        <f t="shared" si="47"/>
        <v>#DIV/0!</v>
      </c>
    </row>
    <row r="91" spans="1:66" x14ac:dyDescent="0.25">
      <c r="A91">
        <v>2025</v>
      </c>
      <c r="B91" s="1">
        <f t="shared" si="48"/>
        <v>45743</v>
      </c>
      <c r="C91">
        <v>86</v>
      </c>
      <c r="D91">
        <v>70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>
        <f t="shared" si="27"/>
        <v>0</v>
      </c>
      <c r="AK91" s="21">
        <f t="shared" si="49"/>
        <v>0</v>
      </c>
      <c r="AL91">
        <f t="shared" si="50"/>
        <v>70.099999999999994</v>
      </c>
      <c r="AM91" s="4">
        <v>19.690000000000001</v>
      </c>
      <c r="AP91" s="7">
        <f t="shared" si="28"/>
        <v>0</v>
      </c>
      <c r="AQ91" s="7" t="e">
        <f t="shared" si="29"/>
        <v>#DIV/0!</v>
      </c>
      <c r="AS91">
        <f t="shared" si="30"/>
        <v>0</v>
      </c>
      <c r="AT91">
        <f t="shared" si="31"/>
        <v>0</v>
      </c>
      <c r="AU91">
        <f t="shared" si="32"/>
        <v>0</v>
      </c>
      <c r="AV91" t="s">
        <v>107</v>
      </c>
      <c r="AW91">
        <f t="shared" si="33"/>
        <v>0</v>
      </c>
      <c r="AX91">
        <f t="shared" si="34"/>
        <v>0</v>
      </c>
      <c r="AY91">
        <f t="shared" si="35"/>
        <v>0</v>
      </c>
      <c r="AZ91">
        <f t="shared" si="36"/>
        <v>0</v>
      </c>
      <c r="BA91" t="s">
        <v>107</v>
      </c>
      <c r="BB91">
        <f t="shared" si="37"/>
        <v>0</v>
      </c>
      <c r="BC91">
        <f t="shared" si="38"/>
        <v>0</v>
      </c>
      <c r="BD91">
        <f t="shared" si="39"/>
        <v>0</v>
      </c>
      <c r="BE91">
        <f t="shared" si="40"/>
        <v>0</v>
      </c>
      <c r="BF91" t="s">
        <v>107</v>
      </c>
      <c r="BG91">
        <f t="shared" si="41"/>
        <v>0</v>
      </c>
      <c r="BH91">
        <f t="shared" si="42"/>
        <v>0</v>
      </c>
      <c r="BI91">
        <f t="shared" si="43"/>
        <v>0</v>
      </c>
      <c r="BJ91">
        <f t="shared" si="44"/>
        <v>0</v>
      </c>
      <c r="BK91">
        <f t="shared" si="45"/>
        <v>0</v>
      </c>
      <c r="BL91">
        <f t="shared" si="46"/>
        <v>0</v>
      </c>
      <c r="BM91">
        <f t="shared" si="47"/>
        <v>0</v>
      </c>
      <c r="BN91" t="e">
        <f t="shared" si="47"/>
        <v>#DIV/0!</v>
      </c>
    </row>
    <row r="92" spans="1:66" x14ac:dyDescent="0.25">
      <c r="A92">
        <v>2025</v>
      </c>
      <c r="B92" s="1">
        <f t="shared" si="48"/>
        <v>45744</v>
      </c>
      <c r="C92">
        <v>87</v>
      </c>
      <c r="D92">
        <v>70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>
        <f t="shared" si="27"/>
        <v>0</v>
      </c>
      <c r="AK92" s="21">
        <f t="shared" si="49"/>
        <v>0</v>
      </c>
      <c r="AL92">
        <f t="shared" si="50"/>
        <v>70.099999999999994</v>
      </c>
      <c r="AM92" s="4">
        <v>19.95</v>
      </c>
      <c r="AP92" s="7">
        <f t="shared" si="28"/>
        <v>0</v>
      </c>
      <c r="AQ92" s="7" t="e">
        <f t="shared" si="29"/>
        <v>#DIV/0!</v>
      </c>
      <c r="AS92">
        <f t="shared" si="30"/>
        <v>0</v>
      </c>
      <c r="AT92">
        <f t="shared" si="31"/>
        <v>0</v>
      </c>
      <c r="AU92">
        <f t="shared" si="32"/>
        <v>0</v>
      </c>
      <c r="AV92" t="s">
        <v>107</v>
      </c>
      <c r="AW92">
        <f t="shared" si="33"/>
        <v>0</v>
      </c>
      <c r="AX92">
        <f t="shared" si="34"/>
        <v>0</v>
      </c>
      <c r="AY92">
        <f t="shared" si="35"/>
        <v>0</v>
      </c>
      <c r="AZ92">
        <f t="shared" si="36"/>
        <v>0</v>
      </c>
      <c r="BA92" t="s">
        <v>107</v>
      </c>
      <c r="BB92">
        <f t="shared" si="37"/>
        <v>0</v>
      </c>
      <c r="BC92">
        <f t="shared" si="38"/>
        <v>0</v>
      </c>
      <c r="BD92">
        <f t="shared" si="39"/>
        <v>0</v>
      </c>
      <c r="BE92">
        <f t="shared" si="40"/>
        <v>0</v>
      </c>
      <c r="BF92" t="s">
        <v>107</v>
      </c>
      <c r="BG92">
        <f t="shared" si="41"/>
        <v>0</v>
      </c>
      <c r="BH92">
        <f t="shared" si="42"/>
        <v>0</v>
      </c>
      <c r="BI92">
        <f t="shared" si="43"/>
        <v>0</v>
      </c>
      <c r="BJ92">
        <f t="shared" si="44"/>
        <v>0</v>
      </c>
      <c r="BK92">
        <f t="shared" si="45"/>
        <v>0</v>
      </c>
      <c r="BL92">
        <f t="shared" si="46"/>
        <v>0</v>
      </c>
      <c r="BM92">
        <f t="shared" si="47"/>
        <v>0</v>
      </c>
      <c r="BN92" t="e">
        <f t="shared" si="47"/>
        <v>#DIV/0!</v>
      </c>
    </row>
    <row r="93" spans="1:66" x14ac:dyDescent="0.25">
      <c r="A93">
        <v>2025</v>
      </c>
      <c r="B93" s="1">
        <f t="shared" si="48"/>
        <v>45745</v>
      </c>
      <c r="C93">
        <v>88</v>
      </c>
      <c r="D93">
        <v>70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>
        <f t="shared" si="27"/>
        <v>0</v>
      </c>
      <c r="AK93" s="21">
        <f t="shared" si="49"/>
        <v>0</v>
      </c>
      <c r="AL93">
        <f t="shared" si="50"/>
        <v>70.099999999999994</v>
      </c>
      <c r="AM93" s="4">
        <v>20.21</v>
      </c>
      <c r="AP93" s="7">
        <f t="shared" si="28"/>
        <v>0</v>
      </c>
      <c r="AQ93" s="7" t="e">
        <f t="shared" si="29"/>
        <v>#DIV/0!</v>
      </c>
      <c r="AS93">
        <f t="shared" si="30"/>
        <v>0</v>
      </c>
      <c r="AT93">
        <f t="shared" si="31"/>
        <v>0</v>
      </c>
      <c r="AU93">
        <f t="shared" si="32"/>
        <v>0</v>
      </c>
      <c r="AV93" t="s">
        <v>107</v>
      </c>
      <c r="AW93">
        <f t="shared" si="33"/>
        <v>0</v>
      </c>
      <c r="AX93">
        <f t="shared" si="34"/>
        <v>0</v>
      </c>
      <c r="AY93">
        <f t="shared" si="35"/>
        <v>0</v>
      </c>
      <c r="AZ93">
        <f t="shared" si="36"/>
        <v>0</v>
      </c>
      <c r="BA93" t="s">
        <v>107</v>
      </c>
      <c r="BB93">
        <f t="shared" si="37"/>
        <v>0</v>
      </c>
      <c r="BC93">
        <f t="shared" si="38"/>
        <v>0</v>
      </c>
      <c r="BD93">
        <f t="shared" si="39"/>
        <v>0</v>
      </c>
      <c r="BE93">
        <f t="shared" si="40"/>
        <v>0</v>
      </c>
      <c r="BF93" t="s">
        <v>107</v>
      </c>
      <c r="BG93">
        <f t="shared" si="41"/>
        <v>0</v>
      </c>
      <c r="BH93">
        <f t="shared" si="42"/>
        <v>0</v>
      </c>
      <c r="BI93">
        <f t="shared" si="43"/>
        <v>0</v>
      </c>
      <c r="BJ93">
        <f t="shared" si="44"/>
        <v>0</v>
      </c>
      <c r="BK93">
        <f t="shared" si="45"/>
        <v>0</v>
      </c>
      <c r="BL93">
        <f t="shared" si="46"/>
        <v>0</v>
      </c>
      <c r="BM93">
        <f t="shared" si="47"/>
        <v>0</v>
      </c>
      <c r="BN93" t="e">
        <f t="shared" si="47"/>
        <v>#DIV/0!</v>
      </c>
    </row>
    <row r="94" spans="1:66" x14ac:dyDescent="0.25">
      <c r="A94">
        <v>2025</v>
      </c>
      <c r="B94" s="1">
        <f t="shared" si="48"/>
        <v>45746</v>
      </c>
      <c r="C94">
        <v>89</v>
      </c>
      <c r="D94">
        <v>70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>
        <f t="shared" si="27"/>
        <v>0</v>
      </c>
      <c r="AK94" s="21">
        <f t="shared" si="49"/>
        <v>0</v>
      </c>
      <c r="AL94">
        <f t="shared" si="50"/>
        <v>70.099999999999994</v>
      </c>
      <c r="AM94" s="4">
        <v>20.49</v>
      </c>
      <c r="AP94" s="7">
        <f t="shared" si="28"/>
        <v>0</v>
      </c>
      <c r="AQ94" s="7" t="e">
        <f t="shared" si="29"/>
        <v>#DIV/0!</v>
      </c>
      <c r="AS94">
        <f t="shared" si="30"/>
        <v>0</v>
      </c>
      <c r="AT94">
        <f t="shared" si="31"/>
        <v>0</v>
      </c>
      <c r="AU94">
        <f t="shared" si="32"/>
        <v>0</v>
      </c>
      <c r="AV94" t="s">
        <v>107</v>
      </c>
      <c r="AW94">
        <f t="shared" si="33"/>
        <v>0</v>
      </c>
      <c r="AX94">
        <f t="shared" si="34"/>
        <v>0</v>
      </c>
      <c r="AY94">
        <f t="shared" si="35"/>
        <v>0</v>
      </c>
      <c r="AZ94">
        <f t="shared" si="36"/>
        <v>0</v>
      </c>
      <c r="BA94" t="s">
        <v>107</v>
      </c>
      <c r="BB94">
        <f t="shared" si="37"/>
        <v>0</v>
      </c>
      <c r="BC94">
        <f t="shared" si="38"/>
        <v>0</v>
      </c>
      <c r="BD94">
        <f t="shared" si="39"/>
        <v>0</v>
      </c>
      <c r="BE94">
        <f t="shared" si="40"/>
        <v>0</v>
      </c>
      <c r="BF94" t="s">
        <v>107</v>
      </c>
      <c r="BG94">
        <f t="shared" si="41"/>
        <v>0</v>
      </c>
      <c r="BH94">
        <f t="shared" si="42"/>
        <v>0</v>
      </c>
      <c r="BI94">
        <f t="shared" si="43"/>
        <v>0</v>
      </c>
      <c r="BJ94">
        <f t="shared" si="44"/>
        <v>0</v>
      </c>
      <c r="BK94">
        <f t="shared" si="45"/>
        <v>0</v>
      </c>
      <c r="BL94">
        <f t="shared" si="46"/>
        <v>0</v>
      </c>
      <c r="BM94">
        <f t="shared" si="47"/>
        <v>0</v>
      </c>
      <c r="BN94" t="e">
        <f t="shared" si="47"/>
        <v>#DIV/0!</v>
      </c>
    </row>
    <row r="95" spans="1:66" x14ac:dyDescent="0.25">
      <c r="A95">
        <v>2025</v>
      </c>
      <c r="B95" s="1">
        <f t="shared" si="48"/>
        <v>45747</v>
      </c>
      <c r="C95">
        <v>90</v>
      </c>
      <c r="D95">
        <v>70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>
        <f t="shared" si="27"/>
        <v>0</v>
      </c>
      <c r="AK95" s="21">
        <f t="shared" si="49"/>
        <v>0</v>
      </c>
      <c r="AL95">
        <f t="shared" si="50"/>
        <v>70.099999999999994</v>
      </c>
      <c r="AM95" s="4">
        <v>20.75</v>
      </c>
      <c r="AP95" s="7">
        <f t="shared" si="28"/>
        <v>0</v>
      </c>
      <c r="AQ95" s="7" t="e">
        <f t="shared" si="29"/>
        <v>#DIV/0!</v>
      </c>
      <c r="AS95">
        <f t="shared" si="30"/>
        <v>0</v>
      </c>
      <c r="AT95">
        <f t="shared" si="31"/>
        <v>0</v>
      </c>
      <c r="AU95">
        <f t="shared" si="32"/>
        <v>0</v>
      </c>
      <c r="AV95" t="s">
        <v>107</v>
      </c>
      <c r="AW95">
        <f t="shared" si="33"/>
        <v>0</v>
      </c>
      <c r="AX95">
        <f t="shared" si="34"/>
        <v>0</v>
      </c>
      <c r="AY95">
        <f t="shared" si="35"/>
        <v>0</v>
      </c>
      <c r="AZ95">
        <f t="shared" si="36"/>
        <v>0</v>
      </c>
      <c r="BA95" t="s">
        <v>107</v>
      </c>
      <c r="BB95">
        <f t="shared" si="37"/>
        <v>0</v>
      </c>
      <c r="BC95">
        <f t="shared" si="38"/>
        <v>0</v>
      </c>
      <c r="BD95">
        <f t="shared" si="39"/>
        <v>0</v>
      </c>
      <c r="BE95">
        <f t="shared" si="40"/>
        <v>0</v>
      </c>
      <c r="BF95" t="s">
        <v>107</v>
      </c>
      <c r="BG95">
        <f t="shared" si="41"/>
        <v>0</v>
      </c>
      <c r="BH95">
        <f t="shared" si="42"/>
        <v>0</v>
      </c>
      <c r="BI95">
        <f t="shared" si="43"/>
        <v>0</v>
      </c>
      <c r="BJ95">
        <f t="shared" si="44"/>
        <v>0</v>
      </c>
      <c r="BK95">
        <f t="shared" si="45"/>
        <v>0</v>
      </c>
      <c r="BL95">
        <f t="shared" si="46"/>
        <v>0</v>
      </c>
      <c r="BM95">
        <f t="shared" si="47"/>
        <v>0</v>
      </c>
      <c r="BN95" t="e">
        <f t="shared" si="47"/>
        <v>#DIV/0!</v>
      </c>
    </row>
    <row r="96" spans="1:66" x14ac:dyDescent="0.25">
      <c r="A96">
        <v>2025</v>
      </c>
      <c r="B96" s="1">
        <f t="shared" si="48"/>
        <v>45748</v>
      </c>
      <c r="C96">
        <v>91</v>
      </c>
      <c r="D96">
        <v>70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>
        <f t="shared" si="27"/>
        <v>0</v>
      </c>
      <c r="AK96" s="21">
        <f t="shared" si="49"/>
        <v>0</v>
      </c>
      <c r="AL96">
        <f t="shared" si="50"/>
        <v>70.099999999999994</v>
      </c>
      <c r="AM96" s="4">
        <v>21.01</v>
      </c>
      <c r="AP96" s="7">
        <f t="shared" si="28"/>
        <v>0</v>
      </c>
      <c r="AQ96" s="7" t="e">
        <f t="shared" si="29"/>
        <v>#DIV/0!</v>
      </c>
      <c r="AS96">
        <f t="shared" si="30"/>
        <v>0</v>
      </c>
      <c r="AT96">
        <f t="shared" si="31"/>
        <v>0</v>
      </c>
      <c r="AU96">
        <f t="shared" si="32"/>
        <v>0</v>
      </c>
      <c r="AV96" t="s">
        <v>107</v>
      </c>
      <c r="AW96">
        <f t="shared" si="33"/>
        <v>0</v>
      </c>
      <c r="AX96">
        <f t="shared" si="34"/>
        <v>0</v>
      </c>
      <c r="AY96">
        <f t="shared" si="35"/>
        <v>0</v>
      </c>
      <c r="AZ96">
        <f t="shared" si="36"/>
        <v>0</v>
      </c>
      <c r="BA96" t="s">
        <v>107</v>
      </c>
      <c r="BB96">
        <f t="shared" si="37"/>
        <v>0</v>
      </c>
      <c r="BC96">
        <f t="shared" si="38"/>
        <v>0</v>
      </c>
      <c r="BD96">
        <f t="shared" si="39"/>
        <v>0</v>
      </c>
      <c r="BE96">
        <f t="shared" si="40"/>
        <v>0</v>
      </c>
      <c r="BF96" t="s">
        <v>107</v>
      </c>
      <c r="BG96">
        <f t="shared" si="41"/>
        <v>0</v>
      </c>
      <c r="BH96">
        <f t="shared" si="42"/>
        <v>0</v>
      </c>
      <c r="BI96">
        <f t="shared" si="43"/>
        <v>0</v>
      </c>
      <c r="BJ96">
        <f t="shared" si="44"/>
        <v>0</v>
      </c>
      <c r="BK96">
        <f t="shared" si="45"/>
        <v>0</v>
      </c>
      <c r="BL96">
        <f t="shared" si="46"/>
        <v>0</v>
      </c>
      <c r="BM96">
        <f t="shared" si="47"/>
        <v>0</v>
      </c>
      <c r="BN96" t="e">
        <f t="shared" si="47"/>
        <v>#DIV/0!</v>
      </c>
    </row>
    <row r="97" spans="1:66" x14ac:dyDescent="0.25">
      <c r="A97">
        <v>2025</v>
      </c>
      <c r="B97" s="1">
        <f t="shared" si="48"/>
        <v>45749</v>
      </c>
      <c r="C97">
        <v>92</v>
      </c>
      <c r="D97">
        <v>70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>
        <f t="shared" si="27"/>
        <v>0</v>
      </c>
      <c r="AK97" s="21">
        <f t="shared" si="49"/>
        <v>0</v>
      </c>
      <c r="AL97">
        <f t="shared" si="50"/>
        <v>70.099999999999994</v>
      </c>
      <c r="AM97" s="4">
        <v>21.27</v>
      </c>
      <c r="AP97" s="7">
        <f t="shared" si="28"/>
        <v>0</v>
      </c>
      <c r="AQ97" s="7" t="e">
        <f t="shared" si="29"/>
        <v>#DIV/0!</v>
      </c>
      <c r="AS97">
        <f t="shared" si="30"/>
        <v>0</v>
      </c>
      <c r="AT97">
        <f t="shared" si="31"/>
        <v>0</v>
      </c>
      <c r="AU97">
        <f t="shared" si="32"/>
        <v>0</v>
      </c>
      <c r="AV97" t="s">
        <v>107</v>
      </c>
      <c r="AW97">
        <f t="shared" si="33"/>
        <v>0</v>
      </c>
      <c r="AX97">
        <f t="shared" si="34"/>
        <v>0</v>
      </c>
      <c r="AY97">
        <f t="shared" si="35"/>
        <v>0</v>
      </c>
      <c r="AZ97">
        <f t="shared" si="36"/>
        <v>0</v>
      </c>
      <c r="BA97" t="s">
        <v>107</v>
      </c>
      <c r="BB97">
        <f t="shared" si="37"/>
        <v>0</v>
      </c>
      <c r="BC97">
        <f t="shared" si="38"/>
        <v>0</v>
      </c>
      <c r="BD97">
        <f t="shared" si="39"/>
        <v>0</v>
      </c>
      <c r="BE97">
        <f t="shared" si="40"/>
        <v>0</v>
      </c>
      <c r="BF97" t="s">
        <v>107</v>
      </c>
      <c r="BG97">
        <f t="shared" si="41"/>
        <v>0</v>
      </c>
      <c r="BH97">
        <f t="shared" si="42"/>
        <v>0</v>
      </c>
      <c r="BI97">
        <f t="shared" si="43"/>
        <v>0</v>
      </c>
      <c r="BJ97">
        <f t="shared" si="44"/>
        <v>0</v>
      </c>
      <c r="BK97">
        <f t="shared" si="45"/>
        <v>0</v>
      </c>
      <c r="BL97">
        <f t="shared" si="46"/>
        <v>0</v>
      </c>
      <c r="BM97">
        <f t="shared" si="47"/>
        <v>0</v>
      </c>
      <c r="BN97" t="e">
        <f t="shared" si="47"/>
        <v>#DIV/0!</v>
      </c>
    </row>
    <row r="98" spans="1:66" x14ac:dyDescent="0.25">
      <c r="A98">
        <v>2025</v>
      </c>
      <c r="B98" s="1">
        <f t="shared" si="48"/>
        <v>45750</v>
      </c>
      <c r="C98">
        <v>93</v>
      </c>
      <c r="D98">
        <v>70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>
        <f t="shared" si="27"/>
        <v>0</v>
      </c>
      <c r="AK98" s="21">
        <f t="shared" si="49"/>
        <v>0</v>
      </c>
      <c r="AL98">
        <f t="shared" si="50"/>
        <v>70.099999999999994</v>
      </c>
      <c r="AM98" s="4">
        <v>21.53</v>
      </c>
      <c r="AP98" s="7">
        <f t="shared" si="28"/>
        <v>0</v>
      </c>
      <c r="AQ98" s="7" t="e">
        <f t="shared" si="29"/>
        <v>#DIV/0!</v>
      </c>
      <c r="AS98">
        <f t="shared" si="30"/>
        <v>0</v>
      </c>
      <c r="AT98">
        <f t="shared" si="31"/>
        <v>0</v>
      </c>
      <c r="AU98">
        <f t="shared" si="32"/>
        <v>0</v>
      </c>
      <c r="AV98" t="s">
        <v>107</v>
      </c>
      <c r="AW98">
        <f t="shared" si="33"/>
        <v>0</v>
      </c>
      <c r="AX98">
        <f t="shared" si="34"/>
        <v>0</v>
      </c>
      <c r="AY98">
        <f t="shared" si="35"/>
        <v>0</v>
      </c>
      <c r="AZ98">
        <f t="shared" si="36"/>
        <v>0</v>
      </c>
      <c r="BA98" t="s">
        <v>107</v>
      </c>
      <c r="BB98">
        <f t="shared" si="37"/>
        <v>0</v>
      </c>
      <c r="BC98">
        <f t="shared" si="38"/>
        <v>0</v>
      </c>
      <c r="BD98">
        <f t="shared" si="39"/>
        <v>0</v>
      </c>
      <c r="BE98">
        <f t="shared" si="40"/>
        <v>0</v>
      </c>
      <c r="BF98" t="s">
        <v>107</v>
      </c>
      <c r="BG98">
        <f t="shared" si="41"/>
        <v>0</v>
      </c>
      <c r="BH98">
        <f t="shared" si="42"/>
        <v>0</v>
      </c>
      <c r="BI98">
        <f t="shared" si="43"/>
        <v>0</v>
      </c>
      <c r="BJ98">
        <f t="shared" si="44"/>
        <v>0</v>
      </c>
      <c r="BK98">
        <f t="shared" si="45"/>
        <v>0</v>
      </c>
      <c r="BL98">
        <f t="shared" si="46"/>
        <v>0</v>
      </c>
      <c r="BM98">
        <f t="shared" si="47"/>
        <v>0</v>
      </c>
      <c r="BN98" t="e">
        <f t="shared" si="47"/>
        <v>#DIV/0!</v>
      </c>
    </row>
    <row r="99" spans="1:66" x14ac:dyDescent="0.25">
      <c r="A99">
        <v>2025</v>
      </c>
      <c r="B99" s="1">
        <f t="shared" si="48"/>
        <v>45751</v>
      </c>
      <c r="C99">
        <v>94</v>
      </c>
      <c r="D99">
        <v>70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>
        <f t="shared" si="27"/>
        <v>0</v>
      </c>
      <c r="AK99" s="21">
        <f t="shared" si="49"/>
        <v>0</v>
      </c>
      <c r="AL99">
        <f t="shared" si="50"/>
        <v>70.099999999999994</v>
      </c>
      <c r="AM99" s="4">
        <v>21.79</v>
      </c>
      <c r="AP99" s="7">
        <f t="shared" si="28"/>
        <v>0</v>
      </c>
      <c r="AQ99" s="7" t="e">
        <f t="shared" si="29"/>
        <v>#DIV/0!</v>
      </c>
      <c r="AS99">
        <f t="shared" si="30"/>
        <v>0</v>
      </c>
      <c r="AT99">
        <f t="shared" si="31"/>
        <v>0</v>
      </c>
      <c r="AU99">
        <f t="shared" si="32"/>
        <v>0</v>
      </c>
      <c r="AV99" t="s">
        <v>107</v>
      </c>
      <c r="AW99">
        <f t="shared" si="33"/>
        <v>0</v>
      </c>
      <c r="AX99">
        <f t="shared" si="34"/>
        <v>0</v>
      </c>
      <c r="AY99">
        <f t="shared" si="35"/>
        <v>0</v>
      </c>
      <c r="AZ99">
        <f t="shared" si="36"/>
        <v>0</v>
      </c>
      <c r="BA99" t="s">
        <v>107</v>
      </c>
      <c r="BB99">
        <f t="shared" si="37"/>
        <v>0</v>
      </c>
      <c r="BC99">
        <f t="shared" si="38"/>
        <v>0</v>
      </c>
      <c r="BD99">
        <f t="shared" si="39"/>
        <v>0</v>
      </c>
      <c r="BE99">
        <f t="shared" si="40"/>
        <v>0</v>
      </c>
      <c r="BF99" t="s">
        <v>107</v>
      </c>
      <c r="BG99">
        <f t="shared" si="41"/>
        <v>0</v>
      </c>
      <c r="BH99">
        <f t="shared" si="42"/>
        <v>0</v>
      </c>
      <c r="BI99">
        <f t="shared" si="43"/>
        <v>0</v>
      </c>
      <c r="BJ99">
        <f t="shared" si="44"/>
        <v>0</v>
      </c>
      <c r="BK99">
        <f t="shared" si="45"/>
        <v>0</v>
      </c>
      <c r="BL99">
        <f t="shared" si="46"/>
        <v>0</v>
      </c>
      <c r="BM99">
        <f t="shared" si="47"/>
        <v>0</v>
      </c>
      <c r="BN99" t="e">
        <f t="shared" si="47"/>
        <v>#DIV/0!</v>
      </c>
    </row>
    <row r="100" spans="1:66" x14ac:dyDescent="0.25">
      <c r="A100">
        <v>2025</v>
      </c>
      <c r="B100" s="1">
        <f t="shared" si="48"/>
        <v>45752</v>
      </c>
      <c r="C100">
        <v>95</v>
      </c>
      <c r="D100">
        <v>70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>
        <f t="shared" si="27"/>
        <v>0</v>
      </c>
      <c r="AK100" s="21">
        <f t="shared" si="49"/>
        <v>0</v>
      </c>
      <c r="AL100">
        <f t="shared" si="50"/>
        <v>70.099999999999994</v>
      </c>
      <c r="AM100" s="4">
        <v>22.05</v>
      </c>
      <c r="AP100" s="7">
        <f t="shared" si="28"/>
        <v>0</v>
      </c>
      <c r="AQ100" s="7" t="e">
        <f t="shared" si="29"/>
        <v>#DIV/0!</v>
      </c>
      <c r="AS100">
        <f t="shared" si="30"/>
        <v>0</v>
      </c>
      <c r="AT100">
        <f t="shared" si="31"/>
        <v>0</v>
      </c>
      <c r="AU100">
        <f t="shared" si="32"/>
        <v>0</v>
      </c>
      <c r="AV100" t="s">
        <v>107</v>
      </c>
      <c r="AW100">
        <f t="shared" si="33"/>
        <v>0</v>
      </c>
      <c r="AX100">
        <f t="shared" si="34"/>
        <v>0</v>
      </c>
      <c r="AY100">
        <f t="shared" si="35"/>
        <v>0</v>
      </c>
      <c r="AZ100">
        <f t="shared" si="36"/>
        <v>0</v>
      </c>
      <c r="BA100" t="s">
        <v>107</v>
      </c>
      <c r="BB100">
        <f t="shared" si="37"/>
        <v>0</v>
      </c>
      <c r="BC100">
        <f t="shared" si="38"/>
        <v>0</v>
      </c>
      <c r="BD100">
        <f t="shared" si="39"/>
        <v>0</v>
      </c>
      <c r="BE100">
        <f t="shared" si="40"/>
        <v>0</v>
      </c>
      <c r="BF100" t="s">
        <v>107</v>
      </c>
      <c r="BG100">
        <f t="shared" si="41"/>
        <v>0</v>
      </c>
      <c r="BH100">
        <f t="shared" si="42"/>
        <v>0</v>
      </c>
      <c r="BI100">
        <f t="shared" si="43"/>
        <v>0</v>
      </c>
      <c r="BJ100">
        <f t="shared" si="44"/>
        <v>0</v>
      </c>
      <c r="BK100">
        <f t="shared" si="45"/>
        <v>0</v>
      </c>
      <c r="BL100">
        <f t="shared" si="46"/>
        <v>0</v>
      </c>
      <c r="BM100">
        <f t="shared" si="47"/>
        <v>0</v>
      </c>
      <c r="BN100" t="e">
        <f t="shared" si="47"/>
        <v>#DIV/0!</v>
      </c>
    </row>
    <row r="101" spans="1:66" x14ac:dyDescent="0.25">
      <c r="A101">
        <v>2025</v>
      </c>
      <c r="B101" s="1">
        <f t="shared" si="48"/>
        <v>45753</v>
      </c>
      <c r="C101">
        <v>96</v>
      </c>
      <c r="D101">
        <v>70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>
        <f t="shared" si="27"/>
        <v>0</v>
      </c>
      <c r="AK101" s="21">
        <f t="shared" si="49"/>
        <v>0</v>
      </c>
      <c r="AL101">
        <f t="shared" si="50"/>
        <v>70.099999999999994</v>
      </c>
      <c r="AM101" s="4">
        <v>22.31</v>
      </c>
      <c r="AP101" s="7">
        <f t="shared" si="28"/>
        <v>0</v>
      </c>
      <c r="AQ101" s="7" t="e">
        <f t="shared" si="29"/>
        <v>#DIV/0!</v>
      </c>
      <c r="AS101">
        <f t="shared" si="30"/>
        <v>0</v>
      </c>
      <c r="AT101">
        <f t="shared" si="31"/>
        <v>0</v>
      </c>
      <c r="AU101">
        <f t="shared" si="32"/>
        <v>0</v>
      </c>
      <c r="AV101" t="s">
        <v>107</v>
      </c>
      <c r="AW101">
        <f t="shared" si="33"/>
        <v>0</v>
      </c>
      <c r="AX101">
        <f t="shared" si="34"/>
        <v>0</v>
      </c>
      <c r="AY101">
        <f t="shared" si="35"/>
        <v>0</v>
      </c>
      <c r="AZ101">
        <f t="shared" si="36"/>
        <v>0</v>
      </c>
      <c r="BA101" t="s">
        <v>107</v>
      </c>
      <c r="BB101">
        <f t="shared" si="37"/>
        <v>0</v>
      </c>
      <c r="BC101">
        <f t="shared" si="38"/>
        <v>0</v>
      </c>
      <c r="BD101">
        <f t="shared" si="39"/>
        <v>0</v>
      </c>
      <c r="BE101">
        <f t="shared" si="40"/>
        <v>0</v>
      </c>
      <c r="BF101" t="s">
        <v>107</v>
      </c>
      <c r="BG101">
        <f t="shared" si="41"/>
        <v>0</v>
      </c>
      <c r="BH101">
        <f t="shared" si="42"/>
        <v>0</v>
      </c>
      <c r="BI101">
        <f t="shared" si="43"/>
        <v>0</v>
      </c>
      <c r="BJ101">
        <f t="shared" si="44"/>
        <v>0</v>
      </c>
      <c r="BK101">
        <f t="shared" si="45"/>
        <v>0</v>
      </c>
      <c r="BL101">
        <f t="shared" si="46"/>
        <v>0</v>
      </c>
      <c r="BM101">
        <f t="shared" si="47"/>
        <v>0</v>
      </c>
      <c r="BN101" t="e">
        <f t="shared" si="47"/>
        <v>#DIV/0!</v>
      </c>
    </row>
    <row r="102" spans="1:66" x14ac:dyDescent="0.25">
      <c r="A102">
        <v>2025</v>
      </c>
      <c r="B102" s="1">
        <f t="shared" si="48"/>
        <v>45754</v>
      </c>
      <c r="C102">
        <v>97</v>
      </c>
      <c r="D102">
        <v>70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>
        <f t="shared" ref="AJ102:AJ117" si="51">IF(AI102&gt;AI101,ROUND((AI102-AI101)*AJ$1,1),0)</f>
        <v>0</v>
      </c>
      <c r="AK102" s="21">
        <f t="shared" si="49"/>
        <v>0</v>
      </c>
      <c r="AL102">
        <f t="shared" si="50"/>
        <v>70.099999999999994</v>
      </c>
      <c r="AM102" s="4">
        <v>22.57</v>
      </c>
      <c r="AP102" s="7">
        <f t="shared" si="28"/>
        <v>0</v>
      </c>
      <c r="AQ102" s="7" t="e">
        <f t="shared" si="29"/>
        <v>#DIV/0!</v>
      </c>
      <c r="AS102">
        <f t="shared" si="30"/>
        <v>0</v>
      </c>
      <c r="AT102">
        <f t="shared" si="31"/>
        <v>0</v>
      </c>
      <c r="AU102">
        <f t="shared" si="32"/>
        <v>0</v>
      </c>
      <c r="AV102" t="s">
        <v>107</v>
      </c>
      <c r="AW102">
        <f t="shared" si="33"/>
        <v>0</v>
      </c>
      <c r="AX102">
        <f t="shared" si="34"/>
        <v>0</v>
      </c>
      <c r="AY102">
        <f t="shared" si="35"/>
        <v>0</v>
      </c>
      <c r="AZ102">
        <f t="shared" si="36"/>
        <v>0</v>
      </c>
      <c r="BA102" t="s">
        <v>107</v>
      </c>
      <c r="BB102">
        <f t="shared" si="37"/>
        <v>0</v>
      </c>
      <c r="BC102">
        <f t="shared" si="38"/>
        <v>0</v>
      </c>
      <c r="BD102">
        <f t="shared" si="39"/>
        <v>0</v>
      </c>
      <c r="BE102">
        <f t="shared" si="40"/>
        <v>0</v>
      </c>
      <c r="BF102" t="s">
        <v>107</v>
      </c>
      <c r="BG102">
        <f t="shared" si="41"/>
        <v>0</v>
      </c>
      <c r="BH102">
        <f t="shared" si="42"/>
        <v>0</v>
      </c>
      <c r="BI102">
        <f t="shared" si="43"/>
        <v>0</v>
      </c>
      <c r="BJ102">
        <f t="shared" si="44"/>
        <v>0</v>
      </c>
      <c r="BK102">
        <f t="shared" si="45"/>
        <v>0</v>
      </c>
      <c r="BL102">
        <f t="shared" si="46"/>
        <v>0</v>
      </c>
      <c r="BM102">
        <f t="shared" si="47"/>
        <v>0</v>
      </c>
      <c r="BN102" t="e">
        <f t="shared" si="47"/>
        <v>#DIV/0!</v>
      </c>
    </row>
    <row r="103" spans="1:66" x14ac:dyDescent="0.25">
      <c r="A103">
        <v>2025</v>
      </c>
      <c r="B103" s="1">
        <f t="shared" si="48"/>
        <v>45755</v>
      </c>
      <c r="C103">
        <v>98</v>
      </c>
      <c r="D103">
        <v>70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>
        <f t="shared" si="51"/>
        <v>0</v>
      </c>
      <c r="AK103" s="21">
        <f t="shared" si="49"/>
        <v>0</v>
      </c>
      <c r="AL103">
        <f t="shared" si="50"/>
        <v>70.099999999999994</v>
      </c>
      <c r="AM103" s="4">
        <v>22.82</v>
      </c>
      <c r="AP103" s="7">
        <f t="shared" si="28"/>
        <v>0</v>
      </c>
      <c r="AQ103" s="7" t="e">
        <f t="shared" si="29"/>
        <v>#DIV/0!</v>
      </c>
      <c r="AS103">
        <f t="shared" si="30"/>
        <v>0</v>
      </c>
      <c r="AT103">
        <f t="shared" si="31"/>
        <v>0</v>
      </c>
      <c r="AU103">
        <f t="shared" si="32"/>
        <v>0</v>
      </c>
      <c r="AV103" t="s">
        <v>107</v>
      </c>
      <c r="AW103">
        <f t="shared" si="33"/>
        <v>0</v>
      </c>
      <c r="AX103">
        <f t="shared" si="34"/>
        <v>0</v>
      </c>
      <c r="AY103">
        <f t="shared" si="35"/>
        <v>0</v>
      </c>
      <c r="AZ103">
        <f t="shared" si="36"/>
        <v>0</v>
      </c>
      <c r="BA103" t="s">
        <v>107</v>
      </c>
      <c r="BB103">
        <f t="shared" si="37"/>
        <v>0</v>
      </c>
      <c r="BC103">
        <f t="shared" si="38"/>
        <v>0</v>
      </c>
      <c r="BD103">
        <f t="shared" si="39"/>
        <v>0</v>
      </c>
      <c r="BE103">
        <f t="shared" si="40"/>
        <v>0</v>
      </c>
      <c r="BF103" t="s">
        <v>107</v>
      </c>
      <c r="BG103">
        <f t="shared" si="41"/>
        <v>0</v>
      </c>
      <c r="BH103">
        <f t="shared" si="42"/>
        <v>0</v>
      </c>
      <c r="BI103">
        <f t="shared" si="43"/>
        <v>0</v>
      </c>
      <c r="BJ103">
        <f t="shared" si="44"/>
        <v>0</v>
      </c>
      <c r="BK103">
        <f t="shared" si="45"/>
        <v>0</v>
      </c>
      <c r="BL103">
        <f t="shared" si="46"/>
        <v>0</v>
      </c>
      <c r="BM103">
        <f t="shared" si="47"/>
        <v>0</v>
      </c>
      <c r="BN103" t="e">
        <f t="shared" si="47"/>
        <v>#DIV/0!</v>
      </c>
    </row>
    <row r="104" spans="1:66" x14ac:dyDescent="0.25">
      <c r="A104">
        <v>2025</v>
      </c>
      <c r="B104" s="1">
        <f t="shared" si="48"/>
        <v>45756</v>
      </c>
      <c r="C104">
        <v>99</v>
      </c>
      <c r="D104">
        <v>70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>
        <f t="shared" si="51"/>
        <v>0</v>
      </c>
      <c r="AK104" s="21">
        <f t="shared" si="49"/>
        <v>0</v>
      </c>
      <c r="AL104">
        <f t="shared" si="50"/>
        <v>70.099999999999994</v>
      </c>
      <c r="AM104" s="4">
        <v>23.08</v>
      </c>
      <c r="AP104" s="7">
        <f t="shared" si="28"/>
        <v>0</v>
      </c>
      <c r="AQ104" s="7" t="e">
        <f t="shared" si="29"/>
        <v>#DIV/0!</v>
      </c>
      <c r="AS104">
        <f t="shared" si="30"/>
        <v>0</v>
      </c>
      <c r="AT104">
        <f t="shared" si="31"/>
        <v>0</v>
      </c>
      <c r="AU104">
        <f t="shared" si="32"/>
        <v>0</v>
      </c>
      <c r="AV104" t="s">
        <v>107</v>
      </c>
      <c r="AW104">
        <f t="shared" si="33"/>
        <v>0</v>
      </c>
      <c r="AX104">
        <f t="shared" si="34"/>
        <v>0</v>
      </c>
      <c r="AY104">
        <f t="shared" si="35"/>
        <v>0</v>
      </c>
      <c r="AZ104">
        <f t="shared" si="36"/>
        <v>0</v>
      </c>
      <c r="BA104" t="s">
        <v>107</v>
      </c>
      <c r="BB104">
        <f t="shared" si="37"/>
        <v>0</v>
      </c>
      <c r="BC104">
        <f t="shared" si="38"/>
        <v>0</v>
      </c>
      <c r="BD104">
        <f t="shared" si="39"/>
        <v>0</v>
      </c>
      <c r="BE104">
        <f t="shared" si="40"/>
        <v>0</v>
      </c>
      <c r="BF104" t="s">
        <v>107</v>
      </c>
      <c r="BG104">
        <f t="shared" si="41"/>
        <v>0</v>
      </c>
      <c r="BH104">
        <f t="shared" si="42"/>
        <v>0</v>
      </c>
      <c r="BI104">
        <f t="shared" si="43"/>
        <v>0</v>
      </c>
      <c r="BJ104">
        <f t="shared" si="44"/>
        <v>0</v>
      </c>
      <c r="BK104">
        <f t="shared" si="45"/>
        <v>0</v>
      </c>
      <c r="BL104">
        <f t="shared" si="46"/>
        <v>0</v>
      </c>
      <c r="BM104">
        <f t="shared" si="47"/>
        <v>0</v>
      </c>
      <c r="BN104" t="e">
        <f t="shared" si="47"/>
        <v>#DIV/0!</v>
      </c>
    </row>
    <row r="105" spans="1:66" x14ac:dyDescent="0.25">
      <c r="A105">
        <v>2025</v>
      </c>
      <c r="B105" s="1">
        <f t="shared" si="48"/>
        <v>45757</v>
      </c>
      <c r="C105">
        <v>100</v>
      </c>
      <c r="D105">
        <v>70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>
        <f t="shared" si="51"/>
        <v>0</v>
      </c>
      <c r="AK105" s="21">
        <f t="shared" si="49"/>
        <v>0</v>
      </c>
      <c r="AL105">
        <f t="shared" si="50"/>
        <v>70.099999999999994</v>
      </c>
      <c r="AM105" s="4">
        <v>23.33</v>
      </c>
      <c r="AP105" s="7">
        <f t="shared" si="28"/>
        <v>0</v>
      </c>
      <c r="AQ105" s="7" t="e">
        <f t="shared" si="29"/>
        <v>#DIV/0!</v>
      </c>
      <c r="AS105">
        <f t="shared" si="30"/>
        <v>0</v>
      </c>
      <c r="AT105">
        <f t="shared" si="31"/>
        <v>0</v>
      </c>
      <c r="AU105">
        <f t="shared" si="32"/>
        <v>0</v>
      </c>
      <c r="AV105" t="s">
        <v>107</v>
      </c>
      <c r="AW105">
        <f t="shared" si="33"/>
        <v>0</v>
      </c>
      <c r="AX105">
        <f t="shared" si="34"/>
        <v>0</v>
      </c>
      <c r="AY105">
        <f t="shared" si="35"/>
        <v>0</v>
      </c>
      <c r="AZ105">
        <f t="shared" si="36"/>
        <v>0</v>
      </c>
      <c r="BA105" t="s">
        <v>107</v>
      </c>
      <c r="BB105">
        <f t="shared" si="37"/>
        <v>0</v>
      </c>
      <c r="BC105">
        <f t="shared" si="38"/>
        <v>0</v>
      </c>
      <c r="BD105">
        <f t="shared" si="39"/>
        <v>0</v>
      </c>
      <c r="BE105">
        <f t="shared" si="40"/>
        <v>0</v>
      </c>
      <c r="BF105" t="s">
        <v>107</v>
      </c>
      <c r="BG105">
        <f t="shared" si="41"/>
        <v>0</v>
      </c>
      <c r="BH105">
        <f t="shared" si="42"/>
        <v>0</v>
      </c>
      <c r="BI105">
        <f t="shared" si="43"/>
        <v>0</v>
      </c>
      <c r="BJ105">
        <f t="shared" si="44"/>
        <v>0</v>
      </c>
      <c r="BK105">
        <f t="shared" si="45"/>
        <v>0</v>
      </c>
      <c r="BL105">
        <f t="shared" si="46"/>
        <v>0</v>
      </c>
      <c r="BM105">
        <f t="shared" si="47"/>
        <v>0</v>
      </c>
      <c r="BN105" t="e">
        <f t="shared" si="47"/>
        <v>#DIV/0!</v>
      </c>
    </row>
    <row r="106" spans="1:66" x14ac:dyDescent="0.25">
      <c r="A106">
        <v>2025</v>
      </c>
      <c r="B106" s="1">
        <f t="shared" si="48"/>
        <v>45758</v>
      </c>
      <c r="C106">
        <v>101</v>
      </c>
      <c r="D106">
        <v>70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>
        <f t="shared" si="51"/>
        <v>0</v>
      </c>
      <c r="AK106" s="21">
        <f t="shared" si="49"/>
        <v>0</v>
      </c>
      <c r="AL106">
        <f t="shared" si="50"/>
        <v>70.099999999999994</v>
      </c>
      <c r="AM106" s="4">
        <v>23.58</v>
      </c>
      <c r="AP106" s="7">
        <f t="shared" si="28"/>
        <v>0</v>
      </c>
      <c r="AQ106" s="7" t="e">
        <f t="shared" si="29"/>
        <v>#DIV/0!</v>
      </c>
      <c r="AS106">
        <f t="shared" si="30"/>
        <v>0</v>
      </c>
      <c r="AT106">
        <f t="shared" si="31"/>
        <v>0</v>
      </c>
      <c r="AU106">
        <f t="shared" si="32"/>
        <v>0</v>
      </c>
      <c r="AV106" t="s">
        <v>107</v>
      </c>
      <c r="AW106">
        <f t="shared" si="33"/>
        <v>0</v>
      </c>
      <c r="AX106">
        <f t="shared" si="34"/>
        <v>0</v>
      </c>
      <c r="AY106">
        <f t="shared" si="35"/>
        <v>0</v>
      </c>
      <c r="AZ106">
        <f t="shared" si="36"/>
        <v>0</v>
      </c>
      <c r="BA106" t="s">
        <v>107</v>
      </c>
      <c r="BB106">
        <f t="shared" si="37"/>
        <v>0</v>
      </c>
      <c r="BC106">
        <f t="shared" si="38"/>
        <v>0</v>
      </c>
      <c r="BD106">
        <f t="shared" si="39"/>
        <v>0</v>
      </c>
      <c r="BE106">
        <f t="shared" si="40"/>
        <v>0</v>
      </c>
      <c r="BF106" t="s">
        <v>107</v>
      </c>
      <c r="BG106">
        <f t="shared" si="41"/>
        <v>0</v>
      </c>
      <c r="BH106">
        <f t="shared" si="42"/>
        <v>0</v>
      </c>
      <c r="BI106">
        <f t="shared" si="43"/>
        <v>0</v>
      </c>
      <c r="BJ106">
        <f t="shared" si="44"/>
        <v>0</v>
      </c>
      <c r="BK106">
        <f t="shared" si="45"/>
        <v>0</v>
      </c>
      <c r="BL106">
        <f t="shared" si="46"/>
        <v>0</v>
      </c>
      <c r="BM106">
        <f t="shared" si="47"/>
        <v>0</v>
      </c>
      <c r="BN106" t="e">
        <f t="shared" si="47"/>
        <v>#DIV/0!</v>
      </c>
    </row>
    <row r="107" spans="1:66" x14ac:dyDescent="0.25">
      <c r="A107">
        <v>2025</v>
      </c>
      <c r="B107" s="1">
        <f t="shared" si="48"/>
        <v>45759</v>
      </c>
      <c r="C107">
        <v>102</v>
      </c>
      <c r="D107">
        <v>70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>
        <f t="shared" si="51"/>
        <v>0</v>
      </c>
      <c r="AK107" s="21">
        <f t="shared" si="49"/>
        <v>0</v>
      </c>
      <c r="AL107">
        <f t="shared" si="50"/>
        <v>70.099999999999994</v>
      </c>
      <c r="AM107" s="4">
        <v>23.83</v>
      </c>
      <c r="AP107" s="7">
        <f t="shared" si="28"/>
        <v>0</v>
      </c>
      <c r="AQ107" s="7" t="e">
        <f t="shared" si="29"/>
        <v>#DIV/0!</v>
      </c>
      <c r="AS107">
        <f t="shared" si="30"/>
        <v>0</v>
      </c>
      <c r="AT107">
        <f t="shared" si="31"/>
        <v>0</v>
      </c>
      <c r="AU107">
        <f t="shared" si="32"/>
        <v>0</v>
      </c>
      <c r="AV107" t="s">
        <v>107</v>
      </c>
      <c r="AW107">
        <f t="shared" si="33"/>
        <v>0</v>
      </c>
      <c r="AX107">
        <f t="shared" si="34"/>
        <v>0</v>
      </c>
      <c r="AY107">
        <f t="shared" si="35"/>
        <v>0</v>
      </c>
      <c r="AZ107">
        <f t="shared" si="36"/>
        <v>0</v>
      </c>
      <c r="BA107" t="s">
        <v>107</v>
      </c>
      <c r="BB107">
        <f t="shared" si="37"/>
        <v>0</v>
      </c>
      <c r="BC107">
        <f t="shared" si="38"/>
        <v>0</v>
      </c>
      <c r="BD107">
        <f t="shared" si="39"/>
        <v>0</v>
      </c>
      <c r="BE107">
        <f t="shared" si="40"/>
        <v>0</v>
      </c>
      <c r="BF107" t="s">
        <v>107</v>
      </c>
      <c r="BG107">
        <f t="shared" si="41"/>
        <v>0</v>
      </c>
      <c r="BH107">
        <f t="shared" si="42"/>
        <v>0</v>
      </c>
      <c r="BI107">
        <f t="shared" si="43"/>
        <v>0</v>
      </c>
      <c r="BJ107">
        <f t="shared" si="44"/>
        <v>0</v>
      </c>
      <c r="BK107">
        <f t="shared" si="45"/>
        <v>0</v>
      </c>
      <c r="BL107">
        <f t="shared" si="46"/>
        <v>0</v>
      </c>
      <c r="BM107">
        <f t="shared" si="47"/>
        <v>0</v>
      </c>
      <c r="BN107" t="e">
        <f t="shared" si="47"/>
        <v>#DIV/0!</v>
      </c>
    </row>
    <row r="108" spans="1:66" x14ac:dyDescent="0.25">
      <c r="A108">
        <v>2025</v>
      </c>
      <c r="B108" s="1">
        <f t="shared" si="48"/>
        <v>45760</v>
      </c>
      <c r="C108">
        <v>103</v>
      </c>
      <c r="D108">
        <v>70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>
        <f t="shared" si="51"/>
        <v>0</v>
      </c>
      <c r="AK108" s="21">
        <f t="shared" si="49"/>
        <v>0</v>
      </c>
      <c r="AL108">
        <f t="shared" si="50"/>
        <v>70.099999999999994</v>
      </c>
      <c r="AM108" s="4">
        <v>24.07</v>
      </c>
      <c r="AP108" s="7">
        <f t="shared" si="28"/>
        <v>0</v>
      </c>
      <c r="AQ108" s="7" t="e">
        <f t="shared" si="29"/>
        <v>#DIV/0!</v>
      </c>
      <c r="AS108">
        <f t="shared" si="30"/>
        <v>0</v>
      </c>
      <c r="AT108">
        <f t="shared" si="31"/>
        <v>0</v>
      </c>
      <c r="AU108">
        <f t="shared" si="32"/>
        <v>0</v>
      </c>
      <c r="AV108" t="s">
        <v>107</v>
      </c>
      <c r="AW108">
        <f t="shared" si="33"/>
        <v>0</v>
      </c>
      <c r="AX108">
        <f t="shared" si="34"/>
        <v>0</v>
      </c>
      <c r="AY108">
        <f t="shared" si="35"/>
        <v>0</v>
      </c>
      <c r="AZ108">
        <f t="shared" si="36"/>
        <v>0</v>
      </c>
      <c r="BA108" t="s">
        <v>107</v>
      </c>
      <c r="BB108">
        <f t="shared" si="37"/>
        <v>0</v>
      </c>
      <c r="BC108">
        <f t="shared" si="38"/>
        <v>0</v>
      </c>
      <c r="BD108">
        <f t="shared" si="39"/>
        <v>0</v>
      </c>
      <c r="BE108">
        <f t="shared" si="40"/>
        <v>0</v>
      </c>
      <c r="BF108" t="s">
        <v>107</v>
      </c>
      <c r="BG108">
        <f t="shared" si="41"/>
        <v>0</v>
      </c>
      <c r="BH108">
        <f t="shared" si="42"/>
        <v>0</v>
      </c>
      <c r="BI108">
        <f t="shared" si="43"/>
        <v>0</v>
      </c>
      <c r="BJ108">
        <f t="shared" si="44"/>
        <v>0</v>
      </c>
      <c r="BK108">
        <f t="shared" si="45"/>
        <v>0</v>
      </c>
      <c r="BL108">
        <f t="shared" si="46"/>
        <v>0</v>
      </c>
      <c r="BM108">
        <f t="shared" si="47"/>
        <v>0</v>
      </c>
      <c r="BN108" t="e">
        <f t="shared" si="47"/>
        <v>#DIV/0!</v>
      </c>
    </row>
    <row r="109" spans="1:66" x14ac:dyDescent="0.25">
      <c r="A109">
        <v>2025</v>
      </c>
      <c r="B109" s="1">
        <f t="shared" si="48"/>
        <v>45761</v>
      </c>
      <c r="C109">
        <v>104</v>
      </c>
      <c r="D109">
        <v>70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>
        <f t="shared" si="51"/>
        <v>0</v>
      </c>
      <c r="AK109" s="22">
        <f t="shared" ref="AK109:AK140" si="52">AA109</f>
        <v>0</v>
      </c>
      <c r="AL109">
        <f t="shared" si="50"/>
        <v>70.099999999999994</v>
      </c>
      <c r="AM109" s="4">
        <v>24.32</v>
      </c>
      <c r="AP109" s="7">
        <f t="shared" si="28"/>
        <v>0</v>
      </c>
      <c r="AQ109" s="7" t="e">
        <f t="shared" si="29"/>
        <v>#DIV/0!</v>
      </c>
      <c r="AS109">
        <f t="shared" si="30"/>
        <v>0</v>
      </c>
      <c r="AT109">
        <f t="shared" si="31"/>
        <v>0</v>
      </c>
      <c r="AU109">
        <f t="shared" si="32"/>
        <v>0</v>
      </c>
      <c r="AV109" t="s">
        <v>107</v>
      </c>
      <c r="AW109">
        <f t="shared" si="33"/>
        <v>0</v>
      </c>
      <c r="AX109">
        <f t="shared" si="34"/>
        <v>0</v>
      </c>
      <c r="AY109">
        <f t="shared" si="35"/>
        <v>0</v>
      </c>
      <c r="AZ109">
        <f t="shared" si="36"/>
        <v>0</v>
      </c>
      <c r="BA109" t="s">
        <v>107</v>
      </c>
      <c r="BB109">
        <f t="shared" si="37"/>
        <v>0</v>
      </c>
      <c r="BC109">
        <f t="shared" si="38"/>
        <v>0</v>
      </c>
      <c r="BD109">
        <f t="shared" si="39"/>
        <v>0</v>
      </c>
      <c r="BE109">
        <f t="shared" si="40"/>
        <v>0</v>
      </c>
      <c r="BF109" t="s">
        <v>107</v>
      </c>
      <c r="BG109">
        <f t="shared" si="41"/>
        <v>0</v>
      </c>
      <c r="BH109">
        <f t="shared" si="42"/>
        <v>0</v>
      </c>
      <c r="BI109">
        <f t="shared" si="43"/>
        <v>0</v>
      </c>
      <c r="BJ109">
        <f t="shared" si="44"/>
        <v>0</v>
      </c>
      <c r="BK109">
        <f t="shared" si="45"/>
        <v>0</v>
      </c>
      <c r="BL109">
        <f t="shared" si="46"/>
        <v>0</v>
      </c>
      <c r="BM109">
        <f t="shared" si="47"/>
        <v>0</v>
      </c>
      <c r="BN109" t="e">
        <f t="shared" si="47"/>
        <v>#DIV/0!</v>
      </c>
    </row>
    <row r="110" spans="1:66" x14ac:dyDescent="0.25">
      <c r="A110">
        <v>2025</v>
      </c>
      <c r="B110" s="1">
        <f t="shared" si="48"/>
        <v>45762</v>
      </c>
      <c r="C110">
        <v>105</v>
      </c>
      <c r="D110">
        <v>70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>
        <f t="shared" si="51"/>
        <v>0</v>
      </c>
      <c r="AK110" s="22">
        <f t="shared" si="52"/>
        <v>0</v>
      </c>
      <c r="AL110">
        <f t="shared" si="50"/>
        <v>70.099999999999994</v>
      </c>
      <c r="AM110" s="4">
        <v>24.57</v>
      </c>
      <c r="AP110" s="7">
        <f t="shared" si="28"/>
        <v>0</v>
      </c>
      <c r="AQ110" s="7" t="e">
        <f t="shared" si="29"/>
        <v>#DIV/0!</v>
      </c>
      <c r="AS110">
        <f t="shared" si="30"/>
        <v>0</v>
      </c>
      <c r="AT110">
        <f t="shared" si="31"/>
        <v>0</v>
      </c>
      <c r="AU110">
        <f t="shared" si="32"/>
        <v>0</v>
      </c>
      <c r="AV110" t="s">
        <v>107</v>
      </c>
      <c r="AW110">
        <f t="shared" si="33"/>
        <v>0</v>
      </c>
      <c r="AX110">
        <f t="shared" si="34"/>
        <v>0</v>
      </c>
      <c r="AY110">
        <f t="shared" si="35"/>
        <v>0</v>
      </c>
      <c r="AZ110">
        <f t="shared" si="36"/>
        <v>0</v>
      </c>
      <c r="BA110" t="s">
        <v>107</v>
      </c>
      <c r="BB110">
        <f t="shared" si="37"/>
        <v>0</v>
      </c>
      <c r="BC110">
        <f t="shared" si="38"/>
        <v>0</v>
      </c>
      <c r="BD110">
        <f t="shared" si="39"/>
        <v>0</v>
      </c>
      <c r="BE110">
        <f t="shared" si="40"/>
        <v>0</v>
      </c>
      <c r="BF110" t="s">
        <v>107</v>
      </c>
      <c r="BG110">
        <f t="shared" si="41"/>
        <v>0</v>
      </c>
      <c r="BH110">
        <f t="shared" si="42"/>
        <v>0</v>
      </c>
      <c r="BI110">
        <f t="shared" si="43"/>
        <v>0</v>
      </c>
      <c r="BJ110">
        <f t="shared" si="44"/>
        <v>0</v>
      </c>
      <c r="BK110">
        <f t="shared" si="45"/>
        <v>0</v>
      </c>
      <c r="BL110">
        <f t="shared" si="46"/>
        <v>0</v>
      </c>
      <c r="BM110">
        <f t="shared" si="47"/>
        <v>0</v>
      </c>
      <c r="BN110" t="e">
        <f t="shared" si="47"/>
        <v>#DIV/0!</v>
      </c>
    </row>
    <row r="111" spans="1:66" x14ac:dyDescent="0.25">
      <c r="A111">
        <v>2025</v>
      </c>
      <c r="B111" s="1">
        <f t="shared" si="48"/>
        <v>45763</v>
      </c>
      <c r="C111">
        <v>106</v>
      </c>
      <c r="D111">
        <v>70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>
        <f t="shared" si="51"/>
        <v>0</v>
      </c>
      <c r="AK111" s="22">
        <f t="shared" si="52"/>
        <v>0</v>
      </c>
      <c r="AL111">
        <f t="shared" si="50"/>
        <v>70.099999999999994</v>
      </c>
      <c r="AM111" s="4">
        <v>24.81</v>
      </c>
      <c r="AP111" s="7">
        <f t="shared" si="28"/>
        <v>0</v>
      </c>
      <c r="AQ111" s="7" t="e">
        <f t="shared" si="29"/>
        <v>#DIV/0!</v>
      </c>
      <c r="AS111">
        <f t="shared" si="30"/>
        <v>0</v>
      </c>
      <c r="AT111">
        <f t="shared" si="31"/>
        <v>0</v>
      </c>
      <c r="AU111">
        <f t="shared" si="32"/>
        <v>0</v>
      </c>
      <c r="AV111" t="s">
        <v>107</v>
      </c>
      <c r="AW111">
        <f t="shared" si="33"/>
        <v>0</v>
      </c>
      <c r="AX111">
        <f t="shared" si="34"/>
        <v>0</v>
      </c>
      <c r="AY111">
        <f t="shared" si="35"/>
        <v>0</v>
      </c>
      <c r="AZ111">
        <f t="shared" si="36"/>
        <v>0</v>
      </c>
      <c r="BA111" t="s">
        <v>107</v>
      </c>
      <c r="BB111">
        <f t="shared" si="37"/>
        <v>0</v>
      </c>
      <c r="BC111">
        <f t="shared" si="38"/>
        <v>0</v>
      </c>
      <c r="BD111">
        <f t="shared" si="39"/>
        <v>0</v>
      </c>
      <c r="BE111">
        <f t="shared" si="40"/>
        <v>0</v>
      </c>
      <c r="BF111" t="s">
        <v>107</v>
      </c>
      <c r="BG111">
        <f t="shared" si="41"/>
        <v>0</v>
      </c>
      <c r="BH111">
        <f t="shared" si="42"/>
        <v>0</v>
      </c>
      <c r="BI111">
        <f t="shared" si="43"/>
        <v>0</v>
      </c>
      <c r="BJ111">
        <f t="shared" si="44"/>
        <v>0</v>
      </c>
      <c r="BK111">
        <f t="shared" si="45"/>
        <v>0</v>
      </c>
      <c r="BL111">
        <f t="shared" si="46"/>
        <v>0</v>
      </c>
      <c r="BM111">
        <f t="shared" si="47"/>
        <v>0</v>
      </c>
      <c r="BN111" t="e">
        <f t="shared" si="47"/>
        <v>#DIV/0!</v>
      </c>
    </row>
    <row r="112" spans="1:66" x14ac:dyDescent="0.25">
      <c r="A112">
        <v>2025</v>
      </c>
      <c r="B112" s="1">
        <f t="shared" si="48"/>
        <v>45764</v>
      </c>
      <c r="C112">
        <v>107</v>
      </c>
      <c r="D112">
        <v>70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>
        <f t="shared" si="51"/>
        <v>0</v>
      </c>
      <c r="AK112" s="22">
        <f t="shared" si="52"/>
        <v>0</v>
      </c>
      <c r="AL112">
        <f t="shared" si="50"/>
        <v>70.099999999999994</v>
      </c>
      <c r="AM112" s="4">
        <v>25.05</v>
      </c>
      <c r="AP112" s="7">
        <f t="shared" si="28"/>
        <v>0</v>
      </c>
      <c r="AQ112" s="7" t="e">
        <f t="shared" si="29"/>
        <v>#DIV/0!</v>
      </c>
      <c r="AS112">
        <f t="shared" si="30"/>
        <v>0</v>
      </c>
      <c r="AT112">
        <f t="shared" si="31"/>
        <v>0</v>
      </c>
      <c r="AU112">
        <f t="shared" si="32"/>
        <v>0</v>
      </c>
      <c r="AV112" t="s">
        <v>107</v>
      </c>
      <c r="AW112">
        <f t="shared" si="33"/>
        <v>0</v>
      </c>
      <c r="AX112">
        <f t="shared" si="34"/>
        <v>0</v>
      </c>
      <c r="AY112">
        <f t="shared" si="35"/>
        <v>0</v>
      </c>
      <c r="AZ112">
        <f t="shared" si="36"/>
        <v>0</v>
      </c>
      <c r="BA112" t="s">
        <v>107</v>
      </c>
      <c r="BB112">
        <f t="shared" si="37"/>
        <v>0</v>
      </c>
      <c r="BC112">
        <f t="shared" si="38"/>
        <v>0</v>
      </c>
      <c r="BD112">
        <f t="shared" si="39"/>
        <v>0</v>
      </c>
      <c r="BE112">
        <f t="shared" si="40"/>
        <v>0</v>
      </c>
      <c r="BF112" t="s">
        <v>107</v>
      </c>
      <c r="BG112">
        <f t="shared" si="41"/>
        <v>0</v>
      </c>
      <c r="BH112">
        <f t="shared" si="42"/>
        <v>0</v>
      </c>
      <c r="BI112">
        <f t="shared" si="43"/>
        <v>0</v>
      </c>
      <c r="BJ112">
        <f t="shared" si="44"/>
        <v>0</v>
      </c>
      <c r="BK112">
        <f t="shared" si="45"/>
        <v>0</v>
      </c>
      <c r="BL112">
        <f t="shared" si="46"/>
        <v>0</v>
      </c>
      <c r="BM112">
        <f t="shared" si="47"/>
        <v>0</v>
      </c>
      <c r="BN112" t="e">
        <f t="shared" si="47"/>
        <v>#DIV/0!</v>
      </c>
    </row>
    <row r="113" spans="1:66" x14ac:dyDescent="0.25">
      <c r="A113">
        <v>2025</v>
      </c>
      <c r="B113" s="1">
        <f t="shared" si="48"/>
        <v>45765</v>
      </c>
      <c r="C113">
        <v>108</v>
      </c>
      <c r="D113">
        <v>70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>
        <f t="shared" si="51"/>
        <v>0</v>
      </c>
      <c r="AK113" s="22">
        <f t="shared" si="52"/>
        <v>0</v>
      </c>
      <c r="AL113">
        <f t="shared" si="50"/>
        <v>70.099999999999994</v>
      </c>
      <c r="AM113" s="4">
        <v>25.29</v>
      </c>
      <c r="AP113" s="7">
        <f t="shared" si="28"/>
        <v>0</v>
      </c>
      <c r="AQ113" s="7" t="e">
        <f t="shared" si="29"/>
        <v>#DIV/0!</v>
      </c>
      <c r="AS113">
        <f t="shared" si="30"/>
        <v>0</v>
      </c>
      <c r="AT113">
        <f t="shared" si="31"/>
        <v>0</v>
      </c>
      <c r="AU113">
        <f t="shared" si="32"/>
        <v>0</v>
      </c>
      <c r="AV113" t="s">
        <v>107</v>
      </c>
      <c r="AW113">
        <f t="shared" si="33"/>
        <v>0</v>
      </c>
      <c r="AX113">
        <f t="shared" si="34"/>
        <v>0</v>
      </c>
      <c r="AY113">
        <f t="shared" si="35"/>
        <v>0</v>
      </c>
      <c r="AZ113">
        <f t="shared" si="36"/>
        <v>0</v>
      </c>
      <c r="BA113" t="s">
        <v>107</v>
      </c>
      <c r="BB113">
        <f t="shared" si="37"/>
        <v>0</v>
      </c>
      <c r="BC113">
        <f t="shared" si="38"/>
        <v>0</v>
      </c>
      <c r="BD113">
        <f t="shared" si="39"/>
        <v>0</v>
      </c>
      <c r="BE113">
        <f t="shared" si="40"/>
        <v>0</v>
      </c>
      <c r="BF113" t="s">
        <v>107</v>
      </c>
      <c r="BG113">
        <f t="shared" si="41"/>
        <v>0</v>
      </c>
      <c r="BH113">
        <f t="shared" si="42"/>
        <v>0</v>
      </c>
      <c r="BI113">
        <f t="shared" si="43"/>
        <v>0</v>
      </c>
      <c r="BJ113">
        <f t="shared" si="44"/>
        <v>0</v>
      </c>
      <c r="BK113">
        <f t="shared" si="45"/>
        <v>0</v>
      </c>
      <c r="BL113">
        <f t="shared" si="46"/>
        <v>0</v>
      </c>
      <c r="BM113">
        <f t="shared" si="47"/>
        <v>0</v>
      </c>
      <c r="BN113" t="e">
        <f t="shared" si="47"/>
        <v>#DIV/0!</v>
      </c>
    </row>
    <row r="114" spans="1:66" x14ac:dyDescent="0.25">
      <c r="A114">
        <v>2025</v>
      </c>
      <c r="B114" s="1">
        <f t="shared" si="48"/>
        <v>45766</v>
      </c>
      <c r="C114">
        <v>109</v>
      </c>
      <c r="D114">
        <v>70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>
        <f t="shared" si="51"/>
        <v>0</v>
      </c>
      <c r="AK114" s="22">
        <f t="shared" si="52"/>
        <v>0</v>
      </c>
      <c r="AL114">
        <f t="shared" si="50"/>
        <v>70.099999999999994</v>
      </c>
      <c r="AM114" s="4">
        <v>25.52</v>
      </c>
      <c r="AP114" s="7">
        <f t="shared" si="28"/>
        <v>0</v>
      </c>
      <c r="AQ114" s="7" t="e">
        <f t="shared" si="29"/>
        <v>#DIV/0!</v>
      </c>
      <c r="AS114">
        <f t="shared" si="30"/>
        <v>0</v>
      </c>
      <c r="AT114">
        <f t="shared" si="31"/>
        <v>0</v>
      </c>
      <c r="AU114">
        <f t="shared" si="32"/>
        <v>0</v>
      </c>
      <c r="AV114" t="s">
        <v>107</v>
      </c>
      <c r="AW114">
        <f t="shared" si="33"/>
        <v>0</v>
      </c>
      <c r="AX114">
        <f t="shared" si="34"/>
        <v>0</v>
      </c>
      <c r="AY114">
        <f t="shared" si="35"/>
        <v>0</v>
      </c>
      <c r="AZ114">
        <f t="shared" si="36"/>
        <v>0</v>
      </c>
      <c r="BA114" t="s">
        <v>107</v>
      </c>
      <c r="BB114">
        <f t="shared" si="37"/>
        <v>0</v>
      </c>
      <c r="BC114">
        <f t="shared" si="38"/>
        <v>0</v>
      </c>
      <c r="BD114">
        <f t="shared" si="39"/>
        <v>0</v>
      </c>
      <c r="BE114">
        <f t="shared" si="40"/>
        <v>0</v>
      </c>
      <c r="BF114" t="s">
        <v>107</v>
      </c>
      <c r="BG114">
        <f t="shared" si="41"/>
        <v>0</v>
      </c>
      <c r="BH114">
        <f t="shared" si="42"/>
        <v>0</v>
      </c>
      <c r="BI114">
        <f t="shared" si="43"/>
        <v>0</v>
      </c>
      <c r="BJ114">
        <f t="shared" si="44"/>
        <v>0</v>
      </c>
      <c r="BK114">
        <f t="shared" si="45"/>
        <v>0</v>
      </c>
      <c r="BL114">
        <f t="shared" si="46"/>
        <v>0</v>
      </c>
      <c r="BM114">
        <f t="shared" si="47"/>
        <v>0</v>
      </c>
      <c r="BN114" t="e">
        <f t="shared" si="47"/>
        <v>#DIV/0!</v>
      </c>
    </row>
    <row r="115" spans="1:66" x14ac:dyDescent="0.25">
      <c r="A115">
        <v>2025</v>
      </c>
      <c r="B115" s="1">
        <f t="shared" si="48"/>
        <v>45767</v>
      </c>
      <c r="C115">
        <v>110</v>
      </c>
      <c r="D115">
        <v>70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>
        <f t="shared" si="51"/>
        <v>0</v>
      </c>
      <c r="AK115" s="22">
        <f t="shared" si="52"/>
        <v>0</v>
      </c>
      <c r="AL115">
        <f t="shared" si="50"/>
        <v>70.099999999999994</v>
      </c>
      <c r="AM115" s="4">
        <v>25.75</v>
      </c>
      <c r="AP115" s="7">
        <f t="shared" si="28"/>
        <v>0</v>
      </c>
      <c r="AQ115" s="7" t="e">
        <f t="shared" si="29"/>
        <v>#DIV/0!</v>
      </c>
      <c r="AS115">
        <f t="shared" si="30"/>
        <v>0</v>
      </c>
      <c r="AT115">
        <f t="shared" si="31"/>
        <v>0</v>
      </c>
      <c r="AU115">
        <f t="shared" si="32"/>
        <v>0</v>
      </c>
      <c r="AV115" t="s">
        <v>107</v>
      </c>
      <c r="AW115">
        <f t="shared" si="33"/>
        <v>0</v>
      </c>
      <c r="AX115">
        <f t="shared" si="34"/>
        <v>0</v>
      </c>
      <c r="AY115">
        <f t="shared" si="35"/>
        <v>0</v>
      </c>
      <c r="AZ115">
        <f t="shared" si="36"/>
        <v>0</v>
      </c>
      <c r="BA115" t="s">
        <v>107</v>
      </c>
      <c r="BB115">
        <f t="shared" si="37"/>
        <v>0</v>
      </c>
      <c r="BC115">
        <f t="shared" si="38"/>
        <v>0</v>
      </c>
      <c r="BD115">
        <f t="shared" si="39"/>
        <v>0</v>
      </c>
      <c r="BE115">
        <f t="shared" si="40"/>
        <v>0</v>
      </c>
      <c r="BF115" t="s">
        <v>107</v>
      </c>
      <c r="BG115">
        <f t="shared" si="41"/>
        <v>0</v>
      </c>
      <c r="BH115">
        <f t="shared" si="42"/>
        <v>0</v>
      </c>
      <c r="BI115">
        <f t="shared" si="43"/>
        <v>0</v>
      </c>
      <c r="BJ115">
        <f t="shared" si="44"/>
        <v>0</v>
      </c>
      <c r="BK115">
        <f t="shared" si="45"/>
        <v>0</v>
      </c>
      <c r="BL115">
        <f t="shared" si="46"/>
        <v>0</v>
      </c>
      <c r="BM115">
        <f t="shared" si="47"/>
        <v>0</v>
      </c>
      <c r="BN115" t="e">
        <f t="shared" si="47"/>
        <v>#DIV/0!</v>
      </c>
    </row>
    <row r="116" spans="1:66" x14ac:dyDescent="0.25">
      <c r="A116">
        <v>2025</v>
      </c>
      <c r="B116" s="1">
        <f t="shared" si="48"/>
        <v>45768</v>
      </c>
      <c r="C116">
        <v>111</v>
      </c>
      <c r="D116">
        <v>70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>
        <f t="shared" si="51"/>
        <v>0</v>
      </c>
      <c r="AK116" s="22">
        <f t="shared" si="52"/>
        <v>0</v>
      </c>
      <c r="AL116">
        <f t="shared" si="50"/>
        <v>70.099999999999994</v>
      </c>
      <c r="AM116" s="4">
        <v>25.98</v>
      </c>
      <c r="AP116" s="7">
        <f t="shared" si="28"/>
        <v>0</v>
      </c>
      <c r="AQ116" s="7" t="e">
        <f t="shared" si="29"/>
        <v>#DIV/0!</v>
      </c>
      <c r="AS116">
        <f t="shared" si="30"/>
        <v>0</v>
      </c>
      <c r="AT116">
        <f t="shared" si="31"/>
        <v>0</v>
      </c>
      <c r="AU116">
        <f t="shared" si="32"/>
        <v>0</v>
      </c>
      <c r="AV116" t="s">
        <v>107</v>
      </c>
      <c r="AW116">
        <f t="shared" si="33"/>
        <v>0</v>
      </c>
      <c r="AX116">
        <f t="shared" si="34"/>
        <v>0</v>
      </c>
      <c r="AY116">
        <f t="shared" si="35"/>
        <v>0</v>
      </c>
      <c r="AZ116">
        <f t="shared" si="36"/>
        <v>0</v>
      </c>
      <c r="BA116" t="s">
        <v>107</v>
      </c>
      <c r="BB116">
        <f t="shared" si="37"/>
        <v>0</v>
      </c>
      <c r="BC116">
        <f t="shared" si="38"/>
        <v>0</v>
      </c>
      <c r="BD116">
        <f t="shared" si="39"/>
        <v>0</v>
      </c>
      <c r="BE116">
        <f t="shared" si="40"/>
        <v>0</v>
      </c>
      <c r="BF116" t="s">
        <v>107</v>
      </c>
      <c r="BG116">
        <f t="shared" si="41"/>
        <v>0</v>
      </c>
      <c r="BH116">
        <f t="shared" si="42"/>
        <v>0</v>
      </c>
      <c r="BI116">
        <f t="shared" si="43"/>
        <v>0</v>
      </c>
      <c r="BJ116">
        <f t="shared" si="44"/>
        <v>0</v>
      </c>
      <c r="BK116">
        <f t="shared" si="45"/>
        <v>0</v>
      </c>
      <c r="BL116">
        <f t="shared" si="46"/>
        <v>0</v>
      </c>
      <c r="BM116">
        <f t="shared" si="47"/>
        <v>0</v>
      </c>
      <c r="BN116" t="e">
        <f t="shared" si="47"/>
        <v>#DIV/0!</v>
      </c>
    </row>
    <row r="117" spans="1:66" x14ac:dyDescent="0.25">
      <c r="A117">
        <v>2025</v>
      </c>
      <c r="B117" s="1">
        <f t="shared" si="48"/>
        <v>45769</v>
      </c>
      <c r="C117">
        <v>112</v>
      </c>
      <c r="D117">
        <v>70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>
        <f t="shared" si="51"/>
        <v>0</v>
      </c>
      <c r="AK117" s="22">
        <f t="shared" si="52"/>
        <v>0</v>
      </c>
      <c r="AL117">
        <f t="shared" si="50"/>
        <v>70.099999999999994</v>
      </c>
      <c r="AM117" s="4">
        <v>26.21</v>
      </c>
      <c r="AP117" s="7">
        <f t="shared" si="28"/>
        <v>0</v>
      </c>
      <c r="AQ117" s="7" t="e">
        <f t="shared" si="29"/>
        <v>#DIV/0!</v>
      </c>
      <c r="AS117">
        <f t="shared" si="30"/>
        <v>0</v>
      </c>
      <c r="AT117">
        <f t="shared" si="31"/>
        <v>0</v>
      </c>
      <c r="AU117">
        <f t="shared" si="32"/>
        <v>0</v>
      </c>
      <c r="AV117" t="s">
        <v>107</v>
      </c>
      <c r="AW117">
        <f t="shared" si="33"/>
        <v>0</v>
      </c>
      <c r="AX117">
        <f t="shared" si="34"/>
        <v>0</v>
      </c>
      <c r="AY117">
        <f t="shared" si="35"/>
        <v>0</v>
      </c>
      <c r="AZ117">
        <f t="shared" si="36"/>
        <v>0</v>
      </c>
      <c r="BA117" t="s">
        <v>107</v>
      </c>
      <c r="BB117">
        <f t="shared" si="37"/>
        <v>0</v>
      </c>
      <c r="BC117">
        <f t="shared" si="38"/>
        <v>0</v>
      </c>
      <c r="BD117">
        <f t="shared" si="39"/>
        <v>0</v>
      </c>
      <c r="BE117">
        <f t="shared" si="40"/>
        <v>0</v>
      </c>
      <c r="BF117" t="s">
        <v>107</v>
      </c>
      <c r="BG117">
        <f t="shared" si="41"/>
        <v>0</v>
      </c>
      <c r="BH117">
        <f t="shared" si="42"/>
        <v>0</v>
      </c>
      <c r="BI117">
        <f t="shared" si="43"/>
        <v>0</v>
      </c>
      <c r="BJ117">
        <f t="shared" si="44"/>
        <v>0</v>
      </c>
      <c r="BK117">
        <f t="shared" si="45"/>
        <v>0</v>
      </c>
      <c r="BL117">
        <f t="shared" si="46"/>
        <v>0</v>
      </c>
      <c r="BM117">
        <f t="shared" si="47"/>
        <v>0</v>
      </c>
      <c r="BN117" t="e">
        <f t="shared" si="47"/>
        <v>#DIV/0!</v>
      </c>
    </row>
    <row r="118" spans="1:66" x14ac:dyDescent="0.25">
      <c r="A118">
        <v>2025</v>
      </c>
      <c r="B118" s="1">
        <f t="shared" si="48"/>
        <v>45770</v>
      </c>
      <c r="C118">
        <v>113</v>
      </c>
      <c r="D118">
        <v>70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K118" s="22">
        <f t="shared" si="52"/>
        <v>0</v>
      </c>
      <c r="AL118">
        <f t="shared" si="50"/>
        <v>70.099999999999994</v>
      </c>
      <c r="AM118" s="4">
        <v>26.43</v>
      </c>
      <c r="AP118" s="7">
        <f t="shared" si="28"/>
        <v>0</v>
      </c>
      <c r="AQ118" s="7" t="e">
        <f t="shared" si="29"/>
        <v>#DIV/0!</v>
      </c>
      <c r="AS118">
        <f t="shared" si="30"/>
        <v>0</v>
      </c>
      <c r="AT118">
        <f t="shared" si="31"/>
        <v>0</v>
      </c>
      <c r="AU118">
        <f t="shared" si="32"/>
        <v>0</v>
      </c>
      <c r="AV118" t="s">
        <v>107</v>
      </c>
      <c r="AW118">
        <f t="shared" si="33"/>
        <v>0</v>
      </c>
      <c r="AX118">
        <f t="shared" si="34"/>
        <v>0</v>
      </c>
      <c r="AY118">
        <f t="shared" si="35"/>
        <v>0</v>
      </c>
      <c r="AZ118">
        <f t="shared" si="36"/>
        <v>0</v>
      </c>
      <c r="BA118" t="s">
        <v>107</v>
      </c>
      <c r="BB118">
        <f t="shared" si="37"/>
        <v>0</v>
      </c>
      <c r="BC118">
        <f t="shared" si="38"/>
        <v>0</v>
      </c>
      <c r="BD118">
        <f t="shared" si="39"/>
        <v>0</v>
      </c>
      <c r="BE118">
        <f t="shared" si="40"/>
        <v>0</v>
      </c>
      <c r="BF118" t="s">
        <v>107</v>
      </c>
      <c r="BG118">
        <f t="shared" si="41"/>
        <v>0</v>
      </c>
      <c r="BH118">
        <f t="shared" si="42"/>
        <v>0</v>
      </c>
      <c r="BI118">
        <f t="shared" si="43"/>
        <v>0</v>
      </c>
      <c r="BJ118">
        <f t="shared" si="44"/>
        <v>0</v>
      </c>
      <c r="BK118">
        <f t="shared" si="45"/>
        <v>0</v>
      </c>
      <c r="BL118">
        <f t="shared" si="46"/>
        <v>0</v>
      </c>
      <c r="BM118">
        <f t="shared" si="47"/>
        <v>0</v>
      </c>
      <c r="BN118" t="e">
        <f t="shared" si="47"/>
        <v>#DIV/0!</v>
      </c>
    </row>
    <row r="119" spans="1:66" x14ac:dyDescent="0.25">
      <c r="A119">
        <v>2025</v>
      </c>
      <c r="B119" s="1">
        <f t="shared" si="48"/>
        <v>45771</v>
      </c>
      <c r="C119">
        <v>114</v>
      </c>
      <c r="D119">
        <v>70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K119" s="22">
        <f t="shared" si="52"/>
        <v>0</v>
      </c>
      <c r="AL119">
        <f t="shared" si="50"/>
        <v>70.099999999999994</v>
      </c>
      <c r="AM119" s="4">
        <v>26.66</v>
      </c>
      <c r="AP119" s="7">
        <f t="shared" si="28"/>
        <v>0</v>
      </c>
      <c r="AQ119" s="7" t="e">
        <f t="shared" si="29"/>
        <v>#DIV/0!</v>
      </c>
      <c r="AS119">
        <f t="shared" si="30"/>
        <v>0</v>
      </c>
      <c r="AT119">
        <f t="shared" si="31"/>
        <v>0</v>
      </c>
      <c r="AU119">
        <f t="shared" si="32"/>
        <v>0</v>
      </c>
      <c r="AV119" t="s">
        <v>107</v>
      </c>
      <c r="AW119">
        <f t="shared" si="33"/>
        <v>0</v>
      </c>
      <c r="AX119">
        <f t="shared" si="34"/>
        <v>0</v>
      </c>
      <c r="AY119">
        <f t="shared" si="35"/>
        <v>0</v>
      </c>
      <c r="AZ119">
        <f t="shared" si="36"/>
        <v>0</v>
      </c>
      <c r="BA119" t="s">
        <v>107</v>
      </c>
      <c r="BB119">
        <f t="shared" si="37"/>
        <v>0</v>
      </c>
      <c r="BC119">
        <f t="shared" si="38"/>
        <v>0</v>
      </c>
      <c r="BD119">
        <f t="shared" si="39"/>
        <v>0</v>
      </c>
      <c r="BE119">
        <f t="shared" si="40"/>
        <v>0</v>
      </c>
      <c r="BF119" t="s">
        <v>107</v>
      </c>
      <c r="BG119">
        <f t="shared" si="41"/>
        <v>0</v>
      </c>
      <c r="BH119">
        <f t="shared" si="42"/>
        <v>0</v>
      </c>
      <c r="BI119">
        <f t="shared" si="43"/>
        <v>0</v>
      </c>
      <c r="BJ119">
        <f t="shared" si="44"/>
        <v>0</v>
      </c>
      <c r="BK119">
        <f t="shared" si="45"/>
        <v>0</v>
      </c>
      <c r="BL119">
        <f t="shared" si="46"/>
        <v>0</v>
      </c>
      <c r="BM119">
        <f t="shared" si="47"/>
        <v>0</v>
      </c>
      <c r="BN119" t="e">
        <f t="shared" si="47"/>
        <v>#DIV/0!</v>
      </c>
    </row>
    <row r="120" spans="1:66" x14ac:dyDescent="0.25">
      <c r="A120">
        <v>2025</v>
      </c>
      <c r="B120" s="1">
        <f t="shared" si="48"/>
        <v>45772</v>
      </c>
      <c r="C120">
        <v>115</v>
      </c>
      <c r="D120">
        <v>70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K120" s="22">
        <f t="shared" si="52"/>
        <v>0</v>
      </c>
      <c r="AL120">
        <f t="shared" si="50"/>
        <v>70.099999999999994</v>
      </c>
      <c r="AM120" s="4">
        <v>26.88</v>
      </c>
      <c r="AP120" s="7">
        <f t="shared" si="28"/>
        <v>0</v>
      </c>
      <c r="AQ120" s="7" t="e">
        <f t="shared" si="29"/>
        <v>#DIV/0!</v>
      </c>
      <c r="AS120">
        <f t="shared" si="30"/>
        <v>0</v>
      </c>
      <c r="AT120">
        <f t="shared" si="31"/>
        <v>0</v>
      </c>
      <c r="AU120">
        <f t="shared" si="32"/>
        <v>0</v>
      </c>
      <c r="AV120" t="s">
        <v>107</v>
      </c>
      <c r="AW120">
        <f t="shared" si="33"/>
        <v>0</v>
      </c>
      <c r="AX120">
        <f t="shared" si="34"/>
        <v>0</v>
      </c>
      <c r="AY120">
        <f t="shared" si="35"/>
        <v>0</v>
      </c>
      <c r="AZ120">
        <f t="shared" si="36"/>
        <v>0</v>
      </c>
      <c r="BA120" t="s">
        <v>107</v>
      </c>
      <c r="BB120">
        <f t="shared" si="37"/>
        <v>0</v>
      </c>
      <c r="BC120">
        <f t="shared" si="38"/>
        <v>0</v>
      </c>
      <c r="BD120">
        <f t="shared" si="39"/>
        <v>0</v>
      </c>
      <c r="BE120">
        <f t="shared" si="40"/>
        <v>0</v>
      </c>
      <c r="BF120" t="s">
        <v>107</v>
      </c>
      <c r="BG120">
        <f t="shared" si="41"/>
        <v>0</v>
      </c>
      <c r="BH120">
        <f t="shared" si="42"/>
        <v>0</v>
      </c>
      <c r="BI120">
        <f t="shared" si="43"/>
        <v>0</v>
      </c>
      <c r="BJ120">
        <f t="shared" si="44"/>
        <v>0</v>
      </c>
      <c r="BK120">
        <f t="shared" si="45"/>
        <v>0</v>
      </c>
      <c r="BL120">
        <f t="shared" si="46"/>
        <v>0</v>
      </c>
      <c r="BM120">
        <f t="shared" si="47"/>
        <v>0</v>
      </c>
      <c r="BN120" t="e">
        <f t="shared" si="47"/>
        <v>#DIV/0!</v>
      </c>
    </row>
    <row r="121" spans="1:66" x14ac:dyDescent="0.25">
      <c r="A121">
        <v>2025</v>
      </c>
      <c r="B121" s="1">
        <f t="shared" si="48"/>
        <v>45773</v>
      </c>
      <c r="C121">
        <v>116</v>
      </c>
      <c r="D121">
        <v>70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K121" s="22">
        <f t="shared" si="52"/>
        <v>0</v>
      </c>
      <c r="AL121">
        <f t="shared" si="50"/>
        <v>70.099999999999994</v>
      </c>
      <c r="AM121" s="4">
        <v>27.1</v>
      </c>
      <c r="AP121" s="7">
        <f t="shared" si="28"/>
        <v>0</v>
      </c>
      <c r="AQ121" s="7" t="e">
        <f t="shared" si="29"/>
        <v>#DIV/0!</v>
      </c>
      <c r="AS121">
        <f t="shared" si="30"/>
        <v>0</v>
      </c>
      <c r="AT121">
        <f t="shared" si="31"/>
        <v>0</v>
      </c>
      <c r="AU121">
        <f t="shared" si="32"/>
        <v>0</v>
      </c>
      <c r="AV121" t="s">
        <v>107</v>
      </c>
      <c r="AW121">
        <f t="shared" si="33"/>
        <v>0</v>
      </c>
      <c r="AX121">
        <f t="shared" si="34"/>
        <v>0</v>
      </c>
      <c r="AY121">
        <f t="shared" si="35"/>
        <v>0</v>
      </c>
      <c r="AZ121">
        <f t="shared" si="36"/>
        <v>0</v>
      </c>
      <c r="BA121" t="s">
        <v>107</v>
      </c>
      <c r="BB121">
        <f t="shared" si="37"/>
        <v>0</v>
      </c>
      <c r="BC121">
        <f t="shared" si="38"/>
        <v>0</v>
      </c>
      <c r="BD121">
        <f t="shared" si="39"/>
        <v>0</v>
      </c>
      <c r="BE121">
        <f t="shared" si="40"/>
        <v>0</v>
      </c>
      <c r="BF121" t="s">
        <v>107</v>
      </c>
      <c r="BG121">
        <f t="shared" si="41"/>
        <v>0</v>
      </c>
      <c r="BH121">
        <f t="shared" si="42"/>
        <v>0</v>
      </c>
      <c r="BI121">
        <f t="shared" si="43"/>
        <v>0</v>
      </c>
      <c r="BJ121">
        <f t="shared" si="44"/>
        <v>0</v>
      </c>
      <c r="BK121">
        <f t="shared" si="45"/>
        <v>0</v>
      </c>
      <c r="BL121">
        <f t="shared" si="46"/>
        <v>0</v>
      </c>
      <c r="BM121">
        <f t="shared" si="47"/>
        <v>0</v>
      </c>
      <c r="BN121" t="e">
        <f t="shared" si="47"/>
        <v>#DIV/0!</v>
      </c>
    </row>
    <row r="122" spans="1:66" x14ac:dyDescent="0.25">
      <c r="A122">
        <v>2025</v>
      </c>
      <c r="B122" s="1">
        <f t="shared" si="48"/>
        <v>45774</v>
      </c>
      <c r="C122">
        <v>117</v>
      </c>
      <c r="D122">
        <v>70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K122" s="22">
        <f t="shared" si="52"/>
        <v>0</v>
      </c>
      <c r="AL122">
        <f t="shared" si="50"/>
        <v>70.099999999999994</v>
      </c>
      <c r="AM122" s="4">
        <v>27.31</v>
      </c>
      <c r="AP122" s="7">
        <f t="shared" si="28"/>
        <v>0</v>
      </c>
      <c r="AQ122" s="7" t="e">
        <f t="shared" si="29"/>
        <v>#DIV/0!</v>
      </c>
      <c r="AS122">
        <f t="shared" si="30"/>
        <v>0</v>
      </c>
      <c r="AT122">
        <f t="shared" si="31"/>
        <v>0</v>
      </c>
      <c r="AU122">
        <f t="shared" si="32"/>
        <v>0</v>
      </c>
      <c r="AV122" t="s">
        <v>107</v>
      </c>
      <c r="AW122">
        <f t="shared" si="33"/>
        <v>0</v>
      </c>
      <c r="AX122">
        <f t="shared" si="34"/>
        <v>0</v>
      </c>
      <c r="AY122">
        <f t="shared" si="35"/>
        <v>0</v>
      </c>
      <c r="AZ122">
        <f t="shared" si="36"/>
        <v>0</v>
      </c>
      <c r="BA122" t="s">
        <v>107</v>
      </c>
      <c r="BB122">
        <f t="shared" si="37"/>
        <v>0</v>
      </c>
      <c r="BC122">
        <f t="shared" si="38"/>
        <v>0</v>
      </c>
      <c r="BD122">
        <f t="shared" si="39"/>
        <v>0</v>
      </c>
      <c r="BE122">
        <f t="shared" si="40"/>
        <v>0</v>
      </c>
      <c r="BF122" t="s">
        <v>107</v>
      </c>
      <c r="BG122">
        <f t="shared" si="41"/>
        <v>0</v>
      </c>
      <c r="BH122">
        <f t="shared" si="42"/>
        <v>0</v>
      </c>
      <c r="BI122">
        <f t="shared" si="43"/>
        <v>0</v>
      </c>
      <c r="BJ122">
        <f t="shared" si="44"/>
        <v>0</v>
      </c>
      <c r="BK122">
        <f t="shared" si="45"/>
        <v>0</v>
      </c>
      <c r="BL122">
        <f t="shared" si="46"/>
        <v>0</v>
      </c>
      <c r="BM122">
        <f t="shared" si="47"/>
        <v>0</v>
      </c>
      <c r="BN122" t="e">
        <f t="shared" si="47"/>
        <v>#DIV/0!</v>
      </c>
    </row>
    <row r="123" spans="1:66" x14ac:dyDescent="0.25">
      <c r="A123">
        <v>2025</v>
      </c>
      <c r="B123" s="1">
        <f t="shared" si="48"/>
        <v>45775</v>
      </c>
      <c r="C123">
        <v>118</v>
      </c>
      <c r="D123">
        <v>70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K123" s="22">
        <f t="shared" si="52"/>
        <v>0</v>
      </c>
      <c r="AL123">
        <f t="shared" si="50"/>
        <v>70.099999999999994</v>
      </c>
      <c r="AM123" s="4">
        <v>27.53</v>
      </c>
      <c r="AP123" s="7">
        <f t="shared" si="28"/>
        <v>0</v>
      </c>
      <c r="AQ123" s="7" t="e">
        <f t="shared" si="29"/>
        <v>#DIV/0!</v>
      </c>
      <c r="AS123">
        <f t="shared" si="30"/>
        <v>0</v>
      </c>
      <c r="AT123">
        <f t="shared" si="31"/>
        <v>0</v>
      </c>
      <c r="AU123">
        <f t="shared" si="32"/>
        <v>0</v>
      </c>
      <c r="AV123" t="s">
        <v>107</v>
      </c>
      <c r="AW123">
        <f t="shared" si="33"/>
        <v>0</v>
      </c>
      <c r="AX123">
        <f t="shared" si="34"/>
        <v>0</v>
      </c>
      <c r="AY123">
        <f t="shared" si="35"/>
        <v>0</v>
      </c>
      <c r="AZ123">
        <f t="shared" si="36"/>
        <v>0</v>
      </c>
      <c r="BA123" t="s">
        <v>107</v>
      </c>
      <c r="BB123">
        <f t="shared" si="37"/>
        <v>0</v>
      </c>
      <c r="BC123">
        <f t="shared" si="38"/>
        <v>0</v>
      </c>
      <c r="BD123">
        <f t="shared" si="39"/>
        <v>0</v>
      </c>
      <c r="BE123">
        <f t="shared" si="40"/>
        <v>0</v>
      </c>
      <c r="BF123" t="s">
        <v>107</v>
      </c>
      <c r="BG123">
        <f t="shared" si="41"/>
        <v>0</v>
      </c>
      <c r="BH123">
        <f t="shared" si="42"/>
        <v>0</v>
      </c>
      <c r="BI123">
        <f t="shared" si="43"/>
        <v>0</v>
      </c>
      <c r="BJ123">
        <f t="shared" si="44"/>
        <v>0</v>
      </c>
      <c r="BK123">
        <f t="shared" si="45"/>
        <v>0</v>
      </c>
      <c r="BL123">
        <f t="shared" si="46"/>
        <v>0</v>
      </c>
      <c r="BM123">
        <f t="shared" si="47"/>
        <v>0</v>
      </c>
      <c r="BN123" t="e">
        <f t="shared" si="47"/>
        <v>#DIV/0!</v>
      </c>
    </row>
    <row r="124" spans="1:66" x14ac:dyDescent="0.25">
      <c r="A124">
        <v>2025</v>
      </c>
      <c r="B124" s="1">
        <f t="shared" si="48"/>
        <v>45776</v>
      </c>
      <c r="C124">
        <v>119</v>
      </c>
      <c r="D124">
        <v>70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K124" s="22">
        <f t="shared" si="52"/>
        <v>0</v>
      </c>
      <c r="AL124">
        <f t="shared" si="50"/>
        <v>70.099999999999994</v>
      </c>
      <c r="AM124" s="4">
        <v>27.74</v>
      </c>
      <c r="AP124" s="7">
        <f t="shared" si="28"/>
        <v>0</v>
      </c>
      <c r="AQ124" s="7" t="e">
        <f t="shared" si="29"/>
        <v>#DIV/0!</v>
      </c>
      <c r="AS124">
        <f t="shared" si="30"/>
        <v>0</v>
      </c>
      <c r="AT124">
        <f t="shared" si="31"/>
        <v>0</v>
      </c>
      <c r="AU124">
        <f t="shared" si="32"/>
        <v>0</v>
      </c>
      <c r="AV124" t="s">
        <v>107</v>
      </c>
      <c r="AW124">
        <f t="shared" si="33"/>
        <v>0</v>
      </c>
      <c r="AX124">
        <f t="shared" si="34"/>
        <v>0</v>
      </c>
      <c r="AY124">
        <f t="shared" si="35"/>
        <v>0</v>
      </c>
      <c r="AZ124">
        <f t="shared" si="36"/>
        <v>0</v>
      </c>
      <c r="BA124" t="s">
        <v>107</v>
      </c>
      <c r="BB124">
        <f t="shared" si="37"/>
        <v>0</v>
      </c>
      <c r="BC124">
        <f t="shared" si="38"/>
        <v>0</v>
      </c>
      <c r="BD124">
        <f t="shared" si="39"/>
        <v>0</v>
      </c>
      <c r="BE124">
        <f t="shared" si="40"/>
        <v>0</v>
      </c>
      <c r="BF124" t="s">
        <v>107</v>
      </c>
      <c r="BG124">
        <f t="shared" si="41"/>
        <v>0</v>
      </c>
      <c r="BH124">
        <f t="shared" si="42"/>
        <v>0</v>
      </c>
      <c r="BI124">
        <f t="shared" si="43"/>
        <v>0</v>
      </c>
      <c r="BJ124">
        <f t="shared" si="44"/>
        <v>0</v>
      </c>
      <c r="BK124">
        <f t="shared" si="45"/>
        <v>0</v>
      </c>
      <c r="BL124">
        <f t="shared" si="46"/>
        <v>0</v>
      </c>
      <c r="BM124">
        <f t="shared" si="47"/>
        <v>0</v>
      </c>
      <c r="BN124" t="e">
        <f t="shared" si="47"/>
        <v>#DIV/0!</v>
      </c>
    </row>
    <row r="125" spans="1:66" x14ac:dyDescent="0.25">
      <c r="A125">
        <v>2025</v>
      </c>
      <c r="B125" s="1">
        <f t="shared" si="48"/>
        <v>45777</v>
      </c>
      <c r="C125">
        <v>120</v>
      </c>
      <c r="D125">
        <v>70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K125" s="22">
        <f t="shared" si="52"/>
        <v>0</v>
      </c>
      <c r="AL125">
        <f t="shared" si="50"/>
        <v>70.099999999999994</v>
      </c>
      <c r="AM125" s="4">
        <v>27.94</v>
      </c>
      <c r="AP125" s="7">
        <f t="shared" si="28"/>
        <v>0</v>
      </c>
      <c r="AQ125" s="7" t="e">
        <f t="shared" si="29"/>
        <v>#DIV/0!</v>
      </c>
      <c r="AS125">
        <f t="shared" si="30"/>
        <v>0</v>
      </c>
      <c r="AT125">
        <f t="shared" si="31"/>
        <v>0</v>
      </c>
      <c r="AU125">
        <f t="shared" si="32"/>
        <v>0</v>
      </c>
      <c r="AV125" t="s">
        <v>107</v>
      </c>
      <c r="AW125">
        <f t="shared" si="33"/>
        <v>0</v>
      </c>
      <c r="AX125">
        <f t="shared" si="34"/>
        <v>0</v>
      </c>
      <c r="AY125">
        <f t="shared" si="35"/>
        <v>0</v>
      </c>
      <c r="AZ125">
        <f t="shared" si="36"/>
        <v>0</v>
      </c>
      <c r="BA125" t="s">
        <v>107</v>
      </c>
      <c r="BB125">
        <f t="shared" si="37"/>
        <v>0</v>
      </c>
      <c r="BC125">
        <f t="shared" si="38"/>
        <v>0</v>
      </c>
      <c r="BD125">
        <f t="shared" si="39"/>
        <v>0</v>
      </c>
      <c r="BE125">
        <f t="shared" si="40"/>
        <v>0</v>
      </c>
      <c r="BF125" t="s">
        <v>107</v>
      </c>
      <c r="BG125">
        <f t="shared" si="41"/>
        <v>0</v>
      </c>
      <c r="BH125">
        <f t="shared" si="42"/>
        <v>0</v>
      </c>
      <c r="BI125">
        <f t="shared" si="43"/>
        <v>0</v>
      </c>
      <c r="BJ125">
        <f t="shared" si="44"/>
        <v>0</v>
      </c>
      <c r="BK125">
        <f t="shared" si="45"/>
        <v>0</v>
      </c>
      <c r="BL125">
        <f t="shared" si="46"/>
        <v>0</v>
      </c>
      <c r="BM125">
        <f t="shared" si="47"/>
        <v>0</v>
      </c>
      <c r="BN125" t="e">
        <f t="shared" si="47"/>
        <v>#DIV/0!</v>
      </c>
    </row>
    <row r="126" spans="1:66" x14ac:dyDescent="0.25">
      <c r="A126">
        <v>2025</v>
      </c>
      <c r="B126" s="1">
        <f t="shared" si="48"/>
        <v>45778</v>
      </c>
      <c r="C126">
        <v>121</v>
      </c>
      <c r="D126">
        <v>70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K126" s="22">
        <f t="shared" si="52"/>
        <v>0</v>
      </c>
      <c r="AL126">
        <f t="shared" si="50"/>
        <v>70.099999999999994</v>
      </c>
      <c r="AM126" s="4">
        <v>28.15</v>
      </c>
      <c r="AP126" s="7">
        <f t="shared" si="28"/>
        <v>0</v>
      </c>
      <c r="AQ126" s="7" t="e">
        <f t="shared" si="29"/>
        <v>#DIV/0!</v>
      </c>
      <c r="AS126">
        <f t="shared" si="30"/>
        <v>0</v>
      </c>
      <c r="AT126">
        <f t="shared" si="31"/>
        <v>0</v>
      </c>
      <c r="AU126">
        <f t="shared" si="32"/>
        <v>0</v>
      </c>
      <c r="AV126" t="s">
        <v>107</v>
      </c>
      <c r="AW126">
        <f t="shared" si="33"/>
        <v>0</v>
      </c>
      <c r="AX126">
        <f t="shared" si="34"/>
        <v>0</v>
      </c>
      <c r="AY126">
        <f t="shared" si="35"/>
        <v>0</v>
      </c>
      <c r="AZ126">
        <f t="shared" si="36"/>
        <v>0</v>
      </c>
      <c r="BA126" t="s">
        <v>107</v>
      </c>
      <c r="BB126">
        <f t="shared" si="37"/>
        <v>0</v>
      </c>
      <c r="BC126">
        <f t="shared" si="38"/>
        <v>0</v>
      </c>
      <c r="BD126">
        <f t="shared" si="39"/>
        <v>0</v>
      </c>
      <c r="BE126">
        <f t="shared" si="40"/>
        <v>0</v>
      </c>
      <c r="BF126" t="s">
        <v>107</v>
      </c>
      <c r="BG126">
        <f t="shared" si="41"/>
        <v>0</v>
      </c>
      <c r="BH126">
        <f t="shared" si="42"/>
        <v>0</v>
      </c>
      <c r="BI126">
        <f t="shared" si="43"/>
        <v>0</v>
      </c>
      <c r="BJ126">
        <f t="shared" si="44"/>
        <v>0</v>
      </c>
      <c r="BK126">
        <f t="shared" si="45"/>
        <v>0</v>
      </c>
      <c r="BL126">
        <f t="shared" si="46"/>
        <v>0</v>
      </c>
      <c r="BM126">
        <f t="shared" si="47"/>
        <v>0</v>
      </c>
      <c r="BN126" t="e">
        <f t="shared" si="47"/>
        <v>#DIV/0!</v>
      </c>
    </row>
    <row r="127" spans="1:66" x14ac:dyDescent="0.25">
      <c r="A127">
        <v>2025</v>
      </c>
      <c r="B127" s="1">
        <f t="shared" si="48"/>
        <v>45779</v>
      </c>
      <c r="C127">
        <v>122</v>
      </c>
      <c r="D127">
        <v>70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K127" s="22">
        <f t="shared" si="52"/>
        <v>0</v>
      </c>
      <c r="AL127">
        <f t="shared" si="50"/>
        <v>70.099999999999994</v>
      </c>
      <c r="AM127" s="4">
        <v>28.33</v>
      </c>
      <c r="AP127" s="7">
        <f t="shared" si="28"/>
        <v>0</v>
      </c>
      <c r="AQ127" s="7" t="e">
        <f t="shared" si="29"/>
        <v>#DIV/0!</v>
      </c>
      <c r="AS127">
        <f t="shared" si="30"/>
        <v>0</v>
      </c>
      <c r="AT127">
        <f t="shared" si="31"/>
        <v>0</v>
      </c>
      <c r="AU127">
        <f t="shared" si="32"/>
        <v>0</v>
      </c>
      <c r="AV127" t="s">
        <v>107</v>
      </c>
      <c r="AW127">
        <f t="shared" si="33"/>
        <v>0</v>
      </c>
      <c r="AX127">
        <f t="shared" si="34"/>
        <v>0</v>
      </c>
      <c r="AY127">
        <f t="shared" si="35"/>
        <v>0</v>
      </c>
      <c r="AZ127">
        <f t="shared" si="36"/>
        <v>0</v>
      </c>
      <c r="BA127" t="s">
        <v>107</v>
      </c>
      <c r="BB127">
        <f t="shared" si="37"/>
        <v>0</v>
      </c>
      <c r="BC127">
        <f t="shared" si="38"/>
        <v>0</v>
      </c>
      <c r="BD127">
        <f t="shared" si="39"/>
        <v>0</v>
      </c>
      <c r="BE127">
        <f t="shared" si="40"/>
        <v>0</v>
      </c>
      <c r="BF127" t="s">
        <v>107</v>
      </c>
      <c r="BG127">
        <f t="shared" si="41"/>
        <v>0</v>
      </c>
      <c r="BH127">
        <f t="shared" si="42"/>
        <v>0</v>
      </c>
      <c r="BI127">
        <f t="shared" si="43"/>
        <v>0</v>
      </c>
      <c r="BJ127">
        <f t="shared" si="44"/>
        <v>0</v>
      </c>
      <c r="BK127">
        <f t="shared" si="45"/>
        <v>0</v>
      </c>
      <c r="BL127">
        <f t="shared" si="46"/>
        <v>0</v>
      </c>
      <c r="BM127">
        <f t="shared" si="47"/>
        <v>0</v>
      </c>
      <c r="BN127" t="e">
        <f t="shared" si="47"/>
        <v>#DIV/0!</v>
      </c>
    </row>
    <row r="128" spans="1:66" x14ac:dyDescent="0.25">
      <c r="A128">
        <v>2025</v>
      </c>
      <c r="B128" s="1">
        <f t="shared" si="48"/>
        <v>45780</v>
      </c>
      <c r="C128">
        <v>123</v>
      </c>
      <c r="D128">
        <v>70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K128" s="22">
        <f t="shared" si="52"/>
        <v>0</v>
      </c>
      <c r="AL128">
        <f t="shared" si="50"/>
        <v>70.099999999999994</v>
      </c>
      <c r="AM128" s="4">
        <v>28.52</v>
      </c>
      <c r="AP128" s="7">
        <f t="shared" si="28"/>
        <v>0</v>
      </c>
      <c r="AQ128" s="7" t="e">
        <f t="shared" si="29"/>
        <v>#DIV/0!</v>
      </c>
      <c r="AS128">
        <f t="shared" si="30"/>
        <v>0</v>
      </c>
      <c r="AT128">
        <f t="shared" si="31"/>
        <v>0</v>
      </c>
      <c r="AU128">
        <f t="shared" si="32"/>
        <v>0</v>
      </c>
      <c r="AV128" t="s">
        <v>107</v>
      </c>
      <c r="AW128">
        <f t="shared" si="33"/>
        <v>0</v>
      </c>
      <c r="AX128">
        <f t="shared" si="34"/>
        <v>0</v>
      </c>
      <c r="AY128">
        <f t="shared" si="35"/>
        <v>0</v>
      </c>
      <c r="AZ128">
        <f t="shared" si="36"/>
        <v>0</v>
      </c>
      <c r="BA128" t="s">
        <v>107</v>
      </c>
      <c r="BB128">
        <f t="shared" si="37"/>
        <v>0</v>
      </c>
      <c r="BC128">
        <f t="shared" si="38"/>
        <v>0</v>
      </c>
      <c r="BD128">
        <f t="shared" si="39"/>
        <v>0</v>
      </c>
      <c r="BE128">
        <f t="shared" si="40"/>
        <v>0</v>
      </c>
      <c r="BF128" t="s">
        <v>107</v>
      </c>
      <c r="BG128">
        <f t="shared" si="41"/>
        <v>0</v>
      </c>
      <c r="BH128">
        <f t="shared" si="42"/>
        <v>0</v>
      </c>
      <c r="BI128">
        <f t="shared" si="43"/>
        <v>0</v>
      </c>
      <c r="BJ128">
        <f t="shared" si="44"/>
        <v>0</v>
      </c>
      <c r="BK128">
        <f t="shared" si="45"/>
        <v>0</v>
      </c>
      <c r="BL128">
        <f t="shared" si="46"/>
        <v>0</v>
      </c>
      <c r="BM128">
        <f t="shared" si="47"/>
        <v>0</v>
      </c>
      <c r="BN128" t="e">
        <f t="shared" si="47"/>
        <v>#DIV/0!</v>
      </c>
    </row>
    <row r="129" spans="1:66" x14ac:dyDescent="0.25">
      <c r="A129">
        <v>2025</v>
      </c>
      <c r="B129" s="1">
        <f t="shared" si="48"/>
        <v>45781</v>
      </c>
      <c r="C129">
        <v>124</v>
      </c>
      <c r="D129">
        <v>70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K129" s="22">
        <f t="shared" si="52"/>
        <v>0</v>
      </c>
      <c r="AL129">
        <f t="shared" si="50"/>
        <v>70.099999999999994</v>
      </c>
      <c r="AM129" s="4">
        <v>28.7</v>
      </c>
      <c r="AP129" s="7">
        <f t="shared" si="28"/>
        <v>0</v>
      </c>
      <c r="AQ129" s="7" t="e">
        <f t="shared" si="29"/>
        <v>#DIV/0!</v>
      </c>
      <c r="AS129">
        <f t="shared" si="30"/>
        <v>0</v>
      </c>
      <c r="AT129">
        <f t="shared" si="31"/>
        <v>0</v>
      </c>
      <c r="AU129">
        <f t="shared" si="32"/>
        <v>0</v>
      </c>
      <c r="AV129" t="s">
        <v>107</v>
      </c>
      <c r="AW129">
        <f t="shared" si="33"/>
        <v>0</v>
      </c>
      <c r="AX129">
        <f t="shared" si="34"/>
        <v>0</v>
      </c>
      <c r="AY129">
        <f t="shared" si="35"/>
        <v>0</v>
      </c>
      <c r="AZ129">
        <f t="shared" si="36"/>
        <v>0</v>
      </c>
      <c r="BA129" t="s">
        <v>107</v>
      </c>
      <c r="BB129">
        <f t="shared" si="37"/>
        <v>0</v>
      </c>
      <c r="BC129">
        <f t="shared" si="38"/>
        <v>0</v>
      </c>
      <c r="BD129">
        <f t="shared" si="39"/>
        <v>0</v>
      </c>
      <c r="BE129">
        <f t="shared" si="40"/>
        <v>0</v>
      </c>
      <c r="BF129" t="s">
        <v>107</v>
      </c>
      <c r="BG129">
        <f t="shared" si="41"/>
        <v>0</v>
      </c>
      <c r="BH129">
        <f t="shared" si="42"/>
        <v>0</v>
      </c>
      <c r="BI129">
        <f t="shared" si="43"/>
        <v>0</v>
      </c>
      <c r="BJ129">
        <f t="shared" si="44"/>
        <v>0</v>
      </c>
      <c r="BK129">
        <f t="shared" si="45"/>
        <v>0</v>
      </c>
      <c r="BL129">
        <f t="shared" si="46"/>
        <v>0</v>
      </c>
      <c r="BM129">
        <f t="shared" si="47"/>
        <v>0</v>
      </c>
      <c r="BN129" t="e">
        <f t="shared" si="47"/>
        <v>#DIV/0!</v>
      </c>
    </row>
    <row r="130" spans="1:66" x14ac:dyDescent="0.25">
      <c r="A130">
        <v>2025</v>
      </c>
      <c r="B130" s="1">
        <f t="shared" si="48"/>
        <v>45782</v>
      </c>
      <c r="C130">
        <v>125</v>
      </c>
      <c r="D130">
        <v>70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K130" s="22">
        <f t="shared" si="52"/>
        <v>0</v>
      </c>
      <c r="AL130">
        <f t="shared" si="50"/>
        <v>70.099999999999994</v>
      </c>
      <c r="AM130" s="4">
        <v>28.88</v>
      </c>
      <c r="AP130" s="7">
        <f t="shared" si="28"/>
        <v>0</v>
      </c>
      <c r="AQ130" s="7" t="e">
        <f t="shared" si="29"/>
        <v>#DIV/0!</v>
      </c>
      <c r="AS130">
        <f t="shared" si="30"/>
        <v>0</v>
      </c>
      <c r="AT130">
        <f t="shared" si="31"/>
        <v>0</v>
      </c>
      <c r="AU130">
        <f t="shared" si="32"/>
        <v>0</v>
      </c>
      <c r="AV130" t="s">
        <v>107</v>
      </c>
      <c r="AW130">
        <f t="shared" si="33"/>
        <v>0</v>
      </c>
      <c r="AX130">
        <f t="shared" si="34"/>
        <v>0</v>
      </c>
      <c r="AY130">
        <f t="shared" si="35"/>
        <v>0</v>
      </c>
      <c r="AZ130">
        <f t="shared" si="36"/>
        <v>0</v>
      </c>
      <c r="BA130" t="s">
        <v>107</v>
      </c>
      <c r="BB130">
        <f t="shared" si="37"/>
        <v>0</v>
      </c>
      <c r="BC130">
        <f t="shared" si="38"/>
        <v>0</v>
      </c>
      <c r="BD130">
        <f t="shared" si="39"/>
        <v>0</v>
      </c>
      <c r="BE130">
        <f t="shared" si="40"/>
        <v>0</v>
      </c>
      <c r="BF130" t="s">
        <v>107</v>
      </c>
      <c r="BG130">
        <f t="shared" si="41"/>
        <v>0</v>
      </c>
      <c r="BH130">
        <f t="shared" si="42"/>
        <v>0</v>
      </c>
      <c r="BI130">
        <f t="shared" si="43"/>
        <v>0</v>
      </c>
      <c r="BJ130">
        <f t="shared" si="44"/>
        <v>0</v>
      </c>
      <c r="BK130">
        <f t="shared" si="45"/>
        <v>0</v>
      </c>
      <c r="BL130">
        <f t="shared" si="46"/>
        <v>0</v>
      </c>
      <c r="BM130">
        <f t="shared" si="47"/>
        <v>0</v>
      </c>
      <c r="BN130" t="e">
        <f t="shared" si="47"/>
        <v>#DIV/0!</v>
      </c>
    </row>
    <row r="131" spans="1:66" x14ac:dyDescent="0.25">
      <c r="A131">
        <v>2025</v>
      </c>
      <c r="B131" s="1">
        <f t="shared" si="48"/>
        <v>45783</v>
      </c>
      <c r="C131">
        <v>126</v>
      </c>
      <c r="D131">
        <v>70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K131" s="22">
        <f t="shared" si="52"/>
        <v>0</v>
      </c>
      <c r="AL131">
        <f t="shared" si="50"/>
        <v>70.099999999999994</v>
      </c>
      <c r="AM131" s="4">
        <v>29.05</v>
      </c>
      <c r="AP131" s="7">
        <f t="shared" si="28"/>
        <v>0</v>
      </c>
      <c r="AQ131" s="7" t="e">
        <f t="shared" si="29"/>
        <v>#DIV/0!</v>
      </c>
      <c r="AS131">
        <f t="shared" si="30"/>
        <v>0</v>
      </c>
      <c r="AT131">
        <f t="shared" si="31"/>
        <v>0</v>
      </c>
      <c r="AU131">
        <f t="shared" si="32"/>
        <v>0</v>
      </c>
      <c r="AV131" t="s">
        <v>107</v>
      </c>
      <c r="AW131">
        <f t="shared" si="33"/>
        <v>0</v>
      </c>
      <c r="AX131">
        <f t="shared" si="34"/>
        <v>0</v>
      </c>
      <c r="AY131">
        <f t="shared" si="35"/>
        <v>0</v>
      </c>
      <c r="AZ131">
        <f t="shared" si="36"/>
        <v>0</v>
      </c>
      <c r="BA131" t="s">
        <v>107</v>
      </c>
      <c r="BB131">
        <f t="shared" si="37"/>
        <v>0</v>
      </c>
      <c r="BC131">
        <f t="shared" si="38"/>
        <v>0</v>
      </c>
      <c r="BD131">
        <f t="shared" si="39"/>
        <v>0</v>
      </c>
      <c r="BE131">
        <f t="shared" si="40"/>
        <v>0</v>
      </c>
      <c r="BF131" t="s">
        <v>107</v>
      </c>
      <c r="BG131">
        <f t="shared" si="41"/>
        <v>0</v>
      </c>
      <c r="BH131">
        <f t="shared" si="42"/>
        <v>0</v>
      </c>
      <c r="BI131">
        <f t="shared" si="43"/>
        <v>0</v>
      </c>
      <c r="BJ131">
        <f t="shared" si="44"/>
        <v>0</v>
      </c>
      <c r="BK131">
        <f t="shared" si="45"/>
        <v>0</v>
      </c>
      <c r="BL131">
        <f t="shared" si="46"/>
        <v>0</v>
      </c>
      <c r="BM131">
        <f t="shared" si="47"/>
        <v>0</v>
      </c>
      <c r="BN131" t="e">
        <f t="shared" si="47"/>
        <v>#DIV/0!</v>
      </c>
    </row>
    <row r="132" spans="1:66" x14ac:dyDescent="0.25">
      <c r="A132">
        <v>2025</v>
      </c>
      <c r="B132" s="1">
        <f t="shared" si="48"/>
        <v>45784</v>
      </c>
      <c r="C132">
        <v>127</v>
      </c>
      <c r="D132">
        <v>70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K132" s="22">
        <f t="shared" si="52"/>
        <v>0</v>
      </c>
      <c r="AL132">
        <f t="shared" si="50"/>
        <v>70.099999999999994</v>
      </c>
      <c r="AM132" s="4">
        <v>29.22</v>
      </c>
      <c r="AP132" s="7">
        <f t="shared" si="28"/>
        <v>0</v>
      </c>
      <c r="AQ132" s="7" t="e">
        <f t="shared" si="29"/>
        <v>#DIV/0!</v>
      </c>
      <c r="AS132">
        <f t="shared" si="30"/>
        <v>0</v>
      </c>
      <c r="AT132">
        <f t="shared" si="31"/>
        <v>0</v>
      </c>
      <c r="AU132">
        <f t="shared" si="32"/>
        <v>0</v>
      </c>
      <c r="AV132" t="s">
        <v>107</v>
      </c>
      <c r="AW132">
        <f t="shared" si="33"/>
        <v>0</v>
      </c>
      <c r="AX132">
        <f t="shared" si="34"/>
        <v>0</v>
      </c>
      <c r="AY132">
        <f t="shared" si="35"/>
        <v>0</v>
      </c>
      <c r="AZ132">
        <f t="shared" si="36"/>
        <v>0</v>
      </c>
      <c r="BA132" t="s">
        <v>107</v>
      </c>
      <c r="BB132">
        <f t="shared" si="37"/>
        <v>0</v>
      </c>
      <c r="BC132">
        <f t="shared" si="38"/>
        <v>0</v>
      </c>
      <c r="BD132">
        <f t="shared" si="39"/>
        <v>0</v>
      </c>
      <c r="BE132">
        <f t="shared" si="40"/>
        <v>0</v>
      </c>
      <c r="BF132" t="s">
        <v>107</v>
      </c>
      <c r="BG132">
        <f t="shared" si="41"/>
        <v>0</v>
      </c>
      <c r="BH132">
        <f t="shared" si="42"/>
        <v>0</v>
      </c>
      <c r="BI132">
        <f t="shared" si="43"/>
        <v>0</v>
      </c>
      <c r="BJ132">
        <f t="shared" si="44"/>
        <v>0</v>
      </c>
      <c r="BK132">
        <f t="shared" si="45"/>
        <v>0</v>
      </c>
      <c r="BL132">
        <f t="shared" si="46"/>
        <v>0</v>
      </c>
      <c r="BM132">
        <f t="shared" si="47"/>
        <v>0</v>
      </c>
      <c r="BN132" t="e">
        <f t="shared" si="47"/>
        <v>#DIV/0!</v>
      </c>
    </row>
    <row r="133" spans="1:66" x14ac:dyDescent="0.25">
      <c r="A133">
        <v>2025</v>
      </c>
      <c r="B133" s="1">
        <f t="shared" si="48"/>
        <v>45785</v>
      </c>
      <c r="C133">
        <v>128</v>
      </c>
      <c r="D133">
        <v>70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K133" s="22">
        <f t="shared" si="52"/>
        <v>0</v>
      </c>
      <c r="AL133">
        <f t="shared" si="50"/>
        <v>70.099999999999994</v>
      </c>
      <c r="AM133" s="4">
        <v>29.39</v>
      </c>
      <c r="AP133" s="7">
        <f t="shared" si="28"/>
        <v>0</v>
      </c>
      <c r="AQ133" s="7" t="e">
        <f t="shared" si="29"/>
        <v>#DIV/0!</v>
      </c>
      <c r="AS133">
        <f t="shared" si="30"/>
        <v>0</v>
      </c>
      <c r="AT133">
        <f t="shared" si="31"/>
        <v>0</v>
      </c>
      <c r="AU133">
        <f t="shared" si="32"/>
        <v>0</v>
      </c>
      <c r="AV133" t="s">
        <v>107</v>
      </c>
      <c r="AW133">
        <f t="shared" si="33"/>
        <v>0</v>
      </c>
      <c r="AX133">
        <f t="shared" si="34"/>
        <v>0</v>
      </c>
      <c r="AY133">
        <f t="shared" si="35"/>
        <v>0</v>
      </c>
      <c r="AZ133">
        <f t="shared" si="36"/>
        <v>0</v>
      </c>
      <c r="BA133" t="s">
        <v>107</v>
      </c>
      <c r="BB133">
        <f t="shared" si="37"/>
        <v>0</v>
      </c>
      <c r="BC133">
        <f t="shared" si="38"/>
        <v>0</v>
      </c>
      <c r="BD133">
        <f t="shared" si="39"/>
        <v>0</v>
      </c>
      <c r="BE133">
        <f t="shared" si="40"/>
        <v>0</v>
      </c>
      <c r="BF133" t="s">
        <v>107</v>
      </c>
      <c r="BG133">
        <f t="shared" si="41"/>
        <v>0</v>
      </c>
      <c r="BH133">
        <f t="shared" si="42"/>
        <v>0</v>
      </c>
      <c r="BI133">
        <f t="shared" si="43"/>
        <v>0</v>
      </c>
      <c r="BJ133">
        <f t="shared" si="44"/>
        <v>0</v>
      </c>
      <c r="BK133">
        <f t="shared" si="45"/>
        <v>0</v>
      </c>
      <c r="BL133">
        <f t="shared" si="46"/>
        <v>0</v>
      </c>
      <c r="BM133">
        <f t="shared" si="47"/>
        <v>0</v>
      </c>
      <c r="BN133" t="e">
        <f t="shared" si="47"/>
        <v>#DIV/0!</v>
      </c>
    </row>
    <row r="134" spans="1:66" x14ac:dyDescent="0.25">
      <c r="A134">
        <v>2025</v>
      </c>
      <c r="B134" s="1">
        <f t="shared" si="48"/>
        <v>45786</v>
      </c>
      <c r="C134">
        <v>129</v>
      </c>
      <c r="D134">
        <v>70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K134" s="22">
        <f t="shared" si="52"/>
        <v>0</v>
      </c>
      <c r="AL134">
        <f t="shared" si="50"/>
        <v>70.099999999999994</v>
      </c>
      <c r="AM134" s="4">
        <v>29.56</v>
      </c>
      <c r="AP134" s="7">
        <f t="shared" ref="AP134:AP197" si="53">ROUND((0.6105*(EXP((17.273*O134)/(O134+237.3))))*U134/100,3)</f>
        <v>0</v>
      </c>
      <c r="AQ134" s="7" t="e">
        <f t="shared" ref="AQ134:AQ197" si="54">ROUND(AP134/U134*(100-U134),3)</f>
        <v>#DIV/0!</v>
      </c>
      <c r="AS134">
        <f t="shared" ref="AS134:AS197" si="55">AN134</f>
        <v>0</v>
      </c>
      <c r="AT134">
        <f t="shared" ref="AT134:AT197" si="56">ROUND(J134,1)</f>
        <v>0</v>
      </c>
      <c r="AU134">
        <f t="shared" ref="AU134:AU197" si="57">ROUND(K134,1)</f>
        <v>0</v>
      </c>
      <c r="AV134" t="s">
        <v>107</v>
      </c>
      <c r="AW134">
        <f t="shared" ref="AW134:AW197" si="58">ROUND(M134,1)</f>
        <v>0</v>
      </c>
      <c r="AX134">
        <f t="shared" ref="AX134:AX197" si="59">ROUND(N134,1)</f>
        <v>0</v>
      </c>
      <c r="AY134">
        <f t="shared" ref="AY134:AY197" si="60">ROUND(O134,1)</f>
        <v>0</v>
      </c>
      <c r="AZ134">
        <f t="shared" ref="AZ134:AZ197" si="61">ROUND(P134,1)</f>
        <v>0</v>
      </c>
      <c r="BA134" t="s">
        <v>107</v>
      </c>
      <c r="BB134">
        <f t="shared" ref="BB134:BB197" si="62">ROUND(R134,1)</f>
        <v>0</v>
      </c>
      <c r="BC134">
        <f t="shared" ref="BC134:BC197" si="63">ROUND(S134,1)</f>
        <v>0</v>
      </c>
      <c r="BD134">
        <f t="shared" ref="BD134:BD197" si="64">ROUND(T134,1)</f>
        <v>0</v>
      </c>
      <c r="BE134">
        <f t="shared" ref="BE134:BE197" si="65">ROUND(U134,1)</f>
        <v>0</v>
      </c>
      <c r="BF134" t="s">
        <v>107</v>
      </c>
      <c r="BG134">
        <f t="shared" ref="BG134:BG197" si="66">ROUND(W134,1)</f>
        <v>0</v>
      </c>
      <c r="BH134">
        <f t="shared" ref="BH134:BH197" si="67">ROUND(X134,1)</f>
        <v>0</v>
      </c>
      <c r="BI134">
        <f t="shared" ref="BI134:BI197" si="68">ROUND(Y134,2)</f>
        <v>0</v>
      </c>
      <c r="BJ134">
        <f t="shared" ref="BJ134:BJ197" si="69">ROUND(Z134,2)</f>
        <v>0</v>
      </c>
      <c r="BK134">
        <f t="shared" ref="BK134:BK197" si="70">AI134</f>
        <v>0</v>
      </c>
      <c r="BL134">
        <f t="shared" ref="BL134:BL197" si="71">ROUND(AK134,1)</f>
        <v>0</v>
      </c>
      <c r="BM134">
        <f t="shared" ref="BM134:BN197" si="72">ROUND(AP134,3)</f>
        <v>0</v>
      </c>
      <c r="BN134" t="e">
        <f t="shared" si="72"/>
        <v>#DIV/0!</v>
      </c>
    </row>
    <row r="135" spans="1:66" x14ac:dyDescent="0.25">
      <c r="A135">
        <v>2025</v>
      </c>
      <c r="B135" s="1">
        <f t="shared" ref="B135:B198" si="73">B134+1</f>
        <v>45787</v>
      </c>
      <c r="C135">
        <v>130</v>
      </c>
      <c r="D135">
        <v>70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K135" s="22">
        <f t="shared" si="52"/>
        <v>0</v>
      </c>
      <c r="AL135">
        <f t="shared" ref="AL135:AL198" si="74">AL134+AK135</f>
        <v>70.099999999999994</v>
      </c>
      <c r="AM135" s="4">
        <v>29.71</v>
      </c>
      <c r="AP135" s="7">
        <f t="shared" si="53"/>
        <v>0</v>
      </c>
      <c r="AQ135" s="7" t="e">
        <f t="shared" si="54"/>
        <v>#DIV/0!</v>
      </c>
      <c r="AS135">
        <f t="shared" si="55"/>
        <v>0</v>
      </c>
      <c r="AT135">
        <f t="shared" si="56"/>
        <v>0</v>
      </c>
      <c r="AU135">
        <f t="shared" si="57"/>
        <v>0</v>
      </c>
      <c r="AV135" t="s">
        <v>107</v>
      </c>
      <c r="AW135">
        <f t="shared" si="58"/>
        <v>0</v>
      </c>
      <c r="AX135">
        <f t="shared" si="59"/>
        <v>0</v>
      </c>
      <c r="AY135">
        <f t="shared" si="60"/>
        <v>0</v>
      </c>
      <c r="AZ135">
        <f t="shared" si="61"/>
        <v>0</v>
      </c>
      <c r="BA135" t="s">
        <v>107</v>
      </c>
      <c r="BB135">
        <f t="shared" si="62"/>
        <v>0</v>
      </c>
      <c r="BC135">
        <f t="shared" si="63"/>
        <v>0</v>
      </c>
      <c r="BD135">
        <f t="shared" si="64"/>
        <v>0</v>
      </c>
      <c r="BE135">
        <f t="shared" si="65"/>
        <v>0</v>
      </c>
      <c r="BF135" t="s">
        <v>107</v>
      </c>
      <c r="BG135">
        <f t="shared" si="66"/>
        <v>0</v>
      </c>
      <c r="BH135">
        <f t="shared" si="67"/>
        <v>0</v>
      </c>
      <c r="BI135">
        <f t="shared" si="68"/>
        <v>0</v>
      </c>
      <c r="BJ135">
        <f t="shared" si="69"/>
        <v>0</v>
      </c>
      <c r="BK135">
        <f t="shared" si="70"/>
        <v>0</v>
      </c>
      <c r="BL135">
        <f t="shared" si="71"/>
        <v>0</v>
      </c>
      <c r="BM135">
        <f t="shared" si="72"/>
        <v>0</v>
      </c>
      <c r="BN135" t="e">
        <f t="shared" si="72"/>
        <v>#DIV/0!</v>
      </c>
    </row>
    <row r="136" spans="1:66" x14ac:dyDescent="0.25">
      <c r="A136">
        <v>2025</v>
      </c>
      <c r="B136" s="1">
        <f t="shared" si="73"/>
        <v>45788</v>
      </c>
      <c r="C136">
        <v>131</v>
      </c>
      <c r="D136">
        <v>70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K136" s="22">
        <f t="shared" si="52"/>
        <v>0</v>
      </c>
      <c r="AL136">
        <f t="shared" si="74"/>
        <v>70.099999999999994</v>
      </c>
      <c r="AM136" s="4">
        <v>29.87</v>
      </c>
      <c r="AP136" s="7">
        <f t="shared" si="53"/>
        <v>0</v>
      </c>
      <c r="AQ136" s="7" t="e">
        <f t="shared" si="54"/>
        <v>#DIV/0!</v>
      </c>
      <c r="AS136">
        <f t="shared" si="55"/>
        <v>0</v>
      </c>
      <c r="AT136">
        <f t="shared" si="56"/>
        <v>0</v>
      </c>
      <c r="AU136">
        <f t="shared" si="57"/>
        <v>0</v>
      </c>
      <c r="AV136" t="s">
        <v>107</v>
      </c>
      <c r="AW136">
        <f t="shared" si="58"/>
        <v>0</v>
      </c>
      <c r="AX136">
        <f t="shared" si="59"/>
        <v>0</v>
      </c>
      <c r="AY136">
        <f t="shared" si="60"/>
        <v>0</v>
      </c>
      <c r="AZ136">
        <f t="shared" si="61"/>
        <v>0</v>
      </c>
      <c r="BA136" t="s">
        <v>107</v>
      </c>
      <c r="BB136">
        <f t="shared" si="62"/>
        <v>0</v>
      </c>
      <c r="BC136">
        <f t="shared" si="63"/>
        <v>0</v>
      </c>
      <c r="BD136">
        <f t="shared" si="64"/>
        <v>0</v>
      </c>
      <c r="BE136">
        <f t="shared" si="65"/>
        <v>0</v>
      </c>
      <c r="BF136" t="s">
        <v>107</v>
      </c>
      <c r="BG136">
        <f t="shared" si="66"/>
        <v>0</v>
      </c>
      <c r="BH136">
        <f t="shared" si="67"/>
        <v>0</v>
      </c>
      <c r="BI136">
        <f t="shared" si="68"/>
        <v>0</v>
      </c>
      <c r="BJ136">
        <f t="shared" si="69"/>
        <v>0</v>
      </c>
      <c r="BK136">
        <f t="shared" si="70"/>
        <v>0</v>
      </c>
      <c r="BL136">
        <f t="shared" si="71"/>
        <v>0</v>
      </c>
      <c r="BM136">
        <f t="shared" si="72"/>
        <v>0</v>
      </c>
      <c r="BN136" t="e">
        <f t="shared" si="72"/>
        <v>#DIV/0!</v>
      </c>
    </row>
    <row r="137" spans="1:66" x14ac:dyDescent="0.25">
      <c r="A137">
        <v>2025</v>
      </c>
      <c r="B137" s="1">
        <f t="shared" si="73"/>
        <v>45789</v>
      </c>
      <c r="C137">
        <v>132</v>
      </c>
      <c r="D137">
        <v>70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K137" s="22">
        <f t="shared" si="52"/>
        <v>0</v>
      </c>
      <c r="AL137">
        <f t="shared" si="74"/>
        <v>70.099999999999994</v>
      </c>
      <c r="AM137" s="4">
        <v>30.03</v>
      </c>
      <c r="AP137" s="7">
        <f t="shared" si="53"/>
        <v>0</v>
      </c>
      <c r="AQ137" s="7" t="e">
        <f t="shared" si="54"/>
        <v>#DIV/0!</v>
      </c>
      <c r="AS137">
        <f t="shared" si="55"/>
        <v>0</v>
      </c>
      <c r="AT137">
        <f t="shared" si="56"/>
        <v>0</v>
      </c>
      <c r="AU137">
        <f t="shared" si="57"/>
        <v>0</v>
      </c>
      <c r="AV137" t="s">
        <v>107</v>
      </c>
      <c r="AW137">
        <f t="shared" si="58"/>
        <v>0</v>
      </c>
      <c r="AX137">
        <f t="shared" si="59"/>
        <v>0</v>
      </c>
      <c r="AY137">
        <f t="shared" si="60"/>
        <v>0</v>
      </c>
      <c r="AZ137">
        <f t="shared" si="61"/>
        <v>0</v>
      </c>
      <c r="BA137" t="s">
        <v>107</v>
      </c>
      <c r="BB137">
        <f t="shared" si="62"/>
        <v>0</v>
      </c>
      <c r="BC137">
        <f t="shared" si="63"/>
        <v>0</v>
      </c>
      <c r="BD137">
        <f t="shared" si="64"/>
        <v>0</v>
      </c>
      <c r="BE137">
        <f t="shared" si="65"/>
        <v>0</v>
      </c>
      <c r="BF137" t="s">
        <v>107</v>
      </c>
      <c r="BG137">
        <f t="shared" si="66"/>
        <v>0</v>
      </c>
      <c r="BH137">
        <f t="shared" si="67"/>
        <v>0</v>
      </c>
      <c r="BI137">
        <f t="shared" si="68"/>
        <v>0</v>
      </c>
      <c r="BJ137">
        <f t="shared" si="69"/>
        <v>0</v>
      </c>
      <c r="BK137">
        <f t="shared" si="70"/>
        <v>0</v>
      </c>
      <c r="BL137">
        <f t="shared" si="71"/>
        <v>0</v>
      </c>
      <c r="BM137">
        <f t="shared" si="72"/>
        <v>0</v>
      </c>
      <c r="BN137" t="e">
        <f t="shared" si="72"/>
        <v>#DIV/0!</v>
      </c>
    </row>
    <row r="138" spans="1:66" x14ac:dyDescent="0.25">
      <c r="A138">
        <v>2025</v>
      </c>
      <c r="B138" s="1">
        <f t="shared" si="73"/>
        <v>45790</v>
      </c>
      <c r="C138">
        <v>133</v>
      </c>
      <c r="D138">
        <v>70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K138" s="22">
        <f t="shared" si="52"/>
        <v>0</v>
      </c>
      <c r="AL138">
        <f t="shared" si="74"/>
        <v>70.099999999999994</v>
      </c>
      <c r="AM138" s="4">
        <v>30.18</v>
      </c>
      <c r="AP138" s="7">
        <f t="shared" si="53"/>
        <v>0</v>
      </c>
      <c r="AQ138" s="7" t="e">
        <f t="shared" si="54"/>
        <v>#DIV/0!</v>
      </c>
      <c r="AS138">
        <f t="shared" si="55"/>
        <v>0</v>
      </c>
      <c r="AT138">
        <f t="shared" si="56"/>
        <v>0</v>
      </c>
      <c r="AU138">
        <f t="shared" si="57"/>
        <v>0</v>
      </c>
      <c r="AV138" t="s">
        <v>107</v>
      </c>
      <c r="AW138">
        <f t="shared" si="58"/>
        <v>0</v>
      </c>
      <c r="AX138">
        <f t="shared" si="59"/>
        <v>0</v>
      </c>
      <c r="AY138">
        <f t="shared" si="60"/>
        <v>0</v>
      </c>
      <c r="AZ138">
        <f t="shared" si="61"/>
        <v>0</v>
      </c>
      <c r="BA138" t="s">
        <v>107</v>
      </c>
      <c r="BB138">
        <f t="shared" si="62"/>
        <v>0</v>
      </c>
      <c r="BC138">
        <f t="shared" si="63"/>
        <v>0</v>
      </c>
      <c r="BD138">
        <f t="shared" si="64"/>
        <v>0</v>
      </c>
      <c r="BE138">
        <f t="shared" si="65"/>
        <v>0</v>
      </c>
      <c r="BF138" t="s">
        <v>107</v>
      </c>
      <c r="BG138">
        <f t="shared" si="66"/>
        <v>0</v>
      </c>
      <c r="BH138">
        <f t="shared" si="67"/>
        <v>0</v>
      </c>
      <c r="BI138">
        <f t="shared" si="68"/>
        <v>0</v>
      </c>
      <c r="BJ138">
        <f t="shared" si="69"/>
        <v>0</v>
      </c>
      <c r="BK138">
        <f t="shared" si="70"/>
        <v>0</v>
      </c>
      <c r="BL138">
        <f t="shared" si="71"/>
        <v>0</v>
      </c>
      <c r="BM138">
        <f t="shared" si="72"/>
        <v>0</v>
      </c>
      <c r="BN138" t="e">
        <f t="shared" si="72"/>
        <v>#DIV/0!</v>
      </c>
    </row>
    <row r="139" spans="1:66" x14ac:dyDescent="0.25">
      <c r="A139">
        <v>2025</v>
      </c>
      <c r="B139" s="1">
        <f t="shared" si="73"/>
        <v>45791</v>
      </c>
      <c r="C139">
        <v>134</v>
      </c>
      <c r="D139">
        <v>70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K139" s="22">
        <f t="shared" si="52"/>
        <v>0</v>
      </c>
      <c r="AL139">
        <f t="shared" si="74"/>
        <v>70.099999999999994</v>
      </c>
      <c r="AM139" s="4">
        <v>30.32</v>
      </c>
      <c r="AP139" s="7">
        <f t="shared" si="53"/>
        <v>0</v>
      </c>
      <c r="AQ139" s="7" t="e">
        <f t="shared" si="54"/>
        <v>#DIV/0!</v>
      </c>
      <c r="AS139">
        <f t="shared" si="55"/>
        <v>0</v>
      </c>
      <c r="AT139">
        <f t="shared" si="56"/>
        <v>0</v>
      </c>
      <c r="AU139">
        <f t="shared" si="57"/>
        <v>0</v>
      </c>
      <c r="AV139" t="s">
        <v>107</v>
      </c>
      <c r="AW139">
        <f t="shared" si="58"/>
        <v>0</v>
      </c>
      <c r="AX139">
        <f t="shared" si="59"/>
        <v>0</v>
      </c>
      <c r="AY139">
        <f t="shared" si="60"/>
        <v>0</v>
      </c>
      <c r="AZ139">
        <f t="shared" si="61"/>
        <v>0</v>
      </c>
      <c r="BA139" t="s">
        <v>107</v>
      </c>
      <c r="BB139">
        <f t="shared" si="62"/>
        <v>0</v>
      </c>
      <c r="BC139">
        <f t="shared" si="63"/>
        <v>0</v>
      </c>
      <c r="BD139">
        <f t="shared" si="64"/>
        <v>0</v>
      </c>
      <c r="BE139">
        <f t="shared" si="65"/>
        <v>0</v>
      </c>
      <c r="BF139" t="s">
        <v>107</v>
      </c>
      <c r="BG139">
        <f t="shared" si="66"/>
        <v>0</v>
      </c>
      <c r="BH139">
        <f t="shared" si="67"/>
        <v>0</v>
      </c>
      <c r="BI139">
        <f t="shared" si="68"/>
        <v>0</v>
      </c>
      <c r="BJ139">
        <f t="shared" si="69"/>
        <v>0</v>
      </c>
      <c r="BK139">
        <f t="shared" si="70"/>
        <v>0</v>
      </c>
      <c r="BL139">
        <f t="shared" si="71"/>
        <v>0</v>
      </c>
      <c r="BM139">
        <f t="shared" si="72"/>
        <v>0</v>
      </c>
      <c r="BN139" t="e">
        <f t="shared" si="72"/>
        <v>#DIV/0!</v>
      </c>
    </row>
    <row r="140" spans="1:66" x14ac:dyDescent="0.25">
      <c r="A140">
        <v>2025</v>
      </c>
      <c r="B140" s="1">
        <f t="shared" si="73"/>
        <v>45792</v>
      </c>
      <c r="C140">
        <v>135</v>
      </c>
      <c r="D140">
        <v>70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K140" s="22">
        <f t="shared" si="52"/>
        <v>0</v>
      </c>
      <c r="AL140">
        <f t="shared" si="74"/>
        <v>70.099999999999994</v>
      </c>
      <c r="AM140" s="4">
        <v>30.47</v>
      </c>
      <c r="AP140" s="7">
        <f t="shared" si="53"/>
        <v>0</v>
      </c>
      <c r="AQ140" s="7" t="e">
        <f t="shared" si="54"/>
        <v>#DIV/0!</v>
      </c>
      <c r="AS140">
        <f t="shared" si="55"/>
        <v>0</v>
      </c>
      <c r="AT140">
        <f t="shared" si="56"/>
        <v>0</v>
      </c>
      <c r="AU140">
        <f t="shared" si="57"/>
        <v>0</v>
      </c>
      <c r="AV140" t="s">
        <v>107</v>
      </c>
      <c r="AW140">
        <f t="shared" si="58"/>
        <v>0</v>
      </c>
      <c r="AX140">
        <f t="shared" si="59"/>
        <v>0</v>
      </c>
      <c r="AY140">
        <f t="shared" si="60"/>
        <v>0</v>
      </c>
      <c r="AZ140">
        <f t="shared" si="61"/>
        <v>0</v>
      </c>
      <c r="BA140" t="s">
        <v>107</v>
      </c>
      <c r="BB140">
        <f t="shared" si="62"/>
        <v>0</v>
      </c>
      <c r="BC140">
        <f t="shared" si="63"/>
        <v>0</v>
      </c>
      <c r="BD140">
        <f t="shared" si="64"/>
        <v>0</v>
      </c>
      <c r="BE140">
        <f t="shared" si="65"/>
        <v>0</v>
      </c>
      <c r="BF140" t="s">
        <v>107</v>
      </c>
      <c r="BG140">
        <f t="shared" si="66"/>
        <v>0</v>
      </c>
      <c r="BH140">
        <f t="shared" si="67"/>
        <v>0</v>
      </c>
      <c r="BI140">
        <f t="shared" si="68"/>
        <v>0</v>
      </c>
      <c r="BJ140">
        <f t="shared" si="69"/>
        <v>0</v>
      </c>
      <c r="BK140">
        <f t="shared" si="70"/>
        <v>0</v>
      </c>
      <c r="BL140">
        <f t="shared" si="71"/>
        <v>0</v>
      </c>
      <c r="BM140">
        <f t="shared" si="72"/>
        <v>0</v>
      </c>
      <c r="BN140" t="e">
        <f t="shared" si="72"/>
        <v>#DIV/0!</v>
      </c>
    </row>
    <row r="141" spans="1:66" x14ac:dyDescent="0.25">
      <c r="A141">
        <v>2025</v>
      </c>
      <c r="B141" s="1">
        <f t="shared" si="73"/>
        <v>45793</v>
      </c>
      <c r="C141">
        <v>136</v>
      </c>
      <c r="D141">
        <v>70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K141" s="22">
        <f t="shared" ref="AK141:AK172" si="75">AA141</f>
        <v>0</v>
      </c>
      <c r="AL141">
        <f t="shared" si="74"/>
        <v>70.099999999999994</v>
      </c>
      <c r="AM141" s="4">
        <v>30.6</v>
      </c>
      <c r="AP141" s="7">
        <f t="shared" si="53"/>
        <v>0</v>
      </c>
      <c r="AQ141" s="7" t="e">
        <f t="shared" si="54"/>
        <v>#DIV/0!</v>
      </c>
      <c r="AS141">
        <f t="shared" si="55"/>
        <v>0</v>
      </c>
      <c r="AT141">
        <f t="shared" si="56"/>
        <v>0</v>
      </c>
      <c r="AU141">
        <f t="shared" si="57"/>
        <v>0</v>
      </c>
      <c r="AV141" t="s">
        <v>107</v>
      </c>
      <c r="AW141">
        <f t="shared" si="58"/>
        <v>0</v>
      </c>
      <c r="AX141">
        <f t="shared" si="59"/>
        <v>0</v>
      </c>
      <c r="AY141">
        <f t="shared" si="60"/>
        <v>0</v>
      </c>
      <c r="AZ141">
        <f t="shared" si="61"/>
        <v>0</v>
      </c>
      <c r="BA141" t="s">
        <v>107</v>
      </c>
      <c r="BB141">
        <f t="shared" si="62"/>
        <v>0</v>
      </c>
      <c r="BC141">
        <f t="shared" si="63"/>
        <v>0</v>
      </c>
      <c r="BD141">
        <f t="shared" si="64"/>
        <v>0</v>
      </c>
      <c r="BE141">
        <f t="shared" si="65"/>
        <v>0</v>
      </c>
      <c r="BF141" t="s">
        <v>107</v>
      </c>
      <c r="BG141">
        <f t="shared" si="66"/>
        <v>0</v>
      </c>
      <c r="BH141">
        <f t="shared" si="67"/>
        <v>0</v>
      </c>
      <c r="BI141">
        <f t="shared" si="68"/>
        <v>0</v>
      </c>
      <c r="BJ141">
        <f t="shared" si="69"/>
        <v>0</v>
      </c>
      <c r="BK141">
        <f t="shared" si="70"/>
        <v>0</v>
      </c>
      <c r="BL141">
        <f t="shared" si="71"/>
        <v>0</v>
      </c>
      <c r="BM141">
        <f t="shared" si="72"/>
        <v>0</v>
      </c>
      <c r="BN141" t="e">
        <f t="shared" si="72"/>
        <v>#DIV/0!</v>
      </c>
    </row>
    <row r="142" spans="1:66" x14ac:dyDescent="0.25">
      <c r="A142">
        <v>2025</v>
      </c>
      <c r="B142" s="1">
        <f t="shared" si="73"/>
        <v>45794</v>
      </c>
      <c r="C142">
        <v>137</v>
      </c>
      <c r="D142">
        <v>70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K142" s="22">
        <f t="shared" si="75"/>
        <v>0</v>
      </c>
      <c r="AL142">
        <f t="shared" si="74"/>
        <v>70.099999999999994</v>
      </c>
      <c r="AM142" s="4">
        <v>30.73</v>
      </c>
      <c r="AP142" s="7">
        <f t="shared" si="53"/>
        <v>0</v>
      </c>
      <c r="AQ142" s="7" t="e">
        <f t="shared" si="54"/>
        <v>#DIV/0!</v>
      </c>
      <c r="AS142">
        <f t="shared" si="55"/>
        <v>0</v>
      </c>
      <c r="AT142">
        <f t="shared" si="56"/>
        <v>0</v>
      </c>
      <c r="AU142">
        <f t="shared" si="57"/>
        <v>0</v>
      </c>
      <c r="AV142" t="s">
        <v>107</v>
      </c>
      <c r="AW142">
        <f t="shared" si="58"/>
        <v>0</v>
      </c>
      <c r="AX142">
        <f t="shared" si="59"/>
        <v>0</v>
      </c>
      <c r="AY142">
        <f t="shared" si="60"/>
        <v>0</v>
      </c>
      <c r="AZ142">
        <f t="shared" si="61"/>
        <v>0</v>
      </c>
      <c r="BA142" t="s">
        <v>107</v>
      </c>
      <c r="BB142">
        <f t="shared" si="62"/>
        <v>0</v>
      </c>
      <c r="BC142">
        <f t="shared" si="63"/>
        <v>0</v>
      </c>
      <c r="BD142">
        <f t="shared" si="64"/>
        <v>0</v>
      </c>
      <c r="BE142">
        <f t="shared" si="65"/>
        <v>0</v>
      </c>
      <c r="BF142" t="s">
        <v>107</v>
      </c>
      <c r="BG142">
        <f t="shared" si="66"/>
        <v>0</v>
      </c>
      <c r="BH142">
        <f t="shared" si="67"/>
        <v>0</v>
      </c>
      <c r="BI142">
        <f t="shared" si="68"/>
        <v>0</v>
      </c>
      <c r="BJ142">
        <f t="shared" si="69"/>
        <v>0</v>
      </c>
      <c r="BK142">
        <f t="shared" si="70"/>
        <v>0</v>
      </c>
      <c r="BL142">
        <f t="shared" si="71"/>
        <v>0</v>
      </c>
      <c r="BM142">
        <f t="shared" si="72"/>
        <v>0</v>
      </c>
      <c r="BN142" t="e">
        <f t="shared" si="72"/>
        <v>#DIV/0!</v>
      </c>
    </row>
    <row r="143" spans="1:66" x14ac:dyDescent="0.25">
      <c r="A143">
        <v>2025</v>
      </c>
      <c r="B143" s="1">
        <f t="shared" si="73"/>
        <v>45795</v>
      </c>
      <c r="C143">
        <v>138</v>
      </c>
      <c r="D143">
        <v>70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K143" s="22">
        <f t="shared" si="75"/>
        <v>0</v>
      </c>
      <c r="AL143">
        <f t="shared" si="74"/>
        <v>70.099999999999994</v>
      </c>
      <c r="AM143" s="4">
        <v>30.87</v>
      </c>
      <c r="AP143" s="7">
        <f t="shared" si="53"/>
        <v>0</v>
      </c>
      <c r="AQ143" s="7" t="e">
        <f t="shared" si="54"/>
        <v>#DIV/0!</v>
      </c>
      <c r="AS143">
        <f t="shared" si="55"/>
        <v>0</v>
      </c>
      <c r="AT143">
        <f t="shared" si="56"/>
        <v>0</v>
      </c>
      <c r="AU143">
        <f t="shared" si="57"/>
        <v>0</v>
      </c>
      <c r="AV143" t="s">
        <v>107</v>
      </c>
      <c r="AW143">
        <f t="shared" si="58"/>
        <v>0</v>
      </c>
      <c r="AX143">
        <f t="shared" si="59"/>
        <v>0</v>
      </c>
      <c r="AY143">
        <f t="shared" si="60"/>
        <v>0</v>
      </c>
      <c r="AZ143">
        <f t="shared" si="61"/>
        <v>0</v>
      </c>
      <c r="BA143" t="s">
        <v>107</v>
      </c>
      <c r="BB143">
        <f t="shared" si="62"/>
        <v>0</v>
      </c>
      <c r="BC143">
        <f t="shared" si="63"/>
        <v>0</v>
      </c>
      <c r="BD143">
        <f t="shared" si="64"/>
        <v>0</v>
      </c>
      <c r="BE143">
        <f t="shared" si="65"/>
        <v>0</v>
      </c>
      <c r="BF143" t="s">
        <v>107</v>
      </c>
      <c r="BG143">
        <f t="shared" si="66"/>
        <v>0</v>
      </c>
      <c r="BH143">
        <f t="shared" si="67"/>
        <v>0</v>
      </c>
      <c r="BI143">
        <f t="shared" si="68"/>
        <v>0</v>
      </c>
      <c r="BJ143">
        <f t="shared" si="69"/>
        <v>0</v>
      </c>
      <c r="BK143">
        <f t="shared" si="70"/>
        <v>0</v>
      </c>
      <c r="BL143">
        <f t="shared" si="71"/>
        <v>0</v>
      </c>
      <c r="BM143">
        <f t="shared" si="72"/>
        <v>0</v>
      </c>
      <c r="BN143" t="e">
        <f t="shared" si="72"/>
        <v>#DIV/0!</v>
      </c>
    </row>
    <row r="144" spans="1:66" x14ac:dyDescent="0.25">
      <c r="A144">
        <v>2025</v>
      </c>
      <c r="B144" s="1">
        <f t="shared" si="73"/>
        <v>45796</v>
      </c>
      <c r="C144">
        <v>139</v>
      </c>
      <c r="D144">
        <v>70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K144" s="22">
        <f t="shared" si="75"/>
        <v>0</v>
      </c>
      <c r="AL144">
        <f t="shared" si="74"/>
        <v>70.099999999999994</v>
      </c>
      <c r="AM144" s="4">
        <v>30.99</v>
      </c>
      <c r="AP144" s="7">
        <f t="shared" si="53"/>
        <v>0</v>
      </c>
      <c r="AQ144" s="7" t="e">
        <f t="shared" si="54"/>
        <v>#DIV/0!</v>
      </c>
      <c r="AS144">
        <f t="shared" si="55"/>
        <v>0</v>
      </c>
      <c r="AT144">
        <f t="shared" si="56"/>
        <v>0</v>
      </c>
      <c r="AU144">
        <f t="shared" si="57"/>
        <v>0</v>
      </c>
      <c r="AV144" t="s">
        <v>107</v>
      </c>
      <c r="AW144">
        <f t="shared" si="58"/>
        <v>0</v>
      </c>
      <c r="AX144">
        <f t="shared" si="59"/>
        <v>0</v>
      </c>
      <c r="AY144">
        <f t="shared" si="60"/>
        <v>0</v>
      </c>
      <c r="AZ144">
        <f t="shared" si="61"/>
        <v>0</v>
      </c>
      <c r="BA144" t="s">
        <v>107</v>
      </c>
      <c r="BB144">
        <f t="shared" si="62"/>
        <v>0</v>
      </c>
      <c r="BC144">
        <f t="shared" si="63"/>
        <v>0</v>
      </c>
      <c r="BD144">
        <f t="shared" si="64"/>
        <v>0</v>
      </c>
      <c r="BE144">
        <f t="shared" si="65"/>
        <v>0</v>
      </c>
      <c r="BF144" t="s">
        <v>107</v>
      </c>
      <c r="BG144">
        <f t="shared" si="66"/>
        <v>0</v>
      </c>
      <c r="BH144">
        <f t="shared" si="67"/>
        <v>0</v>
      </c>
      <c r="BI144">
        <f t="shared" si="68"/>
        <v>0</v>
      </c>
      <c r="BJ144">
        <f t="shared" si="69"/>
        <v>0</v>
      </c>
      <c r="BK144">
        <f t="shared" si="70"/>
        <v>0</v>
      </c>
      <c r="BL144">
        <f t="shared" si="71"/>
        <v>0</v>
      </c>
      <c r="BM144">
        <f t="shared" si="72"/>
        <v>0</v>
      </c>
      <c r="BN144" t="e">
        <f t="shared" si="72"/>
        <v>#DIV/0!</v>
      </c>
    </row>
    <row r="145" spans="1:66" x14ac:dyDescent="0.25">
      <c r="A145">
        <v>2025</v>
      </c>
      <c r="B145" s="1">
        <f t="shared" si="73"/>
        <v>45797</v>
      </c>
      <c r="C145">
        <v>140</v>
      </c>
      <c r="D145">
        <v>70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K145" s="22">
        <f t="shared" si="75"/>
        <v>0</v>
      </c>
      <c r="AL145">
        <f t="shared" si="74"/>
        <v>70.099999999999994</v>
      </c>
      <c r="AM145" s="4">
        <v>31.11</v>
      </c>
      <c r="AP145" s="7">
        <f t="shared" si="53"/>
        <v>0</v>
      </c>
      <c r="AQ145" s="7" t="e">
        <f t="shared" si="54"/>
        <v>#DIV/0!</v>
      </c>
      <c r="AS145">
        <f t="shared" si="55"/>
        <v>0</v>
      </c>
      <c r="AT145">
        <f t="shared" si="56"/>
        <v>0</v>
      </c>
      <c r="AU145">
        <f t="shared" si="57"/>
        <v>0</v>
      </c>
      <c r="AV145" t="s">
        <v>107</v>
      </c>
      <c r="AW145">
        <f t="shared" si="58"/>
        <v>0</v>
      </c>
      <c r="AX145">
        <f t="shared" si="59"/>
        <v>0</v>
      </c>
      <c r="AY145">
        <f t="shared" si="60"/>
        <v>0</v>
      </c>
      <c r="AZ145">
        <f t="shared" si="61"/>
        <v>0</v>
      </c>
      <c r="BA145" t="s">
        <v>107</v>
      </c>
      <c r="BB145">
        <f t="shared" si="62"/>
        <v>0</v>
      </c>
      <c r="BC145">
        <f t="shared" si="63"/>
        <v>0</v>
      </c>
      <c r="BD145">
        <f t="shared" si="64"/>
        <v>0</v>
      </c>
      <c r="BE145">
        <f t="shared" si="65"/>
        <v>0</v>
      </c>
      <c r="BF145" t="s">
        <v>107</v>
      </c>
      <c r="BG145">
        <f t="shared" si="66"/>
        <v>0</v>
      </c>
      <c r="BH145">
        <f t="shared" si="67"/>
        <v>0</v>
      </c>
      <c r="BI145">
        <f t="shared" si="68"/>
        <v>0</v>
      </c>
      <c r="BJ145">
        <f t="shared" si="69"/>
        <v>0</v>
      </c>
      <c r="BK145">
        <f t="shared" si="70"/>
        <v>0</v>
      </c>
      <c r="BL145">
        <f t="shared" si="71"/>
        <v>0</v>
      </c>
      <c r="BM145">
        <f t="shared" si="72"/>
        <v>0</v>
      </c>
      <c r="BN145" t="e">
        <f t="shared" si="72"/>
        <v>#DIV/0!</v>
      </c>
    </row>
    <row r="146" spans="1:66" x14ac:dyDescent="0.25">
      <c r="A146">
        <v>2025</v>
      </c>
      <c r="B146" s="1">
        <f t="shared" si="73"/>
        <v>45798</v>
      </c>
      <c r="C146">
        <v>141</v>
      </c>
      <c r="D146">
        <v>70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K146" s="22">
        <f t="shared" si="75"/>
        <v>0</v>
      </c>
      <c r="AL146">
        <f t="shared" si="74"/>
        <v>70.099999999999994</v>
      </c>
      <c r="AM146" s="4">
        <v>31.24</v>
      </c>
      <c r="AP146" s="7">
        <f t="shared" si="53"/>
        <v>0</v>
      </c>
      <c r="AQ146" s="7" t="e">
        <f t="shared" si="54"/>
        <v>#DIV/0!</v>
      </c>
      <c r="AS146">
        <f t="shared" si="55"/>
        <v>0</v>
      </c>
      <c r="AT146">
        <f t="shared" si="56"/>
        <v>0</v>
      </c>
      <c r="AU146">
        <f t="shared" si="57"/>
        <v>0</v>
      </c>
      <c r="AV146" t="s">
        <v>107</v>
      </c>
      <c r="AW146">
        <f t="shared" si="58"/>
        <v>0</v>
      </c>
      <c r="AX146">
        <f t="shared" si="59"/>
        <v>0</v>
      </c>
      <c r="AY146">
        <f t="shared" si="60"/>
        <v>0</v>
      </c>
      <c r="AZ146">
        <f t="shared" si="61"/>
        <v>0</v>
      </c>
      <c r="BA146" t="s">
        <v>107</v>
      </c>
      <c r="BB146">
        <f t="shared" si="62"/>
        <v>0</v>
      </c>
      <c r="BC146">
        <f t="shared" si="63"/>
        <v>0</v>
      </c>
      <c r="BD146">
        <f t="shared" si="64"/>
        <v>0</v>
      </c>
      <c r="BE146">
        <f t="shared" si="65"/>
        <v>0</v>
      </c>
      <c r="BF146" t="s">
        <v>107</v>
      </c>
      <c r="BG146">
        <f t="shared" si="66"/>
        <v>0</v>
      </c>
      <c r="BH146">
        <f t="shared" si="67"/>
        <v>0</v>
      </c>
      <c r="BI146">
        <f t="shared" si="68"/>
        <v>0</v>
      </c>
      <c r="BJ146">
        <f t="shared" si="69"/>
        <v>0</v>
      </c>
      <c r="BK146">
        <f t="shared" si="70"/>
        <v>0</v>
      </c>
      <c r="BL146">
        <f t="shared" si="71"/>
        <v>0</v>
      </c>
      <c r="BM146">
        <f t="shared" si="72"/>
        <v>0</v>
      </c>
      <c r="BN146" t="e">
        <f t="shared" si="72"/>
        <v>#DIV/0!</v>
      </c>
    </row>
    <row r="147" spans="1:66" x14ac:dyDescent="0.25">
      <c r="A147">
        <v>2025</v>
      </c>
      <c r="B147" s="1">
        <f t="shared" si="73"/>
        <v>45799</v>
      </c>
      <c r="C147">
        <v>142</v>
      </c>
      <c r="D147">
        <v>70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K147" s="22">
        <f t="shared" si="75"/>
        <v>0</v>
      </c>
      <c r="AL147">
        <f t="shared" si="74"/>
        <v>70.099999999999994</v>
      </c>
      <c r="AM147" s="4">
        <v>31.35</v>
      </c>
      <c r="AP147" s="7">
        <f t="shared" si="53"/>
        <v>0</v>
      </c>
      <c r="AQ147" s="7" t="e">
        <f t="shared" si="54"/>
        <v>#DIV/0!</v>
      </c>
      <c r="AS147">
        <f t="shared" si="55"/>
        <v>0</v>
      </c>
      <c r="AT147">
        <f t="shared" si="56"/>
        <v>0</v>
      </c>
      <c r="AU147">
        <f t="shared" si="57"/>
        <v>0</v>
      </c>
      <c r="AV147" t="s">
        <v>107</v>
      </c>
      <c r="AW147">
        <f t="shared" si="58"/>
        <v>0</v>
      </c>
      <c r="AX147">
        <f t="shared" si="59"/>
        <v>0</v>
      </c>
      <c r="AY147">
        <f t="shared" si="60"/>
        <v>0</v>
      </c>
      <c r="AZ147">
        <f t="shared" si="61"/>
        <v>0</v>
      </c>
      <c r="BA147" t="s">
        <v>107</v>
      </c>
      <c r="BB147">
        <f t="shared" si="62"/>
        <v>0</v>
      </c>
      <c r="BC147">
        <f t="shared" si="63"/>
        <v>0</v>
      </c>
      <c r="BD147">
        <f t="shared" si="64"/>
        <v>0</v>
      </c>
      <c r="BE147">
        <f t="shared" si="65"/>
        <v>0</v>
      </c>
      <c r="BF147" t="s">
        <v>107</v>
      </c>
      <c r="BG147">
        <f t="shared" si="66"/>
        <v>0</v>
      </c>
      <c r="BH147">
        <f t="shared" si="67"/>
        <v>0</v>
      </c>
      <c r="BI147">
        <f t="shared" si="68"/>
        <v>0</v>
      </c>
      <c r="BJ147">
        <f t="shared" si="69"/>
        <v>0</v>
      </c>
      <c r="BK147">
        <f t="shared" si="70"/>
        <v>0</v>
      </c>
      <c r="BL147">
        <f t="shared" si="71"/>
        <v>0</v>
      </c>
      <c r="BM147">
        <f t="shared" si="72"/>
        <v>0</v>
      </c>
      <c r="BN147" t="e">
        <f t="shared" si="72"/>
        <v>#DIV/0!</v>
      </c>
    </row>
    <row r="148" spans="1:66" x14ac:dyDescent="0.25">
      <c r="A148">
        <v>2025</v>
      </c>
      <c r="B148" s="1">
        <f t="shared" si="73"/>
        <v>45800</v>
      </c>
      <c r="C148">
        <v>143</v>
      </c>
      <c r="D148">
        <v>70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K148" s="22">
        <f t="shared" si="75"/>
        <v>0</v>
      </c>
      <c r="AL148">
        <f t="shared" si="74"/>
        <v>70.099999999999994</v>
      </c>
      <c r="AM148" s="4">
        <v>31.47</v>
      </c>
      <c r="AP148" s="7">
        <f t="shared" si="53"/>
        <v>0</v>
      </c>
      <c r="AQ148" s="7" t="e">
        <f t="shared" si="54"/>
        <v>#DIV/0!</v>
      </c>
      <c r="AS148">
        <f t="shared" si="55"/>
        <v>0</v>
      </c>
      <c r="AT148">
        <f t="shared" si="56"/>
        <v>0</v>
      </c>
      <c r="AU148">
        <f t="shared" si="57"/>
        <v>0</v>
      </c>
      <c r="AV148" t="s">
        <v>107</v>
      </c>
      <c r="AW148">
        <f t="shared" si="58"/>
        <v>0</v>
      </c>
      <c r="AX148">
        <f t="shared" si="59"/>
        <v>0</v>
      </c>
      <c r="AY148">
        <f t="shared" si="60"/>
        <v>0</v>
      </c>
      <c r="AZ148">
        <f t="shared" si="61"/>
        <v>0</v>
      </c>
      <c r="BA148" t="s">
        <v>107</v>
      </c>
      <c r="BB148">
        <f t="shared" si="62"/>
        <v>0</v>
      </c>
      <c r="BC148">
        <f t="shared" si="63"/>
        <v>0</v>
      </c>
      <c r="BD148">
        <f t="shared" si="64"/>
        <v>0</v>
      </c>
      <c r="BE148">
        <f t="shared" si="65"/>
        <v>0</v>
      </c>
      <c r="BF148" t="s">
        <v>107</v>
      </c>
      <c r="BG148">
        <f t="shared" si="66"/>
        <v>0</v>
      </c>
      <c r="BH148">
        <f t="shared" si="67"/>
        <v>0</v>
      </c>
      <c r="BI148">
        <f t="shared" si="68"/>
        <v>0</v>
      </c>
      <c r="BJ148">
        <f t="shared" si="69"/>
        <v>0</v>
      </c>
      <c r="BK148">
        <f t="shared" si="70"/>
        <v>0</v>
      </c>
      <c r="BL148">
        <f t="shared" si="71"/>
        <v>0</v>
      </c>
      <c r="BM148">
        <f t="shared" si="72"/>
        <v>0</v>
      </c>
      <c r="BN148" t="e">
        <f t="shared" si="72"/>
        <v>#DIV/0!</v>
      </c>
    </row>
    <row r="149" spans="1:66" x14ac:dyDescent="0.25">
      <c r="A149">
        <v>2025</v>
      </c>
      <c r="B149" s="1">
        <f t="shared" si="73"/>
        <v>45801</v>
      </c>
      <c r="C149">
        <v>144</v>
      </c>
      <c r="D149">
        <v>70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K149" s="22">
        <f t="shared" si="75"/>
        <v>0</v>
      </c>
      <c r="AL149">
        <f t="shared" si="74"/>
        <v>70.099999999999994</v>
      </c>
      <c r="AM149" s="4">
        <v>31.57</v>
      </c>
      <c r="AP149" s="7">
        <f t="shared" si="53"/>
        <v>0</v>
      </c>
      <c r="AQ149" s="7" t="e">
        <f t="shared" si="54"/>
        <v>#DIV/0!</v>
      </c>
      <c r="AS149">
        <f t="shared" si="55"/>
        <v>0</v>
      </c>
      <c r="AT149">
        <f t="shared" si="56"/>
        <v>0</v>
      </c>
      <c r="AU149">
        <f t="shared" si="57"/>
        <v>0</v>
      </c>
      <c r="AV149" t="s">
        <v>107</v>
      </c>
      <c r="AW149">
        <f t="shared" si="58"/>
        <v>0</v>
      </c>
      <c r="AX149">
        <f t="shared" si="59"/>
        <v>0</v>
      </c>
      <c r="AY149">
        <f t="shared" si="60"/>
        <v>0</v>
      </c>
      <c r="AZ149">
        <f t="shared" si="61"/>
        <v>0</v>
      </c>
      <c r="BA149" t="s">
        <v>107</v>
      </c>
      <c r="BB149">
        <f t="shared" si="62"/>
        <v>0</v>
      </c>
      <c r="BC149">
        <f t="shared" si="63"/>
        <v>0</v>
      </c>
      <c r="BD149">
        <f t="shared" si="64"/>
        <v>0</v>
      </c>
      <c r="BE149">
        <f t="shared" si="65"/>
        <v>0</v>
      </c>
      <c r="BF149" t="s">
        <v>107</v>
      </c>
      <c r="BG149">
        <f t="shared" si="66"/>
        <v>0</v>
      </c>
      <c r="BH149">
        <f t="shared" si="67"/>
        <v>0</v>
      </c>
      <c r="BI149">
        <f t="shared" si="68"/>
        <v>0</v>
      </c>
      <c r="BJ149">
        <f t="shared" si="69"/>
        <v>0</v>
      </c>
      <c r="BK149">
        <f t="shared" si="70"/>
        <v>0</v>
      </c>
      <c r="BL149">
        <f t="shared" si="71"/>
        <v>0</v>
      </c>
      <c r="BM149">
        <f t="shared" si="72"/>
        <v>0</v>
      </c>
      <c r="BN149" t="e">
        <f t="shared" si="72"/>
        <v>#DIV/0!</v>
      </c>
    </row>
    <row r="150" spans="1:66" x14ac:dyDescent="0.25">
      <c r="A150">
        <v>2025</v>
      </c>
      <c r="B150" s="1">
        <f t="shared" si="73"/>
        <v>45802</v>
      </c>
      <c r="C150">
        <v>145</v>
      </c>
      <c r="D150">
        <v>70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K150" s="22">
        <f t="shared" si="75"/>
        <v>0</v>
      </c>
      <c r="AL150">
        <f t="shared" si="74"/>
        <v>70.099999999999994</v>
      </c>
      <c r="AM150" s="4">
        <v>31.67</v>
      </c>
      <c r="AP150" s="7">
        <f t="shared" si="53"/>
        <v>0</v>
      </c>
      <c r="AQ150" s="7" t="e">
        <f t="shared" si="54"/>
        <v>#DIV/0!</v>
      </c>
      <c r="AS150">
        <f t="shared" si="55"/>
        <v>0</v>
      </c>
      <c r="AT150">
        <f t="shared" si="56"/>
        <v>0</v>
      </c>
      <c r="AU150">
        <f t="shared" si="57"/>
        <v>0</v>
      </c>
      <c r="AV150" t="s">
        <v>107</v>
      </c>
      <c r="AW150">
        <f t="shared" si="58"/>
        <v>0</v>
      </c>
      <c r="AX150">
        <f t="shared" si="59"/>
        <v>0</v>
      </c>
      <c r="AY150">
        <f t="shared" si="60"/>
        <v>0</v>
      </c>
      <c r="AZ150">
        <f t="shared" si="61"/>
        <v>0</v>
      </c>
      <c r="BA150" t="s">
        <v>107</v>
      </c>
      <c r="BB150">
        <f t="shared" si="62"/>
        <v>0</v>
      </c>
      <c r="BC150">
        <f t="shared" si="63"/>
        <v>0</v>
      </c>
      <c r="BD150">
        <f t="shared" si="64"/>
        <v>0</v>
      </c>
      <c r="BE150">
        <f t="shared" si="65"/>
        <v>0</v>
      </c>
      <c r="BF150" t="s">
        <v>107</v>
      </c>
      <c r="BG150">
        <f t="shared" si="66"/>
        <v>0</v>
      </c>
      <c r="BH150">
        <f t="shared" si="67"/>
        <v>0</v>
      </c>
      <c r="BI150">
        <f t="shared" si="68"/>
        <v>0</v>
      </c>
      <c r="BJ150">
        <f t="shared" si="69"/>
        <v>0</v>
      </c>
      <c r="BK150">
        <f t="shared" si="70"/>
        <v>0</v>
      </c>
      <c r="BL150">
        <f t="shared" si="71"/>
        <v>0</v>
      </c>
      <c r="BM150">
        <f t="shared" si="72"/>
        <v>0</v>
      </c>
      <c r="BN150" t="e">
        <f t="shared" si="72"/>
        <v>#DIV/0!</v>
      </c>
    </row>
    <row r="151" spans="1:66" x14ac:dyDescent="0.25">
      <c r="A151">
        <v>2025</v>
      </c>
      <c r="B151" s="1">
        <f t="shared" si="73"/>
        <v>45803</v>
      </c>
      <c r="C151">
        <v>146</v>
      </c>
      <c r="D151">
        <v>70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K151" s="22">
        <f t="shared" si="75"/>
        <v>0</v>
      </c>
      <c r="AL151">
        <f t="shared" si="74"/>
        <v>70.099999999999994</v>
      </c>
      <c r="AM151" s="4">
        <v>31.77</v>
      </c>
      <c r="AP151" s="7">
        <f t="shared" si="53"/>
        <v>0</v>
      </c>
      <c r="AQ151" s="7" t="e">
        <f t="shared" si="54"/>
        <v>#DIV/0!</v>
      </c>
      <c r="AS151">
        <f t="shared" si="55"/>
        <v>0</v>
      </c>
      <c r="AT151">
        <f t="shared" si="56"/>
        <v>0</v>
      </c>
      <c r="AU151">
        <f t="shared" si="57"/>
        <v>0</v>
      </c>
      <c r="AV151" t="s">
        <v>107</v>
      </c>
      <c r="AW151">
        <f t="shared" si="58"/>
        <v>0</v>
      </c>
      <c r="AX151">
        <f t="shared" si="59"/>
        <v>0</v>
      </c>
      <c r="AY151">
        <f t="shared" si="60"/>
        <v>0</v>
      </c>
      <c r="AZ151">
        <f t="shared" si="61"/>
        <v>0</v>
      </c>
      <c r="BA151" t="s">
        <v>107</v>
      </c>
      <c r="BB151">
        <f t="shared" si="62"/>
        <v>0</v>
      </c>
      <c r="BC151">
        <f t="shared" si="63"/>
        <v>0</v>
      </c>
      <c r="BD151">
        <f t="shared" si="64"/>
        <v>0</v>
      </c>
      <c r="BE151">
        <f t="shared" si="65"/>
        <v>0</v>
      </c>
      <c r="BF151" t="s">
        <v>107</v>
      </c>
      <c r="BG151">
        <f t="shared" si="66"/>
        <v>0</v>
      </c>
      <c r="BH151">
        <f t="shared" si="67"/>
        <v>0</v>
      </c>
      <c r="BI151">
        <f t="shared" si="68"/>
        <v>0</v>
      </c>
      <c r="BJ151">
        <f t="shared" si="69"/>
        <v>0</v>
      </c>
      <c r="BK151">
        <f t="shared" si="70"/>
        <v>0</v>
      </c>
      <c r="BL151">
        <f t="shared" si="71"/>
        <v>0</v>
      </c>
      <c r="BM151">
        <f t="shared" si="72"/>
        <v>0</v>
      </c>
      <c r="BN151" t="e">
        <f t="shared" si="72"/>
        <v>#DIV/0!</v>
      </c>
    </row>
    <row r="152" spans="1:66" x14ac:dyDescent="0.25">
      <c r="A152">
        <v>2025</v>
      </c>
      <c r="B152" s="1">
        <f t="shared" si="73"/>
        <v>45804</v>
      </c>
      <c r="C152">
        <v>147</v>
      </c>
      <c r="D152">
        <v>70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K152" s="22">
        <f t="shared" si="75"/>
        <v>0</v>
      </c>
      <c r="AL152">
        <f t="shared" si="74"/>
        <v>70.099999999999994</v>
      </c>
      <c r="AM152" s="4">
        <v>31.86</v>
      </c>
      <c r="AP152" s="7">
        <f t="shared" si="53"/>
        <v>0</v>
      </c>
      <c r="AQ152" s="7" t="e">
        <f t="shared" si="54"/>
        <v>#DIV/0!</v>
      </c>
      <c r="AS152">
        <f t="shared" si="55"/>
        <v>0</v>
      </c>
      <c r="AT152">
        <f t="shared" si="56"/>
        <v>0</v>
      </c>
      <c r="AU152">
        <f t="shared" si="57"/>
        <v>0</v>
      </c>
      <c r="AV152" t="s">
        <v>107</v>
      </c>
      <c r="AW152">
        <f t="shared" si="58"/>
        <v>0</v>
      </c>
      <c r="AX152">
        <f t="shared" si="59"/>
        <v>0</v>
      </c>
      <c r="AY152">
        <f t="shared" si="60"/>
        <v>0</v>
      </c>
      <c r="AZ152">
        <f t="shared" si="61"/>
        <v>0</v>
      </c>
      <c r="BA152" t="s">
        <v>107</v>
      </c>
      <c r="BB152">
        <f t="shared" si="62"/>
        <v>0</v>
      </c>
      <c r="BC152">
        <f t="shared" si="63"/>
        <v>0</v>
      </c>
      <c r="BD152">
        <f t="shared" si="64"/>
        <v>0</v>
      </c>
      <c r="BE152">
        <f t="shared" si="65"/>
        <v>0</v>
      </c>
      <c r="BF152" t="s">
        <v>107</v>
      </c>
      <c r="BG152">
        <f t="shared" si="66"/>
        <v>0</v>
      </c>
      <c r="BH152">
        <f t="shared" si="67"/>
        <v>0</v>
      </c>
      <c r="BI152">
        <f t="shared" si="68"/>
        <v>0</v>
      </c>
      <c r="BJ152">
        <f t="shared" si="69"/>
        <v>0</v>
      </c>
      <c r="BK152">
        <f t="shared" si="70"/>
        <v>0</v>
      </c>
      <c r="BL152">
        <f t="shared" si="71"/>
        <v>0</v>
      </c>
      <c r="BM152">
        <f t="shared" si="72"/>
        <v>0</v>
      </c>
      <c r="BN152" t="e">
        <f t="shared" si="72"/>
        <v>#DIV/0!</v>
      </c>
    </row>
    <row r="153" spans="1:66" x14ac:dyDescent="0.25">
      <c r="A153">
        <v>2025</v>
      </c>
      <c r="B153" s="1">
        <f t="shared" si="73"/>
        <v>45805</v>
      </c>
      <c r="C153">
        <v>148</v>
      </c>
      <c r="D153">
        <v>70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K153" s="22">
        <f t="shared" si="75"/>
        <v>0</v>
      </c>
      <c r="AL153">
        <f t="shared" si="74"/>
        <v>70.099999999999994</v>
      </c>
      <c r="AM153" s="4">
        <v>31.96</v>
      </c>
      <c r="AP153" s="7">
        <f t="shared" si="53"/>
        <v>0</v>
      </c>
      <c r="AQ153" s="7" t="e">
        <f t="shared" si="54"/>
        <v>#DIV/0!</v>
      </c>
      <c r="AS153">
        <f t="shared" si="55"/>
        <v>0</v>
      </c>
      <c r="AT153">
        <f t="shared" si="56"/>
        <v>0</v>
      </c>
      <c r="AU153">
        <f t="shared" si="57"/>
        <v>0</v>
      </c>
      <c r="AV153" t="s">
        <v>107</v>
      </c>
      <c r="AW153">
        <f t="shared" si="58"/>
        <v>0</v>
      </c>
      <c r="AX153">
        <f t="shared" si="59"/>
        <v>0</v>
      </c>
      <c r="AY153">
        <f t="shared" si="60"/>
        <v>0</v>
      </c>
      <c r="AZ153">
        <f t="shared" si="61"/>
        <v>0</v>
      </c>
      <c r="BA153" t="s">
        <v>107</v>
      </c>
      <c r="BB153">
        <f t="shared" si="62"/>
        <v>0</v>
      </c>
      <c r="BC153">
        <f t="shared" si="63"/>
        <v>0</v>
      </c>
      <c r="BD153">
        <f t="shared" si="64"/>
        <v>0</v>
      </c>
      <c r="BE153">
        <f t="shared" si="65"/>
        <v>0</v>
      </c>
      <c r="BF153" t="s">
        <v>107</v>
      </c>
      <c r="BG153">
        <f t="shared" si="66"/>
        <v>0</v>
      </c>
      <c r="BH153">
        <f t="shared" si="67"/>
        <v>0</v>
      </c>
      <c r="BI153">
        <f t="shared" si="68"/>
        <v>0</v>
      </c>
      <c r="BJ153">
        <f t="shared" si="69"/>
        <v>0</v>
      </c>
      <c r="BK153">
        <f t="shared" si="70"/>
        <v>0</v>
      </c>
      <c r="BL153">
        <f t="shared" si="71"/>
        <v>0</v>
      </c>
      <c r="BM153">
        <f t="shared" si="72"/>
        <v>0</v>
      </c>
      <c r="BN153" t="e">
        <f t="shared" si="72"/>
        <v>#DIV/0!</v>
      </c>
    </row>
    <row r="154" spans="1:66" x14ac:dyDescent="0.25">
      <c r="A154">
        <v>2025</v>
      </c>
      <c r="B154" s="1">
        <f t="shared" si="73"/>
        <v>45806</v>
      </c>
      <c r="C154">
        <v>149</v>
      </c>
      <c r="D154">
        <v>70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K154" s="22">
        <f t="shared" si="75"/>
        <v>0</v>
      </c>
      <c r="AL154">
        <f t="shared" si="74"/>
        <v>70.099999999999994</v>
      </c>
      <c r="AM154" s="4">
        <v>32.04</v>
      </c>
      <c r="AP154" s="7">
        <f t="shared" si="53"/>
        <v>0</v>
      </c>
      <c r="AQ154" s="7" t="e">
        <f t="shared" si="54"/>
        <v>#DIV/0!</v>
      </c>
      <c r="AS154">
        <f t="shared" si="55"/>
        <v>0</v>
      </c>
      <c r="AT154">
        <f t="shared" si="56"/>
        <v>0</v>
      </c>
      <c r="AU154">
        <f t="shared" si="57"/>
        <v>0</v>
      </c>
      <c r="AV154" t="s">
        <v>107</v>
      </c>
      <c r="AW154">
        <f t="shared" si="58"/>
        <v>0</v>
      </c>
      <c r="AX154">
        <f t="shared" si="59"/>
        <v>0</v>
      </c>
      <c r="AY154">
        <f t="shared" si="60"/>
        <v>0</v>
      </c>
      <c r="AZ154">
        <f t="shared" si="61"/>
        <v>0</v>
      </c>
      <c r="BA154" t="s">
        <v>107</v>
      </c>
      <c r="BB154">
        <f t="shared" si="62"/>
        <v>0</v>
      </c>
      <c r="BC154">
        <f t="shared" si="63"/>
        <v>0</v>
      </c>
      <c r="BD154">
        <f t="shared" si="64"/>
        <v>0</v>
      </c>
      <c r="BE154">
        <f t="shared" si="65"/>
        <v>0</v>
      </c>
      <c r="BF154" t="s">
        <v>107</v>
      </c>
      <c r="BG154">
        <f t="shared" si="66"/>
        <v>0</v>
      </c>
      <c r="BH154">
        <f t="shared" si="67"/>
        <v>0</v>
      </c>
      <c r="BI154">
        <f t="shared" si="68"/>
        <v>0</v>
      </c>
      <c r="BJ154">
        <f t="shared" si="69"/>
        <v>0</v>
      </c>
      <c r="BK154">
        <f t="shared" si="70"/>
        <v>0</v>
      </c>
      <c r="BL154">
        <f t="shared" si="71"/>
        <v>0</v>
      </c>
      <c r="BM154">
        <f t="shared" si="72"/>
        <v>0</v>
      </c>
      <c r="BN154" t="e">
        <f t="shared" si="72"/>
        <v>#DIV/0!</v>
      </c>
    </row>
    <row r="155" spans="1:66" x14ac:dyDescent="0.25">
      <c r="A155">
        <v>2025</v>
      </c>
      <c r="B155" s="1">
        <f t="shared" si="73"/>
        <v>45807</v>
      </c>
      <c r="C155">
        <v>150</v>
      </c>
      <c r="D155">
        <v>70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K155" s="22">
        <f t="shared" si="75"/>
        <v>0</v>
      </c>
      <c r="AL155">
        <f t="shared" si="74"/>
        <v>70.099999999999994</v>
      </c>
      <c r="AM155" s="4">
        <v>32.130000000000003</v>
      </c>
      <c r="AP155" s="7">
        <f t="shared" si="53"/>
        <v>0</v>
      </c>
      <c r="AQ155" s="7" t="e">
        <f t="shared" si="54"/>
        <v>#DIV/0!</v>
      </c>
      <c r="AS155">
        <f t="shared" si="55"/>
        <v>0</v>
      </c>
      <c r="AT155">
        <f t="shared" si="56"/>
        <v>0</v>
      </c>
      <c r="AU155">
        <f t="shared" si="57"/>
        <v>0</v>
      </c>
      <c r="AV155" t="s">
        <v>107</v>
      </c>
      <c r="AW155">
        <f t="shared" si="58"/>
        <v>0</v>
      </c>
      <c r="AX155">
        <f t="shared" si="59"/>
        <v>0</v>
      </c>
      <c r="AY155">
        <f t="shared" si="60"/>
        <v>0</v>
      </c>
      <c r="AZ155">
        <f t="shared" si="61"/>
        <v>0</v>
      </c>
      <c r="BA155" t="s">
        <v>107</v>
      </c>
      <c r="BB155">
        <f t="shared" si="62"/>
        <v>0</v>
      </c>
      <c r="BC155">
        <f t="shared" si="63"/>
        <v>0</v>
      </c>
      <c r="BD155">
        <f t="shared" si="64"/>
        <v>0</v>
      </c>
      <c r="BE155">
        <f t="shared" si="65"/>
        <v>0</v>
      </c>
      <c r="BF155" t="s">
        <v>107</v>
      </c>
      <c r="BG155">
        <f t="shared" si="66"/>
        <v>0</v>
      </c>
      <c r="BH155">
        <f t="shared" si="67"/>
        <v>0</v>
      </c>
      <c r="BI155">
        <f t="shared" si="68"/>
        <v>0</v>
      </c>
      <c r="BJ155">
        <f t="shared" si="69"/>
        <v>0</v>
      </c>
      <c r="BK155">
        <f t="shared" si="70"/>
        <v>0</v>
      </c>
      <c r="BL155">
        <f t="shared" si="71"/>
        <v>0</v>
      </c>
      <c r="BM155">
        <f t="shared" si="72"/>
        <v>0</v>
      </c>
      <c r="BN155" t="e">
        <f t="shared" si="72"/>
        <v>#DIV/0!</v>
      </c>
    </row>
    <row r="156" spans="1:66" x14ac:dyDescent="0.25">
      <c r="A156">
        <v>2025</v>
      </c>
      <c r="B156" s="1">
        <f t="shared" si="73"/>
        <v>45808</v>
      </c>
      <c r="C156">
        <v>151</v>
      </c>
      <c r="D156">
        <v>70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K156" s="22">
        <f t="shared" si="75"/>
        <v>0</v>
      </c>
      <c r="AL156">
        <f t="shared" si="74"/>
        <v>70.099999999999994</v>
      </c>
      <c r="AM156" s="4">
        <v>32.21</v>
      </c>
      <c r="AP156" s="7">
        <f t="shared" si="53"/>
        <v>0</v>
      </c>
      <c r="AQ156" s="7" t="e">
        <f t="shared" si="54"/>
        <v>#DIV/0!</v>
      </c>
      <c r="AS156">
        <f t="shared" si="55"/>
        <v>0</v>
      </c>
      <c r="AT156">
        <f t="shared" si="56"/>
        <v>0</v>
      </c>
      <c r="AU156">
        <f t="shared" si="57"/>
        <v>0</v>
      </c>
      <c r="AV156" t="s">
        <v>107</v>
      </c>
      <c r="AW156">
        <f t="shared" si="58"/>
        <v>0</v>
      </c>
      <c r="AX156">
        <f t="shared" si="59"/>
        <v>0</v>
      </c>
      <c r="AY156">
        <f t="shared" si="60"/>
        <v>0</v>
      </c>
      <c r="AZ156">
        <f t="shared" si="61"/>
        <v>0</v>
      </c>
      <c r="BA156" t="s">
        <v>107</v>
      </c>
      <c r="BB156">
        <f t="shared" si="62"/>
        <v>0</v>
      </c>
      <c r="BC156">
        <f t="shared" si="63"/>
        <v>0</v>
      </c>
      <c r="BD156">
        <f t="shared" si="64"/>
        <v>0</v>
      </c>
      <c r="BE156">
        <f t="shared" si="65"/>
        <v>0</v>
      </c>
      <c r="BF156" t="s">
        <v>107</v>
      </c>
      <c r="BG156">
        <f t="shared" si="66"/>
        <v>0</v>
      </c>
      <c r="BH156">
        <f t="shared" si="67"/>
        <v>0</v>
      </c>
      <c r="BI156">
        <f t="shared" si="68"/>
        <v>0</v>
      </c>
      <c r="BJ156">
        <f t="shared" si="69"/>
        <v>0</v>
      </c>
      <c r="BK156">
        <f t="shared" si="70"/>
        <v>0</v>
      </c>
      <c r="BL156">
        <f t="shared" si="71"/>
        <v>0</v>
      </c>
      <c r="BM156">
        <f t="shared" si="72"/>
        <v>0</v>
      </c>
      <c r="BN156" t="e">
        <f t="shared" si="72"/>
        <v>#DIV/0!</v>
      </c>
    </row>
    <row r="157" spans="1:66" x14ac:dyDescent="0.25">
      <c r="A157">
        <v>2025</v>
      </c>
      <c r="B157" s="1">
        <f t="shared" si="73"/>
        <v>45809</v>
      </c>
      <c r="C157">
        <v>152</v>
      </c>
      <c r="D157">
        <v>70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K157" s="22">
        <f t="shared" si="75"/>
        <v>0</v>
      </c>
      <c r="AL157">
        <f t="shared" si="74"/>
        <v>70.099999999999994</v>
      </c>
      <c r="AM157" s="4">
        <v>32.28</v>
      </c>
      <c r="AP157" s="7">
        <f t="shared" si="53"/>
        <v>0</v>
      </c>
      <c r="AQ157" s="7" t="e">
        <f t="shared" si="54"/>
        <v>#DIV/0!</v>
      </c>
      <c r="AS157">
        <f t="shared" si="55"/>
        <v>0</v>
      </c>
      <c r="AT157">
        <f t="shared" si="56"/>
        <v>0</v>
      </c>
      <c r="AU157">
        <f t="shared" si="57"/>
        <v>0</v>
      </c>
      <c r="AV157" t="s">
        <v>107</v>
      </c>
      <c r="AW157">
        <f t="shared" si="58"/>
        <v>0</v>
      </c>
      <c r="AX157">
        <f t="shared" si="59"/>
        <v>0</v>
      </c>
      <c r="AY157">
        <f t="shared" si="60"/>
        <v>0</v>
      </c>
      <c r="AZ157">
        <f t="shared" si="61"/>
        <v>0</v>
      </c>
      <c r="BA157" t="s">
        <v>107</v>
      </c>
      <c r="BB157">
        <f t="shared" si="62"/>
        <v>0</v>
      </c>
      <c r="BC157">
        <f t="shared" si="63"/>
        <v>0</v>
      </c>
      <c r="BD157">
        <f t="shared" si="64"/>
        <v>0</v>
      </c>
      <c r="BE157">
        <f t="shared" si="65"/>
        <v>0</v>
      </c>
      <c r="BF157" t="s">
        <v>107</v>
      </c>
      <c r="BG157">
        <f t="shared" si="66"/>
        <v>0</v>
      </c>
      <c r="BH157">
        <f t="shared" si="67"/>
        <v>0</v>
      </c>
      <c r="BI157">
        <f t="shared" si="68"/>
        <v>0</v>
      </c>
      <c r="BJ157">
        <f t="shared" si="69"/>
        <v>0</v>
      </c>
      <c r="BK157">
        <f t="shared" si="70"/>
        <v>0</v>
      </c>
      <c r="BL157">
        <f t="shared" si="71"/>
        <v>0</v>
      </c>
      <c r="BM157">
        <f t="shared" si="72"/>
        <v>0</v>
      </c>
      <c r="BN157" t="e">
        <f t="shared" si="72"/>
        <v>#DIV/0!</v>
      </c>
    </row>
    <row r="158" spans="1:66" x14ac:dyDescent="0.25">
      <c r="A158">
        <v>2025</v>
      </c>
      <c r="B158" s="1">
        <f t="shared" si="73"/>
        <v>45810</v>
      </c>
      <c r="C158">
        <v>153</v>
      </c>
      <c r="D158">
        <v>70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K158" s="22">
        <f t="shared" si="75"/>
        <v>0</v>
      </c>
      <c r="AL158">
        <f t="shared" si="74"/>
        <v>70.099999999999994</v>
      </c>
      <c r="AM158" s="4">
        <v>32.35</v>
      </c>
      <c r="AP158" s="7">
        <f t="shared" si="53"/>
        <v>0</v>
      </c>
      <c r="AQ158" s="7" t="e">
        <f t="shared" si="54"/>
        <v>#DIV/0!</v>
      </c>
      <c r="AS158">
        <f t="shared" si="55"/>
        <v>0</v>
      </c>
      <c r="AT158">
        <f t="shared" si="56"/>
        <v>0</v>
      </c>
      <c r="AU158">
        <f t="shared" si="57"/>
        <v>0</v>
      </c>
      <c r="AV158" t="s">
        <v>107</v>
      </c>
      <c r="AW158">
        <f t="shared" si="58"/>
        <v>0</v>
      </c>
      <c r="AX158">
        <f t="shared" si="59"/>
        <v>0</v>
      </c>
      <c r="AY158">
        <f t="shared" si="60"/>
        <v>0</v>
      </c>
      <c r="AZ158">
        <f t="shared" si="61"/>
        <v>0</v>
      </c>
      <c r="BA158" t="s">
        <v>107</v>
      </c>
      <c r="BB158">
        <f t="shared" si="62"/>
        <v>0</v>
      </c>
      <c r="BC158">
        <f t="shared" si="63"/>
        <v>0</v>
      </c>
      <c r="BD158">
        <f t="shared" si="64"/>
        <v>0</v>
      </c>
      <c r="BE158">
        <f t="shared" si="65"/>
        <v>0</v>
      </c>
      <c r="BF158" t="s">
        <v>107</v>
      </c>
      <c r="BG158">
        <f t="shared" si="66"/>
        <v>0</v>
      </c>
      <c r="BH158">
        <f t="shared" si="67"/>
        <v>0</v>
      </c>
      <c r="BI158">
        <f t="shared" si="68"/>
        <v>0</v>
      </c>
      <c r="BJ158">
        <f t="shared" si="69"/>
        <v>0</v>
      </c>
      <c r="BK158">
        <f t="shared" si="70"/>
        <v>0</v>
      </c>
      <c r="BL158">
        <f t="shared" si="71"/>
        <v>0</v>
      </c>
      <c r="BM158">
        <f t="shared" si="72"/>
        <v>0</v>
      </c>
      <c r="BN158" t="e">
        <f t="shared" si="72"/>
        <v>#DIV/0!</v>
      </c>
    </row>
    <row r="159" spans="1:66" x14ac:dyDescent="0.25">
      <c r="A159">
        <v>2025</v>
      </c>
      <c r="B159" s="1">
        <f t="shared" si="73"/>
        <v>45811</v>
      </c>
      <c r="C159">
        <v>154</v>
      </c>
      <c r="D159">
        <v>70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K159" s="22">
        <f t="shared" si="75"/>
        <v>0</v>
      </c>
      <c r="AL159">
        <f t="shared" si="74"/>
        <v>70.099999999999994</v>
      </c>
      <c r="AM159" s="4">
        <v>32.42</v>
      </c>
      <c r="AP159" s="7">
        <f t="shared" si="53"/>
        <v>0</v>
      </c>
      <c r="AQ159" s="7" t="e">
        <f t="shared" si="54"/>
        <v>#DIV/0!</v>
      </c>
      <c r="AS159">
        <f t="shared" si="55"/>
        <v>0</v>
      </c>
      <c r="AT159">
        <f t="shared" si="56"/>
        <v>0</v>
      </c>
      <c r="AU159">
        <f t="shared" si="57"/>
        <v>0</v>
      </c>
      <c r="AV159" t="s">
        <v>107</v>
      </c>
      <c r="AW159">
        <f t="shared" si="58"/>
        <v>0</v>
      </c>
      <c r="AX159">
        <f t="shared" si="59"/>
        <v>0</v>
      </c>
      <c r="AY159">
        <f t="shared" si="60"/>
        <v>0</v>
      </c>
      <c r="AZ159">
        <f t="shared" si="61"/>
        <v>0</v>
      </c>
      <c r="BA159" t="s">
        <v>107</v>
      </c>
      <c r="BB159">
        <f t="shared" si="62"/>
        <v>0</v>
      </c>
      <c r="BC159">
        <f t="shared" si="63"/>
        <v>0</v>
      </c>
      <c r="BD159">
        <f t="shared" si="64"/>
        <v>0</v>
      </c>
      <c r="BE159">
        <f t="shared" si="65"/>
        <v>0</v>
      </c>
      <c r="BF159" t="s">
        <v>107</v>
      </c>
      <c r="BG159">
        <f t="shared" si="66"/>
        <v>0</v>
      </c>
      <c r="BH159">
        <f t="shared" si="67"/>
        <v>0</v>
      </c>
      <c r="BI159">
        <f t="shared" si="68"/>
        <v>0</v>
      </c>
      <c r="BJ159">
        <f t="shared" si="69"/>
        <v>0</v>
      </c>
      <c r="BK159">
        <f t="shared" si="70"/>
        <v>0</v>
      </c>
      <c r="BL159">
        <f t="shared" si="71"/>
        <v>0</v>
      </c>
      <c r="BM159">
        <f t="shared" si="72"/>
        <v>0</v>
      </c>
      <c r="BN159" t="e">
        <f t="shared" si="72"/>
        <v>#DIV/0!</v>
      </c>
    </row>
    <row r="160" spans="1:66" x14ac:dyDescent="0.25">
      <c r="A160">
        <v>2025</v>
      </c>
      <c r="B160" s="1">
        <f t="shared" si="73"/>
        <v>45812</v>
      </c>
      <c r="C160">
        <v>155</v>
      </c>
      <c r="D160">
        <v>70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K160" s="22">
        <f t="shared" si="75"/>
        <v>0</v>
      </c>
      <c r="AL160">
        <f t="shared" si="74"/>
        <v>70.099999999999994</v>
      </c>
      <c r="AM160" s="4">
        <v>32.479999999999997</v>
      </c>
      <c r="AP160" s="7">
        <f t="shared" si="53"/>
        <v>0</v>
      </c>
      <c r="AQ160" s="7" t="e">
        <f t="shared" si="54"/>
        <v>#DIV/0!</v>
      </c>
      <c r="AS160">
        <f t="shared" si="55"/>
        <v>0</v>
      </c>
      <c r="AT160">
        <f t="shared" si="56"/>
        <v>0</v>
      </c>
      <c r="AU160">
        <f t="shared" si="57"/>
        <v>0</v>
      </c>
      <c r="AV160" t="s">
        <v>107</v>
      </c>
      <c r="AW160">
        <f t="shared" si="58"/>
        <v>0</v>
      </c>
      <c r="AX160">
        <f t="shared" si="59"/>
        <v>0</v>
      </c>
      <c r="AY160">
        <f t="shared" si="60"/>
        <v>0</v>
      </c>
      <c r="AZ160">
        <f t="shared" si="61"/>
        <v>0</v>
      </c>
      <c r="BA160" t="s">
        <v>107</v>
      </c>
      <c r="BB160">
        <f t="shared" si="62"/>
        <v>0</v>
      </c>
      <c r="BC160">
        <f t="shared" si="63"/>
        <v>0</v>
      </c>
      <c r="BD160">
        <f t="shared" si="64"/>
        <v>0</v>
      </c>
      <c r="BE160">
        <f t="shared" si="65"/>
        <v>0</v>
      </c>
      <c r="BF160" t="s">
        <v>107</v>
      </c>
      <c r="BG160">
        <f t="shared" si="66"/>
        <v>0</v>
      </c>
      <c r="BH160">
        <f t="shared" si="67"/>
        <v>0</v>
      </c>
      <c r="BI160">
        <f t="shared" si="68"/>
        <v>0</v>
      </c>
      <c r="BJ160">
        <f t="shared" si="69"/>
        <v>0</v>
      </c>
      <c r="BK160">
        <f t="shared" si="70"/>
        <v>0</v>
      </c>
      <c r="BL160">
        <f t="shared" si="71"/>
        <v>0</v>
      </c>
      <c r="BM160">
        <f t="shared" si="72"/>
        <v>0</v>
      </c>
      <c r="BN160" t="e">
        <f t="shared" si="72"/>
        <v>#DIV/0!</v>
      </c>
    </row>
    <row r="161" spans="1:66" x14ac:dyDescent="0.25">
      <c r="A161">
        <v>2025</v>
      </c>
      <c r="B161" s="1">
        <f t="shared" si="73"/>
        <v>45813</v>
      </c>
      <c r="C161">
        <v>156</v>
      </c>
      <c r="D161">
        <v>70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K161" s="22">
        <f t="shared" si="75"/>
        <v>0</v>
      </c>
      <c r="AL161">
        <f t="shared" si="74"/>
        <v>70.099999999999994</v>
      </c>
      <c r="AM161" s="4">
        <v>32.549999999999997</v>
      </c>
      <c r="AP161" s="7">
        <f t="shared" si="53"/>
        <v>0</v>
      </c>
      <c r="AQ161" s="7" t="e">
        <f t="shared" si="54"/>
        <v>#DIV/0!</v>
      </c>
      <c r="AS161">
        <f t="shared" si="55"/>
        <v>0</v>
      </c>
      <c r="AT161">
        <f t="shared" si="56"/>
        <v>0</v>
      </c>
      <c r="AU161">
        <f t="shared" si="57"/>
        <v>0</v>
      </c>
      <c r="AV161" t="s">
        <v>107</v>
      </c>
      <c r="AW161">
        <f t="shared" si="58"/>
        <v>0</v>
      </c>
      <c r="AX161">
        <f t="shared" si="59"/>
        <v>0</v>
      </c>
      <c r="AY161">
        <f t="shared" si="60"/>
        <v>0</v>
      </c>
      <c r="AZ161">
        <f t="shared" si="61"/>
        <v>0</v>
      </c>
      <c r="BA161" t="s">
        <v>107</v>
      </c>
      <c r="BB161">
        <f t="shared" si="62"/>
        <v>0</v>
      </c>
      <c r="BC161">
        <f t="shared" si="63"/>
        <v>0</v>
      </c>
      <c r="BD161">
        <f t="shared" si="64"/>
        <v>0</v>
      </c>
      <c r="BE161">
        <f t="shared" si="65"/>
        <v>0</v>
      </c>
      <c r="BF161" t="s">
        <v>107</v>
      </c>
      <c r="BG161">
        <f t="shared" si="66"/>
        <v>0</v>
      </c>
      <c r="BH161">
        <f t="shared" si="67"/>
        <v>0</v>
      </c>
      <c r="BI161">
        <f t="shared" si="68"/>
        <v>0</v>
      </c>
      <c r="BJ161">
        <f t="shared" si="69"/>
        <v>0</v>
      </c>
      <c r="BK161">
        <f t="shared" si="70"/>
        <v>0</v>
      </c>
      <c r="BL161">
        <f t="shared" si="71"/>
        <v>0</v>
      </c>
      <c r="BM161">
        <f t="shared" si="72"/>
        <v>0</v>
      </c>
      <c r="BN161" t="e">
        <f t="shared" si="72"/>
        <v>#DIV/0!</v>
      </c>
    </row>
    <row r="162" spans="1:66" x14ac:dyDescent="0.25">
      <c r="A162">
        <v>2025</v>
      </c>
      <c r="B162" s="1">
        <f t="shared" si="73"/>
        <v>45814</v>
      </c>
      <c r="C162">
        <v>157</v>
      </c>
      <c r="D162">
        <v>70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K162" s="22">
        <f t="shared" si="75"/>
        <v>0</v>
      </c>
      <c r="AL162">
        <f t="shared" si="74"/>
        <v>70.099999999999994</v>
      </c>
      <c r="AM162" s="4">
        <v>32.61</v>
      </c>
      <c r="AP162" s="7">
        <f t="shared" si="53"/>
        <v>0</v>
      </c>
      <c r="AQ162" s="7" t="e">
        <f t="shared" si="54"/>
        <v>#DIV/0!</v>
      </c>
      <c r="AS162">
        <f t="shared" si="55"/>
        <v>0</v>
      </c>
      <c r="AT162">
        <f t="shared" si="56"/>
        <v>0</v>
      </c>
      <c r="AU162">
        <f t="shared" si="57"/>
        <v>0</v>
      </c>
      <c r="AV162" t="s">
        <v>107</v>
      </c>
      <c r="AW162">
        <f t="shared" si="58"/>
        <v>0</v>
      </c>
      <c r="AX162">
        <f t="shared" si="59"/>
        <v>0</v>
      </c>
      <c r="AY162">
        <f t="shared" si="60"/>
        <v>0</v>
      </c>
      <c r="AZ162">
        <f t="shared" si="61"/>
        <v>0</v>
      </c>
      <c r="BA162" t="s">
        <v>107</v>
      </c>
      <c r="BB162">
        <f t="shared" si="62"/>
        <v>0</v>
      </c>
      <c r="BC162">
        <f t="shared" si="63"/>
        <v>0</v>
      </c>
      <c r="BD162">
        <f t="shared" si="64"/>
        <v>0</v>
      </c>
      <c r="BE162">
        <f t="shared" si="65"/>
        <v>0</v>
      </c>
      <c r="BF162" t="s">
        <v>107</v>
      </c>
      <c r="BG162">
        <f t="shared" si="66"/>
        <v>0</v>
      </c>
      <c r="BH162">
        <f t="shared" si="67"/>
        <v>0</v>
      </c>
      <c r="BI162">
        <f t="shared" si="68"/>
        <v>0</v>
      </c>
      <c r="BJ162">
        <f t="shared" si="69"/>
        <v>0</v>
      </c>
      <c r="BK162">
        <f t="shared" si="70"/>
        <v>0</v>
      </c>
      <c r="BL162">
        <f t="shared" si="71"/>
        <v>0</v>
      </c>
      <c r="BM162">
        <f t="shared" si="72"/>
        <v>0</v>
      </c>
      <c r="BN162" t="e">
        <f t="shared" si="72"/>
        <v>#DIV/0!</v>
      </c>
    </row>
    <row r="163" spans="1:66" x14ac:dyDescent="0.25">
      <c r="A163">
        <v>2025</v>
      </c>
      <c r="B163" s="1">
        <f t="shared" si="73"/>
        <v>45815</v>
      </c>
      <c r="C163">
        <v>158</v>
      </c>
      <c r="D163">
        <v>70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K163" s="22">
        <f t="shared" si="75"/>
        <v>0</v>
      </c>
      <c r="AL163">
        <f t="shared" si="74"/>
        <v>70.099999999999994</v>
      </c>
      <c r="AM163" s="4">
        <v>32.65</v>
      </c>
      <c r="AP163" s="7">
        <f t="shared" si="53"/>
        <v>0</v>
      </c>
      <c r="AQ163" s="7" t="e">
        <f t="shared" si="54"/>
        <v>#DIV/0!</v>
      </c>
      <c r="AS163">
        <f t="shared" si="55"/>
        <v>0</v>
      </c>
      <c r="AT163">
        <f t="shared" si="56"/>
        <v>0</v>
      </c>
      <c r="AU163">
        <f t="shared" si="57"/>
        <v>0</v>
      </c>
      <c r="AV163" t="s">
        <v>107</v>
      </c>
      <c r="AW163">
        <f t="shared" si="58"/>
        <v>0</v>
      </c>
      <c r="AX163">
        <f t="shared" si="59"/>
        <v>0</v>
      </c>
      <c r="AY163">
        <f t="shared" si="60"/>
        <v>0</v>
      </c>
      <c r="AZ163">
        <f t="shared" si="61"/>
        <v>0</v>
      </c>
      <c r="BA163" t="s">
        <v>107</v>
      </c>
      <c r="BB163">
        <f t="shared" si="62"/>
        <v>0</v>
      </c>
      <c r="BC163">
        <f t="shared" si="63"/>
        <v>0</v>
      </c>
      <c r="BD163">
        <f t="shared" si="64"/>
        <v>0</v>
      </c>
      <c r="BE163">
        <f t="shared" si="65"/>
        <v>0</v>
      </c>
      <c r="BF163" t="s">
        <v>107</v>
      </c>
      <c r="BG163">
        <f t="shared" si="66"/>
        <v>0</v>
      </c>
      <c r="BH163">
        <f t="shared" si="67"/>
        <v>0</v>
      </c>
      <c r="BI163">
        <f t="shared" si="68"/>
        <v>0</v>
      </c>
      <c r="BJ163">
        <f t="shared" si="69"/>
        <v>0</v>
      </c>
      <c r="BK163">
        <f t="shared" si="70"/>
        <v>0</v>
      </c>
      <c r="BL163">
        <f t="shared" si="71"/>
        <v>0</v>
      </c>
      <c r="BM163">
        <f t="shared" si="72"/>
        <v>0</v>
      </c>
      <c r="BN163" t="e">
        <f t="shared" si="72"/>
        <v>#DIV/0!</v>
      </c>
    </row>
    <row r="164" spans="1:66" x14ac:dyDescent="0.25">
      <c r="A164">
        <v>2025</v>
      </c>
      <c r="B164" s="1">
        <f t="shared" si="73"/>
        <v>45816</v>
      </c>
      <c r="C164">
        <v>159</v>
      </c>
      <c r="D164">
        <v>70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K164" s="22">
        <f t="shared" si="75"/>
        <v>0</v>
      </c>
      <c r="AL164">
        <f t="shared" si="74"/>
        <v>70.099999999999994</v>
      </c>
      <c r="AM164" s="4">
        <v>32.700000000000003</v>
      </c>
      <c r="AP164" s="7">
        <f t="shared" si="53"/>
        <v>0</v>
      </c>
      <c r="AQ164" s="7" t="e">
        <f t="shared" si="54"/>
        <v>#DIV/0!</v>
      </c>
      <c r="AS164">
        <f t="shared" si="55"/>
        <v>0</v>
      </c>
      <c r="AT164">
        <f t="shared" si="56"/>
        <v>0</v>
      </c>
      <c r="AU164">
        <f t="shared" si="57"/>
        <v>0</v>
      </c>
      <c r="AV164" t="s">
        <v>107</v>
      </c>
      <c r="AW164">
        <f t="shared" si="58"/>
        <v>0</v>
      </c>
      <c r="AX164">
        <f t="shared" si="59"/>
        <v>0</v>
      </c>
      <c r="AY164">
        <f t="shared" si="60"/>
        <v>0</v>
      </c>
      <c r="AZ164">
        <f t="shared" si="61"/>
        <v>0</v>
      </c>
      <c r="BA164" t="s">
        <v>107</v>
      </c>
      <c r="BB164">
        <f t="shared" si="62"/>
        <v>0</v>
      </c>
      <c r="BC164">
        <f t="shared" si="63"/>
        <v>0</v>
      </c>
      <c r="BD164">
        <f t="shared" si="64"/>
        <v>0</v>
      </c>
      <c r="BE164">
        <f t="shared" si="65"/>
        <v>0</v>
      </c>
      <c r="BF164" t="s">
        <v>107</v>
      </c>
      <c r="BG164">
        <f t="shared" si="66"/>
        <v>0</v>
      </c>
      <c r="BH164">
        <f t="shared" si="67"/>
        <v>0</v>
      </c>
      <c r="BI164">
        <f t="shared" si="68"/>
        <v>0</v>
      </c>
      <c r="BJ164">
        <f t="shared" si="69"/>
        <v>0</v>
      </c>
      <c r="BK164">
        <f t="shared" si="70"/>
        <v>0</v>
      </c>
      <c r="BL164">
        <f t="shared" si="71"/>
        <v>0</v>
      </c>
      <c r="BM164">
        <f t="shared" si="72"/>
        <v>0</v>
      </c>
      <c r="BN164" t="e">
        <f t="shared" si="72"/>
        <v>#DIV/0!</v>
      </c>
    </row>
    <row r="165" spans="1:66" x14ac:dyDescent="0.25">
      <c r="A165">
        <v>2025</v>
      </c>
      <c r="B165" s="1">
        <f t="shared" si="73"/>
        <v>45817</v>
      </c>
      <c r="C165">
        <v>160</v>
      </c>
      <c r="D165">
        <v>70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K165" s="22">
        <f t="shared" si="75"/>
        <v>0</v>
      </c>
      <c r="AL165">
        <f t="shared" si="74"/>
        <v>70.099999999999994</v>
      </c>
      <c r="AM165" s="4">
        <v>32.75</v>
      </c>
      <c r="AP165" s="7">
        <f t="shared" si="53"/>
        <v>0</v>
      </c>
      <c r="AQ165" s="7" t="e">
        <f t="shared" si="54"/>
        <v>#DIV/0!</v>
      </c>
      <c r="AS165">
        <f t="shared" si="55"/>
        <v>0</v>
      </c>
      <c r="AT165">
        <f t="shared" si="56"/>
        <v>0</v>
      </c>
      <c r="AU165">
        <f t="shared" si="57"/>
        <v>0</v>
      </c>
      <c r="AV165" t="s">
        <v>107</v>
      </c>
      <c r="AW165">
        <f t="shared" si="58"/>
        <v>0</v>
      </c>
      <c r="AX165">
        <f t="shared" si="59"/>
        <v>0</v>
      </c>
      <c r="AY165">
        <f t="shared" si="60"/>
        <v>0</v>
      </c>
      <c r="AZ165">
        <f t="shared" si="61"/>
        <v>0</v>
      </c>
      <c r="BA165" t="s">
        <v>107</v>
      </c>
      <c r="BB165">
        <f t="shared" si="62"/>
        <v>0</v>
      </c>
      <c r="BC165">
        <f t="shared" si="63"/>
        <v>0</v>
      </c>
      <c r="BD165">
        <f t="shared" si="64"/>
        <v>0</v>
      </c>
      <c r="BE165">
        <f t="shared" si="65"/>
        <v>0</v>
      </c>
      <c r="BF165" t="s">
        <v>107</v>
      </c>
      <c r="BG165">
        <f t="shared" si="66"/>
        <v>0</v>
      </c>
      <c r="BH165">
        <f t="shared" si="67"/>
        <v>0</v>
      </c>
      <c r="BI165">
        <f t="shared" si="68"/>
        <v>0</v>
      </c>
      <c r="BJ165">
        <f t="shared" si="69"/>
        <v>0</v>
      </c>
      <c r="BK165">
        <f t="shared" si="70"/>
        <v>0</v>
      </c>
      <c r="BL165">
        <f t="shared" si="71"/>
        <v>0</v>
      </c>
      <c r="BM165">
        <f t="shared" si="72"/>
        <v>0</v>
      </c>
      <c r="BN165" t="e">
        <f t="shared" si="72"/>
        <v>#DIV/0!</v>
      </c>
    </row>
    <row r="166" spans="1:66" x14ac:dyDescent="0.25">
      <c r="A166">
        <v>2025</v>
      </c>
      <c r="B166" s="1">
        <f t="shared" si="73"/>
        <v>45818</v>
      </c>
      <c r="C166">
        <v>161</v>
      </c>
      <c r="D166">
        <v>70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K166" s="22">
        <f t="shared" si="75"/>
        <v>0</v>
      </c>
      <c r="AL166">
        <f t="shared" si="74"/>
        <v>70.099999999999994</v>
      </c>
      <c r="AM166" s="4">
        <v>32.79</v>
      </c>
      <c r="AP166" s="7">
        <f t="shared" si="53"/>
        <v>0</v>
      </c>
      <c r="AQ166" s="7" t="e">
        <f t="shared" si="54"/>
        <v>#DIV/0!</v>
      </c>
      <c r="AS166">
        <f t="shared" si="55"/>
        <v>0</v>
      </c>
      <c r="AT166">
        <f t="shared" si="56"/>
        <v>0</v>
      </c>
      <c r="AU166">
        <f t="shared" si="57"/>
        <v>0</v>
      </c>
      <c r="AV166" t="s">
        <v>107</v>
      </c>
      <c r="AW166">
        <f t="shared" si="58"/>
        <v>0</v>
      </c>
      <c r="AX166">
        <f t="shared" si="59"/>
        <v>0</v>
      </c>
      <c r="AY166">
        <f t="shared" si="60"/>
        <v>0</v>
      </c>
      <c r="AZ166">
        <f t="shared" si="61"/>
        <v>0</v>
      </c>
      <c r="BA166" t="s">
        <v>107</v>
      </c>
      <c r="BB166">
        <f t="shared" si="62"/>
        <v>0</v>
      </c>
      <c r="BC166">
        <f t="shared" si="63"/>
        <v>0</v>
      </c>
      <c r="BD166">
        <f t="shared" si="64"/>
        <v>0</v>
      </c>
      <c r="BE166">
        <f t="shared" si="65"/>
        <v>0</v>
      </c>
      <c r="BF166" t="s">
        <v>107</v>
      </c>
      <c r="BG166">
        <f t="shared" si="66"/>
        <v>0</v>
      </c>
      <c r="BH166">
        <f t="shared" si="67"/>
        <v>0</v>
      </c>
      <c r="BI166">
        <f t="shared" si="68"/>
        <v>0</v>
      </c>
      <c r="BJ166">
        <f t="shared" si="69"/>
        <v>0</v>
      </c>
      <c r="BK166">
        <f t="shared" si="70"/>
        <v>0</v>
      </c>
      <c r="BL166">
        <f t="shared" si="71"/>
        <v>0</v>
      </c>
      <c r="BM166">
        <f t="shared" si="72"/>
        <v>0</v>
      </c>
      <c r="BN166" t="e">
        <f t="shared" si="72"/>
        <v>#DIV/0!</v>
      </c>
    </row>
    <row r="167" spans="1:66" x14ac:dyDescent="0.25">
      <c r="A167">
        <v>2025</v>
      </c>
      <c r="B167" s="1">
        <f t="shared" si="73"/>
        <v>45819</v>
      </c>
      <c r="C167">
        <v>162</v>
      </c>
      <c r="D167">
        <v>70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K167" s="22">
        <f t="shared" si="75"/>
        <v>0</v>
      </c>
      <c r="AL167">
        <f t="shared" si="74"/>
        <v>70.099999999999994</v>
      </c>
      <c r="AM167" s="4">
        <v>32.82</v>
      </c>
      <c r="AP167" s="7">
        <f t="shared" si="53"/>
        <v>0</v>
      </c>
      <c r="AQ167" s="7" t="e">
        <f t="shared" si="54"/>
        <v>#DIV/0!</v>
      </c>
      <c r="AS167">
        <f t="shared" si="55"/>
        <v>0</v>
      </c>
      <c r="AT167">
        <f t="shared" si="56"/>
        <v>0</v>
      </c>
      <c r="AU167">
        <f t="shared" si="57"/>
        <v>0</v>
      </c>
      <c r="AV167" t="s">
        <v>107</v>
      </c>
      <c r="AW167">
        <f t="shared" si="58"/>
        <v>0</v>
      </c>
      <c r="AX167">
        <f t="shared" si="59"/>
        <v>0</v>
      </c>
      <c r="AY167">
        <f t="shared" si="60"/>
        <v>0</v>
      </c>
      <c r="AZ167">
        <f t="shared" si="61"/>
        <v>0</v>
      </c>
      <c r="BA167" t="s">
        <v>107</v>
      </c>
      <c r="BB167">
        <f t="shared" si="62"/>
        <v>0</v>
      </c>
      <c r="BC167">
        <f t="shared" si="63"/>
        <v>0</v>
      </c>
      <c r="BD167">
        <f t="shared" si="64"/>
        <v>0</v>
      </c>
      <c r="BE167">
        <f t="shared" si="65"/>
        <v>0</v>
      </c>
      <c r="BF167" t="s">
        <v>107</v>
      </c>
      <c r="BG167">
        <f t="shared" si="66"/>
        <v>0</v>
      </c>
      <c r="BH167">
        <f t="shared" si="67"/>
        <v>0</v>
      </c>
      <c r="BI167">
        <f t="shared" si="68"/>
        <v>0</v>
      </c>
      <c r="BJ167">
        <f t="shared" si="69"/>
        <v>0</v>
      </c>
      <c r="BK167">
        <f t="shared" si="70"/>
        <v>0</v>
      </c>
      <c r="BL167">
        <f t="shared" si="71"/>
        <v>0</v>
      </c>
      <c r="BM167">
        <f t="shared" si="72"/>
        <v>0</v>
      </c>
      <c r="BN167" t="e">
        <f t="shared" si="72"/>
        <v>#DIV/0!</v>
      </c>
    </row>
    <row r="168" spans="1:66" x14ac:dyDescent="0.25">
      <c r="A168">
        <v>2025</v>
      </c>
      <c r="B168" s="1">
        <f t="shared" si="73"/>
        <v>45820</v>
      </c>
      <c r="C168">
        <v>163</v>
      </c>
      <c r="D168">
        <v>70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K168" s="22">
        <f t="shared" si="75"/>
        <v>0</v>
      </c>
      <c r="AL168">
        <f t="shared" si="74"/>
        <v>70.099999999999994</v>
      </c>
      <c r="AM168" s="4">
        <v>32.85</v>
      </c>
      <c r="AP168" s="7">
        <f t="shared" si="53"/>
        <v>0</v>
      </c>
      <c r="AQ168" s="7" t="e">
        <f t="shared" si="54"/>
        <v>#DIV/0!</v>
      </c>
      <c r="AS168">
        <f t="shared" si="55"/>
        <v>0</v>
      </c>
      <c r="AT168">
        <f t="shared" si="56"/>
        <v>0</v>
      </c>
      <c r="AU168">
        <f t="shared" si="57"/>
        <v>0</v>
      </c>
      <c r="AV168" t="s">
        <v>107</v>
      </c>
      <c r="AW168">
        <f t="shared" si="58"/>
        <v>0</v>
      </c>
      <c r="AX168">
        <f t="shared" si="59"/>
        <v>0</v>
      </c>
      <c r="AY168">
        <f t="shared" si="60"/>
        <v>0</v>
      </c>
      <c r="AZ168">
        <f t="shared" si="61"/>
        <v>0</v>
      </c>
      <c r="BA168" t="s">
        <v>107</v>
      </c>
      <c r="BB168">
        <f t="shared" si="62"/>
        <v>0</v>
      </c>
      <c r="BC168">
        <f t="shared" si="63"/>
        <v>0</v>
      </c>
      <c r="BD168">
        <f t="shared" si="64"/>
        <v>0</v>
      </c>
      <c r="BE168">
        <f t="shared" si="65"/>
        <v>0</v>
      </c>
      <c r="BF168" t="s">
        <v>107</v>
      </c>
      <c r="BG168">
        <f t="shared" si="66"/>
        <v>0</v>
      </c>
      <c r="BH168">
        <f t="shared" si="67"/>
        <v>0</v>
      </c>
      <c r="BI168">
        <f t="shared" si="68"/>
        <v>0</v>
      </c>
      <c r="BJ168">
        <f t="shared" si="69"/>
        <v>0</v>
      </c>
      <c r="BK168">
        <f t="shared" si="70"/>
        <v>0</v>
      </c>
      <c r="BL168">
        <f t="shared" si="71"/>
        <v>0</v>
      </c>
      <c r="BM168">
        <f t="shared" si="72"/>
        <v>0</v>
      </c>
      <c r="BN168" t="e">
        <f t="shared" si="72"/>
        <v>#DIV/0!</v>
      </c>
    </row>
    <row r="169" spans="1:66" x14ac:dyDescent="0.25">
      <c r="A169">
        <v>2025</v>
      </c>
      <c r="B169" s="1">
        <f t="shared" si="73"/>
        <v>45821</v>
      </c>
      <c r="C169">
        <v>164</v>
      </c>
      <c r="D169">
        <v>70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K169" s="22">
        <f t="shared" si="75"/>
        <v>0</v>
      </c>
      <c r="AL169">
        <f t="shared" si="74"/>
        <v>70.099999999999994</v>
      </c>
      <c r="AM169" s="4">
        <v>32.880000000000003</v>
      </c>
      <c r="AP169" s="7">
        <f t="shared" si="53"/>
        <v>0</v>
      </c>
      <c r="AQ169" s="7" t="e">
        <f t="shared" si="54"/>
        <v>#DIV/0!</v>
      </c>
      <c r="AS169">
        <f t="shared" si="55"/>
        <v>0</v>
      </c>
      <c r="AT169">
        <f t="shared" si="56"/>
        <v>0</v>
      </c>
      <c r="AU169">
        <f t="shared" si="57"/>
        <v>0</v>
      </c>
      <c r="AV169" t="s">
        <v>107</v>
      </c>
      <c r="AW169">
        <f t="shared" si="58"/>
        <v>0</v>
      </c>
      <c r="AX169">
        <f t="shared" si="59"/>
        <v>0</v>
      </c>
      <c r="AY169">
        <f t="shared" si="60"/>
        <v>0</v>
      </c>
      <c r="AZ169">
        <f t="shared" si="61"/>
        <v>0</v>
      </c>
      <c r="BA169" t="s">
        <v>107</v>
      </c>
      <c r="BB169">
        <f t="shared" si="62"/>
        <v>0</v>
      </c>
      <c r="BC169">
        <f t="shared" si="63"/>
        <v>0</v>
      </c>
      <c r="BD169">
        <f t="shared" si="64"/>
        <v>0</v>
      </c>
      <c r="BE169">
        <f t="shared" si="65"/>
        <v>0</v>
      </c>
      <c r="BF169" t="s">
        <v>107</v>
      </c>
      <c r="BG169">
        <f t="shared" si="66"/>
        <v>0</v>
      </c>
      <c r="BH169">
        <f t="shared" si="67"/>
        <v>0</v>
      </c>
      <c r="BI169">
        <f t="shared" si="68"/>
        <v>0</v>
      </c>
      <c r="BJ169">
        <f t="shared" si="69"/>
        <v>0</v>
      </c>
      <c r="BK169">
        <f t="shared" si="70"/>
        <v>0</v>
      </c>
      <c r="BL169">
        <f t="shared" si="71"/>
        <v>0</v>
      </c>
      <c r="BM169">
        <f t="shared" si="72"/>
        <v>0</v>
      </c>
      <c r="BN169" t="e">
        <f t="shared" si="72"/>
        <v>#DIV/0!</v>
      </c>
    </row>
    <row r="170" spans="1:66" x14ac:dyDescent="0.25">
      <c r="A170">
        <v>2025</v>
      </c>
      <c r="B170" s="1">
        <f t="shared" si="73"/>
        <v>45822</v>
      </c>
      <c r="C170">
        <v>165</v>
      </c>
      <c r="D170">
        <v>70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K170" s="22">
        <f t="shared" si="75"/>
        <v>0</v>
      </c>
      <c r="AL170">
        <f t="shared" si="74"/>
        <v>70.099999999999994</v>
      </c>
      <c r="AM170" s="4">
        <v>32.9</v>
      </c>
      <c r="AP170" s="7">
        <f t="shared" si="53"/>
        <v>0</v>
      </c>
      <c r="AQ170" s="7" t="e">
        <f t="shared" si="54"/>
        <v>#DIV/0!</v>
      </c>
      <c r="AS170">
        <f t="shared" si="55"/>
        <v>0</v>
      </c>
      <c r="AT170">
        <f t="shared" si="56"/>
        <v>0</v>
      </c>
      <c r="AU170">
        <f t="shared" si="57"/>
        <v>0</v>
      </c>
      <c r="AV170" t="s">
        <v>107</v>
      </c>
      <c r="AW170">
        <f t="shared" si="58"/>
        <v>0</v>
      </c>
      <c r="AX170">
        <f t="shared" si="59"/>
        <v>0</v>
      </c>
      <c r="AY170">
        <f t="shared" si="60"/>
        <v>0</v>
      </c>
      <c r="AZ170">
        <f t="shared" si="61"/>
        <v>0</v>
      </c>
      <c r="BA170" t="s">
        <v>107</v>
      </c>
      <c r="BB170">
        <f t="shared" si="62"/>
        <v>0</v>
      </c>
      <c r="BC170">
        <f t="shared" si="63"/>
        <v>0</v>
      </c>
      <c r="BD170">
        <f t="shared" si="64"/>
        <v>0</v>
      </c>
      <c r="BE170">
        <f t="shared" si="65"/>
        <v>0</v>
      </c>
      <c r="BF170" t="s">
        <v>107</v>
      </c>
      <c r="BG170">
        <f t="shared" si="66"/>
        <v>0</v>
      </c>
      <c r="BH170">
        <f t="shared" si="67"/>
        <v>0</v>
      </c>
      <c r="BI170">
        <f t="shared" si="68"/>
        <v>0</v>
      </c>
      <c r="BJ170">
        <f t="shared" si="69"/>
        <v>0</v>
      </c>
      <c r="BK170">
        <f t="shared" si="70"/>
        <v>0</v>
      </c>
      <c r="BL170">
        <f t="shared" si="71"/>
        <v>0</v>
      </c>
      <c r="BM170">
        <f t="shared" si="72"/>
        <v>0</v>
      </c>
      <c r="BN170" t="e">
        <f t="shared" si="72"/>
        <v>#DIV/0!</v>
      </c>
    </row>
    <row r="171" spans="1:66" x14ac:dyDescent="0.25">
      <c r="A171">
        <v>2025</v>
      </c>
      <c r="B171" s="1">
        <f t="shared" si="73"/>
        <v>45823</v>
      </c>
      <c r="C171">
        <v>166</v>
      </c>
      <c r="D171">
        <v>70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K171" s="22">
        <f t="shared" si="75"/>
        <v>0</v>
      </c>
      <c r="AL171">
        <f t="shared" si="74"/>
        <v>70.099999999999994</v>
      </c>
      <c r="AM171" s="4">
        <v>32.92</v>
      </c>
      <c r="AP171" s="7">
        <f t="shared" si="53"/>
        <v>0</v>
      </c>
      <c r="AQ171" s="7" t="e">
        <f t="shared" si="54"/>
        <v>#DIV/0!</v>
      </c>
      <c r="AS171">
        <f t="shared" si="55"/>
        <v>0</v>
      </c>
      <c r="AT171">
        <f t="shared" si="56"/>
        <v>0</v>
      </c>
      <c r="AU171">
        <f t="shared" si="57"/>
        <v>0</v>
      </c>
      <c r="AV171" t="s">
        <v>107</v>
      </c>
      <c r="AW171">
        <f t="shared" si="58"/>
        <v>0</v>
      </c>
      <c r="AX171">
        <f t="shared" si="59"/>
        <v>0</v>
      </c>
      <c r="AY171">
        <f t="shared" si="60"/>
        <v>0</v>
      </c>
      <c r="AZ171">
        <f t="shared" si="61"/>
        <v>0</v>
      </c>
      <c r="BA171" t="s">
        <v>107</v>
      </c>
      <c r="BB171">
        <f t="shared" si="62"/>
        <v>0</v>
      </c>
      <c r="BC171">
        <f t="shared" si="63"/>
        <v>0</v>
      </c>
      <c r="BD171">
        <f t="shared" si="64"/>
        <v>0</v>
      </c>
      <c r="BE171">
        <f t="shared" si="65"/>
        <v>0</v>
      </c>
      <c r="BF171" t="s">
        <v>107</v>
      </c>
      <c r="BG171">
        <f t="shared" si="66"/>
        <v>0</v>
      </c>
      <c r="BH171">
        <f t="shared" si="67"/>
        <v>0</v>
      </c>
      <c r="BI171">
        <f t="shared" si="68"/>
        <v>0</v>
      </c>
      <c r="BJ171">
        <f t="shared" si="69"/>
        <v>0</v>
      </c>
      <c r="BK171">
        <f t="shared" si="70"/>
        <v>0</v>
      </c>
      <c r="BL171">
        <f t="shared" si="71"/>
        <v>0</v>
      </c>
      <c r="BM171">
        <f t="shared" si="72"/>
        <v>0</v>
      </c>
      <c r="BN171" t="e">
        <f t="shared" si="72"/>
        <v>#DIV/0!</v>
      </c>
    </row>
    <row r="172" spans="1:66" x14ac:dyDescent="0.25">
      <c r="A172">
        <v>2025</v>
      </c>
      <c r="B172" s="1">
        <f t="shared" si="73"/>
        <v>45824</v>
      </c>
      <c r="C172">
        <v>167</v>
      </c>
      <c r="D172">
        <v>70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K172" s="22">
        <f t="shared" si="75"/>
        <v>0</v>
      </c>
      <c r="AL172">
        <f t="shared" si="74"/>
        <v>70.099999999999994</v>
      </c>
      <c r="AM172" s="4">
        <v>32.93</v>
      </c>
      <c r="AP172" s="7">
        <f t="shared" si="53"/>
        <v>0</v>
      </c>
      <c r="AQ172" s="7" t="e">
        <f t="shared" si="54"/>
        <v>#DIV/0!</v>
      </c>
      <c r="AS172">
        <f t="shared" si="55"/>
        <v>0</v>
      </c>
      <c r="AT172">
        <f t="shared" si="56"/>
        <v>0</v>
      </c>
      <c r="AU172">
        <f t="shared" si="57"/>
        <v>0</v>
      </c>
      <c r="AV172" t="s">
        <v>107</v>
      </c>
      <c r="AW172">
        <f t="shared" si="58"/>
        <v>0</v>
      </c>
      <c r="AX172">
        <f t="shared" si="59"/>
        <v>0</v>
      </c>
      <c r="AY172">
        <f t="shared" si="60"/>
        <v>0</v>
      </c>
      <c r="AZ172">
        <f t="shared" si="61"/>
        <v>0</v>
      </c>
      <c r="BA172" t="s">
        <v>107</v>
      </c>
      <c r="BB172">
        <f t="shared" si="62"/>
        <v>0</v>
      </c>
      <c r="BC172">
        <f t="shared" si="63"/>
        <v>0</v>
      </c>
      <c r="BD172">
        <f t="shared" si="64"/>
        <v>0</v>
      </c>
      <c r="BE172">
        <f t="shared" si="65"/>
        <v>0</v>
      </c>
      <c r="BF172" t="s">
        <v>107</v>
      </c>
      <c r="BG172">
        <f t="shared" si="66"/>
        <v>0</v>
      </c>
      <c r="BH172">
        <f t="shared" si="67"/>
        <v>0</v>
      </c>
      <c r="BI172">
        <f t="shared" si="68"/>
        <v>0</v>
      </c>
      <c r="BJ172">
        <f t="shared" si="69"/>
        <v>0</v>
      </c>
      <c r="BK172">
        <f t="shared" si="70"/>
        <v>0</v>
      </c>
      <c r="BL172">
        <f t="shared" si="71"/>
        <v>0</v>
      </c>
      <c r="BM172">
        <f t="shared" si="72"/>
        <v>0</v>
      </c>
      <c r="BN172" t="e">
        <f t="shared" si="72"/>
        <v>#DIV/0!</v>
      </c>
    </row>
    <row r="173" spans="1:66" x14ac:dyDescent="0.25">
      <c r="A173">
        <v>2025</v>
      </c>
      <c r="B173" s="1">
        <f t="shared" si="73"/>
        <v>45825</v>
      </c>
      <c r="C173">
        <v>168</v>
      </c>
      <c r="D173">
        <v>70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K173" s="22">
        <f t="shared" ref="AK173:AK204" si="76">AA173</f>
        <v>0</v>
      </c>
      <c r="AL173">
        <f t="shared" si="74"/>
        <v>70.099999999999994</v>
      </c>
      <c r="AM173" s="4">
        <v>32.94</v>
      </c>
      <c r="AP173" s="7">
        <f t="shared" si="53"/>
        <v>0</v>
      </c>
      <c r="AQ173" s="7" t="e">
        <f t="shared" si="54"/>
        <v>#DIV/0!</v>
      </c>
      <c r="AS173">
        <f t="shared" si="55"/>
        <v>0</v>
      </c>
      <c r="AT173">
        <f t="shared" si="56"/>
        <v>0</v>
      </c>
      <c r="AU173">
        <f t="shared" si="57"/>
        <v>0</v>
      </c>
      <c r="AV173" t="s">
        <v>107</v>
      </c>
      <c r="AW173">
        <f t="shared" si="58"/>
        <v>0</v>
      </c>
      <c r="AX173">
        <f t="shared" si="59"/>
        <v>0</v>
      </c>
      <c r="AY173">
        <f t="shared" si="60"/>
        <v>0</v>
      </c>
      <c r="AZ173">
        <f t="shared" si="61"/>
        <v>0</v>
      </c>
      <c r="BA173" t="s">
        <v>107</v>
      </c>
      <c r="BB173">
        <f t="shared" si="62"/>
        <v>0</v>
      </c>
      <c r="BC173">
        <f t="shared" si="63"/>
        <v>0</v>
      </c>
      <c r="BD173">
        <f t="shared" si="64"/>
        <v>0</v>
      </c>
      <c r="BE173">
        <f t="shared" si="65"/>
        <v>0</v>
      </c>
      <c r="BF173" t="s">
        <v>107</v>
      </c>
      <c r="BG173">
        <f t="shared" si="66"/>
        <v>0</v>
      </c>
      <c r="BH173">
        <f t="shared" si="67"/>
        <v>0</v>
      </c>
      <c r="BI173">
        <f t="shared" si="68"/>
        <v>0</v>
      </c>
      <c r="BJ173">
        <f t="shared" si="69"/>
        <v>0</v>
      </c>
      <c r="BK173">
        <f t="shared" si="70"/>
        <v>0</v>
      </c>
      <c r="BL173">
        <f t="shared" si="71"/>
        <v>0</v>
      </c>
      <c r="BM173">
        <f t="shared" si="72"/>
        <v>0</v>
      </c>
      <c r="BN173" t="e">
        <f t="shared" si="72"/>
        <v>#DIV/0!</v>
      </c>
    </row>
    <row r="174" spans="1:66" x14ac:dyDescent="0.25">
      <c r="A174">
        <v>2025</v>
      </c>
      <c r="B174" s="1">
        <f t="shared" si="73"/>
        <v>45826</v>
      </c>
      <c r="C174">
        <v>169</v>
      </c>
      <c r="D174">
        <v>70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K174" s="22">
        <f t="shared" si="76"/>
        <v>0</v>
      </c>
      <c r="AL174">
        <f t="shared" si="74"/>
        <v>70.099999999999994</v>
      </c>
      <c r="AM174" s="4">
        <v>32.94</v>
      </c>
      <c r="AP174" s="7">
        <f t="shared" si="53"/>
        <v>0</v>
      </c>
      <c r="AQ174" s="7" t="e">
        <f t="shared" si="54"/>
        <v>#DIV/0!</v>
      </c>
      <c r="AS174">
        <f t="shared" si="55"/>
        <v>0</v>
      </c>
      <c r="AT174">
        <f t="shared" si="56"/>
        <v>0</v>
      </c>
      <c r="AU174">
        <f t="shared" si="57"/>
        <v>0</v>
      </c>
      <c r="AV174" t="s">
        <v>107</v>
      </c>
      <c r="AW174">
        <f t="shared" si="58"/>
        <v>0</v>
      </c>
      <c r="AX174">
        <f t="shared" si="59"/>
        <v>0</v>
      </c>
      <c r="AY174">
        <f t="shared" si="60"/>
        <v>0</v>
      </c>
      <c r="AZ174">
        <f t="shared" si="61"/>
        <v>0</v>
      </c>
      <c r="BA174" t="s">
        <v>107</v>
      </c>
      <c r="BB174">
        <f t="shared" si="62"/>
        <v>0</v>
      </c>
      <c r="BC174">
        <f t="shared" si="63"/>
        <v>0</v>
      </c>
      <c r="BD174">
        <f t="shared" si="64"/>
        <v>0</v>
      </c>
      <c r="BE174">
        <f t="shared" si="65"/>
        <v>0</v>
      </c>
      <c r="BF174" t="s">
        <v>107</v>
      </c>
      <c r="BG174">
        <f t="shared" si="66"/>
        <v>0</v>
      </c>
      <c r="BH174">
        <f t="shared" si="67"/>
        <v>0</v>
      </c>
      <c r="BI174">
        <f t="shared" si="68"/>
        <v>0</v>
      </c>
      <c r="BJ174">
        <f t="shared" si="69"/>
        <v>0</v>
      </c>
      <c r="BK174">
        <f t="shared" si="70"/>
        <v>0</v>
      </c>
      <c r="BL174">
        <f t="shared" si="71"/>
        <v>0</v>
      </c>
      <c r="BM174">
        <f t="shared" si="72"/>
        <v>0</v>
      </c>
      <c r="BN174" t="e">
        <f t="shared" si="72"/>
        <v>#DIV/0!</v>
      </c>
    </row>
    <row r="175" spans="1:66" x14ac:dyDescent="0.25">
      <c r="A175">
        <v>2025</v>
      </c>
      <c r="B175" s="1">
        <f t="shared" si="73"/>
        <v>45827</v>
      </c>
      <c r="C175">
        <v>170</v>
      </c>
      <c r="D175">
        <v>70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K175" s="22">
        <f t="shared" si="76"/>
        <v>0</v>
      </c>
      <c r="AL175">
        <f t="shared" si="74"/>
        <v>70.099999999999994</v>
      </c>
      <c r="AM175" s="4">
        <v>32.94</v>
      </c>
      <c r="AP175" s="7">
        <f t="shared" si="53"/>
        <v>0</v>
      </c>
      <c r="AQ175" s="7" t="e">
        <f t="shared" si="54"/>
        <v>#DIV/0!</v>
      </c>
      <c r="AS175">
        <f t="shared" si="55"/>
        <v>0</v>
      </c>
      <c r="AT175">
        <f t="shared" si="56"/>
        <v>0</v>
      </c>
      <c r="AU175">
        <f t="shared" si="57"/>
        <v>0</v>
      </c>
      <c r="AV175" t="s">
        <v>107</v>
      </c>
      <c r="AW175">
        <f t="shared" si="58"/>
        <v>0</v>
      </c>
      <c r="AX175">
        <f t="shared" si="59"/>
        <v>0</v>
      </c>
      <c r="AY175">
        <f t="shared" si="60"/>
        <v>0</v>
      </c>
      <c r="AZ175">
        <f t="shared" si="61"/>
        <v>0</v>
      </c>
      <c r="BA175" t="s">
        <v>107</v>
      </c>
      <c r="BB175">
        <f t="shared" si="62"/>
        <v>0</v>
      </c>
      <c r="BC175">
        <f t="shared" si="63"/>
        <v>0</v>
      </c>
      <c r="BD175">
        <f t="shared" si="64"/>
        <v>0</v>
      </c>
      <c r="BE175">
        <f t="shared" si="65"/>
        <v>0</v>
      </c>
      <c r="BF175" t="s">
        <v>107</v>
      </c>
      <c r="BG175">
        <f t="shared" si="66"/>
        <v>0</v>
      </c>
      <c r="BH175">
        <f t="shared" si="67"/>
        <v>0</v>
      </c>
      <c r="BI175">
        <f t="shared" si="68"/>
        <v>0</v>
      </c>
      <c r="BJ175">
        <f t="shared" si="69"/>
        <v>0</v>
      </c>
      <c r="BK175">
        <f t="shared" si="70"/>
        <v>0</v>
      </c>
      <c r="BL175">
        <f t="shared" si="71"/>
        <v>0</v>
      </c>
      <c r="BM175">
        <f t="shared" si="72"/>
        <v>0</v>
      </c>
      <c r="BN175" t="e">
        <f t="shared" si="72"/>
        <v>#DIV/0!</v>
      </c>
    </row>
    <row r="176" spans="1:66" x14ac:dyDescent="0.25">
      <c r="A176">
        <v>2025</v>
      </c>
      <c r="B176" s="1">
        <f t="shared" si="73"/>
        <v>45828</v>
      </c>
      <c r="C176">
        <v>171</v>
      </c>
      <c r="D176">
        <v>70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K176" s="22">
        <f t="shared" si="76"/>
        <v>0</v>
      </c>
      <c r="AL176">
        <f t="shared" si="74"/>
        <v>70.099999999999994</v>
      </c>
      <c r="AM176" s="4">
        <v>32.94</v>
      </c>
      <c r="AP176" s="7">
        <f t="shared" si="53"/>
        <v>0</v>
      </c>
      <c r="AQ176" s="7" t="e">
        <f t="shared" si="54"/>
        <v>#DIV/0!</v>
      </c>
      <c r="AS176">
        <f t="shared" si="55"/>
        <v>0</v>
      </c>
      <c r="AT176">
        <f t="shared" si="56"/>
        <v>0</v>
      </c>
      <c r="AU176">
        <f t="shared" si="57"/>
        <v>0</v>
      </c>
      <c r="AV176" t="s">
        <v>107</v>
      </c>
      <c r="AW176">
        <f t="shared" si="58"/>
        <v>0</v>
      </c>
      <c r="AX176">
        <f t="shared" si="59"/>
        <v>0</v>
      </c>
      <c r="AY176">
        <f t="shared" si="60"/>
        <v>0</v>
      </c>
      <c r="AZ176">
        <f t="shared" si="61"/>
        <v>0</v>
      </c>
      <c r="BA176" t="s">
        <v>107</v>
      </c>
      <c r="BB176">
        <f t="shared" si="62"/>
        <v>0</v>
      </c>
      <c r="BC176">
        <f t="shared" si="63"/>
        <v>0</v>
      </c>
      <c r="BD176">
        <f t="shared" si="64"/>
        <v>0</v>
      </c>
      <c r="BE176">
        <f t="shared" si="65"/>
        <v>0</v>
      </c>
      <c r="BF176" t="s">
        <v>107</v>
      </c>
      <c r="BG176">
        <f t="shared" si="66"/>
        <v>0</v>
      </c>
      <c r="BH176">
        <f t="shared" si="67"/>
        <v>0</v>
      </c>
      <c r="BI176">
        <f t="shared" si="68"/>
        <v>0</v>
      </c>
      <c r="BJ176">
        <f t="shared" si="69"/>
        <v>0</v>
      </c>
      <c r="BK176">
        <f t="shared" si="70"/>
        <v>0</v>
      </c>
      <c r="BL176">
        <f t="shared" si="71"/>
        <v>0</v>
      </c>
      <c r="BM176">
        <f t="shared" si="72"/>
        <v>0</v>
      </c>
      <c r="BN176" t="e">
        <f t="shared" si="72"/>
        <v>#DIV/0!</v>
      </c>
    </row>
    <row r="177" spans="1:66" x14ac:dyDescent="0.25">
      <c r="A177">
        <v>2025</v>
      </c>
      <c r="B177" s="1">
        <f t="shared" si="73"/>
        <v>45829</v>
      </c>
      <c r="C177">
        <v>172</v>
      </c>
      <c r="D177">
        <v>70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K177" s="22">
        <f t="shared" si="76"/>
        <v>0</v>
      </c>
      <c r="AL177">
        <f t="shared" si="74"/>
        <v>70.099999999999994</v>
      </c>
      <c r="AM177" s="4">
        <v>32.93</v>
      </c>
      <c r="AP177" s="7">
        <f t="shared" si="53"/>
        <v>0</v>
      </c>
      <c r="AQ177" s="7" t="e">
        <f t="shared" si="54"/>
        <v>#DIV/0!</v>
      </c>
      <c r="AS177">
        <f t="shared" si="55"/>
        <v>0</v>
      </c>
      <c r="AT177">
        <f t="shared" si="56"/>
        <v>0</v>
      </c>
      <c r="AU177">
        <f t="shared" si="57"/>
        <v>0</v>
      </c>
      <c r="AV177" t="s">
        <v>107</v>
      </c>
      <c r="AW177">
        <f t="shared" si="58"/>
        <v>0</v>
      </c>
      <c r="AX177">
        <f t="shared" si="59"/>
        <v>0</v>
      </c>
      <c r="AY177">
        <f t="shared" si="60"/>
        <v>0</v>
      </c>
      <c r="AZ177">
        <f t="shared" si="61"/>
        <v>0</v>
      </c>
      <c r="BA177" t="s">
        <v>107</v>
      </c>
      <c r="BB177">
        <f t="shared" si="62"/>
        <v>0</v>
      </c>
      <c r="BC177">
        <f t="shared" si="63"/>
        <v>0</v>
      </c>
      <c r="BD177">
        <f t="shared" si="64"/>
        <v>0</v>
      </c>
      <c r="BE177">
        <f t="shared" si="65"/>
        <v>0</v>
      </c>
      <c r="BF177" t="s">
        <v>107</v>
      </c>
      <c r="BG177">
        <f t="shared" si="66"/>
        <v>0</v>
      </c>
      <c r="BH177">
        <f t="shared" si="67"/>
        <v>0</v>
      </c>
      <c r="BI177">
        <f t="shared" si="68"/>
        <v>0</v>
      </c>
      <c r="BJ177">
        <f t="shared" si="69"/>
        <v>0</v>
      </c>
      <c r="BK177">
        <f t="shared" si="70"/>
        <v>0</v>
      </c>
      <c r="BL177">
        <f t="shared" si="71"/>
        <v>0</v>
      </c>
      <c r="BM177">
        <f t="shared" si="72"/>
        <v>0</v>
      </c>
      <c r="BN177" t="e">
        <f t="shared" si="72"/>
        <v>#DIV/0!</v>
      </c>
    </row>
    <row r="178" spans="1:66" x14ac:dyDescent="0.25">
      <c r="A178">
        <v>2025</v>
      </c>
      <c r="B178" s="1">
        <f t="shared" si="73"/>
        <v>45830</v>
      </c>
      <c r="C178">
        <v>173</v>
      </c>
      <c r="D178">
        <v>70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K178" s="22">
        <f t="shared" si="76"/>
        <v>0</v>
      </c>
      <c r="AL178">
        <f t="shared" si="74"/>
        <v>70.099999999999994</v>
      </c>
      <c r="AM178" s="4">
        <v>32.909999999999997</v>
      </c>
      <c r="AP178" s="7">
        <f t="shared" si="53"/>
        <v>0</v>
      </c>
      <c r="AQ178" s="7" t="e">
        <f t="shared" si="54"/>
        <v>#DIV/0!</v>
      </c>
      <c r="AS178">
        <f t="shared" si="55"/>
        <v>0</v>
      </c>
      <c r="AT178">
        <f t="shared" si="56"/>
        <v>0</v>
      </c>
      <c r="AU178">
        <f t="shared" si="57"/>
        <v>0</v>
      </c>
      <c r="AV178" t="s">
        <v>107</v>
      </c>
      <c r="AW178">
        <f t="shared" si="58"/>
        <v>0</v>
      </c>
      <c r="AX178">
        <f t="shared" si="59"/>
        <v>0</v>
      </c>
      <c r="AY178">
        <f t="shared" si="60"/>
        <v>0</v>
      </c>
      <c r="AZ178">
        <f t="shared" si="61"/>
        <v>0</v>
      </c>
      <c r="BA178" t="s">
        <v>107</v>
      </c>
      <c r="BB178">
        <f t="shared" si="62"/>
        <v>0</v>
      </c>
      <c r="BC178">
        <f t="shared" si="63"/>
        <v>0</v>
      </c>
      <c r="BD178">
        <f t="shared" si="64"/>
        <v>0</v>
      </c>
      <c r="BE178">
        <f t="shared" si="65"/>
        <v>0</v>
      </c>
      <c r="BF178" t="s">
        <v>107</v>
      </c>
      <c r="BG178">
        <f t="shared" si="66"/>
        <v>0</v>
      </c>
      <c r="BH178">
        <f t="shared" si="67"/>
        <v>0</v>
      </c>
      <c r="BI178">
        <f t="shared" si="68"/>
        <v>0</v>
      </c>
      <c r="BJ178">
        <f t="shared" si="69"/>
        <v>0</v>
      </c>
      <c r="BK178">
        <f t="shared" si="70"/>
        <v>0</v>
      </c>
      <c r="BL178">
        <f t="shared" si="71"/>
        <v>0</v>
      </c>
      <c r="BM178">
        <f t="shared" si="72"/>
        <v>0</v>
      </c>
      <c r="BN178" t="e">
        <f t="shared" si="72"/>
        <v>#DIV/0!</v>
      </c>
    </row>
    <row r="179" spans="1:66" x14ac:dyDescent="0.25">
      <c r="A179">
        <v>2025</v>
      </c>
      <c r="B179" s="1">
        <f t="shared" si="73"/>
        <v>45831</v>
      </c>
      <c r="C179">
        <v>174</v>
      </c>
      <c r="D179">
        <v>70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K179" s="22">
        <f t="shared" si="76"/>
        <v>0</v>
      </c>
      <c r="AL179">
        <f t="shared" si="74"/>
        <v>70.099999999999994</v>
      </c>
      <c r="AM179" s="4">
        <v>32.89</v>
      </c>
      <c r="AP179" s="7">
        <f t="shared" si="53"/>
        <v>0</v>
      </c>
      <c r="AQ179" s="7" t="e">
        <f t="shared" si="54"/>
        <v>#DIV/0!</v>
      </c>
      <c r="AS179">
        <f t="shared" si="55"/>
        <v>0</v>
      </c>
      <c r="AT179">
        <f t="shared" si="56"/>
        <v>0</v>
      </c>
      <c r="AU179">
        <f t="shared" si="57"/>
        <v>0</v>
      </c>
      <c r="AV179" t="s">
        <v>107</v>
      </c>
      <c r="AW179">
        <f t="shared" si="58"/>
        <v>0</v>
      </c>
      <c r="AX179">
        <f t="shared" si="59"/>
        <v>0</v>
      </c>
      <c r="AY179">
        <f t="shared" si="60"/>
        <v>0</v>
      </c>
      <c r="AZ179">
        <f t="shared" si="61"/>
        <v>0</v>
      </c>
      <c r="BA179" t="s">
        <v>107</v>
      </c>
      <c r="BB179">
        <f t="shared" si="62"/>
        <v>0</v>
      </c>
      <c r="BC179">
        <f t="shared" si="63"/>
        <v>0</v>
      </c>
      <c r="BD179">
        <f t="shared" si="64"/>
        <v>0</v>
      </c>
      <c r="BE179">
        <f t="shared" si="65"/>
        <v>0</v>
      </c>
      <c r="BF179" t="s">
        <v>107</v>
      </c>
      <c r="BG179">
        <f t="shared" si="66"/>
        <v>0</v>
      </c>
      <c r="BH179">
        <f t="shared" si="67"/>
        <v>0</v>
      </c>
      <c r="BI179">
        <f t="shared" si="68"/>
        <v>0</v>
      </c>
      <c r="BJ179">
        <f t="shared" si="69"/>
        <v>0</v>
      </c>
      <c r="BK179">
        <f t="shared" si="70"/>
        <v>0</v>
      </c>
      <c r="BL179">
        <f t="shared" si="71"/>
        <v>0</v>
      </c>
      <c r="BM179">
        <f t="shared" si="72"/>
        <v>0</v>
      </c>
      <c r="BN179" t="e">
        <f t="shared" si="72"/>
        <v>#DIV/0!</v>
      </c>
    </row>
    <row r="180" spans="1:66" x14ac:dyDescent="0.25">
      <c r="A180">
        <v>2025</v>
      </c>
      <c r="B180" s="1">
        <f t="shared" si="73"/>
        <v>45832</v>
      </c>
      <c r="C180">
        <v>175</v>
      </c>
      <c r="D180">
        <v>70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K180" s="22">
        <f t="shared" si="76"/>
        <v>0</v>
      </c>
      <c r="AL180">
        <f t="shared" si="74"/>
        <v>70.099999999999994</v>
      </c>
      <c r="AM180" s="4">
        <v>32.869999999999997</v>
      </c>
      <c r="AP180" s="7">
        <f t="shared" si="53"/>
        <v>0</v>
      </c>
      <c r="AQ180" s="7" t="e">
        <f t="shared" si="54"/>
        <v>#DIV/0!</v>
      </c>
      <c r="AS180">
        <f t="shared" si="55"/>
        <v>0</v>
      </c>
      <c r="AT180">
        <f t="shared" si="56"/>
        <v>0</v>
      </c>
      <c r="AU180">
        <f t="shared" si="57"/>
        <v>0</v>
      </c>
      <c r="AV180" t="s">
        <v>107</v>
      </c>
      <c r="AW180">
        <f t="shared" si="58"/>
        <v>0</v>
      </c>
      <c r="AX180">
        <f t="shared" si="59"/>
        <v>0</v>
      </c>
      <c r="AY180">
        <f t="shared" si="60"/>
        <v>0</v>
      </c>
      <c r="AZ180">
        <f t="shared" si="61"/>
        <v>0</v>
      </c>
      <c r="BA180" t="s">
        <v>107</v>
      </c>
      <c r="BB180">
        <f t="shared" si="62"/>
        <v>0</v>
      </c>
      <c r="BC180">
        <f t="shared" si="63"/>
        <v>0</v>
      </c>
      <c r="BD180">
        <f t="shared" si="64"/>
        <v>0</v>
      </c>
      <c r="BE180">
        <f t="shared" si="65"/>
        <v>0</v>
      </c>
      <c r="BF180" t="s">
        <v>107</v>
      </c>
      <c r="BG180">
        <f t="shared" si="66"/>
        <v>0</v>
      </c>
      <c r="BH180">
        <f t="shared" si="67"/>
        <v>0</v>
      </c>
      <c r="BI180">
        <f t="shared" si="68"/>
        <v>0</v>
      </c>
      <c r="BJ180">
        <f t="shared" si="69"/>
        <v>0</v>
      </c>
      <c r="BK180">
        <f t="shared" si="70"/>
        <v>0</v>
      </c>
      <c r="BL180">
        <f t="shared" si="71"/>
        <v>0</v>
      </c>
      <c r="BM180">
        <f t="shared" si="72"/>
        <v>0</v>
      </c>
      <c r="BN180" t="e">
        <f t="shared" si="72"/>
        <v>#DIV/0!</v>
      </c>
    </row>
    <row r="181" spans="1:66" x14ac:dyDescent="0.25">
      <c r="A181">
        <v>2025</v>
      </c>
      <c r="B181" s="1">
        <f t="shared" si="73"/>
        <v>45833</v>
      </c>
      <c r="C181">
        <v>176</v>
      </c>
      <c r="D181">
        <v>70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K181" s="22">
        <f t="shared" si="76"/>
        <v>0</v>
      </c>
      <c r="AL181">
        <f t="shared" si="74"/>
        <v>70.099999999999994</v>
      </c>
      <c r="AM181" s="4">
        <v>32.840000000000003</v>
      </c>
      <c r="AP181" s="7">
        <f t="shared" si="53"/>
        <v>0</v>
      </c>
      <c r="AQ181" s="7" t="e">
        <f t="shared" si="54"/>
        <v>#DIV/0!</v>
      </c>
      <c r="AS181">
        <f t="shared" si="55"/>
        <v>0</v>
      </c>
      <c r="AT181">
        <f t="shared" si="56"/>
        <v>0</v>
      </c>
      <c r="AU181">
        <f t="shared" si="57"/>
        <v>0</v>
      </c>
      <c r="AV181" t="s">
        <v>107</v>
      </c>
      <c r="AW181">
        <f t="shared" si="58"/>
        <v>0</v>
      </c>
      <c r="AX181">
        <f t="shared" si="59"/>
        <v>0</v>
      </c>
      <c r="AY181">
        <f t="shared" si="60"/>
        <v>0</v>
      </c>
      <c r="AZ181">
        <f t="shared" si="61"/>
        <v>0</v>
      </c>
      <c r="BA181" t="s">
        <v>107</v>
      </c>
      <c r="BB181">
        <f t="shared" si="62"/>
        <v>0</v>
      </c>
      <c r="BC181">
        <f t="shared" si="63"/>
        <v>0</v>
      </c>
      <c r="BD181">
        <f t="shared" si="64"/>
        <v>0</v>
      </c>
      <c r="BE181">
        <f t="shared" si="65"/>
        <v>0</v>
      </c>
      <c r="BF181" t="s">
        <v>107</v>
      </c>
      <c r="BG181">
        <f t="shared" si="66"/>
        <v>0</v>
      </c>
      <c r="BH181">
        <f t="shared" si="67"/>
        <v>0</v>
      </c>
      <c r="BI181">
        <f t="shared" si="68"/>
        <v>0</v>
      </c>
      <c r="BJ181">
        <f t="shared" si="69"/>
        <v>0</v>
      </c>
      <c r="BK181">
        <f t="shared" si="70"/>
        <v>0</v>
      </c>
      <c r="BL181">
        <f t="shared" si="71"/>
        <v>0</v>
      </c>
      <c r="BM181">
        <f t="shared" si="72"/>
        <v>0</v>
      </c>
      <c r="BN181" t="e">
        <f t="shared" si="72"/>
        <v>#DIV/0!</v>
      </c>
    </row>
    <row r="182" spans="1:66" x14ac:dyDescent="0.25">
      <c r="A182">
        <v>2025</v>
      </c>
      <c r="B182" s="1">
        <f t="shared" si="73"/>
        <v>45834</v>
      </c>
      <c r="C182">
        <v>177</v>
      </c>
      <c r="D182">
        <v>70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K182" s="22">
        <f t="shared" si="76"/>
        <v>0</v>
      </c>
      <c r="AL182">
        <f t="shared" si="74"/>
        <v>70.099999999999994</v>
      </c>
      <c r="AM182" s="4">
        <v>32.81</v>
      </c>
      <c r="AP182" s="7">
        <f t="shared" si="53"/>
        <v>0</v>
      </c>
      <c r="AQ182" s="7" t="e">
        <f t="shared" si="54"/>
        <v>#DIV/0!</v>
      </c>
      <c r="AS182">
        <f t="shared" si="55"/>
        <v>0</v>
      </c>
      <c r="AT182">
        <f t="shared" si="56"/>
        <v>0</v>
      </c>
      <c r="AU182">
        <f t="shared" si="57"/>
        <v>0</v>
      </c>
      <c r="AV182" t="s">
        <v>107</v>
      </c>
      <c r="AW182">
        <f t="shared" si="58"/>
        <v>0</v>
      </c>
      <c r="AX182">
        <f t="shared" si="59"/>
        <v>0</v>
      </c>
      <c r="AY182">
        <f t="shared" si="60"/>
        <v>0</v>
      </c>
      <c r="AZ182">
        <f t="shared" si="61"/>
        <v>0</v>
      </c>
      <c r="BA182" t="s">
        <v>107</v>
      </c>
      <c r="BB182">
        <f t="shared" si="62"/>
        <v>0</v>
      </c>
      <c r="BC182">
        <f t="shared" si="63"/>
        <v>0</v>
      </c>
      <c r="BD182">
        <f t="shared" si="64"/>
        <v>0</v>
      </c>
      <c r="BE182">
        <f t="shared" si="65"/>
        <v>0</v>
      </c>
      <c r="BF182" t="s">
        <v>107</v>
      </c>
      <c r="BG182">
        <f t="shared" si="66"/>
        <v>0</v>
      </c>
      <c r="BH182">
        <f t="shared" si="67"/>
        <v>0</v>
      </c>
      <c r="BI182">
        <f t="shared" si="68"/>
        <v>0</v>
      </c>
      <c r="BJ182">
        <f t="shared" si="69"/>
        <v>0</v>
      </c>
      <c r="BK182">
        <f t="shared" si="70"/>
        <v>0</v>
      </c>
      <c r="BL182">
        <f t="shared" si="71"/>
        <v>0</v>
      </c>
      <c r="BM182">
        <f t="shared" si="72"/>
        <v>0</v>
      </c>
      <c r="BN182" t="e">
        <f t="shared" si="72"/>
        <v>#DIV/0!</v>
      </c>
    </row>
    <row r="183" spans="1:66" x14ac:dyDescent="0.25">
      <c r="A183">
        <v>2025</v>
      </c>
      <c r="B183" s="1">
        <f t="shared" si="73"/>
        <v>45835</v>
      </c>
      <c r="C183">
        <v>178</v>
      </c>
      <c r="D183">
        <v>70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K183" s="22">
        <f t="shared" si="76"/>
        <v>0</v>
      </c>
      <c r="AL183">
        <f t="shared" si="74"/>
        <v>70.099999999999994</v>
      </c>
      <c r="AM183" s="4">
        <v>32.78</v>
      </c>
      <c r="AP183" s="7">
        <f t="shared" si="53"/>
        <v>0</v>
      </c>
      <c r="AQ183" s="7" t="e">
        <f t="shared" si="54"/>
        <v>#DIV/0!</v>
      </c>
      <c r="AS183">
        <f t="shared" si="55"/>
        <v>0</v>
      </c>
      <c r="AT183">
        <f t="shared" si="56"/>
        <v>0</v>
      </c>
      <c r="AU183">
        <f t="shared" si="57"/>
        <v>0</v>
      </c>
      <c r="AV183" t="s">
        <v>107</v>
      </c>
      <c r="AW183">
        <f t="shared" si="58"/>
        <v>0</v>
      </c>
      <c r="AX183">
        <f t="shared" si="59"/>
        <v>0</v>
      </c>
      <c r="AY183">
        <f t="shared" si="60"/>
        <v>0</v>
      </c>
      <c r="AZ183">
        <f t="shared" si="61"/>
        <v>0</v>
      </c>
      <c r="BA183" t="s">
        <v>107</v>
      </c>
      <c r="BB183">
        <f t="shared" si="62"/>
        <v>0</v>
      </c>
      <c r="BC183">
        <f t="shared" si="63"/>
        <v>0</v>
      </c>
      <c r="BD183">
        <f t="shared" si="64"/>
        <v>0</v>
      </c>
      <c r="BE183">
        <f t="shared" si="65"/>
        <v>0</v>
      </c>
      <c r="BF183" t="s">
        <v>107</v>
      </c>
      <c r="BG183">
        <f t="shared" si="66"/>
        <v>0</v>
      </c>
      <c r="BH183">
        <f t="shared" si="67"/>
        <v>0</v>
      </c>
      <c r="BI183">
        <f t="shared" si="68"/>
        <v>0</v>
      </c>
      <c r="BJ183">
        <f t="shared" si="69"/>
        <v>0</v>
      </c>
      <c r="BK183">
        <f t="shared" si="70"/>
        <v>0</v>
      </c>
      <c r="BL183">
        <f t="shared" si="71"/>
        <v>0</v>
      </c>
      <c r="BM183">
        <f t="shared" si="72"/>
        <v>0</v>
      </c>
      <c r="BN183" t="e">
        <f t="shared" si="72"/>
        <v>#DIV/0!</v>
      </c>
    </row>
    <row r="184" spans="1:66" x14ac:dyDescent="0.25">
      <c r="A184">
        <v>2025</v>
      </c>
      <c r="B184" s="1">
        <f t="shared" si="73"/>
        <v>45836</v>
      </c>
      <c r="C184">
        <v>179</v>
      </c>
      <c r="D184">
        <v>70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K184" s="22">
        <f t="shared" si="76"/>
        <v>0</v>
      </c>
      <c r="AL184">
        <f t="shared" si="74"/>
        <v>70.099999999999994</v>
      </c>
      <c r="AM184" s="4">
        <v>32.74</v>
      </c>
      <c r="AP184" s="7">
        <f t="shared" si="53"/>
        <v>0</v>
      </c>
      <c r="AQ184" s="7" t="e">
        <f t="shared" si="54"/>
        <v>#DIV/0!</v>
      </c>
      <c r="AS184">
        <f t="shared" si="55"/>
        <v>0</v>
      </c>
      <c r="AT184">
        <f t="shared" si="56"/>
        <v>0</v>
      </c>
      <c r="AU184">
        <f t="shared" si="57"/>
        <v>0</v>
      </c>
      <c r="AV184" t="s">
        <v>107</v>
      </c>
      <c r="AW184">
        <f t="shared" si="58"/>
        <v>0</v>
      </c>
      <c r="AX184">
        <f t="shared" si="59"/>
        <v>0</v>
      </c>
      <c r="AY184">
        <f t="shared" si="60"/>
        <v>0</v>
      </c>
      <c r="AZ184">
        <f t="shared" si="61"/>
        <v>0</v>
      </c>
      <c r="BA184" t="s">
        <v>107</v>
      </c>
      <c r="BB184">
        <f t="shared" si="62"/>
        <v>0</v>
      </c>
      <c r="BC184">
        <f t="shared" si="63"/>
        <v>0</v>
      </c>
      <c r="BD184">
        <f t="shared" si="64"/>
        <v>0</v>
      </c>
      <c r="BE184">
        <f t="shared" si="65"/>
        <v>0</v>
      </c>
      <c r="BF184" t="s">
        <v>107</v>
      </c>
      <c r="BG184">
        <f t="shared" si="66"/>
        <v>0</v>
      </c>
      <c r="BH184">
        <f t="shared" si="67"/>
        <v>0</v>
      </c>
      <c r="BI184">
        <f t="shared" si="68"/>
        <v>0</v>
      </c>
      <c r="BJ184">
        <f t="shared" si="69"/>
        <v>0</v>
      </c>
      <c r="BK184">
        <f t="shared" si="70"/>
        <v>0</v>
      </c>
      <c r="BL184">
        <f t="shared" si="71"/>
        <v>0</v>
      </c>
      <c r="BM184">
        <f t="shared" si="72"/>
        <v>0</v>
      </c>
      <c r="BN184" t="e">
        <f t="shared" si="72"/>
        <v>#DIV/0!</v>
      </c>
    </row>
    <row r="185" spans="1:66" x14ac:dyDescent="0.25">
      <c r="A185">
        <v>2025</v>
      </c>
      <c r="B185" s="1">
        <f t="shared" si="73"/>
        <v>45837</v>
      </c>
      <c r="C185">
        <v>180</v>
      </c>
      <c r="D185">
        <v>70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K185" s="22">
        <f t="shared" si="76"/>
        <v>0</v>
      </c>
      <c r="AL185">
        <f t="shared" si="74"/>
        <v>70.099999999999994</v>
      </c>
      <c r="AM185" s="4">
        <v>32.700000000000003</v>
      </c>
      <c r="AP185" s="7">
        <f t="shared" si="53"/>
        <v>0</v>
      </c>
      <c r="AQ185" s="7" t="e">
        <f t="shared" si="54"/>
        <v>#DIV/0!</v>
      </c>
      <c r="AS185">
        <f t="shared" si="55"/>
        <v>0</v>
      </c>
      <c r="AT185">
        <f t="shared" si="56"/>
        <v>0</v>
      </c>
      <c r="AU185">
        <f t="shared" si="57"/>
        <v>0</v>
      </c>
      <c r="AV185" t="s">
        <v>107</v>
      </c>
      <c r="AW185">
        <f t="shared" si="58"/>
        <v>0</v>
      </c>
      <c r="AX185">
        <f t="shared" si="59"/>
        <v>0</v>
      </c>
      <c r="AY185">
        <f t="shared" si="60"/>
        <v>0</v>
      </c>
      <c r="AZ185">
        <f t="shared" si="61"/>
        <v>0</v>
      </c>
      <c r="BA185" t="s">
        <v>107</v>
      </c>
      <c r="BB185">
        <f t="shared" si="62"/>
        <v>0</v>
      </c>
      <c r="BC185">
        <f t="shared" si="63"/>
        <v>0</v>
      </c>
      <c r="BD185">
        <f t="shared" si="64"/>
        <v>0</v>
      </c>
      <c r="BE185">
        <f t="shared" si="65"/>
        <v>0</v>
      </c>
      <c r="BF185" t="s">
        <v>107</v>
      </c>
      <c r="BG185">
        <f t="shared" si="66"/>
        <v>0</v>
      </c>
      <c r="BH185">
        <f t="shared" si="67"/>
        <v>0</v>
      </c>
      <c r="BI185">
        <f t="shared" si="68"/>
        <v>0</v>
      </c>
      <c r="BJ185">
        <f t="shared" si="69"/>
        <v>0</v>
      </c>
      <c r="BK185">
        <f t="shared" si="70"/>
        <v>0</v>
      </c>
      <c r="BL185">
        <f t="shared" si="71"/>
        <v>0</v>
      </c>
      <c r="BM185">
        <f t="shared" si="72"/>
        <v>0</v>
      </c>
      <c r="BN185" t="e">
        <f t="shared" si="72"/>
        <v>#DIV/0!</v>
      </c>
    </row>
    <row r="186" spans="1:66" x14ac:dyDescent="0.25">
      <c r="A186">
        <v>2025</v>
      </c>
      <c r="B186" s="1">
        <f t="shared" si="73"/>
        <v>45838</v>
      </c>
      <c r="C186">
        <v>181</v>
      </c>
      <c r="D186">
        <v>70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K186" s="22">
        <f t="shared" si="76"/>
        <v>0</v>
      </c>
      <c r="AL186">
        <f t="shared" si="74"/>
        <v>70.099999999999994</v>
      </c>
      <c r="AM186" s="4">
        <v>32.65</v>
      </c>
      <c r="AP186" s="7">
        <f t="shared" si="53"/>
        <v>0</v>
      </c>
      <c r="AQ186" s="7" t="e">
        <f t="shared" si="54"/>
        <v>#DIV/0!</v>
      </c>
      <c r="AS186">
        <f t="shared" si="55"/>
        <v>0</v>
      </c>
      <c r="AT186">
        <f t="shared" si="56"/>
        <v>0</v>
      </c>
      <c r="AU186">
        <f t="shared" si="57"/>
        <v>0</v>
      </c>
      <c r="AV186" t="s">
        <v>107</v>
      </c>
      <c r="AW186">
        <f t="shared" si="58"/>
        <v>0</v>
      </c>
      <c r="AX186">
        <f t="shared" si="59"/>
        <v>0</v>
      </c>
      <c r="AY186">
        <f t="shared" si="60"/>
        <v>0</v>
      </c>
      <c r="AZ186">
        <f t="shared" si="61"/>
        <v>0</v>
      </c>
      <c r="BA186" t="s">
        <v>107</v>
      </c>
      <c r="BB186">
        <f t="shared" si="62"/>
        <v>0</v>
      </c>
      <c r="BC186">
        <f t="shared" si="63"/>
        <v>0</v>
      </c>
      <c r="BD186">
        <f t="shared" si="64"/>
        <v>0</v>
      </c>
      <c r="BE186">
        <f t="shared" si="65"/>
        <v>0</v>
      </c>
      <c r="BF186" t="s">
        <v>107</v>
      </c>
      <c r="BG186">
        <f t="shared" si="66"/>
        <v>0</v>
      </c>
      <c r="BH186">
        <f t="shared" si="67"/>
        <v>0</v>
      </c>
      <c r="BI186">
        <f t="shared" si="68"/>
        <v>0</v>
      </c>
      <c r="BJ186">
        <f t="shared" si="69"/>
        <v>0</v>
      </c>
      <c r="BK186">
        <f t="shared" si="70"/>
        <v>0</v>
      </c>
      <c r="BL186">
        <f t="shared" si="71"/>
        <v>0</v>
      </c>
      <c r="BM186">
        <f t="shared" si="72"/>
        <v>0</v>
      </c>
      <c r="BN186" t="e">
        <f t="shared" si="72"/>
        <v>#DIV/0!</v>
      </c>
    </row>
    <row r="187" spans="1:66" x14ac:dyDescent="0.25">
      <c r="A187">
        <v>2025</v>
      </c>
      <c r="B187" s="1">
        <f t="shared" si="73"/>
        <v>45839</v>
      </c>
      <c r="C187">
        <v>182</v>
      </c>
      <c r="D187">
        <v>70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K187" s="22">
        <f t="shared" si="76"/>
        <v>0</v>
      </c>
      <c r="AL187">
        <f t="shared" si="74"/>
        <v>70.099999999999994</v>
      </c>
      <c r="AM187" s="4">
        <v>32.6</v>
      </c>
      <c r="AP187" s="7">
        <f t="shared" si="53"/>
        <v>0</v>
      </c>
      <c r="AQ187" s="7" t="e">
        <f t="shared" si="54"/>
        <v>#DIV/0!</v>
      </c>
      <c r="AS187">
        <f t="shared" si="55"/>
        <v>0</v>
      </c>
      <c r="AT187">
        <f t="shared" si="56"/>
        <v>0</v>
      </c>
      <c r="AU187">
        <f t="shared" si="57"/>
        <v>0</v>
      </c>
      <c r="AV187" t="s">
        <v>107</v>
      </c>
      <c r="AW187">
        <f t="shared" si="58"/>
        <v>0</v>
      </c>
      <c r="AX187">
        <f t="shared" si="59"/>
        <v>0</v>
      </c>
      <c r="AY187">
        <f t="shared" si="60"/>
        <v>0</v>
      </c>
      <c r="AZ187">
        <f t="shared" si="61"/>
        <v>0</v>
      </c>
      <c r="BA187" t="s">
        <v>107</v>
      </c>
      <c r="BB187">
        <f t="shared" si="62"/>
        <v>0</v>
      </c>
      <c r="BC187">
        <f t="shared" si="63"/>
        <v>0</v>
      </c>
      <c r="BD187">
        <f t="shared" si="64"/>
        <v>0</v>
      </c>
      <c r="BE187">
        <f t="shared" si="65"/>
        <v>0</v>
      </c>
      <c r="BF187" t="s">
        <v>107</v>
      </c>
      <c r="BG187">
        <f t="shared" si="66"/>
        <v>0</v>
      </c>
      <c r="BH187">
        <f t="shared" si="67"/>
        <v>0</v>
      </c>
      <c r="BI187">
        <f t="shared" si="68"/>
        <v>0</v>
      </c>
      <c r="BJ187">
        <f t="shared" si="69"/>
        <v>0</v>
      </c>
      <c r="BK187">
        <f t="shared" si="70"/>
        <v>0</v>
      </c>
      <c r="BL187">
        <f t="shared" si="71"/>
        <v>0</v>
      </c>
      <c r="BM187">
        <f t="shared" si="72"/>
        <v>0</v>
      </c>
      <c r="BN187" t="e">
        <f t="shared" si="72"/>
        <v>#DIV/0!</v>
      </c>
    </row>
    <row r="188" spans="1:66" x14ac:dyDescent="0.25">
      <c r="A188">
        <v>2025</v>
      </c>
      <c r="B188" s="1">
        <f t="shared" si="73"/>
        <v>45840</v>
      </c>
      <c r="C188">
        <v>183</v>
      </c>
      <c r="D188">
        <v>70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K188" s="22">
        <f t="shared" si="76"/>
        <v>0</v>
      </c>
      <c r="AL188">
        <f t="shared" si="74"/>
        <v>70.099999999999994</v>
      </c>
      <c r="AM188" s="4">
        <v>32.54</v>
      </c>
      <c r="AP188" s="7">
        <f t="shared" si="53"/>
        <v>0</v>
      </c>
      <c r="AQ188" s="7" t="e">
        <f t="shared" si="54"/>
        <v>#DIV/0!</v>
      </c>
      <c r="AS188">
        <f t="shared" si="55"/>
        <v>0</v>
      </c>
      <c r="AT188">
        <f t="shared" si="56"/>
        <v>0</v>
      </c>
      <c r="AU188">
        <f t="shared" si="57"/>
        <v>0</v>
      </c>
      <c r="AV188" t="s">
        <v>107</v>
      </c>
      <c r="AW188">
        <f t="shared" si="58"/>
        <v>0</v>
      </c>
      <c r="AX188">
        <f t="shared" si="59"/>
        <v>0</v>
      </c>
      <c r="AY188">
        <f t="shared" si="60"/>
        <v>0</v>
      </c>
      <c r="AZ188">
        <f t="shared" si="61"/>
        <v>0</v>
      </c>
      <c r="BA188" t="s">
        <v>107</v>
      </c>
      <c r="BB188">
        <f t="shared" si="62"/>
        <v>0</v>
      </c>
      <c r="BC188">
        <f t="shared" si="63"/>
        <v>0</v>
      </c>
      <c r="BD188">
        <f t="shared" si="64"/>
        <v>0</v>
      </c>
      <c r="BE188">
        <f t="shared" si="65"/>
        <v>0</v>
      </c>
      <c r="BF188" t="s">
        <v>107</v>
      </c>
      <c r="BG188">
        <f t="shared" si="66"/>
        <v>0</v>
      </c>
      <c r="BH188">
        <f t="shared" si="67"/>
        <v>0</v>
      </c>
      <c r="BI188">
        <f t="shared" si="68"/>
        <v>0</v>
      </c>
      <c r="BJ188">
        <f t="shared" si="69"/>
        <v>0</v>
      </c>
      <c r="BK188">
        <f t="shared" si="70"/>
        <v>0</v>
      </c>
      <c r="BL188">
        <f t="shared" si="71"/>
        <v>0</v>
      </c>
      <c r="BM188">
        <f t="shared" si="72"/>
        <v>0</v>
      </c>
      <c r="BN188" t="e">
        <f t="shared" si="72"/>
        <v>#DIV/0!</v>
      </c>
    </row>
    <row r="189" spans="1:66" x14ac:dyDescent="0.25">
      <c r="A189">
        <v>2025</v>
      </c>
      <c r="B189" s="1">
        <f t="shared" si="73"/>
        <v>45841</v>
      </c>
      <c r="C189">
        <v>184</v>
      </c>
      <c r="D189">
        <v>70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K189" s="22">
        <f t="shared" si="76"/>
        <v>0</v>
      </c>
      <c r="AL189">
        <f t="shared" si="74"/>
        <v>70.099999999999994</v>
      </c>
      <c r="AM189" s="4">
        <v>32.49</v>
      </c>
      <c r="AP189" s="7">
        <f t="shared" si="53"/>
        <v>0</v>
      </c>
      <c r="AQ189" s="7" t="e">
        <f t="shared" si="54"/>
        <v>#DIV/0!</v>
      </c>
      <c r="AS189">
        <f t="shared" si="55"/>
        <v>0</v>
      </c>
      <c r="AT189">
        <f t="shared" si="56"/>
        <v>0</v>
      </c>
      <c r="AU189">
        <f t="shared" si="57"/>
        <v>0</v>
      </c>
      <c r="AV189" t="s">
        <v>107</v>
      </c>
      <c r="AW189">
        <f t="shared" si="58"/>
        <v>0</v>
      </c>
      <c r="AX189">
        <f t="shared" si="59"/>
        <v>0</v>
      </c>
      <c r="AY189">
        <f t="shared" si="60"/>
        <v>0</v>
      </c>
      <c r="AZ189">
        <f t="shared" si="61"/>
        <v>0</v>
      </c>
      <c r="BA189" t="s">
        <v>107</v>
      </c>
      <c r="BB189">
        <f t="shared" si="62"/>
        <v>0</v>
      </c>
      <c r="BC189">
        <f t="shared" si="63"/>
        <v>0</v>
      </c>
      <c r="BD189">
        <f t="shared" si="64"/>
        <v>0</v>
      </c>
      <c r="BE189">
        <f t="shared" si="65"/>
        <v>0</v>
      </c>
      <c r="BF189" t="s">
        <v>107</v>
      </c>
      <c r="BG189">
        <f t="shared" si="66"/>
        <v>0</v>
      </c>
      <c r="BH189">
        <f t="shared" si="67"/>
        <v>0</v>
      </c>
      <c r="BI189">
        <f t="shared" si="68"/>
        <v>0</v>
      </c>
      <c r="BJ189">
        <f t="shared" si="69"/>
        <v>0</v>
      </c>
      <c r="BK189">
        <f t="shared" si="70"/>
        <v>0</v>
      </c>
      <c r="BL189">
        <f t="shared" si="71"/>
        <v>0</v>
      </c>
      <c r="BM189">
        <f t="shared" si="72"/>
        <v>0</v>
      </c>
      <c r="BN189" t="e">
        <f t="shared" si="72"/>
        <v>#DIV/0!</v>
      </c>
    </row>
    <row r="190" spans="1:66" x14ac:dyDescent="0.25">
      <c r="A190">
        <v>2025</v>
      </c>
      <c r="B190" s="1">
        <f t="shared" si="73"/>
        <v>45842</v>
      </c>
      <c r="C190" s="2">
        <v>185</v>
      </c>
      <c r="D190">
        <v>70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K190" s="22">
        <f t="shared" si="76"/>
        <v>0</v>
      </c>
      <c r="AL190">
        <f t="shared" si="74"/>
        <v>70.099999999999994</v>
      </c>
      <c r="AM190" s="4">
        <v>32.42</v>
      </c>
      <c r="AP190" s="7">
        <f t="shared" si="53"/>
        <v>0</v>
      </c>
      <c r="AQ190" s="7" t="e">
        <f t="shared" si="54"/>
        <v>#DIV/0!</v>
      </c>
      <c r="AS190">
        <f t="shared" si="55"/>
        <v>0</v>
      </c>
      <c r="AT190">
        <f t="shared" si="56"/>
        <v>0</v>
      </c>
      <c r="AU190">
        <f t="shared" si="57"/>
        <v>0</v>
      </c>
      <c r="AV190" t="s">
        <v>107</v>
      </c>
      <c r="AW190">
        <f t="shared" si="58"/>
        <v>0</v>
      </c>
      <c r="AX190">
        <f t="shared" si="59"/>
        <v>0</v>
      </c>
      <c r="AY190">
        <f t="shared" si="60"/>
        <v>0</v>
      </c>
      <c r="AZ190">
        <f t="shared" si="61"/>
        <v>0</v>
      </c>
      <c r="BA190" t="s">
        <v>107</v>
      </c>
      <c r="BB190">
        <f t="shared" si="62"/>
        <v>0</v>
      </c>
      <c r="BC190">
        <f t="shared" si="63"/>
        <v>0</v>
      </c>
      <c r="BD190">
        <f t="shared" si="64"/>
        <v>0</v>
      </c>
      <c r="BE190">
        <f t="shared" si="65"/>
        <v>0</v>
      </c>
      <c r="BF190" t="s">
        <v>107</v>
      </c>
      <c r="BG190">
        <f t="shared" si="66"/>
        <v>0</v>
      </c>
      <c r="BH190">
        <f t="shared" si="67"/>
        <v>0</v>
      </c>
      <c r="BI190">
        <f t="shared" si="68"/>
        <v>0</v>
      </c>
      <c r="BJ190">
        <f t="shared" si="69"/>
        <v>0</v>
      </c>
      <c r="BK190">
        <f t="shared" si="70"/>
        <v>0</v>
      </c>
      <c r="BL190">
        <f t="shared" si="71"/>
        <v>0</v>
      </c>
      <c r="BM190">
        <f t="shared" si="72"/>
        <v>0</v>
      </c>
      <c r="BN190" t="e">
        <f t="shared" si="72"/>
        <v>#DIV/0!</v>
      </c>
    </row>
    <row r="191" spans="1:66" x14ac:dyDescent="0.25">
      <c r="A191">
        <v>2025</v>
      </c>
      <c r="B191" s="1">
        <f t="shared" si="73"/>
        <v>45843</v>
      </c>
      <c r="C191" s="2">
        <v>186</v>
      </c>
      <c r="D191">
        <v>70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K191" s="22">
        <f t="shared" si="76"/>
        <v>0</v>
      </c>
      <c r="AL191">
        <f t="shared" si="74"/>
        <v>70.099999999999994</v>
      </c>
      <c r="AM191" s="4">
        <v>32.35</v>
      </c>
      <c r="AP191" s="7">
        <f t="shared" si="53"/>
        <v>0</v>
      </c>
      <c r="AQ191" s="7" t="e">
        <f t="shared" si="54"/>
        <v>#DIV/0!</v>
      </c>
      <c r="AS191">
        <f t="shared" si="55"/>
        <v>0</v>
      </c>
      <c r="AT191">
        <f t="shared" si="56"/>
        <v>0</v>
      </c>
      <c r="AU191">
        <f t="shared" si="57"/>
        <v>0</v>
      </c>
      <c r="AV191" t="s">
        <v>107</v>
      </c>
      <c r="AW191">
        <f t="shared" si="58"/>
        <v>0</v>
      </c>
      <c r="AX191">
        <f t="shared" si="59"/>
        <v>0</v>
      </c>
      <c r="AY191">
        <f t="shared" si="60"/>
        <v>0</v>
      </c>
      <c r="AZ191">
        <f t="shared" si="61"/>
        <v>0</v>
      </c>
      <c r="BA191" t="s">
        <v>107</v>
      </c>
      <c r="BB191">
        <f t="shared" si="62"/>
        <v>0</v>
      </c>
      <c r="BC191">
        <f t="shared" si="63"/>
        <v>0</v>
      </c>
      <c r="BD191">
        <f t="shared" si="64"/>
        <v>0</v>
      </c>
      <c r="BE191">
        <f t="shared" si="65"/>
        <v>0</v>
      </c>
      <c r="BF191" t="s">
        <v>107</v>
      </c>
      <c r="BG191">
        <f t="shared" si="66"/>
        <v>0</v>
      </c>
      <c r="BH191">
        <f t="shared" si="67"/>
        <v>0</v>
      </c>
      <c r="BI191">
        <f t="shared" si="68"/>
        <v>0</v>
      </c>
      <c r="BJ191">
        <f t="shared" si="69"/>
        <v>0</v>
      </c>
      <c r="BK191">
        <f t="shared" si="70"/>
        <v>0</v>
      </c>
      <c r="BL191">
        <f t="shared" si="71"/>
        <v>0</v>
      </c>
      <c r="BM191">
        <f t="shared" si="72"/>
        <v>0</v>
      </c>
      <c r="BN191" t="e">
        <f t="shared" si="72"/>
        <v>#DIV/0!</v>
      </c>
    </row>
    <row r="192" spans="1:66" x14ac:dyDescent="0.25">
      <c r="A192">
        <v>2025</v>
      </c>
      <c r="B192" s="1">
        <f t="shared" si="73"/>
        <v>45844</v>
      </c>
      <c r="C192" s="2">
        <v>187</v>
      </c>
      <c r="D192">
        <v>70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K192" s="22">
        <f t="shared" si="76"/>
        <v>0</v>
      </c>
      <c r="AL192">
        <f t="shared" si="74"/>
        <v>70.099999999999994</v>
      </c>
      <c r="AM192" s="4">
        <v>32.28</v>
      </c>
      <c r="AP192" s="7">
        <f t="shared" si="53"/>
        <v>0</v>
      </c>
      <c r="AQ192" s="7" t="e">
        <f t="shared" si="54"/>
        <v>#DIV/0!</v>
      </c>
      <c r="AS192">
        <f t="shared" si="55"/>
        <v>0</v>
      </c>
      <c r="AT192">
        <f t="shared" si="56"/>
        <v>0</v>
      </c>
      <c r="AU192">
        <f t="shared" si="57"/>
        <v>0</v>
      </c>
      <c r="AV192" t="s">
        <v>107</v>
      </c>
      <c r="AW192">
        <f t="shared" si="58"/>
        <v>0</v>
      </c>
      <c r="AX192">
        <f t="shared" si="59"/>
        <v>0</v>
      </c>
      <c r="AY192">
        <f t="shared" si="60"/>
        <v>0</v>
      </c>
      <c r="AZ192">
        <f t="shared" si="61"/>
        <v>0</v>
      </c>
      <c r="BA192" t="s">
        <v>107</v>
      </c>
      <c r="BB192">
        <f t="shared" si="62"/>
        <v>0</v>
      </c>
      <c r="BC192">
        <f t="shared" si="63"/>
        <v>0</v>
      </c>
      <c r="BD192">
        <f t="shared" si="64"/>
        <v>0</v>
      </c>
      <c r="BE192">
        <f t="shared" si="65"/>
        <v>0</v>
      </c>
      <c r="BF192" t="s">
        <v>107</v>
      </c>
      <c r="BG192">
        <f t="shared" si="66"/>
        <v>0</v>
      </c>
      <c r="BH192">
        <f t="shared" si="67"/>
        <v>0</v>
      </c>
      <c r="BI192">
        <f t="shared" si="68"/>
        <v>0</v>
      </c>
      <c r="BJ192">
        <f t="shared" si="69"/>
        <v>0</v>
      </c>
      <c r="BK192">
        <f t="shared" si="70"/>
        <v>0</v>
      </c>
      <c r="BL192">
        <f t="shared" si="71"/>
        <v>0</v>
      </c>
      <c r="BM192">
        <f t="shared" si="72"/>
        <v>0</v>
      </c>
      <c r="BN192" t="e">
        <f t="shared" si="72"/>
        <v>#DIV/0!</v>
      </c>
    </row>
    <row r="193" spans="1:66" x14ac:dyDescent="0.25">
      <c r="A193">
        <v>2025</v>
      </c>
      <c r="B193" s="1">
        <f t="shared" si="73"/>
        <v>45845</v>
      </c>
      <c r="C193" s="2">
        <v>188</v>
      </c>
      <c r="D193">
        <v>70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K193" s="22">
        <f t="shared" si="76"/>
        <v>0</v>
      </c>
      <c r="AL193">
        <f t="shared" si="74"/>
        <v>70.099999999999994</v>
      </c>
      <c r="AM193" s="4">
        <v>32.21</v>
      </c>
      <c r="AP193" s="7">
        <f t="shared" si="53"/>
        <v>0</v>
      </c>
      <c r="AQ193" s="7" t="e">
        <f t="shared" si="54"/>
        <v>#DIV/0!</v>
      </c>
      <c r="AS193">
        <f t="shared" si="55"/>
        <v>0</v>
      </c>
      <c r="AT193">
        <f t="shared" si="56"/>
        <v>0</v>
      </c>
      <c r="AU193">
        <f t="shared" si="57"/>
        <v>0</v>
      </c>
      <c r="AV193" t="s">
        <v>107</v>
      </c>
      <c r="AW193">
        <f t="shared" si="58"/>
        <v>0</v>
      </c>
      <c r="AX193">
        <f t="shared" si="59"/>
        <v>0</v>
      </c>
      <c r="AY193">
        <f t="shared" si="60"/>
        <v>0</v>
      </c>
      <c r="AZ193">
        <f t="shared" si="61"/>
        <v>0</v>
      </c>
      <c r="BA193" t="s">
        <v>107</v>
      </c>
      <c r="BB193">
        <f t="shared" si="62"/>
        <v>0</v>
      </c>
      <c r="BC193">
        <f t="shared" si="63"/>
        <v>0</v>
      </c>
      <c r="BD193">
        <f t="shared" si="64"/>
        <v>0</v>
      </c>
      <c r="BE193">
        <f t="shared" si="65"/>
        <v>0</v>
      </c>
      <c r="BF193" t="s">
        <v>107</v>
      </c>
      <c r="BG193">
        <f t="shared" si="66"/>
        <v>0</v>
      </c>
      <c r="BH193">
        <f t="shared" si="67"/>
        <v>0</v>
      </c>
      <c r="BI193">
        <f t="shared" si="68"/>
        <v>0</v>
      </c>
      <c r="BJ193">
        <f t="shared" si="69"/>
        <v>0</v>
      </c>
      <c r="BK193">
        <f t="shared" si="70"/>
        <v>0</v>
      </c>
      <c r="BL193">
        <f t="shared" si="71"/>
        <v>0</v>
      </c>
      <c r="BM193">
        <f t="shared" si="72"/>
        <v>0</v>
      </c>
      <c r="BN193" t="e">
        <f t="shared" si="72"/>
        <v>#DIV/0!</v>
      </c>
    </row>
    <row r="194" spans="1:66" x14ac:dyDescent="0.25">
      <c r="A194">
        <v>2025</v>
      </c>
      <c r="B194" s="1">
        <f t="shared" si="73"/>
        <v>45846</v>
      </c>
      <c r="C194" s="2">
        <v>189</v>
      </c>
      <c r="D194">
        <v>70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K194" s="22">
        <f t="shared" si="76"/>
        <v>0</v>
      </c>
      <c r="AL194">
        <f t="shared" si="74"/>
        <v>70.099999999999994</v>
      </c>
      <c r="AM194" s="4">
        <v>32.130000000000003</v>
      </c>
      <c r="AP194" s="7">
        <f t="shared" si="53"/>
        <v>0</v>
      </c>
      <c r="AQ194" s="7" t="e">
        <f t="shared" si="54"/>
        <v>#DIV/0!</v>
      </c>
      <c r="AS194">
        <f t="shared" si="55"/>
        <v>0</v>
      </c>
      <c r="AT194">
        <f t="shared" si="56"/>
        <v>0</v>
      </c>
      <c r="AU194">
        <f t="shared" si="57"/>
        <v>0</v>
      </c>
      <c r="AV194" t="s">
        <v>107</v>
      </c>
      <c r="AW194">
        <f t="shared" si="58"/>
        <v>0</v>
      </c>
      <c r="AX194">
        <f t="shared" si="59"/>
        <v>0</v>
      </c>
      <c r="AY194">
        <f t="shared" si="60"/>
        <v>0</v>
      </c>
      <c r="AZ194">
        <f t="shared" si="61"/>
        <v>0</v>
      </c>
      <c r="BA194" t="s">
        <v>107</v>
      </c>
      <c r="BB194">
        <f t="shared" si="62"/>
        <v>0</v>
      </c>
      <c r="BC194">
        <f t="shared" si="63"/>
        <v>0</v>
      </c>
      <c r="BD194">
        <f t="shared" si="64"/>
        <v>0</v>
      </c>
      <c r="BE194">
        <f t="shared" si="65"/>
        <v>0</v>
      </c>
      <c r="BF194" t="s">
        <v>107</v>
      </c>
      <c r="BG194">
        <f t="shared" si="66"/>
        <v>0</v>
      </c>
      <c r="BH194">
        <f t="shared" si="67"/>
        <v>0</v>
      </c>
      <c r="BI194">
        <f t="shared" si="68"/>
        <v>0</v>
      </c>
      <c r="BJ194">
        <f t="shared" si="69"/>
        <v>0</v>
      </c>
      <c r="BK194">
        <f t="shared" si="70"/>
        <v>0</v>
      </c>
      <c r="BL194">
        <f t="shared" si="71"/>
        <v>0</v>
      </c>
      <c r="BM194">
        <f t="shared" si="72"/>
        <v>0</v>
      </c>
      <c r="BN194" t="e">
        <f t="shared" si="72"/>
        <v>#DIV/0!</v>
      </c>
    </row>
    <row r="195" spans="1:66" x14ac:dyDescent="0.25">
      <c r="A195">
        <v>2025</v>
      </c>
      <c r="B195" s="1">
        <f t="shared" si="73"/>
        <v>45847</v>
      </c>
      <c r="C195" s="2">
        <v>190</v>
      </c>
      <c r="D195">
        <v>70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K195" s="22">
        <f t="shared" si="76"/>
        <v>0</v>
      </c>
      <c r="AL195">
        <f t="shared" si="74"/>
        <v>70.099999999999994</v>
      </c>
      <c r="AM195" s="4">
        <v>32.049999999999997</v>
      </c>
      <c r="AP195" s="7">
        <f t="shared" si="53"/>
        <v>0</v>
      </c>
      <c r="AQ195" s="7" t="e">
        <f t="shared" si="54"/>
        <v>#DIV/0!</v>
      </c>
      <c r="AS195">
        <f t="shared" si="55"/>
        <v>0</v>
      </c>
      <c r="AT195">
        <f t="shared" si="56"/>
        <v>0</v>
      </c>
      <c r="AU195">
        <f t="shared" si="57"/>
        <v>0</v>
      </c>
      <c r="AV195" t="s">
        <v>107</v>
      </c>
      <c r="AW195">
        <f t="shared" si="58"/>
        <v>0</v>
      </c>
      <c r="AX195">
        <f t="shared" si="59"/>
        <v>0</v>
      </c>
      <c r="AY195">
        <f t="shared" si="60"/>
        <v>0</v>
      </c>
      <c r="AZ195">
        <f t="shared" si="61"/>
        <v>0</v>
      </c>
      <c r="BA195" t="s">
        <v>107</v>
      </c>
      <c r="BB195">
        <f t="shared" si="62"/>
        <v>0</v>
      </c>
      <c r="BC195">
        <f t="shared" si="63"/>
        <v>0</v>
      </c>
      <c r="BD195">
        <f t="shared" si="64"/>
        <v>0</v>
      </c>
      <c r="BE195">
        <f t="shared" si="65"/>
        <v>0</v>
      </c>
      <c r="BF195" t="s">
        <v>107</v>
      </c>
      <c r="BG195">
        <f t="shared" si="66"/>
        <v>0</v>
      </c>
      <c r="BH195">
        <f t="shared" si="67"/>
        <v>0</v>
      </c>
      <c r="BI195">
        <f t="shared" si="68"/>
        <v>0</v>
      </c>
      <c r="BJ195">
        <f t="shared" si="69"/>
        <v>0</v>
      </c>
      <c r="BK195">
        <f t="shared" si="70"/>
        <v>0</v>
      </c>
      <c r="BL195">
        <f t="shared" si="71"/>
        <v>0</v>
      </c>
      <c r="BM195">
        <f t="shared" si="72"/>
        <v>0</v>
      </c>
      <c r="BN195" t="e">
        <f t="shared" si="72"/>
        <v>#DIV/0!</v>
      </c>
    </row>
    <row r="196" spans="1:66" x14ac:dyDescent="0.25">
      <c r="A196">
        <v>2025</v>
      </c>
      <c r="B196" s="1">
        <f t="shared" si="73"/>
        <v>45848</v>
      </c>
      <c r="C196" s="2">
        <v>191</v>
      </c>
      <c r="D196">
        <v>70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K196" s="22">
        <f t="shared" si="76"/>
        <v>0</v>
      </c>
      <c r="AL196">
        <f t="shared" si="74"/>
        <v>70.099999999999994</v>
      </c>
      <c r="AM196" s="4">
        <v>31.96</v>
      </c>
      <c r="AP196" s="7">
        <f t="shared" si="53"/>
        <v>0</v>
      </c>
      <c r="AQ196" s="7" t="e">
        <f t="shared" si="54"/>
        <v>#DIV/0!</v>
      </c>
      <c r="AS196">
        <f t="shared" si="55"/>
        <v>0</v>
      </c>
      <c r="AT196">
        <f t="shared" si="56"/>
        <v>0</v>
      </c>
      <c r="AU196">
        <f t="shared" si="57"/>
        <v>0</v>
      </c>
      <c r="AV196" t="s">
        <v>107</v>
      </c>
      <c r="AW196">
        <f t="shared" si="58"/>
        <v>0</v>
      </c>
      <c r="AX196">
        <f t="shared" si="59"/>
        <v>0</v>
      </c>
      <c r="AY196">
        <f t="shared" si="60"/>
        <v>0</v>
      </c>
      <c r="AZ196">
        <f t="shared" si="61"/>
        <v>0</v>
      </c>
      <c r="BA196" t="s">
        <v>107</v>
      </c>
      <c r="BB196">
        <f t="shared" si="62"/>
        <v>0</v>
      </c>
      <c r="BC196">
        <f t="shared" si="63"/>
        <v>0</v>
      </c>
      <c r="BD196">
        <f t="shared" si="64"/>
        <v>0</v>
      </c>
      <c r="BE196">
        <f t="shared" si="65"/>
        <v>0</v>
      </c>
      <c r="BF196" t="s">
        <v>107</v>
      </c>
      <c r="BG196">
        <f t="shared" si="66"/>
        <v>0</v>
      </c>
      <c r="BH196">
        <f t="shared" si="67"/>
        <v>0</v>
      </c>
      <c r="BI196">
        <f t="shared" si="68"/>
        <v>0</v>
      </c>
      <c r="BJ196">
        <f t="shared" si="69"/>
        <v>0</v>
      </c>
      <c r="BK196">
        <f t="shared" si="70"/>
        <v>0</v>
      </c>
      <c r="BL196">
        <f t="shared" si="71"/>
        <v>0</v>
      </c>
      <c r="BM196">
        <f t="shared" si="72"/>
        <v>0</v>
      </c>
      <c r="BN196" t="e">
        <f t="shared" si="72"/>
        <v>#DIV/0!</v>
      </c>
    </row>
    <row r="197" spans="1:66" x14ac:dyDescent="0.25">
      <c r="A197">
        <v>2025</v>
      </c>
      <c r="B197" s="1">
        <f t="shared" si="73"/>
        <v>45849</v>
      </c>
      <c r="C197" s="2">
        <v>192</v>
      </c>
      <c r="D197">
        <v>70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K197" s="22">
        <f t="shared" si="76"/>
        <v>0</v>
      </c>
      <c r="AL197">
        <f t="shared" si="74"/>
        <v>70.099999999999994</v>
      </c>
      <c r="AM197" s="4">
        <v>31.87</v>
      </c>
      <c r="AP197" s="7">
        <f t="shared" si="53"/>
        <v>0</v>
      </c>
      <c r="AQ197" s="7" t="e">
        <f t="shared" si="54"/>
        <v>#DIV/0!</v>
      </c>
      <c r="AS197">
        <f t="shared" si="55"/>
        <v>0</v>
      </c>
      <c r="AT197">
        <f t="shared" si="56"/>
        <v>0</v>
      </c>
      <c r="AU197">
        <f t="shared" si="57"/>
        <v>0</v>
      </c>
      <c r="AV197" t="s">
        <v>107</v>
      </c>
      <c r="AW197">
        <f t="shared" si="58"/>
        <v>0</v>
      </c>
      <c r="AX197">
        <f t="shared" si="59"/>
        <v>0</v>
      </c>
      <c r="AY197">
        <f t="shared" si="60"/>
        <v>0</v>
      </c>
      <c r="AZ197">
        <f t="shared" si="61"/>
        <v>0</v>
      </c>
      <c r="BA197" t="s">
        <v>107</v>
      </c>
      <c r="BB197">
        <f t="shared" si="62"/>
        <v>0</v>
      </c>
      <c r="BC197">
        <f t="shared" si="63"/>
        <v>0</v>
      </c>
      <c r="BD197">
        <f t="shared" si="64"/>
        <v>0</v>
      </c>
      <c r="BE197">
        <f t="shared" si="65"/>
        <v>0</v>
      </c>
      <c r="BF197" t="s">
        <v>107</v>
      </c>
      <c r="BG197">
        <f t="shared" si="66"/>
        <v>0</v>
      </c>
      <c r="BH197">
        <f t="shared" si="67"/>
        <v>0</v>
      </c>
      <c r="BI197">
        <f t="shared" si="68"/>
        <v>0</v>
      </c>
      <c r="BJ197">
        <f t="shared" si="69"/>
        <v>0</v>
      </c>
      <c r="BK197">
        <f t="shared" si="70"/>
        <v>0</v>
      </c>
      <c r="BL197">
        <f t="shared" si="71"/>
        <v>0</v>
      </c>
      <c r="BM197">
        <f t="shared" si="72"/>
        <v>0</v>
      </c>
      <c r="BN197" t="e">
        <f t="shared" si="72"/>
        <v>#DIV/0!</v>
      </c>
    </row>
    <row r="198" spans="1:66" x14ac:dyDescent="0.25">
      <c r="A198">
        <v>2025</v>
      </c>
      <c r="B198" s="1">
        <f t="shared" si="73"/>
        <v>45850</v>
      </c>
      <c r="C198" s="2">
        <v>193</v>
      </c>
      <c r="D198">
        <v>70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K198" s="22">
        <f t="shared" si="76"/>
        <v>0</v>
      </c>
      <c r="AL198">
        <f t="shared" si="74"/>
        <v>70.099999999999994</v>
      </c>
      <c r="AM198" s="4">
        <v>31.78</v>
      </c>
      <c r="AP198" s="7">
        <f t="shared" ref="AP198:AP261" si="77">ROUND((0.6105*(EXP((17.273*O198)/(O198+237.3))))*U198/100,3)</f>
        <v>0</v>
      </c>
      <c r="AQ198" s="7" t="e">
        <f t="shared" ref="AQ198:AQ261" si="78">ROUND(AP198/U198*(100-U198),3)</f>
        <v>#DIV/0!</v>
      </c>
      <c r="AS198">
        <f t="shared" ref="AS198:AS261" si="79">AN198</f>
        <v>0</v>
      </c>
      <c r="AT198">
        <f t="shared" ref="AT198:AT261" si="80">ROUND(J198,1)</f>
        <v>0</v>
      </c>
      <c r="AU198">
        <f t="shared" ref="AU198:AU261" si="81">ROUND(K198,1)</f>
        <v>0</v>
      </c>
      <c r="AV198" t="s">
        <v>107</v>
      </c>
      <c r="AW198">
        <f t="shared" ref="AW198:AW261" si="82">ROUND(M198,1)</f>
        <v>0</v>
      </c>
      <c r="AX198">
        <f t="shared" ref="AX198:AX261" si="83">ROUND(N198,1)</f>
        <v>0</v>
      </c>
      <c r="AY198">
        <f t="shared" ref="AY198:AY261" si="84">ROUND(O198,1)</f>
        <v>0</v>
      </c>
      <c r="AZ198">
        <f t="shared" ref="AZ198:AZ261" si="85">ROUND(P198,1)</f>
        <v>0</v>
      </c>
      <c r="BA198" t="s">
        <v>107</v>
      </c>
      <c r="BB198">
        <f t="shared" ref="BB198:BB261" si="86">ROUND(R198,1)</f>
        <v>0</v>
      </c>
      <c r="BC198">
        <f t="shared" ref="BC198:BC261" si="87">ROUND(S198,1)</f>
        <v>0</v>
      </c>
      <c r="BD198">
        <f t="shared" ref="BD198:BD261" si="88">ROUND(T198,1)</f>
        <v>0</v>
      </c>
      <c r="BE198">
        <f t="shared" ref="BE198:BE261" si="89">ROUND(U198,1)</f>
        <v>0</v>
      </c>
      <c r="BF198" t="s">
        <v>107</v>
      </c>
      <c r="BG198">
        <f t="shared" ref="BG198:BG261" si="90">ROUND(W198,1)</f>
        <v>0</v>
      </c>
      <c r="BH198">
        <f t="shared" ref="BH198:BH261" si="91">ROUND(X198,1)</f>
        <v>0</v>
      </c>
      <c r="BI198">
        <f t="shared" ref="BI198:BI261" si="92">ROUND(Y198,2)</f>
        <v>0</v>
      </c>
      <c r="BJ198">
        <f t="shared" ref="BJ198:BJ261" si="93">ROUND(Z198,2)</f>
        <v>0</v>
      </c>
      <c r="BK198">
        <f t="shared" ref="BK198:BK261" si="94">AI198</f>
        <v>0</v>
      </c>
      <c r="BL198">
        <f t="shared" ref="BL198:BL261" si="95">ROUND(AK198,1)</f>
        <v>0</v>
      </c>
      <c r="BM198">
        <f t="shared" ref="BM198:BN261" si="96">ROUND(AP198,3)</f>
        <v>0</v>
      </c>
      <c r="BN198" t="e">
        <f t="shared" si="96"/>
        <v>#DIV/0!</v>
      </c>
    </row>
    <row r="199" spans="1:66" x14ac:dyDescent="0.25">
      <c r="A199">
        <v>2025</v>
      </c>
      <c r="B199" s="1">
        <f t="shared" ref="B199:B262" si="97">B198+1</f>
        <v>45851</v>
      </c>
      <c r="C199" s="2">
        <v>194</v>
      </c>
      <c r="D199">
        <v>70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K199" s="22">
        <f t="shared" si="76"/>
        <v>0</v>
      </c>
      <c r="AL199">
        <f t="shared" ref="AL199:AL262" si="98">AL198+AK199</f>
        <v>70.099999999999994</v>
      </c>
      <c r="AM199" s="4">
        <v>31.67</v>
      </c>
      <c r="AP199" s="7">
        <f t="shared" si="77"/>
        <v>0</v>
      </c>
      <c r="AQ199" s="7" t="e">
        <f t="shared" si="78"/>
        <v>#DIV/0!</v>
      </c>
      <c r="AS199">
        <f t="shared" si="79"/>
        <v>0</v>
      </c>
      <c r="AT199">
        <f t="shared" si="80"/>
        <v>0</v>
      </c>
      <c r="AU199">
        <f t="shared" si="81"/>
        <v>0</v>
      </c>
      <c r="AV199" t="s">
        <v>107</v>
      </c>
      <c r="AW199">
        <f t="shared" si="82"/>
        <v>0</v>
      </c>
      <c r="AX199">
        <f t="shared" si="83"/>
        <v>0</v>
      </c>
      <c r="AY199">
        <f t="shared" si="84"/>
        <v>0</v>
      </c>
      <c r="AZ199">
        <f t="shared" si="85"/>
        <v>0</v>
      </c>
      <c r="BA199" t="s">
        <v>107</v>
      </c>
      <c r="BB199">
        <f t="shared" si="86"/>
        <v>0</v>
      </c>
      <c r="BC199">
        <f t="shared" si="87"/>
        <v>0</v>
      </c>
      <c r="BD199">
        <f t="shared" si="88"/>
        <v>0</v>
      </c>
      <c r="BE199">
        <f t="shared" si="89"/>
        <v>0</v>
      </c>
      <c r="BF199" t="s">
        <v>107</v>
      </c>
      <c r="BG199">
        <f t="shared" si="90"/>
        <v>0</v>
      </c>
      <c r="BH199">
        <f t="shared" si="91"/>
        <v>0</v>
      </c>
      <c r="BI199">
        <f t="shared" si="92"/>
        <v>0</v>
      </c>
      <c r="BJ199">
        <f t="shared" si="93"/>
        <v>0</v>
      </c>
      <c r="BK199">
        <f t="shared" si="94"/>
        <v>0</v>
      </c>
      <c r="BL199">
        <f t="shared" si="95"/>
        <v>0</v>
      </c>
      <c r="BM199">
        <f t="shared" si="96"/>
        <v>0</v>
      </c>
      <c r="BN199" t="e">
        <f t="shared" si="96"/>
        <v>#DIV/0!</v>
      </c>
    </row>
    <row r="200" spans="1:66" x14ac:dyDescent="0.25">
      <c r="A200">
        <v>2025</v>
      </c>
      <c r="B200" s="1">
        <f t="shared" si="97"/>
        <v>45852</v>
      </c>
      <c r="C200" s="2">
        <v>195</v>
      </c>
      <c r="D200">
        <v>70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K200" s="22">
        <f t="shared" si="76"/>
        <v>0</v>
      </c>
      <c r="AL200">
        <f t="shared" si="98"/>
        <v>70.099999999999994</v>
      </c>
      <c r="AM200" s="4">
        <v>31.57</v>
      </c>
      <c r="AP200" s="7">
        <f t="shared" si="77"/>
        <v>0</v>
      </c>
      <c r="AQ200" s="7" t="e">
        <f t="shared" si="78"/>
        <v>#DIV/0!</v>
      </c>
      <c r="AS200">
        <f t="shared" si="79"/>
        <v>0</v>
      </c>
      <c r="AT200">
        <f t="shared" si="80"/>
        <v>0</v>
      </c>
      <c r="AU200">
        <f t="shared" si="81"/>
        <v>0</v>
      </c>
      <c r="AV200" t="s">
        <v>107</v>
      </c>
      <c r="AW200">
        <f t="shared" si="82"/>
        <v>0</v>
      </c>
      <c r="AX200">
        <f t="shared" si="83"/>
        <v>0</v>
      </c>
      <c r="AY200">
        <f t="shared" si="84"/>
        <v>0</v>
      </c>
      <c r="AZ200">
        <f t="shared" si="85"/>
        <v>0</v>
      </c>
      <c r="BA200" t="s">
        <v>107</v>
      </c>
      <c r="BB200">
        <f t="shared" si="86"/>
        <v>0</v>
      </c>
      <c r="BC200">
        <f t="shared" si="87"/>
        <v>0</v>
      </c>
      <c r="BD200">
        <f t="shared" si="88"/>
        <v>0</v>
      </c>
      <c r="BE200">
        <f t="shared" si="89"/>
        <v>0</v>
      </c>
      <c r="BF200" t="s">
        <v>107</v>
      </c>
      <c r="BG200">
        <f t="shared" si="90"/>
        <v>0</v>
      </c>
      <c r="BH200">
        <f t="shared" si="91"/>
        <v>0</v>
      </c>
      <c r="BI200">
        <f t="shared" si="92"/>
        <v>0</v>
      </c>
      <c r="BJ200">
        <f t="shared" si="93"/>
        <v>0</v>
      </c>
      <c r="BK200">
        <f t="shared" si="94"/>
        <v>0</v>
      </c>
      <c r="BL200">
        <f t="shared" si="95"/>
        <v>0</v>
      </c>
      <c r="BM200">
        <f t="shared" si="96"/>
        <v>0</v>
      </c>
      <c r="BN200" t="e">
        <f t="shared" si="96"/>
        <v>#DIV/0!</v>
      </c>
    </row>
    <row r="201" spans="1:66" x14ac:dyDescent="0.25">
      <c r="A201">
        <v>2025</v>
      </c>
      <c r="B201" s="1">
        <f t="shared" si="97"/>
        <v>45853</v>
      </c>
      <c r="C201" s="2">
        <v>196</v>
      </c>
      <c r="D201">
        <v>70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K201" s="22">
        <f t="shared" si="76"/>
        <v>0</v>
      </c>
      <c r="AL201">
        <f t="shared" si="98"/>
        <v>70.099999999999994</v>
      </c>
      <c r="AM201" s="4">
        <v>31.46</v>
      </c>
      <c r="AP201" s="7">
        <f t="shared" si="77"/>
        <v>0</v>
      </c>
      <c r="AQ201" s="7" t="e">
        <f t="shared" si="78"/>
        <v>#DIV/0!</v>
      </c>
      <c r="AS201">
        <f t="shared" si="79"/>
        <v>0</v>
      </c>
      <c r="AT201">
        <f t="shared" si="80"/>
        <v>0</v>
      </c>
      <c r="AU201">
        <f t="shared" si="81"/>
        <v>0</v>
      </c>
      <c r="AV201" t="s">
        <v>107</v>
      </c>
      <c r="AW201">
        <f t="shared" si="82"/>
        <v>0</v>
      </c>
      <c r="AX201">
        <f t="shared" si="83"/>
        <v>0</v>
      </c>
      <c r="AY201">
        <f t="shared" si="84"/>
        <v>0</v>
      </c>
      <c r="AZ201">
        <f t="shared" si="85"/>
        <v>0</v>
      </c>
      <c r="BA201" t="s">
        <v>107</v>
      </c>
      <c r="BB201">
        <f t="shared" si="86"/>
        <v>0</v>
      </c>
      <c r="BC201">
        <f t="shared" si="87"/>
        <v>0</v>
      </c>
      <c r="BD201">
        <f t="shared" si="88"/>
        <v>0</v>
      </c>
      <c r="BE201">
        <f t="shared" si="89"/>
        <v>0</v>
      </c>
      <c r="BF201" t="s">
        <v>107</v>
      </c>
      <c r="BG201">
        <f t="shared" si="90"/>
        <v>0</v>
      </c>
      <c r="BH201">
        <f t="shared" si="91"/>
        <v>0</v>
      </c>
      <c r="BI201">
        <f t="shared" si="92"/>
        <v>0</v>
      </c>
      <c r="BJ201">
        <f t="shared" si="93"/>
        <v>0</v>
      </c>
      <c r="BK201">
        <f t="shared" si="94"/>
        <v>0</v>
      </c>
      <c r="BL201">
        <f t="shared" si="95"/>
        <v>0</v>
      </c>
      <c r="BM201">
        <f t="shared" si="96"/>
        <v>0</v>
      </c>
      <c r="BN201" t="e">
        <f t="shared" si="96"/>
        <v>#DIV/0!</v>
      </c>
    </row>
    <row r="202" spans="1:66" x14ac:dyDescent="0.25">
      <c r="A202">
        <v>2025</v>
      </c>
      <c r="B202" s="1">
        <f t="shared" si="97"/>
        <v>45854</v>
      </c>
      <c r="C202" s="2">
        <v>197</v>
      </c>
      <c r="D202">
        <v>70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K202" s="22">
        <f t="shared" si="76"/>
        <v>0</v>
      </c>
      <c r="AL202">
        <f t="shared" si="98"/>
        <v>70.099999999999994</v>
      </c>
      <c r="AM202" s="4">
        <v>31.35</v>
      </c>
      <c r="AP202" s="7">
        <f t="shared" si="77"/>
        <v>0</v>
      </c>
      <c r="AQ202" s="7" t="e">
        <f t="shared" si="78"/>
        <v>#DIV/0!</v>
      </c>
      <c r="AS202">
        <f t="shared" si="79"/>
        <v>0</v>
      </c>
      <c r="AT202">
        <f t="shared" si="80"/>
        <v>0</v>
      </c>
      <c r="AU202">
        <f t="shared" si="81"/>
        <v>0</v>
      </c>
      <c r="AV202" t="s">
        <v>107</v>
      </c>
      <c r="AW202">
        <f t="shared" si="82"/>
        <v>0</v>
      </c>
      <c r="AX202">
        <f t="shared" si="83"/>
        <v>0</v>
      </c>
      <c r="AY202">
        <f t="shared" si="84"/>
        <v>0</v>
      </c>
      <c r="AZ202">
        <f t="shared" si="85"/>
        <v>0</v>
      </c>
      <c r="BA202" t="s">
        <v>107</v>
      </c>
      <c r="BB202">
        <f t="shared" si="86"/>
        <v>0</v>
      </c>
      <c r="BC202">
        <f t="shared" si="87"/>
        <v>0</v>
      </c>
      <c r="BD202">
        <f t="shared" si="88"/>
        <v>0</v>
      </c>
      <c r="BE202">
        <f t="shared" si="89"/>
        <v>0</v>
      </c>
      <c r="BF202" t="s">
        <v>107</v>
      </c>
      <c r="BG202">
        <f t="shared" si="90"/>
        <v>0</v>
      </c>
      <c r="BH202">
        <f t="shared" si="91"/>
        <v>0</v>
      </c>
      <c r="BI202">
        <f t="shared" si="92"/>
        <v>0</v>
      </c>
      <c r="BJ202">
        <f t="shared" si="93"/>
        <v>0</v>
      </c>
      <c r="BK202">
        <f t="shared" si="94"/>
        <v>0</v>
      </c>
      <c r="BL202">
        <f t="shared" si="95"/>
        <v>0</v>
      </c>
      <c r="BM202">
        <f t="shared" si="96"/>
        <v>0</v>
      </c>
      <c r="BN202" t="e">
        <f t="shared" si="96"/>
        <v>#DIV/0!</v>
      </c>
    </row>
    <row r="203" spans="1:66" x14ac:dyDescent="0.25">
      <c r="A203">
        <v>2025</v>
      </c>
      <c r="B203" s="1">
        <f t="shared" si="97"/>
        <v>45855</v>
      </c>
      <c r="C203" s="2">
        <v>198</v>
      </c>
      <c r="D203">
        <v>70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K203" s="22">
        <f t="shared" si="76"/>
        <v>0</v>
      </c>
      <c r="AL203">
        <f t="shared" si="98"/>
        <v>70.099999999999994</v>
      </c>
      <c r="AM203" s="4">
        <v>31.23</v>
      </c>
      <c r="AP203" s="7">
        <f t="shared" si="77"/>
        <v>0</v>
      </c>
      <c r="AQ203" s="7" t="e">
        <f t="shared" si="78"/>
        <v>#DIV/0!</v>
      </c>
      <c r="AS203">
        <f t="shared" si="79"/>
        <v>0</v>
      </c>
      <c r="AT203">
        <f t="shared" si="80"/>
        <v>0</v>
      </c>
      <c r="AU203">
        <f t="shared" si="81"/>
        <v>0</v>
      </c>
      <c r="AV203" t="s">
        <v>107</v>
      </c>
      <c r="AW203">
        <f t="shared" si="82"/>
        <v>0</v>
      </c>
      <c r="AX203">
        <f t="shared" si="83"/>
        <v>0</v>
      </c>
      <c r="AY203">
        <f t="shared" si="84"/>
        <v>0</v>
      </c>
      <c r="AZ203">
        <f t="shared" si="85"/>
        <v>0</v>
      </c>
      <c r="BA203" t="s">
        <v>107</v>
      </c>
      <c r="BB203">
        <f t="shared" si="86"/>
        <v>0</v>
      </c>
      <c r="BC203">
        <f t="shared" si="87"/>
        <v>0</v>
      </c>
      <c r="BD203">
        <f t="shared" si="88"/>
        <v>0</v>
      </c>
      <c r="BE203">
        <f t="shared" si="89"/>
        <v>0</v>
      </c>
      <c r="BF203" t="s">
        <v>107</v>
      </c>
      <c r="BG203">
        <f t="shared" si="90"/>
        <v>0</v>
      </c>
      <c r="BH203">
        <f t="shared" si="91"/>
        <v>0</v>
      </c>
      <c r="BI203">
        <f t="shared" si="92"/>
        <v>0</v>
      </c>
      <c r="BJ203">
        <f t="shared" si="93"/>
        <v>0</v>
      </c>
      <c r="BK203">
        <f t="shared" si="94"/>
        <v>0</v>
      </c>
      <c r="BL203">
        <f t="shared" si="95"/>
        <v>0</v>
      </c>
      <c r="BM203">
        <f t="shared" si="96"/>
        <v>0</v>
      </c>
      <c r="BN203" t="e">
        <f t="shared" si="96"/>
        <v>#DIV/0!</v>
      </c>
    </row>
    <row r="204" spans="1:66" x14ac:dyDescent="0.25">
      <c r="A204">
        <v>2025</v>
      </c>
      <c r="B204" s="1">
        <f t="shared" si="97"/>
        <v>45856</v>
      </c>
      <c r="C204" s="2">
        <v>199</v>
      </c>
      <c r="D204">
        <v>70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K204" s="22">
        <f t="shared" si="76"/>
        <v>0</v>
      </c>
      <c r="AL204">
        <f t="shared" si="98"/>
        <v>70.099999999999994</v>
      </c>
      <c r="AM204" s="4">
        <v>31.12</v>
      </c>
      <c r="AP204" s="7">
        <f t="shared" si="77"/>
        <v>0</v>
      </c>
      <c r="AQ204" s="7" t="e">
        <f t="shared" si="78"/>
        <v>#DIV/0!</v>
      </c>
      <c r="AS204">
        <f t="shared" si="79"/>
        <v>0</v>
      </c>
      <c r="AT204">
        <f t="shared" si="80"/>
        <v>0</v>
      </c>
      <c r="AU204">
        <f t="shared" si="81"/>
        <v>0</v>
      </c>
      <c r="AV204" t="s">
        <v>107</v>
      </c>
      <c r="AW204">
        <f t="shared" si="82"/>
        <v>0</v>
      </c>
      <c r="AX204">
        <f t="shared" si="83"/>
        <v>0</v>
      </c>
      <c r="AY204">
        <f t="shared" si="84"/>
        <v>0</v>
      </c>
      <c r="AZ204">
        <f t="shared" si="85"/>
        <v>0</v>
      </c>
      <c r="BA204" t="s">
        <v>107</v>
      </c>
      <c r="BB204">
        <f t="shared" si="86"/>
        <v>0</v>
      </c>
      <c r="BC204">
        <f t="shared" si="87"/>
        <v>0</v>
      </c>
      <c r="BD204">
        <f t="shared" si="88"/>
        <v>0</v>
      </c>
      <c r="BE204">
        <f t="shared" si="89"/>
        <v>0</v>
      </c>
      <c r="BF204" t="s">
        <v>107</v>
      </c>
      <c r="BG204">
        <f t="shared" si="90"/>
        <v>0</v>
      </c>
      <c r="BH204">
        <f t="shared" si="91"/>
        <v>0</v>
      </c>
      <c r="BI204">
        <f t="shared" si="92"/>
        <v>0</v>
      </c>
      <c r="BJ204">
        <f t="shared" si="93"/>
        <v>0</v>
      </c>
      <c r="BK204">
        <f t="shared" si="94"/>
        <v>0</v>
      </c>
      <c r="BL204">
        <f t="shared" si="95"/>
        <v>0</v>
      </c>
      <c r="BM204">
        <f t="shared" si="96"/>
        <v>0</v>
      </c>
      <c r="BN204" t="e">
        <f t="shared" si="96"/>
        <v>#DIV/0!</v>
      </c>
    </row>
    <row r="205" spans="1:66" x14ac:dyDescent="0.25">
      <c r="A205">
        <v>2025</v>
      </c>
      <c r="B205" s="1">
        <f t="shared" si="97"/>
        <v>45857</v>
      </c>
      <c r="C205" s="2">
        <v>200</v>
      </c>
      <c r="D205">
        <v>70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K205" s="22">
        <f t="shared" ref="AK205:AK236" si="99">AA205</f>
        <v>0</v>
      </c>
      <c r="AL205">
        <f t="shared" si="98"/>
        <v>70.099999999999994</v>
      </c>
      <c r="AM205" s="4">
        <v>30.99</v>
      </c>
      <c r="AP205" s="7">
        <f t="shared" si="77"/>
        <v>0</v>
      </c>
      <c r="AQ205" s="7" t="e">
        <f t="shared" si="78"/>
        <v>#DIV/0!</v>
      </c>
      <c r="AS205">
        <f t="shared" si="79"/>
        <v>0</v>
      </c>
      <c r="AT205">
        <f t="shared" si="80"/>
        <v>0</v>
      </c>
      <c r="AU205">
        <f t="shared" si="81"/>
        <v>0</v>
      </c>
      <c r="AV205" t="s">
        <v>107</v>
      </c>
      <c r="AW205">
        <f t="shared" si="82"/>
        <v>0</v>
      </c>
      <c r="AX205">
        <f t="shared" si="83"/>
        <v>0</v>
      </c>
      <c r="AY205">
        <f t="shared" si="84"/>
        <v>0</v>
      </c>
      <c r="AZ205">
        <f t="shared" si="85"/>
        <v>0</v>
      </c>
      <c r="BA205" t="s">
        <v>107</v>
      </c>
      <c r="BB205">
        <f t="shared" si="86"/>
        <v>0</v>
      </c>
      <c r="BC205">
        <f t="shared" si="87"/>
        <v>0</v>
      </c>
      <c r="BD205">
        <f t="shared" si="88"/>
        <v>0</v>
      </c>
      <c r="BE205">
        <f t="shared" si="89"/>
        <v>0</v>
      </c>
      <c r="BF205" t="s">
        <v>107</v>
      </c>
      <c r="BG205">
        <f t="shared" si="90"/>
        <v>0</v>
      </c>
      <c r="BH205">
        <f t="shared" si="91"/>
        <v>0</v>
      </c>
      <c r="BI205">
        <f t="shared" si="92"/>
        <v>0</v>
      </c>
      <c r="BJ205">
        <f t="shared" si="93"/>
        <v>0</v>
      </c>
      <c r="BK205">
        <f t="shared" si="94"/>
        <v>0</v>
      </c>
      <c r="BL205">
        <f t="shared" si="95"/>
        <v>0</v>
      </c>
      <c r="BM205">
        <f t="shared" si="96"/>
        <v>0</v>
      </c>
      <c r="BN205" t="e">
        <f t="shared" si="96"/>
        <v>#DIV/0!</v>
      </c>
    </row>
    <row r="206" spans="1:66" x14ac:dyDescent="0.25">
      <c r="A206">
        <v>2025</v>
      </c>
      <c r="B206" s="1">
        <f t="shared" si="97"/>
        <v>45858</v>
      </c>
      <c r="C206" s="2">
        <v>201</v>
      </c>
      <c r="D206">
        <v>70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K206" s="22">
        <f t="shared" si="99"/>
        <v>0</v>
      </c>
      <c r="AL206">
        <f t="shared" si="98"/>
        <v>70.099999999999994</v>
      </c>
      <c r="AM206" s="4">
        <v>30.87</v>
      </c>
      <c r="AP206" s="7">
        <f t="shared" si="77"/>
        <v>0</v>
      </c>
      <c r="AQ206" s="7" t="e">
        <f t="shared" si="78"/>
        <v>#DIV/0!</v>
      </c>
      <c r="AS206">
        <f t="shared" si="79"/>
        <v>0</v>
      </c>
      <c r="AT206">
        <f t="shared" si="80"/>
        <v>0</v>
      </c>
      <c r="AU206">
        <f t="shared" si="81"/>
        <v>0</v>
      </c>
      <c r="AV206" t="s">
        <v>107</v>
      </c>
      <c r="AW206">
        <f t="shared" si="82"/>
        <v>0</v>
      </c>
      <c r="AX206">
        <f t="shared" si="83"/>
        <v>0</v>
      </c>
      <c r="AY206">
        <f t="shared" si="84"/>
        <v>0</v>
      </c>
      <c r="AZ206">
        <f t="shared" si="85"/>
        <v>0</v>
      </c>
      <c r="BA206" t="s">
        <v>107</v>
      </c>
      <c r="BB206">
        <f t="shared" si="86"/>
        <v>0</v>
      </c>
      <c r="BC206">
        <f t="shared" si="87"/>
        <v>0</v>
      </c>
      <c r="BD206">
        <f t="shared" si="88"/>
        <v>0</v>
      </c>
      <c r="BE206">
        <f t="shared" si="89"/>
        <v>0</v>
      </c>
      <c r="BF206" t="s">
        <v>107</v>
      </c>
      <c r="BG206">
        <f t="shared" si="90"/>
        <v>0</v>
      </c>
      <c r="BH206">
        <f t="shared" si="91"/>
        <v>0</v>
      </c>
      <c r="BI206">
        <f t="shared" si="92"/>
        <v>0</v>
      </c>
      <c r="BJ206">
        <f t="shared" si="93"/>
        <v>0</v>
      </c>
      <c r="BK206">
        <f t="shared" si="94"/>
        <v>0</v>
      </c>
      <c r="BL206">
        <f t="shared" si="95"/>
        <v>0</v>
      </c>
      <c r="BM206">
        <f t="shared" si="96"/>
        <v>0</v>
      </c>
      <c r="BN206" t="e">
        <f t="shared" si="96"/>
        <v>#DIV/0!</v>
      </c>
    </row>
    <row r="207" spans="1:66" x14ac:dyDescent="0.25">
      <c r="A207">
        <v>2025</v>
      </c>
      <c r="B207" s="1">
        <f t="shared" si="97"/>
        <v>45859</v>
      </c>
      <c r="C207" s="2">
        <v>202</v>
      </c>
      <c r="D207">
        <v>70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K207" s="22">
        <f t="shared" si="99"/>
        <v>0</v>
      </c>
      <c r="AL207">
        <f t="shared" si="98"/>
        <v>70.099999999999994</v>
      </c>
      <c r="AM207" s="4">
        <v>30.73</v>
      </c>
      <c r="AP207" s="7">
        <f t="shared" si="77"/>
        <v>0</v>
      </c>
      <c r="AQ207" s="7" t="e">
        <f t="shared" si="78"/>
        <v>#DIV/0!</v>
      </c>
      <c r="AS207">
        <f t="shared" si="79"/>
        <v>0</v>
      </c>
      <c r="AT207">
        <f t="shared" si="80"/>
        <v>0</v>
      </c>
      <c r="AU207">
        <f t="shared" si="81"/>
        <v>0</v>
      </c>
      <c r="AV207" t="s">
        <v>107</v>
      </c>
      <c r="AW207">
        <f t="shared" si="82"/>
        <v>0</v>
      </c>
      <c r="AX207">
        <f t="shared" si="83"/>
        <v>0</v>
      </c>
      <c r="AY207">
        <f t="shared" si="84"/>
        <v>0</v>
      </c>
      <c r="AZ207">
        <f t="shared" si="85"/>
        <v>0</v>
      </c>
      <c r="BA207" t="s">
        <v>107</v>
      </c>
      <c r="BB207">
        <f t="shared" si="86"/>
        <v>0</v>
      </c>
      <c r="BC207">
        <f t="shared" si="87"/>
        <v>0</v>
      </c>
      <c r="BD207">
        <f t="shared" si="88"/>
        <v>0</v>
      </c>
      <c r="BE207">
        <f t="shared" si="89"/>
        <v>0</v>
      </c>
      <c r="BF207" t="s">
        <v>107</v>
      </c>
      <c r="BG207">
        <f t="shared" si="90"/>
        <v>0</v>
      </c>
      <c r="BH207">
        <f t="shared" si="91"/>
        <v>0</v>
      </c>
      <c r="BI207">
        <f t="shared" si="92"/>
        <v>0</v>
      </c>
      <c r="BJ207">
        <f t="shared" si="93"/>
        <v>0</v>
      </c>
      <c r="BK207">
        <f t="shared" si="94"/>
        <v>0</v>
      </c>
      <c r="BL207">
        <f t="shared" si="95"/>
        <v>0</v>
      </c>
      <c r="BM207">
        <f t="shared" si="96"/>
        <v>0</v>
      </c>
      <c r="BN207" t="e">
        <f t="shared" si="96"/>
        <v>#DIV/0!</v>
      </c>
    </row>
    <row r="208" spans="1:66" x14ac:dyDescent="0.25">
      <c r="A208">
        <v>2025</v>
      </c>
      <c r="B208" s="1">
        <f t="shared" si="97"/>
        <v>45860</v>
      </c>
      <c r="C208" s="2">
        <v>203</v>
      </c>
      <c r="D208">
        <v>70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K208" s="22">
        <f t="shared" si="99"/>
        <v>0</v>
      </c>
      <c r="AL208">
        <f t="shared" si="98"/>
        <v>70.099999999999994</v>
      </c>
      <c r="AM208" s="4">
        <v>30.6</v>
      </c>
      <c r="AP208" s="7">
        <f t="shared" si="77"/>
        <v>0</v>
      </c>
      <c r="AQ208" s="7" t="e">
        <f t="shared" si="78"/>
        <v>#DIV/0!</v>
      </c>
      <c r="AS208">
        <f t="shared" si="79"/>
        <v>0</v>
      </c>
      <c r="AT208">
        <f t="shared" si="80"/>
        <v>0</v>
      </c>
      <c r="AU208">
        <f t="shared" si="81"/>
        <v>0</v>
      </c>
      <c r="AV208" t="s">
        <v>107</v>
      </c>
      <c r="AW208">
        <f t="shared" si="82"/>
        <v>0</v>
      </c>
      <c r="AX208">
        <f t="shared" si="83"/>
        <v>0</v>
      </c>
      <c r="AY208">
        <f t="shared" si="84"/>
        <v>0</v>
      </c>
      <c r="AZ208">
        <f t="shared" si="85"/>
        <v>0</v>
      </c>
      <c r="BA208" t="s">
        <v>107</v>
      </c>
      <c r="BB208">
        <f t="shared" si="86"/>
        <v>0</v>
      </c>
      <c r="BC208">
        <f t="shared" si="87"/>
        <v>0</v>
      </c>
      <c r="BD208">
        <f t="shared" si="88"/>
        <v>0</v>
      </c>
      <c r="BE208">
        <f t="shared" si="89"/>
        <v>0</v>
      </c>
      <c r="BF208" t="s">
        <v>107</v>
      </c>
      <c r="BG208">
        <f t="shared" si="90"/>
        <v>0</v>
      </c>
      <c r="BH208">
        <f t="shared" si="91"/>
        <v>0</v>
      </c>
      <c r="BI208">
        <f t="shared" si="92"/>
        <v>0</v>
      </c>
      <c r="BJ208">
        <f t="shared" si="93"/>
        <v>0</v>
      </c>
      <c r="BK208">
        <f t="shared" si="94"/>
        <v>0</v>
      </c>
      <c r="BL208">
        <f t="shared" si="95"/>
        <v>0</v>
      </c>
      <c r="BM208">
        <f t="shared" si="96"/>
        <v>0</v>
      </c>
      <c r="BN208" t="e">
        <f t="shared" si="96"/>
        <v>#DIV/0!</v>
      </c>
    </row>
    <row r="209" spans="1:66" x14ac:dyDescent="0.25">
      <c r="A209">
        <v>2025</v>
      </c>
      <c r="B209" s="1">
        <f t="shared" si="97"/>
        <v>45861</v>
      </c>
      <c r="C209" s="2">
        <v>204</v>
      </c>
      <c r="D209">
        <v>70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K209" s="22">
        <f t="shared" si="99"/>
        <v>0</v>
      </c>
      <c r="AL209">
        <f t="shared" si="98"/>
        <v>70.099999999999994</v>
      </c>
      <c r="AM209" s="4">
        <v>30.46</v>
      </c>
      <c r="AP209" s="7">
        <f t="shared" si="77"/>
        <v>0</v>
      </c>
      <c r="AQ209" s="7" t="e">
        <f t="shared" si="78"/>
        <v>#DIV/0!</v>
      </c>
      <c r="AS209">
        <f t="shared" si="79"/>
        <v>0</v>
      </c>
      <c r="AT209">
        <f t="shared" si="80"/>
        <v>0</v>
      </c>
      <c r="AU209">
        <f t="shared" si="81"/>
        <v>0</v>
      </c>
      <c r="AV209" t="s">
        <v>107</v>
      </c>
      <c r="AW209">
        <f t="shared" si="82"/>
        <v>0</v>
      </c>
      <c r="AX209">
        <f t="shared" si="83"/>
        <v>0</v>
      </c>
      <c r="AY209">
        <f t="shared" si="84"/>
        <v>0</v>
      </c>
      <c r="AZ209">
        <f t="shared" si="85"/>
        <v>0</v>
      </c>
      <c r="BA209" t="s">
        <v>107</v>
      </c>
      <c r="BB209">
        <f t="shared" si="86"/>
        <v>0</v>
      </c>
      <c r="BC209">
        <f t="shared" si="87"/>
        <v>0</v>
      </c>
      <c r="BD209">
        <f t="shared" si="88"/>
        <v>0</v>
      </c>
      <c r="BE209">
        <f t="shared" si="89"/>
        <v>0</v>
      </c>
      <c r="BF209" t="s">
        <v>107</v>
      </c>
      <c r="BG209">
        <f t="shared" si="90"/>
        <v>0</v>
      </c>
      <c r="BH209">
        <f t="shared" si="91"/>
        <v>0</v>
      </c>
      <c r="BI209">
        <f t="shared" si="92"/>
        <v>0</v>
      </c>
      <c r="BJ209">
        <f t="shared" si="93"/>
        <v>0</v>
      </c>
      <c r="BK209">
        <f t="shared" si="94"/>
        <v>0</v>
      </c>
      <c r="BL209">
        <f t="shared" si="95"/>
        <v>0</v>
      </c>
      <c r="BM209">
        <f t="shared" si="96"/>
        <v>0</v>
      </c>
      <c r="BN209" t="e">
        <f t="shared" si="96"/>
        <v>#DIV/0!</v>
      </c>
    </row>
    <row r="210" spans="1:66" x14ac:dyDescent="0.25">
      <c r="A210">
        <v>2025</v>
      </c>
      <c r="B210" s="1">
        <f t="shared" si="97"/>
        <v>45862</v>
      </c>
      <c r="C210" s="2">
        <v>205</v>
      </c>
      <c r="D210">
        <v>70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K210" s="22">
        <f t="shared" si="99"/>
        <v>0</v>
      </c>
      <c r="AL210">
        <f t="shared" si="98"/>
        <v>70.099999999999994</v>
      </c>
      <c r="AM210" s="4">
        <v>30.32</v>
      </c>
      <c r="AP210" s="7">
        <f t="shared" si="77"/>
        <v>0</v>
      </c>
      <c r="AQ210" s="7" t="e">
        <f t="shared" si="78"/>
        <v>#DIV/0!</v>
      </c>
      <c r="AS210">
        <f t="shared" si="79"/>
        <v>0</v>
      </c>
      <c r="AT210">
        <f t="shared" si="80"/>
        <v>0</v>
      </c>
      <c r="AU210">
        <f t="shared" si="81"/>
        <v>0</v>
      </c>
      <c r="AV210" t="s">
        <v>107</v>
      </c>
      <c r="AW210">
        <f t="shared" si="82"/>
        <v>0</v>
      </c>
      <c r="AX210">
        <f t="shared" si="83"/>
        <v>0</v>
      </c>
      <c r="AY210">
        <f t="shared" si="84"/>
        <v>0</v>
      </c>
      <c r="AZ210">
        <f t="shared" si="85"/>
        <v>0</v>
      </c>
      <c r="BA210" t="s">
        <v>107</v>
      </c>
      <c r="BB210">
        <f t="shared" si="86"/>
        <v>0</v>
      </c>
      <c r="BC210">
        <f t="shared" si="87"/>
        <v>0</v>
      </c>
      <c r="BD210">
        <f t="shared" si="88"/>
        <v>0</v>
      </c>
      <c r="BE210">
        <f t="shared" si="89"/>
        <v>0</v>
      </c>
      <c r="BF210" t="s">
        <v>107</v>
      </c>
      <c r="BG210">
        <f t="shared" si="90"/>
        <v>0</v>
      </c>
      <c r="BH210">
        <f t="shared" si="91"/>
        <v>0</v>
      </c>
      <c r="BI210">
        <f t="shared" si="92"/>
        <v>0</v>
      </c>
      <c r="BJ210">
        <f t="shared" si="93"/>
        <v>0</v>
      </c>
      <c r="BK210">
        <f t="shared" si="94"/>
        <v>0</v>
      </c>
      <c r="BL210">
        <f t="shared" si="95"/>
        <v>0</v>
      </c>
      <c r="BM210">
        <f t="shared" si="96"/>
        <v>0</v>
      </c>
      <c r="BN210" t="e">
        <f t="shared" si="96"/>
        <v>#DIV/0!</v>
      </c>
    </row>
    <row r="211" spans="1:66" x14ac:dyDescent="0.25">
      <c r="A211">
        <v>2025</v>
      </c>
      <c r="B211" s="1">
        <f t="shared" si="97"/>
        <v>45863</v>
      </c>
      <c r="C211" s="2">
        <v>206</v>
      </c>
      <c r="D211">
        <v>70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K211" s="22">
        <f t="shared" si="99"/>
        <v>0</v>
      </c>
      <c r="AL211">
        <f t="shared" si="98"/>
        <v>70.099999999999994</v>
      </c>
      <c r="AM211" s="4">
        <v>30.17</v>
      </c>
      <c r="AP211" s="7">
        <f t="shared" si="77"/>
        <v>0</v>
      </c>
      <c r="AQ211" s="7" t="e">
        <f t="shared" si="78"/>
        <v>#DIV/0!</v>
      </c>
      <c r="AS211">
        <f t="shared" si="79"/>
        <v>0</v>
      </c>
      <c r="AT211">
        <f t="shared" si="80"/>
        <v>0</v>
      </c>
      <c r="AU211">
        <f t="shared" si="81"/>
        <v>0</v>
      </c>
      <c r="AV211" t="s">
        <v>107</v>
      </c>
      <c r="AW211">
        <f t="shared" si="82"/>
        <v>0</v>
      </c>
      <c r="AX211">
        <f t="shared" si="83"/>
        <v>0</v>
      </c>
      <c r="AY211">
        <f t="shared" si="84"/>
        <v>0</v>
      </c>
      <c r="AZ211">
        <f t="shared" si="85"/>
        <v>0</v>
      </c>
      <c r="BA211" t="s">
        <v>107</v>
      </c>
      <c r="BB211">
        <f t="shared" si="86"/>
        <v>0</v>
      </c>
      <c r="BC211">
        <f t="shared" si="87"/>
        <v>0</v>
      </c>
      <c r="BD211">
        <f t="shared" si="88"/>
        <v>0</v>
      </c>
      <c r="BE211">
        <f t="shared" si="89"/>
        <v>0</v>
      </c>
      <c r="BF211" t="s">
        <v>107</v>
      </c>
      <c r="BG211">
        <f t="shared" si="90"/>
        <v>0</v>
      </c>
      <c r="BH211">
        <f t="shared" si="91"/>
        <v>0</v>
      </c>
      <c r="BI211">
        <f t="shared" si="92"/>
        <v>0</v>
      </c>
      <c r="BJ211">
        <f t="shared" si="93"/>
        <v>0</v>
      </c>
      <c r="BK211">
        <f t="shared" si="94"/>
        <v>0</v>
      </c>
      <c r="BL211">
        <f t="shared" si="95"/>
        <v>0</v>
      </c>
      <c r="BM211">
        <f t="shared" si="96"/>
        <v>0</v>
      </c>
      <c r="BN211" t="e">
        <f t="shared" si="96"/>
        <v>#DIV/0!</v>
      </c>
    </row>
    <row r="212" spans="1:66" x14ac:dyDescent="0.25">
      <c r="A212">
        <v>2025</v>
      </c>
      <c r="B212" s="1">
        <f t="shared" si="97"/>
        <v>45864</v>
      </c>
      <c r="C212" s="2">
        <v>207</v>
      </c>
      <c r="D212">
        <v>70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K212" s="22">
        <f t="shared" si="99"/>
        <v>0</v>
      </c>
      <c r="AL212">
        <f t="shared" si="98"/>
        <v>70.099999999999994</v>
      </c>
      <c r="AM212" s="4">
        <v>30.02</v>
      </c>
      <c r="AP212" s="7">
        <f t="shared" si="77"/>
        <v>0</v>
      </c>
      <c r="AQ212" s="7" t="e">
        <f t="shared" si="78"/>
        <v>#DIV/0!</v>
      </c>
      <c r="AS212">
        <f t="shared" si="79"/>
        <v>0</v>
      </c>
      <c r="AT212">
        <f t="shared" si="80"/>
        <v>0</v>
      </c>
      <c r="AU212">
        <f t="shared" si="81"/>
        <v>0</v>
      </c>
      <c r="AV212" t="s">
        <v>107</v>
      </c>
      <c r="AW212">
        <f t="shared" si="82"/>
        <v>0</v>
      </c>
      <c r="AX212">
        <f t="shared" si="83"/>
        <v>0</v>
      </c>
      <c r="AY212">
        <f t="shared" si="84"/>
        <v>0</v>
      </c>
      <c r="AZ212">
        <f t="shared" si="85"/>
        <v>0</v>
      </c>
      <c r="BA212" t="s">
        <v>107</v>
      </c>
      <c r="BB212">
        <f t="shared" si="86"/>
        <v>0</v>
      </c>
      <c r="BC212">
        <f t="shared" si="87"/>
        <v>0</v>
      </c>
      <c r="BD212">
        <f t="shared" si="88"/>
        <v>0</v>
      </c>
      <c r="BE212">
        <f t="shared" si="89"/>
        <v>0</v>
      </c>
      <c r="BF212" t="s">
        <v>107</v>
      </c>
      <c r="BG212">
        <f t="shared" si="90"/>
        <v>0</v>
      </c>
      <c r="BH212">
        <f t="shared" si="91"/>
        <v>0</v>
      </c>
      <c r="BI212">
        <f t="shared" si="92"/>
        <v>0</v>
      </c>
      <c r="BJ212">
        <f t="shared" si="93"/>
        <v>0</v>
      </c>
      <c r="BK212">
        <f t="shared" si="94"/>
        <v>0</v>
      </c>
      <c r="BL212">
        <f t="shared" si="95"/>
        <v>0</v>
      </c>
      <c r="BM212">
        <f t="shared" si="96"/>
        <v>0</v>
      </c>
      <c r="BN212" t="e">
        <f t="shared" si="96"/>
        <v>#DIV/0!</v>
      </c>
    </row>
    <row r="213" spans="1:66" x14ac:dyDescent="0.25">
      <c r="A213">
        <v>2025</v>
      </c>
      <c r="B213" s="1">
        <f t="shared" si="97"/>
        <v>45865</v>
      </c>
      <c r="C213" s="2">
        <v>208</v>
      </c>
      <c r="D213">
        <v>70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K213" s="22">
        <f t="shared" si="99"/>
        <v>0</v>
      </c>
      <c r="AL213">
        <f t="shared" si="98"/>
        <v>70.099999999999994</v>
      </c>
      <c r="AM213" s="4">
        <v>29.86</v>
      </c>
      <c r="AP213" s="7">
        <f t="shared" si="77"/>
        <v>0</v>
      </c>
      <c r="AQ213" s="7" t="e">
        <f t="shared" si="78"/>
        <v>#DIV/0!</v>
      </c>
      <c r="AS213">
        <f t="shared" si="79"/>
        <v>0</v>
      </c>
      <c r="AT213">
        <f t="shared" si="80"/>
        <v>0</v>
      </c>
      <c r="AU213">
        <f t="shared" si="81"/>
        <v>0</v>
      </c>
      <c r="AV213" t="s">
        <v>107</v>
      </c>
      <c r="AW213">
        <f t="shared" si="82"/>
        <v>0</v>
      </c>
      <c r="AX213">
        <f t="shared" si="83"/>
        <v>0</v>
      </c>
      <c r="AY213">
        <f t="shared" si="84"/>
        <v>0</v>
      </c>
      <c r="AZ213">
        <f t="shared" si="85"/>
        <v>0</v>
      </c>
      <c r="BA213" t="s">
        <v>107</v>
      </c>
      <c r="BB213">
        <f t="shared" si="86"/>
        <v>0</v>
      </c>
      <c r="BC213">
        <f t="shared" si="87"/>
        <v>0</v>
      </c>
      <c r="BD213">
        <f t="shared" si="88"/>
        <v>0</v>
      </c>
      <c r="BE213">
        <f t="shared" si="89"/>
        <v>0</v>
      </c>
      <c r="BF213" t="s">
        <v>107</v>
      </c>
      <c r="BG213">
        <f t="shared" si="90"/>
        <v>0</v>
      </c>
      <c r="BH213">
        <f t="shared" si="91"/>
        <v>0</v>
      </c>
      <c r="BI213">
        <f t="shared" si="92"/>
        <v>0</v>
      </c>
      <c r="BJ213">
        <f t="shared" si="93"/>
        <v>0</v>
      </c>
      <c r="BK213">
        <f t="shared" si="94"/>
        <v>0</v>
      </c>
      <c r="BL213">
        <f t="shared" si="95"/>
        <v>0</v>
      </c>
      <c r="BM213">
        <f t="shared" si="96"/>
        <v>0</v>
      </c>
      <c r="BN213" t="e">
        <f t="shared" si="96"/>
        <v>#DIV/0!</v>
      </c>
    </row>
    <row r="214" spans="1:66" x14ac:dyDescent="0.25">
      <c r="A214">
        <v>2025</v>
      </c>
      <c r="B214" s="1">
        <f t="shared" si="97"/>
        <v>45866</v>
      </c>
      <c r="C214" s="2">
        <v>209</v>
      </c>
      <c r="D214">
        <v>70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K214" s="22">
        <f t="shared" si="99"/>
        <v>0</v>
      </c>
      <c r="AL214">
        <f t="shared" si="98"/>
        <v>70.099999999999994</v>
      </c>
      <c r="AM214" s="4">
        <v>29.71</v>
      </c>
      <c r="AP214" s="7">
        <f t="shared" si="77"/>
        <v>0</v>
      </c>
      <c r="AQ214" s="7" t="e">
        <f t="shared" si="78"/>
        <v>#DIV/0!</v>
      </c>
      <c r="AS214">
        <f t="shared" si="79"/>
        <v>0</v>
      </c>
      <c r="AT214">
        <f t="shared" si="80"/>
        <v>0</v>
      </c>
      <c r="AU214">
        <f t="shared" si="81"/>
        <v>0</v>
      </c>
      <c r="AV214" t="s">
        <v>107</v>
      </c>
      <c r="AW214">
        <f t="shared" si="82"/>
        <v>0</v>
      </c>
      <c r="AX214">
        <f t="shared" si="83"/>
        <v>0</v>
      </c>
      <c r="AY214">
        <f t="shared" si="84"/>
        <v>0</v>
      </c>
      <c r="AZ214">
        <f t="shared" si="85"/>
        <v>0</v>
      </c>
      <c r="BA214" t="s">
        <v>107</v>
      </c>
      <c r="BB214">
        <f t="shared" si="86"/>
        <v>0</v>
      </c>
      <c r="BC214">
        <f t="shared" si="87"/>
        <v>0</v>
      </c>
      <c r="BD214">
        <f t="shared" si="88"/>
        <v>0</v>
      </c>
      <c r="BE214">
        <f t="shared" si="89"/>
        <v>0</v>
      </c>
      <c r="BF214" t="s">
        <v>107</v>
      </c>
      <c r="BG214">
        <f t="shared" si="90"/>
        <v>0</v>
      </c>
      <c r="BH214">
        <f t="shared" si="91"/>
        <v>0</v>
      </c>
      <c r="BI214">
        <f t="shared" si="92"/>
        <v>0</v>
      </c>
      <c r="BJ214">
        <f t="shared" si="93"/>
        <v>0</v>
      </c>
      <c r="BK214">
        <f t="shared" si="94"/>
        <v>0</v>
      </c>
      <c r="BL214">
        <f t="shared" si="95"/>
        <v>0</v>
      </c>
      <c r="BM214">
        <f t="shared" si="96"/>
        <v>0</v>
      </c>
      <c r="BN214" t="e">
        <f t="shared" si="96"/>
        <v>#DIV/0!</v>
      </c>
    </row>
    <row r="215" spans="1:66" x14ac:dyDescent="0.25">
      <c r="A215">
        <v>2025</v>
      </c>
      <c r="B215" s="1">
        <f t="shared" si="97"/>
        <v>45867</v>
      </c>
      <c r="C215" s="2">
        <v>210</v>
      </c>
      <c r="D215">
        <v>70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K215" s="22">
        <f t="shared" si="99"/>
        <v>0</v>
      </c>
      <c r="AL215">
        <f t="shared" si="98"/>
        <v>70.099999999999994</v>
      </c>
      <c r="AM215" s="4">
        <v>29.55</v>
      </c>
      <c r="AP215" s="7">
        <f t="shared" si="77"/>
        <v>0</v>
      </c>
      <c r="AQ215" s="7" t="e">
        <f t="shared" si="78"/>
        <v>#DIV/0!</v>
      </c>
      <c r="AS215">
        <f t="shared" si="79"/>
        <v>0</v>
      </c>
      <c r="AT215">
        <f t="shared" si="80"/>
        <v>0</v>
      </c>
      <c r="AU215">
        <f t="shared" si="81"/>
        <v>0</v>
      </c>
      <c r="AV215" t="s">
        <v>107</v>
      </c>
      <c r="AW215">
        <f t="shared" si="82"/>
        <v>0</v>
      </c>
      <c r="AX215">
        <f t="shared" si="83"/>
        <v>0</v>
      </c>
      <c r="AY215">
        <f t="shared" si="84"/>
        <v>0</v>
      </c>
      <c r="AZ215">
        <f t="shared" si="85"/>
        <v>0</v>
      </c>
      <c r="BA215" t="s">
        <v>107</v>
      </c>
      <c r="BB215">
        <f t="shared" si="86"/>
        <v>0</v>
      </c>
      <c r="BC215">
        <f t="shared" si="87"/>
        <v>0</v>
      </c>
      <c r="BD215">
        <f t="shared" si="88"/>
        <v>0</v>
      </c>
      <c r="BE215">
        <f t="shared" si="89"/>
        <v>0</v>
      </c>
      <c r="BF215" t="s">
        <v>107</v>
      </c>
      <c r="BG215">
        <f t="shared" si="90"/>
        <v>0</v>
      </c>
      <c r="BH215">
        <f t="shared" si="91"/>
        <v>0</v>
      </c>
      <c r="BI215">
        <f t="shared" si="92"/>
        <v>0</v>
      </c>
      <c r="BJ215">
        <f t="shared" si="93"/>
        <v>0</v>
      </c>
      <c r="BK215">
        <f t="shared" si="94"/>
        <v>0</v>
      </c>
      <c r="BL215">
        <f t="shared" si="95"/>
        <v>0</v>
      </c>
      <c r="BM215">
        <f t="shared" si="96"/>
        <v>0</v>
      </c>
      <c r="BN215" t="e">
        <f t="shared" si="96"/>
        <v>#DIV/0!</v>
      </c>
    </row>
    <row r="216" spans="1:66" x14ac:dyDescent="0.25">
      <c r="A216">
        <v>2025</v>
      </c>
      <c r="B216" s="1">
        <f t="shared" si="97"/>
        <v>45868</v>
      </c>
      <c r="C216" s="2">
        <v>211</v>
      </c>
      <c r="D216">
        <v>70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K216" s="22">
        <f t="shared" si="99"/>
        <v>0</v>
      </c>
      <c r="AL216">
        <f t="shared" si="98"/>
        <v>70.099999999999994</v>
      </c>
      <c r="AM216" s="4">
        <v>29.39</v>
      </c>
      <c r="AP216" s="7">
        <f t="shared" si="77"/>
        <v>0</v>
      </c>
      <c r="AQ216" s="7" t="e">
        <f t="shared" si="78"/>
        <v>#DIV/0!</v>
      </c>
      <c r="AS216">
        <f t="shared" si="79"/>
        <v>0</v>
      </c>
      <c r="AT216">
        <f t="shared" si="80"/>
        <v>0</v>
      </c>
      <c r="AU216">
        <f t="shared" si="81"/>
        <v>0</v>
      </c>
      <c r="AV216" t="s">
        <v>107</v>
      </c>
      <c r="AW216">
        <f t="shared" si="82"/>
        <v>0</v>
      </c>
      <c r="AX216">
        <f t="shared" si="83"/>
        <v>0</v>
      </c>
      <c r="AY216">
        <f t="shared" si="84"/>
        <v>0</v>
      </c>
      <c r="AZ216">
        <f t="shared" si="85"/>
        <v>0</v>
      </c>
      <c r="BA216" t="s">
        <v>107</v>
      </c>
      <c r="BB216">
        <f t="shared" si="86"/>
        <v>0</v>
      </c>
      <c r="BC216">
        <f t="shared" si="87"/>
        <v>0</v>
      </c>
      <c r="BD216">
        <f t="shared" si="88"/>
        <v>0</v>
      </c>
      <c r="BE216">
        <f t="shared" si="89"/>
        <v>0</v>
      </c>
      <c r="BF216" t="s">
        <v>107</v>
      </c>
      <c r="BG216">
        <f t="shared" si="90"/>
        <v>0</v>
      </c>
      <c r="BH216">
        <f t="shared" si="91"/>
        <v>0</v>
      </c>
      <c r="BI216">
        <f t="shared" si="92"/>
        <v>0</v>
      </c>
      <c r="BJ216">
        <f t="shared" si="93"/>
        <v>0</v>
      </c>
      <c r="BK216">
        <f t="shared" si="94"/>
        <v>0</v>
      </c>
      <c r="BL216">
        <f t="shared" si="95"/>
        <v>0</v>
      </c>
      <c r="BM216">
        <f t="shared" si="96"/>
        <v>0</v>
      </c>
      <c r="BN216" t="e">
        <f t="shared" si="96"/>
        <v>#DIV/0!</v>
      </c>
    </row>
    <row r="217" spans="1:66" x14ac:dyDescent="0.25">
      <c r="A217">
        <v>2025</v>
      </c>
      <c r="B217" s="1">
        <f t="shared" si="97"/>
        <v>45869</v>
      </c>
      <c r="C217" s="2">
        <v>212</v>
      </c>
      <c r="D217">
        <v>70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K217" s="22">
        <f t="shared" si="99"/>
        <v>0</v>
      </c>
      <c r="AL217">
        <f t="shared" si="98"/>
        <v>70.099999999999994</v>
      </c>
      <c r="AM217" s="4">
        <v>29.22</v>
      </c>
      <c r="AP217" s="7">
        <f t="shared" si="77"/>
        <v>0</v>
      </c>
      <c r="AQ217" s="7" t="e">
        <f t="shared" si="78"/>
        <v>#DIV/0!</v>
      </c>
      <c r="AS217">
        <f t="shared" si="79"/>
        <v>0</v>
      </c>
      <c r="AT217">
        <f t="shared" si="80"/>
        <v>0</v>
      </c>
      <c r="AU217">
        <f t="shared" si="81"/>
        <v>0</v>
      </c>
      <c r="AV217" t="s">
        <v>107</v>
      </c>
      <c r="AW217">
        <f t="shared" si="82"/>
        <v>0</v>
      </c>
      <c r="AX217">
        <f t="shared" si="83"/>
        <v>0</v>
      </c>
      <c r="AY217">
        <f t="shared" si="84"/>
        <v>0</v>
      </c>
      <c r="AZ217">
        <f t="shared" si="85"/>
        <v>0</v>
      </c>
      <c r="BA217" t="s">
        <v>107</v>
      </c>
      <c r="BB217">
        <f t="shared" si="86"/>
        <v>0</v>
      </c>
      <c r="BC217">
        <f t="shared" si="87"/>
        <v>0</v>
      </c>
      <c r="BD217">
        <f t="shared" si="88"/>
        <v>0</v>
      </c>
      <c r="BE217">
        <f t="shared" si="89"/>
        <v>0</v>
      </c>
      <c r="BF217" t="s">
        <v>107</v>
      </c>
      <c r="BG217">
        <f t="shared" si="90"/>
        <v>0</v>
      </c>
      <c r="BH217">
        <f t="shared" si="91"/>
        <v>0</v>
      </c>
      <c r="BI217">
        <f t="shared" si="92"/>
        <v>0</v>
      </c>
      <c r="BJ217">
        <f t="shared" si="93"/>
        <v>0</v>
      </c>
      <c r="BK217">
        <f t="shared" si="94"/>
        <v>0</v>
      </c>
      <c r="BL217">
        <f t="shared" si="95"/>
        <v>0</v>
      </c>
      <c r="BM217">
        <f t="shared" si="96"/>
        <v>0</v>
      </c>
      <c r="BN217" t="e">
        <f t="shared" si="96"/>
        <v>#DIV/0!</v>
      </c>
    </row>
    <row r="218" spans="1:66" x14ac:dyDescent="0.25">
      <c r="A218">
        <v>2025</v>
      </c>
      <c r="B218" s="1">
        <f t="shared" si="97"/>
        <v>45870</v>
      </c>
      <c r="C218" s="2">
        <v>213</v>
      </c>
      <c r="D218">
        <v>70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K218" s="22">
        <f t="shared" si="99"/>
        <v>0</v>
      </c>
      <c r="AL218">
        <f t="shared" si="98"/>
        <v>70.099999999999994</v>
      </c>
      <c r="AM218" s="4">
        <v>29.05</v>
      </c>
      <c r="AP218" s="7">
        <f t="shared" si="77"/>
        <v>0</v>
      </c>
      <c r="AQ218" s="7" t="e">
        <f t="shared" si="78"/>
        <v>#DIV/0!</v>
      </c>
      <c r="AS218">
        <f t="shared" si="79"/>
        <v>0</v>
      </c>
      <c r="AT218">
        <f t="shared" si="80"/>
        <v>0</v>
      </c>
      <c r="AU218">
        <f t="shared" si="81"/>
        <v>0</v>
      </c>
      <c r="AV218" t="s">
        <v>107</v>
      </c>
      <c r="AW218">
        <f t="shared" si="82"/>
        <v>0</v>
      </c>
      <c r="AX218">
        <f t="shared" si="83"/>
        <v>0</v>
      </c>
      <c r="AY218">
        <f t="shared" si="84"/>
        <v>0</v>
      </c>
      <c r="AZ218">
        <f t="shared" si="85"/>
        <v>0</v>
      </c>
      <c r="BA218" t="s">
        <v>107</v>
      </c>
      <c r="BB218">
        <f t="shared" si="86"/>
        <v>0</v>
      </c>
      <c r="BC218">
        <f t="shared" si="87"/>
        <v>0</v>
      </c>
      <c r="BD218">
        <f t="shared" si="88"/>
        <v>0</v>
      </c>
      <c r="BE218">
        <f t="shared" si="89"/>
        <v>0</v>
      </c>
      <c r="BF218" t="s">
        <v>107</v>
      </c>
      <c r="BG218">
        <f t="shared" si="90"/>
        <v>0</v>
      </c>
      <c r="BH218">
        <f t="shared" si="91"/>
        <v>0</v>
      </c>
      <c r="BI218">
        <f t="shared" si="92"/>
        <v>0</v>
      </c>
      <c r="BJ218">
        <f t="shared" si="93"/>
        <v>0</v>
      </c>
      <c r="BK218">
        <f t="shared" si="94"/>
        <v>0</v>
      </c>
      <c r="BL218">
        <f t="shared" si="95"/>
        <v>0</v>
      </c>
      <c r="BM218">
        <f t="shared" si="96"/>
        <v>0</v>
      </c>
      <c r="BN218" t="e">
        <f t="shared" si="96"/>
        <v>#DIV/0!</v>
      </c>
    </row>
    <row r="219" spans="1:66" x14ac:dyDescent="0.25">
      <c r="A219">
        <v>2025</v>
      </c>
      <c r="B219" s="1">
        <f t="shared" si="97"/>
        <v>45871</v>
      </c>
      <c r="C219" s="2">
        <v>214</v>
      </c>
      <c r="D219">
        <v>70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K219" s="22">
        <f t="shared" si="99"/>
        <v>0</v>
      </c>
      <c r="AL219">
        <f t="shared" si="98"/>
        <v>70.099999999999994</v>
      </c>
      <c r="AM219" s="4">
        <v>28.88</v>
      </c>
      <c r="AP219" s="7">
        <f t="shared" si="77"/>
        <v>0</v>
      </c>
      <c r="AQ219" s="7" t="e">
        <f t="shared" si="78"/>
        <v>#DIV/0!</v>
      </c>
      <c r="AS219">
        <f t="shared" si="79"/>
        <v>0</v>
      </c>
      <c r="AT219">
        <f t="shared" si="80"/>
        <v>0</v>
      </c>
      <c r="AU219">
        <f t="shared" si="81"/>
        <v>0</v>
      </c>
      <c r="AV219" t="s">
        <v>107</v>
      </c>
      <c r="AW219">
        <f t="shared" si="82"/>
        <v>0</v>
      </c>
      <c r="AX219">
        <f t="shared" si="83"/>
        <v>0</v>
      </c>
      <c r="AY219">
        <f t="shared" si="84"/>
        <v>0</v>
      </c>
      <c r="AZ219">
        <f t="shared" si="85"/>
        <v>0</v>
      </c>
      <c r="BA219" t="s">
        <v>107</v>
      </c>
      <c r="BB219">
        <f t="shared" si="86"/>
        <v>0</v>
      </c>
      <c r="BC219">
        <f t="shared" si="87"/>
        <v>0</v>
      </c>
      <c r="BD219">
        <f t="shared" si="88"/>
        <v>0</v>
      </c>
      <c r="BE219">
        <f t="shared" si="89"/>
        <v>0</v>
      </c>
      <c r="BF219" t="s">
        <v>107</v>
      </c>
      <c r="BG219">
        <f t="shared" si="90"/>
        <v>0</v>
      </c>
      <c r="BH219">
        <f t="shared" si="91"/>
        <v>0</v>
      </c>
      <c r="BI219">
        <f t="shared" si="92"/>
        <v>0</v>
      </c>
      <c r="BJ219">
        <f t="shared" si="93"/>
        <v>0</v>
      </c>
      <c r="BK219">
        <f t="shared" si="94"/>
        <v>0</v>
      </c>
      <c r="BL219">
        <f t="shared" si="95"/>
        <v>0</v>
      </c>
      <c r="BM219">
        <f t="shared" si="96"/>
        <v>0</v>
      </c>
      <c r="BN219" t="e">
        <f t="shared" si="96"/>
        <v>#DIV/0!</v>
      </c>
    </row>
    <row r="220" spans="1:66" x14ac:dyDescent="0.25">
      <c r="A220">
        <v>2025</v>
      </c>
      <c r="B220" s="1">
        <f t="shared" si="97"/>
        <v>45872</v>
      </c>
      <c r="C220" s="2">
        <v>215</v>
      </c>
      <c r="D220">
        <v>70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K220" s="22">
        <f t="shared" si="99"/>
        <v>0</v>
      </c>
      <c r="AL220">
        <f t="shared" si="98"/>
        <v>70.099999999999994</v>
      </c>
      <c r="AM220" s="4">
        <v>28.71</v>
      </c>
      <c r="AP220" s="7">
        <f t="shared" si="77"/>
        <v>0</v>
      </c>
      <c r="AQ220" s="7" t="e">
        <f t="shared" si="78"/>
        <v>#DIV/0!</v>
      </c>
      <c r="AS220">
        <f t="shared" si="79"/>
        <v>0</v>
      </c>
      <c r="AT220">
        <f t="shared" si="80"/>
        <v>0</v>
      </c>
      <c r="AU220">
        <f t="shared" si="81"/>
        <v>0</v>
      </c>
      <c r="AV220" t="s">
        <v>107</v>
      </c>
      <c r="AW220">
        <f t="shared" si="82"/>
        <v>0</v>
      </c>
      <c r="AX220">
        <f t="shared" si="83"/>
        <v>0</v>
      </c>
      <c r="AY220">
        <f t="shared" si="84"/>
        <v>0</v>
      </c>
      <c r="AZ220">
        <f t="shared" si="85"/>
        <v>0</v>
      </c>
      <c r="BA220" t="s">
        <v>107</v>
      </c>
      <c r="BB220">
        <f t="shared" si="86"/>
        <v>0</v>
      </c>
      <c r="BC220">
        <f t="shared" si="87"/>
        <v>0</v>
      </c>
      <c r="BD220">
        <f t="shared" si="88"/>
        <v>0</v>
      </c>
      <c r="BE220">
        <f t="shared" si="89"/>
        <v>0</v>
      </c>
      <c r="BF220" t="s">
        <v>107</v>
      </c>
      <c r="BG220">
        <f t="shared" si="90"/>
        <v>0</v>
      </c>
      <c r="BH220">
        <f t="shared" si="91"/>
        <v>0</v>
      </c>
      <c r="BI220">
        <f t="shared" si="92"/>
        <v>0</v>
      </c>
      <c r="BJ220">
        <f t="shared" si="93"/>
        <v>0</v>
      </c>
      <c r="BK220">
        <f t="shared" si="94"/>
        <v>0</v>
      </c>
      <c r="BL220">
        <f t="shared" si="95"/>
        <v>0</v>
      </c>
      <c r="BM220">
        <f t="shared" si="96"/>
        <v>0</v>
      </c>
      <c r="BN220" t="e">
        <f t="shared" si="96"/>
        <v>#DIV/0!</v>
      </c>
    </row>
    <row r="221" spans="1:66" x14ac:dyDescent="0.25">
      <c r="A221">
        <v>2025</v>
      </c>
      <c r="B221" s="1">
        <f t="shared" si="97"/>
        <v>45873</v>
      </c>
      <c r="C221" s="2">
        <v>216</v>
      </c>
      <c r="D221">
        <v>70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K221" s="22">
        <f t="shared" si="99"/>
        <v>0</v>
      </c>
      <c r="AL221">
        <f t="shared" si="98"/>
        <v>70.099999999999994</v>
      </c>
      <c r="AM221" s="4">
        <v>28.53</v>
      </c>
      <c r="AP221" s="7">
        <f t="shared" si="77"/>
        <v>0</v>
      </c>
      <c r="AQ221" s="7" t="e">
        <f t="shared" si="78"/>
        <v>#DIV/0!</v>
      </c>
      <c r="AS221">
        <f t="shared" si="79"/>
        <v>0</v>
      </c>
      <c r="AT221">
        <f t="shared" si="80"/>
        <v>0</v>
      </c>
      <c r="AU221">
        <f t="shared" si="81"/>
        <v>0</v>
      </c>
      <c r="AV221" t="s">
        <v>107</v>
      </c>
      <c r="AW221">
        <f t="shared" si="82"/>
        <v>0</v>
      </c>
      <c r="AX221">
        <f t="shared" si="83"/>
        <v>0</v>
      </c>
      <c r="AY221">
        <f t="shared" si="84"/>
        <v>0</v>
      </c>
      <c r="AZ221">
        <f t="shared" si="85"/>
        <v>0</v>
      </c>
      <c r="BA221" t="s">
        <v>107</v>
      </c>
      <c r="BB221">
        <f t="shared" si="86"/>
        <v>0</v>
      </c>
      <c r="BC221">
        <f t="shared" si="87"/>
        <v>0</v>
      </c>
      <c r="BD221">
        <f t="shared" si="88"/>
        <v>0</v>
      </c>
      <c r="BE221">
        <f t="shared" si="89"/>
        <v>0</v>
      </c>
      <c r="BF221" t="s">
        <v>107</v>
      </c>
      <c r="BG221">
        <f t="shared" si="90"/>
        <v>0</v>
      </c>
      <c r="BH221">
        <f t="shared" si="91"/>
        <v>0</v>
      </c>
      <c r="BI221">
        <f t="shared" si="92"/>
        <v>0</v>
      </c>
      <c r="BJ221">
        <f t="shared" si="93"/>
        <v>0</v>
      </c>
      <c r="BK221">
        <f t="shared" si="94"/>
        <v>0</v>
      </c>
      <c r="BL221">
        <f t="shared" si="95"/>
        <v>0</v>
      </c>
      <c r="BM221">
        <f t="shared" si="96"/>
        <v>0</v>
      </c>
      <c r="BN221" t="e">
        <f t="shared" si="96"/>
        <v>#DIV/0!</v>
      </c>
    </row>
    <row r="222" spans="1:66" x14ac:dyDescent="0.25">
      <c r="A222">
        <v>2025</v>
      </c>
      <c r="B222" s="1">
        <f t="shared" si="97"/>
        <v>45874</v>
      </c>
      <c r="C222" s="2">
        <v>217</v>
      </c>
      <c r="D222">
        <v>70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K222" s="22">
        <f t="shared" si="99"/>
        <v>0</v>
      </c>
      <c r="AL222">
        <f t="shared" si="98"/>
        <v>70.099999999999994</v>
      </c>
      <c r="AM222" s="4">
        <v>28.35</v>
      </c>
      <c r="AP222" s="7">
        <f t="shared" si="77"/>
        <v>0</v>
      </c>
      <c r="AQ222" s="7" t="e">
        <f t="shared" si="78"/>
        <v>#DIV/0!</v>
      </c>
      <c r="AS222">
        <f t="shared" si="79"/>
        <v>0</v>
      </c>
      <c r="AT222">
        <f t="shared" si="80"/>
        <v>0</v>
      </c>
      <c r="AU222">
        <f t="shared" si="81"/>
        <v>0</v>
      </c>
      <c r="AV222" t="s">
        <v>107</v>
      </c>
      <c r="AW222">
        <f t="shared" si="82"/>
        <v>0</v>
      </c>
      <c r="AX222">
        <f t="shared" si="83"/>
        <v>0</v>
      </c>
      <c r="AY222">
        <f t="shared" si="84"/>
        <v>0</v>
      </c>
      <c r="AZ222">
        <f t="shared" si="85"/>
        <v>0</v>
      </c>
      <c r="BA222" t="s">
        <v>107</v>
      </c>
      <c r="BB222">
        <f t="shared" si="86"/>
        <v>0</v>
      </c>
      <c r="BC222">
        <f t="shared" si="87"/>
        <v>0</v>
      </c>
      <c r="BD222">
        <f t="shared" si="88"/>
        <v>0</v>
      </c>
      <c r="BE222">
        <f t="shared" si="89"/>
        <v>0</v>
      </c>
      <c r="BF222" t="s">
        <v>107</v>
      </c>
      <c r="BG222">
        <f t="shared" si="90"/>
        <v>0</v>
      </c>
      <c r="BH222">
        <f t="shared" si="91"/>
        <v>0</v>
      </c>
      <c r="BI222">
        <f t="shared" si="92"/>
        <v>0</v>
      </c>
      <c r="BJ222">
        <f t="shared" si="93"/>
        <v>0</v>
      </c>
      <c r="BK222">
        <f t="shared" si="94"/>
        <v>0</v>
      </c>
      <c r="BL222">
        <f t="shared" si="95"/>
        <v>0</v>
      </c>
      <c r="BM222">
        <f t="shared" si="96"/>
        <v>0</v>
      </c>
      <c r="BN222" t="e">
        <f t="shared" si="96"/>
        <v>#DIV/0!</v>
      </c>
    </row>
    <row r="223" spans="1:66" x14ac:dyDescent="0.25">
      <c r="A223">
        <v>2025</v>
      </c>
      <c r="B223" s="1">
        <f t="shared" si="97"/>
        <v>45875</v>
      </c>
      <c r="C223" s="2">
        <v>218</v>
      </c>
      <c r="D223">
        <v>70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K223" s="22">
        <f t="shared" si="99"/>
        <v>0</v>
      </c>
      <c r="AL223">
        <f t="shared" si="98"/>
        <v>70.099999999999994</v>
      </c>
      <c r="AM223" s="4">
        <v>28.16</v>
      </c>
      <c r="AP223" s="7">
        <f t="shared" si="77"/>
        <v>0</v>
      </c>
      <c r="AQ223" s="7" t="e">
        <f t="shared" si="78"/>
        <v>#DIV/0!</v>
      </c>
      <c r="AS223">
        <f t="shared" si="79"/>
        <v>0</v>
      </c>
      <c r="AT223">
        <f t="shared" si="80"/>
        <v>0</v>
      </c>
      <c r="AU223">
        <f t="shared" si="81"/>
        <v>0</v>
      </c>
      <c r="AV223" t="s">
        <v>107</v>
      </c>
      <c r="AW223">
        <f t="shared" si="82"/>
        <v>0</v>
      </c>
      <c r="AX223">
        <f t="shared" si="83"/>
        <v>0</v>
      </c>
      <c r="AY223">
        <f t="shared" si="84"/>
        <v>0</v>
      </c>
      <c r="AZ223">
        <f t="shared" si="85"/>
        <v>0</v>
      </c>
      <c r="BA223" t="s">
        <v>107</v>
      </c>
      <c r="BB223">
        <f t="shared" si="86"/>
        <v>0</v>
      </c>
      <c r="BC223">
        <f t="shared" si="87"/>
        <v>0</v>
      </c>
      <c r="BD223">
        <f t="shared" si="88"/>
        <v>0</v>
      </c>
      <c r="BE223">
        <f t="shared" si="89"/>
        <v>0</v>
      </c>
      <c r="BF223" t="s">
        <v>107</v>
      </c>
      <c r="BG223">
        <f t="shared" si="90"/>
        <v>0</v>
      </c>
      <c r="BH223">
        <f t="shared" si="91"/>
        <v>0</v>
      </c>
      <c r="BI223">
        <f t="shared" si="92"/>
        <v>0</v>
      </c>
      <c r="BJ223">
        <f t="shared" si="93"/>
        <v>0</v>
      </c>
      <c r="BK223">
        <f t="shared" si="94"/>
        <v>0</v>
      </c>
      <c r="BL223">
        <f t="shared" si="95"/>
        <v>0</v>
      </c>
      <c r="BM223">
        <f t="shared" si="96"/>
        <v>0</v>
      </c>
      <c r="BN223" t="e">
        <f t="shared" si="96"/>
        <v>#DIV/0!</v>
      </c>
    </row>
    <row r="224" spans="1:66" x14ac:dyDescent="0.25">
      <c r="A224">
        <v>2025</v>
      </c>
      <c r="B224" s="1">
        <f t="shared" si="97"/>
        <v>45876</v>
      </c>
      <c r="C224" s="2">
        <v>219</v>
      </c>
      <c r="D224">
        <v>70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K224" s="22">
        <f t="shared" si="99"/>
        <v>0</v>
      </c>
      <c r="AL224">
        <f t="shared" si="98"/>
        <v>70.099999999999994</v>
      </c>
      <c r="AM224" s="4">
        <v>27.98</v>
      </c>
      <c r="AP224" s="7">
        <f t="shared" si="77"/>
        <v>0</v>
      </c>
      <c r="AQ224" s="7" t="e">
        <f t="shared" si="78"/>
        <v>#DIV/0!</v>
      </c>
      <c r="AS224">
        <f t="shared" si="79"/>
        <v>0</v>
      </c>
      <c r="AT224">
        <f t="shared" si="80"/>
        <v>0</v>
      </c>
      <c r="AU224">
        <f t="shared" si="81"/>
        <v>0</v>
      </c>
      <c r="AV224" t="s">
        <v>107</v>
      </c>
      <c r="AW224">
        <f t="shared" si="82"/>
        <v>0</v>
      </c>
      <c r="AX224">
        <f t="shared" si="83"/>
        <v>0</v>
      </c>
      <c r="AY224">
        <f t="shared" si="84"/>
        <v>0</v>
      </c>
      <c r="AZ224">
        <f t="shared" si="85"/>
        <v>0</v>
      </c>
      <c r="BA224" t="s">
        <v>107</v>
      </c>
      <c r="BB224">
        <f t="shared" si="86"/>
        <v>0</v>
      </c>
      <c r="BC224">
        <f t="shared" si="87"/>
        <v>0</v>
      </c>
      <c r="BD224">
        <f t="shared" si="88"/>
        <v>0</v>
      </c>
      <c r="BE224">
        <f t="shared" si="89"/>
        <v>0</v>
      </c>
      <c r="BF224" t="s">
        <v>107</v>
      </c>
      <c r="BG224">
        <f t="shared" si="90"/>
        <v>0</v>
      </c>
      <c r="BH224">
        <f t="shared" si="91"/>
        <v>0</v>
      </c>
      <c r="BI224">
        <f t="shared" si="92"/>
        <v>0</v>
      </c>
      <c r="BJ224">
        <f t="shared" si="93"/>
        <v>0</v>
      </c>
      <c r="BK224">
        <f t="shared" si="94"/>
        <v>0</v>
      </c>
      <c r="BL224">
        <f t="shared" si="95"/>
        <v>0</v>
      </c>
      <c r="BM224">
        <f t="shared" si="96"/>
        <v>0</v>
      </c>
      <c r="BN224" t="e">
        <f t="shared" si="96"/>
        <v>#DIV/0!</v>
      </c>
    </row>
    <row r="225" spans="1:66" x14ac:dyDescent="0.25">
      <c r="A225">
        <v>2025</v>
      </c>
      <c r="B225" s="1">
        <f t="shared" si="97"/>
        <v>45877</v>
      </c>
      <c r="C225" s="2">
        <v>220</v>
      </c>
      <c r="D225">
        <v>70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K225" s="22">
        <f t="shared" si="99"/>
        <v>0</v>
      </c>
      <c r="AL225">
        <f t="shared" si="98"/>
        <v>70.099999999999994</v>
      </c>
      <c r="AM225" s="4">
        <v>27.78</v>
      </c>
      <c r="AP225" s="7">
        <f t="shared" si="77"/>
        <v>0</v>
      </c>
      <c r="AQ225" s="7" t="e">
        <f t="shared" si="78"/>
        <v>#DIV/0!</v>
      </c>
      <c r="AS225">
        <f t="shared" si="79"/>
        <v>0</v>
      </c>
      <c r="AT225">
        <f t="shared" si="80"/>
        <v>0</v>
      </c>
      <c r="AU225">
        <f t="shared" si="81"/>
        <v>0</v>
      </c>
      <c r="AV225" t="s">
        <v>107</v>
      </c>
      <c r="AW225">
        <f t="shared" si="82"/>
        <v>0</v>
      </c>
      <c r="AX225">
        <f t="shared" si="83"/>
        <v>0</v>
      </c>
      <c r="AY225">
        <f t="shared" si="84"/>
        <v>0</v>
      </c>
      <c r="AZ225">
        <f t="shared" si="85"/>
        <v>0</v>
      </c>
      <c r="BA225" t="s">
        <v>107</v>
      </c>
      <c r="BB225">
        <f t="shared" si="86"/>
        <v>0</v>
      </c>
      <c r="BC225">
        <f t="shared" si="87"/>
        <v>0</v>
      </c>
      <c r="BD225">
        <f t="shared" si="88"/>
        <v>0</v>
      </c>
      <c r="BE225">
        <f t="shared" si="89"/>
        <v>0</v>
      </c>
      <c r="BF225" t="s">
        <v>107</v>
      </c>
      <c r="BG225">
        <f t="shared" si="90"/>
        <v>0</v>
      </c>
      <c r="BH225">
        <f t="shared" si="91"/>
        <v>0</v>
      </c>
      <c r="BI225">
        <f t="shared" si="92"/>
        <v>0</v>
      </c>
      <c r="BJ225">
        <f t="shared" si="93"/>
        <v>0</v>
      </c>
      <c r="BK225">
        <f t="shared" si="94"/>
        <v>0</v>
      </c>
      <c r="BL225">
        <f t="shared" si="95"/>
        <v>0</v>
      </c>
      <c r="BM225">
        <f t="shared" si="96"/>
        <v>0</v>
      </c>
      <c r="BN225" t="e">
        <f t="shared" si="96"/>
        <v>#DIV/0!</v>
      </c>
    </row>
    <row r="226" spans="1:66" x14ac:dyDescent="0.25">
      <c r="A226">
        <v>2025</v>
      </c>
      <c r="B226" s="1">
        <f t="shared" si="97"/>
        <v>45878</v>
      </c>
      <c r="C226" s="2">
        <v>221</v>
      </c>
      <c r="D226">
        <v>70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K226" s="22">
        <f t="shared" si="99"/>
        <v>0</v>
      </c>
      <c r="AL226">
        <f t="shared" si="98"/>
        <v>70.099999999999994</v>
      </c>
      <c r="AM226" s="4">
        <v>27.59</v>
      </c>
      <c r="AP226" s="7">
        <f t="shared" si="77"/>
        <v>0</v>
      </c>
      <c r="AQ226" s="7" t="e">
        <f t="shared" si="78"/>
        <v>#DIV/0!</v>
      </c>
      <c r="AS226">
        <f t="shared" si="79"/>
        <v>0</v>
      </c>
      <c r="AT226">
        <f t="shared" si="80"/>
        <v>0</v>
      </c>
      <c r="AU226">
        <f t="shared" si="81"/>
        <v>0</v>
      </c>
      <c r="AV226" t="s">
        <v>107</v>
      </c>
      <c r="AW226">
        <f t="shared" si="82"/>
        <v>0</v>
      </c>
      <c r="AX226">
        <f t="shared" si="83"/>
        <v>0</v>
      </c>
      <c r="AY226">
        <f t="shared" si="84"/>
        <v>0</v>
      </c>
      <c r="AZ226">
        <f t="shared" si="85"/>
        <v>0</v>
      </c>
      <c r="BA226" t="s">
        <v>107</v>
      </c>
      <c r="BB226">
        <f t="shared" si="86"/>
        <v>0</v>
      </c>
      <c r="BC226">
        <f t="shared" si="87"/>
        <v>0</v>
      </c>
      <c r="BD226">
        <f t="shared" si="88"/>
        <v>0</v>
      </c>
      <c r="BE226">
        <f t="shared" si="89"/>
        <v>0</v>
      </c>
      <c r="BF226" t="s">
        <v>107</v>
      </c>
      <c r="BG226">
        <f t="shared" si="90"/>
        <v>0</v>
      </c>
      <c r="BH226">
        <f t="shared" si="91"/>
        <v>0</v>
      </c>
      <c r="BI226">
        <f t="shared" si="92"/>
        <v>0</v>
      </c>
      <c r="BJ226">
        <f t="shared" si="93"/>
        <v>0</v>
      </c>
      <c r="BK226">
        <f t="shared" si="94"/>
        <v>0</v>
      </c>
      <c r="BL226">
        <f t="shared" si="95"/>
        <v>0</v>
      </c>
      <c r="BM226">
        <f t="shared" si="96"/>
        <v>0</v>
      </c>
      <c r="BN226" t="e">
        <f t="shared" si="96"/>
        <v>#DIV/0!</v>
      </c>
    </row>
    <row r="227" spans="1:66" x14ac:dyDescent="0.25">
      <c r="A227">
        <v>2025</v>
      </c>
      <c r="B227" s="1">
        <f t="shared" si="97"/>
        <v>45879</v>
      </c>
      <c r="C227" s="2">
        <v>222</v>
      </c>
      <c r="D227">
        <v>70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K227" s="22">
        <f t="shared" si="99"/>
        <v>0</v>
      </c>
      <c r="AL227">
        <f t="shared" si="98"/>
        <v>70.099999999999994</v>
      </c>
      <c r="AM227" s="4">
        <v>27.39</v>
      </c>
      <c r="AP227" s="7">
        <f t="shared" si="77"/>
        <v>0</v>
      </c>
      <c r="AQ227" s="7" t="e">
        <f t="shared" si="78"/>
        <v>#DIV/0!</v>
      </c>
      <c r="AS227">
        <f t="shared" si="79"/>
        <v>0</v>
      </c>
      <c r="AT227">
        <f t="shared" si="80"/>
        <v>0</v>
      </c>
      <c r="AU227">
        <f t="shared" si="81"/>
        <v>0</v>
      </c>
      <c r="AV227" t="s">
        <v>107</v>
      </c>
      <c r="AW227">
        <f t="shared" si="82"/>
        <v>0</v>
      </c>
      <c r="AX227">
        <f t="shared" si="83"/>
        <v>0</v>
      </c>
      <c r="AY227">
        <f t="shared" si="84"/>
        <v>0</v>
      </c>
      <c r="AZ227">
        <f t="shared" si="85"/>
        <v>0</v>
      </c>
      <c r="BA227" t="s">
        <v>107</v>
      </c>
      <c r="BB227">
        <f t="shared" si="86"/>
        <v>0</v>
      </c>
      <c r="BC227">
        <f t="shared" si="87"/>
        <v>0</v>
      </c>
      <c r="BD227">
        <f t="shared" si="88"/>
        <v>0</v>
      </c>
      <c r="BE227">
        <f t="shared" si="89"/>
        <v>0</v>
      </c>
      <c r="BF227" t="s">
        <v>107</v>
      </c>
      <c r="BG227">
        <f t="shared" si="90"/>
        <v>0</v>
      </c>
      <c r="BH227">
        <f t="shared" si="91"/>
        <v>0</v>
      </c>
      <c r="BI227">
        <f t="shared" si="92"/>
        <v>0</v>
      </c>
      <c r="BJ227">
        <f t="shared" si="93"/>
        <v>0</v>
      </c>
      <c r="BK227">
        <f t="shared" si="94"/>
        <v>0</v>
      </c>
      <c r="BL227">
        <f t="shared" si="95"/>
        <v>0</v>
      </c>
      <c r="BM227">
        <f t="shared" si="96"/>
        <v>0</v>
      </c>
      <c r="BN227" t="e">
        <f t="shared" si="96"/>
        <v>#DIV/0!</v>
      </c>
    </row>
    <row r="228" spans="1:66" x14ac:dyDescent="0.25">
      <c r="A228">
        <v>2025</v>
      </c>
      <c r="B228" s="1">
        <f t="shared" si="97"/>
        <v>45880</v>
      </c>
      <c r="C228" s="2">
        <v>223</v>
      </c>
      <c r="D228">
        <v>70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K228" s="22">
        <f t="shared" si="99"/>
        <v>0</v>
      </c>
      <c r="AL228">
        <f t="shared" si="98"/>
        <v>70.099999999999994</v>
      </c>
      <c r="AM228" s="4">
        <v>27.2</v>
      </c>
      <c r="AP228" s="7">
        <f t="shared" si="77"/>
        <v>0</v>
      </c>
      <c r="AQ228" s="7" t="e">
        <f t="shared" si="78"/>
        <v>#DIV/0!</v>
      </c>
      <c r="AS228">
        <f t="shared" si="79"/>
        <v>0</v>
      </c>
      <c r="AT228">
        <f t="shared" si="80"/>
        <v>0</v>
      </c>
      <c r="AU228">
        <f t="shared" si="81"/>
        <v>0</v>
      </c>
      <c r="AV228" t="s">
        <v>107</v>
      </c>
      <c r="AW228">
        <f t="shared" si="82"/>
        <v>0</v>
      </c>
      <c r="AX228">
        <f t="shared" si="83"/>
        <v>0</v>
      </c>
      <c r="AY228">
        <f t="shared" si="84"/>
        <v>0</v>
      </c>
      <c r="AZ228">
        <f t="shared" si="85"/>
        <v>0</v>
      </c>
      <c r="BA228" t="s">
        <v>107</v>
      </c>
      <c r="BB228">
        <f t="shared" si="86"/>
        <v>0</v>
      </c>
      <c r="BC228">
        <f t="shared" si="87"/>
        <v>0</v>
      </c>
      <c r="BD228">
        <f t="shared" si="88"/>
        <v>0</v>
      </c>
      <c r="BE228">
        <f t="shared" si="89"/>
        <v>0</v>
      </c>
      <c r="BF228" t="s">
        <v>107</v>
      </c>
      <c r="BG228">
        <f t="shared" si="90"/>
        <v>0</v>
      </c>
      <c r="BH228">
        <f t="shared" si="91"/>
        <v>0</v>
      </c>
      <c r="BI228">
        <f t="shared" si="92"/>
        <v>0</v>
      </c>
      <c r="BJ228">
        <f t="shared" si="93"/>
        <v>0</v>
      </c>
      <c r="BK228">
        <f t="shared" si="94"/>
        <v>0</v>
      </c>
      <c r="BL228">
        <f t="shared" si="95"/>
        <v>0</v>
      </c>
      <c r="BM228">
        <f t="shared" si="96"/>
        <v>0</v>
      </c>
      <c r="BN228" t="e">
        <f t="shared" si="96"/>
        <v>#DIV/0!</v>
      </c>
    </row>
    <row r="229" spans="1:66" x14ac:dyDescent="0.25">
      <c r="A229">
        <v>2025</v>
      </c>
      <c r="B229" s="1">
        <f t="shared" si="97"/>
        <v>45881</v>
      </c>
      <c r="C229" s="2">
        <v>224</v>
      </c>
      <c r="D229">
        <v>70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K229" s="22">
        <f t="shared" si="99"/>
        <v>0</v>
      </c>
      <c r="AL229">
        <f t="shared" si="98"/>
        <v>70.099999999999994</v>
      </c>
      <c r="AM229" s="4">
        <v>26.99</v>
      </c>
      <c r="AP229" s="7">
        <f t="shared" si="77"/>
        <v>0</v>
      </c>
      <c r="AQ229" s="7" t="e">
        <f t="shared" si="78"/>
        <v>#DIV/0!</v>
      </c>
      <c r="AS229">
        <f t="shared" si="79"/>
        <v>0</v>
      </c>
      <c r="AT229">
        <f t="shared" si="80"/>
        <v>0</v>
      </c>
      <c r="AU229">
        <f t="shared" si="81"/>
        <v>0</v>
      </c>
      <c r="AV229" t="s">
        <v>107</v>
      </c>
      <c r="AW229">
        <f t="shared" si="82"/>
        <v>0</v>
      </c>
      <c r="AX229">
        <f t="shared" si="83"/>
        <v>0</v>
      </c>
      <c r="AY229">
        <f t="shared" si="84"/>
        <v>0</v>
      </c>
      <c r="AZ229">
        <f t="shared" si="85"/>
        <v>0</v>
      </c>
      <c r="BA229" t="s">
        <v>107</v>
      </c>
      <c r="BB229">
        <f t="shared" si="86"/>
        <v>0</v>
      </c>
      <c r="BC229">
        <f t="shared" si="87"/>
        <v>0</v>
      </c>
      <c r="BD229">
        <f t="shared" si="88"/>
        <v>0</v>
      </c>
      <c r="BE229">
        <f t="shared" si="89"/>
        <v>0</v>
      </c>
      <c r="BF229" t="s">
        <v>107</v>
      </c>
      <c r="BG229">
        <f t="shared" si="90"/>
        <v>0</v>
      </c>
      <c r="BH229">
        <f t="shared" si="91"/>
        <v>0</v>
      </c>
      <c r="BI229">
        <f t="shared" si="92"/>
        <v>0</v>
      </c>
      <c r="BJ229">
        <f t="shared" si="93"/>
        <v>0</v>
      </c>
      <c r="BK229">
        <f t="shared" si="94"/>
        <v>0</v>
      </c>
      <c r="BL229">
        <f t="shared" si="95"/>
        <v>0</v>
      </c>
      <c r="BM229">
        <f t="shared" si="96"/>
        <v>0</v>
      </c>
      <c r="BN229" t="e">
        <f t="shared" si="96"/>
        <v>#DIV/0!</v>
      </c>
    </row>
    <row r="230" spans="1:66" x14ac:dyDescent="0.25">
      <c r="A230">
        <v>2025</v>
      </c>
      <c r="B230" s="1">
        <f t="shared" si="97"/>
        <v>45882</v>
      </c>
      <c r="C230" s="2">
        <v>225</v>
      </c>
      <c r="D230">
        <v>70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K230" s="22">
        <f t="shared" si="99"/>
        <v>0</v>
      </c>
      <c r="AL230">
        <f t="shared" si="98"/>
        <v>70.099999999999994</v>
      </c>
      <c r="AM230" s="4">
        <v>26.79</v>
      </c>
      <c r="AP230" s="7">
        <f t="shared" si="77"/>
        <v>0</v>
      </c>
      <c r="AQ230" s="7" t="e">
        <f t="shared" si="78"/>
        <v>#DIV/0!</v>
      </c>
      <c r="AS230">
        <f t="shared" si="79"/>
        <v>0</v>
      </c>
      <c r="AT230">
        <f t="shared" si="80"/>
        <v>0</v>
      </c>
      <c r="AU230">
        <f t="shared" si="81"/>
        <v>0</v>
      </c>
      <c r="AV230" t="s">
        <v>107</v>
      </c>
      <c r="AW230">
        <f t="shared" si="82"/>
        <v>0</v>
      </c>
      <c r="AX230">
        <f t="shared" si="83"/>
        <v>0</v>
      </c>
      <c r="AY230">
        <f t="shared" si="84"/>
        <v>0</v>
      </c>
      <c r="AZ230">
        <f t="shared" si="85"/>
        <v>0</v>
      </c>
      <c r="BA230" t="s">
        <v>107</v>
      </c>
      <c r="BB230">
        <f t="shared" si="86"/>
        <v>0</v>
      </c>
      <c r="BC230">
        <f t="shared" si="87"/>
        <v>0</v>
      </c>
      <c r="BD230">
        <f t="shared" si="88"/>
        <v>0</v>
      </c>
      <c r="BE230">
        <f t="shared" si="89"/>
        <v>0</v>
      </c>
      <c r="BF230" t="s">
        <v>107</v>
      </c>
      <c r="BG230">
        <f t="shared" si="90"/>
        <v>0</v>
      </c>
      <c r="BH230">
        <f t="shared" si="91"/>
        <v>0</v>
      </c>
      <c r="BI230">
        <f t="shared" si="92"/>
        <v>0</v>
      </c>
      <c r="BJ230">
        <f t="shared" si="93"/>
        <v>0</v>
      </c>
      <c r="BK230">
        <f t="shared" si="94"/>
        <v>0</v>
      </c>
      <c r="BL230">
        <f t="shared" si="95"/>
        <v>0</v>
      </c>
      <c r="BM230">
        <f t="shared" si="96"/>
        <v>0</v>
      </c>
      <c r="BN230" t="e">
        <f t="shared" si="96"/>
        <v>#DIV/0!</v>
      </c>
    </row>
    <row r="231" spans="1:66" x14ac:dyDescent="0.25">
      <c r="A231">
        <v>2025</v>
      </c>
      <c r="B231" s="1">
        <f t="shared" si="97"/>
        <v>45883</v>
      </c>
      <c r="C231" s="2">
        <v>226</v>
      </c>
      <c r="D231">
        <v>70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K231" s="22">
        <f t="shared" si="99"/>
        <v>0</v>
      </c>
      <c r="AL231">
        <f t="shared" si="98"/>
        <v>70.099999999999994</v>
      </c>
      <c r="AM231" s="4">
        <v>26.59</v>
      </c>
      <c r="AP231" s="7">
        <f t="shared" si="77"/>
        <v>0</v>
      </c>
      <c r="AQ231" s="7" t="e">
        <f t="shared" si="78"/>
        <v>#DIV/0!</v>
      </c>
      <c r="AS231">
        <f t="shared" si="79"/>
        <v>0</v>
      </c>
      <c r="AT231">
        <f t="shared" si="80"/>
        <v>0</v>
      </c>
      <c r="AU231">
        <f t="shared" si="81"/>
        <v>0</v>
      </c>
      <c r="AV231" t="s">
        <v>107</v>
      </c>
      <c r="AW231">
        <f t="shared" si="82"/>
        <v>0</v>
      </c>
      <c r="AX231">
        <f t="shared" si="83"/>
        <v>0</v>
      </c>
      <c r="AY231">
        <f t="shared" si="84"/>
        <v>0</v>
      </c>
      <c r="AZ231">
        <f t="shared" si="85"/>
        <v>0</v>
      </c>
      <c r="BA231" t="s">
        <v>107</v>
      </c>
      <c r="BB231">
        <f t="shared" si="86"/>
        <v>0</v>
      </c>
      <c r="BC231">
        <f t="shared" si="87"/>
        <v>0</v>
      </c>
      <c r="BD231">
        <f t="shared" si="88"/>
        <v>0</v>
      </c>
      <c r="BE231">
        <f t="shared" si="89"/>
        <v>0</v>
      </c>
      <c r="BF231" t="s">
        <v>107</v>
      </c>
      <c r="BG231">
        <f t="shared" si="90"/>
        <v>0</v>
      </c>
      <c r="BH231">
        <f t="shared" si="91"/>
        <v>0</v>
      </c>
      <c r="BI231">
        <f t="shared" si="92"/>
        <v>0</v>
      </c>
      <c r="BJ231">
        <f t="shared" si="93"/>
        <v>0</v>
      </c>
      <c r="BK231">
        <f t="shared" si="94"/>
        <v>0</v>
      </c>
      <c r="BL231">
        <f t="shared" si="95"/>
        <v>0</v>
      </c>
      <c r="BM231">
        <f t="shared" si="96"/>
        <v>0</v>
      </c>
      <c r="BN231" t="e">
        <f t="shared" si="96"/>
        <v>#DIV/0!</v>
      </c>
    </row>
    <row r="232" spans="1:66" x14ac:dyDescent="0.25">
      <c r="A232">
        <v>2025</v>
      </c>
      <c r="B232" s="1">
        <f t="shared" si="97"/>
        <v>45884</v>
      </c>
      <c r="C232" s="2">
        <v>227</v>
      </c>
      <c r="D232">
        <v>70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K232" s="22">
        <f t="shared" si="99"/>
        <v>0</v>
      </c>
      <c r="AL232">
        <f t="shared" si="98"/>
        <v>70.099999999999994</v>
      </c>
      <c r="AM232" s="4">
        <v>26.37</v>
      </c>
      <c r="AP232" s="7">
        <f t="shared" si="77"/>
        <v>0</v>
      </c>
      <c r="AQ232" s="7" t="e">
        <f t="shared" si="78"/>
        <v>#DIV/0!</v>
      </c>
      <c r="AS232">
        <f t="shared" si="79"/>
        <v>0</v>
      </c>
      <c r="AT232">
        <f t="shared" si="80"/>
        <v>0</v>
      </c>
      <c r="AU232">
        <f t="shared" si="81"/>
        <v>0</v>
      </c>
      <c r="AV232" t="s">
        <v>107</v>
      </c>
      <c r="AW232">
        <f t="shared" si="82"/>
        <v>0</v>
      </c>
      <c r="AX232">
        <f t="shared" si="83"/>
        <v>0</v>
      </c>
      <c r="AY232">
        <f t="shared" si="84"/>
        <v>0</v>
      </c>
      <c r="AZ232">
        <f t="shared" si="85"/>
        <v>0</v>
      </c>
      <c r="BA232" t="s">
        <v>107</v>
      </c>
      <c r="BB232">
        <f t="shared" si="86"/>
        <v>0</v>
      </c>
      <c r="BC232">
        <f t="shared" si="87"/>
        <v>0</v>
      </c>
      <c r="BD232">
        <f t="shared" si="88"/>
        <v>0</v>
      </c>
      <c r="BE232">
        <f t="shared" si="89"/>
        <v>0</v>
      </c>
      <c r="BF232" t="s">
        <v>107</v>
      </c>
      <c r="BG232">
        <f t="shared" si="90"/>
        <v>0</v>
      </c>
      <c r="BH232">
        <f t="shared" si="91"/>
        <v>0</v>
      </c>
      <c r="BI232">
        <f t="shared" si="92"/>
        <v>0</v>
      </c>
      <c r="BJ232">
        <f t="shared" si="93"/>
        <v>0</v>
      </c>
      <c r="BK232">
        <f t="shared" si="94"/>
        <v>0</v>
      </c>
      <c r="BL232">
        <f t="shared" si="95"/>
        <v>0</v>
      </c>
      <c r="BM232">
        <f t="shared" si="96"/>
        <v>0</v>
      </c>
      <c r="BN232" t="e">
        <f t="shared" si="96"/>
        <v>#DIV/0!</v>
      </c>
    </row>
    <row r="233" spans="1:66" x14ac:dyDescent="0.25">
      <c r="A233">
        <v>2025</v>
      </c>
      <c r="B233" s="1">
        <f t="shared" si="97"/>
        <v>45885</v>
      </c>
      <c r="C233" s="2">
        <v>228</v>
      </c>
      <c r="D233">
        <v>70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K233" s="22">
        <f t="shared" si="99"/>
        <v>0</v>
      </c>
      <c r="AL233">
        <f t="shared" si="98"/>
        <v>70.099999999999994</v>
      </c>
      <c r="AM233" s="4">
        <v>26.16</v>
      </c>
      <c r="AP233" s="7">
        <f t="shared" si="77"/>
        <v>0</v>
      </c>
      <c r="AQ233" s="7" t="e">
        <f t="shared" si="78"/>
        <v>#DIV/0!</v>
      </c>
      <c r="AS233">
        <f t="shared" si="79"/>
        <v>0</v>
      </c>
      <c r="AT233">
        <f t="shared" si="80"/>
        <v>0</v>
      </c>
      <c r="AU233">
        <f t="shared" si="81"/>
        <v>0</v>
      </c>
      <c r="AV233" t="s">
        <v>107</v>
      </c>
      <c r="AW233">
        <f t="shared" si="82"/>
        <v>0</v>
      </c>
      <c r="AX233">
        <f t="shared" si="83"/>
        <v>0</v>
      </c>
      <c r="AY233">
        <f t="shared" si="84"/>
        <v>0</v>
      </c>
      <c r="AZ233">
        <f t="shared" si="85"/>
        <v>0</v>
      </c>
      <c r="BA233" t="s">
        <v>107</v>
      </c>
      <c r="BB233">
        <f t="shared" si="86"/>
        <v>0</v>
      </c>
      <c r="BC233">
        <f t="shared" si="87"/>
        <v>0</v>
      </c>
      <c r="BD233">
        <f t="shared" si="88"/>
        <v>0</v>
      </c>
      <c r="BE233">
        <f t="shared" si="89"/>
        <v>0</v>
      </c>
      <c r="BF233" t="s">
        <v>107</v>
      </c>
      <c r="BG233">
        <f t="shared" si="90"/>
        <v>0</v>
      </c>
      <c r="BH233">
        <f t="shared" si="91"/>
        <v>0</v>
      </c>
      <c r="BI233">
        <f t="shared" si="92"/>
        <v>0</v>
      </c>
      <c r="BJ233">
        <f t="shared" si="93"/>
        <v>0</v>
      </c>
      <c r="BK233">
        <f t="shared" si="94"/>
        <v>0</v>
      </c>
      <c r="BL233">
        <f t="shared" si="95"/>
        <v>0</v>
      </c>
      <c r="BM233">
        <f t="shared" si="96"/>
        <v>0</v>
      </c>
      <c r="BN233" t="e">
        <f t="shared" si="96"/>
        <v>#DIV/0!</v>
      </c>
    </row>
    <row r="234" spans="1:66" x14ac:dyDescent="0.25">
      <c r="A234">
        <v>2025</v>
      </c>
      <c r="B234" s="1">
        <f t="shared" si="97"/>
        <v>45886</v>
      </c>
      <c r="C234" s="2">
        <v>229</v>
      </c>
      <c r="D234">
        <v>70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K234" s="22">
        <f t="shared" si="99"/>
        <v>0</v>
      </c>
      <c r="AL234">
        <f t="shared" si="98"/>
        <v>70.099999999999994</v>
      </c>
      <c r="AM234" s="4">
        <v>25.95</v>
      </c>
      <c r="AP234" s="7">
        <f t="shared" si="77"/>
        <v>0</v>
      </c>
      <c r="AQ234" s="7" t="e">
        <f t="shared" si="78"/>
        <v>#DIV/0!</v>
      </c>
      <c r="AS234">
        <f t="shared" si="79"/>
        <v>0</v>
      </c>
      <c r="AT234">
        <f t="shared" si="80"/>
        <v>0</v>
      </c>
      <c r="AU234">
        <f t="shared" si="81"/>
        <v>0</v>
      </c>
      <c r="AV234" t="s">
        <v>107</v>
      </c>
      <c r="AW234">
        <f t="shared" si="82"/>
        <v>0</v>
      </c>
      <c r="AX234">
        <f t="shared" si="83"/>
        <v>0</v>
      </c>
      <c r="AY234">
        <f t="shared" si="84"/>
        <v>0</v>
      </c>
      <c r="AZ234">
        <f t="shared" si="85"/>
        <v>0</v>
      </c>
      <c r="BA234" t="s">
        <v>107</v>
      </c>
      <c r="BB234">
        <f t="shared" si="86"/>
        <v>0</v>
      </c>
      <c r="BC234">
        <f t="shared" si="87"/>
        <v>0</v>
      </c>
      <c r="BD234">
        <f t="shared" si="88"/>
        <v>0</v>
      </c>
      <c r="BE234">
        <f t="shared" si="89"/>
        <v>0</v>
      </c>
      <c r="BF234" t="s">
        <v>107</v>
      </c>
      <c r="BG234">
        <f t="shared" si="90"/>
        <v>0</v>
      </c>
      <c r="BH234">
        <f t="shared" si="91"/>
        <v>0</v>
      </c>
      <c r="BI234">
        <f t="shared" si="92"/>
        <v>0</v>
      </c>
      <c r="BJ234">
        <f t="shared" si="93"/>
        <v>0</v>
      </c>
      <c r="BK234">
        <f t="shared" si="94"/>
        <v>0</v>
      </c>
      <c r="BL234">
        <f t="shared" si="95"/>
        <v>0</v>
      </c>
      <c r="BM234">
        <f t="shared" si="96"/>
        <v>0</v>
      </c>
      <c r="BN234" t="e">
        <f t="shared" si="96"/>
        <v>#DIV/0!</v>
      </c>
    </row>
    <row r="235" spans="1:66" x14ac:dyDescent="0.25">
      <c r="A235">
        <v>2025</v>
      </c>
      <c r="B235" s="1">
        <f t="shared" si="97"/>
        <v>45887</v>
      </c>
      <c r="C235" s="2">
        <v>230</v>
      </c>
      <c r="D235">
        <v>70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K235" s="22">
        <f t="shared" si="99"/>
        <v>0</v>
      </c>
      <c r="AL235">
        <f t="shared" si="98"/>
        <v>70.099999999999994</v>
      </c>
      <c r="AM235" s="4">
        <v>25.73</v>
      </c>
      <c r="AP235" s="7">
        <f t="shared" si="77"/>
        <v>0</v>
      </c>
      <c r="AQ235" s="7" t="e">
        <f t="shared" si="78"/>
        <v>#DIV/0!</v>
      </c>
      <c r="AS235">
        <f t="shared" si="79"/>
        <v>0</v>
      </c>
      <c r="AT235">
        <f t="shared" si="80"/>
        <v>0</v>
      </c>
      <c r="AU235">
        <f t="shared" si="81"/>
        <v>0</v>
      </c>
      <c r="AV235" t="s">
        <v>107</v>
      </c>
      <c r="AW235">
        <f t="shared" si="82"/>
        <v>0</v>
      </c>
      <c r="AX235">
        <f t="shared" si="83"/>
        <v>0</v>
      </c>
      <c r="AY235">
        <f t="shared" si="84"/>
        <v>0</v>
      </c>
      <c r="AZ235">
        <f t="shared" si="85"/>
        <v>0</v>
      </c>
      <c r="BA235" t="s">
        <v>107</v>
      </c>
      <c r="BB235">
        <f t="shared" si="86"/>
        <v>0</v>
      </c>
      <c r="BC235">
        <f t="shared" si="87"/>
        <v>0</v>
      </c>
      <c r="BD235">
        <f t="shared" si="88"/>
        <v>0</v>
      </c>
      <c r="BE235">
        <f t="shared" si="89"/>
        <v>0</v>
      </c>
      <c r="BF235" t="s">
        <v>107</v>
      </c>
      <c r="BG235">
        <f t="shared" si="90"/>
        <v>0</v>
      </c>
      <c r="BH235">
        <f t="shared" si="91"/>
        <v>0</v>
      </c>
      <c r="BI235">
        <f t="shared" si="92"/>
        <v>0</v>
      </c>
      <c r="BJ235">
        <f t="shared" si="93"/>
        <v>0</v>
      </c>
      <c r="BK235">
        <f t="shared" si="94"/>
        <v>0</v>
      </c>
      <c r="BL235">
        <f t="shared" si="95"/>
        <v>0</v>
      </c>
      <c r="BM235">
        <f t="shared" si="96"/>
        <v>0</v>
      </c>
      <c r="BN235" t="e">
        <f t="shared" si="96"/>
        <v>#DIV/0!</v>
      </c>
    </row>
    <row r="236" spans="1:66" x14ac:dyDescent="0.25">
      <c r="A236">
        <v>2025</v>
      </c>
      <c r="B236" s="1">
        <f t="shared" si="97"/>
        <v>45888</v>
      </c>
      <c r="C236" s="2">
        <v>231</v>
      </c>
      <c r="D236">
        <v>70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K236" s="22">
        <f t="shared" si="99"/>
        <v>0</v>
      </c>
      <c r="AL236">
        <f t="shared" si="98"/>
        <v>70.099999999999994</v>
      </c>
      <c r="AM236" s="4">
        <v>25.5</v>
      </c>
      <c r="AP236" s="7">
        <f t="shared" si="77"/>
        <v>0</v>
      </c>
      <c r="AQ236" s="7" t="e">
        <f t="shared" si="78"/>
        <v>#DIV/0!</v>
      </c>
      <c r="AS236">
        <f t="shared" si="79"/>
        <v>0</v>
      </c>
      <c r="AT236">
        <f t="shared" si="80"/>
        <v>0</v>
      </c>
      <c r="AU236">
        <f t="shared" si="81"/>
        <v>0</v>
      </c>
      <c r="AV236" t="s">
        <v>107</v>
      </c>
      <c r="AW236">
        <f t="shared" si="82"/>
        <v>0</v>
      </c>
      <c r="AX236">
        <f t="shared" si="83"/>
        <v>0</v>
      </c>
      <c r="AY236">
        <f t="shared" si="84"/>
        <v>0</v>
      </c>
      <c r="AZ236">
        <f t="shared" si="85"/>
        <v>0</v>
      </c>
      <c r="BA236" t="s">
        <v>107</v>
      </c>
      <c r="BB236">
        <f t="shared" si="86"/>
        <v>0</v>
      </c>
      <c r="BC236">
        <f t="shared" si="87"/>
        <v>0</v>
      </c>
      <c r="BD236">
        <f t="shared" si="88"/>
        <v>0</v>
      </c>
      <c r="BE236">
        <f t="shared" si="89"/>
        <v>0</v>
      </c>
      <c r="BF236" t="s">
        <v>107</v>
      </c>
      <c r="BG236">
        <f t="shared" si="90"/>
        <v>0</v>
      </c>
      <c r="BH236">
        <f t="shared" si="91"/>
        <v>0</v>
      </c>
      <c r="BI236">
        <f t="shared" si="92"/>
        <v>0</v>
      </c>
      <c r="BJ236">
        <f t="shared" si="93"/>
        <v>0</v>
      </c>
      <c r="BK236">
        <f t="shared" si="94"/>
        <v>0</v>
      </c>
      <c r="BL236">
        <f t="shared" si="95"/>
        <v>0</v>
      </c>
      <c r="BM236">
        <f t="shared" si="96"/>
        <v>0</v>
      </c>
      <c r="BN236" t="e">
        <f t="shared" si="96"/>
        <v>#DIV/0!</v>
      </c>
    </row>
    <row r="237" spans="1:66" x14ac:dyDescent="0.25">
      <c r="A237">
        <v>2025</v>
      </c>
      <c r="B237" s="1">
        <f t="shared" si="97"/>
        <v>45889</v>
      </c>
      <c r="C237" s="2">
        <v>232</v>
      </c>
      <c r="D237">
        <v>70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K237" s="22">
        <f t="shared" ref="AK237:AK268" si="100">AA237</f>
        <v>0</v>
      </c>
      <c r="AL237">
        <f t="shared" si="98"/>
        <v>70.099999999999994</v>
      </c>
      <c r="AM237" s="4">
        <v>25.28</v>
      </c>
      <c r="AP237" s="7">
        <f t="shared" si="77"/>
        <v>0</v>
      </c>
      <c r="AQ237" s="7" t="e">
        <f t="shared" si="78"/>
        <v>#DIV/0!</v>
      </c>
      <c r="AS237">
        <f t="shared" si="79"/>
        <v>0</v>
      </c>
      <c r="AT237">
        <f t="shared" si="80"/>
        <v>0</v>
      </c>
      <c r="AU237">
        <f t="shared" si="81"/>
        <v>0</v>
      </c>
      <c r="AV237" t="s">
        <v>107</v>
      </c>
      <c r="AW237">
        <f t="shared" si="82"/>
        <v>0</v>
      </c>
      <c r="AX237">
        <f t="shared" si="83"/>
        <v>0</v>
      </c>
      <c r="AY237">
        <f t="shared" si="84"/>
        <v>0</v>
      </c>
      <c r="AZ237">
        <f t="shared" si="85"/>
        <v>0</v>
      </c>
      <c r="BA237" t="s">
        <v>107</v>
      </c>
      <c r="BB237">
        <f t="shared" si="86"/>
        <v>0</v>
      </c>
      <c r="BC237">
        <f t="shared" si="87"/>
        <v>0</v>
      </c>
      <c r="BD237">
        <f t="shared" si="88"/>
        <v>0</v>
      </c>
      <c r="BE237">
        <f t="shared" si="89"/>
        <v>0</v>
      </c>
      <c r="BF237" t="s">
        <v>107</v>
      </c>
      <c r="BG237">
        <f t="shared" si="90"/>
        <v>0</v>
      </c>
      <c r="BH237">
        <f t="shared" si="91"/>
        <v>0</v>
      </c>
      <c r="BI237">
        <f t="shared" si="92"/>
        <v>0</v>
      </c>
      <c r="BJ237">
        <f t="shared" si="93"/>
        <v>0</v>
      </c>
      <c r="BK237">
        <f t="shared" si="94"/>
        <v>0</v>
      </c>
      <c r="BL237">
        <f t="shared" si="95"/>
        <v>0</v>
      </c>
      <c r="BM237">
        <f t="shared" si="96"/>
        <v>0</v>
      </c>
      <c r="BN237" t="e">
        <f t="shared" si="96"/>
        <v>#DIV/0!</v>
      </c>
    </row>
    <row r="238" spans="1:66" x14ac:dyDescent="0.25">
      <c r="A238">
        <v>2025</v>
      </c>
      <c r="B238" s="1">
        <f t="shared" si="97"/>
        <v>45890</v>
      </c>
      <c r="C238" s="2">
        <v>233</v>
      </c>
      <c r="D238">
        <v>70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K238" s="22">
        <f t="shared" si="100"/>
        <v>0</v>
      </c>
      <c r="AL238">
        <f t="shared" si="98"/>
        <v>70.099999999999994</v>
      </c>
      <c r="AM238" s="4">
        <v>25.06</v>
      </c>
      <c r="AP238" s="7">
        <f t="shared" si="77"/>
        <v>0</v>
      </c>
      <c r="AQ238" s="7" t="e">
        <f t="shared" si="78"/>
        <v>#DIV/0!</v>
      </c>
      <c r="AS238">
        <f t="shared" si="79"/>
        <v>0</v>
      </c>
      <c r="AT238">
        <f t="shared" si="80"/>
        <v>0</v>
      </c>
      <c r="AU238">
        <f t="shared" si="81"/>
        <v>0</v>
      </c>
      <c r="AV238" t="s">
        <v>107</v>
      </c>
      <c r="AW238">
        <f t="shared" si="82"/>
        <v>0</v>
      </c>
      <c r="AX238">
        <f t="shared" si="83"/>
        <v>0</v>
      </c>
      <c r="AY238">
        <f t="shared" si="84"/>
        <v>0</v>
      </c>
      <c r="AZ238">
        <f t="shared" si="85"/>
        <v>0</v>
      </c>
      <c r="BA238" t="s">
        <v>107</v>
      </c>
      <c r="BB238">
        <f t="shared" si="86"/>
        <v>0</v>
      </c>
      <c r="BC238">
        <f t="shared" si="87"/>
        <v>0</v>
      </c>
      <c r="BD238">
        <f t="shared" si="88"/>
        <v>0</v>
      </c>
      <c r="BE238">
        <f t="shared" si="89"/>
        <v>0</v>
      </c>
      <c r="BF238" t="s">
        <v>107</v>
      </c>
      <c r="BG238">
        <f t="shared" si="90"/>
        <v>0</v>
      </c>
      <c r="BH238">
        <f t="shared" si="91"/>
        <v>0</v>
      </c>
      <c r="BI238">
        <f t="shared" si="92"/>
        <v>0</v>
      </c>
      <c r="BJ238">
        <f t="shared" si="93"/>
        <v>0</v>
      </c>
      <c r="BK238">
        <f t="shared" si="94"/>
        <v>0</v>
      </c>
      <c r="BL238">
        <f t="shared" si="95"/>
        <v>0</v>
      </c>
      <c r="BM238">
        <f t="shared" si="96"/>
        <v>0</v>
      </c>
      <c r="BN238" t="e">
        <f t="shared" si="96"/>
        <v>#DIV/0!</v>
      </c>
    </row>
    <row r="239" spans="1:66" x14ac:dyDescent="0.25">
      <c r="A239">
        <v>2025</v>
      </c>
      <c r="B239" s="1">
        <f t="shared" si="97"/>
        <v>45891</v>
      </c>
      <c r="C239" s="2">
        <v>234</v>
      </c>
      <c r="D239">
        <v>70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K239" s="22">
        <f t="shared" si="100"/>
        <v>0</v>
      </c>
      <c r="AL239">
        <f t="shared" si="98"/>
        <v>70.099999999999994</v>
      </c>
      <c r="AM239" s="4">
        <v>24.83</v>
      </c>
      <c r="AP239" s="7">
        <f t="shared" si="77"/>
        <v>0</v>
      </c>
      <c r="AQ239" s="7" t="e">
        <f t="shared" si="78"/>
        <v>#DIV/0!</v>
      </c>
      <c r="AS239">
        <f t="shared" si="79"/>
        <v>0</v>
      </c>
      <c r="AT239">
        <f t="shared" si="80"/>
        <v>0</v>
      </c>
      <c r="AU239">
        <f t="shared" si="81"/>
        <v>0</v>
      </c>
      <c r="AV239" t="s">
        <v>107</v>
      </c>
      <c r="AW239">
        <f t="shared" si="82"/>
        <v>0</v>
      </c>
      <c r="AX239">
        <f t="shared" si="83"/>
        <v>0</v>
      </c>
      <c r="AY239">
        <f t="shared" si="84"/>
        <v>0</v>
      </c>
      <c r="AZ239">
        <f t="shared" si="85"/>
        <v>0</v>
      </c>
      <c r="BA239" t="s">
        <v>107</v>
      </c>
      <c r="BB239">
        <f t="shared" si="86"/>
        <v>0</v>
      </c>
      <c r="BC239">
        <f t="shared" si="87"/>
        <v>0</v>
      </c>
      <c r="BD239">
        <f t="shared" si="88"/>
        <v>0</v>
      </c>
      <c r="BE239">
        <f t="shared" si="89"/>
        <v>0</v>
      </c>
      <c r="BF239" t="s">
        <v>107</v>
      </c>
      <c r="BG239">
        <f t="shared" si="90"/>
        <v>0</v>
      </c>
      <c r="BH239">
        <f t="shared" si="91"/>
        <v>0</v>
      </c>
      <c r="BI239">
        <f t="shared" si="92"/>
        <v>0</v>
      </c>
      <c r="BJ239">
        <f t="shared" si="93"/>
        <v>0</v>
      </c>
      <c r="BK239">
        <f t="shared" si="94"/>
        <v>0</v>
      </c>
      <c r="BL239">
        <f t="shared" si="95"/>
        <v>0</v>
      </c>
      <c r="BM239">
        <f t="shared" si="96"/>
        <v>0</v>
      </c>
      <c r="BN239" t="e">
        <f t="shared" si="96"/>
        <v>#DIV/0!</v>
      </c>
    </row>
    <row r="240" spans="1:66" x14ac:dyDescent="0.25">
      <c r="A240">
        <v>2025</v>
      </c>
      <c r="B240" s="1">
        <f t="shared" si="97"/>
        <v>45892</v>
      </c>
      <c r="C240" s="2">
        <v>235</v>
      </c>
      <c r="D240">
        <v>70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K240" s="22">
        <f t="shared" si="100"/>
        <v>0</v>
      </c>
      <c r="AL240">
        <f t="shared" si="98"/>
        <v>70.099999999999994</v>
      </c>
      <c r="AM240" s="4">
        <v>24.61</v>
      </c>
      <c r="AP240" s="7">
        <f t="shared" si="77"/>
        <v>0</v>
      </c>
      <c r="AQ240" s="7" t="e">
        <f t="shared" si="78"/>
        <v>#DIV/0!</v>
      </c>
      <c r="AS240">
        <f t="shared" si="79"/>
        <v>0</v>
      </c>
      <c r="AT240">
        <f t="shared" si="80"/>
        <v>0</v>
      </c>
      <c r="AU240">
        <f t="shared" si="81"/>
        <v>0</v>
      </c>
      <c r="AV240" t="s">
        <v>107</v>
      </c>
      <c r="AW240">
        <f t="shared" si="82"/>
        <v>0</v>
      </c>
      <c r="AX240">
        <f t="shared" si="83"/>
        <v>0</v>
      </c>
      <c r="AY240">
        <f t="shared" si="84"/>
        <v>0</v>
      </c>
      <c r="AZ240">
        <f t="shared" si="85"/>
        <v>0</v>
      </c>
      <c r="BA240" t="s">
        <v>107</v>
      </c>
      <c r="BB240">
        <f t="shared" si="86"/>
        <v>0</v>
      </c>
      <c r="BC240">
        <f t="shared" si="87"/>
        <v>0</v>
      </c>
      <c r="BD240">
        <f t="shared" si="88"/>
        <v>0</v>
      </c>
      <c r="BE240">
        <f t="shared" si="89"/>
        <v>0</v>
      </c>
      <c r="BF240" t="s">
        <v>107</v>
      </c>
      <c r="BG240">
        <f t="shared" si="90"/>
        <v>0</v>
      </c>
      <c r="BH240">
        <f t="shared" si="91"/>
        <v>0</v>
      </c>
      <c r="BI240">
        <f t="shared" si="92"/>
        <v>0</v>
      </c>
      <c r="BJ240">
        <f t="shared" si="93"/>
        <v>0</v>
      </c>
      <c r="BK240">
        <f t="shared" si="94"/>
        <v>0</v>
      </c>
      <c r="BL240">
        <f t="shared" si="95"/>
        <v>0</v>
      </c>
      <c r="BM240">
        <f t="shared" si="96"/>
        <v>0</v>
      </c>
      <c r="BN240" t="e">
        <f t="shared" si="96"/>
        <v>#DIV/0!</v>
      </c>
    </row>
    <row r="241" spans="1:66" x14ac:dyDescent="0.25">
      <c r="A241">
        <v>2025</v>
      </c>
      <c r="B241" s="1">
        <f t="shared" si="97"/>
        <v>45893</v>
      </c>
      <c r="C241" s="2">
        <v>236</v>
      </c>
      <c r="D241">
        <v>70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K241" s="22">
        <f t="shared" si="100"/>
        <v>0</v>
      </c>
      <c r="AL241">
        <f t="shared" si="98"/>
        <v>70.099999999999994</v>
      </c>
      <c r="AM241" s="4">
        <v>24.37</v>
      </c>
      <c r="AP241" s="7">
        <f t="shared" si="77"/>
        <v>0</v>
      </c>
      <c r="AQ241" s="7" t="e">
        <f t="shared" si="78"/>
        <v>#DIV/0!</v>
      </c>
      <c r="AS241">
        <f t="shared" si="79"/>
        <v>0</v>
      </c>
      <c r="AT241">
        <f t="shared" si="80"/>
        <v>0</v>
      </c>
      <c r="AU241">
        <f t="shared" si="81"/>
        <v>0</v>
      </c>
      <c r="AV241" t="s">
        <v>107</v>
      </c>
      <c r="AW241">
        <f t="shared" si="82"/>
        <v>0</v>
      </c>
      <c r="AX241">
        <f t="shared" si="83"/>
        <v>0</v>
      </c>
      <c r="AY241">
        <f t="shared" si="84"/>
        <v>0</v>
      </c>
      <c r="AZ241">
        <f t="shared" si="85"/>
        <v>0</v>
      </c>
      <c r="BA241" t="s">
        <v>107</v>
      </c>
      <c r="BB241">
        <f t="shared" si="86"/>
        <v>0</v>
      </c>
      <c r="BC241">
        <f t="shared" si="87"/>
        <v>0</v>
      </c>
      <c r="BD241">
        <f t="shared" si="88"/>
        <v>0</v>
      </c>
      <c r="BE241">
        <f t="shared" si="89"/>
        <v>0</v>
      </c>
      <c r="BF241" t="s">
        <v>107</v>
      </c>
      <c r="BG241">
        <f t="shared" si="90"/>
        <v>0</v>
      </c>
      <c r="BH241">
        <f t="shared" si="91"/>
        <v>0</v>
      </c>
      <c r="BI241">
        <f t="shared" si="92"/>
        <v>0</v>
      </c>
      <c r="BJ241">
        <f t="shared" si="93"/>
        <v>0</v>
      </c>
      <c r="BK241">
        <f t="shared" si="94"/>
        <v>0</v>
      </c>
      <c r="BL241">
        <f t="shared" si="95"/>
        <v>0</v>
      </c>
      <c r="BM241">
        <f t="shared" si="96"/>
        <v>0</v>
      </c>
      <c r="BN241" t="e">
        <f t="shared" si="96"/>
        <v>#DIV/0!</v>
      </c>
    </row>
    <row r="242" spans="1:66" x14ac:dyDescent="0.25">
      <c r="A242">
        <v>2025</v>
      </c>
      <c r="B242" s="1">
        <f t="shared" si="97"/>
        <v>45894</v>
      </c>
      <c r="C242" s="2">
        <v>237</v>
      </c>
      <c r="D242">
        <v>70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K242" s="22">
        <f t="shared" si="100"/>
        <v>0</v>
      </c>
      <c r="AL242">
        <f t="shared" si="98"/>
        <v>70.099999999999994</v>
      </c>
      <c r="AM242" s="4">
        <v>24.14</v>
      </c>
      <c r="AP242" s="7">
        <f t="shared" si="77"/>
        <v>0</v>
      </c>
      <c r="AQ242" s="7" t="e">
        <f t="shared" si="78"/>
        <v>#DIV/0!</v>
      </c>
      <c r="AS242">
        <f t="shared" si="79"/>
        <v>0</v>
      </c>
      <c r="AT242">
        <f t="shared" si="80"/>
        <v>0</v>
      </c>
      <c r="AU242">
        <f t="shared" si="81"/>
        <v>0</v>
      </c>
      <c r="AV242" t="s">
        <v>107</v>
      </c>
      <c r="AW242">
        <f t="shared" si="82"/>
        <v>0</v>
      </c>
      <c r="AX242">
        <f t="shared" si="83"/>
        <v>0</v>
      </c>
      <c r="AY242">
        <f t="shared" si="84"/>
        <v>0</v>
      </c>
      <c r="AZ242">
        <f t="shared" si="85"/>
        <v>0</v>
      </c>
      <c r="BA242" t="s">
        <v>107</v>
      </c>
      <c r="BB242">
        <f t="shared" si="86"/>
        <v>0</v>
      </c>
      <c r="BC242">
        <f t="shared" si="87"/>
        <v>0</v>
      </c>
      <c r="BD242">
        <f t="shared" si="88"/>
        <v>0</v>
      </c>
      <c r="BE242">
        <f t="shared" si="89"/>
        <v>0</v>
      </c>
      <c r="BF242" t="s">
        <v>107</v>
      </c>
      <c r="BG242">
        <f t="shared" si="90"/>
        <v>0</v>
      </c>
      <c r="BH242">
        <f t="shared" si="91"/>
        <v>0</v>
      </c>
      <c r="BI242">
        <f t="shared" si="92"/>
        <v>0</v>
      </c>
      <c r="BJ242">
        <f t="shared" si="93"/>
        <v>0</v>
      </c>
      <c r="BK242">
        <f t="shared" si="94"/>
        <v>0</v>
      </c>
      <c r="BL242">
        <f t="shared" si="95"/>
        <v>0</v>
      </c>
      <c r="BM242">
        <f t="shared" si="96"/>
        <v>0</v>
      </c>
      <c r="BN242" t="e">
        <f t="shared" si="96"/>
        <v>#DIV/0!</v>
      </c>
    </row>
    <row r="243" spans="1:66" x14ac:dyDescent="0.25">
      <c r="A243">
        <v>2025</v>
      </c>
      <c r="B243" s="1">
        <f t="shared" si="97"/>
        <v>45895</v>
      </c>
      <c r="C243" s="2">
        <v>238</v>
      </c>
      <c r="D243">
        <v>70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K243" s="22">
        <f t="shared" si="100"/>
        <v>0</v>
      </c>
      <c r="AL243">
        <f t="shared" si="98"/>
        <v>70.099999999999994</v>
      </c>
      <c r="AM243" s="4">
        <v>23.91</v>
      </c>
      <c r="AP243" s="7">
        <f t="shared" si="77"/>
        <v>0</v>
      </c>
      <c r="AQ243" s="7" t="e">
        <f t="shared" si="78"/>
        <v>#DIV/0!</v>
      </c>
      <c r="AS243">
        <f t="shared" si="79"/>
        <v>0</v>
      </c>
      <c r="AT243">
        <f t="shared" si="80"/>
        <v>0</v>
      </c>
      <c r="AU243">
        <f t="shared" si="81"/>
        <v>0</v>
      </c>
      <c r="AV243" t="s">
        <v>107</v>
      </c>
      <c r="AW243">
        <f t="shared" si="82"/>
        <v>0</v>
      </c>
      <c r="AX243">
        <f t="shared" si="83"/>
        <v>0</v>
      </c>
      <c r="AY243">
        <f t="shared" si="84"/>
        <v>0</v>
      </c>
      <c r="AZ243">
        <f t="shared" si="85"/>
        <v>0</v>
      </c>
      <c r="BA243" t="s">
        <v>107</v>
      </c>
      <c r="BB243">
        <f t="shared" si="86"/>
        <v>0</v>
      </c>
      <c r="BC243">
        <f t="shared" si="87"/>
        <v>0</v>
      </c>
      <c r="BD243">
        <f t="shared" si="88"/>
        <v>0</v>
      </c>
      <c r="BE243">
        <f t="shared" si="89"/>
        <v>0</v>
      </c>
      <c r="BF243" t="s">
        <v>107</v>
      </c>
      <c r="BG243">
        <f t="shared" si="90"/>
        <v>0</v>
      </c>
      <c r="BH243">
        <f t="shared" si="91"/>
        <v>0</v>
      </c>
      <c r="BI243">
        <f t="shared" si="92"/>
        <v>0</v>
      </c>
      <c r="BJ243">
        <f t="shared" si="93"/>
        <v>0</v>
      </c>
      <c r="BK243">
        <f t="shared" si="94"/>
        <v>0</v>
      </c>
      <c r="BL243">
        <f t="shared" si="95"/>
        <v>0</v>
      </c>
      <c r="BM243">
        <f t="shared" si="96"/>
        <v>0</v>
      </c>
      <c r="BN243" t="e">
        <f t="shared" si="96"/>
        <v>#DIV/0!</v>
      </c>
    </row>
    <row r="244" spans="1:66" x14ac:dyDescent="0.25">
      <c r="A244">
        <v>2025</v>
      </c>
      <c r="B244" s="1">
        <f t="shared" si="97"/>
        <v>45896</v>
      </c>
      <c r="C244" s="2">
        <v>239</v>
      </c>
      <c r="D244">
        <v>70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K244" s="22">
        <f t="shared" si="100"/>
        <v>0</v>
      </c>
      <c r="AL244">
        <f t="shared" si="98"/>
        <v>70.099999999999994</v>
      </c>
      <c r="AM244" s="4">
        <v>23.67</v>
      </c>
      <c r="AP244" s="7">
        <f t="shared" si="77"/>
        <v>0</v>
      </c>
      <c r="AQ244" s="7" t="e">
        <f t="shared" si="78"/>
        <v>#DIV/0!</v>
      </c>
      <c r="AS244">
        <f t="shared" si="79"/>
        <v>0</v>
      </c>
      <c r="AT244">
        <f t="shared" si="80"/>
        <v>0</v>
      </c>
      <c r="AU244">
        <f t="shared" si="81"/>
        <v>0</v>
      </c>
      <c r="AV244" t="s">
        <v>107</v>
      </c>
      <c r="AW244">
        <f t="shared" si="82"/>
        <v>0</v>
      </c>
      <c r="AX244">
        <f t="shared" si="83"/>
        <v>0</v>
      </c>
      <c r="AY244">
        <f t="shared" si="84"/>
        <v>0</v>
      </c>
      <c r="AZ244">
        <f t="shared" si="85"/>
        <v>0</v>
      </c>
      <c r="BA244" t="s">
        <v>107</v>
      </c>
      <c r="BB244">
        <f t="shared" si="86"/>
        <v>0</v>
      </c>
      <c r="BC244">
        <f t="shared" si="87"/>
        <v>0</v>
      </c>
      <c r="BD244">
        <f t="shared" si="88"/>
        <v>0</v>
      </c>
      <c r="BE244">
        <f t="shared" si="89"/>
        <v>0</v>
      </c>
      <c r="BF244" t="s">
        <v>107</v>
      </c>
      <c r="BG244">
        <f t="shared" si="90"/>
        <v>0</v>
      </c>
      <c r="BH244">
        <f t="shared" si="91"/>
        <v>0</v>
      </c>
      <c r="BI244">
        <f t="shared" si="92"/>
        <v>0</v>
      </c>
      <c r="BJ244">
        <f t="shared" si="93"/>
        <v>0</v>
      </c>
      <c r="BK244">
        <f t="shared" si="94"/>
        <v>0</v>
      </c>
      <c r="BL244">
        <f t="shared" si="95"/>
        <v>0</v>
      </c>
      <c r="BM244">
        <f t="shared" si="96"/>
        <v>0</v>
      </c>
      <c r="BN244" t="e">
        <f t="shared" si="96"/>
        <v>#DIV/0!</v>
      </c>
    </row>
    <row r="245" spans="1:66" x14ac:dyDescent="0.25">
      <c r="A245">
        <v>2025</v>
      </c>
      <c r="B245" s="1">
        <f t="shared" si="97"/>
        <v>45897</v>
      </c>
      <c r="C245" s="2">
        <v>240</v>
      </c>
      <c r="D245">
        <v>70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K245" s="22">
        <f t="shared" si="100"/>
        <v>0</v>
      </c>
      <c r="AL245">
        <f t="shared" si="98"/>
        <v>70.099999999999994</v>
      </c>
      <c r="AM245" s="4">
        <v>23.43</v>
      </c>
      <c r="AP245" s="7">
        <f t="shared" si="77"/>
        <v>0</v>
      </c>
      <c r="AQ245" s="7" t="e">
        <f t="shared" si="78"/>
        <v>#DIV/0!</v>
      </c>
      <c r="AS245">
        <f t="shared" si="79"/>
        <v>0</v>
      </c>
      <c r="AT245">
        <f t="shared" si="80"/>
        <v>0</v>
      </c>
      <c r="AU245">
        <f t="shared" si="81"/>
        <v>0</v>
      </c>
      <c r="AV245" t="s">
        <v>107</v>
      </c>
      <c r="AW245">
        <f t="shared" si="82"/>
        <v>0</v>
      </c>
      <c r="AX245">
        <f t="shared" si="83"/>
        <v>0</v>
      </c>
      <c r="AY245">
        <f t="shared" si="84"/>
        <v>0</v>
      </c>
      <c r="AZ245">
        <f t="shared" si="85"/>
        <v>0</v>
      </c>
      <c r="BA245" t="s">
        <v>107</v>
      </c>
      <c r="BB245">
        <f t="shared" si="86"/>
        <v>0</v>
      </c>
      <c r="BC245">
        <f t="shared" si="87"/>
        <v>0</v>
      </c>
      <c r="BD245">
        <f t="shared" si="88"/>
        <v>0</v>
      </c>
      <c r="BE245">
        <f t="shared" si="89"/>
        <v>0</v>
      </c>
      <c r="BF245" t="s">
        <v>107</v>
      </c>
      <c r="BG245">
        <f t="shared" si="90"/>
        <v>0</v>
      </c>
      <c r="BH245">
        <f t="shared" si="91"/>
        <v>0</v>
      </c>
      <c r="BI245">
        <f t="shared" si="92"/>
        <v>0</v>
      </c>
      <c r="BJ245">
        <f t="shared" si="93"/>
        <v>0</v>
      </c>
      <c r="BK245">
        <f t="shared" si="94"/>
        <v>0</v>
      </c>
      <c r="BL245">
        <f t="shared" si="95"/>
        <v>0</v>
      </c>
      <c r="BM245">
        <f t="shared" si="96"/>
        <v>0</v>
      </c>
      <c r="BN245" t="e">
        <f t="shared" si="96"/>
        <v>#DIV/0!</v>
      </c>
    </row>
    <row r="246" spans="1:66" x14ac:dyDescent="0.25">
      <c r="A246">
        <v>2025</v>
      </c>
      <c r="B246" s="1">
        <f t="shared" si="97"/>
        <v>45898</v>
      </c>
      <c r="C246" s="2">
        <v>241</v>
      </c>
      <c r="D246">
        <v>70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K246" s="22">
        <f t="shared" si="100"/>
        <v>0</v>
      </c>
      <c r="AL246">
        <f t="shared" si="98"/>
        <v>70.099999999999994</v>
      </c>
      <c r="AM246" s="4">
        <v>23.19</v>
      </c>
      <c r="AP246" s="7">
        <f t="shared" si="77"/>
        <v>0</v>
      </c>
      <c r="AQ246" s="7" t="e">
        <f t="shared" si="78"/>
        <v>#DIV/0!</v>
      </c>
      <c r="AS246">
        <f t="shared" si="79"/>
        <v>0</v>
      </c>
      <c r="AT246">
        <f t="shared" si="80"/>
        <v>0</v>
      </c>
      <c r="AU246">
        <f t="shared" si="81"/>
        <v>0</v>
      </c>
      <c r="AV246" t="s">
        <v>107</v>
      </c>
      <c r="AW246">
        <f t="shared" si="82"/>
        <v>0</v>
      </c>
      <c r="AX246">
        <f t="shared" si="83"/>
        <v>0</v>
      </c>
      <c r="AY246">
        <f t="shared" si="84"/>
        <v>0</v>
      </c>
      <c r="AZ246">
        <f t="shared" si="85"/>
        <v>0</v>
      </c>
      <c r="BA246" t="s">
        <v>107</v>
      </c>
      <c r="BB246">
        <f t="shared" si="86"/>
        <v>0</v>
      </c>
      <c r="BC246">
        <f t="shared" si="87"/>
        <v>0</v>
      </c>
      <c r="BD246">
        <f t="shared" si="88"/>
        <v>0</v>
      </c>
      <c r="BE246">
        <f t="shared" si="89"/>
        <v>0</v>
      </c>
      <c r="BF246" t="s">
        <v>107</v>
      </c>
      <c r="BG246">
        <f t="shared" si="90"/>
        <v>0</v>
      </c>
      <c r="BH246">
        <f t="shared" si="91"/>
        <v>0</v>
      </c>
      <c r="BI246">
        <f t="shared" si="92"/>
        <v>0</v>
      </c>
      <c r="BJ246">
        <f t="shared" si="93"/>
        <v>0</v>
      </c>
      <c r="BK246">
        <f t="shared" si="94"/>
        <v>0</v>
      </c>
      <c r="BL246">
        <f t="shared" si="95"/>
        <v>0</v>
      </c>
      <c r="BM246">
        <f t="shared" si="96"/>
        <v>0</v>
      </c>
      <c r="BN246" t="e">
        <f t="shared" si="96"/>
        <v>#DIV/0!</v>
      </c>
    </row>
    <row r="247" spans="1:66" x14ac:dyDescent="0.25">
      <c r="A247">
        <v>2025</v>
      </c>
      <c r="B247" s="1">
        <f t="shared" si="97"/>
        <v>45899</v>
      </c>
      <c r="C247" s="2">
        <v>242</v>
      </c>
      <c r="D247">
        <v>70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K247" s="22">
        <f t="shared" si="100"/>
        <v>0</v>
      </c>
      <c r="AL247">
        <f t="shared" si="98"/>
        <v>70.099999999999994</v>
      </c>
      <c r="AM247" s="4">
        <v>22.94</v>
      </c>
      <c r="AP247" s="7">
        <f t="shared" si="77"/>
        <v>0</v>
      </c>
      <c r="AQ247" s="7" t="e">
        <f t="shared" si="78"/>
        <v>#DIV/0!</v>
      </c>
      <c r="AS247">
        <f t="shared" si="79"/>
        <v>0</v>
      </c>
      <c r="AT247">
        <f t="shared" si="80"/>
        <v>0</v>
      </c>
      <c r="AU247">
        <f t="shared" si="81"/>
        <v>0</v>
      </c>
      <c r="AV247" t="s">
        <v>107</v>
      </c>
      <c r="AW247">
        <f t="shared" si="82"/>
        <v>0</v>
      </c>
      <c r="AX247">
        <f t="shared" si="83"/>
        <v>0</v>
      </c>
      <c r="AY247">
        <f t="shared" si="84"/>
        <v>0</v>
      </c>
      <c r="AZ247">
        <f t="shared" si="85"/>
        <v>0</v>
      </c>
      <c r="BA247" t="s">
        <v>107</v>
      </c>
      <c r="BB247">
        <f t="shared" si="86"/>
        <v>0</v>
      </c>
      <c r="BC247">
        <f t="shared" si="87"/>
        <v>0</v>
      </c>
      <c r="BD247">
        <f t="shared" si="88"/>
        <v>0</v>
      </c>
      <c r="BE247">
        <f t="shared" si="89"/>
        <v>0</v>
      </c>
      <c r="BF247" t="s">
        <v>107</v>
      </c>
      <c r="BG247">
        <f t="shared" si="90"/>
        <v>0</v>
      </c>
      <c r="BH247">
        <f t="shared" si="91"/>
        <v>0</v>
      </c>
      <c r="BI247">
        <f t="shared" si="92"/>
        <v>0</v>
      </c>
      <c r="BJ247">
        <f t="shared" si="93"/>
        <v>0</v>
      </c>
      <c r="BK247">
        <f t="shared" si="94"/>
        <v>0</v>
      </c>
      <c r="BL247">
        <f t="shared" si="95"/>
        <v>0</v>
      </c>
      <c r="BM247">
        <f t="shared" si="96"/>
        <v>0</v>
      </c>
      <c r="BN247" t="e">
        <f t="shared" si="96"/>
        <v>#DIV/0!</v>
      </c>
    </row>
    <row r="248" spans="1:66" x14ac:dyDescent="0.25">
      <c r="A248">
        <v>2025</v>
      </c>
      <c r="B248" s="1">
        <f t="shared" si="97"/>
        <v>45900</v>
      </c>
      <c r="C248" s="2">
        <v>243</v>
      </c>
      <c r="D248">
        <v>70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K248" s="22">
        <f t="shared" si="100"/>
        <v>0</v>
      </c>
      <c r="AL248">
        <f t="shared" si="98"/>
        <v>70.099999999999994</v>
      </c>
      <c r="AM248" s="4">
        <v>22.71</v>
      </c>
      <c r="AP248" s="7">
        <f t="shared" si="77"/>
        <v>0</v>
      </c>
      <c r="AQ248" s="7" t="e">
        <f t="shared" si="78"/>
        <v>#DIV/0!</v>
      </c>
      <c r="AS248">
        <f t="shared" si="79"/>
        <v>0</v>
      </c>
      <c r="AT248">
        <f t="shared" si="80"/>
        <v>0</v>
      </c>
      <c r="AU248">
        <f t="shared" si="81"/>
        <v>0</v>
      </c>
      <c r="AV248" t="s">
        <v>107</v>
      </c>
      <c r="AW248">
        <f t="shared" si="82"/>
        <v>0</v>
      </c>
      <c r="AX248">
        <f t="shared" si="83"/>
        <v>0</v>
      </c>
      <c r="AY248">
        <f t="shared" si="84"/>
        <v>0</v>
      </c>
      <c r="AZ248">
        <f t="shared" si="85"/>
        <v>0</v>
      </c>
      <c r="BA248" t="s">
        <v>107</v>
      </c>
      <c r="BB248">
        <f t="shared" si="86"/>
        <v>0</v>
      </c>
      <c r="BC248">
        <f t="shared" si="87"/>
        <v>0</v>
      </c>
      <c r="BD248">
        <f t="shared" si="88"/>
        <v>0</v>
      </c>
      <c r="BE248">
        <f t="shared" si="89"/>
        <v>0</v>
      </c>
      <c r="BF248" t="s">
        <v>107</v>
      </c>
      <c r="BG248">
        <f t="shared" si="90"/>
        <v>0</v>
      </c>
      <c r="BH248">
        <f t="shared" si="91"/>
        <v>0</v>
      </c>
      <c r="BI248">
        <f t="shared" si="92"/>
        <v>0</v>
      </c>
      <c r="BJ248">
        <f t="shared" si="93"/>
        <v>0</v>
      </c>
      <c r="BK248">
        <f t="shared" si="94"/>
        <v>0</v>
      </c>
      <c r="BL248">
        <f t="shared" si="95"/>
        <v>0</v>
      </c>
      <c r="BM248">
        <f t="shared" si="96"/>
        <v>0</v>
      </c>
      <c r="BN248" t="e">
        <f t="shared" si="96"/>
        <v>#DIV/0!</v>
      </c>
    </row>
    <row r="249" spans="1:66" x14ac:dyDescent="0.25">
      <c r="A249">
        <v>2025</v>
      </c>
      <c r="B249" s="1">
        <f t="shared" si="97"/>
        <v>45901</v>
      </c>
      <c r="C249" s="2">
        <v>244</v>
      </c>
      <c r="D249">
        <v>70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K249" s="22">
        <f t="shared" si="100"/>
        <v>0</v>
      </c>
      <c r="AL249">
        <f t="shared" si="98"/>
        <v>70.099999999999994</v>
      </c>
      <c r="AM249" s="4">
        <v>22.46</v>
      </c>
      <c r="AP249" s="7">
        <f t="shared" si="77"/>
        <v>0</v>
      </c>
      <c r="AQ249" s="7" t="e">
        <f t="shared" si="78"/>
        <v>#DIV/0!</v>
      </c>
      <c r="AS249">
        <f t="shared" si="79"/>
        <v>0</v>
      </c>
      <c r="AT249">
        <f t="shared" si="80"/>
        <v>0</v>
      </c>
      <c r="AU249">
        <f t="shared" si="81"/>
        <v>0</v>
      </c>
      <c r="AV249" t="s">
        <v>107</v>
      </c>
      <c r="AW249">
        <f t="shared" si="82"/>
        <v>0</v>
      </c>
      <c r="AX249">
        <f t="shared" si="83"/>
        <v>0</v>
      </c>
      <c r="AY249">
        <f t="shared" si="84"/>
        <v>0</v>
      </c>
      <c r="AZ249">
        <f t="shared" si="85"/>
        <v>0</v>
      </c>
      <c r="BA249" t="s">
        <v>107</v>
      </c>
      <c r="BB249">
        <f t="shared" si="86"/>
        <v>0</v>
      </c>
      <c r="BC249">
        <f t="shared" si="87"/>
        <v>0</v>
      </c>
      <c r="BD249">
        <f t="shared" si="88"/>
        <v>0</v>
      </c>
      <c r="BE249">
        <f t="shared" si="89"/>
        <v>0</v>
      </c>
      <c r="BF249" t="s">
        <v>107</v>
      </c>
      <c r="BG249">
        <f t="shared" si="90"/>
        <v>0</v>
      </c>
      <c r="BH249">
        <f t="shared" si="91"/>
        <v>0</v>
      </c>
      <c r="BI249">
        <f t="shared" si="92"/>
        <v>0</v>
      </c>
      <c r="BJ249">
        <f t="shared" si="93"/>
        <v>0</v>
      </c>
      <c r="BK249">
        <f t="shared" si="94"/>
        <v>0</v>
      </c>
      <c r="BL249">
        <f t="shared" si="95"/>
        <v>0</v>
      </c>
      <c r="BM249">
        <f t="shared" si="96"/>
        <v>0</v>
      </c>
      <c r="BN249" t="e">
        <f t="shared" si="96"/>
        <v>#DIV/0!</v>
      </c>
    </row>
    <row r="250" spans="1:66" x14ac:dyDescent="0.25">
      <c r="A250">
        <v>2025</v>
      </c>
      <c r="B250" s="1">
        <f t="shared" si="97"/>
        <v>45902</v>
      </c>
      <c r="C250" s="2">
        <v>245</v>
      </c>
      <c r="D250">
        <v>70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K250" s="22">
        <f t="shared" si="100"/>
        <v>0</v>
      </c>
      <c r="AL250">
        <f t="shared" si="98"/>
        <v>70.099999999999994</v>
      </c>
      <c r="AM250" s="4">
        <v>22.22</v>
      </c>
      <c r="AP250" s="7">
        <f t="shared" si="77"/>
        <v>0</v>
      </c>
      <c r="AQ250" s="7" t="e">
        <f t="shared" si="78"/>
        <v>#DIV/0!</v>
      </c>
      <c r="AS250">
        <f t="shared" si="79"/>
        <v>0</v>
      </c>
      <c r="AT250">
        <f t="shared" si="80"/>
        <v>0</v>
      </c>
      <c r="AU250">
        <f t="shared" si="81"/>
        <v>0</v>
      </c>
      <c r="AV250" t="s">
        <v>107</v>
      </c>
      <c r="AW250">
        <f t="shared" si="82"/>
        <v>0</v>
      </c>
      <c r="AX250">
        <f t="shared" si="83"/>
        <v>0</v>
      </c>
      <c r="AY250">
        <f t="shared" si="84"/>
        <v>0</v>
      </c>
      <c r="AZ250">
        <f t="shared" si="85"/>
        <v>0</v>
      </c>
      <c r="BA250" t="s">
        <v>107</v>
      </c>
      <c r="BB250">
        <f t="shared" si="86"/>
        <v>0</v>
      </c>
      <c r="BC250">
        <f t="shared" si="87"/>
        <v>0</v>
      </c>
      <c r="BD250">
        <f t="shared" si="88"/>
        <v>0</v>
      </c>
      <c r="BE250">
        <f t="shared" si="89"/>
        <v>0</v>
      </c>
      <c r="BF250" t="s">
        <v>107</v>
      </c>
      <c r="BG250">
        <f t="shared" si="90"/>
        <v>0</v>
      </c>
      <c r="BH250">
        <f t="shared" si="91"/>
        <v>0</v>
      </c>
      <c r="BI250">
        <f t="shared" si="92"/>
        <v>0</v>
      </c>
      <c r="BJ250">
        <f t="shared" si="93"/>
        <v>0</v>
      </c>
      <c r="BK250">
        <f t="shared" si="94"/>
        <v>0</v>
      </c>
      <c r="BL250">
        <f t="shared" si="95"/>
        <v>0</v>
      </c>
      <c r="BM250">
        <f t="shared" si="96"/>
        <v>0</v>
      </c>
      <c r="BN250" t="e">
        <f t="shared" si="96"/>
        <v>#DIV/0!</v>
      </c>
    </row>
    <row r="251" spans="1:66" x14ac:dyDescent="0.25">
      <c r="A251">
        <v>2025</v>
      </c>
      <c r="B251" s="1">
        <f t="shared" si="97"/>
        <v>45903</v>
      </c>
      <c r="C251" s="2">
        <v>246</v>
      </c>
      <c r="D251">
        <v>70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K251" s="22">
        <f t="shared" si="100"/>
        <v>0</v>
      </c>
      <c r="AL251">
        <f t="shared" si="98"/>
        <v>70.099999999999994</v>
      </c>
      <c r="AM251" s="4">
        <v>21.98</v>
      </c>
      <c r="AP251" s="7">
        <f t="shared" si="77"/>
        <v>0</v>
      </c>
      <c r="AQ251" s="7" t="e">
        <f t="shared" si="78"/>
        <v>#DIV/0!</v>
      </c>
      <c r="AS251">
        <f t="shared" si="79"/>
        <v>0</v>
      </c>
      <c r="AT251">
        <f t="shared" si="80"/>
        <v>0</v>
      </c>
      <c r="AU251">
        <f t="shared" si="81"/>
        <v>0</v>
      </c>
      <c r="AV251" t="s">
        <v>107</v>
      </c>
      <c r="AW251">
        <f t="shared" si="82"/>
        <v>0</v>
      </c>
      <c r="AX251">
        <f t="shared" si="83"/>
        <v>0</v>
      </c>
      <c r="AY251">
        <f t="shared" si="84"/>
        <v>0</v>
      </c>
      <c r="AZ251">
        <f t="shared" si="85"/>
        <v>0</v>
      </c>
      <c r="BA251" t="s">
        <v>107</v>
      </c>
      <c r="BB251">
        <f t="shared" si="86"/>
        <v>0</v>
      </c>
      <c r="BC251">
        <f t="shared" si="87"/>
        <v>0</v>
      </c>
      <c r="BD251">
        <f t="shared" si="88"/>
        <v>0</v>
      </c>
      <c r="BE251">
        <f t="shared" si="89"/>
        <v>0</v>
      </c>
      <c r="BF251" t="s">
        <v>107</v>
      </c>
      <c r="BG251">
        <f t="shared" si="90"/>
        <v>0</v>
      </c>
      <c r="BH251">
        <f t="shared" si="91"/>
        <v>0</v>
      </c>
      <c r="BI251">
        <f t="shared" si="92"/>
        <v>0</v>
      </c>
      <c r="BJ251">
        <f t="shared" si="93"/>
        <v>0</v>
      </c>
      <c r="BK251">
        <f t="shared" si="94"/>
        <v>0</v>
      </c>
      <c r="BL251">
        <f t="shared" si="95"/>
        <v>0</v>
      </c>
      <c r="BM251">
        <f t="shared" si="96"/>
        <v>0</v>
      </c>
      <c r="BN251" t="e">
        <f t="shared" si="96"/>
        <v>#DIV/0!</v>
      </c>
    </row>
    <row r="252" spans="1:66" x14ac:dyDescent="0.25">
      <c r="A252">
        <v>2025</v>
      </c>
      <c r="B252" s="1">
        <f t="shared" si="97"/>
        <v>45904</v>
      </c>
      <c r="C252" s="2">
        <v>247</v>
      </c>
      <c r="D252">
        <v>70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K252" s="22">
        <f t="shared" si="100"/>
        <v>0</v>
      </c>
      <c r="AL252">
        <f t="shared" si="98"/>
        <v>70.099999999999994</v>
      </c>
      <c r="AM252" s="4">
        <v>21.73</v>
      </c>
      <c r="AP252" s="7">
        <f t="shared" si="77"/>
        <v>0</v>
      </c>
      <c r="AQ252" s="7" t="e">
        <f t="shared" si="78"/>
        <v>#DIV/0!</v>
      </c>
      <c r="AS252">
        <f t="shared" si="79"/>
        <v>0</v>
      </c>
      <c r="AT252">
        <f t="shared" si="80"/>
        <v>0</v>
      </c>
      <c r="AU252">
        <f t="shared" si="81"/>
        <v>0</v>
      </c>
      <c r="AV252" t="s">
        <v>107</v>
      </c>
      <c r="AW252">
        <f t="shared" si="82"/>
        <v>0</v>
      </c>
      <c r="AX252">
        <f t="shared" si="83"/>
        <v>0</v>
      </c>
      <c r="AY252">
        <f t="shared" si="84"/>
        <v>0</v>
      </c>
      <c r="AZ252">
        <f t="shared" si="85"/>
        <v>0</v>
      </c>
      <c r="BA252" t="s">
        <v>107</v>
      </c>
      <c r="BB252">
        <f t="shared" si="86"/>
        <v>0</v>
      </c>
      <c r="BC252">
        <f t="shared" si="87"/>
        <v>0</v>
      </c>
      <c r="BD252">
        <f t="shared" si="88"/>
        <v>0</v>
      </c>
      <c r="BE252">
        <f t="shared" si="89"/>
        <v>0</v>
      </c>
      <c r="BF252" t="s">
        <v>107</v>
      </c>
      <c r="BG252">
        <f t="shared" si="90"/>
        <v>0</v>
      </c>
      <c r="BH252">
        <f t="shared" si="91"/>
        <v>0</v>
      </c>
      <c r="BI252">
        <f t="shared" si="92"/>
        <v>0</v>
      </c>
      <c r="BJ252">
        <f t="shared" si="93"/>
        <v>0</v>
      </c>
      <c r="BK252">
        <f t="shared" si="94"/>
        <v>0</v>
      </c>
      <c r="BL252">
        <f t="shared" si="95"/>
        <v>0</v>
      </c>
      <c r="BM252">
        <f t="shared" si="96"/>
        <v>0</v>
      </c>
      <c r="BN252" t="e">
        <f t="shared" si="96"/>
        <v>#DIV/0!</v>
      </c>
    </row>
    <row r="253" spans="1:66" x14ac:dyDescent="0.25">
      <c r="A253">
        <v>2025</v>
      </c>
      <c r="B253" s="1">
        <f t="shared" si="97"/>
        <v>45905</v>
      </c>
      <c r="C253" s="2">
        <v>248</v>
      </c>
      <c r="D253">
        <v>70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K253" s="22">
        <f t="shared" si="100"/>
        <v>0</v>
      </c>
      <c r="AL253">
        <f t="shared" si="98"/>
        <v>70.099999999999994</v>
      </c>
      <c r="AM253" s="4">
        <v>21.48</v>
      </c>
      <c r="AP253" s="7">
        <f t="shared" si="77"/>
        <v>0</v>
      </c>
      <c r="AQ253" s="7" t="e">
        <f t="shared" si="78"/>
        <v>#DIV/0!</v>
      </c>
      <c r="AS253">
        <f t="shared" si="79"/>
        <v>0</v>
      </c>
      <c r="AT253">
        <f t="shared" si="80"/>
        <v>0</v>
      </c>
      <c r="AU253">
        <f t="shared" si="81"/>
        <v>0</v>
      </c>
      <c r="AV253" t="s">
        <v>107</v>
      </c>
      <c r="AW253">
        <f t="shared" si="82"/>
        <v>0</v>
      </c>
      <c r="AX253">
        <f t="shared" si="83"/>
        <v>0</v>
      </c>
      <c r="AY253">
        <f t="shared" si="84"/>
        <v>0</v>
      </c>
      <c r="AZ253">
        <f t="shared" si="85"/>
        <v>0</v>
      </c>
      <c r="BA253" t="s">
        <v>107</v>
      </c>
      <c r="BB253">
        <f t="shared" si="86"/>
        <v>0</v>
      </c>
      <c r="BC253">
        <f t="shared" si="87"/>
        <v>0</v>
      </c>
      <c r="BD253">
        <f t="shared" si="88"/>
        <v>0</v>
      </c>
      <c r="BE253">
        <f t="shared" si="89"/>
        <v>0</v>
      </c>
      <c r="BF253" t="s">
        <v>107</v>
      </c>
      <c r="BG253">
        <f t="shared" si="90"/>
        <v>0</v>
      </c>
      <c r="BH253">
        <f t="shared" si="91"/>
        <v>0</v>
      </c>
      <c r="BI253">
        <f t="shared" si="92"/>
        <v>0</v>
      </c>
      <c r="BJ253">
        <f t="shared" si="93"/>
        <v>0</v>
      </c>
      <c r="BK253">
        <f t="shared" si="94"/>
        <v>0</v>
      </c>
      <c r="BL253">
        <f t="shared" si="95"/>
        <v>0</v>
      </c>
      <c r="BM253">
        <f t="shared" si="96"/>
        <v>0</v>
      </c>
      <c r="BN253" t="e">
        <f t="shared" si="96"/>
        <v>#DIV/0!</v>
      </c>
    </row>
    <row r="254" spans="1:66" x14ac:dyDescent="0.25">
      <c r="A254">
        <v>2025</v>
      </c>
      <c r="B254" s="1">
        <f t="shared" si="97"/>
        <v>45906</v>
      </c>
      <c r="C254" s="2">
        <v>249</v>
      </c>
      <c r="D254">
        <v>70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K254" s="22">
        <f t="shared" si="100"/>
        <v>0</v>
      </c>
      <c r="AL254">
        <f t="shared" si="98"/>
        <v>70.099999999999994</v>
      </c>
      <c r="AM254" s="4">
        <v>21.23</v>
      </c>
      <c r="AP254" s="7">
        <f t="shared" si="77"/>
        <v>0</v>
      </c>
      <c r="AQ254" s="7" t="e">
        <f t="shared" si="78"/>
        <v>#DIV/0!</v>
      </c>
      <c r="AS254">
        <f t="shared" si="79"/>
        <v>0</v>
      </c>
      <c r="AT254">
        <f t="shared" si="80"/>
        <v>0</v>
      </c>
      <c r="AU254">
        <f t="shared" si="81"/>
        <v>0</v>
      </c>
      <c r="AV254" t="s">
        <v>107</v>
      </c>
      <c r="AW254">
        <f t="shared" si="82"/>
        <v>0</v>
      </c>
      <c r="AX254">
        <f t="shared" si="83"/>
        <v>0</v>
      </c>
      <c r="AY254">
        <f t="shared" si="84"/>
        <v>0</v>
      </c>
      <c r="AZ254">
        <f t="shared" si="85"/>
        <v>0</v>
      </c>
      <c r="BA254" t="s">
        <v>107</v>
      </c>
      <c r="BB254">
        <f t="shared" si="86"/>
        <v>0</v>
      </c>
      <c r="BC254">
        <f t="shared" si="87"/>
        <v>0</v>
      </c>
      <c r="BD254">
        <f t="shared" si="88"/>
        <v>0</v>
      </c>
      <c r="BE254">
        <f t="shared" si="89"/>
        <v>0</v>
      </c>
      <c r="BF254" t="s">
        <v>107</v>
      </c>
      <c r="BG254">
        <f t="shared" si="90"/>
        <v>0</v>
      </c>
      <c r="BH254">
        <f t="shared" si="91"/>
        <v>0</v>
      </c>
      <c r="BI254">
        <f t="shared" si="92"/>
        <v>0</v>
      </c>
      <c r="BJ254">
        <f t="shared" si="93"/>
        <v>0</v>
      </c>
      <c r="BK254">
        <f t="shared" si="94"/>
        <v>0</v>
      </c>
      <c r="BL254">
        <f t="shared" si="95"/>
        <v>0</v>
      </c>
      <c r="BM254">
        <f t="shared" si="96"/>
        <v>0</v>
      </c>
      <c r="BN254" t="e">
        <f t="shared" si="96"/>
        <v>#DIV/0!</v>
      </c>
    </row>
    <row r="255" spans="1:66" x14ac:dyDescent="0.25">
      <c r="A255">
        <v>2025</v>
      </c>
      <c r="B255" s="1">
        <f t="shared" si="97"/>
        <v>45907</v>
      </c>
      <c r="C255" s="2">
        <v>250</v>
      </c>
      <c r="D255">
        <v>70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K255" s="22">
        <f t="shared" si="100"/>
        <v>0</v>
      </c>
      <c r="AL255">
        <f t="shared" si="98"/>
        <v>70.099999999999994</v>
      </c>
      <c r="AM255" s="4">
        <v>20.99</v>
      </c>
      <c r="AP255" s="7">
        <f t="shared" si="77"/>
        <v>0</v>
      </c>
      <c r="AQ255" s="7" t="e">
        <f t="shared" si="78"/>
        <v>#DIV/0!</v>
      </c>
      <c r="AS255">
        <f t="shared" si="79"/>
        <v>0</v>
      </c>
      <c r="AT255">
        <f t="shared" si="80"/>
        <v>0</v>
      </c>
      <c r="AU255">
        <f t="shared" si="81"/>
        <v>0</v>
      </c>
      <c r="AV255" t="s">
        <v>107</v>
      </c>
      <c r="AW255">
        <f t="shared" si="82"/>
        <v>0</v>
      </c>
      <c r="AX255">
        <f t="shared" si="83"/>
        <v>0</v>
      </c>
      <c r="AY255">
        <f t="shared" si="84"/>
        <v>0</v>
      </c>
      <c r="AZ255">
        <f t="shared" si="85"/>
        <v>0</v>
      </c>
      <c r="BA255" t="s">
        <v>107</v>
      </c>
      <c r="BB255">
        <f t="shared" si="86"/>
        <v>0</v>
      </c>
      <c r="BC255">
        <f t="shared" si="87"/>
        <v>0</v>
      </c>
      <c r="BD255">
        <f t="shared" si="88"/>
        <v>0</v>
      </c>
      <c r="BE255">
        <f t="shared" si="89"/>
        <v>0</v>
      </c>
      <c r="BF255" t="s">
        <v>107</v>
      </c>
      <c r="BG255">
        <f t="shared" si="90"/>
        <v>0</v>
      </c>
      <c r="BH255">
        <f t="shared" si="91"/>
        <v>0</v>
      </c>
      <c r="BI255">
        <f t="shared" si="92"/>
        <v>0</v>
      </c>
      <c r="BJ255">
        <f t="shared" si="93"/>
        <v>0</v>
      </c>
      <c r="BK255">
        <f t="shared" si="94"/>
        <v>0</v>
      </c>
      <c r="BL255">
        <f t="shared" si="95"/>
        <v>0</v>
      </c>
      <c r="BM255">
        <f t="shared" si="96"/>
        <v>0</v>
      </c>
      <c r="BN255" t="e">
        <f t="shared" si="96"/>
        <v>#DIV/0!</v>
      </c>
    </row>
    <row r="256" spans="1:66" x14ac:dyDescent="0.25">
      <c r="A256">
        <v>2025</v>
      </c>
      <c r="B256" s="1">
        <f t="shared" si="97"/>
        <v>45908</v>
      </c>
      <c r="C256" s="2">
        <v>251</v>
      </c>
      <c r="D256">
        <v>70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K256" s="22">
        <f t="shared" si="100"/>
        <v>0</v>
      </c>
      <c r="AL256">
        <f t="shared" si="98"/>
        <v>70.099999999999994</v>
      </c>
      <c r="AM256" s="4">
        <v>20.74</v>
      </c>
      <c r="AP256" s="7">
        <f t="shared" si="77"/>
        <v>0</v>
      </c>
      <c r="AQ256" s="7" t="e">
        <f t="shared" si="78"/>
        <v>#DIV/0!</v>
      </c>
      <c r="AS256">
        <f t="shared" si="79"/>
        <v>0</v>
      </c>
      <c r="AT256">
        <f t="shared" si="80"/>
        <v>0</v>
      </c>
      <c r="AU256">
        <f t="shared" si="81"/>
        <v>0</v>
      </c>
      <c r="AV256" t="s">
        <v>107</v>
      </c>
      <c r="AW256">
        <f t="shared" si="82"/>
        <v>0</v>
      </c>
      <c r="AX256">
        <f t="shared" si="83"/>
        <v>0</v>
      </c>
      <c r="AY256">
        <f t="shared" si="84"/>
        <v>0</v>
      </c>
      <c r="AZ256">
        <f t="shared" si="85"/>
        <v>0</v>
      </c>
      <c r="BA256" t="s">
        <v>107</v>
      </c>
      <c r="BB256">
        <f t="shared" si="86"/>
        <v>0</v>
      </c>
      <c r="BC256">
        <f t="shared" si="87"/>
        <v>0</v>
      </c>
      <c r="BD256">
        <f t="shared" si="88"/>
        <v>0</v>
      </c>
      <c r="BE256">
        <f t="shared" si="89"/>
        <v>0</v>
      </c>
      <c r="BF256" t="s">
        <v>107</v>
      </c>
      <c r="BG256">
        <f t="shared" si="90"/>
        <v>0</v>
      </c>
      <c r="BH256">
        <f t="shared" si="91"/>
        <v>0</v>
      </c>
      <c r="BI256">
        <f t="shared" si="92"/>
        <v>0</v>
      </c>
      <c r="BJ256">
        <f t="shared" si="93"/>
        <v>0</v>
      </c>
      <c r="BK256">
        <f t="shared" si="94"/>
        <v>0</v>
      </c>
      <c r="BL256">
        <f t="shared" si="95"/>
        <v>0</v>
      </c>
      <c r="BM256">
        <f t="shared" si="96"/>
        <v>0</v>
      </c>
      <c r="BN256" t="e">
        <f t="shared" si="96"/>
        <v>#DIV/0!</v>
      </c>
    </row>
    <row r="257" spans="1:66" x14ac:dyDescent="0.25">
      <c r="A257">
        <v>2025</v>
      </c>
      <c r="B257" s="1">
        <f t="shared" si="97"/>
        <v>45909</v>
      </c>
      <c r="C257" s="2">
        <v>252</v>
      </c>
      <c r="D257">
        <v>70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K257" s="22">
        <f t="shared" si="100"/>
        <v>0</v>
      </c>
      <c r="AL257">
        <f t="shared" si="98"/>
        <v>70.099999999999994</v>
      </c>
      <c r="AM257" s="4">
        <v>20.49</v>
      </c>
      <c r="AP257" s="7">
        <f t="shared" si="77"/>
        <v>0</v>
      </c>
      <c r="AQ257" s="7" t="e">
        <f t="shared" si="78"/>
        <v>#DIV/0!</v>
      </c>
      <c r="AS257">
        <f t="shared" si="79"/>
        <v>0</v>
      </c>
      <c r="AT257">
        <f t="shared" si="80"/>
        <v>0</v>
      </c>
      <c r="AU257">
        <f t="shared" si="81"/>
        <v>0</v>
      </c>
      <c r="AV257" t="s">
        <v>107</v>
      </c>
      <c r="AW257">
        <f t="shared" si="82"/>
        <v>0</v>
      </c>
      <c r="AX257">
        <f t="shared" si="83"/>
        <v>0</v>
      </c>
      <c r="AY257">
        <f t="shared" si="84"/>
        <v>0</v>
      </c>
      <c r="AZ257">
        <f t="shared" si="85"/>
        <v>0</v>
      </c>
      <c r="BA257" t="s">
        <v>107</v>
      </c>
      <c r="BB257">
        <f t="shared" si="86"/>
        <v>0</v>
      </c>
      <c r="BC257">
        <f t="shared" si="87"/>
        <v>0</v>
      </c>
      <c r="BD257">
        <f t="shared" si="88"/>
        <v>0</v>
      </c>
      <c r="BE257">
        <f t="shared" si="89"/>
        <v>0</v>
      </c>
      <c r="BF257" t="s">
        <v>107</v>
      </c>
      <c r="BG257">
        <f t="shared" si="90"/>
        <v>0</v>
      </c>
      <c r="BH257">
        <f t="shared" si="91"/>
        <v>0</v>
      </c>
      <c r="BI257">
        <f t="shared" si="92"/>
        <v>0</v>
      </c>
      <c r="BJ257">
        <f t="shared" si="93"/>
        <v>0</v>
      </c>
      <c r="BK257">
        <f t="shared" si="94"/>
        <v>0</v>
      </c>
      <c r="BL257">
        <f t="shared" si="95"/>
        <v>0</v>
      </c>
      <c r="BM257">
        <f t="shared" si="96"/>
        <v>0</v>
      </c>
      <c r="BN257" t="e">
        <f t="shared" si="96"/>
        <v>#DIV/0!</v>
      </c>
    </row>
    <row r="258" spans="1:66" x14ac:dyDescent="0.25">
      <c r="A258">
        <v>2025</v>
      </c>
      <c r="B258" s="1">
        <f t="shared" si="97"/>
        <v>45910</v>
      </c>
      <c r="C258" s="2">
        <v>253</v>
      </c>
      <c r="D258">
        <v>70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K258" s="22">
        <f t="shared" si="100"/>
        <v>0</v>
      </c>
      <c r="AL258">
        <f t="shared" si="98"/>
        <v>70.099999999999994</v>
      </c>
      <c r="AM258" s="4">
        <v>20.239999999999998</v>
      </c>
      <c r="AP258" s="7">
        <f t="shared" si="77"/>
        <v>0</v>
      </c>
      <c r="AQ258" s="7" t="e">
        <f t="shared" si="78"/>
        <v>#DIV/0!</v>
      </c>
      <c r="AS258">
        <f t="shared" si="79"/>
        <v>0</v>
      </c>
      <c r="AT258">
        <f t="shared" si="80"/>
        <v>0</v>
      </c>
      <c r="AU258">
        <f t="shared" si="81"/>
        <v>0</v>
      </c>
      <c r="AV258" t="s">
        <v>107</v>
      </c>
      <c r="AW258">
        <f t="shared" si="82"/>
        <v>0</v>
      </c>
      <c r="AX258">
        <f t="shared" si="83"/>
        <v>0</v>
      </c>
      <c r="AY258">
        <f t="shared" si="84"/>
        <v>0</v>
      </c>
      <c r="AZ258">
        <f t="shared" si="85"/>
        <v>0</v>
      </c>
      <c r="BA258" t="s">
        <v>107</v>
      </c>
      <c r="BB258">
        <f t="shared" si="86"/>
        <v>0</v>
      </c>
      <c r="BC258">
        <f t="shared" si="87"/>
        <v>0</v>
      </c>
      <c r="BD258">
        <f t="shared" si="88"/>
        <v>0</v>
      </c>
      <c r="BE258">
        <f t="shared" si="89"/>
        <v>0</v>
      </c>
      <c r="BF258" t="s">
        <v>107</v>
      </c>
      <c r="BG258">
        <f t="shared" si="90"/>
        <v>0</v>
      </c>
      <c r="BH258">
        <f t="shared" si="91"/>
        <v>0</v>
      </c>
      <c r="BI258">
        <f t="shared" si="92"/>
        <v>0</v>
      </c>
      <c r="BJ258">
        <f t="shared" si="93"/>
        <v>0</v>
      </c>
      <c r="BK258">
        <f t="shared" si="94"/>
        <v>0</v>
      </c>
      <c r="BL258">
        <f t="shared" si="95"/>
        <v>0</v>
      </c>
      <c r="BM258">
        <f t="shared" si="96"/>
        <v>0</v>
      </c>
      <c r="BN258" t="e">
        <f t="shared" si="96"/>
        <v>#DIV/0!</v>
      </c>
    </row>
    <row r="259" spans="1:66" x14ac:dyDescent="0.25">
      <c r="A259">
        <v>2025</v>
      </c>
      <c r="B259" s="1">
        <f t="shared" si="97"/>
        <v>45911</v>
      </c>
      <c r="C259" s="2">
        <v>254</v>
      </c>
      <c r="D259">
        <v>70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K259" s="22">
        <f t="shared" si="100"/>
        <v>0</v>
      </c>
      <c r="AL259">
        <f t="shared" si="98"/>
        <v>70.099999999999994</v>
      </c>
      <c r="AM259" s="4">
        <v>19.989999999999998</v>
      </c>
      <c r="AP259" s="7">
        <f t="shared" si="77"/>
        <v>0</v>
      </c>
      <c r="AQ259" s="7" t="e">
        <f t="shared" si="78"/>
        <v>#DIV/0!</v>
      </c>
      <c r="AS259">
        <f t="shared" si="79"/>
        <v>0</v>
      </c>
      <c r="AT259">
        <f t="shared" si="80"/>
        <v>0</v>
      </c>
      <c r="AU259">
        <f t="shared" si="81"/>
        <v>0</v>
      </c>
      <c r="AV259" t="s">
        <v>107</v>
      </c>
      <c r="AW259">
        <f t="shared" si="82"/>
        <v>0</v>
      </c>
      <c r="AX259">
        <f t="shared" si="83"/>
        <v>0</v>
      </c>
      <c r="AY259">
        <f t="shared" si="84"/>
        <v>0</v>
      </c>
      <c r="AZ259">
        <f t="shared" si="85"/>
        <v>0</v>
      </c>
      <c r="BA259" t="s">
        <v>107</v>
      </c>
      <c r="BB259">
        <f t="shared" si="86"/>
        <v>0</v>
      </c>
      <c r="BC259">
        <f t="shared" si="87"/>
        <v>0</v>
      </c>
      <c r="BD259">
        <f t="shared" si="88"/>
        <v>0</v>
      </c>
      <c r="BE259">
        <f t="shared" si="89"/>
        <v>0</v>
      </c>
      <c r="BF259" t="s">
        <v>107</v>
      </c>
      <c r="BG259">
        <f t="shared" si="90"/>
        <v>0</v>
      </c>
      <c r="BH259">
        <f t="shared" si="91"/>
        <v>0</v>
      </c>
      <c r="BI259">
        <f t="shared" si="92"/>
        <v>0</v>
      </c>
      <c r="BJ259">
        <f t="shared" si="93"/>
        <v>0</v>
      </c>
      <c r="BK259">
        <f t="shared" si="94"/>
        <v>0</v>
      </c>
      <c r="BL259">
        <f t="shared" si="95"/>
        <v>0</v>
      </c>
      <c r="BM259">
        <f t="shared" si="96"/>
        <v>0</v>
      </c>
      <c r="BN259" t="e">
        <f t="shared" si="96"/>
        <v>#DIV/0!</v>
      </c>
    </row>
    <row r="260" spans="1:66" x14ac:dyDescent="0.25">
      <c r="A260">
        <v>2025</v>
      </c>
      <c r="B260" s="1">
        <f t="shared" si="97"/>
        <v>45912</v>
      </c>
      <c r="C260" s="2">
        <v>255</v>
      </c>
      <c r="D260">
        <v>70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K260" s="22">
        <f t="shared" si="100"/>
        <v>0</v>
      </c>
      <c r="AL260">
        <f t="shared" si="98"/>
        <v>70.099999999999994</v>
      </c>
      <c r="AM260" s="4">
        <v>19.739999999999998</v>
      </c>
      <c r="AP260" s="7">
        <f t="shared" si="77"/>
        <v>0</v>
      </c>
      <c r="AQ260" s="7" t="e">
        <f t="shared" si="78"/>
        <v>#DIV/0!</v>
      </c>
      <c r="AS260">
        <f t="shared" si="79"/>
        <v>0</v>
      </c>
      <c r="AT260">
        <f t="shared" si="80"/>
        <v>0</v>
      </c>
      <c r="AU260">
        <f t="shared" si="81"/>
        <v>0</v>
      </c>
      <c r="AV260" t="s">
        <v>107</v>
      </c>
      <c r="AW260">
        <f t="shared" si="82"/>
        <v>0</v>
      </c>
      <c r="AX260">
        <f t="shared" si="83"/>
        <v>0</v>
      </c>
      <c r="AY260">
        <f t="shared" si="84"/>
        <v>0</v>
      </c>
      <c r="AZ260">
        <f t="shared" si="85"/>
        <v>0</v>
      </c>
      <c r="BA260" t="s">
        <v>107</v>
      </c>
      <c r="BB260">
        <f t="shared" si="86"/>
        <v>0</v>
      </c>
      <c r="BC260">
        <f t="shared" si="87"/>
        <v>0</v>
      </c>
      <c r="BD260">
        <f t="shared" si="88"/>
        <v>0</v>
      </c>
      <c r="BE260">
        <f t="shared" si="89"/>
        <v>0</v>
      </c>
      <c r="BF260" t="s">
        <v>107</v>
      </c>
      <c r="BG260">
        <f t="shared" si="90"/>
        <v>0</v>
      </c>
      <c r="BH260">
        <f t="shared" si="91"/>
        <v>0</v>
      </c>
      <c r="BI260">
        <f t="shared" si="92"/>
        <v>0</v>
      </c>
      <c r="BJ260">
        <f t="shared" si="93"/>
        <v>0</v>
      </c>
      <c r="BK260">
        <f t="shared" si="94"/>
        <v>0</v>
      </c>
      <c r="BL260">
        <f t="shared" si="95"/>
        <v>0</v>
      </c>
      <c r="BM260">
        <f t="shared" si="96"/>
        <v>0</v>
      </c>
      <c r="BN260" t="e">
        <f t="shared" si="96"/>
        <v>#DIV/0!</v>
      </c>
    </row>
    <row r="261" spans="1:66" x14ac:dyDescent="0.25">
      <c r="A261">
        <v>2025</v>
      </c>
      <c r="B261" s="1">
        <f t="shared" si="97"/>
        <v>45913</v>
      </c>
      <c r="C261" s="2">
        <v>256</v>
      </c>
      <c r="D261">
        <v>70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K261" s="22">
        <f t="shared" si="100"/>
        <v>0</v>
      </c>
      <c r="AL261">
        <f t="shared" si="98"/>
        <v>70.099999999999994</v>
      </c>
      <c r="AM261" s="4">
        <v>19.48</v>
      </c>
      <c r="AP261" s="7">
        <f t="shared" si="77"/>
        <v>0</v>
      </c>
      <c r="AQ261" s="7" t="e">
        <f t="shared" si="78"/>
        <v>#DIV/0!</v>
      </c>
      <c r="AS261">
        <f t="shared" si="79"/>
        <v>0</v>
      </c>
      <c r="AT261">
        <f t="shared" si="80"/>
        <v>0</v>
      </c>
      <c r="AU261">
        <f t="shared" si="81"/>
        <v>0</v>
      </c>
      <c r="AV261" t="s">
        <v>107</v>
      </c>
      <c r="AW261">
        <f t="shared" si="82"/>
        <v>0</v>
      </c>
      <c r="AX261">
        <f t="shared" si="83"/>
        <v>0</v>
      </c>
      <c r="AY261">
        <f t="shared" si="84"/>
        <v>0</v>
      </c>
      <c r="AZ261">
        <f t="shared" si="85"/>
        <v>0</v>
      </c>
      <c r="BA261" t="s">
        <v>107</v>
      </c>
      <c r="BB261">
        <f t="shared" si="86"/>
        <v>0</v>
      </c>
      <c r="BC261">
        <f t="shared" si="87"/>
        <v>0</v>
      </c>
      <c r="BD261">
        <f t="shared" si="88"/>
        <v>0</v>
      </c>
      <c r="BE261">
        <f t="shared" si="89"/>
        <v>0</v>
      </c>
      <c r="BF261" t="s">
        <v>107</v>
      </c>
      <c r="BG261">
        <f t="shared" si="90"/>
        <v>0</v>
      </c>
      <c r="BH261">
        <f t="shared" si="91"/>
        <v>0</v>
      </c>
      <c r="BI261">
        <f t="shared" si="92"/>
        <v>0</v>
      </c>
      <c r="BJ261">
        <f t="shared" si="93"/>
        <v>0</v>
      </c>
      <c r="BK261">
        <f t="shared" si="94"/>
        <v>0</v>
      </c>
      <c r="BL261">
        <f t="shared" si="95"/>
        <v>0</v>
      </c>
      <c r="BM261">
        <f t="shared" si="96"/>
        <v>0</v>
      </c>
      <c r="BN261" t="e">
        <f t="shared" si="96"/>
        <v>#DIV/0!</v>
      </c>
    </row>
    <row r="262" spans="1:66" x14ac:dyDescent="0.25">
      <c r="A262">
        <v>2025</v>
      </c>
      <c r="B262" s="1">
        <f t="shared" si="97"/>
        <v>45914</v>
      </c>
      <c r="C262" s="2">
        <v>257</v>
      </c>
      <c r="D262">
        <v>70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K262" s="22">
        <f t="shared" si="100"/>
        <v>0</v>
      </c>
      <c r="AL262">
        <f t="shared" si="98"/>
        <v>70.099999999999994</v>
      </c>
      <c r="AM262" s="4">
        <v>19.23</v>
      </c>
      <c r="AP262" s="7">
        <f t="shared" ref="AP262:AP325" si="101">ROUND((0.6105*(EXP((17.273*O262)/(O262+237.3))))*U262/100,3)</f>
        <v>0</v>
      </c>
      <c r="AQ262" s="7" t="e">
        <f t="shared" ref="AQ262:AQ325" si="102">ROUND(AP262/U262*(100-U262),3)</f>
        <v>#DIV/0!</v>
      </c>
      <c r="AS262">
        <f t="shared" ref="AS262:AS325" si="103">AN262</f>
        <v>0</v>
      </c>
      <c r="AT262">
        <f t="shared" ref="AT262:AT325" si="104">ROUND(J262,1)</f>
        <v>0</v>
      </c>
      <c r="AU262">
        <f t="shared" ref="AU262:AU325" si="105">ROUND(K262,1)</f>
        <v>0</v>
      </c>
      <c r="AV262" t="s">
        <v>107</v>
      </c>
      <c r="AW262">
        <f t="shared" ref="AW262:AW325" si="106">ROUND(M262,1)</f>
        <v>0</v>
      </c>
      <c r="AX262">
        <f t="shared" ref="AX262:AX325" si="107">ROUND(N262,1)</f>
        <v>0</v>
      </c>
      <c r="AY262">
        <f t="shared" ref="AY262:AY325" si="108">ROUND(O262,1)</f>
        <v>0</v>
      </c>
      <c r="AZ262">
        <f t="shared" ref="AZ262:AZ325" si="109">ROUND(P262,1)</f>
        <v>0</v>
      </c>
      <c r="BA262" t="s">
        <v>107</v>
      </c>
      <c r="BB262">
        <f t="shared" ref="BB262:BB325" si="110">ROUND(R262,1)</f>
        <v>0</v>
      </c>
      <c r="BC262">
        <f t="shared" ref="BC262:BC325" si="111">ROUND(S262,1)</f>
        <v>0</v>
      </c>
      <c r="BD262">
        <f t="shared" ref="BD262:BD325" si="112">ROUND(T262,1)</f>
        <v>0</v>
      </c>
      <c r="BE262">
        <f t="shared" ref="BE262:BE325" si="113">ROUND(U262,1)</f>
        <v>0</v>
      </c>
      <c r="BF262" t="s">
        <v>107</v>
      </c>
      <c r="BG262">
        <f t="shared" ref="BG262:BG325" si="114">ROUND(W262,1)</f>
        <v>0</v>
      </c>
      <c r="BH262">
        <f t="shared" ref="BH262:BH325" si="115">ROUND(X262,1)</f>
        <v>0</v>
      </c>
      <c r="BI262">
        <f t="shared" ref="BI262:BI325" si="116">ROUND(Y262,2)</f>
        <v>0</v>
      </c>
      <c r="BJ262">
        <f t="shared" ref="BJ262:BJ325" si="117">ROUND(Z262,2)</f>
        <v>0</v>
      </c>
      <c r="BK262">
        <f t="shared" ref="BK262:BK325" si="118">AI262</f>
        <v>0</v>
      </c>
      <c r="BL262">
        <f t="shared" ref="BL262:BL325" si="119">ROUND(AK262,1)</f>
        <v>0</v>
      </c>
      <c r="BM262">
        <f t="shared" ref="BM262:BN325" si="120">ROUND(AP262,3)</f>
        <v>0</v>
      </c>
      <c r="BN262" t="e">
        <f t="shared" si="120"/>
        <v>#DIV/0!</v>
      </c>
    </row>
    <row r="263" spans="1:66" x14ac:dyDescent="0.25">
      <c r="A263">
        <v>2025</v>
      </c>
      <c r="B263" s="1">
        <f t="shared" ref="B263:B326" si="121">B262+1</f>
        <v>45915</v>
      </c>
      <c r="C263" s="2">
        <v>258</v>
      </c>
      <c r="D263">
        <v>70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K263" s="22">
        <f t="shared" si="100"/>
        <v>0</v>
      </c>
      <c r="AL263">
        <f t="shared" ref="AL263:AL326" si="122">AL262+AK263</f>
        <v>70.099999999999994</v>
      </c>
      <c r="AM263" s="4">
        <v>18.98</v>
      </c>
      <c r="AP263" s="7">
        <f t="shared" si="101"/>
        <v>0</v>
      </c>
      <c r="AQ263" s="7" t="e">
        <f t="shared" si="102"/>
        <v>#DIV/0!</v>
      </c>
      <c r="AS263">
        <f t="shared" si="103"/>
        <v>0</v>
      </c>
      <c r="AT263">
        <f t="shared" si="104"/>
        <v>0</v>
      </c>
      <c r="AU263">
        <f t="shared" si="105"/>
        <v>0</v>
      </c>
      <c r="AV263" t="s">
        <v>107</v>
      </c>
      <c r="AW263">
        <f t="shared" si="106"/>
        <v>0</v>
      </c>
      <c r="AX263">
        <f t="shared" si="107"/>
        <v>0</v>
      </c>
      <c r="AY263">
        <f t="shared" si="108"/>
        <v>0</v>
      </c>
      <c r="AZ263">
        <f t="shared" si="109"/>
        <v>0</v>
      </c>
      <c r="BA263" t="s">
        <v>107</v>
      </c>
      <c r="BB263">
        <f t="shared" si="110"/>
        <v>0</v>
      </c>
      <c r="BC263">
        <f t="shared" si="111"/>
        <v>0</v>
      </c>
      <c r="BD263">
        <f t="shared" si="112"/>
        <v>0</v>
      </c>
      <c r="BE263">
        <f t="shared" si="113"/>
        <v>0</v>
      </c>
      <c r="BF263" t="s">
        <v>107</v>
      </c>
      <c r="BG263">
        <f t="shared" si="114"/>
        <v>0</v>
      </c>
      <c r="BH263">
        <f t="shared" si="115"/>
        <v>0</v>
      </c>
      <c r="BI263">
        <f t="shared" si="116"/>
        <v>0</v>
      </c>
      <c r="BJ263">
        <f t="shared" si="117"/>
        <v>0</v>
      </c>
      <c r="BK263">
        <f t="shared" si="118"/>
        <v>0</v>
      </c>
      <c r="BL263">
        <f t="shared" si="119"/>
        <v>0</v>
      </c>
      <c r="BM263">
        <f t="shared" si="120"/>
        <v>0</v>
      </c>
      <c r="BN263" t="e">
        <f t="shared" si="120"/>
        <v>#DIV/0!</v>
      </c>
    </row>
    <row r="264" spans="1:66" x14ac:dyDescent="0.25">
      <c r="A264">
        <v>2025</v>
      </c>
      <c r="B264" s="1">
        <f t="shared" si="121"/>
        <v>45916</v>
      </c>
      <c r="C264" s="2">
        <v>259</v>
      </c>
      <c r="D264">
        <v>70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K264" s="22">
        <f t="shared" si="100"/>
        <v>0</v>
      </c>
      <c r="AL264">
        <f t="shared" si="122"/>
        <v>70.099999999999994</v>
      </c>
      <c r="AM264" s="4">
        <v>18.73</v>
      </c>
      <c r="AP264" s="7">
        <f t="shared" si="101"/>
        <v>0</v>
      </c>
      <c r="AQ264" s="7" t="e">
        <f t="shared" si="102"/>
        <v>#DIV/0!</v>
      </c>
      <c r="AS264">
        <f t="shared" si="103"/>
        <v>0</v>
      </c>
      <c r="AT264">
        <f t="shared" si="104"/>
        <v>0</v>
      </c>
      <c r="AU264">
        <f t="shared" si="105"/>
        <v>0</v>
      </c>
      <c r="AV264" t="s">
        <v>107</v>
      </c>
      <c r="AW264">
        <f t="shared" si="106"/>
        <v>0</v>
      </c>
      <c r="AX264">
        <f t="shared" si="107"/>
        <v>0</v>
      </c>
      <c r="AY264">
        <f t="shared" si="108"/>
        <v>0</v>
      </c>
      <c r="AZ264">
        <f t="shared" si="109"/>
        <v>0</v>
      </c>
      <c r="BA264" t="s">
        <v>107</v>
      </c>
      <c r="BB264">
        <f t="shared" si="110"/>
        <v>0</v>
      </c>
      <c r="BC264">
        <f t="shared" si="111"/>
        <v>0</v>
      </c>
      <c r="BD264">
        <f t="shared" si="112"/>
        <v>0</v>
      </c>
      <c r="BE264">
        <f t="shared" si="113"/>
        <v>0</v>
      </c>
      <c r="BF264" t="s">
        <v>107</v>
      </c>
      <c r="BG264">
        <f t="shared" si="114"/>
        <v>0</v>
      </c>
      <c r="BH264">
        <f t="shared" si="115"/>
        <v>0</v>
      </c>
      <c r="BI264">
        <f t="shared" si="116"/>
        <v>0</v>
      </c>
      <c r="BJ264">
        <f t="shared" si="117"/>
        <v>0</v>
      </c>
      <c r="BK264">
        <f t="shared" si="118"/>
        <v>0</v>
      </c>
      <c r="BL264">
        <f t="shared" si="119"/>
        <v>0</v>
      </c>
      <c r="BM264">
        <f t="shared" si="120"/>
        <v>0</v>
      </c>
      <c r="BN264" t="e">
        <f t="shared" si="120"/>
        <v>#DIV/0!</v>
      </c>
    </row>
    <row r="265" spans="1:66" x14ac:dyDescent="0.25">
      <c r="A265">
        <v>2025</v>
      </c>
      <c r="B265" s="1">
        <f t="shared" si="121"/>
        <v>45917</v>
      </c>
      <c r="C265" s="2">
        <v>260</v>
      </c>
      <c r="D265">
        <v>70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K265" s="22">
        <f t="shared" si="100"/>
        <v>0</v>
      </c>
      <c r="AL265">
        <f t="shared" si="122"/>
        <v>70.099999999999994</v>
      </c>
      <c r="AM265" s="4">
        <v>18.48</v>
      </c>
      <c r="AP265" s="7">
        <f t="shared" si="101"/>
        <v>0</v>
      </c>
      <c r="AQ265" s="7" t="e">
        <f t="shared" si="102"/>
        <v>#DIV/0!</v>
      </c>
      <c r="AS265">
        <f t="shared" si="103"/>
        <v>0</v>
      </c>
      <c r="AT265">
        <f t="shared" si="104"/>
        <v>0</v>
      </c>
      <c r="AU265">
        <f t="shared" si="105"/>
        <v>0</v>
      </c>
      <c r="AV265" t="s">
        <v>107</v>
      </c>
      <c r="AW265">
        <f t="shared" si="106"/>
        <v>0</v>
      </c>
      <c r="AX265">
        <f t="shared" si="107"/>
        <v>0</v>
      </c>
      <c r="AY265">
        <f t="shared" si="108"/>
        <v>0</v>
      </c>
      <c r="AZ265">
        <f t="shared" si="109"/>
        <v>0</v>
      </c>
      <c r="BA265" t="s">
        <v>107</v>
      </c>
      <c r="BB265">
        <f t="shared" si="110"/>
        <v>0</v>
      </c>
      <c r="BC265">
        <f t="shared" si="111"/>
        <v>0</v>
      </c>
      <c r="BD265">
        <f t="shared" si="112"/>
        <v>0</v>
      </c>
      <c r="BE265">
        <f t="shared" si="113"/>
        <v>0</v>
      </c>
      <c r="BF265" t="s">
        <v>107</v>
      </c>
      <c r="BG265">
        <f t="shared" si="114"/>
        <v>0</v>
      </c>
      <c r="BH265">
        <f t="shared" si="115"/>
        <v>0</v>
      </c>
      <c r="BI265">
        <f t="shared" si="116"/>
        <v>0</v>
      </c>
      <c r="BJ265">
        <f t="shared" si="117"/>
        <v>0</v>
      </c>
      <c r="BK265">
        <f t="shared" si="118"/>
        <v>0</v>
      </c>
      <c r="BL265">
        <f t="shared" si="119"/>
        <v>0</v>
      </c>
      <c r="BM265">
        <f t="shared" si="120"/>
        <v>0</v>
      </c>
      <c r="BN265" t="e">
        <f t="shared" si="120"/>
        <v>#DIV/0!</v>
      </c>
    </row>
    <row r="266" spans="1:66" x14ac:dyDescent="0.25">
      <c r="A266">
        <v>2025</v>
      </c>
      <c r="B266" s="1">
        <f t="shared" si="121"/>
        <v>45918</v>
      </c>
      <c r="C266" s="2">
        <v>261</v>
      </c>
      <c r="D266">
        <v>70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K266" s="22">
        <f t="shared" si="100"/>
        <v>0</v>
      </c>
      <c r="AL266">
        <f t="shared" si="122"/>
        <v>70.099999999999994</v>
      </c>
      <c r="AM266" s="4">
        <v>18.22</v>
      </c>
      <c r="AP266" s="7">
        <f t="shared" si="101"/>
        <v>0</v>
      </c>
      <c r="AQ266" s="7" t="e">
        <f t="shared" si="102"/>
        <v>#DIV/0!</v>
      </c>
      <c r="AS266">
        <f t="shared" si="103"/>
        <v>0</v>
      </c>
      <c r="AT266">
        <f t="shared" si="104"/>
        <v>0</v>
      </c>
      <c r="AU266">
        <f t="shared" si="105"/>
        <v>0</v>
      </c>
      <c r="AV266" t="s">
        <v>107</v>
      </c>
      <c r="AW266">
        <f t="shared" si="106"/>
        <v>0</v>
      </c>
      <c r="AX266">
        <f t="shared" si="107"/>
        <v>0</v>
      </c>
      <c r="AY266">
        <f t="shared" si="108"/>
        <v>0</v>
      </c>
      <c r="AZ266">
        <f t="shared" si="109"/>
        <v>0</v>
      </c>
      <c r="BA266" t="s">
        <v>107</v>
      </c>
      <c r="BB266">
        <f t="shared" si="110"/>
        <v>0</v>
      </c>
      <c r="BC266">
        <f t="shared" si="111"/>
        <v>0</v>
      </c>
      <c r="BD266">
        <f t="shared" si="112"/>
        <v>0</v>
      </c>
      <c r="BE266">
        <f t="shared" si="113"/>
        <v>0</v>
      </c>
      <c r="BF266" t="s">
        <v>107</v>
      </c>
      <c r="BG266">
        <f t="shared" si="114"/>
        <v>0</v>
      </c>
      <c r="BH266">
        <f t="shared" si="115"/>
        <v>0</v>
      </c>
      <c r="BI266">
        <f t="shared" si="116"/>
        <v>0</v>
      </c>
      <c r="BJ266">
        <f t="shared" si="117"/>
        <v>0</v>
      </c>
      <c r="BK266">
        <f t="shared" si="118"/>
        <v>0</v>
      </c>
      <c r="BL266">
        <f t="shared" si="119"/>
        <v>0</v>
      </c>
      <c r="BM266">
        <f t="shared" si="120"/>
        <v>0</v>
      </c>
      <c r="BN266" t="e">
        <f t="shared" si="120"/>
        <v>#DIV/0!</v>
      </c>
    </row>
    <row r="267" spans="1:66" x14ac:dyDescent="0.25">
      <c r="A267">
        <v>2025</v>
      </c>
      <c r="B267" s="1">
        <f t="shared" si="121"/>
        <v>45919</v>
      </c>
      <c r="C267" s="2">
        <v>262</v>
      </c>
      <c r="D267">
        <v>70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K267" s="22">
        <f t="shared" si="100"/>
        <v>0</v>
      </c>
      <c r="AL267">
        <f t="shared" si="122"/>
        <v>70.099999999999994</v>
      </c>
      <c r="AM267" s="4">
        <v>17.97</v>
      </c>
      <c r="AP267" s="7">
        <f t="shared" si="101"/>
        <v>0</v>
      </c>
      <c r="AQ267" s="7" t="e">
        <f t="shared" si="102"/>
        <v>#DIV/0!</v>
      </c>
      <c r="AS267">
        <f t="shared" si="103"/>
        <v>0</v>
      </c>
      <c r="AT267">
        <f t="shared" si="104"/>
        <v>0</v>
      </c>
      <c r="AU267">
        <f t="shared" si="105"/>
        <v>0</v>
      </c>
      <c r="AV267" t="s">
        <v>107</v>
      </c>
      <c r="AW267">
        <f t="shared" si="106"/>
        <v>0</v>
      </c>
      <c r="AX267">
        <f t="shared" si="107"/>
        <v>0</v>
      </c>
      <c r="AY267">
        <f t="shared" si="108"/>
        <v>0</v>
      </c>
      <c r="AZ267">
        <f t="shared" si="109"/>
        <v>0</v>
      </c>
      <c r="BA267" t="s">
        <v>107</v>
      </c>
      <c r="BB267">
        <f t="shared" si="110"/>
        <v>0</v>
      </c>
      <c r="BC267">
        <f t="shared" si="111"/>
        <v>0</v>
      </c>
      <c r="BD267">
        <f t="shared" si="112"/>
        <v>0</v>
      </c>
      <c r="BE267">
        <f t="shared" si="113"/>
        <v>0</v>
      </c>
      <c r="BF267" t="s">
        <v>107</v>
      </c>
      <c r="BG267">
        <f t="shared" si="114"/>
        <v>0</v>
      </c>
      <c r="BH267">
        <f t="shared" si="115"/>
        <v>0</v>
      </c>
      <c r="BI267">
        <f t="shared" si="116"/>
        <v>0</v>
      </c>
      <c r="BJ267">
        <f t="shared" si="117"/>
        <v>0</v>
      </c>
      <c r="BK267">
        <f t="shared" si="118"/>
        <v>0</v>
      </c>
      <c r="BL267">
        <f t="shared" si="119"/>
        <v>0</v>
      </c>
      <c r="BM267">
        <f t="shared" si="120"/>
        <v>0</v>
      </c>
      <c r="BN267" t="e">
        <f t="shared" si="120"/>
        <v>#DIV/0!</v>
      </c>
    </row>
    <row r="268" spans="1:66" x14ac:dyDescent="0.25">
      <c r="A268">
        <v>2025</v>
      </c>
      <c r="B268" s="1">
        <f t="shared" si="121"/>
        <v>45920</v>
      </c>
      <c r="C268" s="2">
        <v>263</v>
      </c>
      <c r="D268">
        <v>70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K268" s="22">
        <f t="shared" si="100"/>
        <v>0</v>
      </c>
      <c r="AL268">
        <f t="shared" si="122"/>
        <v>70.099999999999994</v>
      </c>
      <c r="AM268" s="4">
        <v>17.72</v>
      </c>
      <c r="AP268" s="7">
        <f t="shared" si="101"/>
        <v>0</v>
      </c>
      <c r="AQ268" s="7" t="e">
        <f t="shared" si="102"/>
        <v>#DIV/0!</v>
      </c>
      <c r="AS268">
        <f t="shared" si="103"/>
        <v>0</v>
      </c>
      <c r="AT268">
        <f t="shared" si="104"/>
        <v>0</v>
      </c>
      <c r="AU268">
        <f t="shared" si="105"/>
        <v>0</v>
      </c>
      <c r="AV268" t="s">
        <v>107</v>
      </c>
      <c r="AW268">
        <f t="shared" si="106"/>
        <v>0</v>
      </c>
      <c r="AX268">
        <f t="shared" si="107"/>
        <v>0</v>
      </c>
      <c r="AY268">
        <f t="shared" si="108"/>
        <v>0</v>
      </c>
      <c r="AZ268">
        <f t="shared" si="109"/>
        <v>0</v>
      </c>
      <c r="BA268" t="s">
        <v>107</v>
      </c>
      <c r="BB268">
        <f t="shared" si="110"/>
        <v>0</v>
      </c>
      <c r="BC268">
        <f t="shared" si="111"/>
        <v>0</v>
      </c>
      <c r="BD268">
        <f t="shared" si="112"/>
        <v>0</v>
      </c>
      <c r="BE268">
        <f t="shared" si="113"/>
        <v>0</v>
      </c>
      <c r="BF268" t="s">
        <v>107</v>
      </c>
      <c r="BG268">
        <f t="shared" si="114"/>
        <v>0</v>
      </c>
      <c r="BH268">
        <f t="shared" si="115"/>
        <v>0</v>
      </c>
      <c r="BI268">
        <f t="shared" si="116"/>
        <v>0</v>
      </c>
      <c r="BJ268">
        <f t="shared" si="117"/>
        <v>0</v>
      </c>
      <c r="BK268">
        <f t="shared" si="118"/>
        <v>0</v>
      </c>
      <c r="BL268">
        <f t="shared" si="119"/>
        <v>0</v>
      </c>
      <c r="BM268">
        <f t="shared" si="120"/>
        <v>0</v>
      </c>
      <c r="BN268" t="e">
        <f t="shared" si="120"/>
        <v>#DIV/0!</v>
      </c>
    </row>
    <row r="269" spans="1:66" x14ac:dyDescent="0.25">
      <c r="A269">
        <v>2025</v>
      </c>
      <c r="B269" s="1">
        <f t="shared" si="121"/>
        <v>45921</v>
      </c>
      <c r="C269" s="2">
        <v>264</v>
      </c>
      <c r="D269">
        <v>70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K269" s="22">
        <f t="shared" ref="AK269:AK295" si="123">AA269</f>
        <v>0</v>
      </c>
      <c r="AL269">
        <f t="shared" si="122"/>
        <v>70.099999999999994</v>
      </c>
      <c r="AM269" s="4">
        <v>17.46</v>
      </c>
      <c r="AP269" s="7">
        <f t="shared" si="101"/>
        <v>0</v>
      </c>
      <c r="AQ269" s="7" t="e">
        <f t="shared" si="102"/>
        <v>#DIV/0!</v>
      </c>
      <c r="AS269">
        <f t="shared" si="103"/>
        <v>0</v>
      </c>
      <c r="AT269">
        <f t="shared" si="104"/>
        <v>0</v>
      </c>
      <c r="AU269">
        <f t="shared" si="105"/>
        <v>0</v>
      </c>
      <c r="AV269" t="s">
        <v>107</v>
      </c>
      <c r="AW269">
        <f t="shared" si="106"/>
        <v>0</v>
      </c>
      <c r="AX269">
        <f t="shared" si="107"/>
        <v>0</v>
      </c>
      <c r="AY269">
        <f t="shared" si="108"/>
        <v>0</v>
      </c>
      <c r="AZ269">
        <f t="shared" si="109"/>
        <v>0</v>
      </c>
      <c r="BA269" t="s">
        <v>107</v>
      </c>
      <c r="BB269">
        <f t="shared" si="110"/>
        <v>0</v>
      </c>
      <c r="BC269">
        <f t="shared" si="111"/>
        <v>0</v>
      </c>
      <c r="BD269">
        <f t="shared" si="112"/>
        <v>0</v>
      </c>
      <c r="BE269">
        <f t="shared" si="113"/>
        <v>0</v>
      </c>
      <c r="BF269" t="s">
        <v>107</v>
      </c>
      <c r="BG269">
        <f t="shared" si="114"/>
        <v>0</v>
      </c>
      <c r="BH269">
        <f t="shared" si="115"/>
        <v>0</v>
      </c>
      <c r="BI269">
        <f t="shared" si="116"/>
        <v>0</v>
      </c>
      <c r="BJ269">
        <f t="shared" si="117"/>
        <v>0</v>
      </c>
      <c r="BK269">
        <f t="shared" si="118"/>
        <v>0</v>
      </c>
      <c r="BL269">
        <f t="shared" si="119"/>
        <v>0</v>
      </c>
      <c r="BM269">
        <f t="shared" si="120"/>
        <v>0</v>
      </c>
      <c r="BN269" t="e">
        <f t="shared" si="120"/>
        <v>#DIV/0!</v>
      </c>
    </row>
    <row r="270" spans="1:66" x14ac:dyDescent="0.25">
      <c r="A270">
        <v>2025</v>
      </c>
      <c r="B270" s="1">
        <f t="shared" si="121"/>
        <v>45922</v>
      </c>
      <c r="C270" s="2">
        <v>265</v>
      </c>
      <c r="D270">
        <v>70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K270" s="22">
        <f t="shared" si="123"/>
        <v>0</v>
      </c>
      <c r="AL270">
        <f t="shared" si="122"/>
        <v>70.099999999999994</v>
      </c>
      <c r="AM270" s="4">
        <v>17.21</v>
      </c>
      <c r="AP270" s="7">
        <f t="shared" si="101"/>
        <v>0</v>
      </c>
      <c r="AQ270" s="7" t="e">
        <f t="shared" si="102"/>
        <v>#DIV/0!</v>
      </c>
      <c r="AS270">
        <f t="shared" si="103"/>
        <v>0</v>
      </c>
      <c r="AT270">
        <f t="shared" si="104"/>
        <v>0</v>
      </c>
      <c r="AU270">
        <f t="shared" si="105"/>
        <v>0</v>
      </c>
      <c r="AV270" t="s">
        <v>107</v>
      </c>
      <c r="AW270">
        <f t="shared" si="106"/>
        <v>0</v>
      </c>
      <c r="AX270">
        <f t="shared" si="107"/>
        <v>0</v>
      </c>
      <c r="AY270">
        <f t="shared" si="108"/>
        <v>0</v>
      </c>
      <c r="AZ270">
        <f t="shared" si="109"/>
        <v>0</v>
      </c>
      <c r="BA270" t="s">
        <v>107</v>
      </c>
      <c r="BB270">
        <f t="shared" si="110"/>
        <v>0</v>
      </c>
      <c r="BC270">
        <f t="shared" si="111"/>
        <v>0</v>
      </c>
      <c r="BD270">
        <f t="shared" si="112"/>
        <v>0</v>
      </c>
      <c r="BE270">
        <f t="shared" si="113"/>
        <v>0</v>
      </c>
      <c r="BF270" t="s">
        <v>107</v>
      </c>
      <c r="BG270">
        <f t="shared" si="114"/>
        <v>0</v>
      </c>
      <c r="BH270">
        <f t="shared" si="115"/>
        <v>0</v>
      </c>
      <c r="BI270">
        <f t="shared" si="116"/>
        <v>0</v>
      </c>
      <c r="BJ270">
        <f t="shared" si="117"/>
        <v>0</v>
      </c>
      <c r="BK270">
        <f t="shared" si="118"/>
        <v>0</v>
      </c>
      <c r="BL270">
        <f t="shared" si="119"/>
        <v>0</v>
      </c>
      <c r="BM270">
        <f t="shared" si="120"/>
        <v>0</v>
      </c>
      <c r="BN270" t="e">
        <f t="shared" si="120"/>
        <v>#DIV/0!</v>
      </c>
    </row>
    <row r="271" spans="1:66" x14ac:dyDescent="0.25">
      <c r="A271">
        <v>2025</v>
      </c>
      <c r="B271" s="1">
        <f t="shared" si="121"/>
        <v>45923</v>
      </c>
      <c r="C271" s="2">
        <v>266</v>
      </c>
      <c r="D271">
        <v>70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K271" s="22">
        <f t="shared" si="123"/>
        <v>0</v>
      </c>
      <c r="AL271">
        <f t="shared" si="122"/>
        <v>70.099999999999994</v>
      </c>
      <c r="AM271" s="4">
        <v>16.96</v>
      </c>
      <c r="AP271" s="7">
        <f t="shared" si="101"/>
        <v>0</v>
      </c>
      <c r="AQ271" s="7" t="e">
        <f t="shared" si="102"/>
        <v>#DIV/0!</v>
      </c>
      <c r="AS271">
        <f t="shared" si="103"/>
        <v>0</v>
      </c>
      <c r="AT271">
        <f t="shared" si="104"/>
        <v>0</v>
      </c>
      <c r="AU271">
        <f t="shared" si="105"/>
        <v>0</v>
      </c>
      <c r="AV271" t="s">
        <v>107</v>
      </c>
      <c r="AW271">
        <f t="shared" si="106"/>
        <v>0</v>
      </c>
      <c r="AX271">
        <f t="shared" si="107"/>
        <v>0</v>
      </c>
      <c r="AY271">
        <f t="shared" si="108"/>
        <v>0</v>
      </c>
      <c r="AZ271">
        <f t="shared" si="109"/>
        <v>0</v>
      </c>
      <c r="BA271" t="s">
        <v>107</v>
      </c>
      <c r="BB271">
        <f t="shared" si="110"/>
        <v>0</v>
      </c>
      <c r="BC271">
        <f t="shared" si="111"/>
        <v>0</v>
      </c>
      <c r="BD271">
        <f t="shared" si="112"/>
        <v>0</v>
      </c>
      <c r="BE271">
        <f t="shared" si="113"/>
        <v>0</v>
      </c>
      <c r="BF271" t="s">
        <v>107</v>
      </c>
      <c r="BG271">
        <f t="shared" si="114"/>
        <v>0</v>
      </c>
      <c r="BH271">
        <f t="shared" si="115"/>
        <v>0</v>
      </c>
      <c r="BI271">
        <f t="shared" si="116"/>
        <v>0</v>
      </c>
      <c r="BJ271">
        <f t="shared" si="117"/>
        <v>0</v>
      </c>
      <c r="BK271">
        <f t="shared" si="118"/>
        <v>0</v>
      </c>
      <c r="BL271">
        <f t="shared" si="119"/>
        <v>0</v>
      </c>
      <c r="BM271">
        <f t="shared" si="120"/>
        <v>0</v>
      </c>
      <c r="BN271" t="e">
        <f t="shared" si="120"/>
        <v>#DIV/0!</v>
      </c>
    </row>
    <row r="272" spans="1:66" x14ac:dyDescent="0.25">
      <c r="A272">
        <v>2025</v>
      </c>
      <c r="B272" s="1">
        <f t="shared" si="121"/>
        <v>45924</v>
      </c>
      <c r="C272" s="2">
        <v>267</v>
      </c>
      <c r="D272">
        <v>70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K272" s="22">
        <f t="shared" si="123"/>
        <v>0</v>
      </c>
      <c r="AL272">
        <f t="shared" si="122"/>
        <v>70.099999999999994</v>
      </c>
      <c r="AM272" s="4">
        <v>16.71</v>
      </c>
      <c r="AP272" s="7">
        <f t="shared" si="101"/>
        <v>0</v>
      </c>
      <c r="AQ272" s="7" t="e">
        <f t="shared" si="102"/>
        <v>#DIV/0!</v>
      </c>
      <c r="AS272">
        <f t="shared" si="103"/>
        <v>0</v>
      </c>
      <c r="AT272">
        <f t="shared" si="104"/>
        <v>0</v>
      </c>
      <c r="AU272">
        <f t="shared" si="105"/>
        <v>0</v>
      </c>
      <c r="AV272" t="s">
        <v>107</v>
      </c>
      <c r="AW272">
        <f t="shared" si="106"/>
        <v>0</v>
      </c>
      <c r="AX272">
        <f t="shared" si="107"/>
        <v>0</v>
      </c>
      <c r="AY272">
        <f t="shared" si="108"/>
        <v>0</v>
      </c>
      <c r="AZ272">
        <f t="shared" si="109"/>
        <v>0</v>
      </c>
      <c r="BA272" t="s">
        <v>107</v>
      </c>
      <c r="BB272">
        <f t="shared" si="110"/>
        <v>0</v>
      </c>
      <c r="BC272">
        <f t="shared" si="111"/>
        <v>0</v>
      </c>
      <c r="BD272">
        <f t="shared" si="112"/>
        <v>0</v>
      </c>
      <c r="BE272">
        <f t="shared" si="113"/>
        <v>0</v>
      </c>
      <c r="BF272" t="s">
        <v>107</v>
      </c>
      <c r="BG272">
        <f t="shared" si="114"/>
        <v>0</v>
      </c>
      <c r="BH272">
        <f t="shared" si="115"/>
        <v>0</v>
      </c>
      <c r="BI272">
        <f t="shared" si="116"/>
        <v>0</v>
      </c>
      <c r="BJ272">
        <f t="shared" si="117"/>
        <v>0</v>
      </c>
      <c r="BK272">
        <f t="shared" si="118"/>
        <v>0</v>
      </c>
      <c r="BL272">
        <f t="shared" si="119"/>
        <v>0</v>
      </c>
      <c r="BM272">
        <f t="shared" si="120"/>
        <v>0</v>
      </c>
      <c r="BN272" t="e">
        <f t="shared" si="120"/>
        <v>#DIV/0!</v>
      </c>
    </row>
    <row r="273" spans="1:66" x14ac:dyDescent="0.25">
      <c r="A273">
        <v>2025</v>
      </c>
      <c r="B273" s="1">
        <f t="shared" si="121"/>
        <v>45925</v>
      </c>
      <c r="C273" s="2">
        <v>268</v>
      </c>
      <c r="D273">
        <v>70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K273" s="22">
        <f t="shared" si="123"/>
        <v>0</v>
      </c>
      <c r="AL273">
        <f t="shared" si="122"/>
        <v>70.099999999999994</v>
      </c>
      <c r="AM273" s="4">
        <v>16.46</v>
      </c>
      <c r="AP273" s="7">
        <f t="shared" si="101"/>
        <v>0</v>
      </c>
      <c r="AQ273" s="7" t="e">
        <f t="shared" si="102"/>
        <v>#DIV/0!</v>
      </c>
      <c r="AS273">
        <f t="shared" si="103"/>
        <v>0</v>
      </c>
      <c r="AT273">
        <f t="shared" si="104"/>
        <v>0</v>
      </c>
      <c r="AU273">
        <f t="shared" si="105"/>
        <v>0</v>
      </c>
      <c r="AV273" t="s">
        <v>107</v>
      </c>
      <c r="AW273">
        <f t="shared" si="106"/>
        <v>0</v>
      </c>
      <c r="AX273">
        <f t="shared" si="107"/>
        <v>0</v>
      </c>
      <c r="AY273">
        <f t="shared" si="108"/>
        <v>0</v>
      </c>
      <c r="AZ273">
        <f t="shared" si="109"/>
        <v>0</v>
      </c>
      <c r="BA273" t="s">
        <v>107</v>
      </c>
      <c r="BB273">
        <f t="shared" si="110"/>
        <v>0</v>
      </c>
      <c r="BC273">
        <f t="shared" si="111"/>
        <v>0</v>
      </c>
      <c r="BD273">
        <f t="shared" si="112"/>
        <v>0</v>
      </c>
      <c r="BE273">
        <f t="shared" si="113"/>
        <v>0</v>
      </c>
      <c r="BF273" t="s">
        <v>107</v>
      </c>
      <c r="BG273">
        <f t="shared" si="114"/>
        <v>0</v>
      </c>
      <c r="BH273">
        <f t="shared" si="115"/>
        <v>0</v>
      </c>
      <c r="BI273">
        <f t="shared" si="116"/>
        <v>0</v>
      </c>
      <c r="BJ273">
        <f t="shared" si="117"/>
        <v>0</v>
      </c>
      <c r="BK273">
        <f t="shared" si="118"/>
        <v>0</v>
      </c>
      <c r="BL273">
        <f t="shared" si="119"/>
        <v>0</v>
      </c>
      <c r="BM273">
        <f t="shared" si="120"/>
        <v>0</v>
      </c>
      <c r="BN273" t="e">
        <f t="shared" si="120"/>
        <v>#DIV/0!</v>
      </c>
    </row>
    <row r="274" spans="1:66" x14ac:dyDescent="0.25">
      <c r="A274">
        <v>2025</v>
      </c>
      <c r="B274" s="1">
        <f t="shared" si="121"/>
        <v>45926</v>
      </c>
      <c r="C274" s="2">
        <v>269</v>
      </c>
      <c r="D274">
        <v>70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K274" s="22">
        <f t="shared" si="123"/>
        <v>0</v>
      </c>
      <c r="AL274">
        <f t="shared" si="122"/>
        <v>70.099999999999994</v>
      </c>
      <c r="AM274" s="4">
        <v>16.21</v>
      </c>
      <c r="AP274" s="7">
        <f t="shared" si="101"/>
        <v>0</v>
      </c>
      <c r="AQ274" s="7" t="e">
        <f t="shared" si="102"/>
        <v>#DIV/0!</v>
      </c>
      <c r="AS274">
        <f t="shared" si="103"/>
        <v>0</v>
      </c>
      <c r="AT274">
        <f t="shared" si="104"/>
        <v>0</v>
      </c>
      <c r="AU274">
        <f t="shared" si="105"/>
        <v>0</v>
      </c>
      <c r="AV274" t="s">
        <v>107</v>
      </c>
      <c r="AW274">
        <f t="shared" si="106"/>
        <v>0</v>
      </c>
      <c r="AX274">
        <f t="shared" si="107"/>
        <v>0</v>
      </c>
      <c r="AY274">
        <f t="shared" si="108"/>
        <v>0</v>
      </c>
      <c r="AZ274">
        <f t="shared" si="109"/>
        <v>0</v>
      </c>
      <c r="BA274" t="s">
        <v>107</v>
      </c>
      <c r="BB274">
        <f t="shared" si="110"/>
        <v>0</v>
      </c>
      <c r="BC274">
        <f t="shared" si="111"/>
        <v>0</v>
      </c>
      <c r="BD274">
        <f t="shared" si="112"/>
        <v>0</v>
      </c>
      <c r="BE274">
        <f t="shared" si="113"/>
        <v>0</v>
      </c>
      <c r="BF274" t="s">
        <v>107</v>
      </c>
      <c r="BG274">
        <f t="shared" si="114"/>
        <v>0</v>
      </c>
      <c r="BH274">
        <f t="shared" si="115"/>
        <v>0</v>
      </c>
      <c r="BI274">
        <f t="shared" si="116"/>
        <v>0</v>
      </c>
      <c r="BJ274">
        <f t="shared" si="117"/>
        <v>0</v>
      </c>
      <c r="BK274">
        <f t="shared" si="118"/>
        <v>0</v>
      </c>
      <c r="BL274">
        <f t="shared" si="119"/>
        <v>0</v>
      </c>
      <c r="BM274">
        <f t="shared" si="120"/>
        <v>0</v>
      </c>
      <c r="BN274" t="e">
        <f t="shared" si="120"/>
        <v>#DIV/0!</v>
      </c>
    </row>
    <row r="275" spans="1:66" x14ac:dyDescent="0.25">
      <c r="A275">
        <v>2025</v>
      </c>
      <c r="B275" s="1">
        <f t="shared" si="121"/>
        <v>45927</v>
      </c>
      <c r="C275" s="2">
        <v>270</v>
      </c>
      <c r="D275">
        <v>70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K275" s="22">
        <f t="shared" si="123"/>
        <v>0</v>
      </c>
      <c r="AL275">
        <f t="shared" si="122"/>
        <v>70.099999999999994</v>
      </c>
      <c r="AM275" s="4">
        <v>15.96</v>
      </c>
      <c r="AP275" s="7">
        <f t="shared" si="101"/>
        <v>0</v>
      </c>
      <c r="AQ275" s="7" t="e">
        <f t="shared" si="102"/>
        <v>#DIV/0!</v>
      </c>
      <c r="AS275">
        <f t="shared" si="103"/>
        <v>0</v>
      </c>
      <c r="AT275">
        <f t="shared" si="104"/>
        <v>0</v>
      </c>
      <c r="AU275">
        <f t="shared" si="105"/>
        <v>0</v>
      </c>
      <c r="AV275" t="s">
        <v>107</v>
      </c>
      <c r="AW275">
        <f t="shared" si="106"/>
        <v>0</v>
      </c>
      <c r="AX275">
        <f t="shared" si="107"/>
        <v>0</v>
      </c>
      <c r="AY275">
        <f t="shared" si="108"/>
        <v>0</v>
      </c>
      <c r="AZ275">
        <f t="shared" si="109"/>
        <v>0</v>
      </c>
      <c r="BA275" t="s">
        <v>107</v>
      </c>
      <c r="BB275">
        <f t="shared" si="110"/>
        <v>0</v>
      </c>
      <c r="BC275">
        <f t="shared" si="111"/>
        <v>0</v>
      </c>
      <c r="BD275">
        <f t="shared" si="112"/>
        <v>0</v>
      </c>
      <c r="BE275">
        <f t="shared" si="113"/>
        <v>0</v>
      </c>
      <c r="BF275" t="s">
        <v>107</v>
      </c>
      <c r="BG275">
        <f t="shared" si="114"/>
        <v>0</v>
      </c>
      <c r="BH275">
        <f t="shared" si="115"/>
        <v>0</v>
      </c>
      <c r="BI275">
        <f t="shared" si="116"/>
        <v>0</v>
      </c>
      <c r="BJ275">
        <f t="shared" si="117"/>
        <v>0</v>
      </c>
      <c r="BK275">
        <f t="shared" si="118"/>
        <v>0</v>
      </c>
      <c r="BL275">
        <f t="shared" si="119"/>
        <v>0</v>
      </c>
      <c r="BM275">
        <f t="shared" si="120"/>
        <v>0</v>
      </c>
      <c r="BN275" t="e">
        <f t="shared" si="120"/>
        <v>#DIV/0!</v>
      </c>
    </row>
    <row r="276" spans="1:66" x14ac:dyDescent="0.25">
      <c r="A276">
        <v>2025</v>
      </c>
      <c r="B276" s="1">
        <f t="shared" si="121"/>
        <v>45928</v>
      </c>
      <c r="C276" s="2">
        <v>271</v>
      </c>
      <c r="D276">
        <v>70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K276" s="22">
        <f t="shared" si="123"/>
        <v>0</v>
      </c>
      <c r="AL276">
        <f t="shared" si="122"/>
        <v>70.099999999999994</v>
      </c>
      <c r="AM276" s="4">
        <v>15.72</v>
      </c>
      <c r="AP276" s="7">
        <f t="shared" si="101"/>
        <v>0</v>
      </c>
      <c r="AQ276" s="7" t="e">
        <f t="shared" si="102"/>
        <v>#DIV/0!</v>
      </c>
      <c r="AS276">
        <f t="shared" si="103"/>
        <v>0</v>
      </c>
      <c r="AT276">
        <f t="shared" si="104"/>
        <v>0</v>
      </c>
      <c r="AU276">
        <f t="shared" si="105"/>
        <v>0</v>
      </c>
      <c r="AV276" t="s">
        <v>107</v>
      </c>
      <c r="AW276">
        <f t="shared" si="106"/>
        <v>0</v>
      </c>
      <c r="AX276">
        <f t="shared" si="107"/>
        <v>0</v>
      </c>
      <c r="AY276">
        <f t="shared" si="108"/>
        <v>0</v>
      </c>
      <c r="AZ276">
        <f t="shared" si="109"/>
        <v>0</v>
      </c>
      <c r="BA276" t="s">
        <v>107</v>
      </c>
      <c r="BB276">
        <f t="shared" si="110"/>
        <v>0</v>
      </c>
      <c r="BC276">
        <f t="shared" si="111"/>
        <v>0</v>
      </c>
      <c r="BD276">
        <f t="shared" si="112"/>
        <v>0</v>
      </c>
      <c r="BE276">
        <f t="shared" si="113"/>
        <v>0</v>
      </c>
      <c r="BF276" t="s">
        <v>107</v>
      </c>
      <c r="BG276">
        <f t="shared" si="114"/>
        <v>0</v>
      </c>
      <c r="BH276">
        <f t="shared" si="115"/>
        <v>0</v>
      </c>
      <c r="BI276">
        <f t="shared" si="116"/>
        <v>0</v>
      </c>
      <c r="BJ276">
        <f t="shared" si="117"/>
        <v>0</v>
      </c>
      <c r="BK276">
        <f t="shared" si="118"/>
        <v>0</v>
      </c>
      <c r="BL276">
        <f t="shared" si="119"/>
        <v>0</v>
      </c>
      <c r="BM276">
        <f t="shared" si="120"/>
        <v>0</v>
      </c>
      <c r="BN276" t="e">
        <f t="shared" si="120"/>
        <v>#DIV/0!</v>
      </c>
    </row>
    <row r="277" spans="1:66" x14ac:dyDescent="0.25">
      <c r="A277">
        <v>2025</v>
      </c>
      <c r="B277" s="1">
        <f t="shared" si="121"/>
        <v>45929</v>
      </c>
      <c r="C277" s="2">
        <v>272</v>
      </c>
      <c r="D277">
        <v>70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K277" s="22">
        <f t="shared" si="123"/>
        <v>0</v>
      </c>
      <c r="AL277">
        <f t="shared" si="122"/>
        <v>70.099999999999994</v>
      </c>
      <c r="AM277" s="4">
        <v>15.46</v>
      </c>
      <c r="AP277" s="7">
        <f t="shared" si="101"/>
        <v>0</v>
      </c>
      <c r="AQ277" s="7" t="e">
        <f t="shared" si="102"/>
        <v>#DIV/0!</v>
      </c>
      <c r="AS277">
        <f t="shared" si="103"/>
        <v>0</v>
      </c>
      <c r="AT277">
        <f t="shared" si="104"/>
        <v>0</v>
      </c>
      <c r="AU277">
        <f t="shared" si="105"/>
        <v>0</v>
      </c>
      <c r="AV277" t="s">
        <v>107</v>
      </c>
      <c r="AW277">
        <f t="shared" si="106"/>
        <v>0</v>
      </c>
      <c r="AX277">
        <f t="shared" si="107"/>
        <v>0</v>
      </c>
      <c r="AY277">
        <f t="shared" si="108"/>
        <v>0</v>
      </c>
      <c r="AZ277">
        <f t="shared" si="109"/>
        <v>0</v>
      </c>
      <c r="BA277" t="s">
        <v>107</v>
      </c>
      <c r="BB277">
        <f t="shared" si="110"/>
        <v>0</v>
      </c>
      <c r="BC277">
        <f t="shared" si="111"/>
        <v>0</v>
      </c>
      <c r="BD277">
        <f t="shared" si="112"/>
        <v>0</v>
      </c>
      <c r="BE277">
        <f t="shared" si="113"/>
        <v>0</v>
      </c>
      <c r="BF277" t="s">
        <v>107</v>
      </c>
      <c r="BG277">
        <f t="shared" si="114"/>
        <v>0</v>
      </c>
      <c r="BH277">
        <f t="shared" si="115"/>
        <v>0</v>
      </c>
      <c r="BI277">
        <f t="shared" si="116"/>
        <v>0</v>
      </c>
      <c r="BJ277">
        <f t="shared" si="117"/>
        <v>0</v>
      </c>
      <c r="BK277">
        <f t="shared" si="118"/>
        <v>0</v>
      </c>
      <c r="BL277">
        <f t="shared" si="119"/>
        <v>0</v>
      </c>
      <c r="BM277">
        <f t="shared" si="120"/>
        <v>0</v>
      </c>
      <c r="BN277" t="e">
        <f t="shared" si="120"/>
        <v>#DIV/0!</v>
      </c>
    </row>
    <row r="278" spans="1:66" x14ac:dyDescent="0.25">
      <c r="A278">
        <v>2025</v>
      </c>
      <c r="B278" s="1">
        <f t="shared" si="121"/>
        <v>45930</v>
      </c>
      <c r="C278" s="2">
        <v>273</v>
      </c>
      <c r="D278">
        <v>70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K278" s="22">
        <f t="shared" si="123"/>
        <v>0</v>
      </c>
      <c r="AL278">
        <f t="shared" si="122"/>
        <v>70.099999999999994</v>
      </c>
      <c r="AM278" s="4">
        <v>15.22</v>
      </c>
      <c r="AP278" s="7">
        <f t="shared" si="101"/>
        <v>0</v>
      </c>
      <c r="AQ278" s="7" t="e">
        <f t="shared" si="102"/>
        <v>#DIV/0!</v>
      </c>
      <c r="AS278">
        <f t="shared" si="103"/>
        <v>0</v>
      </c>
      <c r="AT278">
        <f t="shared" si="104"/>
        <v>0</v>
      </c>
      <c r="AU278">
        <f t="shared" si="105"/>
        <v>0</v>
      </c>
      <c r="AV278" t="s">
        <v>107</v>
      </c>
      <c r="AW278">
        <f t="shared" si="106"/>
        <v>0</v>
      </c>
      <c r="AX278">
        <f t="shared" si="107"/>
        <v>0</v>
      </c>
      <c r="AY278">
        <f t="shared" si="108"/>
        <v>0</v>
      </c>
      <c r="AZ278">
        <f t="shared" si="109"/>
        <v>0</v>
      </c>
      <c r="BA278" t="s">
        <v>107</v>
      </c>
      <c r="BB278">
        <f t="shared" si="110"/>
        <v>0</v>
      </c>
      <c r="BC278">
        <f t="shared" si="111"/>
        <v>0</v>
      </c>
      <c r="BD278">
        <f t="shared" si="112"/>
        <v>0</v>
      </c>
      <c r="BE278">
        <f t="shared" si="113"/>
        <v>0</v>
      </c>
      <c r="BF278" t="s">
        <v>107</v>
      </c>
      <c r="BG278">
        <f t="shared" si="114"/>
        <v>0</v>
      </c>
      <c r="BH278">
        <f t="shared" si="115"/>
        <v>0</v>
      </c>
      <c r="BI278">
        <f t="shared" si="116"/>
        <v>0</v>
      </c>
      <c r="BJ278">
        <f t="shared" si="117"/>
        <v>0</v>
      </c>
      <c r="BK278">
        <f t="shared" si="118"/>
        <v>0</v>
      </c>
      <c r="BL278">
        <f t="shared" si="119"/>
        <v>0</v>
      </c>
      <c r="BM278">
        <f t="shared" si="120"/>
        <v>0</v>
      </c>
      <c r="BN278" t="e">
        <f t="shared" si="120"/>
        <v>#DIV/0!</v>
      </c>
    </row>
    <row r="279" spans="1:66" x14ac:dyDescent="0.25">
      <c r="A279">
        <v>2025</v>
      </c>
      <c r="B279" s="1">
        <f t="shared" si="121"/>
        <v>45931</v>
      </c>
      <c r="C279" s="2">
        <v>274</v>
      </c>
      <c r="D279">
        <v>70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K279" s="22">
        <f t="shared" si="123"/>
        <v>0</v>
      </c>
      <c r="AL279">
        <f t="shared" si="122"/>
        <v>70.099999999999994</v>
      </c>
      <c r="AM279" s="4">
        <v>14.97</v>
      </c>
      <c r="AP279" s="7">
        <f t="shared" si="101"/>
        <v>0</v>
      </c>
      <c r="AQ279" s="7" t="e">
        <f t="shared" si="102"/>
        <v>#DIV/0!</v>
      </c>
      <c r="AS279">
        <f t="shared" si="103"/>
        <v>0</v>
      </c>
      <c r="AT279">
        <f t="shared" si="104"/>
        <v>0</v>
      </c>
      <c r="AU279">
        <f t="shared" si="105"/>
        <v>0</v>
      </c>
      <c r="AV279" t="s">
        <v>107</v>
      </c>
      <c r="AW279">
        <f t="shared" si="106"/>
        <v>0</v>
      </c>
      <c r="AX279">
        <f t="shared" si="107"/>
        <v>0</v>
      </c>
      <c r="AY279">
        <f t="shared" si="108"/>
        <v>0</v>
      </c>
      <c r="AZ279">
        <f t="shared" si="109"/>
        <v>0</v>
      </c>
      <c r="BA279" t="s">
        <v>107</v>
      </c>
      <c r="BB279">
        <f t="shared" si="110"/>
        <v>0</v>
      </c>
      <c r="BC279">
        <f t="shared" si="111"/>
        <v>0</v>
      </c>
      <c r="BD279">
        <f t="shared" si="112"/>
        <v>0</v>
      </c>
      <c r="BE279">
        <f t="shared" si="113"/>
        <v>0</v>
      </c>
      <c r="BF279" t="s">
        <v>107</v>
      </c>
      <c r="BG279">
        <f t="shared" si="114"/>
        <v>0</v>
      </c>
      <c r="BH279">
        <f t="shared" si="115"/>
        <v>0</v>
      </c>
      <c r="BI279">
        <f t="shared" si="116"/>
        <v>0</v>
      </c>
      <c r="BJ279">
        <f t="shared" si="117"/>
        <v>0</v>
      </c>
      <c r="BK279">
        <f t="shared" si="118"/>
        <v>0</v>
      </c>
      <c r="BL279">
        <f t="shared" si="119"/>
        <v>0</v>
      </c>
      <c r="BM279">
        <f t="shared" si="120"/>
        <v>0</v>
      </c>
      <c r="BN279" t="e">
        <f t="shared" si="120"/>
        <v>#DIV/0!</v>
      </c>
    </row>
    <row r="280" spans="1:66" x14ac:dyDescent="0.25">
      <c r="A280">
        <v>2025</v>
      </c>
      <c r="B280" s="1">
        <f t="shared" si="121"/>
        <v>45932</v>
      </c>
      <c r="C280" s="2">
        <v>275</v>
      </c>
      <c r="D280">
        <v>70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K280" s="22">
        <f t="shared" si="123"/>
        <v>0</v>
      </c>
      <c r="AL280">
        <f t="shared" si="122"/>
        <v>70.099999999999994</v>
      </c>
      <c r="AM280" s="4">
        <v>14.74</v>
      </c>
      <c r="AP280" s="7">
        <f t="shared" si="101"/>
        <v>0</v>
      </c>
      <c r="AQ280" s="7" t="e">
        <f t="shared" si="102"/>
        <v>#DIV/0!</v>
      </c>
      <c r="AS280">
        <f t="shared" si="103"/>
        <v>0</v>
      </c>
      <c r="AT280">
        <f t="shared" si="104"/>
        <v>0</v>
      </c>
      <c r="AU280">
        <f t="shared" si="105"/>
        <v>0</v>
      </c>
      <c r="AV280" t="s">
        <v>107</v>
      </c>
      <c r="AW280">
        <f t="shared" si="106"/>
        <v>0</v>
      </c>
      <c r="AX280">
        <f t="shared" si="107"/>
        <v>0</v>
      </c>
      <c r="AY280">
        <f t="shared" si="108"/>
        <v>0</v>
      </c>
      <c r="AZ280">
        <f t="shared" si="109"/>
        <v>0</v>
      </c>
      <c r="BA280" t="s">
        <v>107</v>
      </c>
      <c r="BB280">
        <f t="shared" si="110"/>
        <v>0</v>
      </c>
      <c r="BC280">
        <f t="shared" si="111"/>
        <v>0</v>
      </c>
      <c r="BD280">
        <f t="shared" si="112"/>
        <v>0</v>
      </c>
      <c r="BE280">
        <f t="shared" si="113"/>
        <v>0</v>
      </c>
      <c r="BF280" t="s">
        <v>107</v>
      </c>
      <c r="BG280">
        <f t="shared" si="114"/>
        <v>0</v>
      </c>
      <c r="BH280">
        <f t="shared" si="115"/>
        <v>0</v>
      </c>
      <c r="BI280">
        <f t="shared" si="116"/>
        <v>0</v>
      </c>
      <c r="BJ280">
        <f t="shared" si="117"/>
        <v>0</v>
      </c>
      <c r="BK280">
        <f t="shared" si="118"/>
        <v>0</v>
      </c>
      <c r="BL280">
        <f t="shared" si="119"/>
        <v>0</v>
      </c>
      <c r="BM280">
        <f t="shared" si="120"/>
        <v>0</v>
      </c>
      <c r="BN280" t="e">
        <f t="shared" si="120"/>
        <v>#DIV/0!</v>
      </c>
    </row>
    <row r="281" spans="1:66" x14ac:dyDescent="0.25">
      <c r="A281">
        <v>2025</v>
      </c>
      <c r="B281" s="1">
        <f t="shared" si="121"/>
        <v>45933</v>
      </c>
      <c r="C281" s="2">
        <v>276</v>
      </c>
      <c r="D281">
        <v>70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K281" s="22">
        <f t="shared" si="123"/>
        <v>0</v>
      </c>
      <c r="AL281">
        <f t="shared" si="122"/>
        <v>70.099999999999994</v>
      </c>
      <c r="AM281" s="4">
        <v>14.5</v>
      </c>
      <c r="AP281" s="7">
        <f t="shared" si="101"/>
        <v>0</v>
      </c>
      <c r="AQ281" s="7" t="e">
        <f t="shared" si="102"/>
        <v>#DIV/0!</v>
      </c>
      <c r="AS281">
        <f t="shared" si="103"/>
        <v>0</v>
      </c>
      <c r="AT281">
        <f t="shared" si="104"/>
        <v>0</v>
      </c>
      <c r="AU281">
        <f t="shared" si="105"/>
        <v>0</v>
      </c>
      <c r="AV281" t="s">
        <v>107</v>
      </c>
      <c r="AW281">
        <f t="shared" si="106"/>
        <v>0</v>
      </c>
      <c r="AX281">
        <f t="shared" si="107"/>
        <v>0</v>
      </c>
      <c r="AY281">
        <f t="shared" si="108"/>
        <v>0</v>
      </c>
      <c r="AZ281">
        <f t="shared" si="109"/>
        <v>0</v>
      </c>
      <c r="BA281" t="s">
        <v>107</v>
      </c>
      <c r="BB281">
        <f t="shared" si="110"/>
        <v>0</v>
      </c>
      <c r="BC281">
        <f t="shared" si="111"/>
        <v>0</v>
      </c>
      <c r="BD281">
        <f t="shared" si="112"/>
        <v>0</v>
      </c>
      <c r="BE281">
        <f t="shared" si="113"/>
        <v>0</v>
      </c>
      <c r="BF281" t="s">
        <v>107</v>
      </c>
      <c r="BG281">
        <f t="shared" si="114"/>
        <v>0</v>
      </c>
      <c r="BH281">
        <f t="shared" si="115"/>
        <v>0</v>
      </c>
      <c r="BI281">
        <f t="shared" si="116"/>
        <v>0</v>
      </c>
      <c r="BJ281">
        <f t="shared" si="117"/>
        <v>0</v>
      </c>
      <c r="BK281">
        <f t="shared" si="118"/>
        <v>0</v>
      </c>
      <c r="BL281">
        <f t="shared" si="119"/>
        <v>0</v>
      </c>
      <c r="BM281">
        <f t="shared" si="120"/>
        <v>0</v>
      </c>
      <c r="BN281" t="e">
        <f t="shared" si="120"/>
        <v>#DIV/0!</v>
      </c>
    </row>
    <row r="282" spans="1:66" x14ac:dyDescent="0.25">
      <c r="A282">
        <v>2025</v>
      </c>
      <c r="B282" s="1">
        <f t="shared" si="121"/>
        <v>45934</v>
      </c>
      <c r="C282" s="2">
        <v>277</v>
      </c>
      <c r="D282">
        <v>70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K282" s="22">
        <f t="shared" si="123"/>
        <v>0</v>
      </c>
      <c r="AL282">
        <f t="shared" si="122"/>
        <v>70.099999999999994</v>
      </c>
      <c r="AM282" s="4">
        <v>14.26</v>
      </c>
      <c r="AP282" s="7">
        <f t="shared" si="101"/>
        <v>0</v>
      </c>
      <c r="AQ282" s="7" t="e">
        <f t="shared" si="102"/>
        <v>#DIV/0!</v>
      </c>
      <c r="AS282">
        <f t="shared" si="103"/>
        <v>0</v>
      </c>
      <c r="AT282">
        <f t="shared" si="104"/>
        <v>0</v>
      </c>
      <c r="AU282">
        <f t="shared" si="105"/>
        <v>0</v>
      </c>
      <c r="AV282" t="s">
        <v>107</v>
      </c>
      <c r="AW282">
        <f t="shared" si="106"/>
        <v>0</v>
      </c>
      <c r="AX282">
        <f t="shared" si="107"/>
        <v>0</v>
      </c>
      <c r="AY282">
        <f t="shared" si="108"/>
        <v>0</v>
      </c>
      <c r="AZ282">
        <f t="shared" si="109"/>
        <v>0</v>
      </c>
      <c r="BA282" t="s">
        <v>107</v>
      </c>
      <c r="BB282">
        <f t="shared" si="110"/>
        <v>0</v>
      </c>
      <c r="BC282">
        <f t="shared" si="111"/>
        <v>0</v>
      </c>
      <c r="BD282">
        <f t="shared" si="112"/>
        <v>0</v>
      </c>
      <c r="BE282">
        <f t="shared" si="113"/>
        <v>0</v>
      </c>
      <c r="BF282" t="s">
        <v>107</v>
      </c>
      <c r="BG282">
        <f t="shared" si="114"/>
        <v>0</v>
      </c>
      <c r="BH282">
        <f t="shared" si="115"/>
        <v>0</v>
      </c>
      <c r="BI282">
        <f t="shared" si="116"/>
        <v>0</v>
      </c>
      <c r="BJ282">
        <f t="shared" si="117"/>
        <v>0</v>
      </c>
      <c r="BK282">
        <f t="shared" si="118"/>
        <v>0</v>
      </c>
      <c r="BL282">
        <f t="shared" si="119"/>
        <v>0</v>
      </c>
      <c r="BM282">
        <f t="shared" si="120"/>
        <v>0</v>
      </c>
      <c r="BN282" t="e">
        <f t="shared" si="120"/>
        <v>#DIV/0!</v>
      </c>
    </row>
    <row r="283" spans="1:66" x14ac:dyDescent="0.25">
      <c r="A283">
        <v>2025</v>
      </c>
      <c r="B283" s="1">
        <f t="shared" si="121"/>
        <v>45935</v>
      </c>
      <c r="C283" s="2">
        <v>278</v>
      </c>
      <c r="D283">
        <v>70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K283" s="22">
        <f t="shared" si="123"/>
        <v>0</v>
      </c>
      <c r="AL283">
        <f t="shared" si="122"/>
        <v>70.099999999999994</v>
      </c>
      <c r="AM283" s="4">
        <v>14.02</v>
      </c>
      <c r="AP283" s="7">
        <f t="shared" si="101"/>
        <v>0</v>
      </c>
      <c r="AQ283" s="7" t="e">
        <f t="shared" si="102"/>
        <v>#DIV/0!</v>
      </c>
      <c r="AS283">
        <f t="shared" si="103"/>
        <v>0</v>
      </c>
      <c r="AT283">
        <f t="shared" si="104"/>
        <v>0</v>
      </c>
      <c r="AU283">
        <f t="shared" si="105"/>
        <v>0</v>
      </c>
      <c r="AV283" t="s">
        <v>107</v>
      </c>
      <c r="AW283">
        <f t="shared" si="106"/>
        <v>0</v>
      </c>
      <c r="AX283">
        <f t="shared" si="107"/>
        <v>0</v>
      </c>
      <c r="AY283">
        <f t="shared" si="108"/>
        <v>0</v>
      </c>
      <c r="AZ283">
        <f t="shared" si="109"/>
        <v>0</v>
      </c>
      <c r="BA283" t="s">
        <v>107</v>
      </c>
      <c r="BB283">
        <f t="shared" si="110"/>
        <v>0</v>
      </c>
      <c r="BC283">
        <f t="shared" si="111"/>
        <v>0</v>
      </c>
      <c r="BD283">
        <f t="shared" si="112"/>
        <v>0</v>
      </c>
      <c r="BE283">
        <f t="shared" si="113"/>
        <v>0</v>
      </c>
      <c r="BF283" t="s">
        <v>107</v>
      </c>
      <c r="BG283">
        <f t="shared" si="114"/>
        <v>0</v>
      </c>
      <c r="BH283">
        <f t="shared" si="115"/>
        <v>0</v>
      </c>
      <c r="BI283">
        <f t="shared" si="116"/>
        <v>0</v>
      </c>
      <c r="BJ283">
        <f t="shared" si="117"/>
        <v>0</v>
      </c>
      <c r="BK283">
        <f t="shared" si="118"/>
        <v>0</v>
      </c>
      <c r="BL283">
        <f t="shared" si="119"/>
        <v>0</v>
      </c>
      <c r="BM283">
        <f t="shared" si="120"/>
        <v>0</v>
      </c>
      <c r="BN283" t="e">
        <f t="shared" si="120"/>
        <v>#DIV/0!</v>
      </c>
    </row>
    <row r="284" spans="1:66" x14ac:dyDescent="0.25">
      <c r="A284">
        <v>2025</v>
      </c>
      <c r="B284" s="1">
        <f t="shared" si="121"/>
        <v>45936</v>
      </c>
      <c r="C284" s="2">
        <v>279</v>
      </c>
      <c r="D284">
        <v>70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K284" s="22">
        <f t="shared" si="123"/>
        <v>0</v>
      </c>
      <c r="AL284">
        <f t="shared" si="122"/>
        <v>70.099999999999994</v>
      </c>
      <c r="AM284" s="4">
        <v>13.79</v>
      </c>
      <c r="AP284" s="7">
        <f t="shared" si="101"/>
        <v>0</v>
      </c>
      <c r="AQ284" s="7" t="e">
        <f t="shared" si="102"/>
        <v>#DIV/0!</v>
      </c>
      <c r="AS284">
        <f t="shared" si="103"/>
        <v>0</v>
      </c>
      <c r="AT284">
        <f t="shared" si="104"/>
        <v>0</v>
      </c>
      <c r="AU284">
        <f t="shared" si="105"/>
        <v>0</v>
      </c>
      <c r="AV284" t="s">
        <v>107</v>
      </c>
      <c r="AW284">
        <f t="shared" si="106"/>
        <v>0</v>
      </c>
      <c r="AX284">
        <f t="shared" si="107"/>
        <v>0</v>
      </c>
      <c r="AY284">
        <f t="shared" si="108"/>
        <v>0</v>
      </c>
      <c r="AZ284">
        <f t="shared" si="109"/>
        <v>0</v>
      </c>
      <c r="BA284" t="s">
        <v>107</v>
      </c>
      <c r="BB284">
        <f t="shared" si="110"/>
        <v>0</v>
      </c>
      <c r="BC284">
        <f t="shared" si="111"/>
        <v>0</v>
      </c>
      <c r="BD284">
        <f t="shared" si="112"/>
        <v>0</v>
      </c>
      <c r="BE284">
        <f t="shared" si="113"/>
        <v>0</v>
      </c>
      <c r="BF284" t="s">
        <v>107</v>
      </c>
      <c r="BG284">
        <f t="shared" si="114"/>
        <v>0</v>
      </c>
      <c r="BH284">
        <f t="shared" si="115"/>
        <v>0</v>
      </c>
      <c r="BI284">
        <f t="shared" si="116"/>
        <v>0</v>
      </c>
      <c r="BJ284">
        <f t="shared" si="117"/>
        <v>0</v>
      </c>
      <c r="BK284">
        <f t="shared" si="118"/>
        <v>0</v>
      </c>
      <c r="BL284">
        <f t="shared" si="119"/>
        <v>0</v>
      </c>
      <c r="BM284">
        <f t="shared" si="120"/>
        <v>0</v>
      </c>
      <c r="BN284" t="e">
        <f t="shared" si="120"/>
        <v>#DIV/0!</v>
      </c>
    </row>
    <row r="285" spans="1:66" x14ac:dyDescent="0.25">
      <c r="A285">
        <v>2025</v>
      </c>
      <c r="B285" s="1">
        <f t="shared" si="121"/>
        <v>45937</v>
      </c>
      <c r="C285" s="2">
        <v>280</v>
      </c>
      <c r="D285">
        <v>70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K285" s="22">
        <f t="shared" si="123"/>
        <v>0</v>
      </c>
      <c r="AL285">
        <f t="shared" si="122"/>
        <v>70.099999999999994</v>
      </c>
      <c r="AM285" s="4">
        <v>13.55</v>
      </c>
      <c r="AP285" s="7">
        <f t="shared" si="101"/>
        <v>0</v>
      </c>
      <c r="AQ285" s="7" t="e">
        <f t="shared" si="102"/>
        <v>#DIV/0!</v>
      </c>
      <c r="AS285">
        <f t="shared" si="103"/>
        <v>0</v>
      </c>
      <c r="AT285">
        <f t="shared" si="104"/>
        <v>0</v>
      </c>
      <c r="AU285">
        <f t="shared" si="105"/>
        <v>0</v>
      </c>
      <c r="AV285" t="s">
        <v>107</v>
      </c>
      <c r="AW285">
        <f t="shared" si="106"/>
        <v>0</v>
      </c>
      <c r="AX285">
        <f t="shared" si="107"/>
        <v>0</v>
      </c>
      <c r="AY285">
        <f t="shared" si="108"/>
        <v>0</v>
      </c>
      <c r="AZ285">
        <f t="shared" si="109"/>
        <v>0</v>
      </c>
      <c r="BA285" t="s">
        <v>107</v>
      </c>
      <c r="BB285">
        <f t="shared" si="110"/>
        <v>0</v>
      </c>
      <c r="BC285">
        <f t="shared" si="111"/>
        <v>0</v>
      </c>
      <c r="BD285">
        <f t="shared" si="112"/>
        <v>0</v>
      </c>
      <c r="BE285">
        <f t="shared" si="113"/>
        <v>0</v>
      </c>
      <c r="BF285" t="s">
        <v>107</v>
      </c>
      <c r="BG285">
        <f t="shared" si="114"/>
        <v>0</v>
      </c>
      <c r="BH285">
        <f t="shared" si="115"/>
        <v>0</v>
      </c>
      <c r="BI285">
        <f t="shared" si="116"/>
        <v>0</v>
      </c>
      <c r="BJ285">
        <f t="shared" si="117"/>
        <v>0</v>
      </c>
      <c r="BK285">
        <f t="shared" si="118"/>
        <v>0</v>
      </c>
      <c r="BL285">
        <f t="shared" si="119"/>
        <v>0</v>
      </c>
      <c r="BM285">
        <f t="shared" si="120"/>
        <v>0</v>
      </c>
      <c r="BN285" t="e">
        <f t="shared" si="120"/>
        <v>#DIV/0!</v>
      </c>
    </row>
    <row r="286" spans="1:66" x14ac:dyDescent="0.25">
      <c r="A286">
        <v>2025</v>
      </c>
      <c r="B286" s="1">
        <f t="shared" si="121"/>
        <v>45938</v>
      </c>
      <c r="C286" s="2">
        <v>281</v>
      </c>
      <c r="D286">
        <v>70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K286" s="22">
        <f t="shared" si="123"/>
        <v>0</v>
      </c>
      <c r="AL286">
        <f t="shared" si="122"/>
        <v>70.099999999999994</v>
      </c>
      <c r="AM286" s="4">
        <v>13.32</v>
      </c>
      <c r="AP286" s="7">
        <f t="shared" si="101"/>
        <v>0</v>
      </c>
      <c r="AQ286" s="7" t="e">
        <f t="shared" si="102"/>
        <v>#DIV/0!</v>
      </c>
      <c r="AS286">
        <f t="shared" si="103"/>
        <v>0</v>
      </c>
      <c r="AT286">
        <f t="shared" si="104"/>
        <v>0</v>
      </c>
      <c r="AU286">
        <f t="shared" si="105"/>
        <v>0</v>
      </c>
      <c r="AV286" t="s">
        <v>107</v>
      </c>
      <c r="AW286">
        <f t="shared" si="106"/>
        <v>0</v>
      </c>
      <c r="AX286">
        <f t="shared" si="107"/>
        <v>0</v>
      </c>
      <c r="AY286">
        <f t="shared" si="108"/>
        <v>0</v>
      </c>
      <c r="AZ286">
        <f t="shared" si="109"/>
        <v>0</v>
      </c>
      <c r="BA286" t="s">
        <v>107</v>
      </c>
      <c r="BB286">
        <f t="shared" si="110"/>
        <v>0</v>
      </c>
      <c r="BC286">
        <f t="shared" si="111"/>
        <v>0</v>
      </c>
      <c r="BD286">
        <f t="shared" si="112"/>
        <v>0</v>
      </c>
      <c r="BE286">
        <f t="shared" si="113"/>
        <v>0</v>
      </c>
      <c r="BF286" t="s">
        <v>107</v>
      </c>
      <c r="BG286">
        <f t="shared" si="114"/>
        <v>0</v>
      </c>
      <c r="BH286">
        <f t="shared" si="115"/>
        <v>0</v>
      </c>
      <c r="BI286">
        <f t="shared" si="116"/>
        <v>0</v>
      </c>
      <c r="BJ286">
        <f t="shared" si="117"/>
        <v>0</v>
      </c>
      <c r="BK286">
        <f t="shared" si="118"/>
        <v>0</v>
      </c>
      <c r="BL286">
        <f t="shared" si="119"/>
        <v>0</v>
      </c>
      <c r="BM286">
        <f t="shared" si="120"/>
        <v>0</v>
      </c>
      <c r="BN286" t="e">
        <f t="shared" si="120"/>
        <v>#DIV/0!</v>
      </c>
    </row>
    <row r="287" spans="1:66" x14ac:dyDescent="0.25">
      <c r="A287">
        <v>2025</v>
      </c>
      <c r="B287" s="1">
        <f t="shared" si="121"/>
        <v>45939</v>
      </c>
      <c r="C287" s="2">
        <v>282</v>
      </c>
      <c r="D287">
        <v>70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K287" s="22">
        <f t="shared" si="123"/>
        <v>0</v>
      </c>
      <c r="AL287">
        <f t="shared" si="122"/>
        <v>70.099999999999994</v>
      </c>
      <c r="AM287" s="4">
        <v>13.09</v>
      </c>
      <c r="AP287" s="7">
        <f t="shared" si="101"/>
        <v>0</v>
      </c>
      <c r="AQ287" s="7" t="e">
        <f t="shared" si="102"/>
        <v>#DIV/0!</v>
      </c>
      <c r="AS287">
        <f t="shared" si="103"/>
        <v>0</v>
      </c>
      <c r="AT287">
        <f t="shared" si="104"/>
        <v>0</v>
      </c>
      <c r="AU287">
        <f t="shared" si="105"/>
        <v>0</v>
      </c>
      <c r="AV287" t="s">
        <v>107</v>
      </c>
      <c r="AW287">
        <f t="shared" si="106"/>
        <v>0</v>
      </c>
      <c r="AX287">
        <f t="shared" si="107"/>
        <v>0</v>
      </c>
      <c r="AY287">
        <f t="shared" si="108"/>
        <v>0</v>
      </c>
      <c r="AZ287">
        <f t="shared" si="109"/>
        <v>0</v>
      </c>
      <c r="BA287" t="s">
        <v>107</v>
      </c>
      <c r="BB287">
        <f t="shared" si="110"/>
        <v>0</v>
      </c>
      <c r="BC287">
        <f t="shared" si="111"/>
        <v>0</v>
      </c>
      <c r="BD287">
        <f t="shared" si="112"/>
        <v>0</v>
      </c>
      <c r="BE287">
        <f t="shared" si="113"/>
        <v>0</v>
      </c>
      <c r="BF287" t="s">
        <v>107</v>
      </c>
      <c r="BG287">
        <f t="shared" si="114"/>
        <v>0</v>
      </c>
      <c r="BH287">
        <f t="shared" si="115"/>
        <v>0</v>
      </c>
      <c r="BI287">
        <f t="shared" si="116"/>
        <v>0</v>
      </c>
      <c r="BJ287">
        <f t="shared" si="117"/>
        <v>0</v>
      </c>
      <c r="BK287">
        <f t="shared" si="118"/>
        <v>0</v>
      </c>
      <c r="BL287">
        <f t="shared" si="119"/>
        <v>0</v>
      </c>
      <c r="BM287">
        <f t="shared" si="120"/>
        <v>0</v>
      </c>
      <c r="BN287" t="e">
        <f t="shared" si="120"/>
        <v>#DIV/0!</v>
      </c>
    </row>
    <row r="288" spans="1:66" x14ac:dyDescent="0.25">
      <c r="A288">
        <v>2025</v>
      </c>
      <c r="B288" s="1">
        <f t="shared" si="121"/>
        <v>45940</v>
      </c>
      <c r="C288" s="2">
        <v>283</v>
      </c>
      <c r="D288">
        <v>70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K288" s="22">
        <f t="shared" si="123"/>
        <v>0</v>
      </c>
      <c r="AL288">
        <f t="shared" si="122"/>
        <v>70.099999999999994</v>
      </c>
      <c r="AM288" s="4">
        <v>12.87</v>
      </c>
      <c r="AP288" s="7">
        <f t="shared" si="101"/>
        <v>0</v>
      </c>
      <c r="AQ288" s="7" t="e">
        <f t="shared" si="102"/>
        <v>#DIV/0!</v>
      </c>
      <c r="AS288">
        <f t="shared" si="103"/>
        <v>0</v>
      </c>
      <c r="AT288">
        <f t="shared" si="104"/>
        <v>0</v>
      </c>
      <c r="AU288">
        <f t="shared" si="105"/>
        <v>0</v>
      </c>
      <c r="AV288" t="s">
        <v>107</v>
      </c>
      <c r="AW288">
        <f t="shared" si="106"/>
        <v>0</v>
      </c>
      <c r="AX288">
        <f t="shared" si="107"/>
        <v>0</v>
      </c>
      <c r="AY288">
        <f t="shared" si="108"/>
        <v>0</v>
      </c>
      <c r="AZ288">
        <f t="shared" si="109"/>
        <v>0</v>
      </c>
      <c r="BA288" t="s">
        <v>107</v>
      </c>
      <c r="BB288">
        <f t="shared" si="110"/>
        <v>0</v>
      </c>
      <c r="BC288">
        <f t="shared" si="111"/>
        <v>0</v>
      </c>
      <c r="BD288">
        <f t="shared" si="112"/>
        <v>0</v>
      </c>
      <c r="BE288">
        <f t="shared" si="113"/>
        <v>0</v>
      </c>
      <c r="BF288" t="s">
        <v>107</v>
      </c>
      <c r="BG288">
        <f t="shared" si="114"/>
        <v>0</v>
      </c>
      <c r="BH288">
        <f t="shared" si="115"/>
        <v>0</v>
      </c>
      <c r="BI288">
        <f t="shared" si="116"/>
        <v>0</v>
      </c>
      <c r="BJ288">
        <f t="shared" si="117"/>
        <v>0</v>
      </c>
      <c r="BK288">
        <f t="shared" si="118"/>
        <v>0</v>
      </c>
      <c r="BL288">
        <f t="shared" si="119"/>
        <v>0</v>
      </c>
      <c r="BM288">
        <f t="shared" si="120"/>
        <v>0</v>
      </c>
      <c r="BN288" t="e">
        <f t="shared" si="120"/>
        <v>#DIV/0!</v>
      </c>
    </row>
    <row r="289" spans="1:66" x14ac:dyDescent="0.25">
      <c r="A289">
        <v>2025</v>
      </c>
      <c r="B289" s="1">
        <f t="shared" si="121"/>
        <v>45941</v>
      </c>
      <c r="C289" s="2">
        <v>284</v>
      </c>
      <c r="D289">
        <v>70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K289" s="22">
        <f t="shared" si="123"/>
        <v>0</v>
      </c>
      <c r="AL289">
        <f t="shared" si="122"/>
        <v>70.099999999999994</v>
      </c>
      <c r="AM289" s="4">
        <v>12.64</v>
      </c>
      <c r="AP289" s="7">
        <f t="shared" si="101"/>
        <v>0</v>
      </c>
      <c r="AQ289" s="7" t="e">
        <f t="shared" si="102"/>
        <v>#DIV/0!</v>
      </c>
      <c r="AS289">
        <f t="shared" si="103"/>
        <v>0</v>
      </c>
      <c r="AT289">
        <f t="shared" si="104"/>
        <v>0</v>
      </c>
      <c r="AU289">
        <f t="shared" si="105"/>
        <v>0</v>
      </c>
      <c r="AV289" t="s">
        <v>107</v>
      </c>
      <c r="AW289">
        <f t="shared" si="106"/>
        <v>0</v>
      </c>
      <c r="AX289">
        <f t="shared" si="107"/>
        <v>0</v>
      </c>
      <c r="AY289">
        <f t="shared" si="108"/>
        <v>0</v>
      </c>
      <c r="AZ289">
        <f t="shared" si="109"/>
        <v>0</v>
      </c>
      <c r="BA289" t="s">
        <v>107</v>
      </c>
      <c r="BB289">
        <f t="shared" si="110"/>
        <v>0</v>
      </c>
      <c r="BC289">
        <f t="shared" si="111"/>
        <v>0</v>
      </c>
      <c r="BD289">
        <f t="shared" si="112"/>
        <v>0</v>
      </c>
      <c r="BE289">
        <f t="shared" si="113"/>
        <v>0</v>
      </c>
      <c r="BF289" t="s">
        <v>107</v>
      </c>
      <c r="BG289">
        <f t="shared" si="114"/>
        <v>0</v>
      </c>
      <c r="BH289">
        <f t="shared" si="115"/>
        <v>0</v>
      </c>
      <c r="BI289">
        <f t="shared" si="116"/>
        <v>0</v>
      </c>
      <c r="BJ289">
        <f t="shared" si="117"/>
        <v>0</v>
      </c>
      <c r="BK289">
        <f t="shared" si="118"/>
        <v>0</v>
      </c>
      <c r="BL289">
        <f t="shared" si="119"/>
        <v>0</v>
      </c>
      <c r="BM289">
        <f t="shared" si="120"/>
        <v>0</v>
      </c>
      <c r="BN289" t="e">
        <f t="shared" si="120"/>
        <v>#DIV/0!</v>
      </c>
    </row>
    <row r="290" spans="1:66" x14ac:dyDescent="0.25">
      <c r="A290">
        <v>2025</v>
      </c>
      <c r="B290" s="1">
        <f t="shared" si="121"/>
        <v>45942</v>
      </c>
      <c r="C290" s="2">
        <v>285</v>
      </c>
      <c r="D290">
        <v>70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K290" s="22">
        <f t="shared" si="123"/>
        <v>0</v>
      </c>
      <c r="AL290">
        <f t="shared" si="122"/>
        <v>70.099999999999994</v>
      </c>
      <c r="AM290" s="4">
        <v>12.42</v>
      </c>
      <c r="AP290" s="7">
        <f t="shared" si="101"/>
        <v>0</v>
      </c>
      <c r="AQ290" s="7" t="e">
        <f t="shared" si="102"/>
        <v>#DIV/0!</v>
      </c>
      <c r="AS290">
        <f t="shared" si="103"/>
        <v>0</v>
      </c>
      <c r="AT290">
        <f t="shared" si="104"/>
        <v>0</v>
      </c>
      <c r="AU290">
        <f t="shared" si="105"/>
        <v>0</v>
      </c>
      <c r="AV290" t="s">
        <v>107</v>
      </c>
      <c r="AW290">
        <f t="shared" si="106"/>
        <v>0</v>
      </c>
      <c r="AX290">
        <f t="shared" si="107"/>
        <v>0</v>
      </c>
      <c r="AY290">
        <f t="shared" si="108"/>
        <v>0</v>
      </c>
      <c r="AZ290">
        <f t="shared" si="109"/>
        <v>0</v>
      </c>
      <c r="BA290" t="s">
        <v>107</v>
      </c>
      <c r="BB290">
        <f t="shared" si="110"/>
        <v>0</v>
      </c>
      <c r="BC290">
        <f t="shared" si="111"/>
        <v>0</v>
      </c>
      <c r="BD290">
        <f t="shared" si="112"/>
        <v>0</v>
      </c>
      <c r="BE290">
        <f t="shared" si="113"/>
        <v>0</v>
      </c>
      <c r="BF290" t="s">
        <v>107</v>
      </c>
      <c r="BG290">
        <f t="shared" si="114"/>
        <v>0</v>
      </c>
      <c r="BH290">
        <f t="shared" si="115"/>
        <v>0</v>
      </c>
      <c r="BI290">
        <f t="shared" si="116"/>
        <v>0</v>
      </c>
      <c r="BJ290">
        <f t="shared" si="117"/>
        <v>0</v>
      </c>
      <c r="BK290">
        <f t="shared" si="118"/>
        <v>0</v>
      </c>
      <c r="BL290">
        <f t="shared" si="119"/>
        <v>0</v>
      </c>
      <c r="BM290">
        <f t="shared" si="120"/>
        <v>0</v>
      </c>
      <c r="BN290" t="e">
        <f t="shared" si="120"/>
        <v>#DIV/0!</v>
      </c>
    </row>
    <row r="291" spans="1:66" x14ac:dyDescent="0.25">
      <c r="A291">
        <v>2025</v>
      </c>
      <c r="B291" s="1">
        <f t="shared" si="121"/>
        <v>45943</v>
      </c>
      <c r="C291" s="2">
        <v>286</v>
      </c>
      <c r="D291">
        <v>70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K291" s="22">
        <f t="shared" si="123"/>
        <v>0</v>
      </c>
      <c r="AL291">
        <f t="shared" si="122"/>
        <v>70.099999999999994</v>
      </c>
      <c r="AM291" s="4">
        <v>12.19</v>
      </c>
      <c r="AP291" s="7">
        <f t="shared" si="101"/>
        <v>0</v>
      </c>
      <c r="AQ291" s="7" t="e">
        <f t="shared" si="102"/>
        <v>#DIV/0!</v>
      </c>
      <c r="AS291">
        <f t="shared" si="103"/>
        <v>0</v>
      </c>
      <c r="AT291">
        <f t="shared" si="104"/>
        <v>0</v>
      </c>
      <c r="AU291">
        <f t="shared" si="105"/>
        <v>0</v>
      </c>
      <c r="AV291" t="s">
        <v>107</v>
      </c>
      <c r="AW291">
        <f t="shared" si="106"/>
        <v>0</v>
      </c>
      <c r="AX291">
        <f t="shared" si="107"/>
        <v>0</v>
      </c>
      <c r="AY291">
        <f t="shared" si="108"/>
        <v>0</v>
      </c>
      <c r="AZ291">
        <f t="shared" si="109"/>
        <v>0</v>
      </c>
      <c r="BA291" t="s">
        <v>107</v>
      </c>
      <c r="BB291">
        <f t="shared" si="110"/>
        <v>0</v>
      </c>
      <c r="BC291">
        <f t="shared" si="111"/>
        <v>0</v>
      </c>
      <c r="BD291">
        <f t="shared" si="112"/>
        <v>0</v>
      </c>
      <c r="BE291">
        <f t="shared" si="113"/>
        <v>0</v>
      </c>
      <c r="BF291" t="s">
        <v>107</v>
      </c>
      <c r="BG291">
        <f t="shared" si="114"/>
        <v>0</v>
      </c>
      <c r="BH291">
        <f t="shared" si="115"/>
        <v>0</v>
      </c>
      <c r="BI291">
        <f t="shared" si="116"/>
        <v>0</v>
      </c>
      <c r="BJ291">
        <f t="shared" si="117"/>
        <v>0</v>
      </c>
      <c r="BK291">
        <f t="shared" si="118"/>
        <v>0</v>
      </c>
      <c r="BL291">
        <f t="shared" si="119"/>
        <v>0</v>
      </c>
      <c r="BM291">
        <f t="shared" si="120"/>
        <v>0</v>
      </c>
      <c r="BN291" t="e">
        <f t="shared" si="120"/>
        <v>#DIV/0!</v>
      </c>
    </row>
    <row r="292" spans="1:66" x14ac:dyDescent="0.25">
      <c r="A292">
        <v>2025</v>
      </c>
      <c r="B292" s="1">
        <f t="shared" si="121"/>
        <v>45944</v>
      </c>
      <c r="C292" s="2">
        <v>287</v>
      </c>
      <c r="D292">
        <v>70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K292" s="22">
        <f t="shared" si="123"/>
        <v>0</v>
      </c>
      <c r="AL292">
        <f t="shared" si="122"/>
        <v>70.099999999999994</v>
      </c>
      <c r="AM292" s="4">
        <v>11.97</v>
      </c>
      <c r="AP292" s="7">
        <f t="shared" si="101"/>
        <v>0</v>
      </c>
      <c r="AQ292" s="7" t="e">
        <f t="shared" si="102"/>
        <v>#DIV/0!</v>
      </c>
      <c r="AS292">
        <f t="shared" si="103"/>
        <v>0</v>
      </c>
      <c r="AT292">
        <f t="shared" si="104"/>
        <v>0</v>
      </c>
      <c r="AU292">
        <f t="shared" si="105"/>
        <v>0</v>
      </c>
      <c r="AV292" t="s">
        <v>107</v>
      </c>
      <c r="AW292">
        <f t="shared" si="106"/>
        <v>0</v>
      </c>
      <c r="AX292">
        <f t="shared" si="107"/>
        <v>0</v>
      </c>
      <c r="AY292">
        <f t="shared" si="108"/>
        <v>0</v>
      </c>
      <c r="AZ292">
        <f t="shared" si="109"/>
        <v>0</v>
      </c>
      <c r="BA292" t="s">
        <v>107</v>
      </c>
      <c r="BB292">
        <f t="shared" si="110"/>
        <v>0</v>
      </c>
      <c r="BC292">
        <f t="shared" si="111"/>
        <v>0</v>
      </c>
      <c r="BD292">
        <f t="shared" si="112"/>
        <v>0</v>
      </c>
      <c r="BE292">
        <f t="shared" si="113"/>
        <v>0</v>
      </c>
      <c r="BF292" t="s">
        <v>107</v>
      </c>
      <c r="BG292">
        <f t="shared" si="114"/>
        <v>0</v>
      </c>
      <c r="BH292">
        <f t="shared" si="115"/>
        <v>0</v>
      </c>
      <c r="BI292">
        <f t="shared" si="116"/>
        <v>0</v>
      </c>
      <c r="BJ292">
        <f t="shared" si="117"/>
        <v>0</v>
      </c>
      <c r="BK292">
        <f t="shared" si="118"/>
        <v>0</v>
      </c>
      <c r="BL292">
        <f t="shared" si="119"/>
        <v>0</v>
      </c>
      <c r="BM292">
        <f t="shared" si="120"/>
        <v>0</v>
      </c>
      <c r="BN292" t="e">
        <f t="shared" si="120"/>
        <v>#DIV/0!</v>
      </c>
    </row>
    <row r="293" spans="1:66" x14ac:dyDescent="0.25">
      <c r="A293">
        <v>2025</v>
      </c>
      <c r="B293" s="1">
        <f t="shared" si="121"/>
        <v>45945</v>
      </c>
      <c r="C293" s="2">
        <v>288</v>
      </c>
      <c r="D293">
        <v>70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K293" s="22">
        <f t="shared" si="123"/>
        <v>0</v>
      </c>
      <c r="AL293">
        <f t="shared" si="122"/>
        <v>70.099999999999994</v>
      </c>
      <c r="AM293" s="4">
        <v>11.76</v>
      </c>
      <c r="AP293" s="7">
        <f t="shared" si="101"/>
        <v>0</v>
      </c>
      <c r="AQ293" s="7" t="e">
        <f t="shared" si="102"/>
        <v>#DIV/0!</v>
      </c>
      <c r="AS293">
        <f t="shared" si="103"/>
        <v>0</v>
      </c>
      <c r="AT293">
        <f t="shared" si="104"/>
        <v>0</v>
      </c>
      <c r="AU293">
        <f t="shared" si="105"/>
        <v>0</v>
      </c>
      <c r="AV293" t="s">
        <v>107</v>
      </c>
      <c r="AW293">
        <f t="shared" si="106"/>
        <v>0</v>
      </c>
      <c r="AX293">
        <f t="shared" si="107"/>
        <v>0</v>
      </c>
      <c r="AY293">
        <f t="shared" si="108"/>
        <v>0</v>
      </c>
      <c r="AZ293">
        <f t="shared" si="109"/>
        <v>0</v>
      </c>
      <c r="BA293" t="s">
        <v>107</v>
      </c>
      <c r="BB293">
        <f t="shared" si="110"/>
        <v>0</v>
      </c>
      <c r="BC293">
        <f t="shared" si="111"/>
        <v>0</v>
      </c>
      <c r="BD293">
        <f t="shared" si="112"/>
        <v>0</v>
      </c>
      <c r="BE293">
        <f t="shared" si="113"/>
        <v>0</v>
      </c>
      <c r="BF293" t="s">
        <v>107</v>
      </c>
      <c r="BG293">
        <f t="shared" si="114"/>
        <v>0</v>
      </c>
      <c r="BH293">
        <f t="shared" si="115"/>
        <v>0</v>
      </c>
      <c r="BI293">
        <f t="shared" si="116"/>
        <v>0</v>
      </c>
      <c r="BJ293">
        <f t="shared" si="117"/>
        <v>0</v>
      </c>
      <c r="BK293">
        <f t="shared" si="118"/>
        <v>0</v>
      </c>
      <c r="BL293">
        <f t="shared" si="119"/>
        <v>0</v>
      </c>
      <c r="BM293">
        <f t="shared" si="120"/>
        <v>0</v>
      </c>
      <c r="BN293" t="e">
        <f t="shared" si="120"/>
        <v>#DIV/0!</v>
      </c>
    </row>
    <row r="294" spans="1:66" x14ac:dyDescent="0.25">
      <c r="A294">
        <v>2025</v>
      </c>
      <c r="B294" s="1">
        <f t="shared" si="121"/>
        <v>45946</v>
      </c>
      <c r="C294" s="2">
        <v>289</v>
      </c>
      <c r="D294">
        <v>70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K294" s="22">
        <f t="shared" si="123"/>
        <v>0</v>
      </c>
      <c r="AL294">
        <f t="shared" si="122"/>
        <v>70.099999999999994</v>
      </c>
      <c r="AM294" s="4">
        <v>11.55</v>
      </c>
      <c r="AP294" s="7">
        <f t="shared" si="101"/>
        <v>0</v>
      </c>
      <c r="AQ294" s="7" t="e">
        <f t="shared" si="102"/>
        <v>#DIV/0!</v>
      </c>
      <c r="AS294">
        <f t="shared" si="103"/>
        <v>0</v>
      </c>
      <c r="AT294">
        <f t="shared" si="104"/>
        <v>0</v>
      </c>
      <c r="AU294">
        <f t="shared" si="105"/>
        <v>0</v>
      </c>
      <c r="AV294" t="s">
        <v>107</v>
      </c>
      <c r="AW294">
        <f t="shared" si="106"/>
        <v>0</v>
      </c>
      <c r="AX294">
        <f t="shared" si="107"/>
        <v>0</v>
      </c>
      <c r="AY294">
        <f t="shared" si="108"/>
        <v>0</v>
      </c>
      <c r="AZ294">
        <f t="shared" si="109"/>
        <v>0</v>
      </c>
      <c r="BA294" t="s">
        <v>107</v>
      </c>
      <c r="BB294">
        <f t="shared" si="110"/>
        <v>0</v>
      </c>
      <c r="BC294">
        <f t="shared" si="111"/>
        <v>0</v>
      </c>
      <c r="BD294">
        <f t="shared" si="112"/>
        <v>0</v>
      </c>
      <c r="BE294">
        <f t="shared" si="113"/>
        <v>0</v>
      </c>
      <c r="BF294" t="s">
        <v>107</v>
      </c>
      <c r="BG294">
        <f t="shared" si="114"/>
        <v>0</v>
      </c>
      <c r="BH294">
        <f t="shared" si="115"/>
        <v>0</v>
      </c>
      <c r="BI294">
        <f t="shared" si="116"/>
        <v>0</v>
      </c>
      <c r="BJ294">
        <f t="shared" si="117"/>
        <v>0</v>
      </c>
      <c r="BK294">
        <f t="shared" si="118"/>
        <v>0</v>
      </c>
      <c r="BL294">
        <f t="shared" si="119"/>
        <v>0</v>
      </c>
      <c r="BM294">
        <f t="shared" si="120"/>
        <v>0</v>
      </c>
      <c r="BN294" t="e">
        <f t="shared" si="120"/>
        <v>#DIV/0!</v>
      </c>
    </row>
    <row r="295" spans="1:66" x14ac:dyDescent="0.25">
      <c r="A295">
        <v>2025</v>
      </c>
      <c r="B295" s="1">
        <f t="shared" si="121"/>
        <v>45947</v>
      </c>
      <c r="C295" s="2">
        <v>290</v>
      </c>
      <c r="D295">
        <v>70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K295" s="22">
        <f t="shared" si="123"/>
        <v>0</v>
      </c>
      <c r="AL295">
        <f t="shared" si="122"/>
        <v>70.099999999999994</v>
      </c>
      <c r="AM295" s="4">
        <v>11.33</v>
      </c>
      <c r="AP295" s="7">
        <f t="shared" si="101"/>
        <v>0</v>
      </c>
      <c r="AQ295" s="7" t="e">
        <f t="shared" si="102"/>
        <v>#DIV/0!</v>
      </c>
      <c r="AS295">
        <f t="shared" si="103"/>
        <v>0</v>
      </c>
      <c r="AT295">
        <f t="shared" si="104"/>
        <v>0</v>
      </c>
      <c r="AU295">
        <f t="shared" si="105"/>
        <v>0</v>
      </c>
      <c r="AV295" t="s">
        <v>107</v>
      </c>
      <c r="AW295">
        <f t="shared" si="106"/>
        <v>0</v>
      </c>
      <c r="AX295">
        <f t="shared" si="107"/>
        <v>0</v>
      </c>
      <c r="AY295">
        <f t="shared" si="108"/>
        <v>0</v>
      </c>
      <c r="AZ295">
        <f t="shared" si="109"/>
        <v>0</v>
      </c>
      <c r="BA295" t="s">
        <v>107</v>
      </c>
      <c r="BB295">
        <f t="shared" si="110"/>
        <v>0</v>
      </c>
      <c r="BC295">
        <f t="shared" si="111"/>
        <v>0</v>
      </c>
      <c r="BD295">
        <f t="shared" si="112"/>
        <v>0</v>
      </c>
      <c r="BE295">
        <f t="shared" si="113"/>
        <v>0</v>
      </c>
      <c r="BF295" t="s">
        <v>107</v>
      </c>
      <c r="BG295">
        <f t="shared" si="114"/>
        <v>0</v>
      </c>
      <c r="BH295">
        <f t="shared" si="115"/>
        <v>0</v>
      </c>
      <c r="BI295">
        <f t="shared" si="116"/>
        <v>0</v>
      </c>
      <c r="BJ295">
        <f t="shared" si="117"/>
        <v>0</v>
      </c>
      <c r="BK295">
        <f t="shared" si="118"/>
        <v>0</v>
      </c>
      <c r="BL295">
        <f t="shared" si="119"/>
        <v>0</v>
      </c>
      <c r="BM295">
        <f t="shared" si="120"/>
        <v>0</v>
      </c>
      <c r="BN295" t="e">
        <f t="shared" si="120"/>
        <v>#DIV/0!</v>
      </c>
    </row>
    <row r="296" spans="1:66" x14ac:dyDescent="0.25">
      <c r="A296">
        <v>2025</v>
      </c>
      <c r="B296" s="1">
        <f t="shared" si="121"/>
        <v>45948</v>
      </c>
      <c r="C296" s="2">
        <v>291</v>
      </c>
      <c r="D296">
        <v>70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L296">
        <f t="shared" si="122"/>
        <v>70.099999999999994</v>
      </c>
      <c r="AM296" s="4">
        <v>11.12</v>
      </c>
      <c r="AP296" s="7">
        <f t="shared" si="101"/>
        <v>0</v>
      </c>
      <c r="AQ296" s="7" t="e">
        <f t="shared" si="102"/>
        <v>#DIV/0!</v>
      </c>
      <c r="AS296">
        <f t="shared" si="103"/>
        <v>0</v>
      </c>
      <c r="AT296">
        <f t="shared" si="104"/>
        <v>0</v>
      </c>
      <c r="AU296">
        <f t="shared" si="105"/>
        <v>0</v>
      </c>
      <c r="AV296" t="s">
        <v>107</v>
      </c>
      <c r="AW296">
        <f t="shared" si="106"/>
        <v>0</v>
      </c>
      <c r="AX296">
        <f t="shared" si="107"/>
        <v>0</v>
      </c>
      <c r="AY296">
        <f t="shared" si="108"/>
        <v>0</v>
      </c>
      <c r="AZ296">
        <f t="shared" si="109"/>
        <v>0</v>
      </c>
      <c r="BA296" t="s">
        <v>107</v>
      </c>
      <c r="BB296">
        <f t="shared" si="110"/>
        <v>0</v>
      </c>
      <c r="BC296">
        <f t="shared" si="111"/>
        <v>0</v>
      </c>
      <c r="BD296">
        <f t="shared" si="112"/>
        <v>0</v>
      </c>
      <c r="BE296">
        <f t="shared" si="113"/>
        <v>0</v>
      </c>
      <c r="BF296" t="s">
        <v>107</v>
      </c>
      <c r="BG296">
        <f t="shared" si="114"/>
        <v>0</v>
      </c>
      <c r="BH296">
        <f t="shared" si="115"/>
        <v>0</v>
      </c>
      <c r="BI296">
        <f t="shared" si="116"/>
        <v>0</v>
      </c>
      <c r="BJ296">
        <f t="shared" si="117"/>
        <v>0</v>
      </c>
      <c r="BK296">
        <f t="shared" si="118"/>
        <v>0</v>
      </c>
      <c r="BL296">
        <f t="shared" si="119"/>
        <v>0</v>
      </c>
      <c r="BM296">
        <f t="shared" si="120"/>
        <v>0</v>
      </c>
      <c r="BN296" t="e">
        <f t="shared" si="120"/>
        <v>#DIV/0!</v>
      </c>
    </row>
    <row r="297" spans="1:66" x14ac:dyDescent="0.25">
      <c r="A297">
        <v>2025</v>
      </c>
      <c r="B297" s="1">
        <f t="shared" si="121"/>
        <v>45949</v>
      </c>
      <c r="C297" s="2">
        <v>292</v>
      </c>
      <c r="D297">
        <v>70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L297">
        <f t="shared" si="122"/>
        <v>70.099999999999994</v>
      </c>
      <c r="AM297" s="4">
        <v>10.92</v>
      </c>
      <c r="AP297" s="7">
        <f t="shared" si="101"/>
        <v>0</v>
      </c>
      <c r="AQ297" s="7" t="e">
        <f t="shared" si="102"/>
        <v>#DIV/0!</v>
      </c>
      <c r="AS297">
        <f t="shared" si="103"/>
        <v>0</v>
      </c>
      <c r="AT297">
        <f t="shared" si="104"/>
        <v>0</v>
      </c>
      <c r="AU297">
        <f t="shared" si="105"/>
        <v>0</v>
      </c>
      <c r="AV297" t="s">
        <v>107</v>
      </c>
      <c r="AW297">
        <f t="shared" si="106"/>
        <v>0</v>
      </c>
      <c r="AX297">
        <f t="shared" si="107"/>
        <v>0</v>
      </c>
      <c r="AY297">
        <f t="shared" si="108"/>
        <v>0</v>
      </c>
      <c r="AZ297">
        <f t="shared" si="109"/>
        <v>0</v>
      </c>
      <c r="BA297" t="s">
        <v>107</v>
      </c>
      <c r="BB297">
        <f t="shared" si="110"/>
        <v>0</v>
      </c>
      <c r="BC297">
        <f t="shared" si="111"/>
        <v>0</v>
      </c>
      <c r="BD297">
        <f t="shared" si="112"/>
        <v>0</v>
      </c>
      <c r="BE297">
        <f t="shared" si="113"/>
        <v>0</v>
      </c>
      <c r="BF297" t="s">
        <v>107</v>
      </c>
      <c r="BG297">
        <f t="shared" si="114"/>
        <v>0</v>
      </c>
      <c r="BH297">
        <f t="shared" si="115"/>
        <v>0</v>
      </c>
      <c r="BI297">
        <f t="shared" si="116"/>
        <v>0</v>
      </c>
      <c r="BJ297">
        <f t="shared" si="117"/>
        <v>0</v>
      </c>
      <c r="BK297">
        <f t="shared" si="118"/>
        <v>0</v>
      </c>
      <c r="BL297">
        <f t="shared" si="119"/>
        <v>0</v>
      </c>
      <c r="BM297">
        <f t="shared" si="120"/>
        <v>0</v>
      </c>
      <c r="BN297" t="e">
        <f t="shared" si="120"/>
        <v>#DIV/0!</v>
      </c>
    </row>
    <row r="298" spans="1:66" x14ac:dyDescent="0.25">
      <c r="A298">
        <v>2025</v>
      </c>
      <c r="B298" s="1">
        <f t="shared" si="121"/>
        <v>45950</v>
      </c>
      <c r="C298" s="2">
        <v>293</v>
      </c>
      <c r="D298">
        <v>70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L298">
        <f t="shared" si="122"/>
        <v>70.099999999999994</v>
      </c>
      <c r="AM298" s="4">
        <v>10.71</v>
      </c>
      <c r="AP298" s="7">
        <f t="shared" si="101"/>
        <v>0</v>
      </c>
      <c r="AQ298" s="7" t="e">
        <f t="shared" si="102"/>
        <v>#DIV/0!</v>
      </c>
      <c r="AS298">
        <f t="shared" si="103"/>
        <v>0</v>
      </c>
      <c r="AT298">
        <f t="shared" si="104"/>
        <v>0</v>
      </c>
      <c r="AU298">
        <f t="shared" si="105"/>
        <v>0</v>
      </c>
      <c r="AV298" t="s">
        <v>107</v>
      </c>
      <c r="AW298">
        <f t="shared" si="106"/>
        <v>0</v>
      </c>
      <c r="AX298">
        <f t="shared" si="107"/>
        <v>0</v>
      </c>
      <c r="AY298">
        <f t="shared" si="108"/>
        <v>0</v>
      </c>
      <c r="AZ298">
        <f t="shared" si="109"/>
        <v>0</v>
      </c>
      <c r="BA298" t="s">
        <v>107</v>
      </c>
      <c r="BB298">
        <f t="shared" si="110"/>
        <v>0</v>
      </c>
      <c r="BC298">
        <f t="shared" si="111"/>
        <v>0</v>
      </c>
      <c r="BD298">
        <f t="shared" si="112"/>
        <v>0</v>
      </c>
      <c r="BE298">
        <f t="shared" si="113"/>
        <v>0</v>
      </c>
      <c r="BF298" t="s">
        <v>107</v>
      </c>
      <c r="BG298">
        <f t="shared" si="114"/>
        <v>0</v>
      </c>
      <c r="BH298">
        <f t="shared" si="115"/>
        <v>0</v>
      </c>
      <c r="BI298">
        <f t="shared" si="116"/>
        <v>0</v>
      </c>
      <c r="BJ298">
        <f t="shared" si="117"/>
        <v>0</v>
      </c>
      <c r="BK298">
        <f t="shared" si="118"/>
        <v>0</v>
      </c>
      <c r="BL298">
        <f t="shared" si="119"/>
        <v>0</v>
      </c>
      <c r="BM298">
        <f t="shared" si="120"/>
        <v>0</v>
      </c>
      <c r="BN298" t="e">
        <f t="shared" si="120"/>
        <v>#DIV/0!</v>
      </c>
    </row>
    <row r="299" spans="1:66" x14ac:dyDescent="0.25">
      <c r="A299">
        <v>2025</v>
      </c>
      <c r="B299" s="1">
        <f t="shared" si="121"/>
        <v>45951</v>
      </c>
      <c r="C299" s="2">
        <v>294</v>
      </c>
      <c r="D299">
        <v>70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L299">
        <f t="shared" si="122"/>
        <v>70.099999999999994</v>
      </c>
      <c r="AM299" s="4">
        <v>10.51</v>
      </c>
      <c r="AP299" s="7">
        <f t="shared" si="101"/>
        <v>0</v>
      </c>
      <c r="AQ299" s="7" t="e">
        <f t="shared" si="102"/>
        <v>#DIV/0!</v>
      </c>
      <c r="AS299">
        <f t="shared" si="103"/>
        <v>0</v>
      </c>
      <c r="AT299">
        <f t="shared" si="104"/>
        <v>0</v>
      </c>
      <c r="AU299">
        <f t="shared" si="105"/>
        <v>0</v>
      </c>
      <c r="AV299" t="s">
        <v>107</v>
      </c>
      <c r="AW299">
        <f t="shared" si="106"/>
        <v>0</v>
      </c>
      <c r="AX299">
        <f t="shared" si="107"/>
        <v>0</v>
      </c>
      <c r="AY299">
        <f t="shared" si="108"/>
        <v>0</v>
      </c>
      <c r="AZ299">
        <f t="shared" si="109"/>
        <v>0</v>
      </c>
      <c r="BA299" t="s">
        <v>107</v>
      </c>
      <c r="BB299">
        <f t="shared" si="110"/>
        <v>0</v>
      </c>
      <c r="BC299">
        <f t="shared" si="111"/>
        <v>0</v>
      </c>
      <c r="BD299">
        <f t="shared" si="112"/>
        <v>0</v>
      </c>
      <c r="BE299">
        <f t="shared" si="113"/>
        <v>0</v>
      </c>
      <c r="BF299" t="s">
        <v>107</v>
      </c>
      <c r="BG299">
        <f t="shared" si="114"/>
        <v>0</v>
      </c>
      <c r="BH299">
        <f t="shared" si="115"/>
        <v>0</v>
      </c>
      <c r="BI299">
        <f t="shared" si="116"/>
        <v>0</v>
      </c>
      <c r="BJ299">
        <f t="shared" si="117"/>
        <v>0</v>
      </c>
      <c r="BK299">
        <f t="shared" si="118"/>
        <v>0</v>
      </c>
      <c r="BL299">
        <f t="shared" si="119"/>
        <v>0</v>
      </c>
      <c r="BM299">
        <f t="shared" si="120"/>
        <v>0</v>
      </c>
      <c r="BN299" t="e">
        <f t="shared" si="120"/>
        <v>#DIV/0!</v>
      </c>
    </row>
    <row r="300" spans="1:66" x14ac:dyDescent="0.25">
      <c r="A300">
        <v>2025</v>
      </c>
      <c r="B300" s="1">
        <f t="shared" si="121"/>
        <v>45952</v>
      </c>
      <c r="C300" s="2">
        <v>295</v>
      </c>
      <c r="D300">
        <v>70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L300">
        <f t="shared" si="122"/>
        <v>70.099999999999994</v>
      </c>
      <c r="AM300" s="4">
        <v>10.31</v>
      </c>
      <c r="AP300" s="7">
        <f t="shared" si="101"/>
        <v>0</v>
      </c>
      <c r="AQ300" s="7" t="e">
        <f t="shared" si="102"/>
        <v>#DIV/0!</v>
      </c>
      <c r="AS300">
        <f t="shared" si="103"/>
        <v>0</v>
      </c>
      <c r="AT300">
        <f t="shared" si="104"/>
        <v>0</v>
      </c>
      <c r="AU300">
        <f t="shared" si="105"/>
        <v>0</v>
      </c>
      <c r="AV300" t="s">
        <v>107</v>
      </c>
      <c r="AW300">
        <f t="shared" si="106"/>
        <v>0</v>
      </c>
      <c r="AX300">
        <f t="shared" si="107"/>
        <v>0</v>
      </c>
      <c r="AY300">
        <f t="shared" si="108"/>
        <v>0</v>
      </c>
      <c r="AZ300">
        <f t="shared" si="109"/>
        <v>0</v>
      </c>
      <c r="BA300" t="s">
        <v>107</v>
      </c>
      <c r="BB300">
        <f t="shared" si="110"/>
        <v>0</v>
      </c>
      <c r="BC300">
        <f t="shared" si="111"/>
        <v>0</v>
      </c>
      <c r="BD300">
        <f t="shared" si="112"/>
        <v>0</v>
      </c>
      <c r="BE300">
        <f t="shared" si="113"/>
        <v>0</v>
      </c>
      <c r="BF300" t="s">
        <v>107</v>
      </c>
      <c r="BG300">
        <f t="shared" si="114"/>
        <v>0</v>
      </c>
      <c r="BH300">
        <f t="shared" si="115"/>
        <v>0</v>
      </c>
      <c r="BI300">
        <f t="shared" si="116"/>
        <v>0</v>
      </c>
      <c r="BJ300">
        <f t="shared" si="117"/>
        <v>0</v>
      </c>
      <c r="BK300">
        <f t="shared" si="118"/>
        <v>0</v>
      </c>
      <c r="BL300">
        <f t="shared" si="119"/>
        <v>0</v>
      </c>
      <c r="BM300">
        <f t="shared" si="120"/>
        <v>0</v>
      </c>
      <c r="BN300" t="e">
        <f t="shared" si="120"/>
        <v>#DIV/0!</v>
      </c>
    </row>
    <row r="301" spans="1:66" x14ac:dyDescent="0.25">
      <c r="A301">
        <v>2025</v>
      </c>
      <c r="B301" s="1">
        <f t="shared" si="121"/>
        <v>45953</v>
      </c>
      <c r="C301" s="2">
        <v>296</v>
      </c>
      <c r="D301">
        <v>70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L301">
        <f t="shared" si="122"/>
        <v>70.099999999999994</v>
      </c>
      <c r="AM301" s="4">
        <v>10.119999999999999</v>
      </c>
      <c r="AP301" s="7">
        <f t="shared" si="101"/>
        <v>0</v>
      </c>
      <c r="AQ301" s="7" t="e">
        <f t="shared" si="102"/>
        <v>#DIV/0!</v>
      </c>
      <c r="AS301">
        <f t="shared" si="103"/>
        <v>0</v>
      </c>
      <c r="AT301">
        <f t="shared" si="104"/>
        <v>0</v>
      </c>
      <c r="AU301">
        <f t="shared" si="105"/>
        <v>0</v>
      </c>
      <c r="AV301" t="s">
        <v>107</v>
      </c>
      <c r="AW301">
        <f t="shared" si="106"/>
        <v>0</v>
      </c>
      <c r="AX301">
        <f t="shared" si="107"/>
        <v>0</v>
      </c>
      <c r="AY301">
        <f t="shared" si="108"/>
        <v>0</v>
      </c>
      <c r="AZ301">
        <f t="shared" si="109"/>
        <v>0</v>
      </c>
      <c r="BA301" t="s">
        <v>107</v>
      </c>
      <c r="BB301">
        <f t="shared" si="110"/>
        <v>0</v>
      </c>
      <c r="BC301">
        <f t="shared" si="111"/>
        <v>0</v>
      </c>
      <c r="BD301">
        <f t="shared" si="112"/>
        <v>0</v>
      </c>
      <c r="BE301">
        <f t="shared" si="113"/>
        <v>0</v>
      </c>
      <c r="BF301" t="s">
        <v>107</v>
      </c>
      <c r="BG301">
        <f t="shared" si="114"/>
        <v>0</v>
      </c>
      <c r="BH301">
        <f t="shared" si="115"/>
        <v>0</v>
      </c>
      <c r="BI301">
        <f t="shared" si="116"/>
        <v>0</v>
      </c>
      <c r="BJ301">
        <f t="shared" si="117"/>
        <v>0</v>
      </c>
      <c r="BK301">
        <f t="shared" si="118"/>
        <v>0</v>
      </c>
      <c r="BL301">
        <f t="shared" si="119"/>
        <v>0</v>
      </c>
      <c r="BM301">
        <f t="shared" si="120"/>
        <v>0</v>
      </c>
      <c r="BN301" t="e">
        <f t="shared" si="120"/>
        <v>#DIV/0!</v>
      </c>
    </row>
    <row r="302" spans="1:66" x14ac:dyDescent="0.25">
      <c r="A302">
        <v>2025</v>
      </c>
      <c r="B302" s="1">
        <f t="shared" si="121"/>
        <v>45954</v>
      </c>
      <c r="C302" s="2">
        <v>297</v>
      </c>
      <c r="D302">
        <v>70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L302">
        <f t="shared" si="122"/>
        <v>70.099999999999994</v>
      </c>
      <c r="AM302" s="4">
        <v>9.92</v>
      </c>
      <c r="AP302" s="7">
        <f t="shared" si="101"/>
        <v>0</v>
      </c>
      <c r="AQ302" s="7" t="e">
        <f t="shared" si="102"/>
        <v>#DIV/0!</v>
      </c>
      <c r="AS302">
        <f t="shared" si="103"/>
        <v>0</v>
      </c>
      <c r="AT302">
        <f t="shared" si="104"/>
        <v>0</v>
      </c>
      <c r="AU302">
        <f t="shared" si="105"/>
        <v>0</v>
      </c>
      <c r="AV302" t="s">
        <v>107</v>
      </c>
      <c r="AW302">
        <f t="shared" si="106"/>
        <v>0</v>
      </c>
      <c r="AX302">
        <f t="shared" si="107"/>
        <v>0</v>
      </c>
      <c r="AY302">
        <f t="shared" si="108"/>
        <v>0</v>
      </c>
      <c r="AZ302">
        <f t="shared" si="109"/>
        <v>0</v>
      </c>
      <c r="BA302" t="s">
        <v>107</v>
      </c>
      <c r="BB302">
        <f t="shared" si="110"/>
        <v>0</v>
      </c>
      <c r="BC302">
        <f t="shared" si="111"/>
        <v>0</v>
      </c>
      <c r="BD302">
        <f t="shared" si="112"/>
        <v>0</v>
      </c>
      <c r="BE302">
        <f t="shared" si="113"/>
        <v>0</v>
      </c>
      <c r="BF302" t="s">
        <v>107</v>
      </c>
      <c r="BG302">
        <f t="shared" si="114"/>
        <v>0</v>
      </c>
      <c r="BH302">
        <f t="shared" si="115"/>
        <v>0</v>
      </c>
      <c r="BI302">
        <f t="shared" si="116"/>
        <v>0</v>
      </c>
      <c r="BJ302">
        <f t="shared" si="117"/>
        <v>0</v>
      </c>
      <c r="BK302">
        <f t="shared" si="118"/>
        <v>0</v>
      </c>
      <c r="BL302">
        <f t="shared" si="119"/>
        <v>0</v>
      </c>
      <c r="BM302">
        <f t="shared" si="120"/>
        <v>0</v>
      </c>
      <c r="BN302" t="e">
        <f t="shared" si="120"/>
        <v>#DIV/0!</v>
      </c>
    </row>
    <row r="303" spans="1:66" x14ac:dyDescent="0.25">
      <c r="A303">
        <v>2025</v>
      </c>
      <c r="B303" s="1">
        <f t="shared" si="121"/>
        <v>45955</v>
      </c>
      <c r="C303" s="2">
        <v>298</v>
      </c>
      <c r="D303">
        <v>70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L303">
        <f t="shared" si="122"/>
        <v>70.099999999999994</v>
      </c>
      <c r="AM303" s="4">
        <v>9.73</v>
      </c>
      <c r="AP303" s="7">
        <f t="shared" si="101"/>
        <v>0</v>
      </c>
      <c r="AQ303" s="7" t="e">
        <f t="shared" si="102"/>
        <v>#DIV/0!</v>
      </c>
      <c r="AS303">
        <f t="shared" si="103"/>
        <v>0</v>
      </c>
      <c r="AT303">
        <f t="shared" si="104"/>
        <v>0</v>
      </c>
      <c r="AU303">
        <f t="shared" si="105"/>
        <v>0</v>
      </c>
      <c r="AV303" t="s">
        <v>107</v>
      </c>
      <c r="AW303">
        <f t="shared" si="106"/>
        <v>0</v>
      </c>
      <c r="AX303">
        <f t="shared" si="107"/>
        <v>0</v>
      </c>
      <c r="AY303">
        <f t="shared" si="108"/>
        <v>0</v>
      </c>
      <c r="AZ303">
        <f t="shared" si="109"/>
        <v>0</v>
      </c>
      <c r="BA303" t="s">
        <v>107</v>
      </c>
      <c r="BB303">
        <f t="shared" si="110"/>
        <v>0</v>
      </c>
      <c r="BC303">
        <f t="shared" si="111"/>
        <v>0</v>
      </c>
      <c r="BD303">
        <f t="shared" si="112"/>
        <v>0</v>
      </c>
      <c r="BE303">
        <f t="shared" si="113"/>
        <v>0</v>
      </c>
      <c r="BF303" t="s">
        <v>107</v>
      </c>
      <c r="BG303">
        <f t="shared" si="114"/>
        <v>0</v>
      </c>
      <c r="BH303">
        <f t="shared" si="115"/>
        <v>0</v>
      </c>
      <c r="BI303">
        <f t="shared" si="116"/>
        <v>0</v>
      </c>
      <c r="BJ303">
        <f t="shared" si="117"/>
        <v>0</v>
      </c>
      <c r="BK303">
        <f t="shared" si="118"/>
        <v>0</v>
      </c>
      <c r="BL303">
        <f t="shared" si="119"/>
        <v>0</v>
      </c>
      <c r="BM303">
        <f t="shared" si="120"/>
        <v>0</v>
      </c>
      <c r="BN303" t="e">
        <f t="shared" si="120"/>
        <v>#DIV/0!</v>
      </c>
    </row>
    <row r="304" spans="1:66" x14ac:dyDescent="0.25">
      <c r="A304">
        <v>2025</v>
      </c>
      <c r="B304" s="1">
        <f t="shared" si="121"/>
        <v>45956</v>
      </c>
      <c r="C304" s="2">
        <v>299</v>
      </c>
      <c r="D304">
        <v>70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L304">
        <f t="shared" si="122"/>
        <v>70.099999999999994</v>
      </c>
      <c r="AM304" s="4">
        <v>9.5399999999999991</v>
      </c>
      <c r="AP304" s="7">
        <f t="shared" si="101"/>
        <v>0</v>
      </c>
      <c r="AQ304" s="7" t="e">
        <f t="shared" si="102"/>
        <v>#DIV/0!</v>
      </c>
      <c r="AS304">
        <f t="shared" si="103"/>
        <v>0</v>
      </c>
      <c r="AT304">
        <f t="shared" si="104"/>
        <v>0</v>
      </c>
      <c r="AU304">
        <f t="shared" si="105"/>
        <v>0</v>
      </c>
      <c r="AV304" t="s">
        <v>107</v>
      </c>
      <c r="AW304">
        <f t="shared" si="106"/>
        <v>0</v>
      </c>
      <c r="AX304">
        <f t="shared" si="107"/>
        <v>0</v>
      </c>
      <c r="AY304">
        <f t="shared" si="108"/>
        <v>0</v>
      </c>
      <c r="AZ304">
        <f t="shared" si="109"/>
        <v>0</v>
      </c>
      <c r="BA304" t="s">
        <v>107</v>
      </c>
      <c r="BB304">
        <f t="shared" si="110"/>
        <v>0</v>
      </c>
      <c r="BC304">
        <f t="shared" si="111"/>
        <v>0</v>
      </c>
      <c r="BD304">
        <f t="shared" si="112"/>
        <v>0</v>
      </c>
      <c r="BE304">
        <f t="shared" si="113"/>
        <v>0</v>
      </c>
      <c r="BF304" t="s">
        <v>107</v>
      </c>
      <c r="BG304">
        <f t="shared" si="114"/>
        <v>0</v>
      </c>
      <c r="BH304">
        <f t="shared" si="115"/>
        <v>0</v>
      </c>
      <c r="BI304">
        <f t="shared" si="116"/>
        <v>0</v>
      </c>
      <c r="BJ304">
        <f t="shared" si="117"/>
        <v>0</v>
      </c>
      <c r="BK304">
        <f t="shared" si="118"/>
        <v>0</v>
      </c>
      <c r="BL304">
        <f t="shared" si="119"/>
        <v>0</v>
      </c>
      <c r="BM304">
        <f t="shared" si="120"/>
        <v>0</v>
      </c>
      <c r="BN304" t="e">
        <f t="shared" si="120"/>
        <v>#DIV/0!</v>
      </c>
    </row>
    <row r="305" spans="1:66" x14ac:dyDescent="0.25">
      <c r="A305">
        <v>2025</v>
      </c>
      <c r="B305" s="1">
        <f t="shared" si="121"/>
        <v>45957</v>
      </c>
      <c r="C305" s="2">
        <v>300</v>
      </c>
      <c r="D305">
        <v>70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L305">
        <f t="shared" si="122"/>
        <v>70.099999999999994</v>
      </c>
      <c r="AM305" s="4">
        <v>9.36</v>
      </c>
      <c r="AP305" s="7">
        <f t="shared" si="101"/>
        <v>0</v>
      </c>
      <c r="AQ305" s="7" t="e">
        <f t="shared" si="102"/>
        <v>#DIV/0!</v>
      </c>
      <c r="AS305">
        <f t="shared" si="103"/>
        <v>0</v>
      </c>
      <c r="AT305">
        <f t="shared" si="104"/>
        <v>0</v>
      </c>
      <c r="AU305">
        <f t="shared" si="105"/>
        <v>0</v>
      </c>
      <c r="AV305" t="s">
        <v>107</v>
      </c>
      <c r="AW305">
        <f t="shared" si="106"/>
        <v>0</v>
      </c>
      <c r="AX305">
        <f t="shared" si="107"/>
        <v>0</v>
      </c>
      <c r="AY305">
        <f t="shared" si="108"/>
        <v>0</v>
      </c>
      <c r="AZ305">
        <f t="shared" si="109"/>
        <v>0</v>
      </c>
      <c r="BA305" t="s">
        <v>107</v>
      </c>
      <c r="BB305">
        <f t="shared" si="110"/>
        <v>0</v>
      </c>
      <c r="BC305">
        <f t="shared" si="111"/>
        <v>0</v>
      </c>
      <c r="BD305">
        <f t="shared" si="112"/>
        <v>0</v>
      </c>
      <c r="BE305">
        <f t="shared" si="113"/>
        <v>0</v>
      </c>
      <c r="BF305" t="s">
        <v>107</v>
      </c>
      <c r="BG305">
        <f t="shared" si="114"/>
        <v>0</v>
      </c>
      <c r="BH305">
        <f t="shared" si="115"/>
        <v>0</v>
      </c>
      <c r="BI305">
        <f t="shared" si="116"/>
        <v>0</v>
      </c>
      <c r="BJ305">
        <f t="shared" si="117"/>
        <v>0</v>
      </c>
      <c r="BK305">
        <f t="shared" si="118"/>
        <v>0</v>
      </c>
      <c r="BL305">
        <f t="shared" si="119"/>
        <v>0</v>
      </c>
      <c r="BM305">
        <f t="shared" si="120"/>
        <v>0</v>
      </c>
      <c r="BN305" t="e">
        <f t="shared" si="120"/>
        <v>#DIV/0!</v>
      </c>
    </row>
    <row r="306" spans="1:66" x14ac:dyDescent="0.25">
      <c r="A306">
        <v>2025</v>
      </c>
      <c r="B306" s="1">
        <f t="shared" si="121"/>
        <v>45958</v>
      </c>
      <c r="C306" s="2">
        <v>301</v>
      </c>
      <c r="D306">
        <v>70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L306">
        <f t="shared" si="122"/>
        <v>70.099999999999994</v>
      </c>
      <c r="AM306" s="4">
        <v>9.18</v>
      </c>
      <c r="AP306" s="7">
        <f t="shared" si="101"/>
        <v>0</v>
      </c>
      <c r="AQ306" s="7" t="e">
        <f t="shared" si="102"/>
        <v>#DIV/0!</v>
      </c>
      <c r="AS306">
        <f t="shared" si="103"/>
        <v>0</v>
      </c>
      <c r="AT306">
        <f t="shared" si="104"/>
        <v>0</v>
      </c>
      <c r="AU306">
        <f t="shared" si="105"/>
        <v>0</v>
      </c>
      <c r="AV306" t="s">
        <v>107</v>
      </c>
      <c r="AW306">
        <f t="shared" si="106"/>
        <v>0</v>
      </c>
      <c r="AX306">
        <f t="shared" si="107"/>
        <v>0</v>
      </c>
      <c r="AY306">
        <f t="shared" si="108"/>
        <v>0</v>
      </c>
      <c r="AZ306">
        <f t="shared" si="109"/>
        <v>0</v>
      </c>
      <c r="BA306" t="s">
        <v>107</v>
      </c>
      <c r="BB306">
        <f t="shared" si="110"/>
        <v>0</v>
      </c>
      <c r="BC306">
        <f t="shared" si="111"/>
        <v>0</v>
      </c>
      <c r="BD306">
        <f t="shared" si="112"/>
        <v>0</v>
      </c>
      <c r="BE306">
        <f t="shared" si="113"/>
        <v>0</v>
      </c>
      <c r="BF306" t="s">
        <v>107</v>
      </c>
      <c r="BG306">
        <f t="shared" si="114"/>
        <v>0</v>
      </c>
      <c r="BH306">
        <f t="shared" si="115"/>
        <v>0</v>
      </c>
      <c r="BI306">
        <f t="shared" si="116"/>
        <v>0</v>
      </c>
      <c r="BJ306">
        <f t="shared" si="117"/>
        <v>0</v>
      </c>
      <c r="BK306">
        <f t="shared" si="118"/>
        <v>0</v>
      </c>
      <c r="BL306">
        <f t="shared" si="119"/>
        <v>0</v>
      </c>
      <c r="BM306">
        <f t="shared" si="120"/>
        <v>0</v>
      </c>
      <c r="BN306" t="e">
        <f t="shared" si="120"/>
        <v>#DIV/0!</v>
      </c>
    </row>
    <row r="307" spans="1:66" x14ac:dyDescent="0.25">
      <c r="A307">
        <v>2025</v>
      </c>
      <c r="B307" s="1">
        <f t="shared" si="121"/>
        <v>45959</v>
      </c>
      <c r="C307" s="2">
        <v>302</v>
      </c>
      <c r="D307">
        <v>70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L307">
        <f t="shared" si="122"/>
        <v>70.099999999999994</v>
      </c>
      <c r="AM307" s="4">
        <v>9.01</v>
      </c>
      <c r="AP307" s="7">
        <f t="shared" si="101"/>
        <v>0</v>
      </c>
      <c r="AQ307" s="7" t="e">
        <f t="shared" si="102"/>
        <v>#DIV/0!</v>
      </c>
      <c r="AS307">
        <f t="shared" si="103"/>
        <v>0</v>
      </c>
      <c r="AT307">
        <f t="shared" si="104"/>
        <v>0</v>
      </c>
      <c r="AU307">
        <f t="shared" si="105"/>
        <v>0</v>
      </c>
      <c r="AV307" t="s">
        <v>107</v>
      </c>
      <c r="AW307">
        <f t="shared" si="106"/>
        <v>0</v>
      </c>
      <c r="AX307">
        <f t="shared" si="107"/>
        <v>0</v>
      </c>
      <c r="AY307">
        <f t="shared" si="108"/>
        <v>0</v>
      </c>
      <c r="AZ307">
        <f t="shared" si="109"/>
        <v>0</v>
      </c>
      <c r="BA307" t="s">
        <v>107</v>
      </c>
      <c r="BB307">
        <f t="shared" si="110"/>
        <v>0</v>
      </c>
      <c r="BC307">
        <f t="shared" si="111"/>
        <v>0</v>
      </c>
      <c r="BD307">
        <f t="shared" si="112"/>
        <v>0</v>
      </c>
      <c r="BE307">
        <f t="shared" si="113"/>
        <v>0</v>
      </c>
      <c r="BF307" t="s">
        <v>107</v>
      </c>
      <c r="BG307">
        <f t="shared" si="114"/>
        <v>0</v>
      </c>
      <c r="BH307">
        <f t="shared" si="115"/>
        <v>0</v>
      </c>
      <c r="BI307">
        <f t="shared" si="116"/>
        <v>0</v>
      </c>
      <c r="BJ307">
        <f t="shared" si="117"/>
        <v>0</v>
      </c>
      <c r="BK307">
        <f t="shared" si="118"/>
        <v>0</v>
      </c>
      <c r="BL307">
        <f t="shared" si="119"/>
        <v>0</v>
      </c>
      <c r="BM307">
        <f t="shared" si="120"/>
        <v>0</v>
      </c>
      <c r="BN307" t="e">
        <f t="shared" si="120"/>
        <v>#DIV/0!</v>
      </c>
    </row>
    <row r="308" spans="1:66" x14ac:dyDescent="0.25">
      <c r="A308">
        <v>2025</v>
      </c>
      <c r="B308" s="1">
        <f t="shared" si="121"/>
        <v>45960</v>
      </c>
      <c r="C308" s="2">
        <v>303</v>
      </c>
      <c r="D308">
        <v>70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L308">
        <f t="shared" si="122"/>
        <v>70.099999999999994</v>
      </c>
      <c r="AM308" s="4">
        <v>8.83</v>
      </c>
      <c r="AP308" s="7">
        <f t="shared" si="101"/>
        <v>0</v>
      </c>
      <c r="AQ308" s="7" t="e">
        <f t="shared" si="102"/>
        <v>#DIV/0!</v>
      </c>
      <c r="AS308">
        <f t="shared" si="103"/>
        <v>0</v>
      </c>
      <c r="AT308">
        <f t="shared" si="104"/>
        <v>0</v>
      </c>
      <c r="AU308">
        <f t="shared" si="105"/>
        <v>0</v>
      </c>
      <c r="AV308" t="s">
        <v>107</v>
      </c>
      <c r="AW308">
        <f t="shared" si="106"/>
        <v>0</v>
      </c>
      <c r="AX308">
        <f t="shared" si="107"/>
        <v>0</v>
      </c>
      <c r="AY308">
        <f t="shared" si="108"/>
        <v>0</v>
      </c>
      <c r="AZ308">
        <f t="shared" si="109"/>
        <v>0</v>
      </c>
      <c r="BA308" t="s">
        <v>107</v>
      </c>
      <c r="BB308">
        <f t="shared" si="110"/>
        <v>0</v>
      </c>
      <c r="BC308">
        <f t="shared" si="111"/>
        <v>0</v>
      </c>
      <c r="BD308">
        <f t="shared" si="112"/>
        <v>0</v>
      </c>
      <c r="BE308">
        <f t="shared" si="113"/>
        <v>0</v>
      </c>
      <c r="BF308" t="s">
        <v>107</v>
      </c>
      <c r="BG308">
        <f t="shared" si="114"/>
        <v>0</v>
      </c>
      <c r="BH308">
        <f t="shared" si="115"/>
        <v>0</v>
      </c>
      <c r="BI308">
        <f t="shared" si="116"/>
        <v>0</v>
      </c>
      <c r="BJ308">
        <f t="shared" si="117"/>
        <v>0</v>
      </c>
      <c r="BK308">
        <f t="shared" si="118"/>
        <v>0</v>
      </c>
      <c r="BL308">
        <f t="shared" si="119"/>
        <v>0</v>
      </c>
      <c r="BM308">
        <f t="shared" si="120"/>
        <v>0</v>
      </c>
      <c r="BN308" t="e">
        <f t="shared" si="120"/>
        <v>#DIV/0!</v>
      </c>
    </row>
    <row r="309" spans="1:66" x14ac:dyDescent="0.25">
      <c r="A309">
        <v>2025</v>
      </c>
      <c r="B309" s="1">
        <f t="shared" si="121"/>
        <v>45961</v>
      </c>
      <c r="C309" s="2">
        <v>304</v>
      </c>
      <c r="D309">
        <v>70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L309">
        <f t="shared" si="122"/>
        <v>70.099999999999994</v>
      </c>
      <c r="AM309" s="4">
        <v>8.65</v>
      </c>
      <c r="AP309" s="7">
        <f t="shared" si="101"/>
        <v>0</v>
      </c>
      <c r="AQ309" s="7" t="e">
        <f t="shared" si="102"/>
        <v>#DIV/0!</v>
      </c>
      <c r="AS309">
        <f t="shared" si="103"/>
        <v>0</v>
      </c>
      <c r="AT309">
        <f t="shared" si="104"/>
        <v>0</v>
      </c>
      <c r="AU309">
        <f t="shared" si="105"/>
        <v>0</v>
      </c>
      <c r="AV309" t="s">
        <v>107</v>
      </c>
      <c r="AW309">
        <f t="shared" si="106"/>
        <v>0</v>
      </c>
      <c r="AX309">
        <f t="shared" si="107"/>
        <v>0</v>
      </c>
      <c r="AY309">
        <f t="shared" si="108"/>
        <v>0</v>
      </c>
      <c r="AZ309">
        <f t="shared" si="109"/>
        <v>0</v>
      </c>
      <c r="BA309" t="s">
        <v>107</v>
      </c>
      <c r="BB309">
        <f t="shared" si="110"/>
        <v>0</v>
      </c>
      <c r="BC309">
        <f t="shared" si="111"/>
        <v>0</v>
      </c>
      <c r="BD309">
        <f t="shared" si="112"/>
        <v>0</v>
      </c>
      <c r="BE309">
        <f t="shared" si="113"/>
        <v>0</v>
      </c>
      <c r="BF309" t="s">
        <v>107</v>
      </c>
      <c r="BG309">
        <f t="shared" si="114"/>
        <v>0</v>
      </c>
      <c r="BH309">
        <f t="shared" si="115"/>
        <v>0</v>
      </c>
      <c r="BI309">
        <f t="shared" si="116"/>
        <v>0</v>
      </c>
      <c r="BJ309">
        <f t="shared" si="117"/>
        <v>0</v>
      </c>
      <c r="BK309">
        <f t="shared" si="118"/>
        <v>0</v>
      </c>
      <c r="BL309">
        <f t="shared" si="119"/>
        <v>0</v>
      </c>
      <c r="BM309">
        <f t="shared" si="120"/>
        <v>0</v>
      </c>
      <c r="BN309" t="e">
        <f t="shared" si="120"/>
        <v>#DIV/0!</v>
      </c>
    </row>
    <row r="310" spans="1:66" x14ac:dyDescent="0.25">
      <c r="A310">
        <v>2025</v>
      </c>
      <c r="B310" s="1">
        <f t="shared" si="121"/>
        <v>45962</v>
      </c>
      <c r="C310" s="2">
        <v>305</v>
      </c>
      <c r="D310">
        <v>70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L310">
        <f t="shared" si="122"/>
        <v>70.099999999999994</v>
      </c>
      <c r="AM310" s="4">
        <v>8.49</v>
      </c>
      <c r="AP310" s="7">
        <f t="shared" si="101"/>
        <v>0</v>
      </c>
      <c r="AQ310" s="7" t="e">
        <f t="shared" si="102"/>
        <v>#DIV/0!</v>
      </c>
      <c r="AS310">
        <f t="shared" si="103"/>
        <v>0</v>
      </c>
      <c r="AT310">
        <f t="shared" si="104"/>
        <v>0</v>
      </c>
      <c r="AU310">
        <f t="shared" si="105"/>
        <v>0</v>
      </c>
      <c r="AV310" t="s">
        <v>107</v>
      </c>
      <c r="AW310">
        <f t="shared" si="106"/>
        <v>0</v>
      </c>
      <c r="AX310">
        <f t="shared" si="107"/>
        <v>0</v>
      </c>
      <c r="AY310">
        <f t="shared" si="108"/>
        <v>0</v>
      </c>
      <c r="AZ310">
        <f t="shared" si="109"/>
        <v>0</v>
      </c>
      <c r="BA310" t="s">
        <v>107</v>
      </c>
      <c r="BB310">
        <f t="shared" si="110"/>
        <v>0</v>
      </c>
      <c r="BC310">
        <f t="shared" si="111"/>
        <v>0</v>
      </c>
      <c r="BD310">
        <f t="shared" si="112"/>
        <v>0</v>
      </c>
      <c r="BE310">
        <f t="shared" si="113"/>
        <v>0</v>
      </c>
      <c r="BF310" t="s">
        <v>107</v>
      </c>
      <c r="BG310">
        <f t="shared" si="114"/>
        <v>0</v>
      </c>
      <c r="BH310">
        <f t="shared" si="115"/>
        <v>0</v>
      </c>
      <c r="BI310">
        <f t="shared" si="116"/>
        <v>0</v>
      </c>
      <c r="BJ310">
        <f t="shared" si="117"/>
        <v>0</v>
      </c>
      <c r="BK310">
        <f t="shared" si="118"/>
        <v>0</v>
      </c>
      <c r="BL310">
        <f t="shared" si="119"/>
        <v>0</v>
      </c>
      <c r="BM310">
        <f t="shared" si="120"/>
        <v>0</v>
      </c>
      <c r="BN310" t="e">
        <f t="shared" si="120"/>
        <v>#DIV/0!</v>
      </c>
    </row>
    <row r="311" spans="1:66" x14ac:dyDescent="0.25">
      <c r="A311">
        <v>2025</v>
      </c>
      <c r="B311" s="1">
        <f t="shared" si="121"/>
        <v>45963</v>
      </c>
      <c r="C311" s="2">
        <v>306</v>
      </c>
      <c r="D311">
        <v>70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L311">
        <f t="shared" si="122"/>
        <v>70.099999999999994</v>
      </c>
      <c r="AM311" s="4">
        <v>8.32</v>
      </c>
      <c r="AP311" s="7">
        <f t="shared" si="101"/>
        <v>0</v>
      </c>
      <c r="AQ311" s="7" t="e">
        <f t="shared" si="102"/>
        <v>#DIV/0!</v>
      </c>
      <c r="AS311">
        <f t="shared" si="103"/>
        <v>0</v>
      </c>
      <c r="AT311">
        <f t="shared" si="104"/>
        <v>0</v>
      </c>
      <c r="AU311">
        <f t="shared" si="105"/>
        <v>0</v>
      </c>
      <c r="AV311" t="s">
        <v>107</v>
      </c>
      <c r="AW311">
        <f t="shared" si="106"/>
        <v>0</v>
      </c>
      <c r="AX311">
        <f t="shared" si="107"/>
        <v>0</v>
      </c>
      <c r="AY311">
        <f t="shared" si="108"/>
        <v>0</v>
      </c>
      <c r="AZ311">
        <f t="shared" si="109"/>
        <v>0</v>
      </c>
      <c r="BA311" t="s">
        <v>107</v>
      </c>
      <c r="BB311">
        <f t="shared" si="110"/>
        <v>0</v>
      </c>
      <c r="BC311">
        <f t="shared" si="111"/>
        <v>0</v>
      </c>
      <c r="BD311">
        <f t="shared" si="112"/>
        <v>0</v>
      </c>
      <c r="BE311">
        <f t="shared" si="113"/>
        <v>0</v>
      </c>
      <c r="BF311" t="s">
        <v>107</v>
      </c>
      <c r="BG311">
        <f t="shared" si="114"/>
        <v>0</v>
      </c>
      <c r="BH311">
        <f t="shared" si="115"/>
        <v>0</v>
      </c>
      <c r="BI311">
        <f t="shared" si="116"/>
        <v>0</v>
      </c>
      <c r="BJ311">
        <f t="shared" si="117"/>
        <v>0</v>
      </c>
      <c r="BK311">
        <f t="shared" si="118"/>
        <v>0</v>
      </c>
      <c r="BL311">
        <f t="shared" si="119"/>
        <v>0</v>
      </c>
      <c r="BM311">
        <f t="shared" si="120"/>
        <v>0</v>
      </c>
      <c r="BN311" t="e">
        <f t="shared" si="120"/>
        <v>#DIV/0!</v>
      </c>
    </row>
    <row r="312" spans="1:66" x14ac:dyDescent="0.25">
      <c r="A312">
        <v>2025</v>
      </c>
      <c r="B312" s="1">
        <f t="shared" si="121"/>
        <v>45964</v>
      </c>
      <c r="C312" s="2">
        <v>307</v>
      </c>
      <c r="D312">
        <v>70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L312">
        <f t="shared" si="122"/>
        <v>70.099999999999994</v>
      </c>
      <c r="AM312" s="4">
        <v>8.16</v>
      </c>
      <c r="AP312" s="7">
        <f t="shared" si="101"/>
        <v>0</v>
      </c>
      <c r="AQ312" s="7" t="e">
        <f t="shared" si="102"/>
        <v>#DIV/0!</v>
      </c>
      <c r="AS312">
        <f t="shared" si="103"/>
        <v>0</v>
      </c>
      <c r="AT312">
        <f t="shared" si="104"/>
        <v>0</v>
      </c>
      <c r="AU312">
        <f t="shared" si="105"/>
        <v>0</v>
      </c>
      <c r="AV312" t="s">
        <v>107</v>
      </c>
      <c r="AW312">
        <f t="shared" si="106"/>
        <v>0</v>
      </c>
      <c r="AX312">
        <f t="shared" si="107"/>
        <v>0</v>
      </c>
      <c r="AY312">
        <f t="shared" si="108"/>
        <v>0</v>
      </c>
      <c r="AZ312">
        <f t="shared" si="109"/>
        <v>0</v>
      </c>
      <c r="BA312" t="s">
        <v>107</v>
      </c>
      <c r="BB312">
        <f t="shared" si="110"/>
        <v>0</v>
      </c>
      <c r="BC312">
        <f t="shared" si="111"/>
        <v>0</v>
      </c>
      <c r="BD312">
        <f t="shared" si="112"/>
        <v>0</v>
      </c>
      <c r="BE312">
        <f t="shared" si="113"/>
        <v>0</v>
      </c>
      <c r="BF312" t="s">
        <v>107</v>
      </c>
      <c r="BG312">
        <f t="shared" si="114"/>
        <v>0</v>
      </c>
      <c r="BH312">
        <f t="shared" si="115"/>
        <v>0</v>
      </c>
      <c r="BI312">
        <f t="shared" si="116"/>
        <v>0</v>
      </c>
      <c r="BJ312">
        <f t="shared" si="117"/>
        <v>0</v>
      </c>
      <c r="BK312">
        <f t="shared" si="118"/>
        <v>0</v>
      </c>
      <c r="BL312">
        <f t="shared" si="119"/>
        <v>0</v>
      </c>
      <c r="BM312">
        <f t="shared" si="120"/>
        <v>0</v>
      </c>
      <c r="BN312" t="e">
        <f t="shared" si="120"/>
        <v>#DIV/0!</v>
      </c>
    </row>
    <row r="313" spans="1:66" x14ac:dyDescent="0.25">
      <c r="A313">
        <v>2025</v>
      </c>
      <c r="B313" s="1">
        <f t="shared" si="121"/>
        <v>45965</v>
      </c>
      <c r="C313" s="2">
        <v>308</v>
      </c>
      <c r="D313">
        <v>70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L313">
        <f t="shared" si="122"/>
        <v>70.099999999999994</v>
      </c>
      <c r="AM313" s="4">
        <v>8.01</v>
      </c>
      <c r="AP313" s="7">
        <f t="shared" si="101"/>
        <v>0</v>
      </c>
      <c r="AQ313" s="7" t="e">
        <f t="shared" si="102"/>
        <v>#DIV/0!</v>
      </c>
      <c r="AS313">
        <f t="shared" si="103"/>
        <v>0</v>
      </c>
      <c r="AT313">
        <f t="shared" si="104"/>
        <v>0</v>
      </c>
      <c r="AU313">
        <f t="shared" si="105"/>
        <v>0</v>
      </c>
      <c r="AV313" t="s">
        <v>107</v>
      </c>
      <c r="AW313">
        <f t="shared" si="106"/>
        <v>0</v>
      </c>
      <c r="AX313">
        <f t="shared" si="107"/>
        <v>0</v>
      </c>
      <c r="AY313">
        <f t="shared" si="108"/>
        <v>0</v>
      </c>
      <c r="AZ313">
        <f t="shared" si="109"/>
        <v>0</v>
      </c>
      <c r="BA313" t="s">
        <v>107</v>
      </c>
      <c r="BB313">
        <f t="shared" si="110"/>
        <v>0</v>
      </c>
      <c r="BC313">
        <f t="shared" si="111"/>
        <v>0</v>
      </c>
      <c r="BD313">
        <f t="shared" si="112"/>
        <v>0</v>
      </c>
      <c r="BE313">
        <f t="shared" si="113"/>
        <v>0</v>
      </c>
      <c r="BF313" t="s">
        <v>107</v>
      </c>
      <c r="BG313">
        <f t="shared" si="114"/>
        <v>0</v>
      </c>
      <c r="BH313">
        <f t="shared" si="115"/>
        <v>0</v>
      </c>
      <c r="BI313">
        <f t="shared" si="116"/>
        <v>0</v>
      </c>
      <c r="BJ313">
        <f t="shared" si="117"/>
        <v>0</v>
      </c>
      <c r="BK313">
        <f t="shared" si="118"/>
        <v>0</v>
      </c>
      <c r="BL313">
        <f t="shared" si="119"/>
        <v>0</v>
      </c>
      <c r="BM313">
        <f t="shared" si="120"/>
        <v>0</v>
      </c>
      <c r="BN313" t="e">
        <f t="shared" si="120"/>
        <v>#DIV/0!</v>
      </c>
    </row>
    <row r="314" spans="1:66" x14ac:dyDescent="0.25">
      <c r="A314">
        <v>2025</v>
      </c>
      <c r="B314" s="1">
        <f t="shared" si="121"/>
        <v>45966</v>
      </c>
      <c r="C314" s="2">
        <v>309</v>
      </c>
      <c r="D314">
        <v>70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L314">
        <f t="shared" si="122"/>
        <v>70.099999999999994</v>
      </c>
      <c r="AM314" s="4">
        <v>7.84</v>
      </c>
      <c r="AP314" s="7">
        <f t="shared" si="101"/>
        <v>0</v>
      </c>
      <c r="AQ314" s="7" t="e">
        <f t="shared" si="102"/>
        <v>#DIV/0!</v>
      </c>
      <c r="AS314">
        <f t="shared" si="103"/>
        <v>0</v>
      </c>
      <c r="AT314">
        <f t="shared" si="104"/>
        <v>0</v>
      </c>
      <c r="AU314">
        <f t="shared" si="105"/>
        <v>0</v>
      </c>
      <c r="AV314" t="s">
        <v>107</v>
      </c>
      <c r="AW314">
        <f t="shared" si="106"/>
        <v>0</v>
      </c>
      <c r="AX314">
        <f t="shared" si="107"/>
        <v>0</v>
      </c>
      <c r="AY314">
        <f t="shared" si="108"/>
        <v>0</v>
      </c>
      <c r="AZ314">
        <f t="shared" si="109"/>
        <v>0</v>
      </c>
      <c r="BA314" t="s">
        <v>107</v>
      </c>
      <c r="BB314">
        <f t="shared" si="110"/>
        <v>0</v>
      </c>
      <c r="BC314">
        <f t="shared" si="111"/>
        <v>0</v>
      </c>
      <c r="BD314">
        <f t="shared" si="112"/>
        <v>0</v>
      </c>
      <c r="BE314">
        <f t="shared" si="113"/>
        <v>0</v>
      </c>
      <c r="BF314" t="s">
        <v>107</v>
      </c>
      <c r="BG314">
        <f t="shared" si="114"/>
        <v>0</v>
      </c>
      <c r="BH314">
        <f t="shared" si="115"/>
        <v>0</v>
      </c>
      <c r="BI314">
        <f t="shared" si="116"/>
        <v>0</v>
      </c>
      <c r="BJ314">
        <f t="shared" si="117"/>
        <v>0</v>
      </c>
      <c r="BK314">
        <f t="shared" si="118"/>
        <v>0</v>
      </c>
      <c r="BL314">
        <f t="shared" si="119"/>
        <v>0</v>
      </c>
      <c r="BM314">
        <f t="shared" si="120"/>
        <v>0</v>
      </c>
      <c r="BN314" t="e">
        <f t="shared" si="120"/>
        <v>#DIV/0!</v>
      </c>
    </row>
    <row r="315" spans="1:66" x14ac:dyDescent="0.25">
      <c r="A315">
        <v>2025</v>
      </c>
      <c r="B315" s="1">
        <f t="shared" si="121"/>
        <v>45967</v>
      </c>
      <c r="C315" s="2">
        <v>310</v>
      </c>
      <c r="D315">
        <v>70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L315">
        <f t="shared" si="122"/>
        <v>70.099999999999994</v>
      </c>
      <c r="AM315" s="4">
        <v>7.69</v>
      </c>
      <c r="AP315" s="7">
        <f t="shared" si="101"/>
        <v>0</v>
      </c>
      <c r="AQ315" s="7" t="e">
        <f t="shared" si="102"/>
        <v>#DIV/0!</v>
      </c>
      <c r="AS315">
        <f t="shared" si="103"/>
        <v>0</v>
      </c>
      <c r="AT315">
        <f t="shared" si="104"/>
        <v>0</v>
      </c>
      <c r="AU315">
        <f t="shared" si="105"/>
        <v>0</v>
      </c>
      <c r="AV315" t="s">
        <v>107</v>
      </c>
      <c r="AW315">
        <f t="shared" si="106"/>
        <v>0</v>
      </c>
      <c r="AX315">
        <f t="shared" si="107"/>
        <v>0</v>
      </c>
      <c r="AY315">
        <f t="shared" si="108"/>
        <v>0</v>
      </c>
      <c r="AZ315">
        <f t="shared" si="109"/>
        <v>0</v>
      </c>
      <c r="BA315" t="s">
        <v>107</v>
      </c>
      <c r="BB315">
        <f t="shared" si="110"/>
        <v>0</v>
      </c>
      <c r="BC315">
        <f t="shared" si="111"/>
        <v>0</v>
      </c>
      <c r="BD315">
        <f t="shared" si="112"/>
        <v>0</v>
      </c>
      <c r="BE315">
        <f t="shared" si="113"/>
        <v>0</v>
      </c>
      <c r="BF315" t="s">
        <v>107</v>
      </c>
      <c r="BG315">
        <f t="shared" si="114"/>
        <v>0</v>
      </c>
      <c r="BH315">
        <f t="shared" si="115"/>
        <v>0</v>
      </c>
      <c r="BI315">
        <f t="shared" si="116"/>
        <v>0</v>
      </c>
      <c r="BJ315">
        <f t="shared" si="117"/>
        <v>0</v>
      </c>
      <c r="BK315">
        <f t="shared" si="118"/>
        <v>0</v>
      </c>
      <c r="BL315">
        <f t="shared" si="119"/>
        <v>0</v>
      </c>
      <c r="BM315">
        <f t="shared" si="120"/>
        <v>0</v>
      </c>
      <c r="BN315" t="e">
        <f t="shared" si="120"/>
        <v>#DIV/0!</v>
      </c>
    </row>
    <row r="316" spans="1:66" x14ac:dyDescent="0.25">
      <c r="A316">
        <v>2025</v>
      </c>
      <c r="B316" s="1">
        <f t="shared" si="121"/>
        <v>45968</v>
      </c>
      <c r="C316" s="2">
        <v>311</v>
      </c>
      <c r="D316">
        <v>70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L316">
        <f t="shared" si="122"/>
        <v>70.099999999999994</v>
      </c>
      <c r="AM316" s="4">
        <v>7.54</v>
      </c>
      <c r="AP316" s="7">
        <f t="shared" si="101"/>
        <v>0</v>
      </c>
      <c r="AQ316" s="7" t="e">
        <f t="shared" si="102"/>
        <v>#DIV/0!</v>
      </c>
      <c r="AS316">
        <f t="shared" si="103"/>
        <v>0</v>
      </c>
      <c r="AT316">
        <f t="shared" si="104"/>
        <v>0</v>
      </c>
      <c r="AU316">
        <f t="shared" si="105"/>
        <v>0</v>
      </c>
      <c r="AV316" t="s">
        <v>107</v>
      </c>
      <c r="AW316">
        <f t="shared" si="106"/>
        <v>0</v>
      </c>
      <c r="AX316">
        <f t="shared" si="107"/>
        <v>0</v>
      </c>
      <c r="AY316">
        <f t="shared" si="108"/>
        <v>0</v>
      </c>
      <c r="AZ316">
        <f t="shared" si="109"/>
        <v>0</v>
      </c>
      <c r="BA316" t="s">
        <v>107</v>
      </c>
      <c r="BB316">
        <f t="shared" si="110"/>
        <v>0</v>
      </c>
      <c r="BC316">
        <f t="shared" si="111"/>
        <v>0</v>
      </c>
      <c r="BD316">
        <f t="shared" si="112"/>
        <v>0</v>
      </c>
      <c r="BE316">
        <f t="shared" si="113"/>
        <v>0</v>
      </c>
      <c r="BF316" t="s">
        <v>107</v>
      </c>
      <c r="BG316">
        <f t="shared" si="114"/>
        <v>0</v>
      </c>
      <c r="BH316">
        <f t="shared" si="115"/>
        <v>0</v>
      </c>
      <c r="BI316">
        <f t="shared" si="116"/>
        <v>0</v>
      </c>
      <c r="BJ316">
        <f t="shared" si="117"/>
        <v>0</v>
      </c>
      <c r="BK316">
        <f t="shared" si="118"/>
        <v>0</v>
      </c>
      <c r="BL316">
        <f t="shared" si="119"/>
        <v>0</v>
      </c>
      <c r="BM316">
        <f t="shared" si="120"/>
        <v>0</v>
      </c>
      <c r="BN316" t="e">
        <f t="shared" si="120"/>
        <v>#DIV/0!</v>
      </c>
    </row>
    <row r="317" spans="1:66" x14ac:dyDescent="0.25">
      <c r="A317">
        <v>2025</v>
      </c>
      <c r="B317" s="1">
        <f t="shared" si="121"/>
        <v>45969</v>
      </c>
      <c r="C317" s="2">
        <v>312</v>
      </c>
      <c r="D317">
        <v>70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L317">
        <f t="shared" si="122"/>
        <v>70.099999999999994</v>
      </c>
      <c r="AM317" s="4">
        <v>7.4</v>
      </c>
      <c r="AP317" s="7">
        <f t="shared" si="101"/>
        <v>0</v>
      </c>
      <c r="AQ317" s="7" t="e">
        <f t="shared" si="102"/>
        <v>#DIV/0!</v>
      </c>
      <c r="AS317">
        <f t="shared" si="103"/>
        <v>0</v>
      </c>
      <c r="AT317">
        <f t="shared" si="104"/>
        <v>0</v>
      </c>
      <c r="AU317">
        <f t="shared" si="105"/>
        <v>0</v>
      </c>
      <c r="AV317" t="s">
        <v>107</v>
      </c>
      <c r="AW317">
        <f t="shared" si="106"/>
        <v>0</v>
      </c>
      <c r="AX317">
        <f t="shared" si="107"/>
        <v>0</v>
      </c>
      <c r="AY317">
        <f t="shared" si="108"/>
        <v>0</v>
      </c>
      <c r="AZ317">
        <f t="shared" si="109"/>
        <v>0</v>
      </c>
      <c r="BA317" t="s">
        <v>107</v>
      </c>
      <c r="BB317">
        <f t="shared" si="110"/>
        <v>0</v>
      </c>
      <c r="BC317">
        <f t="shared" si="111"/>
        <v>0</v>
      </c>
      <c r="BD317">
        <f t="shared" si="112"/>
        <v>0</v>
      </c>
      <c r="BE317">
        <f t="shared" si="113"/>
        <v>0</v>
      </c>
      <c r="BF317" t="s">
        <v>107</v>
      </c>
      <c r="BG317">
        <f t="shared" si="114"/>
        <v>0</v>
      </c>
      <c r="BH317">
        <f t="shared" si="115"/>
        <v>0</v>
      </c>
      <c r="BI317">
        <f t="shared" si="116"/>
        <v>0</v>
      </c>
      <c r="BJ317">
        <f t="shared" si="117"/>
        <v>0</v>
      </c>
      <c r="BK317">
        <f t="shared" si="118"/>
        <v>0</v>
      </c>
      <c r="BL317">
        <f t="shared" si="119"/>
        <v>0</v>
      </c>
      <c r="BM317">
        <f t="shared" si="120"/>
        <v>0</v>
      </c>
      <c r="BN317" t="e">
        <f t="shared" si="120"/>
        <v>#DIV/0!</v>
      </c>
    </row>
    <row r="318" spans="1:66" x14ac:dyDescent="0.25">
      <c r="A318">
        <v>2025</v>
      </c>
      <c r="B318" s="1">
        <f t="shared" si="121"/>
        <v>45970</v>
      </c>
      <c r="C318" s="2">
        <v>313</v>
      </c>
      <c r="D318">
        <v>70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L318">
        <f t="shared" si="122"/>
        <v>70.099999999999994</v>
      </c>
      <c r="AM318" s="4">
        <v>7.26</v>
      </c>
      <c r="AP318" s="7">
        <f t="shared" si="101"/>
        <v>0</v>
      </c>
      <c r="AQ318" s="7" t="e">
        <f t="shared" si="102"/>
        <v>#DIV/0!</v>
      </c>
      <c r="AS318">
        <f t="shared" si="103"/>
        <v>0</v>
      </c>
      <c r="AT318">
        <f t="shared" si="104"/>
        <v>0</v>
      </c>
      <c r="AU318">
        <f t="shared" si="105"/>
        <v>0</v>
      </c>
      <c r="AV318" t="s">
        <v>107</v>
      </c>
      <c r="AW318">
        <f t="shared" si="106"/>
        <v>0</v>
      </c>
      <c r="AX318">
        <f t="shared" si="107"/>
        <v>0</v>
      </c>
      <c r="AY318">
        <f t="shared" si="108"/>
        <v>0</v>
      </c>
      <c r="AZ318">
        <f t="shared" si="109"/>
        <v>0</v>
      </c>
      <c r="BA318" t="s">
        <v>107</v>
      </c>
      <c r="BB318">
        <f t="shared" si="110"/>
        <v>0</v>
      </c>
      <c r="BC318">
        <f t="shared" si="111"/>
        <v>0</v>
      </c>
      <c r="BD318">
        <f t="shared" si="112"/>
        <v>0</v>
      </c>
      <c r="BE318">
        <f t="shared" si="113"/>
        <v>0</v>
      </c>
      <c r="BF318" t="s">
        <v>107</v>
      </c>
      <c r="BG318">
        <f t="shared" si="114"/>
        <v>0</v>
      </c>
      <c r="BH318">
        <f t="shared" si="115"/>
        <v>0</v>
      </c>
      <c r="BI318">
        <f t="shared" si="116"/>
        <v>0</v>
      </c>
      <c r="BJ318">
        <f t="shared" si="117"/>
        <v>0</v>
      </c>
      <c r="BK318">
        <f t="shared" si="118"/>
        <v>0</v>
      </c>
      <c r="BL318">
        <f t="shared" si="119"/>
        <v>0</v>
      </c>
      <c r="BM318">
        <f t="shared" si="120"/>
        <v>0</v>
      </c>
      <c r="BN318" t="e">
        <f t="shared" si="120"/>
        <v>#DIV/0!</v>
      </c>
    </row>
    <row r="319" spans="1:66" x14ac:dyDescent="0.25">
      <c r="A319">
        <v>2025</v>
      </c>
      <c r="B319" s="1">
        <f t="shared" si="121"/>
        <v>45971</v>
      </c>
      <c r="C319" s="2">
        <v>314</v>
      </c>
      <c r="D319">
        <v>70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L319">
        <f t="shared" si="122"/>
        <v>70.099999999999994</v>
      </c>
      <c r="AM319" s="4">
        <v>7.12</v>
      </c>
      <c r="AP319" s="7">
        <f t="shared" si="101"/>
        <v>0</v>
      </c>
      <c r="AQ319" s="7" t="e">
        <f t="shared" si="102"/>
        <v>#DIV/0!</v>
      </c>
      <c r="AS319">
        <f t="shared" si="103"/>
        <v>0</v>
      </c>
      <c r="AT319">
        <f t="shared" si="104"/>
        <v>0</v>
      </c>
      <c r="AU319">
        <f t="shared" si="105"/>
        <v>0</v>
      </c>
      <c r="AV319" t="s">
        <v>107</v>
      </c>
      <c r="AW319">
        <f t="shared" si="106"/>
        <v>0</v>
      </c>
      <c r="AX319">
        <f t="shared" si="107"/>
        <v>0</v>
      </c>
      <c r="AY319">
        <f t="shared" si="108"/>
        <v>0</v>
      </c>
      <c r="AZ319">
        <f t="shared" si="109"/>
        <v>0</v>
      </c>
      <c r="BA319" t="s">
        <v>107</v>
      </c>
      <c r="BB319">
        <f t="shared" si="110"/>
        <v>0</v>
      </c>
      <c r="BC319">
        <f t="shared" si="111"/>
        <v>0</v>
      </c>
      <c r="BD319">
        <f t="shared" si="112"/>
        <v>0</v>
      </c>
      <c r="BE319">
        <f t="shared" si="113"/>
        <v>0</v>
      </c>
      <c r="BF319" t="s">
        <v>107</v>
      </c>
      <c r="BG319">
        <f t="shared" si="114"/>
        <v>0</v>
      </c>
      <c r="BH319">
        <f t="shared" si="115"/>
        <v>0</v>
      </c>
      <c r="BI319">
        <f t="shared" si="116"/>
        <v>0</v>
      </c>
      <c r="BJ319">
        <f t="shared" si="117"/>
        <v>0</v>
      </c>
      <c r="BK319">
        <f t="shared" si="118"/>
        <v>0</v>
      </c>
      <c r="BL319">
        <f t="shared" si="119"/>
        <v>0</v>
      </c>
      <c r="BM319">
        <f t="shared" si="120"/>
        <v>0</v>
      </c>
      <c r="BN319" t="e">
        <f t="shared" si="120"/>
        <v>#DIV/0!</v>
      </c>
    </row>
    <row r="320" spans="1:66" x14ac:dyDescent="0.25">
      <c r="A320">
        <v>2025</v>
      </c>
      <c r="B320" s="1">
        <f t="shared" si="121"/>
        <v>45972</v>
      </c>
      <c r="C320" s="2">
        <v>315</v>
      </c>
      <c r="D320">
        <v>70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L320">
        <f t="shared" si="122"/>
        <v>70.099999999999994</v>
      </c>
      <c r="AM320" s="4">
        <v>6.99</v>
      </c>
      <c r="AP320" s="7">
        <f t="shared" si="101"/>
        <v>0</v>
      </c>
      <c r="AQ320" s="7" t="e">
        <f t="shared" si="102"/>
        <v>#DIV/0!</v>
      </c>
      <c r="AS320">
        <f t="shared" si="103"/>
        <v>0</v>
      </c>
      <c r="AT320">
        <f t="shared" si="104"/>
        <v>0</v>
      </c>
      <c r="AU320">
        <f t="shared" si="105"/>
        <v>0</v>
      </c>
      <c r="AV320" t="s">
        <v>107</v>
      </c>
      <c r="AW320">
        <f t="shared" si="106"/>
        <v>0</v>
      </c>
      <c r="AX320">
        <f t="shared" si="107"/>
        <v>0</v>
      </c>
      <c r="AY320">
        <f t="shared" si="108"/>
        <v>0</v>
      </c>
      <c r="AZ320">
        <f t="shared" si="109"/>
        <v>0</v>
      </c>
      <c r="BA320" t="s">
        <v>107</v>
      </c>
      <c r="BB320">
        <f t="shared" si="110"/>
        <v>0</v>
      </c>
      <c r="BC320">
        <f t="shared" si="111"/>
        <v>0</v>
      </c>
      <c r="BD320">
        <f t="shared" si="112"/>
        <v>0</v>
      </c>
      <c r="BE320">
        <f t="shared" si="113"/>
        <v>0</v>
      </c>
      <c r="BF320" t="s">
        <v>107</v>
      </c>
      <c r="BG320">
        <f t="shared" si="114"/>
        <v>0</v>
      </c>
      <c r="BH320">
        <f t="shared" si="115"/>
        <v>0</v>
      </c>
      <c r="BI320">
        <f t="shared" si="116"/>
        <v>0</v>
      </c>
      <c r="BJ320">
        <f t="shared" si="117"/>
        <v>0</v>
      </c>
      <c r="BK320">
        <f t="shared" si="118"/>
        <v>0</v>
      </c>
      <c r="BL320">
        <f t="shared" si="119"/>
        <v>0</v>
      </c>
      <c r="BM320">
        <f t="shared" si="120"/>
        <v>0</v>
      </c>
      <c r="BN320" t="e">
        <f t="shared" si="120"/>
        <v>#DIV/0!</v>
      </c>
    </row>
    <row r="321" spans="1:66" x14ac:dyDescent="0.25">
      <c r="A321">
        <v>2025</v>
      </c>
      <c r="B321" s="1">
        <f t="shared" si="121"/>
        <v>45973</v>
      </c>
      <c r="C321" s="2">
        <v>316</v>
      </c>
      <c r="D321">
        <v>70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L321">
        <f t="shared" si="122"/>
        <v>70.099999999999994</v>
      </c>
      <c r="AM321" s="4">
        <v>6.85</v>
      </c>
      <c r="AP321" s="7">
        <f t="shared" si="101"/>
        <v>0</v>
      </c>
      <c r="AQ321" s="7" t="e">
        <f t="shared" si="102"/>
        <v>#DIV/0!</v>
      </c>
      <c r="AS321">
        <f t="shared" si="103"/>
        <v>0</v>
      </c>
      <c r="AT321">
        <f t="shared" si="104"/>
        <v>0</v>
      </c>
      <c r="AU321">
        <f t="shared" si="105"/>
        <v>0</v>
      </c>
      <c r="AV321" t="s">
        <v>107</v>
      </c>
      <c r="AW321">
        <f t="shared" si="106"/>
        <v>0</v>
      </c>
      <c r="AX321">
        <f t="shared" si="107"/>
        <v>0</v>
      </c>
      <c r="AY321">
        <f t="shared" si="108"/>
        <v>0</v>
      </c>
      <c r="AZ321">
        <f t="shared" si="109"/>
        <v>0</v>
      </c>
      <c r="BA321" t="s">
        <v>107</v>
      </c>
      <c r="BB321">
        <f t="shared" si="110"/>
        <v>0</v>
      </c>
      <c r="BC321">
        <f t="shared" si="111"/>
        <v>0</v>
      </c>
      <c r="BD321">
        <f t="shared" si="112"/>
        <v>0</v>
      </c>
      <c r="BE321">
        <f t="shared" si="113"/>
        <v>0</v>
      </c>
      <c r="BF321" t="s">
        <v>107</v>
      </c>
      <c r="BG321">
        <f t="shared" si="114"/>
        <v>0</v>
      </c>
      <c r="BH321">
        <f t="shared" si="115"/>
        <v>0</v>
      </c>
      <c r="BI321">
        <f t="shared" si="116"/>
        <v>0</v>
      </c>
      <c r="BJ321">
        <f t="shared" si="117"/>
        <v>0</v>
      </c>
      <c r="BK321">
        <f t="shared" si="118"/>
        <v>0</v>
      </c>
      <c r="BL321">
        <f t="shared" si="119"/>
        <v>0</v>
      </c>
      <c r="BM321">
        <f t="shared" si="120"/>
        <v>0</v>
      </c>
      <c r="BN321" t="e">
        <f t="shared" si="120"/>
        <v>#DIV/0!</v>
      </c>
    </row>
    <row r="322" spans="1:66" x14ac:dyDescent="0.25">
      <c r="A322">
        <v>2025</v>
      </c>
      <c r="B322" s="1">
        <f t="shared" si="121"/>
        <v>45974</v>
      </c>
      <c r="C322" s="2">
        <v>317</v>
      </c>
      <c r="D322">
        <v>70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L322">
        <f t="shared" si="122"/>
        <v>70.099999999999994</v>
      </c>
      <c r="AM322" s="4">
        <v>6.72</v>
      </c>
      <c r="AP322" s="7">
        <f t="shared" si="101"/>
        <v>0</v>
      </c>
      <c r="AQ322" s="7" t="e">
        <f t="shared" si="102"/>
        <v>#DIV/0!</v>
      </c>
      <c r="AS322">
        <f t="shared" si="103"/>
        <v>0</v>
      </c>
      <c r="AT322">
        <f t="shared" si="104"/>
        <v>0</v>
      </c>
      <c r="AU322">
        <f t="shared" si="105"/>
        <v>0</v>
      </c>
      <c r="AV322" t="s">
        <v>107</v>
      </c>
      <c r="AW322">
        <f t="shared" si="106"/>
        <v>0</v>
      </c>
      <c r="AX322">
        <f t="shared" si="107"/>
        <v>0</v>
      </c>
      <c r="AY322">
        <f t="shared" si="108"/>
        <v>0</v>
      </c>
      <c r="AZ322">
        <f t="shared" si="109"/>
        <v>0</v>
      </c>
      <c r="BA322" t="s">
        <v>107</v>
      </c>
      <c r="BB322">
        <f t="shared" si="110"/>
        <v>0</v>
      </c>
      <c r="BC322">
        <f t="shared" si="111"/>
        <v>0</v>
      </c>
      <c r="BD322">
        <f t="shared" si="112"/>
        <v>0</v>
      </c>
      <c r="BE322">
        <f t="shared" si="113"/>
        <v>0</v>
      </c>
      <c r="BF322" t="s">
        <v>107</v>
      </c>
      <c r="BG322">
        <f t="shared" si="114"/>
        <v>0</v>
      </c>
      <c r="BH322">
        <f t="shared" si="115"/>
        <v>0</v>
      </c>
      <c r="BI322">
        <f t="shared" si="116"/>
        <v>0</v>
      </c>
      <c r="BJ322">
        <f t="shared" si="117"/>
        <v>0</v>
      </c>
      <c r="BK322">
        <f t="shared" si="118"/>
        <v>0</v>
      </c>
      <c r="BL322">
        <f t="shared" si="119"/>
        <v>0</v>
      </c>
      <c r="BM322">
        <f t="shared" si="120"/>
        <v>0</v>
      </c>
      <c r="BN322" t="e">
        <f t="shared" si="120"/>
        <v>#DIV/0!</v>
      </c>
    </row>
    <row r="323" spans="1:66" x14ac:dyDescent="0.25">
      <c r="A323">
        <v>2025</v>
      </c>
      <c r="B323" s="1">
        <f t="shared" si="121"/>
        <v>45975</v>
      </c>
      <c r="C323" s="2">
        <v>318</v>
      </c>
      <c r="D323">
        <v>70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L323">
        <f t="shared" si="122"/>
        <v>70.099999999999994</v>
      </c>
      <c r="AM323" s="4">
        <v>6.6</v>
      </c>
      <c r="AP323" s="7">
        <f t="shared" si="101"/>
        <v>0</v>
      </c>
      <c r="AQ323" s="7" t="e">
        <f t="shared" si="102"/>
        <v>#DIV/0!</v>
      </c>
      <c r="AS323">
        <f t="shared" si="103"/>
        <v>0</v>
      </c>
      <c r="AT323">
        <f t="shared" si="104"/>
        <v>0</v>
      </c>
      <c r="AU323">
        <f t="shared" si="105"/>
        <v>0</v>
      </c>
      <c r="AV323" t="s">
        <v>107</v>
      </c>
      <c r="AW323">
        <f t="shared" si="106"/>
        <v>0</v>
      </c>
      <c r="AX323">
        <f t="shared" si="107"/>
        <v>0</v>
      </c>
      <c r="AY323">
        <f t="shared" si="108"/>
        <v>0</v>
      </c>
      <c r="AZ323">
        <f t="shared" si="109"/>
        <v>0</v>
      </c>
      <c r="BA323" t="s">
        <v>107</v>
      </c>
      <c r="BB323">
        <f t="shared" si="110"/>
        <v>0</v>
      </c>
      <c r="BC323">
        <f t="shared" si="111"/>
        <v>0</v>
      </c>
      <c r="BD323">
        <f t="shared" si="112"/>
        <v>0</v>
      </c>
      <c r="BE323">
        <f t="shared" si="113"/>
        <v>0</v>
      </c>
      <c r="BF323" t="s">
        <v>107</v>
      </c>
      <c r="BG323">
        <f t="shared" si="114"/>
        <v>0</v>
      </c>
      <c r="BH323">
        <f t="shared" si="115"/>
        <v>0</v>
      </c>
      <c r="BI323">
        <f t="shared" si="116"/>
        <v>0</v>
      </c>
      <c r="BJ323">
        <f t="shared" si="117"/>
        <v>0</v>
      </c>
      <c r="BK323">
        <f t="shared" si="118"/>
        <v>0</v>
      </c>
      <c r="BL323">
        <f t="shared" si="119"/>
        <v>0</v>
      </c>
      <c r="BM323">
        <f t="shared" si="120"/>
        <v>0</v>
      </c>
      <c r="BN323" t="e">
        <f t="shared" si="120"/>
        <v>#DIV/0!</v>
      </c>
    </row>
    <row r="324" spans="1:66" x14ac:dyDescent="0.25">
      <c r="A324">
        <v>2025</v>
      </c>
      <c r="B324" s="1">
        <f t="shared" si="121"/>
        <v>45976</v>
      </c>
      <c r="C324" s="2">
        <v>319</v>
      </c>
      <c r="D324">
        <v>70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L324">
        <f t="shared" si="122"/>
        <v>70.099999999999994</v>
      </c>
      <c r="AM324" s="4">
        <v>6.48</v>
      </c>
      <c r="AP324" s="7">
        <f t="shared" si="101"/>
        <v>0</v>
      </c>
      <c r="AQ324" s="7" t="e">
        <f t="shared" si="102"/>
        <v>#DIV/0!</v>
      </c>
      <c r="AS324">
        <f t="shared" si="103"/>
        <v>0</v>
      </c>
      <c r="AT324">
        <f t="shared" si="104"/>
        <v>0</v>
      </c>
      <c r="AU324">
        <f t="shared" si="105"/>
        <v>0</v>
      </c>
      <c r="AV324" t="s">
        <v>107</v>
      </c>
      <c r="AW324">
        <f t="shared" si="106"/>
        <v>0</v>
      </c>
      <c r="AX324">
        <f t="shared" si="107"/>
        <v>0</v>
      </c>
      <c r="AY324">
        <f t="shared" si="108"/>
        <v>0</v>
      </c>
      <c r="AZ324">
        <f t="shared" si="109"/>
        <v>0</v>
      </c>
      <c r="BA324" t="s">
        <v>107</v>
      </c>
      <c r="BB324">
        <f t="shared" si="110"/>
        <v>0</v>
      </c>
      <c r="BC324">
        <f t="shared" si="111"/>
        <v>0</v>
      </c>
      <c r="BD324">
        <f t="shared" si="112"/>
        <v>0</v>
      </c>
      <c r="BE324">
        <f t="shared" si="113"/>
        <v>0</v>
      </c>
      <c r="BF324" t="s">
        <v>107</v>
      </c>
      <c r="BG324">
        <f t="shared" si="114"/>
        <v>0</v>
      </c>
      <c r="BH324">
        <f t="shared" si="115"/>
        <v>0</v>
      </c>
      <c r="BI324">
        <f t="shared" si="116"/>
        <v>0</v>
      </c>
      <c r="BJ324">
        <f t="shared" si="117"/>
        <v>0</v>
      </c>
      <c r="BK324">
        <f t="shared" si="118"/>
        <v>0</v>
      </c>
      <c r="BL324">
        <f t="shared" si="119"/>
        <v>0</v>
      </c>
      <c r="BM324">
        <f t="shared" si="120"/>
        <v>0</v>
      </c>
      <c r="BN324" t="e">
        <f t="shared" si="120"/>
        <v>#DIV/0!</v>
      </c>
    </row>
    <row r="325" spans="1:66" x14ac:dyDescent="0.25">
      <c r="A325">
        <v>2025</v>
      </c>
      <c r="B325" s="1">
        <f t="shared" si="121"/>
        <v>45977</v>
      </c>
      <c r="C325" s="2">
        <v>320</v>
      </c>
      <c r="D325">
        <v>70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L325">
        <f t="shared" si="122"/>
        <v>70.099999999999994</v>
      </c>
      <c r="AM325" s="4">
        <v>6.37</v>
      </c>
      <c r="AP325" s="7">
        <f t="shared" si="101"/>
        <v>0</v>
      </c>
      <c r="AQ325" s="7" t="e">
        <f t="shared" si="102"/>
        <v>#DIV/0!</v>
      </c>
      <c r="AS325">
        <f t="shared" si="103"/>
        <v>0</v>
      </c>
      <c r="AT325">
        <f t="shared" si="104"/>
        <v>0</v>
      </c>
      <c r="AU325">
        <f t="shared" si="105"/>
        <v>0</v>
      </c>
      <c r="AV325" t="s">
        <v>107</v>
      </c>
      <c r="AW325">
        <f t="shared" si="106"/>
        <v>0</v>
      </c>
      <c r="AX325">
        <f t="shared" si="107"/>
        <v>0</v>
      </c>
      <c r="AY325">
        <f t="shared" si="108"/>
        <v>0</v>
      </c>
      <c r="AZ325">
        <f t="shared" si="109"/>
        <v>0</v>
      </c>
      <c r="BA325" t="s">
        <v>107</v>
      </c>
      <c r="BB325">
        <f t="shared" si="110"/>
        <v>0</v>
      </c>
      <c r="BC325">
        <f t="shared" si="111"/>
        <v>0</v>
      </c>
      <c r="BD325">
        <f t="shared" si="112"/>
        <v>0</v>
      </c>
      <c r="BE325">
        <f t="shared" si="113"/>
        <v>0</v>
      </c>
      <c r="BF325" t="s">
        <v>107</v>
      </c>
      <c r="BG325">
        <f t="shared" si="114"/>
        <v>0</v>
      </c>
      <c r="BH325">
        <f t="shared" si="115"/>
        <v>0</v>
      </c>
      <c r="BI325">
        <f t="shared" si="116"/>
        <v>0</v>
      </c>
      <c r="BJ325">
        <f t="shared" si="117"/>
        <v>0</v>
      </c>
      <c r="BK325">
        <f t="shared" si="118"/>
        <v>0</v>
      </c>
      <c r="BL325">
        <f t="shared" si="119"/>
        <v>0</v>
      </c>
      <c r="BM325">
        <f t="shared" si="120"/>
        <v>0</v>
      </c>
      <c r="BN325" t="e">
        <f t="shared" si="120"/>
        <v>#DIV/0!</v>
      </c>
    </row>
    <row r="326" spans="1:66" x14ac:dyDescent="0.25">
      <c r="A326">
        <v>2025</v>
      </c>
      <c r="B326" s="1">
        <f t="shared" si="121"/>
        <v>45978</v>
      </c>
      <c r="C326" s="2">
        <v>321</v>
      </c>
      <c r="D326">
        <v>70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L326">
        <f t="shared" si="122"/>
        <v>70.099999999999994</v>
      </c>
      <c r="AM326" s="4">
        <v>6.25</v>
      </c>
      <c r="AP326" s="7">
        <f t="shared" ref="AP326:AP370" si="124">ROUND((0.6105*(EXP((17.273*O326)/(O326+237.3))))*U326/100,3)</f>
        <v>0</v>
      </c>
      <c r="AQ326" s="7" t="e">
        <f t="shared" ref="AQ326:AQ370" si="125">ROUND(AP326/U326*(100-U326),3)</f>
        <v>#DIV/0!</v>
      </c>
      <c r="AS326">
        <f t="shared" ref="AS326:AS370" si="126">AN326</f>
        <v>0</v>
      </c>
      <c r="AT326">
        <f t="shared" ref="AT326:AT370" si="127">ROUND(J326,1)</f>
        <v>0</v>
      </c>
      <c r="AU326">
        <f t="shared" ref="AU326:AU370" si="128">ROUND(K326,1)</f>
        <v>0</v>
      </c>
      <c r="AV326" t="s">
        <v>107</v>
      </c>
      <c r="AW326">
        <f t="shared" ref="AW326:AW370" si="129">ROUND(M326,1)</f>
        <v>0</v>
      </c>
      <c r="AX326">
        <f t="shared" ref="AX326:AX370" si="130">ROUND(N326,1)</f>
        <v>0</v>
      </c>
      <c r="AY326">
        <f t="shared" ref="AY326:AY370" si="131">ROUND(O326,1)</f>
        <v>0</v>
      </c>
      <c r="AZ326">
        <f t="shared" ref="AZ326:AZ370" si="132">ROUND(P326,1)</f>
        <v>0</v>
      </c>
      <c r="BA326" t="s">
        <v>107</v>
      </c>
      <c r="BB326">
        <f t="shared" ref="BB326:BB370" si="133">ROUND(R326,1)</f>
        <v>0</v>
      </c>
      <c r="BC326">
        <f t="shared" ref="BC326:BC370" si="134">ROUND(S326,1)</f>
        <v>0</v>
      </c>
      <c r="BD326">
        <f t="shared" ref="BD326:BD370" si="135">ROUND(T326,1)</f>
        <v>0</v>
      </c>
      <c r="BE326">
        <f t="shared" ref="BE326:BE370" si="136">ROUND(U326,1)</f>
        <v>0</v>
      </c>
      <c r="BF326" t="s">
        <v>107</v>
      </c>
      <c r="BG326">
        <f t="shared" ref="BG326:BG370" si="137">ROUND(W326,1)</f>
        <v>0</v>
      </c>
      <c r="BH326">
        <f t="shared" ref="BH326:BH370" si="138">ROUND(X326,1)</f>
        <v>0</v>
      </c>
      <c r="BI326">
        <f t="shared" ref="BI326:BI370" si="139">ROUND(Y326,2)</f>
        <v>0</v>
      </c>
      <c r="BJ326">
        <f t="shared" ref="BJ326:BJ370" si="140">ROUND(Z326,2)</f>
        <v>0</v>
      </c>
      <c r="BK326">
        <f t="shared" ref="BK326:BK370" si="141">AI326</f>
        <v>0</v>
      </c>
      <c r="BL326">
        <f t="shared" ref="BL326:BL370" si="142">ROUND(AK326,1)</f>
        <v>0</v>
      </c>
      <c r="BM326">
        <f t="shared" ref="BM326:BN370" si="143">ROUND(AP326,3)</f>
        <v>0</v>
      </c>
      <c r="BN326" t="e">
        <f t="shared" si="143"/>
        <v>#DIV/0!</v>
      </c>
    </row>
    <row r="327" spans="1:66" x14ac:dyDescent="0.25">
      <c r="A327">
        <v>2025</v>
      </c>
      <c r="B327" s="1">
        <f t="shared" ref="B327:B370" si="144">B326+1</f>
        <v>45979</v>
      </c>
      <c r="C327" s="2">
        <v>322</v>
      </c>
      <c r="D327">
        <v>70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L327">
        <f t="shared" ref="AL327:AL370" si="145">AL326+AK327</f>
        <v>70.099999999999994</v>
      </c>
      <c r="AM327" s="4">
        <v>6.14</v>
      </c>
      <c r="AP327" s="7">
        <f t="shared" si="124"/>
        <v>0</v>
      </c>
      <c r="AQ327" s="7" t="e">
        <f t="shared" si="125"/>
        <v>#DIV/0!</v>
      </c>
      <c r="AS327">
        <f t="shared" si="126"/>
        <v>0</v>
      </c>
      <c r="AT327">
        <f t="shared" si="127"/>
        <v>0</v>
      </c>
      <c r="AU327">
        <f t="shared" si="128"/>
        <v>0</v>
      </c>
      <c r="AV327" t="s">
        <v>107</v>
      </c>
      <c r="AW327">
        <f t="shared" si="129"/>
        <v>0</v>
      </c>
      <c r="AX327">
        <f t="shared" si="130"/>
        <v>0</v>
      </c>
      <c r="AY327">
        <f t="shared" si="131"/>
        <v>0</v>
      </c>
      <c r="AZ327">
        <f t="shared" si="132"/>
        <v>0</v>
      </c>
      <c r="BA327" t="s">
        <v>107</v>
      </c>
      <c r="BB327">
        <f t="shared" si="133"/>
        <v>0</v>
      </c>
      <c r="BC327">
        <f t="shared" si="134"/>
        <v>0</v>
      </c>
      <c r="BD327">
        <f t="shared" si="135"/>
        <v>0</v>
      </c>
      <c r="BE327">
        <f t="shared" si="136"/>
        <v>0</v>
      </c>
      <c r="BF327" t="s">
        <v>107</v>
      </c>
      <c r="BG327">
        <f t="shared" si="137"/>
        <v>0</v>
      </c>
      <c r="BH327">
        <f t="shared" si="138"/>
        <v>0</v>
      </c>
      <c r="BI327">
        <f t="shared" si="139"/>
        <v>0</v>
      </c>
      <c r="BJ327">
        <f t="shared" si="140"/>
        <v>0</v>
      </c>
      <c r="BK327">
        <f t="shared" si="141"/>
        <v>0</v>
      </c>
      <c r="BL327">
        <f t="shared" si="142"/>
        <v>0</v>
      </c>
      <c r="BM327">
        <f t="shared" si="143"/>
        <v>0</v>
      </c>
      <c r="BN327" t="e">
        <f t="shared" si="143"/>
        <v>#DIV/0!</v>
      </c>
    </row>
    <row r="328" spans="1:66" x14ac:dyDescent="0.25">
      <c r="A328">
        <v>2025</v>
      </c>
      <c r="B328" s="1">
        <f t="shared" si="144"/>
        <v>45980</v>
      </c>
      <c r="C328" s="2">
        <v>323</v>
      </c>
      <c r="D328">
        <v>70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L328">
        <f t="shared" si="145"/>
        <v>70.099999999999994</v>
      </c>
      <c r="AM328" s="4">
        <v>6.03</v>
      </c>
      <c r="AP328" s="7">
        <f t="shared" si="124"/>
        <v>0</v>
      </c>
      <c r="AQ328" s="7" t="e">
        <f t="shared" si="125"/>
        <v>#DIV/0!</v>
      </c>
      <c r="AS328">
        <f t="shared" si="126"/>
        <v>0</v>
      </c>
      <c r="AT328">
        <f t="shared" si="127"/>
        <v>0</v>
      </c>
      <c r="AU328">
        <f t="shared" si="128"/>
        <v>0</v>
      </c>
      <c r="AV328" t="s">
        <v>107</v>
      </c>
      <c r="AW328">
        <f t="shared" si="129"/>
        <v>0</v>
      </c>
      <c r="AX328">
        <f t="shared" si="130"/>
        <v>0</v>
      </c>
      <c r="AY328">
        <f t="shared" si="131"/>
        <v>0</v>
      </c>
      <c r="AZ328">
        <f t="shared" si="132"/>
        <v>0</v>
      </c>
      <c r="BA328" t="s">
        <v>107</v>
      </c>
      <c r="BB328">
        <f t="shared" si="133"/>
        <v>0</v>
      </c>
      <c r="BC328">
        <f t="shared" si="134"/>
        <v>0</v>
      </c>
      <c r="BD328">
        <f t="shared" si="135"/>
        <v>0</v>
      </c>
      <c r="BE328">
        <f t="shared" si="136"/>
        <v>0</v>
      </c>
      <c r="BF328" t="s">
        <v>107</v>
      </c>
      <c r="BG328">
        <f t="shared" si="137"/>
        <v>0</v>
      </c>
      <c r="BH328">
        <f t="shared" si="138"/>
        <v>0</v>
      </c>
      <c r="BI328">
        <f t="shared" si="139"/>
        <v>0</v>
      </c>
      <c r="BJ328">
        <f t="shared" si="140"/>
        <v>0</v>
      </c>
      <c r="BK328">
        <f t="shared" si="141"/>
        <v>0</v>
      </c>
      <c r="BL328">
        <f t="shared" si="142"/>
        <v>0</v>
      </c>
      <c r="BM328">
        <f t="shared" si="143"/>
        <v>0</v>
      </c>
      <c r="BN328" t="e">
        <f t="shared" si="143"/>
        <v>#DIV/0!</v>
      </c>
    </row>
    <row r="329" spans="1:66" x14ac:dyDescent="0.25">
      <c r="A329">
        <v>2025</v>
      </c>
      <c r="B329" s="1">
        <f t="shared" si="144"/>
        <v>45981</v>
      </c>
      <c r="C329" s="2">
        <v>324</v>
      </c>
      <c r="D329">
        <v>70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L329">
        <f t="shared" si="145"/>
        <v>70.099999999999994</v>
      </c>
      <c r="AM329" s="4">
        <v>5.93</v>
      </c>
      <c r="AP329" s="7">
        <f t="shared" si="124"/>
        <v>0</v>
      </c>
      <c r="AQ329" s="7" t="e">
        <f t="shared" si="125"/>
        <v>#DIV/0!</v>
      </c>
      <c r="AS329">
        <f t="shared" si="126"/>
        <v>0</v>
      </c>
      <c r="AT329">
        <f t="shared" si="127"/>
        <v>0</v>
      </c>
      <c r="AU329">
        <f t="shared" si="128"/>
        <v>0</v>
      </c>
      <c r="AV329" t="s">
        <v>107</v>
      </c>
      <c r="AW329">
        <f t="shared" si="129"/>
        <v>0</v>
      </c>
      <c r="AX329">
        <f t="shared" si="130"/>
        <v>0</v>
      </c>
      <c r="AY329">
        <f t="shared" si="131"/>
        <v>0</v>
      </c>
      <c r="AZ329">
        <f t="shared" si="132"/>
        <v>0</v>
      </c>
      <c r="BA329" t="s">
        <v>107</v>
      </c>
      <c r="BB329">
        <f t="shared" si="133"/>
        <v>0</v>
      </c>
      <c r="BC329">
        <f t="shared" si="134"/>
        <v>0</v>
      </c>
      <c r="BD329">
        <f t="shared" si="135"/>
        <v>0</v>
      </c>
      <c r="BE329">
        <f t="shared" si="136"/>
        <v>0</v>
      </c>
      <c r="BF329" t="s">
        <v>107</v>
      </c>
      <c r="BG329">
        <f t="shared" si="137"/>
        <v>0</v>
      </c>
      <c r="BH329">
        <f t="shared" si="138"/>
        <v>0</v>
      </c>
      <c r="BI329">
        <f t="shared" si="139"/>
        <v>0</v>
      </c>
      <c r="BJ329">
        <f t="shared" si="140"/>
        <v>0</v>
      </c>
      <c r="BK329">
        <f t="shared" si="141"/>
        <v>0</v>
      </c>
      <c r="BL329">
        <f t="shared" si="142"/>
        <v>0</v>
      </c>
      <c r="BM329">
        <f t="shared" si="143"/>
        <v>0</v>
      </c>
      <c r="BN329" t="e">
        <f t="shared" si="143"/>
        <v>#DIV/0!</v>
      </c>
    </row>
    <row r="330" spans="1:66" x14ac:dyDescent="0.25">
      <c r="A330">
        <v>2025</v>
      </c>
      <c r="B330" s="1">
        <f t="shared" si="144"/>
        <v>45982</v>
      </c>
      <c r="C330" s="2">
        <v>325</v>
      </c>
      <c r="D330">
        <v>70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L330">
        <f t="shared" si="145"/>
        <v>70.099999999999994</v>
      </c>
      <c r="AM330" s="4">
        <v>5.83</v>
      </c>
      <c r="AP330" s="7">
        <f t="shared" si="124"/>
        <v>0</v>
      </c>
      <c r="AQ330" s="7" t="e">
        <f t="shared" si="125"/>
        <v>#DIV/0!</v>
      </c>
      <c r="AS330">
        <f t="shared" si="126"/>
        <v>0</v>
      </c>
      <c r="AT330">
        <f t="shared" si="127"/>
        <v>0</v>
      </c>
      <c r="AU330">
        <f t="shared" si="128"/>
        <v>0</v>
      </c>
      <c r="AV330" t="s">
        <v>107</v>
      </c>
      <c r="AW330">
        <f t="shared" si="129"/>
        <v>0</v>
      </c>
      <c r="AX330">
        <f t="shared" si="130"/>
        <v>0</v>
      </c>
      <c r="AY330">
        <f t="shared" si="131"/>
        <v>0</v>
      </c>
      <c r="AZ330">
        <f t="shared" si="132"/>
        <v>0</v>
      </c>
      <c r="BA330" t="s">
        <v>107</v>
      </c>
      <c r="BB330">
        <f t="shared" si="133"/>
        <v>0</v>
      </c>
      <c r="BC330">
        <f t="shared" si="134"/>
        <v>0</v>
      </c>
      <c r="BD330">
        <f t="shared" si="135"/>
        <v>0</v>
      </c>
      <c r="BE330">
        <f t="shared" si="136"/>
        <v>0</v>
      </c>
      <c r="BF330" t="s">
        <v>107</v>
      </c>
      <c r="BG330">
        <f t="shared" si="137"/>
        <v>0</v>
      </c>
      <c r="BH330">
        <f t="shared" si="138"/>
        <v>0</v>
      </c>
      <c r="BI330">
        <f t="shared" si="139"/>
        <v>0</v>
      </c>
      <c r="BJ330">
        <f t="shared" si="140"/>
        <v>0</v>
      </c>
      <c r="BK330">
        <f t="shared" si="141"/>
        <v>0</v>
      </c>
      <c r="BL330">
        <f t="shared" si="142"/>
        <v>0</v>
      </c>
      <c r="BM330">
        <f t="shared" si="143"/>
        <v>0</v>
      </c>
      <c r="BN330" t="e">
        <f t="shared" si="143"/>
        <v>#DIV/0!</v>
      </c>
    </row>
    <row r="331" spans="1:66" x14ac:dyDescent="0.25">
      <c r="A331">
        <v>2025</v>
      </c>
      <c r="B331" s="1">
        <f t="shared" si="144"/>
        <v>45983</v>
      </c>
      <c r="C331" s="2">
        <v>326</v>
      </c>
      <c r="D331">
        <v>70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L331">
        <f t="shared" si="145"/>
        <v>70.099999999999994</v>
      </c>
      <c r="AM331" s="4">
        <v>5.73</v>
      </c>
      <c r="AP331" s="7">
        <f t="shared" si="124"/>
        <v>0</v>
      </c>
      <c r="AQ331" s="7" t="e">
        <f t="shared" si="125"/>
        <v>#DIV/0!</v>
      </c>
      <c r="AS331">
        <f t="shared" si="126"/>
        <v>0</v>
      </c>
      <c r="AT331">
        <f t="shared" si="127"/>
        <v>0</v>
      </c>
      <c r="AU331">
        <f t="shared" si="128"/>
        <v>0</v>
      </c>
      <c r="AV331" t="s">
        <v>107</v>
      </c>
      <c r="AW331">
        <f t="shared" si="129"/>
        <v>0</v>
      </c>
      <c r="AX331">
        <f t="shared" si="130"/>
        <v>0</v>
      </c>
      <c r="AY331">
        <f t="shared" si="131"/>
        <v>0</v>
      </c>
      <c r="AZ331">
        <f t="shared" si="132"/>
        <v>0</v>
      </c>
      <c r="BA331" t="s">
        <v>107</v>
      </c>
      <c r="BB331">
        <f t="shared" si="133"/>
        <v>0</v>
      </c>
      <c r="BC331">
        <f t="shared" si="134"/>
        <v>0</v>
      </c>
      <c r="BD331">
        <f t="shared" si="135"/>
        <v>0</v>
      </c>
      <c r="BE331">
        <f t="shared" si="136"/>
        <v>0</v>
      </c>
      <c r="BF331" t="s">
        <v>107</v>
      </c>
      <c r="BG331">
        <f t="shared" si="137"/>
        <v>0</v>
      </c>
      <c r="BH331">
        <f t="shared" si="138"/>
        <v>0</v>
      </c>
      <c r="BI331">
        <f t="shared" si="139"/>
        <v>0</v>
      </c>
      <c r="BJ331">
        <f t="shared" si="140"/>
        <v>0</v>
      </c>
      <c r="BK331">
        <f t="shared" si="141"/>
        <v>0</v>
      </c>
      <c r="BL331">
        <f t="shared" si="142"/>
        <v>0</v>
      </c>
      <c r="BM331">
        <f t="shared" si="143"/>
        <v>0</v>
      </c>
      <c r="BN331" t="e">
        <f t="shared" si="143"/>
        <v>#DIV/0!</v>
      </c>
    </row>
    <row r="332" spans="1:66" x14ac:dyDescent="0.25">
      <c r="A332">
        <v>2025</v>
      </c>
      <c r="B332" s="1">
        <f t="shared" si="144"/>
        <v>45984</v>
      </c>
      <c r="C332" s="2">
        <v>327</v>
      </c>
      <c r="D332">
        <v>70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L332">
        <f t="shared" si="145"/>
        <v>70.099999999999994</v>
      </c>
      <c r="AM332" s="4">
        <v>5.64</v>
      </c>
      <c r="AP332" s="7">
        <f t="shared" si="124"/>
        <v>0</v>
      </c>
      <c r="AQ332" s="7" t="e">
        <f t="shared" si="125"/>
        <v>#DIV/0!</v>
      </c>
      <c r="AS332">
        <f t="shared" si="126"/>
        <v>0</v>
      </c>
      <c r="AT332">
        <f t="shared" si="127"/>
        <v>0</v>
      </c>
      <c r="AU332">
        <f t="shared" si="128"/>
        <v>0</v>
      </c>
      <c r="AV332" t="s">
        <v>107</v>
      </c>
      <c r="AW332">
        <f t="shared" si="129"/>
        <v>0</v>
      </c>
      <c r="AX332">
        <f t="shared" si="130"/>
        <v>0</v>
      </c>
      <c r="AY332">
        <f t="shared" si="131"/>
        <v>0</v>
      </c>
      <c r="AZ332">
        <f t="shared" si="132"/>
        <v>0</v>
      </c>
      <c r="BA332" t="s">
        <v>107</v>
      </c>
      <c r="BB332">
        <f t="shared" si="133"/>
        <v>0</v>
      </c>
      <c r="BC332">
        <f t="shared" si="134"/>
        <v>0</v>
      </c>
      <c r="BD332">
        <f t="shared" si="135"/>
        <v>0</v>
      </c>
      <c r="BE332">
        <f t="shared" si="136"/>
        <v>0</v>
      </c>
      <c r="BF332" t="s">
        <v>107</v>
      </c>
      <c r="BG332">
        <f t="shared" si="137"/>
        <v>0</v>
      </c>
      <c r="BH332">
        <f t="shared" si="138"/>
        <v>0</v>
      </c>
      <c r="BI332">
        <f t="shared" si="139"/>
        <v>0</v>
      </c>
      <c r="BJ332">
        <f t="shared" si="140"/>
        <v>0</v>
      </c>
      <c r="BK332">
        <f t="shared" si="141"/>
        <v>0</v>
      </c>
      <c r="BL332">
        <f t="shared" si="142"/>
        <v>0</v>
      </c>
      <c r="BM332">
        <f t="shared" si="143"/>
        <v>0</v>
      </c>
      <c r="BN332" t="e">
        <f t="shared" si="143"/>
        <v>#DIV/0!</v>
      </c>
    </row>
    <row r="333" spans="1:66" x14ac:dyDescent="0.25">
      <c r="A333">
        <v>2025</v>
      </c>
      <c r="B333" s="1">
        <f t="shared" si="144"/>
        <v>45985</v>
      </c>
      <c r="C333" s="2">
        <v>328</v>
      </c>
      <c r="D333">
        <v>70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L333">
        <f t="shared" si="145"/>
        <v>70.099999999999994</v>
      </c>
      <c r="AM333" s="4">
        <v>5.55</v>
      </c>
      <c r="AP333" s="7">
        <f t="shared" si="124"/>
        <v>0</v>
      </c>
      <c r="AQ333" s="7" t="e">
        <f t="shared" si="125"/>
        <v>#DIV/0!</v>
      </c>
      <c r="AS333">
        <f t="shared" si="126"/>
        <v>0</v>
      </c>
      <c r="AT333">
        <f t="shared" si="127"/>
        <v>0</v>
      </c>
      <c r="AU333">
        <f t="shared" si="128"/>
        <v>0</v>
      </c>
      <c r="AV333" t="s">
        <v>107</v>
      </c>
      <c r="AW333">
        <f t="shared" si="129"/>
        <v>0</v>
      </c>
      <c r="AX333">
        <f t="shared" si="130"/>
        <v>0</v>
      </c>
      <c r="AY333">
        <f t="shared" si="131"/>
        <v>0</v>
      </c>
      <c r="AZ333">
        <f t="shared" si="132"/>
        <v>0</v>
      </c>
      <c r="BA333" t="s">
        <v>107</v>
      </c>
      <c r="BB333">
        <f t="shared" si="133"/>
        <v>0</v>
      </c>
      <c r="BC333">
        <f t="shared" si="134"/>
        <v>0</v>
      </c>
      <c r="BD333">
        <f t="shared" si="135"/>
        <v>0</v>
      </c>
      <c r="BE333">
        <f t="shared" si="136"/>
        <v>0</v>
      </c>
      <c r="BF333" t="s">
        <v>107</v>
      </c>
      <c r="BG333">
        <f t="shared" si="137"/>
        <v>0</v>
      </c>
      <c r="BH333">
        <f t="shared" si="138"/>
        <v>0</v>
      </c>
      <c r="BI333">
        <f t="shared" si="139"/>
        <v>0</v>
      </c>
      <c r="BJ333">
        <f t="shared" si="140"/>
        <v>0</v>
      </c>
      <c r="BK333">
        <f t="shared" si="141"/>
        <v>0</v>
      </c>
      <c r="BL333">
        <f t="shared" si="142"/>
        <v>0</v>
      </c>
      <c r="BM333">
        <f t="shared" si="143"/>
        <v>0</v>
      </c>
      <c r="BN333" t="e">
        <f t="shared" si="143"/>
        <v>#DIV/0!</v>
      </c>
    </row>
    <row r="334" spans="1:66" x14ac:dyDescent="0.25">
      <c r="A334">
        <v>2025</v>
      </c>
      <c r="B334" s="1">
        <f t="shared" si="144"/>
        <v>45986</v>
      </c>
      <c r="C334" s="2">
        <v>329</v>
      </c>
      <c r="D334">
        <v>70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L334">
        <f t="shared" si="145"/>
        <v>70.099999999999994</v>
      </c>
      <c r="AM334" s="4">
        <v>5.47</v>
      </c>
      <c r="AP334" s="7">
        <f t="shared" si="124"/>
        <v>0</v>
      </c>
      <c r="AQ334" s="7" t="e">
        <f t="shared" si="125"/>
        <v>#DIV/0!</v>
      </c>
      <c r="AS334">
        <f t="shared" si="126"/>
        <v>0</v>
      </c>
      <c r="AT334">
        <f t="shared" si="127"/>
        <v>0</v>
      </c>
      <c r="AU334">
        <f t="shared" si="128"/>
        <v>0</v>
      </c>
      <c r="AV334" t="s">
        <v>107</v>
      </c>
      <c r="AW334">
        <f t="shared" si="129"/>
        <v>0</v>
      </c>
      <c r="AX334">
        <f t="shared" si="130"/>
        <v>0</v>
      </c>
      <c r="AY334">
        <f t="shared" si="131"/>
        <v>0</v>
      </c>
      <c r="AZ334">
        <f t="shared" si="132"/>
        <v>0</v>
      </c>
      <c r="BA334" t="s">
        <v>107</v>
      </c>
      <c r="BB334">
        <f t="shared" si="133"/>
        <v>0</v>
      </c>
      <c r="BC334">
        <f t="shared" si="134"/>
        <v>0</v>
      </c>
      <c r="BD334">
        <f t="shared" si="135"/>
        <v>0</v>
      </c>
      <c r="BE334">
        <f t="shared" si="136"/>
        <v>0</v>
      </c>
      <c r="BF334" t="s">
        <v>107</v>
      </c>
      <c r="BG334">
        <f t="shared" si="137"/>
        <v>0</v>
      </c>
      <c r="BH334">
        <f t="shared" si="138"/>
        <v>0</v>
      </c>
      <c r="BI334">
        <f t="shared" si="139"/>
        <v>0</v>
      </c>
      <c r="BJ334">
        <f t="shared" si="140"/>
        <v>0</v>
      </c>
      <c r="BK334">
        <f t="shared" si="141"/>
        <v>0</v>
      </c>
      <c r="BL334">
        <f t="shared" si="142"/>
        <v>0</v>
      </c>
      <c r="BM334">
        <f t="shared" si="143"/>
        <v>0</v>
      </c>
      <c r="BN334" t="e">
        <f t="shared" si="143"/>
        <v>#DIV/0!</v>
      </c>
    </row>
    <row r="335" spans="1:66" x14ac:dyDescent="0.25">
      <c r="A335">
        <v>2025</v>
      </c>
      <c r="B335" s="1">
        <f t="shared" si="144"/>
        <v>45987</v>
      </c>
      <c r="C335" s="2">
        <v>330</v>
      </c>
      <c r="D335">
        <v>70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L335">
        <f t="shared" si="145"/>
        <v>70.099999999999994</v>
      </c>
      <c r="AM335" s="4">
        <v>5.38</v>
      </c>
      <c r="AP335" s="7">
        <f t="shared" si="124"/>
        <v>0</v>
      </c>
      <c r="AQ335" s="7" t="e">
        <f t="shared" si="125"/>
        <v>#DIV/0!</v>
      </c>
      <c r="AS335">
        <f t="shared" si="126"/>
        <v>0</v>
      </c>
      <c r="AT335">
        <f t="shared" si="127"/>
        <v>0</v>
      </c>
      <c r="AU335">
        <f t="shared" si="128"/>
        <v>0</v>
      </c>
      <c r="AV335" t="s">
        <v>107</v>
      </c>
      <c r="AW335">
        <f t="shared" si="129"/>
        <v>0</v>
      </c>
      <c r="AX335">
        <f t="shared" si="130"/>
        <v>0</v>
      </c>
      <c r="AY335">
        <f t="shared" si="131"/>
        <v>0</v>
      </c>
      <c r="AZ335">
        <f t="shared" si="132"/>
        <v>0</v>
      </c>
      <c r="BA335" t="s">
        <v>107</v>
      </c>
      <c r="BB335">
        <f t="shared" si="133"/>
        <v>0</v>
      </c>
      <c r="BC335">
        <f t="shared" si="134"/>
        <v>0</v>
      </c>
      <c r="BD335">
        <f t="shared" si="135"/>
        <v>0</v>
      </c>
      <c r="BE335">
        <f t="shared" si="136"/>
        <v>0</v>
      </c>
      <c r="BF335" t="s">
        <v>107</v>
      </c>
      <c r="BG335">
        <f t="shared" si="137"/>
        <v>0</v>
      </c>
      <c r="BH335">
        <f t="shared" si="138"/>
        <v>0</v>
      </c>
      <c r="BI335">
        <f t="shared" si="139"/>
        <v>0</v>
      </c>
      <c r="BJ335">
        <f t="shared" si="140"/>
        <v>0</v>
      </c>
      <c r="BK335">
        <f t="shared" si="141"/>
        <v>0</v>
      </c>
      <c r="BL335">
        <f t="shared" si="142"/>
        <v>0</v>
      </c>
      <c r="BM335">
        <f t="shared" si="143"/>
        <v>0</v>
      </c>
      <c r="BN335" t="e">
        <f t="shared" si="143"/>
        <v>#DIV/0!</v>
      </c>
    </row>
    <row r="336" spans="1:66" x14ac:dyDescent="0.25">
      <c r="A336">
        <v>2025</v>
      </c>
      <c r="B336" s="1">
        <f t="shared" si="144"/>
        <v>45988</v>
      </c>
      <c r="C336" s="2">
        <v>331</v>
      </c>
      <c r="D336">
        <v>70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L336">
        <f t="shared" si="145"/>
        <v>70.099999999999994</v>
      </c>
      <c r="AM336" s="4">
        <v>5.31</v>
      </c>
      <c r="AP336" s="7">
        <f t="shared" si="124"/>
        <v>0</v>
      </c>
      <c r="AQ336" s="7" t="e">
        <f t="shared" si="125"/>
        <v>#DIV/0!</v>
      </c>
      <c r="AS336">
        <f t="shared" si="126"/>
        <v>0</v>
      </c>
      <c r="AT336">
        <f t="shared" si="127"/>
        <v>0</v>
      </c>
      <c r="AU336">
        <f t="shared" si="128"/>
        <v>0</v>
      </c>
      <c r="AV336" t="s">
        <v>107</v>
      </c>
      <c r="AW336">
        <f t="shared" si="129"/>
        <v>0</v>
      </c>
      <c r="AX336">
        <f t="shared" si="130"/>
        <v>0</v>
      </c>
      <c r="AY336">
        <f t="shared" si="131"/>
        <v>0</v>
      </c>
      <c r="AZ336">
        <f t="shared" si="132"/>
        <v>0</v>
      </c>
      <c r="BA336" t="s">
        <v>107</v>
      </c>
      <c r="BB336">
        <f t="shared" si="133"/>
        <v>0</v>
      </c>
      <c r="BC336">
        <f t="shared" si="134"/>
        <v>0</v>
      </c>
      <c r="BD336">
        <f t="shared" si="135"/>
        <v>0</v>
      </c>
      <c r="BE336">
        <f t="shared" si="136"/>
        <v>0</v>
      </c>
      <c r="BF336" t="s">
        <v>107</v>
      </c>
      <c r="BG336">
        <f t="shared" si="137"/>
        <v>0</v>
      </c>
      <c r="BH336">
        <f t="shared" si="138"/>
        <v>0</v>
      </c>
      <c r="BI336">
        <f t="shared" si="139"/>
        <v>0</v>
      </c>
      <c r="BJ336">
        <f t="shared" si="140"/>
        <v>0</v>
      </c>
      <c r="BK336">
        <f t="shared" si="141"/>
        <v>0</v>
      </c>
      <c r="BL336">
        <f t="shared" si="142"/>
        <v>0</v>
      </c>
      <c r="BM336">
        <f t="shared" si="143"/>
        <v>0</v>
      </c>
      <c r="BN336" t="e">
        <f t="shared" si="143"/>
        <v>#DIV/0!</v>
      </c>
    </row>
    <row r="337" spans="1:66" x14ac:dyDescent="0.25">
      <c r="A337">
        <v>2025</v>
      </c>
      <c r="B337" s="1">
        <f t="shared" si="144"/>
        <v>45989</v>
      </c>
      <c r="C337" s="2">
        <v>332</v>
      </c>
      <c r="D337">
        <v>70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L337">
        <f t="shared" si="145"/>
        <v>70.099999999999994</v>
      </c>
      <c r="AM337" s="4">
        <v>5.23</v>
      </c>
      <c r="AP337" s="7">
        <f t="shared" si="124"/>
        <v>0</v>
      </c>
      <c r="AQ337" s="7" t="e">
        <f t="shared" si="125"/>
        <v>#DIV/0!</v>
      </c>
      <c r="AS337">
        <f t="shared" si="126"/>
        <v>0</v>
      </c>
      <c r="AT337">
        <f t="shared" si="127"/>
        <v>0</v>
      </c>
      <c r="AU337">
        <f t="shared" si="128"/>
        <v>0</v>
      </c>
      <c r="AV337" t="s">
        <v>107</v>
      </c>
      <c r="AW337">
        <f t="shared" si="129"/>
        <v>0</v>
      </c>
      <c r="AX337">
        <f t="shared" si="130"/>
        <v>0</v>
      </c>
      <c r="AY337">
        <f t="shared" si="131"/>
        <v>0</v>
      </c>
      <c r="AZ337">
        <f t="shared" si="132"/>
        <v>0</v>
      </c>
      <c r="BA337" t="s">
        <v>107</v>
      </c>
      <c r="BB337">
        <f t="shared" si="133"/>
        <v>0</v>
      </c>
      <c r="BC337">
        <f t="shared" si="134"/>
        <v>0</v>
      </c>
      <c r="BD337">
        <f t="shared" si="135"/>
        <v>0</v>
      </c>
      <c r="BE337">
        <f t="shared" si="136"/>
        <v>0</v>
      </c>
      <c r="BF337" t="s">
        <v>107</v>
      </c>
      <c r="BG337">
        <f t="shared" si="137"/>
        <v>0</v>
      </c>
      <c r="BH337">
        <f t="shared" si="138"/>
        <v>0</v>
      </c>
      <c r="BI337">
        <f t="shared" si="139"/>
        <v>0</v>
      </c>
      <c r="BJ337">
        <f t="shared" si="140"/>
        <v>0</v>
      </c>
      <c r="BK337">
        <f t="shared" si="141"/>
        <v>0</v>
      </c>
      <c r="BL337">
        <f t="shared" si="142"/>
        <v>0</v>
      </c>
      <c r="BM337">
        <f t="shared" si="143"/>
        <v>0</v>
      </c>
      <c r="BN337" t="e">
        <f t="shared" si="143"/>
        <v>#DIV/0!</v>
      </c>
    </row>
    <row r="338" spans="1:66" x14ac:dyDescent="0.25">
      <c r="A338">
        <v>2025</v>
      </c>
      <c r="B338" s="1">
        <f t="shared" si="144"/>
        <v>45990</v>
      </c>
      <c r="C338" s="2">
        <v>333</v>
      </c>
      <c r="D338">
        <v>70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L338">
        <f t="shared" si="145"/>
        <v>70.099999999999994</v>
      </c>
      <c r="AM338" s="4">
        <v>5.16</v>
      </c>
      <c r="AP338" s="7">
        <f t="shared" si="124"/>
        <v>0</v>
      </c>
      <c r="AQ338" s="7" t="e">
        <f t="shared" si="125"/>
        <v>#DIV/0!</v>
      </c>
      <c r="AS338">
        <f t="shared" si="126"/>
        <v>0</v>
      </c>
      <c r="AT338">
        <f t="shared" si="127"/>
        <v>0</v>
      </c>
      <c r="AU338">
        <f t="shared" si="128"/>
        <v>0</v>
      </c>
      <c r="AV338" t="s">
        <v>107</v>
      </c>
      <c r="AW338">
        <f t="shared" si="129"/>
        <v>0</v>
      </c>
      <c r="AX338">
        <f t="shared" si="130"/>
        <v>0</v>
      </c>
      <c r="AY338">
        <f t="shared" si="131"/>
        <v>0</v>
      </c>
      <c r="AZ338">
        <f t="shared" si="132"/>
        <v>0</v>
      </c>
      <c r="BA338" t="s">
        <v>107</v>
      </c>
      <c r="BB338">
        <f t="shared" si="133"/>
        <v>0</v>
      </c>
      <c r="BC338">
        <f t="shared" si="134"/>
        <v>0</v>
      </c>
      <c r="BD338">
        <f t="shared" si="135"/>
        <v>0</v>
      </c>
      <c r="BE338">
        <f t="shared" si="136"/>
        <v>0</v>
      </c>
      <c r="BF338" t="s">
        <v>107</v>
      </c>
      <c r="BG338">
        <f t="shared" si="137"/>
        <v>0</v>
      </c>
      <c r="BH338">
        <f t="shared" si="138"/>
        <v>0</v>
      </c>
      <c r="BI338">
        <f t="shared" si="139"/>
        <v>0</v>
      </c>
      <c r="BJ338">
        <f t="shared" si="140"/>
        <v>0</v>
      </c>
      <c r="BK338">
        <f t="shared" si="141"/>
        <v>0</v>
      </c>
      <c r="BL338">
        <f t="shared" si="142"/>
        <v>0</v>
      </c>
      <c r="BM338">
        <f t="shared" si="143"/>
        <v>0</v>
      </c>
      <c r="BN338" t="e">
        <f t="shared" si="143"/>
        <v>#DIV/0!</v>
      </c>
    </row>
    <row r="339" spans="1:66" x14ac:dyDescent="0.25">
      <c r="A339">
        <v>2025</v>
      </c>
      <c r="B339" s="1">
        <f t="shared" si="144"/>
        <v>45991</v>
      </c>
      <c r="C339" s="2">
        <v>334</v>
      </c>
      <c r="D339">
        <v>70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L339">
        <f t="shared" si="145"/>
        <v>70.099999999999994</v>
      </c>
      <c r="AM339" s="4">
        <v>5.09</v>
      </c>
      <c r="AP339" s="7">
        <f t="shared" si="124"/>
        <v>0</v>
      </c>
      <c r="AQ339" s="7" t="e">
        <f t="shared" si="125"/>
        <v>#DIV/0!</v>
      </c>
      <c r="AS339">
        <f t="shared" si="126"/>
        <v>0</v>
      </c>
      <c r="AT339">
        <f t="shared" si="127"/>
        <v>0</v>
      </c>
      <c r="AU339">
        <f t="shared" si="128"/>
        <v>0</v>
      </c>
      <c r="AV339" t="s">
        <v>107</v>
      </c>
      <c r="AW339">
        <f t="shared" si="129"/>
        <v>0</v>
      </c>
      <c r="AX339">
        <f t="shared" si="130"/>
        <v>0</v>
      </c>
      <c r="AY339">
        <f t="shared" si="131"/>
        <v>0</v>
      </c>
      <c r="AZ339">
        <f t="shared" si="132"/>
        <v>0</v>
      </c>
      <c r="BA339" t="s">
        <v>107</v>
      </c>
      <c r="BB339">
        <f t="shared" si="133"/>
        <v>0</v>
      </c>
      <c r="BC339">
        <f t="shared" si="134"/>
        <v>0</v>
      </c>
      <c r="BD339">
        <f t="shared" si="135"/>
        <v>0</v>
      </c>
      <c r="BE339">
        <f t="shared" si="136"/>
        <v>0</v>
      </c>
      <c r="BF339" t="s">
        <v>107</v>
      </c>
      <c r="BG339">
        <f t="shared" si="137"/>
        <v>0</v>
      </c>
      <c r="BH339">
        <f t="shared" si="138"/>
        <v>0</v>
      </c>
      <c r="BI339">
        <f t="shared" si="139"/>
        <v>0</v>
      </c>
      <c r="BJ339">
        <f t="shared" si="140"/>
        <v>0</v>
      </c>
      <c r="BK339">
        <f t="shared" si="141"/>
        <v>0</v>
      </c>
      <c r="BL339">
        <f t="shared" si="142"/>
        <v>0</v>
      </c>
      <c r="BM339">
        <f t="shared" si="143"/>
        <v>0</v>
      </c>
      <c r="BN339" t="e">
        <f t="shared" si="143"/>
        <v>#DIV/0!</v>
      </c>
    </row>
    <row r="340" spans="1:66" x14ac:dyDescent="0.25">
      <c r="A340">
        <v>2025</v>
      </c>
      <c r="B340" s="1">
        <f t="shared" si="144"/>
        <v>45992</v>
      </c>
      <c r="C340" s="2">
        <v>335</v>
      </c>
      <c r="D340">
        <v>70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L340">
        <f t="shared" si="145"/>
        <v>70.099999999999994</v>
      </c>
      <c r="AM340" s="4">
        <v>5.03</v>
      </c>
      <c r="AP340" s="7">
        <f t="shared" si="124"/>
        <v>0</v>
      </c>
      <c r="AQ340" s="7" t="e">
        <f t="shared" si="125"/>
        <v>#DIV/0!</v>
      </c>
      <c r="AS340">
        <f t="shared" si="126"/>
        <v>0</v>
      </c>
      <c r="AT340">
        <f t="shared" si="127"/>
        <v>0</v>
      </c>
      <c r="AU340">
        <f t="shared" si="128"/>
        <v>0</v>
      </c>
      <c r="AV340" t="s">
        <v>107</v>
      </c>
      <c r="AW340">
        <f t="shared" si="129"/>
        <v>0</v>
      </c>
      <c r="AX340">
        <f t="shared" si="130"/>
        <v>0</v>
      </c>
      <c r="AY340">
        <f t="shared" si="131"/>
        <v>0</v>
      </c>
      <c r="AZ340">
        <f t="shared" si="132"/>
        <v>0</v>
      </c>
      <c r="BA340" t="s">
        <v>107</v>
      </c>
      <c r="BB340">
        <f t="shared" si="133"/>
        <v>0</v>
      </c>
      <c r="BC340">
        <f t="shared" si="134"/>
        <v>0</v>
      </c>
      <c r="BD340">
        <f t="shared" si="135"/>
        <v>0</v>
      </c>
      <c r="BE340">
        <f t="shared" si="136"/>
        <v>0</v>
      </c>
      <c r="BF340" t="s">
        <v>107</v>
      </c>
      <c r="BG340">
        <f t="shared" si="137"/>
        <v>0</v>
      </c>
      <c r="BH340">
        <f t="shared" si="138"/>
        <v>0</v>
      </c>
      <c r="BI340">
        <f t="shared" si="139"/>
        <v>0</v>
      </c>
      <c r="BJ340">
        <f t="shared" si="140"/>
        <v>0</v>
      </c>
      <c r="BK340">
        <f t="shared" si="141"/>
        <v>0</v>
      </c>
      <c r="BL340">
        <f t="shared" si="142"/>
        <v>0</v>
      </c>
      <c r="BM340">
        <f t="shared" si="143"/>
        <v>0</v>
      </c>
      <c r="BN340" t="e">
        <f t="shared" si="143"/>
        <v>#DIV/0!</v>
      </c>
    </row>
    <row r="341" spans="1:66" x14ac:dyDescent="0.25">
      <c r="A341">
        <v>2025</v>
      </c>
      <c r="B341" s="1">
        <f t="shared" si="144"/>
        <v>45993</v>
      </c>
      <c r="C341" s="2">
        <v>336</v>
      </c>
      <c r="D341">
        <v>70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L341">
        <f t="shared" si="145"/>
        <v>70.099999999999994</v>
      </c>
      <c r="AM341" s="4">
        <v>4.96</v>
      </c>
      <c r="AP341" s="7">
        <f t="shared" si="124"/>
        <v>0</v>
      </c>
      <c r="AQ341" s="7" t="e">
        <f t="shared" si="125"/>
        <v>#DIV/0!</v>
      </c>
      <c r="AS341">
        <f t="shared" si="126"/>
        <v>0</v>
      </c>
      <c r="AT341">
        <f t="shared" si="127"/>
        <v>0</v>
      </c>
      <c r="AU341">
        <f t="shared" si="128"/>
        <v>0</v>
      </c>
      <c r="AV341" t="s">
        <v>107</v>
      </c>
      <c r="AW341">
        <f t="shared" si="129"/>
        <v>0</v>
      </c>
      <c r="AX341">
        <f t="shared" si="130"/>
        <v>0</v>
      </c>
      <c r="AY341">
        <f t="shared" si="131"/>
        <v>0</v>
      </c>
      <c r="AZ341">
        <f t="shared" si="132"/>
        <v>0</v>
      </c>
      <c r="BA341" t="s">
        <v>107</v>
      </c>
      <c r="BB341">
        <f t="shared" si="133"/>
        <v>0</v>
      </c>
      <c r="BC341">
        <f t="shared" si="134"/>
        <v>0</v>
      </c>
      <c r="BD341">
        <f t="shared" si="135"/>
        <v>0</v>
      </c>
      <c r="BE341">
        <f t="shared" si="136"/>
        <v>0</v>
      </c>
      <c r="BF341" t="s">
        <v>107</v>
      </c>
      <c r="BG341">
        <f t="shared" si="137"/>
        <v>0</v>
      </c>
      <c r="BH341">
        <f t="shared" si="138"/>
        <v>0</v>
      </c>
      <c r="BI341">
        <f t="shared" si="139"/>
        <v>0</v>
      </c>
      <c r="BJ341">
        <f t="shared" si="140"/>
        <v>0</v>
      </c>
      <c r="BK341">
        <f t="shared" si="141"/>
        <v>0</v>
      </c>
      <c r="BL341">
        <f t="shared" si="142"/>
        <v>0</v>
      </c>
      <c r="BM341">
        <f t="shared" si="143"/>
        <v>0</v>
      </c>
      <c r="BN341" t="e">
        <f t="shared" si="143"/>
        <v>#DIV/0!</v>
      </c>
    </row>
    <row r="342" spans="1:66" x14ac:dyDescent="0.25">
      <c r="A342">
        <v>2025</v>
      </c>
      <c r="B342" s="1">
        <f t="shared" si="144"/>
        <v>45994</v>
      </c>
      <c r="C342" s="2">
        <v>337</v>
      </c>
      <c r="D342">
        <v>70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L342">
        <f t="shared" si="145"/>
        <v>70.099999999999994</v>
      </c>
      <c r="AM342" s="4">
        <v>4.9000000000000004</v>
      </c>
      <c r="AP342" s="7">
        <f t="shared" si="124"/>
        <v>0</v>
      </c>
      <c r="AQ342" s="7" t="e">
        <f t="shared" si="125"/>
        <v>#DIV/0!</v>
      </c>
      <c r="AS342">
        <f t="shared" si="126"/>
        <v>0</v>
      </c>
      <c r="AT342">
        <f t="shared" si="127"/>
        <v>0</v>
      </c>
      <c r="AU342">
        <f t="shared" si="128"/>
        <v>0</v>
      </c>
      <c r="AV342" t="s">
        <v>107</v>
      </c>
      <c r="AW342">
        <f t="shared" si="129"/>
        <v>0</v>
      </c>
      <c r="AX342">
        <f t="shared" si="130"/>
        <v>0</v>
      </c>
      <c r="AY342">
        <f t="shared" si="131"/>
        <v>0</v>
      </c>
      <c r="AZ342">
        <f t="shared" si="132"/>
        <v>0</v>
      </c>
      <c r="BA342" t="s">
        <v>107</v>
      </c>
      <c r="BB342">
        <f t="shared" si="133"/>
        <v>0</v>
      </c>
      <c r="BC342">
        <f t="shared" si="134"/>
        <v>0</v>
      </c>
      <c r="BD342">
        <f t="shared" si="135"/>
        <v>0</v>
      </c>
      <c r="BE342">
        <f t="shared" si="136"/>
        <v>0</v>
      </c>
      <c r="BF342" t="s">
        <v>107</v>
      </c>
      <c r="BG342">
        <f t="shared" si="137"/>
        <v>0</v>
      </c>
      <c r="BH342">
        <f t="shared" si="138"/>
        <v>0</v>
      </c>
      <c r="BI342">
        <f t="shared" si="139"/>
        <v>0</v>
      </c>
      <c r="BJ342">
        <f t="shared" si="140"/>
        <v>0</v>
      </c>
      <c r="BK342">
        <f t="shared" si="141"/>
        <v>0</v>
      </c>
      <c r="BL342">
        <f t="shared" si="142"/>
        <v>0</v>
      </c>
      <c r="BM342">
        <f t="shared" si="143"/>
        <v>0</v>
      </c>
      <c r="BN342" t="e">
        <f t="shared" si="143"/>
        <v>#DIV/0!</v>
      </c>
    </row>
    <row r="343" spans="1:66" x14ac:dyDescent="0.25">
      <c r="A343">
        <v>2025</v>
      </c>
      <c r="B343" s="1">
        <f t="shared" si="144"/>
        <v>45995</v>
      </c>
      <c r="C343" s="2">
        <v>338</v>
      </c>
      <c r="D343">
        <v>70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L343">
        <f t="shared" si="145"/>
        <v>70.099999999999994</v>
      </c>
      <c r="AM343" s="4">
        <v>4.8499999999999996</v>
      </c>
      <c r="AP343" s="7">
        <f t="shared" si="124"/>
        <v>0</v>
      </c>
      <c r="AQ343" s="7" t="e">
        <f t="shared" si="125"/>
        <v>#DIV/0!</v>
      </c>
      <c r="AS343">
        <f t="shared" si="126"/>
        <v>0</v>
      </c>
      <c r="AT343">
        <f t="shared" si="127"/>
        <v>0</v>
      </c>
      <c r="AU343">
        <f t="shared" si="128"/>
        <v>0</v>
      </c>
      <c r="AV343" t="s">
        <v>107</v>
      </c>
      <c r="AW343">
        <f t="shared" si="129"/>
        <v>0</v>
      </c>
      <c r="AX343">
        <f t="shared" si="130"/>
        <v>0</v>
      </c>
      <c r="AY343">
        <f t="shared" si="131"/>
        <v>0</v>
      </c>
      <c r="AZ343">
        <f t="shared" si="132"/>
        <v>0</v>
      </c>
      <c r="BA343" t="s">
        <v>107</v>
      </c>
      <c r="BB343">
        <f t="shared" si="133"/>
        <v>0</v>
      </c>
      <c r="BC343">
        <f t="shared" si="134"/>
        <v>0</v>
      </c>
      <c r="BD343">
        <f t="shared" si="135"/>
        <v>0</v>
      </c>
      <c r="BE343">
        <f t="shared" si="136"/>
        <v>0</v>
      </c>
      <c r="BF343" t="s">
        <v>107</v>
      </c>
      <c r="BG343">
        <f t="shared" si="137"/>
        <v>0</v>
      </c>
      <c r="BH343">
        <f t="shared" si="138"/>
        <v>0</v>
      </c>
      <c r="BI343">
        <f t="shared" si="139"/>
        <v>0</v>
      </c>
      <c r="BJ343">
        <f t="shared" si="140"/>
        <v>0</v>
      </c>
      <c r="BK343">
        <f t="shared" si="141"/>
        <v>0</v>
      </c>
      <c r="BL343">
        <f t="shared" si="142"/>
        <v>0</v>
      </c>
      <c r="BM343">
        <f t="shared" si="143"/>
        <v>0</v>
      </c>
      <c r="BN343" t="e">
        <f t="shared" si="143"/>
        <v>#DIV/0!</v>
      </c>
    </row>
    <row r="344" spans="1:66" x14ac:dyDescent="0.25">
      <c r="A344">
        <v>2025</v>
      </c>
      <c r="B344" s="1">
        <f t="shared" si="144"/>
        <v>45996</v>
      </c>
      <c r="C344" s="2">
        <v>339</v>
      </c>
      <c r="D344">
        <v>70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L344">
        <f t="shared" si="145"/>
        <v>70.099999999999994</v>
      </c>
      <c r="AM344" s="4">
        <v>4.79</v>
      </c>
      <c r="AP344" s="7">
        <f t="shared" si="124"/>
        <v>0</v>
      </c>
      <c r="AQ344" s="7" t="e">
        <f t="shared" si="125"/>
        <v>#DIV/0!</v>
      </c>
      <c r="AS344">
        <f t="shared" si="126"/>
        <v>0</v>
      </c>
      <c r="AT344">
        <f t="shared" si="127"/>
        <v>0</v>
      </c>
      <c r="AU344">
        <f t="shared" si="128"/>
        <v>0</v>
      </c>
      <c r="AV344" t="s">
        <v>107</v>
      </c>
      <c r="AW344">
        <f t="shared" si="129"/>
        <v>0</v>
      </c>
      <c r="AX344">
        <f t="shared" si="130"/>
        <v>0</v>
      </c>
      <c r="AY344">
        <f t="shared" si="131"/>
        <v>0</v>
      </c>
      <c r="AZ344">
        <f t="shared" si="132"/>
        <v>0</v>
      </c>
      <c r="BA344" t="s">
        <v>107</v>
      </c>
      <c r="BB344">
        <f t="shared" si="133"/>
        <v>0</v>
      </c>
      <c r="BC344">
        <f t="shared" si="134"/>
        <v>0</v>
      </c>
      <c r="BD344">
        <f t="shared" si="135"/>
        <v>0</v>
      </c>
      <c r="BE344">
        <f t="shared" si="136"/>
        <v>0</v>
      </c>
      <c r="BF344" t="s">
        <v>107</v>
      </c>
      <c r="BG344">
        <f t="shared" si="137"/>
        <v>0</v>
      </c>
      <c r="BH344">
        <f t="shared" si="138"/>
        <v>0</v>
      </c>
      <c r="BI344">
        <f t="shared" si="139"/>
        <v>0</v>
      </c>
      <c r="BJ344">
        <f t="shared" si="140"/>
        <v>0</v>
      </c>
      <c r="BK344">
        <f t="shared" si="141"/>
        <v>0</v>
      </c>
      <c r="BL344">
        <f t="shared" si="142"/>
        <v>0</v>
      </c>
      <c r="BM344">
        <f t="shared" si="143"/>
        <v>0</v>
      </c>
      <c r="BN344" t="e">
        <f t="shared" si="143"/>
        <v>#DIV/0!</v>
      </c>
    </row>
    <row r="345" spans="1:66" x14ac:dyDescent="0.25">
      <c r="A345">
        <v>2025</v>
      </c>
      <c r="B345" s="1">
        <f t="shared" si="144"/>
        <v>45997</v>
      </c>
      <c r="C345" s="2">
        <v>340</v>
      </c>
      <c r="D345">
        <v>70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L345">
        <f t="shared" si="145"/>
        <v>70.099999999999994</v>
      </c>
      <c r="AM345" s="4">
        <v>4.75</v>
      </c>
      <c r="AP345" s="7">
        <f t="shared" si="124"/>
        <v>0</v>
      </c>
      <c r="AQ345" s="7" t="e">
        <f t="shared" si="125"/>
        <v>#DIV/0!</v>
      </c>
      <c r="AS345">
        <f t="shared" si="126"/>
        <v>0</v>
      </c>
      <c r="AT345">
        <f t="shared" si="127"/>
        <v>0</v>
      </c>
      <c r="AU345">
        <f t="shared" si="128"/>
        <v>0</v>
      </c>
      <c r="AV345" t="s">
        <v>107</v>
      </c>
      <c r="AW345">
        <f t="shared" si="129"/>
        <v>0</v>
      </c>
      <c r="AX345">
        <f t="shared" si="130"/>
        <v>0</v>
      </c>
      <c r="AY345">
        <f t="shared" si="131"/>
        <v>0</v>
      </c>
      <c r="AZ345">
        <f t="shared" si="132"/>
        <v>0</v>
      </c>
      <c r="BA345" t="s">
        <v>107</v>
      </c>
      <c r="BB345">
        <f t="shared" si="133"/>
        <v>0</v>
      </c>
      <c r="BC345">
        <f t="shared" si="134"/>
        <v>0</v>
      </c>
      <c r="BD345">
        <f t="shared" si="135"/>
        <v>0</v>
      </c>
      <c r="BE345">
        <f t="shared" si="136"/>
        <v>0</v>
      </c>
      <c r="BF345" t="s">
        <v>107</v>
      </c>
      <c r="BG345">
        <f t="shared" si="137"/>
        <v>0</v>
      </c>
      <c r="BH345">
        <f t="shared" si="138"/>
        <v>0</v>
      </c>
      <c r="BI345">
        <f t="shared" si="139"/>
        <v>0</v>
      </c>
      <c r="BJ345">
        <f t="shared" si="140"/>
        <v>0</v>
      </c>
      <c r="BK345">
        <f t="shared" si="141"/>
        <v>0</v>
      </c>
      <c r="BL345">
        <f t="shared" si="142"/>
        <v>0</v>
      </c>
      <c r="BM345">
        <f t="shared" si="143"/>
        <v>0</v>
      </c>
      <c r="BN345" t="e">
        <f t="shared" si="143"/>
        <v>#DIV/0!</v>
      </c>
    </row>
    <row r="346" spans="1:66" x14ac:dyDescent="0.25">
      <c r="A346">
        <v>2025</v>
      </c>
      <c r="B346" s="1">
        <f t="shared" si="144"/>
        <v>45998</v>
      </c>
      <c r="C346" s="2">
        <v>341</v>
      </c>
      <c r="D346">
        <v>70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L346">
        <f t="shared" si="145"/>
        <v>70.099999999999994</v>
      </c>
      <c r="AM346" s="4">
        <v>4.7</v>
      </c>
      <c r="AP346" s="7">
        <f t="shared" si="124"/>
        <v>0</v>
      </c>
      <c r="AQ346" s="7" t="e">
        <f t="shared" si="125"/>
        <v>#DIV/0!</v>
      </c>
      <c r="AS346">
        <f t="shared" si="126"/>
        <v>0</v>
      </c>
      <c r="AT346">
        <f t="shared" si="127"/>
        <v>0</v>
      </c>
      <c r="AU346">
        <f t="shared" si="128"/>
        <v>0</v>
      </c>
      <c r="AV346" t="s">
        <v>107</v>
      </c>
      <c r="AW346">
        <f t="shared" si="129"/>
        <v>0</v>
      </c>
      <c r="AX346">
        <f t="shared" si="130"/>
        <v>0</v>
      </c>
      <c r="AY346">
        <f t="shared" si="131"/>
        <v>0</v>
      </c>
      <c r="AZ346">
        <f t="shared" si="132"/>
        <v>0</v>
      </c>
      <c r="BA346" t="s">
        <v>107</v>
      </c>
      <c r="BB346">
        <f t="shared" si="133"/>
        <v>0</v>
      </c>
      <c r="BC346">
        <f t="shared" si="134"/>
        <v>0</v>
      </c>
      <c r="BD346">
        <f t="shared" si="135"/>
        <v>0</v>
      </c>
      <c r="BE346">
        <f t="shared" si="136"/>
        <v>0</v>
      </c>
      <c r="BF346" t="s">
        <v>107</v>
      </c>
      <c r="BG346">
        <f t="shared" si="137"/>
        <v>0</v>
      </c>
      <c r="BH346">
        <f t="shared" si="138"/>
        <v>0</v>
      </c>
      <c r="BI346">
        <f t="shared" si="139"/>
        <v>0</v>
      </c>
      <c r="BJ346">
        <f t="shared" si="140"/>
        <v>0</v>
      </c>
      <c r="BK346">
        <f t="shared" si="141"/>
        <v>0</v>
      </c>
      <c r="BL346">
        <f t="shared" si="142"/>
        <v>0</v>
      </c>
      <c r="BM346">
        <f t="shared" si="143"/>
        <v>0</v>
      </c>
      <c r="BN346" t="e">
        <f t="shared" si="143"/>
        <v>#DIV/0!</v>
      </c>
    </row>
    <row r="347" spans="1:66" x14ac:dyDescent="0.25">
      <c r="A347">
        <v>2025</v>
      </c>
      <c r="B347" s="1">
        <f t="shared" si="144"/>
        <v>45999</v>
      </c>
      <c r="C347" s="2">
        <v>342</v>
      </c>
      <c r="D347">
        <v>70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L347">
        <f t="shared" si="145"/>
        <v>70.099999999999994</v>
      </c>
      <c r="AM347" s="4">
        <v>4.66</v>
      </c>
      <c r="AP347" s="7">
        <f t="shared" si="124"/>
        <v>0</v>
      </c>
      <c r="AQ347" s="7" t="e">
        <f t="shared" si="125"/>
        <v>#DIV/0!</v>
      </c>
      <c r="AS347">
        <f t="shared" si="126"/>
        <v>0</v>
      </c>
      <c r="AT347">
        <f t="shared" si="127"/>
        <v>0</v>
      </c>
      <c r="AU347">
        <f t="shared" si="128"/>
        <v>0</v>
      </c>
      <c r="AV347" t="s">
        <v>107</v>
      </c>
      <c r="AW347">
        <f t="shared" si="129"/>
        <v>0</v>
      </c>
      <c r="AX347">
        <f t="shared" si="130"/>
        <v>0</v>
      </c>
      <c r="AY347">
        <f t="shared" si="131"/>
        <v>0</v>
      </c>
      <c r="AZ347">
        <f t="shared" si="132"/>
        <v>0</v>
      </c>
      <c r="BA347" t="s">
        <v>107</v>
      </c>
      <c r="BB347">
        <f t="shared" si="133"/>
        <v>0</v>
      </c>
      <c r="BC347">
        <f t="shared" si="134"/>
        <v>0</v>
      </c>
      <c r="BD347">
        <f t="shared" si="135"/>
        <v>0</v>
      </c>
      <c r="BE347">
        <f t="shared" si="136"/>
        <v>0</v>
      </c>
      <c r="BF347" t="s">
        <v>107</v>
      </c>
      <c r="BG347">
        <f t="shared" si="137"/>
        <v>0</v>
      </c>
      <c r="BH347">
        <f t="shared" si="138"/>
        <v>0</v>
      </c>
      <c r="BI347">
        <f t="shared" si="139"/>
        <v>0</v>
      </c>
      <c r="BJ347">
        <f t="shared" si="140"/>
        <v>0</v>
      </c>
      <c r="BK347">
        <f t="shared" si="141"/>
        <v>0</v>
      </c>
      <c r="BL347">
        <f t="shared" si="142"/>
        <v>0</v>
      </c>
      <c r="BM347">
        <f t="shared" si="143"/>
        <v>0</v>
      </c>
      <c r="BN347" t="e">
        <f t="shared" si="143"/>
        <v>#DIV/0!</v>
      </c>
    </row>
    <row r="348" spans="1:66" x14ac:dyDescent="0.25">
      <c r="A348">
        <v>2025</v>
      </c>
      <c r="B348" s="1">
        <f t="shared" si="144"/>
        <v>46000</v>
      </c>
      <c r="C348" s="2">
        <v>343</v>
      </c>
      <c r="D348">
        <v>70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L348">
        <f t="shared" si="145"/>
        <v>70.099999999999994</v>
      </c>
      <c r="AM348" s="4">
        <v>4.62</v>
      </c>
      <c r="AP348" s="7">
        <f t="shared" si="124"/>
        <v>0</v>
      </c>
      <c r="AQ348" s="7" t="e">
        <f t="shared" si="125"/>
        <v>#DIV/0!</v>
      </c>
      <c r="AS348">
        <f t="shared" si="126"/>
        <v>0</v>
      </c>
      <c r="AT348">
        <f t="shared" si="127"/>
        <v>0</v>
      </c>
      <c r="AU348">
        <f t="shared" si="128"/>
        <v>0</v>
      </c>
      <c r="AV348" t="s">
        <v>107</v>
      </c>
      <c r="AW348">
        <f t="shared" si="129"/>
        <v>0</v>
      </c>
      <c r="AX348">
        <f t="shared" si="130"/>
        <v>0</v>
      </c>
      <c r="AY348">
        <f t="shared" si="131"/>
        <v>0</v>
      </c>
      <c r="AZ348">
        <f t="shared" si="132"/>
        <v>0</v>
      </c>
      <c r="BA348" t="s">
        <v>107</v>
      </c>
      <c r="BB348">
        <f t="shared" si="133"/>
        <v>0</v>
      </c>
      <c r="BC348">
        <f t="shared" si="134"/>
        <v>0</v>
      </c>
      <c r="BD348">
        <f t="shared" si="135"/>
        <v>0</v>
      </c>
      <c r="BE348">
        <f t="shared" si="136"/>
        <v>0</v>
      </c>
      <c r="BF348" t="s">
        <v>107</v>
      </c>
      <c r="BG348">
        <f t="shared" si="137"/>
        <v>0</v>
      </c>
      <c r="BH348">
        <f t="shared" si="138"/>
        <v>0</v>
      </c>
      <c r="BI348">
        <f t="shared" si="139"/>
        <v>0</v>
      </c>
      <c r="BJ348">
        <f t="shared" si="140"/>
        <v>0</v>
      </c>
      <c r="BK348">
        <f t="shared" si="141"/>
        <v>0</v>
      </c>
      <c r="BL348">
        <f t="shared" si="142"/>
        <v>0</v>
      </c>
      <c r="BM348">
        <f t="shared" si="143"/>
        <v>0</v>
      </c>
      <c r="BN348" t="e">
        <f t="shared" si="143"/>
        <v>#DIV/0!</v>
      </c>
    </row>
    <row r="349" spans="1:66" x14ac:dyDescent="0.25">
      <c r="A349">
        <v>2025</v>
      </c>
      <c r="B349" s="1">
        <f t="shared" si="144"/>
        <v>46001</v>
      </c>
      <c r="C349" s="2">
        <v>344</v>
      </c>
      <c r="D349">
        <v>70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L349">
        <f t="shared" si="145"/>
        <v>70.099999999999994</v>
      </c>
      <c r="AM349" s="4">
        <v>4.58</v>
      </c>
      <c r="AP349" s="7">
        <f t="shared" si="124"/>
        <v>0</v>
      </c>
      <c r="AQ349" s="7" t="e">
        <f t="shared" si="125"/>
        <v>#DIV/0!</v>
      </c>
      <c r="AS349">
        <f t="shared" si="126"/>
        <v>0</v>
      </c>
      <c r="AT349">
        <f t="shared" si="127"/>
        <v>0</v>
      </c>
      <c r="AU349">
        <f t="shared" si="128"/>
        <v>0</v>
      </c>
      <c r="AV349" t="s">
        <v>107</v>
      </c>
      <c r="AW349">
        <f t="shared" si="129"/>
        <v>0</v>
      </c>
      <c r="AX349">
        <f t="shared" si="130"/>
        <v>0</v>
      </c>
      <c r="AY349">
        <f t="shared" si="131"/>
        <v>0</v>
      </c>
      <c r="AZ349">
        <f t="shared" si="132"/>
        <v>0</v>
      </c>
      <c r="BA349" t="s">
        <v>107</v>
      </c>
      <c r="BB349">
        <f t="shared" si="133"/>
        <v>0</v>
      </c>
      <c r="BC349">
        <f t="shared" si="134"/>
        <v>0</v>
      </c>
      <c r="BD349">
        <f t="shared" si="135"/>
        <v>0</v>
      </c>
      <c r="BE349">
        <f t="shared" si="136"/>
        <v>0</v>
      </c>
      <c r="BF349" t="s">
        <v>107</v>
      </c>
      <c r="BG349">
        <f t="shared" si="137"/>
        <v>0</v>
      </c>
      <c r="BH349">
        <f t="shared" si="138"/>
        <v>0</v>
      </c>
      <c r="BI349">
        <f t="shared" si="139"/>
        <v>0</v>
      </c>
      <c r="BJ349">
        <f t="shared" si="140"/>
        <v>0</v>
      </c>
      <c r="BK349">
        <f t="shared" si="141"/>
        <v>0</v>
      </c>
      <c r="BL349">
        <f t="shared" si="142"/>
        <v>0</v>
      </c>
      <c r="BM349">
        <f t="shared" si="143"/>
        <v>0</v>
      </c>
      <c r="BN349" t="e">
        <f t="shared" si="143"/>
        <v>#DIV/0!</v>
      </c>
    </row>
    <row r="350" spans="1:66" x14ac:dyDescent="0.25">
      <c r="A350">
        <v>2025</v>
      </c>
      <c r="B350" s="1">
        <f t="shared" si="144"/>
        <v>46002</v>
      </c>
      <c r="C350" s="2">
        <v>345</v>
      </c>
      <c r="D350">
        <v>70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L350">
        <f t="shared" si="145"/>
        <v>70.099999999999994</v>
      </c>
      <c r="AM350" s="4">
        <v>4.5599999999999996</v>
      </c>
      <c r="AP350" s="7">
        <f t="shared" si="124"/>
        <v>0</v>
      </c>
      <c r="AQ350" s="7" t="e">
        <f t="shared" si="125"/>
        <v>#DIV/0!</v>
      </c>
      <c r="AS350">
        <f t="shared" si="126"/>
        <v>0</v>
      </c>
      <c r="AT350">
        <f t="shared" si="127"/>
        <v>0</v>
      </c>
      <c r="AU350">
        <f t="shared" si="128"/>
        <v>0</v>
      </c>
      <c r="AV350" t="s">
        <v>107</v>
      </c>
      <c r="AW350">
        <f t="shared" si="129"/>
        <v>0</v>
      </c>
      <c r="AX350">
        <f t="shared" si="130"/>
        <v>0</v>
      </c>
      <c r="AY350">
        <f t="shared" si="131"/>
        <v>0</v>
      </c>
      <c r="AZ350">
        <f t="shared" si="132"/>
        <v>0</v>
      </c>
      <c r="BA350" t="s">
        <v>107</v>
      </c>
      <c r="BB350">
        <f t="shared" si="133"/>
        <v>0</v>
      </c>
      <c r="BC350">
        <f t="shared" si="134"/>
        <v>0</v>
      </c>
      <c r="BD350">
        <f t="shared" si="135"/>
        <v>0</v>
      </c>
      <c r="BE350">
        <f t="shared" si="136"/>
        <v>0</v>
      </c>
      <c r="BF350" t="s">
        <v>107</v>
      </c>
      <c r="BG350">
        <f t="shared" si="137"/>
        <v>0</v>
      </c>
      <c r="BH350">
        <f t="shared" si="138"/>
        <v>0</v>
      </c>
      <c r="BI350">
        <f t="shared" si="139"/>
        <v>0</v>
      </c>
      <c r="BJ350">
        <f t="shared" si="140"/>
        <v>0</v>
      </c>
      <c r="BK350">
        <f t="shared" si="141"/>
        <v>0</v>
      </c>
      <c r="BL350">
        <f t="shared" si="142"/>
        <v>0</v>
      </c>
      <c r="BM350">
        <f t="shared" si="143"/>
        <v>0</v>
      </c>
      <c r="BN350" t="e">
        <f t="shared" si="143"/>
        <v>#DIV/0!</v>
      </c>
    </row>
    <row r="351" spans="1:66" x14ac:dyDescent="0.25">
      <c r="A351">
        <v>2025</v>
      </c>
      <c r="B351" s="1">
        <f t="shared" si="144"/>
        <v>46003</v>
      </c>
      <c r="C351" s="2">
        <v>346</v>
      </c>
      <c r="D351">
        <v>70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L351">
        <f t="shared" si="145"/>
        <v>70.099999999999994</v>
      </c>
      <c r="AM351" s="4">
        <v>4.5199999999999996</v>
      </c>
      <c r="AP351" s="7">
        <f t="shared" si="124"/>
        <v>0</v>
      </c>
      <c r="AQ351" s="7" t="e">
        <f t="shared" si="125"/>
        <v>#DIV/0!</v>
      </c>
      <c r="AS351">
        <f t="shared" si="126"/>
        <v>0</v>
      </c>
      <c r="AT351">
        <f t="shared" si="127"/>
        <v>0</v>
      </c>
      <c r="AU351">
        <f t="shared" si="128"/>
        <v>0</v>
      </c>
      <c r="AV351" t="s">
        <v>107</v>
      </c>
      <c r="AW351">
        <f t="shared" si="129"/>
        <v>0</v>
      </c>
      <c r="AX351">
        <f t="shared" si="130"/>
        <v>0</v>
      </c>
      <c r="AY351">
        <f t="shared" si="131"/>
        <v>0</v>
      </c>
      <c r="AZ351">
        <f t="shared" si="132"/>
        <v>0</v>
      </c>
      <c r="BA351" t="s">
        <v>107</v>
      </c>
      <c r="BB351">
        <f t="shared" si="133"/>
        <v>0</v>
      </c>
      <c r="BC351">
        <f t="shared" si="134"/>
        <v>0</v>
      </c>
      <c r="BD351">
        <f t="shared" si="135"/>
        <v>0</v>
      </c>
      <c r="BE351">
        <f t="shared" si="136"/>
        <v>0</v>
      </c>
      <c r="BF351" t="s">
        <v>107</v>
      </c>
      <c r="BG351">
        <f t="shared" si="137"/>
        <v>0</v>
      </c>
      <c r="BH351">
        <f t="shared" si="138"/>
        <v>0</v>
      </c>
      <c r="BI351">
        <f t="shared" si="139"/>
        <v>0</v>
      </c>
      <c r="BJ351">
        <f t="shared" si="140"/>
        <v>0</v>
      </c>
      <c r="BK351">
        <f t="shared" si="141"/>
        <v>0</v>
      </c>
      <c r="BL351">
        <f t="shared" si="142"/>
        <v>0</v>
      </c>
      <c r="BM351">
        <f t="shared" si="143"/>
        <v>0</v>
      </c>
      <c r="BN351" t="e">
        <f t="shared" si="143"/>
        <v>#DIV/0!</v>
      </c>
    </row>
    <row r="352" spans="1:66" x14ac:dyDescent="0.25">
      <c r="A352">
        <v>2025</v>
      </c>
      <c r="B352" s="1">
        <f t="shared" si="144"/>
        <v>46004</v>
      </c>
      <c r="C352" s="2">
        <v>347</v>
      </c>
      <c r="D352">
        <v>70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L352">
        <f t="shared" si="145"/>
        <v>70.099999999999994</v>
      </c>
      <c r="AM352" s="4">
        <v>4.49</v>
      </c>
      <c r="AP352" s="7">
        <f t="shared" si="124"/>
        <v>0</v>
      </c>
      <c r="AQ352" s="7" t="e">
        <f t="shared" si="125"/>
        <v>#DIV/0!</v>
      </c>
      <c r="AS352">
        <f t="shared" si="126"/>
        <v>0</v>
      </c>
      <c r="AT352">
        <f t="shared" si="127"/>
        <v>0</v>
      </c>
      <c r="AU352">
        <f t="shared" si="128"/>
        <v>0</v>
      </c>
      <c r="AV352" t="s">
        <v>107</v>
      </c>
      <c r="AW352">
        <f t="shared" si="129"/>
        <v>0</v>
      </c>
      <c r="AX352">
        <f t="shared" si="130"/>
        <v>0</v>
      </c>
      <c r="AY352">
        <f t="shared" si="131"/>
        <v>0</v>
      </c>
      <c r="AZ352">
        <f t="shared" si="132"/>
        <v>0</v>
      </c>
      <c r="BA352" t="s">
        <v>107</v>
      </c>
      <c r="BB352">
        <f t="shared" si="133"/>
        <v>0</v>
      </c>
      <c r="BC352">
        <f t="shared" si="134"/>
        <v>0</v>
      </c>
      <c r="BD352">
        <f t="shared" si="135"/>
        <v>0</v>
      </c>
      <c r="BE352">
        <f t="shared" si="136"/>
        <v>0</v>
      </c>
      <c r="BF352" t="s">
        <v>107</v>
      </c>
      <c r="BG352">
        <f t="shared" si="137"/>
        <v>0</v>
      </c>
      <c r="BH352">
        <f t="shared" si="138"/>
        <v>0</v>
      </c>
      <c r="BI352">
        <f t="shared" si="139"/>
        <v>0</v>
      </c>
      <c r="BJ352">
        <f t="shared" si="140"/>
        <v>0</v>
      </c>
      <c r="BK352">
        <f t="shared" si="141"/>
        <v>0</v>
      </c>
      <c r="BL352">
        <f t="shared" si="142"/>
        <v>0</v>
      </c>
      <c r="BM352">
        <f t="shared" si="143"/>
        <v>0</v>
      </c>
      <c r="BN352" t="e">
        <f t="shared" si="143"/>
        <v>#DIV/0!</v>
      </c>
    </row>
    <row r="353" spans="1:66" x14ac:dyDescent="0.25">
      <c r="A353">
        <v>2025</v>
      </c>
      <c r="B353" s="1">
        <f t="shared" si="144"/>
        <v>46005</v>
      </c>
      <c r="C353" s="2">
        <v>348</v>
      </c>
      <c r="D353">
        <v>70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L353">
        <f t="shared" si="145"/>
        <v>70.099999999999994</v>
      </c>
      <c r="AM353" s="4">
        <v>4.47</v>
      </c>
      <c r="AP353" s="7">
        <f t="shared" si="124"/>
        <v>0</v>
      </c>
      <c r="AQ353" s="7" t="e">
        <f t="shared" si="125"/>
        <v>#DIV/0!</v>
      </c>
      <c r="AS353">
        <f t="shared" si="126"/>
        <v>0</v>
      </c>
      <c r="AT353">
        <f t="shared" si="127"/>
        <v>0</v>
      </c>
      <c r="AU353">
        <f t="shared" si="128"/>
        <v>0</v>
      </c>
      <c r="AV353" t="s">
        <v>107</v>
      </c>
      <c r="AW353">
        <f t="shared" si="129"/>
        <v>0</v>
      </c>
      <c r="AX353">
        <f t="shared" si="130"/>
        <v>0</v>
      </c>
      <c r="AY353">
        <f t="shared" si="131"/>
        <v>0</v>
      </c>
      <c r="AZ353">
        <f t="shared" si="132"/>
        <v>0</v>
      </c>
      <c r="BA353" t="s">
        <v>107</v>
      </c>
      <c r="BB353">
        <f t="shared" si="133"/>
        <v>0</v>
      </c>
      <c r="BC353">
        <f t="shared" si="134"/>
        <v>0</v>
      </c>
      <c r="BD353">
        <f t="shared" si="135"/>
        <v>0</v>
      </c>
      <c r="BE353">
        <f t="shared" si="136"/>
        <v>0</v>
      </c>
      <c r="BF353" t="s">
        <v>107</v>
      </c>
      <c r="BG353">
        <f t="shared" si="137"/>
        <v>0</v>
      </c>
      <c r="BH353">
        <f t="shared" si="138"/>
        <v>0</v>
      </c>
      <c r="BI353">
        <f t="shared" si="139"/>
        <v>0</v>
      </c>
      <c r="BJ353">
        <f t="shared" si="140"/>
        <v>0</v>
      </c>
      <c r="BK353">
        <f t="shared" si="141"/>
        <v>0</v>
      </c>
      <c r="BL353">
        <f t="shared" si="142"/>
        <v>0</v>
      </c>
      <c r="BM353">
        <f t="shared" si="143"/>
        <v>0</v>
      </c>
      <c r="BN353" t="e">
        <f t="shared" si="143"/>
        <v>#DIV/0!</v>
      </c>
    </row>
    <row r="354" spans="1:66" x14ac:dyDescent="0.25">
      <c r="A354">
        <v>2025</v>
      </c>
      <c r="B354" s="1">
        <f t="shared" si="144"/>
        <v>46006</v>
      </c>
      <c r="C354" s="2">
        <v>349</v>
      </c>
      <c r="D354">
        <v>70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L354">
        <f t="shared" si="145"/>
        <v>70.099999999999994</v>
      </c>
      <c r="AM354" s="4">
        <v>4.45</v>
      </c>
      <c r="AP354" s="7">
        <f t="shared" si="124"/>
        <v>0</v>
      </c>
      <c r="AQ354" s="7" t="e">
        <f t="shared" si="125"/>
        <v>#DIV/0!</v>
      </c>
      <c r="AS354">
        <f t="shared" si="126"/>
        <v>0</v>
      </c>
      <c r="AT354">
        <f t="shared" si="127"/>
        <v>0</v>
      </c>
      <c r="AU354">
        <f t="shared" si="128"/>
        <v>0</v>
      </c>
      <c r="AV354" t="s">
        <v>107</v>
      </c>
      <c r="AW354">
        <f t="shared" si="129"/>
        <v>0</v>
      </c>
      <c r="AX354">
        <f t="shared" si="130"/>
        <v>0</v>
      </c>
      <c r="AY354">
        <f t="shared" si="131"/>
        <v>0</v>
      </c>
      <c r="AZ354">
        <f t="shared" si="132"/>
        <v>0</v>
      </c>
      <c r="BA354" t="s">
        <v>107</v>
      </c>
      <c r="BB354">
        <f t="shared" si="133"/>
        <v>0</v>
      </c>
      <c r="BC354">
        <f t="shared" si="134"/>
        <v>0</v>
      </c>
      <c r="BD354">
        <f t="shared" si="135"/>
        <v>0</v>
      </c>
      <c r="BE354">
        <f t="shared" si="136"/>
        <v>0</v>
      </c>
      <c r="BF354" t="s">
        <v>107</v>
      </c>
      <c r="BG354">
        <f t="shared" si="137"/>
        <v>0</v>
      </c>
      <c r="BH354">
        <f t="shared" si="138"/>
        <v>0</v>
      </c>
      <c r="BI354">
        <f t="shared" si="139"/>
        <v>0</v>
      </c>
      <c r="BJ354">
        <f t="shared" si="140"/>
        <v>0</v>
      </c>
      <c r="BK354">
        <f t="shared" si="141"/>
        <v>0</v>
      </c>
      <c r="BL354">
        <f t="shared" si="142"/>
        <v>0</v>
      </c>
      <c r="BM354">
        <f t="shared" si="143"/>
        <v>0</v>
      </c>
      <c r="BN354" t="e">
        <f t="shared" si="143"/>
        <v>#DIV/0!</v>
      </c>
    </row>
    <row r="355" spans="1:66" x14ac:dyDescent="0.25">
      <c r="A355">
        <v>2025</v>
      </c>
      <c r="B355" s="1">
        <f t="shared" si="144"/>
        <v>46007</v>
      </c>
      <c r="C355" s="2">
        <v>350</v>
      </c>
      <c r="D355">
        <v>70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L355">
        <f t="shared" si="145"/>
        <v>70.099999999999994</v>
      </c>
      <c r="AM355" s="4">
        <v>4.4400000000000004</v>
      </c>
      <c r="AP355" s="7">
        <f t="shared" si="124"/>
        <v>0</v>
      </c>
      <c r="AQ355" s="7" t="e">
        <f t="shared" si="125"/>
        <v>#DIV/0!</v>
      </c>
      <c r="AS355">
        <f t="shared" si="126"/>
        <v>0</v>
      </c>
      <c r="AT355">
        <f t="shared" si="127"/>
        <v>0</v>
      </c>
      <c r="AU355">
        <f t="shared" si="128"/>
        <v>0</v>
      </c>
      <c r="AV355" t="s">
        <v>107</v>
      </c>
      <c r="AW355">
        <f t="shared" si="129"/>
        <v>0</v>
      </c>
      <c r="AX355">
        <f t="shared" si="130"/>
        <v>0</v>
      </c>
      <c r="AY355">
        <f t="shared" si="131"/>
        <v>0</v>
      </c>
      <c r="AZ355">
        <f t="shared" si="132"/>
        <v>0</v>
      </c>
      <c r="BA355" t="s">
        <v>107</v>
      </c>
      <c r="BB355">
        <f t="shared" si="133"/>
        <v>0</v>
      </c>
      <c r="BC355">
        <f t="shared" si="134"/>
        <v>0</v>
      </c>
      <c r="BD355">
        <f t="shared" si="135"/>
        <v>0</v>
      </c>
      <c r="BE355">
        <f t="shared" si="136"/>
        <v>0</v>
      </c>
      <c r="BF355" t="s">
        <v>107</v>
      </c>
      <c r="BG355">
        <f t="shared" si="137"/>
        <v>0</v>
      </c>
      <c r="BH355">
        <f t="shared" si="138"/>
        <v>0</v>
      </c>
      <c r="BI355">
        <f t="shared" si="139"/>
        <v>0</v>
      </c>
      <c r="BJ355">
        <f t="shared" si="140"/>
        <v>0</v>
      </c>
      <c r="BK355">
        <f t="shared" si="141"/>
        <v>0</v>
      </c>
      <c r="BL355">
        <f t="shared" si="142"/>
        <v>0</v>
      </c>
      <c r="BM355">
        <f t="shared" si="143"/>
        <v>0</v>
      </c>
      <c r="BN355" t="e">
        <f t="shared" si="143"/>
        <v>#DIV/0!</v>
      </c>
    </row>
    <row r="356" spans="1:66" x14ac:dyDescent="0.25">
      <c r="A356">
        <v>2025</v>
      </c>
      <c r="B356" s="1">
        <f t="shared" si="144"/>
        <v>46008</v>
      </c>
      <c r="C356" s="2">
        <v>351</v>
      </c>
      <c r="D356">
        <v>70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L356">
        <f t="shared" si="145"/>
        <v>70.099999999999994</v>
      </c>
      <c r="AM356" s="4">
        <v>4.43</v>
      </c>
      <c r="AP356" s="7">
        <f t="shared" si="124"/>
        <v>0</v>
      </c>
      <c r="AQ356" s="7" t="e">
        <f t="shared" si="125"/>
        <v>#DIV/0!</v>
      </c>
      <c r="AS356">
        <f t="shared" si="126"/>
        <v>0</v>
      </c>
      <c r="AT356">
        <f t="shared" si="127"/>
        <v>0</v>
      </c>
      <c r="AU356">
        <f t="shared" si="128"/>
        <v>0</v>
      </c>
      <c r="AV356" t="s">
        <v>107</v>
      </c>
      <c r="AW356">
        <f t="shared" si="129"/>
        <v>0</v>
      </c>
      <c r="AX356">
        <f t="shared" si="130"/>
        <v>0</v>
      </c>
      <c r="AY356">
        <f t="shared" si="131"/>
        <v>0</v>
      </c>
      <c r="AZ356">
        <f t="shared" si="132"/>
        <v>0</v>
      </c>
      <c r="BA356" t="s">
        <v>107</v>
      </c>
      <c r="BB356">
        <f t="shared" si="133"/>
        <v>0</v>
      </c>
      <c r="BC356">
        <f t="shared" si="134"/>
        <v>0</v>
      </c>
      <c r="BD356">
        <f t="shared" si="135"/>
        <v>0</v>
      </c>
      <c r="BE356">
        <f t="shared" si="136"/>
        <v>0</v>
      </c>
      <c r="BF356" t="s">
        <v>107</v>
      </c>
      <c r="BG356">
        <f t="shared" si="137"/>
        <v>0</v>
      </c>
      <c r="BH356">
        <f t="shared" si="138"/>
        <v>0</v>
      </c>
      <c r="BI356">
        <f t="shared" si="139"/>
        <v>0</v>
      </c>
      <c r="BJ356">
        <f t="shared" si="140"/>
        <v>0</v>
      </c>
      <c r="BK356">
        <f t="shared" si="141"/>
        <v>0</v>
      </c>
      <c r="BL356">
        <f t="shared" si="142"/>
        <v>0</v>
      </c>
      <c r="BM356">
        <f t="shared" si="143"/>
        <v>0</v>
      </c>
      <c r="BN356" t="e">
        <f t="shared" si="143"/>
        <v>#DIV/0!</v>
      </c>
    </row>
    <row r="357" spans="1:66" x14ac:dyDescent="0.25">
      <c r="A357">
        <v>2025</v>
      </c>
      <c r="B357" s="1">
        <f t="shared" si="144"/>
        <v>46009</v>
      </c>
      <c r="C357" s="2">
        <v>352</v>
      </c>
      <c r="D357">
        <v>70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L357">
        <f t="shared" si="145"/>
        <v>70.099999999999994</v>
      </c>
      <c r="AM357" s="4">
        <v>4.42</v>
      </c>
      <c r="AP357" s="7">
        <f t="shared" si="124"/>
        <v>0</v>
      </c>
      <c r="AQ357" s="7" t="e">
        <f t="shared" si="125"/>
        <v>#DIV/0!</v>
      </c>
      <c r="AS357">
        <f t="shared" si="126"/>
        <v>0</v>
      </c>
      <c r="AT357">
        <f t="shared" si="127"/>
        <v>0</v>
      </c>
      <c r="AU357">
        <f t="shared" si="128"/>
        <v>0</v>
      </c>
      <c r="AV357" t="s">
        <v>107</v>
      </c>
      <c r="AW357">
        <f t="shared" si="129"/>
        <v>0</v>
      </c>
      <c r="AX357">
        <f t="shared" si="130"/>
        <v>0</v>
      </c>
      <c r="AY357">
        <f t="shared" si="131"/>
        <v>0</v>
      </c>
      <c r="AZ357">
        <f t="shared" si="132"/>
        <v>0</v>
      </c>
      <c r="BA357" t="s">
        <v>107</v>
      </c>
      <c r="BB357">
        <f t="shared" si="133"/>
        <v>0</v>
      </c>
      <c r="BC357">
        <f t="shared" si="134"/>
        <v>0</v>
      </c>
      <c r="BD357">
        <f t="shared" si="135"/>
        <v>0</v>
      </c>
      <c r="BE357">
        <f t="shared" si="136"/>
        <v>0</v>
      </c>
      <c r="BF357" t="s">
        <v>107</v>
      </c>
      <c r="BG357">
        <f t="shared" si="137"/>
        <v>0</v>
      </c>
      <c r="BH357">
        <f t="shared" si="138"/>
        <v>0</v>
      </c>
      <c r="BI357">
        <f t="shared" si="139"/>
        <v>0</v>
      </c>
      <c r="BJ357">
        <f t="shared" si="140"/>
        <v>0</v>
      </c>
      <c r="BK357">
        <f t="shared" si="141"/>
        <v>0</v>
      </c>
      <c r="BL357">
        <f t="shared" si="142"/>
        <v>0</v>
      </c>
      <c r="BM357">
        <f t="shared" si="143"/>
        <v>0</v>
      </c>
      <c r="BN357" t="e">
        <f t="shared" si="143"/>
        <v>#DIV/0!</v>
      </c>
    </row>
    <row r="358" spans="1:66" x14ac:dyDescent="0.25">
      <c r="A358">
        <v>2025</v>
      </c>
      <c r="B358" s="1">
        <f t="shared" si="144"/>
        <v>46010</v>
      </c>
      <c r="C358" s="2">
        <v>353</v>
      </c>
      <c r="D358">
        <v>70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L358">
        <f t="shared" si="145"/>
        <v>70.099999999999994</v>
      </c>
      <c r="AM358" s="4">
        <v>4.41</v>
      </c>
      <c r="AP358" s="7">
        <f t="shared" si="124"/>
        <v>0</v>
      </c>
      <c r="AQ358" s="7" t="e">
        <f t="shared" si="125"/>
        <v>#DIV/0!</v>
      </c>
      <c r="AS358">
        <f t="shared" si="126"/>
        <v>0</v>
      </c>
      <c r="AT358">
        <f t="shared" si="127"/>
        <v>0</v>
      </c>
      <c r="AU358">
        <f t="shared" si="128"/>
        <v>0</v>
      </c>
      <c r="AV358" t="s">
        <v>107</v>
      </c>
      <c r="AW358">
        <f t="shared" si="129"/>
        <v>0</v>
      </c>
      <c r="AX358">
        <f t="shared" si="130"/>
        <v>0</v>
      </c>
      <c r="AY358">
        <f t="shared" si="131"/>
        <v>0</v>
      </c>
      <c r="AZ358">
        <f t="shared" si="132"/>
        <v>0</v>
      </c>
      <c r="BA358" t="s">
        <v>107</v>
      </c>
      <c r="BB358">
        <f t="shared" si="133"/>
        <v>0</v>
      </c>
      <c r="BC358">
        <f t="shared" si="134"/>
        <v>0</v>
      </c>
      <c r="BD358">
        <f t="shared" si="135"/>
        <v>0</v>
      </c>
      <c r="BE358">
        <f t="shared" si="136"/>
        <v>0</v>
      </c>
      <c r="BF358" t="s">
        <v>107</v>
      </c>
      <c r="BG358">
        <f t="shared" si="137"/>
        <v>0</v>
      </c>
      <c r="BH358">
        <f t="shared" si="138"/>
        <v>0</v>
      </c>
      <c r="BI358">
        <f t="shared" si="139"/>
        <v>0</v>
      </c>
      <c r="BJ358">
        <f t="shared" si="140"/>
        <v>0</v>
      </c>
      <c r="BK358">
        <f t="shared" si="141"/>
        <v>0</v>
      </c>
      <c r="BL358">
        <f t="shared" si="142"/>
        <v>0</v>
      </c>
      <c r="BM358">
        <f t="shared" si="143"/>
        <v>0</v>
      </c>
      <c r="BN358" t="e">
        <f t="shared" si="143"/>
        <v>#DIV/0!</v>
      </c>
    </row>
    <row r="359" spans="1:66" x14ac:dyDescent="0.25">
      <c r="A359">
        <v>2025</v>
      </c>
      <c r="B359" s="1">
        <f t="shared" si="144"/>
        <v>46011</v>
      </c>
      <c r="C359" s="2">
        <v>354</v>
      </c>
      <c r="D359">
        <v>70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L359">
        <f t="shared" si="145"/>
        <v>70.099999999999994</v>
      </c>
      <c r="AM359" s="4">
        <v>4.41</v>
      </c>
      <c r="AP359" s="7">
        <f t="shared" si="124"/>
        <v>0</v>
      </c>
      <c r="AQ359" s="7" t="e">
        <f t="shared" si="125"/>
        <v>#DIV/0!</v>
      </c>
      <c r="AS359">
        <f t="shared" si="126"/>
        <v>0</v>
      </c>
      <c r="AT359">
        <f t="shared" si="127"/>
        <v>0</v>
      </c>
      <c r="AU359">
        <f t="shared" si="128"/>
        <v>0</v>
      </c>
      <c r="AV359" t="s">
        <v>107</v>
      </c>
      <c r="AW359">
        <f t="shared" si="129"/>
        <v>0</v>
      </c>
      <c r="AX359">
        <f t="shared" si="130"/>
        <v>0</v>
      </c>
      <c r="AY359">
        <f t="shared" si="131"/>
        <v>0</v>
      </c>
      <c r="AZ359">
        <f t="shared" si="132"/>
        <v>0</v>
      </c>
      <c r="BA359" t="s">
        <v>107</v>
      </c>
      <c r="BB359">
        <f t="shared" si="133"/>
        <v>0</v>
      </c>
      <c r="BC359">
        <f t="shared" si="134"/>
        <v>0</v>
      </c>
      <c r="BD359">
        <f t="shared" si="135"/>
        <v>0</v>
      </c>
      <c r="BE359">
        <f t="shared" si="136"/>
        <v>0</v>
      </c>
      <c r="BF359" t="s">
        <v>107</v>
      </c>
      <c r="BG359">
        <f t="shared" si="137"/>
        <v>0</v>
      </c>
      <c r="BH359">
        <f t="shared" si="138"/>
        <v>0</v>
      </c>
      <c r="BI359">
        <f t="shared" si="139"/>
        <v>0</v>
      </c>
      <c r="BJ359">
        <f t="shared" si="140"/>
        <v>0</v>
      </c>
      <c r="BK359">
        <f t="shared" si="141"/>
        <v>0</v>
      </c>
      <c r="BL359">
        <f t="shared" si="142"/>
        <v>0</v>
      </c>
      <c r="BM359">
        <f t="shared" si="143"/>
        <v>0</v>
      </c>
      <c r="BN359" t="e">
        <f t="shared" si="143"/>
        <v>#DIV/0!</v>
      </c>
    </row>
    <row r="360" spans="1:66" x14ac:dyDescent="0.25">
      <c r="A360">
        <v>2025</v>
      </c>
      <c r="B360" s="1">
        <f t="shared" si="144"/>
        <v>46012</v>
      </c>
      <c r="C360" s="2">
        <v>355</v>
      </c>
      <c r="D360">
        <v>70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L360">
        <f t="shared" si="145"/>
        <v>70.099999999999994</v>
      </c>
      <c r="AM360" s="4">
        <v>4.41</v>
      </c>
      <c r="AP360" s="7">
        <f t="shared" si="124"/>
        <v>0</v>
      </c>
      <c r="AQ360" s="7" t="e">
        <f t="shared" si="125"/>
        <v>#DIV/0!</v>
      </c>
      <c r="AS360">
        <f t="shared" si="126"/>
        <v>0</v>
      </c>
      <c r="AT360">
        <f t="shared" si="127"/>
        <v>0</v>
      </c>
      <c r="AU360">
        <f t="shared" si="128"/>
        <v>0</v>
      </c>
      <c r="AV360" t="s">
        <v>107</v>
      </c>
      <c r="AW360">
        <f t="shared" si="129"/>
        <v>0</v>
      </c>
      <c r="AX360">
        <f t="shared" si="130"/>
        <v>0</v>
      </c>
      <c r="AY360">
        <f t="shared" si="131"/>
        <v>0</v>
      </c>
      <c r="AZ360">
        <f t="shared" si="132"/>
        <v>0</v>
      </c>
      <c r="BA360" t="s">
        <v>107</v>
      </c>
      <c r="BB360">
        <f t="shared" si="133"/>
        <v>0</v>
      </c>
      <c r="BC360">
        <f t="shared" si="134"/>
        <v>0</v>
      </c>
      <c r="BD360">
        <f t="shared" si="135"/>
        <v>0</v>
      </c>
      <c r="BE360">
        <f t="shared" si="136"/>
        <v>0</v>
      </c>
      <c r="BF360" t="s">
        <v>107</v>
      </c>
      <c r="BG360">
        <f t="shared" si="137"/>
        <v>0</v>
      </c>
      <c r="BH360">
        <f t="shared" si="138"/>
        <v>0</v>
      </c>
      <c r="BI360">
        <f t="shared" si="139"/>
        <v>0</v>
      </c>
      <c r="BJ360">
        <f t="shared" si="140"/>
        <v>0</v>
      </c>
      <c r="BK360">
        <f t="shared" si="141"/>
        <v>0</v>
      </c>
      <c r="BL360">
        <f t="shared" si="142"/>
        <v>0</v>
      </c>
      <c r="BM360">
        <f t="shared" si="143"/>
        <v>0</v>
      </c>
      <c r="BN360" t="e">
        <f t="shared" si="143"/>
        <v>#DIV/0!</v>
      </c>
    </row>
    <row r="361" spans="1:66" x14ac:dyDescent="0.25">
      <c r="A361">
        <v>2025</v>
      </c>
      <c r="B361" s="1">
        <f t="shared" si="144"/>
        <v>46013</v>
      </c>
      <c r="C361" s="2">
        <v>356</v>
      </c>
      <c r="D361">
        <v>70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L361">
        <f t="shared" si="145"/>
        <v>70.099999999999994</v>
      </c>
      <c r="AM361" s="4">
        <v>4.41</v>
      </c>
      <c r="AP361" s="7">
        <f t="shared" si="124"/>
        <v>0</v>
      </c>
      <c r="AQ361" s="7" t="e">
        <f t="shared" si="125"/>
        <v>#DIV/0!</v>
      </c>
      <c r="AS361">
        <f t="shared" si="126"/>
        <v>0</v>
      </c>
      <c r="AT361">
        <f t="shared" si="127"/>
        <v>0</v>
      </c>
      <c r="AU361">
        <f t="shared" si="128"/>
        <v>0</v>
      </c>
      <c r="AV361" t="s">
        <v>107</v>
      </c>
      <c r="AW361">
        <f t="shared" si="129"/>
        <v>0</v>
      </c>
      <c r="AX361">
        <f t="shared" si="130"/>
        <v>0</v>
      </c>
      <c r="AY361">
        <f t="shared" si="131"/>
        <v>0</v>
      </c>
      <c r="AZ361">
        <f t="shared" si="132"/>
        <v>0</v>
      </c>
      <c r="BA361" t="s">
        <v>107</v>
      </c>
      <c r="BB361">
        <f t="shared" si="133"/>
        <v>0</v>
      </c>
      <c r="BC361">
        <f t="shared" si="134"/>
        <v>0</v>
      </c>
      <c r="BD361">
        <f t="shared" si="135"/>
        <v>0</v>
      </c>
      <c r="BE361">
        <f t="shared" si="136"/>
        <v>0</v>
      </c>
      <c r="BF361" t="s">
        <v>107</v>
      </c>
      <c r="BG361">
        <f t="shared" si="137"/>
        <v>0</v>
      </c>
      <c r="BH361">
        <f t="shared" si="138"/>
        <v>0</v>
      </c>
      <c r="BI361">
        <f t="shared" si="139"/>
        <v>0</v>
      </c>
      <c r="BJ361">
        <f t="shared" si="140"/>
        <v>0</v>
      </c>
      <c r="BK361">
        <f t="shared" si="141"/>
        <v>0</v>
      </c>
      <c r="BL361">
        <f t="shared" si="142"/>
        <v>0</v>
      </c>
      <c r="BM361">
        <f t="shared" si="143"/>
        <v>0</v>
      </c>
      <c r="BN361" t="e">
        <f t="shared" si="143"/>
        <v>#DIV/0!</v>
      </c>
    </row>
    <row r="362" spans="1:66" x14ac:dyDescent="0.25">
      <c r="A362">
        <v>2025</v>
      </c>
      <c r="B362" s="1">
        <f t="shared" si="144"/>
        <v>46014</v>
      </c>
      <c r="C362" s="2">
        <v>357</v>
      </c>
      <c r="D362">
        <v>70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L362">
        <f t="shared" si="145"/>
        <v>70.099999999999994</v>
      </c>
      <c r="AM362" s="4">
        <v>4.42</v>
      </c>
      <c r="AP362" s="7">
        <f t="shared" si="124"/>
        <v>0</v>
      </c>
      <c r="AQ362" s="7" t="e">
        <f t="shared" si="125"/>
        <v>#DIV/0!</v>
      </c>
      <c r="AS362">
        <f t="shared" si="126"/>
        <v>0</v>
      </c>
      <c r="AT362">
        <f t="shared" si="127"/>
        <v>0</v>
      </c>
      <c r="AU362">
        <f t="shared" si="128"/>
        <v>0</v>
      </c>
      <c r="AV362" t="s">
        <v>107</v>
      </c>
      <c r="AW362">
        <f t="shared" si="129"/>
        <v>0</v>
      </c>
      <c r="AX362">
        <f t="shared" si="130"/>
        <v>0</v>
      </c>
      <c r="AY362">
        <f t="shared" si="131"/>
        <v>0</v>
      </c>
      <c r="AZ362">
        <f t="shared" si="132"/>
        <v>0</v>
      </c>
      <c r="BA362" t="s">
        <v>107</v>
      </c>
      <c r="BB362">
        <f t="shared" si="133"/>
        <v>0</v>
      </c>
      <c r="BC362">
        <f t="shared" si="134"/>
        <v>0</v>
      </c>
      <c r="BD362">
        <f t="shared" si="135"/>
        <v>0</v>
      </c>
      <c r="BE362">
        <f t="shared" si="136"/>
        <v>0</v>
      </c>
      <c r="BF362" t="s">
        <v>107</v>
      </c>
      <c r="BG362">
        <f t="shared" si="137"/>
        <v>0</v>
      </c>
      <c r="BH362">
        <f t="shared" si="138"/>
        <v>0</v>
      </c>
      <c r="BI362">
        <f t="shared" si="139"/>
        <v>0</v>
      </c>
      <c r="BJ362">
        <f t="shared" si="140"/>
        <v>0</v>
      </c>
      <c r="BK362">
        <f t="shared" si="141"/>
        <v>0</v>
      </c>
      <c r="BL362">
        <f t="shared" si="142"/>
        <v>0</v>
      </c>
      <c r="BM362">
        <f t="shared" si="143"/>
        <v>0</v>
      </c>
      <c r="BN362" t="e">
        <f t="shared" si="143"/>
        <v>#DIV/0!</v>
      </c>
    </row>
    <row r="363" spans="1:66" x14ac:dyDescent="0.25">
      <c r="A363">
        <v>2025</v>
      </c>
      <c r="B363" s="1">
        <f t="shared" si="144"/>
        <v>46015</v>
      </c>
      <c r="C363" s="2">
        <v>358</v>
      </c>
      <c r="D363">
        <v>70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L363">
        <f t="shared" si="145"/>
        <v>70.099999999999994</v>
      </c>
      <c r="AM363" s="4">
        <v>4.43</v>
      </c>
      <c r="AP363" s="7">
        <f t="shared" si="124"/>
        <v>0</v>
      </c>
      <c r="AQ363" s="7" t="e">
        <f t="shared" si="125"/>
        <v>#DIV/0!</v>
      </c>
      <c r="AS363">
        <f t="shared" si="126"/>
        <v>0</v>
      </c>
      <c r="AT363">
        <f t="shared" si="127"/>
        <v>0</v>
      </c>
      <c r="AU363">
        <f t="shared" si="128"/>
        <v>0</v>
      </c>
      <c r="AV363" t="s">
        <v>107</v>
      </c>
      <c r="AW363">
        <f t="shared" si="129"/>
        <v>0</v>
      </c>
      <c r="AX363">
        <f t="shared" si="130"/>
        <v>0</v>
      </c>
      <c r="AY363">
        <f t="shared" si="131"/>
        <v>0</v>
      </c>
      <c r="AZ363">
        <f t="shared" si="132"/>
        <v>0</v>
      </c>
      <c r="BA363" t="s">
        <v>107</v>
      </c>
      <c r="BB363">
        <f t="shared" si="133"/>
        <v>0</v>
      </c>
      <c r="BC363">
        <f t="shared" si="134"/>
        <v>0</v>
      </c>
      <c r="BD363">
        <f t="shared" si="135"/>
        <v>0</v>
      </c>
      <c r="BE363">
        <f t="shared" si="136"/>
        <v>0</v>
      </c>
      <c r="BF363" t="s">
        <v>107</v>
      </c>
      <c r="BG363">
        <f t="shared" si="137"/>
        <v>0</v>
      </c>
      <c r="BH363">
        <f t="shared" si="138"/>
        <v>0</v>
      </c>
      <c r="BI363">
        <f t="shared" si="139"/>
        <v>0</v>
      </c>
      <c r="BJ363">
        <f t="shared" si="140"/>
        <v>0</v>
      </c>
      <c r="BK363">
        <f t="shared" si="141"/>
        <v>0</v>
      </c>
      <c r="BL363">
        <f t="shared" si="142"/>
        <v>0</v>
      </c>
      <c r="BM363">
        <f t="shared" si="143"/>
        <v>0</v>
      </c>
      <c r="BN363" t="e">
        <f t="shared" si="143"/>
        <v>#DIV/0!</v>
      </c>
    </row>
    <row r="364" spans="1:66" x14ac:dyDescent="0.25">
      <c r="A364">
        <v>2025</v>
      </c>
      <c r="B364" s="1">
        <f t="shared" si="144"/>
        <v>46016</v>
      </c>
      <c r="C364" s="2">
        <v>359</v>
      </c>
      <c r="D364">
        <v>70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L364">
        <f t="shared" si="145"/>
        <v>70.099999999999994</v>
      </c>
      <c r="AM364" s="4">
        <v>4.4400000000000004</v>
      </c>
      <c r="AP364" s="7">
        <f t="shared" si="124"/>
        <v>0</v>
      </c>
      <c r="AQ364" s="7" t="e">
        <f t="shared" si="125"/>
        <v>#DIV/0!</v>
      </c>
      <c r="AS364">
        <f t="shared" si="126"/>
        <v>0</v>
      </c>
      <c r="AT364">
        <f t="shared" si="127"/>
        <v>0</v>
      </c>
      <c r="AU364">
        <f t="shared" si="128"/>
        <v>0</v>
      </c>
      <c r="AV364" t="s">
        <v>107</v>
      </c>
      <c r="AW364">
        <f t="shared" si="129"/>
        <v>0</v>
      </c>
      <c r="AX364">
        <f t="shared" si="130"/>
        <v>0</v>
      </c>
      <c r="AY364">
        <f t="shared" si="131"/>
        <v>0</v>
      </c>
      <c r="AZ364">
        <f t="shared" si="132"/>
        <v>0</v>
      </c>
      <c r="BA364" t="s">
        <v>107</v>
      </c>
      <c r="BB364">
        <f t="shared" si="133"/>
        <v>0</v>
      </c>
      <c r="BC364">
        <f t="shared" si="134"/>
        <v>0</v>
      </c>
      <c r="BD364">
        <f t="shared" si="135"/>
        <v>0</v>
      </c>
      <c r="BE364">
        <f t="shared" si="136"/>
        <v>0</v>
      </c>
      <c r="BF364" t="s">
        <v>107</v>
      </c>
      <c r="BG364">
        <f t="shared" si="137"/>
        <v>0</v>
      </c>
      <c r="BH364">
        <f t="shared" si="138"/>
        <v>0</v>
      </c>
      <c r="BI364">
        <f t="shared" si="139"/>
        <v>0</v>
      </c>
      <c r="BJ364">
        <f t="shared" si="140"/>
        <v>0</v>
      </c>
      <c r="BK364">
        <f t="shared" si="141"/>
        <v>0</v>
      </c>
      <c r="BL364">
        <f t="shared" si="142"/>
        <v>0</v>
      </c>
      <c r="BM364">
        <f t="shared" si="143"/>
        <v>0</v>
      </c>
      <c r="BN364" t="e">
        <f t="shared" si="143"/>
        <v>#DIV/0!</v>
      </c>
    </row>
    <row r="365" spans="1:66" x14ac:dyDescent="0.25">
      <c r="A365">
        <v>2025</v>
      </c>
      <c r="B365" s="1">
        <f t="shared" si="144"/>
        <v>46017</v>
      </c>
      <c r="C365" s="2">
        <v>360</v>
      </c>
      <c r="D365">
        <v>70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L365">
        <f t="shared" si="145"/>
        <v>70.099999999999994</v>
      </c>
      <c r="AM365" s="4">
        <v>4.46</v>
      </c>
      <c r="AP365" s="7">
        <f t="shared" si="124"/>
        <v>0</v>
      </c>
      <c r="AQ365" s="7" t="e">
        <f t="shared" si="125"/>
        <v>#DIV/0!</v>
      </c>
      <c r="AS365">
        <f t="shared" si="126"/>
        <v>0</v>
      </c>
      <c r="AT365">
        <f t="shared" si="127"/>
        <v>0</v>
      </c>
      <c r="AU365">
        <f t="shared" si="128"/>
        <v>0</v>
      </c>
      <c r="AV365" t="s">
        <v>107</v>
      </c>
      <c r="AW365">
        <f t="shared" si="129"/>
        <v>0</v>
      </c>
      <c r="AX365">
        <f t="shared" si="130"/>
        <v>0</v>
      </c>
      <c r="AY365">
        <f t="shared" si="131"/>
        <v>0</v>
      </c>
      <c r="AZ365">
        <f t="shared" si="132"/>
        <v>0</v>
      </c>
      <c r="BA365" t="s">
        <v>107</v>
      </c>
      <c r="BB365">
        <f t="shared" si="133"/>
        <v>0</v>
      </c>
      <c r="BC365">
        <f t="shared" si="134"/>
        <v>0</v>
      </c>
      <c r="BD365">
        <f t="shared" si="135"/>
        <v>0</v>
      </c>
      <c r="BE365">
        <f t="shared" si="136"/>
        <v>0</v>
      </c>
      <c r="BF365" t="s">
        <v>107</v>
      </c>
      <c r="BG365">
        <f t="shared" si="137"/>
        <v>0</v>
      </c>
      <c r="BH365">
        <f t="shared" si="138"/>
        <v>0</v>
      </c>
      <c r="BI365">
        <f t="shared" si="139"/>
        <v>0</v>
      </c>
      <c r="BJ365">
        <f t="shared" si="140"/>
        <v>0</v>
      </c>
      <c r="BK365">
        <f t="shared" si="141"/>
        <v>0</v>
      </c>
      <c r="BL365">
        <f t="shared" si="142"/>
        <v>0</v>
      </c>
      <c r="BM365">
        <f t="shared" si="143"/>
        <v>0</v>
      </c>
      <c r="BN365" t="e">
        <f t="shared" si="143"/>
        <v>#DIV/0!</v>
      </c>
    </row>
    <row r="366" spans="1:66" x14ac:dyDescent="0.25">
      <c r="A366">
        <v>2025</v>
      </c>
      <c r="B366" s="1">
        <f t="shared" si="144"/>
        <v>46018</v>
      </c>
      <c r="C366" s="2">
        <v>361</v>
      </c>
      <c r="D366">
        <v>70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L366">
        <f t="shared" si="145"/>
        <v>70.099999999999994</v>
      </c>
      <c r="AM366" s="4">
        <v>4.4800000000000004</v>
      </c>
      <c r="AP366" s="7">
        <f t="shared" si="124"/>
        <v>0</v>
      </c>
      <c r="AQ366" s="7" t="e">
        <f t="shared" si="125"/>
        <v>#DIV/0!</v>
      </c>
      <c r="AS366">
        <f t="shared" si="126"/>
        <v>0</v>
      </c>
      <c r="AT366">
        <f t="shared" si="127"/>
        <v>0</v>
      </c>
      <c r="AU366">
        <f t="shared" si="128"/>
        <v>0</v>
      </c>
      <c r="AV366" t="s">
        <v>107</v>
      </c>
      <c r="AW366">
        <f t="shared" si="129"/>
        <v>0</v>
      </c>
      <c r="AX366">
        <f t="shared" si="130"/>
        <v>0</v>
      </c>
      <c r="AY366">
        <f t="shared" si="131"/>
        <v>0</v>
      </c>
      <c r="AZ366">
        <f t="shared" si="132"/>
        <v>0</v>
      </c>
      <c r="BA366" t="s">
        <v>107</v>
      </c>
      <c r="BB366">
        <f t="shared" si="133"/>
        <v>0</v>
      </c>
      <c r="BC366">
        <f t="shared" si="134"/>
        <v>0</v>
      </c>
      <c r="BD366">
        <f t="shared" si="135"/>
        <v>0</v>
      </c>
      <c r="BE366">
        <f t="shared" si="136"/>
        <v>0</v>
      </c>
      <c r="BF366" t="s">
        <v>107</v>
      </c>
      <c r="BG366">
        <f t="shared" si="137"/>
        <v>0</v>
      </c>
      <c r="BH366">
        <f t="shared" si="138"/>
        <v>0</v>
      </c>
      <c r="BI366">
        <f t="shared" si="139"/>
        <v>0</v>
      </c>
      <c r="BJ366">
        <f t="shared" si="140"/>
        <v>0</v>
      </c>
      <c r="BK366">
        <f t="shared" si="141"/>
        <v>0</v>
      </c>
      <c r="BL366">
        <f t="shared" si="142"/>
        <v>0</v>
      </c>
      <c r="BM366">
        <f t="shared" si="143"/>
        <v>0</v>
      </c>
      <c r="BN366" t="e">
        <f t="shared" si="143"/>
        <v>#DIV/0!</v>
      </c>
    </row>
    <row r="367" spans="1:66" x14ac:dyDescent="0.25">
      <c r="A367">
        <v>2025</v>
      </c>
      <c r="B367" s="1">
        <f t="shared" si="144"/>
        <v>46019</v>
      </c>
      <c r="C367" s="2">
        <v>362</v>
      </c>
      <c r="D367">
        <v>70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L367">
        <f t="shared" si="145"/>
        <v>70.099999999999994</v>
      </c>
      <c r="AM367" s="4">
        <v>4.5</v>
      </c>
      <c r="AP367" s="7">
        <f t="shared" si="124"/>
        <v>0</v>
      </c>
      <c r="AQ367" s="7" t="e">
        <f t="shared" si="125"/>
        <v>#DIV/0!</v>
      </c>
      <c r="AS367">
        <f t="shared" si="126"/>
        <v>0</v>
      </c>
      <c r="AT367">
        <f t="shared" si="127"/>
        <v>0</v>
      </c>
      <c r="AU367">
        <f t="shared" si="128"/>
        <v>0</v>
      </c>
      <c r="AV367" t="s">
        <v>107</v>
      </c>
      <c r="AW367">
        <f t="shared" si="129"/>
        <v>0</v>
      </c>
      <c r="AX367">
        <f t="shared" si="130"/>
        <v>0</v>
      </c>
      <c r="AY367">
        <f t="shared" si="131"/>
        <v>0</v>
      </c>
      <c r="AZ367">
        <f t="shared" si="132"/>
        <v>0</v>
      </c>
      <c r="BA367" t="s">
        <v>107</v>
      </c>
      <c r="BB367">
        <f t="shared" si="133"/>
        <v>0</v>
      </c>
      <c r="BC367">
        <f t="shared" si="134"/>
        <v>0</v>
      </c>
      <c r="BD367">
        <f t="shared" si="135"/>
        <v>0</v>
      </c>
      <c r="BE367">
        <f t="shared" si="136"/>
        <v>0</v>
      </c>
      <c r="BF367" t="s">
        <v>107</v>
      </c>
      <c r="BG367">
        <f t="shared" si="137"/>
        <v>0</v>
      </c>
      <c r="BH367">
        <f t="shared" si="138"/>
        <v>0</v>
      </c>
      <c r="BI367">
        <f t="shared" si="139"/>
        <v>0</v>
      </c>
      <c r="BJ367">
        <f t="shared" si="140"/>
        <v>0</v>
      </c>
      <c r="BK367">
        <f t="shared" si="141"/>
        <v>0</v>
      </c>
      <c r="BL367">
        <f t="shared" si="142"/>
        <v>0</v>
      </c>
      <c r="BM367">
        <f t="shared" si="143"/>
        <v>0</v>
      </c>
      <c r="BN367" t="e">
        <f t="shared" si="143"/>
        <v>#DIV/0!</v>
      </c>
    </row>
    <row r="368" spans="1:66" x14ac:dyDescent="0.25">
      <c r="A368">
        <v>2025</v>
      </c>
      <c r="B368" s="1">
        <f t="shared" si="144"/>
        <v>46020</v>
      </c>
      <c r="C368" s="2">
        <v>363</v>
      </c>
      <c r="D368">
        <v>70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L368">
        <f t="shared" si="145"/>
        <v>70.099999999999994</v>
      </c>
      <c r="AM368" s="4">
        <v>4.53</v>
      </c>
      <c r="AP368" s="7">
        <f t="shared" si="124"/>
        <v>0</v>
      </c>
      <c r="AQ368" s="7" t="e">
        <f t="shared" si="125"/>
        <v>#DIV/0!</v>
      </c>
      <c r="AS368">
        <f t="shared" si="126"/>
        <v>0</v>
      </c>
      <c r="AT368">
        <f t="shared" si="127"/>
        <v>0</v>
      </c>
      <c r="AU368">
        <f t="shared" si="128"/>
        <v>0</v>
      </c>
      <c r="AV368" t="s">
        <v>107</v>
      </c>
      <c r="AW368">
        <f t="shared" si="129"/>
        <v>0</v>
      </c>
      <c r="AX368">
        <f t="shared" si="130"/>
        <v>0</v>
      </c>
      <c r="AY368">
        <f t="shared" si="131"/>
        <v>0</v>
      </c>
      <c r="AZ368">
        <f t="shared" si="132"/>
        <v>0</v>
      </c>
      <c r="BA368" t="s">
        <v>107</v>
      </c>
      <c r="BB368">
        <f t="shared" si="133"/>
        <v>0</v>
      </c>
      <c r="BC368">
        <f t="shared" si="134"/>
        <v>0</v>
      </c>
      <c r="BD368">
        <f t="shared" si="135"/>
        <v>0</v>
      </c>
      <c r="BE368">
        <f t="shared" si="136"/>
        <v>0</v>
      </c>
      <c r="BF368" t="s">
        <v>107</v>
      </c>
      <c r="BG368">
        <f t="shared" si="137"/>
        <v>0</v>
      </c>
      <c r="BH368">
        <f t="shared" si="138"/>
        <v>0</v>
      </c>
      <c r="BI368">
        <f t="shared" si="139"/>
        <v>0</v>
      </c>
      <c r="BJ368">
        <f t="shared" si="140"/>
        <v>0</v>
      </c>
      <c r="BK368">
        <f t="shared" si="141"/>
        <v>0</v>
      </c>
      <c r="BL368">
        <f t="shared" si="142"/>
        <v>0</v>
      </c>
      <c r="BM368">
        <f t="shared" si="143"/>
        <v>0</v>
      </c>
      <c r="BN368" t="e">
        <f t="shared" si="143"/>
        <v>#DIV/0!</v>
      </c>
    </row>
    <row r="369" spans="1:85" x14ac:dyDescent="0.25">
      <c r="A369">
        <v>2025</v>
      </c>
      <c r="B369" s="1">
        <f t="shared" si="144"/>
        <v>46021</v>
      </c>
      <c r="C369" s="2">
        <v>364</v>
      </c>
      <c r="D369">
        <v>70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L369">
        <f t="shared" si="145"/>
        <v>70.099999999999994</v>
      </c>
      <c r="AM369" s="4">
        <v>4.5599999999999996</v>
      </c>
      <c r="AP369" s="7">
        <f t="shared" si="124"/>
        <v>0</v>
      </c>
      <c r="AQ369" s="7" t="e">
        <f t="shared" si="125"/>
        <v>#DIV/0!</v>
      </c>
      <c r="AS369">
        <f t="shared" si="126"/>
        <v>0</v>
      </c>
      <c r="AT369">
        <f t="shared" si="127"/>
        <v>0</v>
      </c>
      <c r="AU369">
        <f t="shared" si="128"/>
        <v>0</v>
      </c>
      <c r="AV369" t="s">
        <v>107</v>
      </c>
      <c r="AW369">
        <f t="shared" si="129"/>
        <v>0</v>
      </c>
      <c r="AX369">
        <f t="shared" si="130"/>
        <v>0</v>
      </c>
      <c r="AY369">
        <f t="shared" si="131"/>
        <v>0</v>
      </c>
      <c r="AZ369">
        <f t="shared" si="132"/>
        <v>0</v>
      </c>
      <c r="BA369" t="s">
        <v>107</v>
      </c>
      <c r="BB369">
        <f t="shared" si="133"/>
        <v>0</v>
      </c>
      <c r="BC369">
        <f t="shared" si="134"/>
        <v>0</v>
      </c>
      <c r="BD369">
        <f t="shared" si="135"/>
        <v>0</v>
      </c>
      <c r="BE369">
        <f t="shared" si="136"/>
        <v>0</v>
      </c>
      <c r="BF369" t="s">
        <v>107</v>
      </c>
      <c r="BG369">
        <f t="shared" si="137"/>
        <v>0</v>
      </c>
      <c r="BH369">
        <f t="shared" si="138"/>
        <v>0</v>
      </c>
      <c r="BI369">
        <f t="shared" si="139"/>
        <v>0</v>
      </c>
      <c r="BJ369">
        <f t="shared" si="140"/>
        <v>0</v>
      </c>
      <c r="BK369">
        <f t="shared" si="141"/>
        <v>0</v>
      </c>
      <c r="BL369">
        <f t="shared" si="142"/>
        <v>0</v>
      </c>
      <c r="BM369">
        <f t="shared" si="143"/>
        <v>0</v>
      </c>
      <c r="BN369" t="e">
        <f t="shared" si="143"/>
        <v>#DIV/0!</v>
      </c>
    </row>
    <row r="370" spans="1:85" x14ac:dyDescent="0.25">
      <c r="A370">
        <v>2025</v>
      </c>
      <c r="B370" s="1">
        <f t="shared" si="144"/>
        <v>46022</v>
      </c>
      <c r="C370" s="2">
        <v>365</v>
      </c>
      <c r="D370">
        <v>70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L370">
        <f t="shared" si="145"/>
        <v>70.099999999999994</v>
      </c>
      <c r="AM370" s="4">
        <v>4.59</v>
      </c>
      <c r="AP370" s="7">
        <f t="shared" si="124"/>
        <v>0</v>
      </c>
      <c r="AQ370" s="7" t="e">
        <f t="shared" si="125"/>
        <v>#DIV/0!</v>
      </c>
      <c r="AS370">
        <f t="shared" si="126"/>
        <v>0</v>
      </c>
      <c r="AT370">
        <f t="shared" si="127"/>
        <v>0</v>
      </c>
      <c r="AU370">
        <f t="shared" si="128"/>
        <v>0</v>
      </c>
      <c r="AV370" t="s">
        <v>107</v>
      </c>
      <c r="AW370">
        <f t="shared" si="129"/>
        <v>0</v>
      </c>
      <c r="AX370">
        <f t="shared" si="130"/>
        <v>0</v>
      </c>
      <c r="AY370">
        <f t="shared" si="131"/>
        <v>0</v>
      </c>
      <c r="AZ370">
        <f t="shared" si="132"/>
        <v>0</v>
      </c>
      <c r="BA370" t="s">
        <v>107</v>
      </c>
      <c r="BB370">
        <f t="shared" si="133"/>
        <v>0</v>
      </c>
      <c r="BC370">
        <f t="shared" si="134"/>
        <v>0</v>
      </c>
      <c r="BD370">
        <f t="shared" si="135"/>
        <v>0</v>
      </c>
      <c r="BE370">
        <f t="shared" si="136"/>
        <v>0</v>
      </c>
      <c r="BF370" t="s">
        <v>107</v>
      </c>
      <c r="BG370">
        <f t="shared" si="137"/>
        <v>0</v>
      </c>
      <c r="BH370">
        <f t="shared" si="138"/>
        <v>0</v>
      </c>
      <c r="BI370">
        <f t="shared" si="139"/>
        <v>0</v>
      </c>
      <c r="BJ370">
        <f t="shared" si="140"/>
        <v>0</v>
      </c>
      <c r="BK370">
        <f t="shared" si="141"/>
        <v>0</v>
      </c>
      <c r="BL370">
        <f t="shared" si="142"/>
        <v>0</v>
      </c>
      <c r="BM370">
        <f t="shared" si="143"/>
        <v>0</v>
      </c>
      <c r="BN370" t="e">
        <f t="shared" si="143"/>
        <v>#DIV/0!</v>
      </c>
    </row>
    <row r="371" spans="1:85" x14ac:dyDescent="0.25">
      <c r="AM371" s="5">
        <v>4.63</v>
      </c>
    </row>
    <row r="373" spans="1:85" x14ac:dyDescent="0.25">
      <c r="AI373" t="s">
        <v>72</v>
      </c>
    </row>
    <row r="374" spans="1:85" s="2" customFormat="1" x14ac:dyDescent="0.25">
      <c r="C374" s="8"/>
      <c r="D374" s="8"/>
      <c r="E374" s="8"/>
      <c r="F374" s="8"/>
      <c r="G374" s="8"/>
      <c r="H374" s="8"/>
      <c r="I374" s="12"/>
      <c r="J374" s="12" t="s">
        <v>78</v>
      </c>
      <c r="K374" s="12" t="s">
        <v>79</v>
      </c>
      <c r="L374" s="8" t="s">
        <v>80</v>
      </c>
      <c r="M374" s="12" t="s">
        <v>81</v>
      </c>
      <c r="N374" s="12" t="s">
        <v>82</v>
      </c>
      <c r="O374" s="12" t="s">
        <v>83</v>
      </c>
      <c r="P374" s="12" t="s">
        <v>84</v>
      </c>
      <c r="Q374" s="8"/>
      <c r="R374" s="8"/>
      <c r="S374" s="8"/>
      <c r="T374" s="12" t="s">
        <v>85</v>
      </c>
      <c r="U374" s="12" t="s">
        <v>86</v>
      </c>
      <c r="V374" s="12" t="s">
        <v>87</v>
      </c>
      <c r="W374" s="12" t="s">
        <v>88</v>
      </c>
      <c r="X374" s="12"/>
      <c r="Y374" s="8" t="s">
        <v>89</v>
      </c>
      <c r="Z374" s="12" t="s">
        <v>90</v>
      </c>
      <c r="AA374" s="8" t="s">
        <v>91</v>
      </c>
      <c r="AB374" s="8" t="s">
        <v>43</v>
      </c>
      <c r="AD374" s="8"/>
      <c r="AE374" s="8"/>
      <c r="AF374" s="12"/>
      <c r="AG374" s="8"/>
      <c r="AH374" s="8"/>
      <c r="AI374" s="13" t="s">
        <v>71</v>
      </c>
      <c r="AK374" s="8" t="s">
        <v>43</v>
      </c>
      <c r="AM374" s="8"/>
      <c r="AN374" s="8" t="s">
        <v>42</v>
      </c>
      <c r="AO374" s="8"/>
      <c r="AP374" s="2" t="s">
        <v>39</v>
      </c>
      <c r="AQ374" s="2" t="s">
        <v>40</v>
      </c>
      <c r="AR374" s="2" t="s">
        <v>44</v>
      </c>
      <c r="AS374" s="25"/>
      <c r="AT374" s="8"/>
      <c r="AU374" s="8"/>
      <c r="AV374" s="8"/>
      <c r="AW374" s="8"/>
      <c r="AX374" s="8"/>
      <c r="AY374" s="8"/>
      <c r="AZ374" s="13"/>
      <c r="BG374" s="14"/>
      <c r="BH374" s="14"/>
      <c r="BI374" s="14"/>
      <c r="BW374"/>
      <c r="CG374"/>
    </row>
    <row r="375" spans="1:85" s="2" customFormat="1" x14ac:dyDescent="0.25">
      <c r="C375" s="2" t="s">
        <v>45</v>
      </c>
      <c r="D375" s="8"/>
      <c r="E375" s="8"/>
      <c r="F375" s="8"/>
      <c r="G375" s="8"/>
      <c r="H375" s="8"/>
      <c r="I375" s="15"/>
      <c r="J375" s="15">
        <f t="shared" ref="J375:O375" si="146">ROUND(AVERAGE(J6:J36),1)</f>
        <v>-4.7</v>
      </c>
      <c r="K375" s="15">
        <f t="shared" si="146"/>
        <v>82.7</v>
      </c>
      <c r="L375" s="15" t="e">
        <f t="shared" si="146"/>
        <v>#DIV/0!</v>
      </c>
      <c r="M375" s="15">
        <f t="shared" si="146"/>
        <v>-1.8</v>
      </c>
      <c r="N375" s="15">
        <f t="shared" si="146"/>
        <v>0.9</v>
      </c>
      <c r="O375" s="15">
        <f t="shared" si="146"/>
        <v>-0.3</v>
      </c>
      <c r="P375" s="15">
        <f>ROUND(MAX(O6:O36),1)</f>
        <v>4.5999999999999996</v>
      </c>
      <c r="Q375" s="8"/>
      <c r="R375" s="8"/>
      <c r="S375" s="8"/>
      <c r="T375" s="15">
        <f>ROUND(AVERAGE(T6:T36),1)</f>
        <v>-7.7</v>
      </c>
      <c r="U375" s="15">
        <f>ROUND(MIN(T6:T36),1)</f>
        <v>-14.9</v>
      </c>
      <c r="V375" s="15">
        <f>ROUND(AVERAGE(U6:U36),1)</f>
        <v>65.599999999999994</v>
      </c>
      <c r="W375" s="15">
        <f>ROUND(MIN(U6:U36),1)</f>
        <v>42.2</v>
      </c>
      <c r="X375" s="15"/>
      <c r="Y375" s="15">
        <f>ROUND(AVERAGE(Y6:Y36),1)</f>
        <v>0.1</v>
      </c>
      <c r="Z375" s="15">
        <f>ROUND(AVERAGE(Z6:Z36),1)</f>
        <v>0.8</v>
      </c>
      <c r="AA375" s="15">
        <f>ROUND(MAX(Z6:Z36),1)</f>
        <v>2.2000000000000002</v>
      </c>
      <c r="AB375" s="15">
        <f>ROUND(SUM(AA6:AA36),1)</f>
        <v>0.8</v>
      </c>
      <c r="AD375" s="9"/>
      <c r="AE375" s="15"/>
      <c r="AF375" s="15"/>
      <c r="AG375" s="15"/>
      <c r="AH375" s="15"/>
      <c r="AI375" s="16">
        <f>AI36*1000</f>
        <v>425.00000000000006</v>
      </c>
      <c r="AJ375" s="10"/>
      <c r="AK375" s="15">
        <f>ROUND(SUM(AK6:AK36),1)</f>
        <v>39.700000000000003</v>
      </c>
      <c r="AM375" s="8"/>
      <c r="AN375" s="9">
        <f>ROUND(AVERAGE(AN6:AN36),2)</f>
        <v>1.64</v>
      </c>
      <c r="AO375" s="8"/>
      <c r="AP375" s="10">
        <f>ROUND(AVERAGE(AP6:AP36),2)</f>
        <v>0.4</v>
      </c>
      <c r="AQ375" s="10">
        <f>ROUND(AVERAGE(AQ6:AQ36),2)</f>
        <v>0.21</v>
      </c>
      <c r="AR375" s="10">
        <f>ROUND(MAX(AQ5:AQ35),2)</f>
        <v>0.43</v>
      </c>
      <c r="AS375" s="26"/>
      <c r="AT375" s="8"/>
      <c r="AU375" s="8"/>
      <c r="AV375" s="8"/>
      <c r="AW375" s="8"/>
      <c r="AX375" s="8"/>
      <c r="AY375" s="8"/>
      <c r="AZ375" s="16"/>
      <c r="BE375" s="17"/>
      <c r="BG375" s="17"/>
      <c r="BH375" s="17"/>
      <c r="BI375" s="17"/>
      <c r="BJ375" s="10"/>
      <c r="BL375" s="10"/>
      <c r="BW375"/>
      <c r="CG375"/>
    </row>
    <row r="376" spans="1:85" s="2" customFormat="1" x14ac:dyDescent="0.25">
      <c r="C376" s="2" t="s">
        <v>46</v>
      </c>
      <c r="D376" s="8"/>
      <c r="E376" s="8"/>
      <c r="F376" s="8"/>
      <c r="G376" s="8"/>
      <c r="H376" s="8"/>
      <c r="I376" s="15"/>
      <c r="J376" s="15">
        <f t="shared" ref="J376:O376" si="147">ROUND(AVERAGE(J37:J64),1)</f>
        <v>-7.6</v>
      </c>
      <c r="K376" s="15">
        <f t="shared" si="147"/>
        <v>76</v>
      </c>
      <c r="L376" s="15" t="e">
        <f t="shared" si="147"/>
        <v>#DIV/0!</v>
      </c>
      <c r="M376" s="15">
        <f t="shared" si="147"/>
        <v>-2.6</v>
      </c>
      <c r="N376" s="15">
        <f t="shared" si="147"/>
        <v>0.3</v>
      </c>
      <c r="O376" s="15">
        <f t="shared" si="147"/>
        <v>-1.5</v>
      </c>
      <c r="P376" s="15">
        <f>ROUND(MAX(O37:O64),1)</f>
        <v>10.8</v>
      </c>
      <c r="Q376" s="8"/>
      <c r="R376" s="8"/>
      <c r="S376" s="8"/>
      <c r="T376" s="15">
        <f>ROUND(AVERAGE(T37:T64),1)</f>
        <v>-11.6</v>
      </c>
      <c r="U376" s="15">
        <f>ROUND(MIN(T37:T64),1)</f>
        <v>-25.4</v>
      </c>
      <c r="V376" s="15">
        <f>ROUND(AVERAGE(U37:U64),1)</f>
        <v>54.2</v>
      </c>
      <c r="W376" s="15">
        <f>ROUND(MIN(U37:U64),1)</f>
        <v>33.700000000000003</v>
      </c>
      <c r="X376" s="15"/>
      <c r="Y376" s="15">
        <f>ROUND(AVERAGE(Y37:Y64),1)</f>
        <v>0.3</v>
      </c>
      <c r="Z376" s="15">
        <f>ROUND(AVERAGE(Z37:Z64),1)</f>
        <v>1.1000000000000001</v>
      </c>
      <c r="AA376" s="15">
        <f>ROUND(MAX(Z37:Z64),1)</f>
        <v>3.1</v>
      </c>
      <c r="AB376" s="15">
        <f>ROUND(SUM(AA37:AA64),1)</f>
        <v>16.600000000000001</v>
      </c>
      <c r="AD376" s="9"/>
      <c r="AE376" s="15"/>
      <c r="AF376" s="15"/>
      <c r="AG376" s="15"/>
      <c r="AH376" s="15"/>
      <c r="AI376" s="16">
        <f>AI64*1000</f>
        <v>439.99999999999994</v>
      </c>
      <c r="AJ376" s="10"/>
      <c r="AK376" s="15">
        <f>ROUND(SUM(AK37:AK64),1)</f>
        <v>28.1</v>
      </c>
      <c r="AM376" s="8"/>
      <c r="AN376" s="9">
        <f>ROUND(AVERAGE(AN37:AN64),2)</f>
        <v>2.4300000000000002</v>
      </c>
      <c r="AO376" s="8"/>
      <c r="AP376" s="10">
        <f>ROUND(AVERAGE(AP37:AP64),2)</f>
        <v>0.33</v>
      </c>
      <c r="AQ376" s="10">
        <f>ROUND(AVERAGE(AQ37:AQ64),2)</f>
        <v>0.28999999999999998</v>
      </c>
      <c r="AR376" s="10">
        <f>ROUND(MAX(AQ36:AQ63),2)</f>
        <v>0.73</v>
      </c>
      <c r="AS376" s="26"/>
      <c r="AT376" s="8"/>
      <c r="AU376" s="8"/>
      <c r="AV376" s="8"/>
      <c r="AW376" s="8"/>
      <c r="AX376" s="8"/>
      <c r="AY376" s="8"/>
      <c r="AZ376" s="16"/>
      <c r="BE376" s="17"/>
      <c r="BG376" s="17"/>
      <c r="BH376" s="17"/>
      <c r="BI376" s="17"/>
      <c r="BJ376" s="10"/>
      <c r="BL376" s="10"/>
      <c r="BW376"/>
      <c r="CG376"/>
    </row>
    <row r="377" spans="1:85" s="2" customFormat="1" x14ac:dyDescent="0.25">
      <c r="C377" s="2" t="s">
        <v>47</v>
      </c>
      <c r="D377" s="8"/>
      <c r="E377" s="8"/>
      <c r="F377" s="8"/>
      <c r="G377" s="8"/>
      <c r="H377" s="8"/>
      <c r="I377" s="15"/>
      <c r="J377" s="15">
        <f>ROUND(AVERAGE(J65:J95),1)</f>
        <v>2.8</v>
      </c>
      <c r="K377" s="15">
        <f>ROUND(AVERAGE(K65:K95),1)</f>
        <v>66.400000000000006</v>
      </c>
      <c r="L377" s="15" t="e">
        <f t="shared" ref="L377:N377" si="148">ROUND(AVERAGE(L65:L95),1)</f>
        <v>#DIV/0!</v>
      </c>
      <c r="M377" s="15">
        <f t="shared" si="148"/>
        <v>-0.1</v>
      </c>
      <c r="N377" s="15">
        <f t="shared" si="148"/>
        <v>0.6</v>
      </c>
      <c r="O377" s="15">
        <f>ROUND(AVERAGE(O65:O95),1)</f>
        <v>10.4</v>
      </c>
      <c r="P377" s="15">
        <f>ROUND(MAX(O65:O95),1)</f>
        <v>13.4</v>
      </c>
      <c r="Q377" s="8"/>
      <c r="R377" s="8"/>
      <c r="S377" s="8"/>
      <c r="T377" s="15">
        <f>ROUND(AVERAGE(T65:T95),1)</f>
        <v>-1.3</v>
      </c>
      <c r="U377" s="15">
        <f>ROUND(MIN(T65:T95),1)</f>
        <v>-3</v>
      </c>
      <c r="V377" s="15">
        <f>ROUND(AVERAGE(U65:U95),1)</f>
        <v>36.6</v>
      </c>
      <c r="W377" s="15">
        <f>ROUND(MIN(U65:U95),1)</f>
        <v>31.5</v>
      </c>
      <c r="X377" s="15"/>
      <c r="Y377" s="15">
        <f>ROUND(AVERAGE(Y65:Y95),1)</f>
        <v>0.5</v>
      </c>
      <c r="Z377" s="15">
        <f>ROUND(AVERAGE(Z65:Z95),1)</f>
        <v>2.1</v>
      </c>
      <c r="AA377" s="15">
        <f>ROUND(MAX(Z65:Z95),1)</f>
        <v>2.6</v>
      </c>
      <c r="AB377" s="15">
        <f>ROUND(SUM(AA65:AA95),1)</f>
        <v>0</v>
      </c>
      <c r="AD377" s="9"/>
      <c r="AE377" s="15"/>
      <c r="AF377" s="15"/>
      <c r="AG377" s="15"/>
      <c r="AH377" s="15"/>
      <c r="AI377" s="18">
        <f>AI95*1000</f>
        <v>0</v>
      </c>
      <c r="AJ377" s="10"/>
      <c r="AK377" s="15">
        <f>ROUND(SUM(AK65:AK95),1)</f>
        <v>2.2999999999999998</v>
      </c>
      <c r="AM377" s="8"/>
      <c r="AN377" s="9">
        <f>ROUND(AVERAGE(AN65:AN95),2)</f>
        <v>9.0399999999999991</v>
      </c>
      <c r="AO377" s="8"/>
      <c r="AP377" s="10">
        <f>ROUND(AVERAGE(AP65:AP95),2)</f>
        <v>0.06</v>
      </c>
      <c r="AQ377" s="10" t="e">
        <f>ROUND(AVERAGE(AQ65:AQ95),2)</f>
        <v>#DIV/0!</v>
      </c>
      <c r="AR377" s="10" t="e">
        <f>ROUND(MAX(AQ64:AQ94),2)</f>
        <v>#DIV/0!</v>
      </c>
      <c r="AS377" s="27"/>
      <c r="AT377" s="8"/>
      <c r="AU377" s="8"/>
      <c r="AV377" s="8"/>
      <c r="AW377" s="8"/>
      <c r="AX377" s="8"/>
      <c r="AY377" s="8"/>
      <c r="AZ377" s="18"/>
      <c r="BE377" s="17"/>
      <c r="BG377" s="17"/>
      <c r="BH377" s="17"/>
      <c r="BI377" s="17"/>
      <c r="BJ377" s="10"/>
      <c r="BL377" s="10"/>
      <c r="BW377"/>
      <c r="CG377"/>
    </row>
    <row r="378" spans="1:85" s="2" customFormat="1" x14ac:dyDescent="0.25">
      <c r="C378" s="2" t="s">
        <v>48</v>
      </c>
      <c r="D378" s="8"/>
      <c r="E378" s="8"/>
      <c r="F378" s="8"/>
      <c r="G378" s="8"/>
      <c r="H378" s="8"/>
      <c r="I378" s="15"/>
      <c r="J378" s="15" t="e">
        <f>ROUND(AVERAGE(J96:J125),1)</f>
        <v>#DIV/0!</v>
      </c>
      <c r="K378" s="15" t="e">
        <f>ROUND(AVERAGE(K96:K125),1)</f>
        <v>#DIV/0!</v>
      </c>
      <c r="L378" s="15" t="e">
        <f t="shared" ref="L378:N378" si="149">ROUND(AVERAGE(L96:L125),1)</f>
        <v>#DIV/0!</v>
      </c>
      <c r="M378" s="15" t="e">
        <f t="shared" si="149"/>
        <v>#DIV/0!</v>
      </c>
      <c r="N378" s="15" t="e">
        <f t="shared" si="149"/>
        <v>#DIV/0!</v>
      </c>
      <c r="O378" s="15" t="e">
        <f>ROUND(AVERAGE(O96:O125),1)</f>
        <v>#DIV/0!</v>
      </c>
      <c r="P378" s="15">
        <f>ROUND(MAX(O96:O125),1)</f>
        <v>0</v>
      </c>
      <c r="Q378" s="8"/>
      <c r="R378" s="8"/>
      <c r="S378" s="8"/>
      <c r="T378" s="15" t="e">
        <f>ROUND(AVERAGE(T96:T125),1)</f>
        <v>#DIV/0!</v>
      </c>
      <c r="U378" s="15">
        <f>ROUND(MIN(T96:T125),1)</f>
        <v>0</v>
      </c>
      <c r="V378" s="15" t="e">
        <f>ROUND(AVERAGE(U96:U125),1)</f>
        <v>#DIV/0!</v>
      </c>
      <c r="W378" s="15">
        <f>ROUND(MIN(U96:U125),1)</f>
        <v>0</v>
      </c>
      <c r="X378" s="15"/>
      <c r="Y378" s="15" t="e">
        <f>ROUND(AVERAGE(Y96:Y125),1)</f>
        <v>#DIV/0!</v>
      </c>
      <c r="Z378" s="15" t="e">
        <f>ROUND(AVERAGE(Z96:Z125),1)</f>
        <v>#DIV/0!</v>
      </c>
      <c r="AA378" s="15">
        <f>ROUND(MAX(Z96:Z125),1)</f>
        <v>0</v>
      </c>
      <c r="AB378" s="15">
        <f>ROUND(SUM(AA96:AA125),1)</f>
        <v>0</v>
      </c>
      <c r="AD378" s="9"/>
      <c r="AE378" s="15"/>
      <c r="AF378" s="15"/>
      <c r="AG378" s="15"/>
      <c r="AH378" s="15"/>
      <c r="AI378" s="18">
        <f>AI125*1000</f>
        <v>0</v>
      </c>
      <c r="AJ378" s="10"/>
      <c r="AK378" s="15">
        <f>ROUND(SUM(AK96:AK125),1)</f>
        <v>0</v>
      </c>
      <c r="AM378" s="8"/>
      <c r="AN378" s="9" t="e">
        <f>ROUND(AVERAGE(AN96:AN125),2)</f>
        <v>#DIV/0!</v>
      </c>
      <c r="AO378" s="8"/>
      <c r="AP378" s="10">
        <f>ROUND(AVERAGE(AP96:AP125),2)</f>
        <v>0</v>
      </c>
      <c r="AQ378" s="10" t="e">
        <f>ROUND(AVERAGE(AQ96:AQ125),2)</f>
        <v>#DIV/0!</v>
      </c>
      <c r="AR378" s="10" t="e">
        <f>ROUND(MAX(AQ95:AQ124),2)</f>
        <v>#DIV/0!</v>
      </c>
      <c r="AS378" s="27"/>
      <c r="AT378" s="8"/>
      <c r="AU378" s="8"/>
      <c r="AV378" s="8"/>
      <c r="AW378" s="8"/>
      <c r="AX378" s="8"/>
      <c r="AY378" s="8"/>
      <c r="AZ378" s="18"/>
      <c r="BE378" s="17"/>
      <c r="BG378" s="17"/>
      <c r="BH378" s="17"/>
      <c r="BI378" s="17"/>
      <c r="BJ378" s="10"/>
      <c r="BL378" s="10"/>
      <c r="BW378"/>
      <c r="CG378"/>
    </row>
    <row r="379" spans="1:85" s="2" customFormat="1" x14ac:dyDescent="0.25">
      <c r="C379" s="2" t="s">
        <v>49</v>
      </c>
      <c r="D379" s="8"/>
      <c r="E379" s="8"/>
      <c r="F379" s="8"/>
      <c r="G379" s="8"/>
      <c r="H379" s="8"/>
      <c r="I379" s="15"/>
      <c r="J379" s="15" t="e">
        <f>ROUND(AVERAGE(J126:J156),1)</f>
        <v>#DIV/0!</v>
      </c>
      <c r="K379" s="15" t="e">
        <f>ROUND(AVERAGE(K126:K156),1)</f>
        <v>#DIV/0!</v>
      </c>
      <c r="L379" s="15" t="e">
        <f t="shared" ref="L379:N379" si="150">ROUND(AVERAGE(L126:L156),1)</f>
        <v>#DIV/0!</v>
      </c>
      <c r="M379" s="15" t="e">
        <f t="shared" si="150"/>
        <v>#DIV/0!</v>
      </c>
      <c r="N379" s="15" t="e">
        <f t="shared" si="150"/>
        <v>#DIV/0!</v>
      </c>
      <c r="O379" s="15" t="e">
        <f>ROUND(AVERAGE(O126:O156),1)</f>
        <v>#DIV/0!</v>
      </c>
      <c r="P379" s="15">
        <f>ROUND(MAX(O126:O156),1)</f>
        <v>0</v>
      </c>
      <c r="Q379" s="8"/>
      <c r="R379" s="8"/>
      <c r="S379" s="8"/>
      <c r="T379" s="15" t="e">
        <f>ROUND(AVERAGE(T126:T156),1)</f>
        <v>#DIV/0!</v>
      </c>
      <c r="U379" s="15">
        <f>ROUND(MIN(T126:T156),1)</f>
        <v>0</v>
      </c>
      <c r="V379" s="15" t="e">
        <f>ROUND(AVERAGE(U126:U156),1)</f>
        <v>#DIV/0!</v>
      </c>
      <c r="W379" s="15">
        <f>ROUND(MIN(U126:U156),1)</f>
        <v>0</v>
      </c>
      <c r="X379" s="15"/>
      <c r="Y379" s="15" t="e">
        <f>ROUND(AVERAGE(Y126:Y156),1)</f>
        <v>#DIV/0!</v>
      </c>
      <c r="Z379" s="15" t="e">
        <f>ROUND(AVERAGE(Z126:Z156),1)</f>
        <v>#DIV/0!</v>
      </c>
      <c r="AA379" s="15">
        <f>ROUND(MAX(Z126:Z156),1)</f>
        <v>0</v>
      </c>
      <c r="AB379" s="15">
        <f>ROUND(SUM(AA126:AA156),1)</f>
        <v>0</v>
      </c>
      <c r="AD379" s="9"/>
      <c r="AE379" s="15"/>
      <c r="AF379" s="15"/>
      <c r="AG379" s="15"/>
      <c r="AH379" s="15"/>
      <c r="AI379" s="18">
        <f>AI156*1000</f>
        <v>0</v>
      </c>
      <c r="AJ379" s="10"/>
      <c r="AK379" s="15">
        <f>ROUND(SUM(AK126:AK156),1)</f>
        <v>0</v>
      </c>
      <c r="AM379" s="8"/>
      <c r="AN379" s="9" t="e">
        <f>ROUND(AVERAGE(AN126:AN156),2)</f>
        <v>#DIV/0!</v>
      </c>
      <c r="AO379" s="8"/>
      <c r="AP379" s="10">
        <f>ROUND(AVERAGE(AP126:AP156),2)</f>
        <v>0</v>
      </c>
      <c r="AQ379" s="10" t="e">
        <f>ROUND(AVERAGE(AQ126:AQ156),2)</f>
        <v>#DIV/0!</v>
      </c>
      <c r="AR379" s="10" t="e">
        <f>ROUND(MAX(AQ125:AQ155),2)</f>
        <v>#DIV/0!</v>
      </c>
      <c r="AS379" s="27"/>
      <c r="AT379" s="8"/>
      <c r="AU379" s="8"/>
      <c r="AV379" s="8"/>
      <c r="AW379" s="8"/>
      <c r="AX379" s="8"/>
      <c r="AY379" s="8"/>
      <c r="AZ379" s="18"/>
      <c r="BE379" s="17"/>
      <c r="BG379" s="17"/>
      <c r="BH379" s="17"/>
      <c r="BI379" s="17"/>
      <c r="BJ379" s="10"/>
      <c r="BL379" s="10"/>
      <c r="BW379"/>
      <c r="CG379"/>
    </row>
    <row r="380" spans="1:85" s="2" customFormat="1" x14ac:dyDescent="0.25">
      <c r="C380" s="2" t="s">
        <v>50</v>
      </c>
      <c r="D380" s="8"/>
      <c r="E380" s="8"/>
      <c r="F380" s="8"/>
      <c r="G380" s="8"/>
      <c r="H380" s="8"/>
      <c r="I380" s="15"/>
      <c r="J380" s="15" t="e">
        <f>ROUND(AVERAGE(J157:J186),1)</f>
        <v>#DIV/0!</v>
      </c>
      <c r="K380" s="15" t="e">
        <f>ROUND(AVERAGE(K157:K186),1)</f>
        <v>#DIV/0!</v>
      </c>
      <c r="L380" s="15" t="e">
        <f t="shared" ref="L380:N380" si="151">ROUND(AVERAGE(L157:L186),1)</f>
        <v>#DIV/0!</v>
      </c>
      <c r="M380" s="15" t="e">
        <f t="shared" si="151"/>
        <v>#DIV/0!</v>
      </c>
      <c r="N380" s="15" t="e">
        <f t="shared" si="151"/>
        <v>#DIV/0!</v>
      </c>
      <c r="O380" s="15" t="e">
        <f>ROUND(AVERAGE(O157:O186),1)</f>
        <v>#DIV/0!</v>
      </c>
      <c r="P380" s="15">
        <f>ROUND(MAX(O157:O186),1)</f>
        <v>0</v>
      </c>
      <c r="Q380" s="8"/>
      <c r="R380" s="8"/>
      <c r="S380" s="8"/>
      <c r="T380" s="15" t="e">
        <f>ROUND(AVERAGE(T157:T186),1)</f>
        <v>#DIV/0!</v>
      </c>
      <c r="U380" s="15">
        <f>ROUND(MIN(T157:T186),1)</f>
        <v>0</v>
      </c>
      <c r="V380" s="15" t="e">
        <f>ROUND(AVERAGE(U157:U186),1)</f>
        <v>#DIV/0!</v>
      </c>
      <c r="W380" s="15">
        <f>ROUND(MIN(U157:U186),1)</f>
        <v>0</v>
      </c>
      <c r="X380" s="15"/>
      <c r="Y380" s="15" t="e">
        <f>ROUND(AVERAGE(Y157:Y186),1)</f>
        <v>#DIV/0!</v>
      </c>
      <c r="Z380" s="15" t="e">
        <f>ROUND(AVERAGE(Z157:Z186),1)</f>
        <v>#DIV/0!</v>
      </c>
      <c r="AA380" s="15">
        <f>ROUND(MAX(Z157:Z186),1)</f>
        <v>0</v>
      </c>
      <c r="AB380" s="15">
        <f>ROUND(SUM(AA157:AA186),1)</f>
        <v>0</v>
      </c>
      <c r="AD380" s="9"/>
      <c r="AE380" s="15"/>
      <c r="AF380" s="15"/>
      <c r="AG380" s="15"/>
      <c r="AH380" s="15"/>
      <c r="AI380" s="18">
        <f>AI186*1000</f>
        <v>0</v>
      </c>
      <c r="AJ380" s="10"/>
      <c r="AK380" s="15">
        <f>ROUND(SUM(AK157:AK186),1)</f>
        <v>0</v>
      </c>
      <c r="AM380" s="8"/>
      <c r="AN380" s="9" t="e">
        <f>ROUND(AVERAGE(AN157:AN186),2)</f>
        <v>#DIV/0!</v>
      </c>
      <c r="AO380" s="8"/>
      <c r="AP380" s="10">
        <f>ROUND(AVERAGE(AP157:AP186),2)</f>
        <v>0</v>
      </c>
      <c r="AQ380" s="10" t="e">
        <f>ROUND(AVERAGE(AQ157:AQ186),2)</f>
        <v>#DIV/0!</v>
      </c>
      <c r="AR380" s="10" t="e">
        <f>ROUND(MAX(AQ156:AQ185),2)</f>
        <v>#DIV/0!</v>
      </c>
      <c r="AS380" s="27"/>
      <c r="AT380" s="8"/>
      <c r="AU380" s="8"/>
      <c r="AV380" s="8"/>
      <c r="AW380" s="8"/>
      <c r="AX380" s="8"/>
      <c r="AY380" s="8"/>
      <c r="AZ380" s="18"/>
      <c r="BE380" s="17"/>
      <c r="BG380" s="17"/>
      <c r="BH380" s="17"/>
      <c r="BI380" s="17"/>
      <c r="BJ380" s="10"/>
      <c r="BL380" s="10"/>
      <c r="BW380"/>
      <c r="CG380"/>
    </row>
    <row r="381" spans="1:85" s="2" customFormat="1" x14ac:dyDescent="0.25">
      <c r="C381" s="2" t="s">
        <v>51</v>
      </c>
      <c r="D381" s="8"/>
      <c r="E381" s="8"/>
      <c r="F381" s="8"/>
      <c r="G381" s="8"/>
      <c r="H381" s="8"/>
      <c r="I381" s="15"/>
      <c r="J381" s="15" t="e">
        <f>ROUND(AVERAGE(J187:J217),1)</f>
        <v>#DIV/0!</v>
      </c>
      <c r="K381" s="15" t="e">
        <f>ROUND(AVERAGE(K187:K217),1)</f>
        <v>#DIV/0!</v>
      </c>
      <c r="L381" s="15" t="e">
        <f t="shared" ref="L381:N381" si="152">ROUND(AVERAGE(L187:L217),1)</f>
        <v>#DIV/0!</v>
      </c>
      <c r="M381" s="15" t="e">
        <f t="shared" si="152"/>
        <v>#DIV/0!</v>
      </c>
      <c r="N381" s="15" t="e">
        <f t="shared" si="152"/>
        <v>#DIV/0!</v>
      </c>
      <c r="O381" s="15" t="e">
        <f>ROUND(AVERAGE(O187:O217),1)</f>
        <v>#DIV/0!</v>
      </c>
      <c r="P381" s="15">
        <f>ROUND(MAX(O187:O217),1)</f>
        <v>0</v>
      </c>
      <c r="Q381" s="8"/>
      <c r="R381" s="8"/>
      <c r="S381" s="8"/>
      <c r="T381" s="15" t="e">
        <f>ROUND(AVERAGE(T187:T217),1)</f>
        <v>#DIV/0!</v>
      </c>
      <c r="U381" s="15">
        <f>ROUND(MIN(T187:T217),1)</f>
        <v>0</v>
      </c>
      <c r="V381" s="15" t="e">
        <f>ROUND(AVERAGE(U187:U217),1)</f>
        <v>#DIV/0!</v>
      </c>
      <c r="W381" s="15">
        <f>ROUND(MIN(U187:U217),1)</f>
        <v>0</v>
      </c>
      <c r="X381" s="15"/>
      <c r="Y381" s="15" t="e">
        <f>ROUND(AVERAGE(Y187:Y217),1)</f>
        <v>#DIV/0!</v>
      </c>
      <c r="Z381" s="15" t="e">
        <f>ROUND(AVERAGE(Z187:Z217),1)</f>
        <v>#DIV/0!</v>
      </c>
      <c r="AA381" s="15">
        <f>ROUND(MAX(Z187:Z217),1)</f>
        <v>0</v>
      </c>
      <c r="AB381" s="15">
        <f>ROUND(SUM(AA187:AA217),1)</f>
        <v>0</v>
      </c>
      <c r="AD381" s="9"/>
      <c r="AE381" s="15"/>
      <c r="AF381" s="15"/>
      <c r="AG381" s="15"/>
      <c r="AH381" s="15"/>
      <c r="AI381" s="18">
        <f>AI217*1000</f>
        <v>0</v>
      </c>
      <c r="AJ381" s="10"/>
      <c r="AK381" s="15">
        <f>ROUND(SUM(AK187:AK217),1)</f>
        <v>0</v>
      </c>
      <c r="AM381" s="8"/>
      <c r="AN381" s="9" t="e">
        <f>ROUND(AVERAGE(AN187:AN217),2)</f>
        <v>#DIV/0!</v>
      </c>
      <c r="AO381" s="8"/>
      <c r="AP381" s="10">
        <f>ROUND(AVERAGE(AP187:AP217),2)</f>
        <v>0</v>
      </c>
      <c r="AQ381" s="10" t="e">
        <f>ROUND(AVERAGE(AQ187:AQ217),2)</f>
        <v>#DIV/0!</v>
      </c>
      <c r="AR381" s="10" t="e">
        <f>ROUND(MAX(AQ186:AQ216),2)</f>
        <v>#DIV/0!</v>
      </c>
      <c r="AS381" s="27"/>
      <c r="AT381" s="8"/>
      <c r="AU381" s="8"/>
      <c r="AV381" s="8"/>
      <c r="AW381" s="8"/>
      <c r="AX381" s="8"/>
      <c r="AY381" s="8"/>
      <c r="AZ381" s="18"/>
      <c r="BE381" s="17"/>
      <c r="BG381" s="17"/>
      <c r="BH381" s="17"/>
      <c r="BI381" s="17"/>
      <c r="BJ381" s="10"/>
      <c r="BL381" s="10"/>
      <c r="BW381"/>
      <c r="CG381"/>
    </row>
    <row r="382" spans="1:85" s="2" customFormat="1" x14ac:dyDescent="0.25">
      <c r="C382" s="2" t="s">
        <v>52</v>
      </c>
      <c r="D382" s="8"/>
      <c r="E382" s="8"/>
      <c r="F382" s="8"/>
      <c r="G382" s="8"/>
      <c r="H382" s="8"/>
      <c r="I382" s="15"/>
      <c r="J382" s="15" t="e">
        <f>ROUND(AVERAGE(J218:J248),1)</f>
        <v>#DIV/0!</v>
      </c>
      <c r="K382" s="15" t="e">
        <f>ROUND(AVERAGE(K218:K248),1)</f>
        <v>#DIV/0!</v>
      </c>
      <c r="L382" s="15" t="e">
        <f t="shared" ref="L382:N382" si="153">ROUND(AVERAGE(L218:L248),1)</f>
        <v>#DIV/0!</v>
      </c>
      <c r="M382" s="15" t="e">
        <f t="shared" si="153"/>
        <v>#DIV/0!</v>
      </c>
      <c r="N382" s="15" t="e">
        <f t="shared" si="153"/>
        <v>#DIV/0!</v>
      </c>
      <c r="O382" s="15" t="e">
        <f>ROUND(AVERAGE(O218:O248),1)</f>
        <v>#DIV/0!</v>
      </c>
      <c r="P382" s="15">
        <f>ROUND(MAX(O218:O248),1)</f>
        <v>0</v>
      </c>
      <c r="Q382" s="8"/>
      <c r="R382" s="8"/>
      <c r="S382" s="8"/>
      <c r="T382" s="15" t="e">
        <f>ROUND(AVERAGE(T218:T248),1)</f>
        <v>#DIV/0!</v>
      </c>
      <c r="U382" s="15">
        <f>ROUND(MIN(T218:T248),1)</f>
        <v>0</v>
      </c>
      <c r="V382" s="15" t="e">
        <f>ROUND(AVERAGE(U218:U248),1)</f>
        <v>#DIV/0!</v>
      </c>
      <c r="W382" s="15">
        <f>ROUND(MIN(U218:U248),1)</f>
        <v>0</v>
      </c>
      <c r="X382" s="15"/>
      <c r="Y382" s="15" t="e">
        <f>ROUND(AVERAGE(Y218:Y248),1)</f>
        <v>#DIV/0!</v>
      </c>
      <c r="Z382" s="15" t="e">
        <f>ROUND(AVERAGE(Z218:Z248),1)</f>
        <v>#DIV/0!</v>
      </c>
      <c r="AA382" s="15">
        <f>ROUND(MAX(Z218:Z248),1)</f>
        <v>0</v>
      </c>
      <c r="AB382" s="15">
        <f>ROUND(SUM(AA218:AA248),1)</f>
        <v>0</v>
      </c>
      <c r="AD382" s="9"/>
      <c r="AE382" s="15"/>
      <c r="AF382" s="15"/>
      <c r="AG382" s="15"/>
      <c r="AH382" s="15"/>
      <c r="AI382" s="18">
        <f>AI248*1000</f>
        <v>0</v>
      </c>
      <c r="AJ382" s="10"/>
      <c r="AK382" s="15">
        <f>ROUND(SUM(AK218:AK248),1)</f>
        <v>0</v>
      </c>
      <c r="AM382" s="8"/>
      <c r="AN382" s="9" t="e">
        <f>ROUND(AVERAGE(AN218:AN248),2)</f>
        <v>#DIV/0!</v>
      </c>
      <c r="AO382" s="8"/>
      <c r="AP382" s="10">
        <f>ROUND(AVERAGE(AP218:AP248),2)</f>
        <v>0</v>
      </c>
      <c r="AQ382" s="10" t="e">
        <f>ROUND(AVERAGE(AQ218:AQ248),2)</f>
        <v>#DIV/0!</v>
      </c>
      <c r="AR382" s="10" t="e">
        <f>ROUND(MAX(AQ217:AQ247),2)</f>
        <v>#DIV/0!</v>
      </c>
      <c r="AS382" s="27"/>
      <c r="AT382" s="8"/>
      <c r="AU382" s="8"/>
      <c r="AV382" s="8"/>
      <c r="AW382" s="8"/>
      <c r="AX382" s="8"/>
      <c r="AY382" s="8"/>
      <c r="AZ382" s="18"/>
      <c r="BE382" s="17"/>
      <c r="BG382" s="17"/>
      <c r="BH382" s="17"/>
      <c r="BI382" s="17"/>
      <c r="BJ382" s="10"/>
      <c r="BL382" s="10"/>
      <c r="BW382"/>
      <c r="CG382"/>
    </row>
    <row r="383" spans="1:85" s="2" customFormat="1" x14ac:dyDescent="0.25">
      <c r="C383" s="2" t="s">
        <v>53</v>
      </c>
      <c r="D383" s="8"/>
      <c r="E383" s="8"/>
      <c r="F383" s="8"/>
      <c r="G383" s="8"/>
      <c r="H383" s="8"/>
      <c r="I383" s="15"/>
      <c r="J383" s="15" t="e">
        <f>ROUND(AVERAGE(J249:J278),1)</f>
        <v>#DIV/0!</v>
      </c>
      <c r="K383" s="15" t="e">
        <f>ROUND(AVERAGE(K249:K278),1)</f>
        <v>#DIV/0!</v>
      </c>
      <c r="L383" s="15" t="e">
        <f t="shared" ref="L383:N383" si="154">ROUND(AVERAGE(L249:L278),1)</f>
        <v>#DIV/0!</v>
      </c>
      <c r="M383" s="15" t="e">
        <f t="shared" si="154"/>
        <v>#DIV/0!</v>
      </c>
      <c r="N383" s="15" t="e">
        <f t="shared" si="154"/>
        <v>#DIV/0!</v>
      </c>
      <c r="O383" s="15" t="e">
        <f>ROUND(AVERAGE(O249:O278),1)</f>
        <v>#DIV/0!</v>
      </c>
      <c r="P383" s="15">
        <f>ROUND(MAX(O249:O278),1)</f>
        <v>0</v>
      </c>
      <c r="Q383" s="8"/>
      <c r="R383" s="8"/>
      <c r="S383" s="8"/>
      <c r="T383" s="15" t="e">
        <f>ROUND(AVERAGE(T249:T278),1)</f>
        <v>#DIV/0!</v>
      </c>
      <c r="U383" s="15">
        <f>ROUND(MIN(T249:T278),1)</f>
        <v>0</v>
      </c>
      <c r="V383" s="15" t="e">
        <f>ROUND(AVERAGE(U249:U278),1)</f>
        <v>#DIV/0!</v>
      </c>
      <c r="W383" s="15">
        <f>ROUND(MIN(U249:U278),1)</f>
        <v>0</v>
      </c>
      <c r="X383" s="15"/>
      <c r="Y383" s="15" t="e">
        <f>ROUND(AVERAGE(Y249:Y278),1)</f>
        <v>#DIV/0!</v>
      </c>
      <c r="Z383" s="15" t="e">
        <f>ROUND(AVERAGE(Z249:Z278),1)</f>
        <v>#DIV/0!</v>
      </c>
      <c r="AA383" s="15">
        <f>ROUND(MAX(Z249:Z278),1)</f>
        <v>0</v>
      </c>
      <c r="AB383" s="15">
        <f>ROUND(SUM(AA249:AA278),1)</f>
        <v>0</v>
      </c>
      <c r="AD383" s="9"/>
      <c r="AE383" s="15"/>
      <c r="AF383" s="15"/>
      <c r="AG383" s="15"/>
      <c r="AH383" s="15"/>
      <c r="AI383" s="18">
        <f>AI278*1000</f>
        <v>0</v>
      </c>
      <c r="AJ383" s="10"/>
      <c r="AK383" s="15">
        <f>ROUND(SUM(AK249:AK278),1)</f>
        <v>0</v>
      </c>
      <c r="AM383" s="8"/>
      <c r="AN383" s="9" t="e">
        <f>ROUND(AVERAGE(AN249:AN278),2)</f>
        <v>#DIV/0!</v>
      </c>
      <c r="AO383" s="8"/>
      <c r="AP383" s="10">
        <f>ROUND(AVERAGE(AP249:AP278),2)</f>
        <v>0</v>
      </c>
      <c r="AQ383" s="10" t="e">
        <f>ROUND(AVERAGE(AQ249:AQ278),2)</f>
        <v>#DIV/0!</v>
      </c>
      <c r="AR383" s="10" t="e">
        <f>ROUND(MAX(AQ248:AQ277),2)</f>
        <v>#DIV/0!</v>
      </c>
      <c r="AS383" s="27"/>
      <c r="AT383" s="8"/>
      <c r="AU383" s="8"/>
      <c r="AV383" s="8"/>
      <c r="AW383" s="8"/>
      <c r="AX383" s="8"/>
      <c r="AY383" s="8"/>
      <c r="AZ383" s="18"/>
      <c r="BE383" s="17"/>
      <c r="BG383" s="17"/>
      <c r="BH383" s="17"/>
      <c r="BI383" s="17"/>
      <c r="BJ383" s="10"/>
      <c r="BL383" s="10"/>
      <c r="BW383"/>
      <c r="CG383"/>
    </row>
    <row r="384" spans="1:85" s="2" customFormat="1" x14ac:dyDescent="0.25">
      <c r="C384" s="2" t="s">
        <v>54</v>
      </c>
      <c r="D384" s="8"/>
      <c r="E384" s="8"/>
      <c r="F384" s="8"/>
      <c r="G384" s="8"/>
      <c r="H384" s="8"/>
      <c r="I384" s="15"/>
      <c r="J384" s="15" t="e">
        <f>ROUND(AVERAGE(J279:J309),1)</f>
        <v>#DIV/0!</v>
      </c>
      <c r="K384" s="15" t="e">
        <f>ROUND(AVERAGE(K279:K309),1)</f>
        <v>#DIV/0!</v>
      </c>
      <c r="L384" s="15" t="e">
        <f t="shared" ref="L384:N384" si="155">ROUND(AVERAGE(L279:L309),1)</f>
        <v>#DIV/0!</v>
      </c>
      <c r="M384" s="15" t="e">
        <f t="shared" si="155"/>
        <v>#DIV/0!</v>
      </c>
      <c r="N384" s="15" t="e">
        <f t="shared" si="155"/>
        <v>#DIV/0!</v>
      </c>
      <c r="O384" s="15" t="e">
        <f>ROUND(AVERAGE(O279:O309),1)</f>
        <v>#DIV/0!</v>
      </c>
      <c r="P384" s="15">
        <f>ROUND(MAX(O279:O309),1)</f>
        <v>0</v>
      </c>
      <c r="Q384" s="8"/>
      <c r="R384" s="8"/>
      <c r="S384" s="8"/>
      <c r="T384" s="15" t="e">
        <f>ROUND(AVERAGE(T279:T309),1)</f>
        <v>#DIV/0!</v>
      </c>
      <c r="U384" s="15">
        <f>ROUND(MIN(T279:T309),1)</f>
        <v>0</v>
      </c>
      <c r="V384" s="15" t="e">
        <f>ROUND(AVERAGE(U279:U309),1)</f>
        <v>#DIV/0!</v>
      </c>
      <c r="W384" s="15">
        <f>ROUND(MIN(U279:U309),1)</f>
        <v>0</v>
      </c>
      <c r="X384" s="15"/>
      <c r="Y384" s="15" t="e">
        <f>ROUND(AVERAGE(Y279:Y309),1)</f>
        <v>#DIV/0!</v>
      </c>
      <c r="Z384" s="15" t="e">
        <f>ROUND(AVERAGE(Z279:Z309),1)</f>
        <v>#DIV/0!</v>
      </c>
      <c r="AA384" s="15">
        <f>ROUND(MAX(Z279:Z309),1)</f>
        <v>0</v>
      </c>
      <c r="AB384" s="15">
        <f>ROUND(SUM(AA279:AA309),1)</f>
        <v>0</v>
      </c>
      <c r="AD384" s="9"/>
      <c r="AE384" s="15"/>
      <c r="AF384" s="15"/>
      <c r="AG384" s="15"/>
      <c r="AH384" s="15"/>
      <c r="AI384" s="18">
        <f>AI309*1000</f>
        <v>0</v>
      </c>
      <c r="AJ384" s="9"/>
      <c r="AK384" s="15">
        <f>ROUND(SUM(AK279:AK309),1)</f>
        <v>0</v>
      </c>
      <c r="AM384" s="8"/>
      <c r="AN384" s="9" t="e">
        <f>ROUND(AVERAGE(AN279:AN309),2)</f>
        <v>#DIV/0!</v>
      </c>
      <c r="AO384" s="8"/>
      <c r="AP384" s="10">
        <f>ROUND(AVERAGE(AP279:AP309),2)</f>
        <v>0</v>
      </c>
      <c r="AQ384" s="10" t="e">
        <f>ROUND(AVERAGE(AQ279:AQ309),2)</f>
        <v>#DIV/0!</v>
      </c>
      <c r="AR384" s="9" t="e">
        <f>ROUND(MAX(AQ278:AQ308),2)</f>
        <v>#DIV/0!</v>
      </c>
      <c r="AS384" s="27"/>
      <c r="AT384" s="8"/>
      <c r="AU384" s="8"/>
      <c r="AV384" s="8"/>
      <c r="AW384" s="8"/>
      <c r="AX384" s="8"/>
      <c r="AY384" s="8"/>
      <c r="AZ384" s="18"/>
      <c r="BE384" s="17"/>
      <c r="BG384" s="17"/>
      <c r="BH384" s="17"/>
      <c r="BI384" s="15"/>
      <c r="BJ384" s="10"/>
      <c r="BL384" s="9"/>
      <c r="BW384"/>
      <c r="CG384"/>
    </row>
    <row r="385" spans="3:85" s="2" customFormat="1" x14ac:dyDescent="0.25">
      <c r="C385" s="2" t="s">
        <v>55</v>
      </c>
      <c r="D385" s="8"/>
      <c r="E385" s="8"/>
      <c r="F385" s="8"/>
      <c r="G385" s="8"/>
      <c r="H385" s="8"/>
      <c r="I385" s="19"/>
      <c r="J385" s="19" t="e">
        <f>ROUND(AVERAGE(J310:J339),1)</f>
        <v>#DIV/0!</v>
      </c>
      <c r="K385" s="19" t="e">
        <f>ROUND(AVERAGE(K310:K339),1)</f>
        <v>#DIV/0!</v>
      </c>
      <c r="L385" s="19" t="e">
        <f t="shared" ref="L385:N385" si="156">ROUND(AVERAGE(L310:L339),1)</f>
        <v>#DIV/0!</v>
      </c>
      <c r="M385" s="19" t="e">
        <f t="shared" si="156"/>
        <v>#DIV/0!</v>
      </c>
      <c r="N385" s="19" t="e">
        <f t="shared" si="156"/>
        <v>#DIV/0!</v>
      </c>
      <c r="O385" s="19" t="e">
        <f>ROUND(AVERAGE(O310:O339),1)</f>
        <v>#DIV/0!</v>
      </c>
      <c r="P385" s="15">
        <f>ROUND(MAX(O310:O339),1)</f>
        <v>0</v>
      </c>
      <c r="Q385" s="8"/>
      <c r="R385" s="8"/>
      <c r="S385" s="8"/>
      <c r="T385" s="19" t="e">
        <f>ROUND(AVERAGE(T310:T339),1)</f>
        <v>#DIV/0!</v>
      </c>
      <c r="U385" s="15">
        <f>ROUND(MIN(T310:T339),1)</f>
        <v>0</v>
      </c>
      <c r="V385" s="19" t="e">
        <f>ROUND(AVERAGE(U310:U339),1)</f>
        <v>#DIV/0!</v>
      </c>
      <c r="W385" s="15">
        <f>ROUND(MIN(U310:U339),1)</f>
        <v>0</v>
      </c>
      <c r="X385" s="15"/>
      <c r="Y385" s="19" t="e">
        <f>ROUND(AVERAGE(Y310:Y339),1)</f>
        <v>#DIV/0!</v>
      </c>
      <c r="Z385" s="19" t="e">
        <f>ROUND(AVERAGE(Z310:Z339),1)</f>
        <v>#DIV/0!</v>
      </c>
      <c r="AA385" s="15">
        <f>ROUND(MAX(Z310:Z339),1)</f>
        <v>0</v>
      </c>
      <c r="AB385" s="15">
        <f>ROUND(SUM(AA310:AA339),1)</f>
        <v>0</v>
      </c>
      <c r="AD385" s="11"/>
      <c r="AE385" s="19"/>
      <c r="AF385" s="19"/>
      <c r="AG385" s="15"/>
      <c r="AH385" s="15"/>
      <c r="AI385" s="18">
        <f>AI339*1000</f>
        <v>0</v>
      </c>
      <c r="AJ385" s="10"/>
      <c r="AK385" s="15">
        <f>ROUND(SUM(AK310:AK339),1)</f>
        <v>0</v>
      </c>
      <c r="AM385" s="8"/>
      <c r="AN385" s="11" t="e">
        <f>ROUND(AVERAGE(AN310:AN339),2)</f>
        <v>#DIV/0!</v>
      </c>
      <c r="AO385" s="8"/>
      <c r="AP385" s="11">
        <f>ROUND(AVERAGE(AP310:AP339),2)</f>
        <v>0</v>
      </c>
      <c r="AQ385" s="11" t="e">
        <f>ROUND(AVERAGE(AQ310:AQ339),2)</f>
        <v>#DIV/0!</v>
      </c>
      <c r="AR385" s="10" t="e">
        <f>ROUND(MAX(AQ309:AQ338),2)</f>
        <v>#DIV/0!</v>
      </c>
      <c r="AS385" s="27"/>
      <c r="AT385" s="8"/>
      <c r="AU385" s="8"/>
      <c r="AV385" s="8"/>
      <c r="AW385" s="8"/>
      <c r="AX385" s="8"/>
      <c r="AY385" s="8"/>
      <c r="AZ385" s="18"/>
      <c r="BE385" s="17"/>
      <c r="BG385" s="19"/>
      <c r="BH385" s="19"/>
      <c r="BI385" s="17"/>
      <c r="BJ385" s="11"/>
      <c r="BL385" s="10"/>
      <c r="BW385"/>
      <c r="CG385"/>
    </row>
    <row r="386" spans="3:85" s="2" customFormat="1" x14ac:dyDescent="0.25">
      <c r="C386" s="2" t="s">
        <v>56</v>
      </c>
      <c r="D386" s="8"/>
      <c r="E386" s="8"/>
      <c r="F386" s="8"/>
      <c r="G386" s="8"/>
      <c r="H386" s="8"/>
      <c r="I386" s="15"/>
      <c r="J386" s="15" t="e">
        <f>ROUND(AVERAGE(J340:J370),1)</f>
        <v>#DIV/0!</v>
      </c>
      <c r="K386" s="15" t="e">
        <f>ROUND(AVERAGE(K340:K370),1)</f>
        <v>#DIV/0!</v>
      </c>
      <c r="L386" s="15" t="e">
        <f t="shared" ref="L386:N386" si="157">ROUND(AVERAGE(L340:L370),1)</f>
        <v>#DIV/0!</v>
      </c>
      <c r="M386" s="15" t="e">
        <f t="shared" si="157"/>
        <v>#DIV/0!</v>
      </c>
      <c r="N386" s="15" t="e">
        <f t="shared" si="157"/>
        <v>#DIV/0!</v>
      </c>
      <c r="O386" s="15" t="e">
        <f>ROUND(AVERAGE(O340:O370),1)</f>
        <v>#DIV/0!</v>
      </c>
      <c r="P386" s="15">
        <f>ROUND(MAX(O340:O370),1)</f>
        <v>0</v>
      </c>
      <c r="Q386" s="8"/>
      <c r="R386" s="8"/>
      <c r="S386" s="8"/>
      <c r="T386" s="15" t="e">
        <f>ROUND(AVERAGE(T340:T370),1)</f>
        <v>#DIV/0!</v>
      </c>
      <c r="U386" s="15">
        <f>ROUND(MIN(T340:T370),1)</f>
        <v>0</v>
      </c>
      <c r="V386" s="15" t="e">
        <f>ROUND(AVERAGE(U340:U370),1)</f>
        <v>#DIV/0!</v>
      </c>
      <c r="W386" s="15">
        <f>ROUND(MIN(U340:U370),1)</f>
        <v>0</v>
      </c>
      <c r="X386" s="15"/>
      <c r="Y386" s="15" t="e">
        <f>ROUND(AVERAGE(Y340:Y370),1)</f>
        <v>#DIV/0!</v>
      </c>
      <c r="Z386" s="15" t="e">
        <f>ROUND(AVERAGE(Z340:Z370),1)</f>
        <v>#DIV/0!</v>
      </c>
      <c r="AA386" s="15">
        <f>ROUND(MAX(Z340:Z370),1)</f>
        <v>0</v>
      </c>
      <c r="AB386" s="15">
        <f>ROUND(SUM(AA340:AA370),1)</f>
        <v>0</v>
      </c>
      <c r="AD386" s="9"/>
      <c r="AE386" s="15"/>
      <c r="AF386" s="15"/>
      <c r="AG386" s="15"/>
      <c r="AH386" s="15"/>
      <c r="AI386" s="18">
        <f>AI370*1000</f>
        <v>0</v>
      </c>
      <c r="AJ386" s="10"/>
      <c r="AK386" s="15">
        <f>ROUND(SUM(AK340:AK370),1)</f>
        <v>0</v>
      </c>
      <c r="AM386" s="8"/>
      <c r="AN386" s="9" t="e">
        <f>ROUND(AVERAGE(AN340:AN370),2)</f>
        <v>#DIV/0!</v>
      </c>
      <c r="AO386" s="8"/>
      <c r="AP386" s="10">
        <f>ROUND(AVERAGE(AP340:AP370),2)</f>
        <v>0</v>
      </c>
      <c r="AQ386" s="10" t="e">
        <f>ROUND(AVERAGE(AQ340:AQ370),2)</f>
        <v>#DIV/0!</v>
      </c>
      <c r="AR386" s="10" t="e">
        <f>ROUND(MAX(AQ339:AQ369),2)</f>
        <v>#DIV/0!</v>
      </c>
      <c r="AS386" s="27"/>
      <c r="AT386" s="8"/>
      <c r="AU386" s="8"/>
      <c r="AV386" s="8"/>
      <c r="AW386" s="8"/>
      <c r="AX386" s="8"/>
      <c r="AY386" s="8"/>
      <c r="AZ386" s="18"/>
      <c r="BE386" s="17"/>
      <c r="BG386" s="17"/>
      <c r="BH386" s="17"/>
      <c r="BI386" s="17"/>
      <c r="BJ386" s="10"/>
      <c r="BL386" s="10"/>
      <c r="BW386"/>
      <c r="CG386"/>
    </row>
    <row r="390" spans="3:85" x14ac:dyDescent="0.25">
      <c r="C390" s="2" t="s">
        <v>45</v>
      </c>
      <c r="D390" s="18"/>
      <c r="E390" s="18"/>
      <c r="F390" s="2"/>
      <c r="G390" s="18"/>
      <c r="H390" s="18"/>
      <c r="I390" s="18"/>
      <c r="J390" s="18">
        <f t="shared" ref="J390:O390" si="158">COUNT(J6:J36)</f>
        <v>31</v>
      </c>
      <c r="K390" s="18">
        <f t="shared" si="158"/>
        <v>31</v>
      </c>
      <c r="L390" s="18">
        <f t="shared" si="158"/>
        <v>0</v>
      </c>
      <c r="M390" s="18">
        <f t="shared" si="158"/>
        <v>31</v>
      </c>
      <c r="N390" s="18">
        <f t="shared" si="158"/>
        <v>31</v>
      </c>
      <c r="O390" s="18">
        <f t="shared" si="158"/>
        <v>31</v>
      </c>
      <c r="P390" s="18"/>
      <c r="T390" s="18">
        <f>COUNT(T6:T36)</f>
        <v>31</v>
      </c>
      <c r="V390" s="18">
        <f>COUNT(V6:V36)</f>
        <v>0</v>
      </c>
      <c r="Y390" s="18">
        <f>COUNT(Y6:Y36)</f>
        <v>31</v>
      </c>
      <c r="Z390" s="18">
        <f>COUNT(Z6:Z36)</f>
        <v>31</v>
      </c>
      <c r="AB390" s="18">
        <f>COUNT(AB6:AB36)</f>
        <v>31</v>
      </c>
      <c r="AI390" s="18">
        <f>COUNT(AI6:AI36)</f>
        <v>31</v>
      </c>
      <c r="AK390" s="18">
        <f>COUNT(AK6:AK36)</f>
        <v>31</v>
      </c>
      <c r="AN390" s="18">
        <f>COUNT(AN6:AN36)</f>
        <v>31</v>
      </c>
      <c r="AP390" s="18">
        <f>COUNT(AP6:AP36)</f>
        <v>31</v>
      </c>
      <c r="AQ390" s="18">
        <f>COUNT(AQ6:AQ36)</f>
        <v>31</v>
      </c>
      <c r="AS390" s="18"/>
    </row>
    <row r="391" spans="3:85" x14ac:dyDescent="0.25">
      <c r="C391" s="2" t="s">
        <v>46</v>
      </c>
      <c r="D391" s="18"/>
      <c r="E391" s="18"/>
      <c r="F391" s="2"/>
      <c r="G391" s="18"/>
      <c r="H391" s="18"/>
      <c r="I391" s="18"/>
      <c r="J391" s="18">
        <f t="shared" ref="J391:O391" si="159">COUNT(J37:J64)</f>
        <v>28</v>
      </c>
      <c r="K391" s="18">
        <f t="shared" si="159"/>
        <v>28</v>
      </c>
      <c r="L391" s="18">
        <f t="shared" si="159"/>
        <v>0</v>
      </c>
      <c r="M391" s="18">
        <f t="shared" si="159"/>
        <v>28</v>
      </c>
      <c r="N391" s="18">
        <f t="shared" si="159"/>
        <v>28</v>
      </c>
      <c r="O391" s="18">
        <f t="shared" si="159"/>
        <v>28</v>
      </c>
      <c r="P391" s="18"/>
      <c r="T391" s="18">
        <f>COUNT(T37:T64)</f>
        <v>28</v>
      </c>
      <c r="V391" s="18">
        <f>COUNT(V37:V64)</f>
        <v>0</v>
      </c>
      <c r="Y391" s="18">
        <f>COUNT(Y37:Y64)</f>
        <v>28</v>
      </c>
      <c r="Z391" s="18">
        <f>COUNT(Z37:Z64)</f>
        <v>28</v>
      </c>
      <c r="AB391" s="18">
        <f>COUNT(AB37:AB64)</f>
        <v>28</v>
      </c>
      <c r="AI391" s="18">
        <f>COUNT(AI37:AI64)</f>
        <v>28</v>
      </c>
      <c r="AK391" s="18">
        <f>COUNT(AK37:AK64)</f>
        <v>28</v>
      </c>
      <c r="AN391" s="18">
        <f>COUNT(AN37:AN64)</f>
        <v>28</v>
      </c>
      <c r="AP391" s="18">
        <f>COUNT(AP37:AP64)</f>
        <v>28</v>
      </c>
      <c r="AQ391" s="18">
        <f>COUNT(AQ37:AQ64)</f>
        <v>28</v>
      </c>
      <c r="AS391" s="18"/>
    </row>
    <row r="392" spans="3:85" x14ac:dyDescent="0.25">
      <c r="C392" s="2" t="s">
        <v>47</v>
      </c>
      <c r="D392" s="18"/>
      <c r="E392" s="18"/>
      <c r="F392" s="2"/>
      <c r="G392" s="18"/>
      <c r="H392" s="18"/>
      <c r="I392" s="18"/>
      <c r="J392" s="18">
        <f t="shared" ref="J392:N392" si="160">COUNT(J65:J95)</f>
        <v>4</v>
      </c>
      <c r="K392" s="18">
        <f t="shared" si="160"/>
        <v>4</v>
      </c>
      <c r="L392" s="18">
        <f t="shared" si="160"/>
        <v>0</v>
      </c>
      <c r="M392" s="18">
        <f t="shared" si="160"/>
        <v>4</v>
      </c>
      <c r="N392" s="18">
        <f t="shared" si="160"/>
        <v>4</v>
      </c>
      <c r="O392" s="18">
        <f t="shared" ref="O392" si="161">COUNT(O65:O95)</f>
        <v>4</v>
      </c>
      <c r="P392" s="18"/>
      <c r="T392" s="18">
        <f t="shared" ref="T392" si="162">COUNT(T65:T95)</f>
        <v>4</v>
      </c>
      <c r="V392" s="18">
        <f t="shared" ref="V392" si="163">COUNT(V65:V95)</f>
        <v>0</v>
      </c>
      <c r="Y392" s="18">
        <f t="shared" ref="Y392:Z392" si="164">COUNT(Y65:Y95)</f>
        <v>4</v>
      </c>
      <c r="Z392" s="18">
        <f t="shared" si="164"/>
        <v>4</v>
      </c>
      <c r="AB392" s="18">
        <f t="shared" ref="AB392" si="165">COUNT(AB65:AB95)</f>
        <v>4</v>
      </c>
      <c r="AI392" s="18">
        <f t="shared" ref="AI392" si="166">COUNT(AI65:AI95)</f>
        <v>4</v>
      </c>
      <c r="AK392" s="18">
        <f t="shared" ref="AK392" si="167">COUNT(AK65:AK95)</f>
        <v>31</v>
      </c>
      <c r="AN392" s="18">
        <f t="shared" ref="AN392" si="168">COUNT(AN65:AN95)</f>
        <v>4</v>
      </c>
      <c r="AP392" s="18">
        <f t="shared" ref="AP392:AQ392" si="169">COUNT(AP65:AP95)</f>
        <v>31</v>
      </c>
      <c r="AQ392" s="18">
        <f t="shared" si="169"/>
        <v>4</v>
      </c>
      <c r="AS392" s="18"/>
    </row>
    <row r="393" spans="3:85" x14ac:dyDescent="0.25">
      <c r="C393" s="2" t="s">
        <v>48</v>
      </c>
      <c r="D393" s="18"/>
      <c r="E393" s="18"/>
      <c r="F393" s="2"/>
      <c r="G393" s="18"/>
      <c r="H393" s="18"/>
      <c r="I393" s="18"/>
      <c r="J393" s="18">
        <f t="shared" ref="J393:N393" si="170">COUNT(J96:J125)</f>
        <v>0</v>
      </c>
      <c r="K393" s="18">
        <f t="shared" si="170"/>
        <v>0</v>
      </c>
      <c r="L393" s="18">
        <f t="shared" si="170"/>
        <v>0</v>
      </c>
      <c r="M393" s="18">
        <f t="shared" si="170"/>
        <v>0</v>
      </c>
      <c r="N393" s="18">
        <f t="shared" si="170"/>
        <v>0</v>
      </c>
      <c r="O393" s="18">
        <f t="shared" ref="O393" si="171">COUNT(O96:O125)</f>
        <v>0</v>
      </c>
      <c r="P393" s="18"/>
      <c r="T393" s="18">
        <f t="shared" ref="T393" si="172">COUNT(T96:T125)</f>
        <v>0</v>
      </c>
      <c r="V393" s="18">
        <f t="shared" ref="V393" si="173">COUNT(V96:V125)</f>
        <v>0</v>
      </c>
      <c r="Y393" s="18">
        <f t="shared" ref="Y393:Z393" si="174">COUNT(Y96:Y125)</f>
        <v>0</v>
      </c>
      <c r="Z393" s="18">
        <f t="shared" si="174"/>
        <v>0</v>
      </c>
      <c r="AB393" s="18">
        <f t="shared" ref="AB393" si="175">COUNT(AB96:AB125)</f>
        <v>0</v>
      </c>
      <c r="AI393" s="18">
        <f t="shared" ref="AI393" si="176">COUNT(AI96:AI125)</f>
        <v>0</v>
      </c>
      <c r="AK393" s="18">
        <f t="shared" ref="AK393" si="177">COUNT(AK96:AK125)</f>
        <v>30</v>
      </c>
      <c r="AN393" s="18">
        <f t="shared" ref="AN393" si="178">COUNT(AN96:AN125)</f>
        <v>0</v>
      </c>
      <c r="AP393" s="18">
        <f t="shared" ref="AP393:AQ393" si="179">COUNT(AP96:AP125)</f>
        <v>30</v>
      </c>
      <c r="AQ393" s="18">
        <f t="shared" si="179"/>
        <v>0</v>
      </c>
      <c r="AS393" s="18"/>
    </row>
    <row r="394" spans="3:85" x14ac:dyDescent="0.25">
      <c r="C394" s="2" t="s">
        <v>49</v>
      </c>
      <c r="D394" s="18"/>
      <c r="E394" s="18"/>
      <c r="F394" s="2"/>
      <c r="G394" s="18"/>
      <c r="H394" s="18"/>
      <c r="I394" s="18"/>
      <c r="J394" s="18">
        <f t="shared" ref="J394:N394" si="180">COUNT(J126:J156)</f>
        <v>0</v>
      </c>
      <c r="K394" s="18">
        <f t="shared" si="180"/>
        <v>0</v>
      </c>
      <c r="L394" s="18">
        <f t="shared" si="180"/>
        <v>0</v>
      </c>
      <c r="M394" s="18">
        <f t="shared" si="180"/>
        <v>0</v>
      </c>
      <c r="N394" s="18">
        <f t="shared" si="180"/>
        <v>0</v>
      </c>
      <c r="O394" s="18">
        <f t="shared" ref="O394" si="181">COUNT(O126:O156)</f>
        <v>0</v>
      </c>
      <c r="P394" s="18"/>
      <c r="T394" s="18">
        <f t="shared" ref="T394" si="182">COUNT(T126:T156)</f>
        <v>0</v>
      </c>
      <c r="V394" s="18">
        <f t="shared" ref="V394" si="183">COUNT(V126:V156)</f>
        <v>0</v>
      </c>
      <c r="Y394" s="18">
        <f t="shared" ref="Y394:Z394" si="184">COUNT(Y126:Y156)</f>
        <v>0</v>
      </c>
      <c r="Z394" s="18">
        <f t="shared" si="184"/>
        <v>0</v>
      </c>
      <c r="AB394" s="18">
        <f t="shared" ref="AB394" si="185">COUNT(AB126:AB156)</f>
        <v>0</v>
      </c>
      <c r="AI394" s="18">
        <f t="shared" ref="AI394" si="186">COUNT(AI126:AI156)</f>
        <v>0</v>
      </c>
      <c r="AK394" s="18">
        <f t="shared" ref="AK394" si="187">COUNT(AK126:AK156)</f>
        <v>31</v>
      </c>
      <c r="AN394" s="18">
        <f t="shared" ref="AN394" si="188">COUNT(AN126:AN156)</f>
        <v>0</v>
      </c>
      <c r="AP394" s="18">
        <f t="shared" ref="AP394:AQ394" si="189">COUNT(AP126:AP156)</f>
        <v>31</v>
      </c>
      <c r="AQ394" s="18">
        <f t="shared" si="189"/>
        <v>0</v>
      </c>
      <c r="AS394" s="18"/>
    </row>
    <row r="395" spans="3:85" x14ac:dyDescent="0.25">
      <c r="C395" s="2" t="s">
        <v>50</v>
      </c>
      <c r="D395" s="18"/>
      <c r="E395" s="18"/>
      <c r="F395" s="2"/>
      <c r="G395" s="18"/>
      <c r="H395" s="18"/>
      <c r="I395" s="18"/>
      <c r="J395" s="18">
        <f t="shared" ref="J395:N395" si="190">COUNT(J157:J186)</f>
        <v>0</v>
      </c>
      <c r="K395" s="18">
        <f t="shared" si="190"/>
        <v>0</v>
      </c>
      <c r="L395" s="18">
        <f t="shared" si="190"/>
        <v>0</v>
      </c>
      <c r="M395" s="18">
        <f t="shared" si="190"/>
        <v>0</v>
      </c>
      <c r="N395" s="18">
        <f t="shared" si="190"/>
        <v>0</v>
      </c>
      <c r="O395" s="18">
        <f t="shared" ref="O395" si="191">COUNT(O157:O186)</f>
        <v>0</v>
      </c>
      <c r="P395" s="18"/>
      <c r="T395" s="18">
        <f t="shared" ref="T395" si="192">COUNT(T157:T186)</f>
        <v>0</v>
      </c>
      <c r="V395" s="18">
        <f t="shared" ref="V395" si="193">COUNT(V157:V186)</f>
        <v>0</v>
      </c>
      <c r="Y395" s="18">
        <f t="shared" ref="Y395:Z395" si="194">COUNT(Y157:Y186)</f>
        <v>0</v>
      </c>
      <c r="Z395" s="18">
        <f t="shared" si="194"/>
        <v>0</v>
      </c>
      <c r="AB395" s="18">
        <f t="shared" ref="AB395" si="195">COUNT(AB157:AB186)</f>
        <v>0</v>
      </c>
      <c r="AI395" s="18">
        <f t="shared" ref="AI395" si="196">COUNT(AI157:AI186)</f>
        <v>0</v>
      </c>
      <c r="AK395" s="18">
        <f t="shared" ref="AK395" si="197">COUNT(AK157:AK186)</f>
        <v>30</v>
      </c>
      <c r="AN395" s="18">
        <f t="shared" ref="AN395" si="198">COUNT(AN157:AN186)</f>
        <v>0</v>
      </c>
      <c r="AP395" s="18">
        <f t="shared" ref="AP395:AQ395" si="199">COUNT(AP157:AP186)</f>
        <v>30</v>
      </c>
      <c r="AQ395" s="18">
        <f t="shared" si="199"/>
        <v>0</v>
      </c>
      <c r="AS395" s="18"/>
    </row>
    <row r="396" spans="3:85" x14ac:dyDescent="0.25">
      <c r="C396" s="2" t="s">
        <v>51</v>
      </c>
      <c r="D396" s="18"/>
      <c r="E396" s="18"/>
      <c r="F396" s="2"/>
      <c r="G396" s="18"/>
      <c r="H396" s="18"/>
      <c r="I396" s="18"/>
      <c r="J396" s="18">
        <f t="shared" ref="J396:N396" si="200">COUNT(J187:J217)</f>
        <v>0</v>
      </c>
      <c r="K396" s="18">
        <f t="shared" si="200"/>
        <v>0</v>
      </c>
      <c r="L396" s="18">
        <f t="shared" si="200"/>
        <v>0</v>
      </c>
      <c r="M396" s="18">
        <f t="shared" si="200"/>
        <v>0</v>
      </c>
      <c r="N396" s="18">
        <f t="shared" si="200"/>
        <v>0</v>
      </c>
      <c r="O396" s="18">
        <f t="shared" ref="O396" si="201">COUNT(O187:O217)</f>
        <v>0</v>
      </c>
      <c r="P396" s="18"/>
      <c r="T396" s="18">
        <f t="shared" ref="T396" si="202">COUNT(T187:T217)</f>
        <v>0</v>
      </c>
      <c r="V396" s="18">
        <f t="shared" ref="V396" si="203">COUNT(V187:V217)</f>
        <v>0</v>
      </c>
      <c r="Y396" s="18">
        <f t="shared" ref="Y396:Z396" si="204">COUNT(Y187:Y217)</f>
        <v>0</v>
      </c>
      <c r="Z396" s="18">
        <f t="shared" si="204"/>
        <v>0</v>
      </c>
      <c r="AB396" s="18">
        <f t="shared" ref="AB396" si="205">COUNT(AB187:AB217)</f>
        <v>0</v>
      </c>
      <c r="AI396" s="18">
        <f t="shared" ref="AI396" si="206">COUNT(AI187:AI217)</f>
        <v>0</v>
      </c>
      <c r="AK396" s="18">
        <f t="shared" ref="AK396" si="207">COUNT(AK187:AK217)</f>
        <v>31</v>
      </c>
      <c r="AN396" s="18">
        <f t="shared" ref="AN396" si="208">COUNT(AN187:AN217)</f>
        <v>0</v>
      </c>
      <c r="AP396" s="18">
        <f t="shared" ref="AP396:AQ396" si="209">COUNT(AP187:AP217)</f>
        <v>31</v>
      </c>
      <c r="AQ396" s="18">
        <f t="shared" si="209"/>
        <v>0</v>
      </c>
      <c r="AS396" s="18"/>
    </row>
    <row r="397" spans="3:85" x14ac:dyDescent="0.25">
      <c r="C397" s="2" t="s">
        <v>52</v>
      </c>
      <c r="D397" s="18"/>
      <c r="E397" s="18"/>
      <c r="F397" s="2"/>
      <c r="G397" s="18"/>
      <c r="H397" s="18"/>
      <c r="I397" s="18"/>
      <c r="J397" s="18">
        <f t="shared" ref="J397:N397" si="210">COUNT(J218:J248)</f>
        <v>0</v>
      </c>
      <c r="K397" s="18">
        <f t="shared" si="210"/>
        <v>0</v>
      </c>
      <c r="L397" s="18">
        <f t="shared" si="210"/>
        <v>0</v>
      </c>
      <c r="M397" s="18">
        <f t="shared" si="210"/>
        <v>0</v>
      </c>
      <c r="N397" s="18">
        <f t="shared" si="210"/>
        <v>0</v>
      </c>
      <c r="O397" s="18">
        <f t="shared" ref="O397" si="211">COUNT(O218:O248)</f>
        <v>0</v>
      </c>
      <c r="P397" s="18"/>
      <c r="T397" s="18">
        <f t="shared" ref="T397" si="212">COUNT(T218:T248)</f>
        <v>0</v>
      </c>
      <c r="V397" s="18">
        <f t="shared" ref="V397" si="213">COUNT(V218:V248)</f>
        <v>0</v>
      </c>
      <c r="Y397" s="18">
        <f t="shared" ref="Y397:Z397" si="214">COUNT(Y218:Y248)</f>
        <v>0</v>
      </c>
      <c r="Z397" s="18">
        <f t="shared" si="214"/>
        <v>0</v>
      </c>
      <c r="AB397" s="18">
        <f t="shared" ref="AB397" si="215">COUNT(AB218:AB248)</f>
        <v>0</v>
      </c>
      <c r="AI397" s="18">
        <f t="shared" ref="AI397" si="216">COUNT(AI218:AI248)</f>
        <v>0</v>
      </c>
      <c r="AK397" s="18">
        <f t="shared" ref="AK397" si="217">COUNT(AK218:AK248)</f>
        <v>31</v>
      </c>
      <c r="AN397" s="18">
        <f t="shared" ref="AN397" si="218">COUNT(AN218:AN248)</f>
        <v>0</v>
      </c>
      <c r="AP397" s="18">
        <f t="shared" ref="AP397:AQ397" si="219">COUNT(AP218:AP248)</f>
        <v>31</v>
      </c>
      <c r="AQ397" s="18">
        <f t="shared" si="219"/>
        <v>0</v>
      </c>
      <c r="AS397" s="18"/>
    </row>
    <row r="398" spans="3:85" x14ac:dyDescent="0.25">
      <c r="C398" s="2" t="s">
        <v>53</v>
      </c>
      <c r="D398" s="18"/>
      <c r="E398" s="18"/>
      <c r="F398" s="2"/>
      <c r="G398" s="18"/>
      <c r="H398" s="18"/>
      <c r="I398" s="18"/>
      <c r="J398" s="18">
        <f t="shared" ref="J398:N398" si="220">COUNT(J249:J278)</f>
        <v>0</v>
      </c>
      <c r="K398" s="18">
        <f t="shared" si="220"/>
        <v>0</v>
      </c>
      <c r="L398" s="18">
        <f t="shared" si="220"/>
        <v>0</v>
      </c>
      <c r="M398" s="18">
        <f t="shared" si="220"/>
        <v>0</v>
      </c>
      <c r="N398" s="18">
        <f t="shared" si="220"/>
        <v>0</v>
      </c>
      <c r="O398" s="18">
        <f t="shared" ref="O398" si="221">COUNT(O249:O278)</f>
        <v>0</v>
      </c>
      <c r="P398" s="18"/>
      <c r="T398" s="18">
        <f t="shared" ref="T398" si="222">COUNT(T249:T278)</f>
        <v>0</v>
      </c>
      <c r="V398" s="18">
        <f t="shared" ref="V398" si="223">COUNT(V249:V278)</f>
        <v>0</v>
      </c>
      <c r="Y398" s="18">
        <f t="shared" ref="Y398:Z398" si="224">COUNT(Y249:Y278)</f>
        <v>0</v>
      </c>
      <c r="Z398" s="18">
        <f t="shared" si="224"/>
        <v>0</v>
      </c>
      <c r="AB398" s="18">
        <f t="shared" ref="AB398" si="225">COUNT(AB249:AB278)</f>
        <v>0</v>
      </c>
      <c r="AI398" s="18">
        <f t="shared" ref="AI398" si="226">COUNT(AI249:AI278)</f>
        <v>0</v>
      </c>
      <c r="AK398" s="18">
        <f t="shared" ref="AK398" si="227">COUNT(AK249:AK278)</f>
        <v>30</v>
      </c>
      <c r="AN398" s="18">
        <f t="shared" ref="AN398" si="228">COUNT(AN249:AN278)</f>
        <v>0</v>
      </c>
      <c r="AP398" s="18">
        <f t="shared" ref="AP398:AQ398" si="229">COUNT(AP249:AP278)</f>
        <v>30</v>
      </c>
      <c r="AQ398" s="18">
        <f t="shared" si="229"/>
        <v>0</v>
      </c>
      <c r="AS398" s="18"/>
    </row>
    <row r="399" spans="3:85" x14ac:dyDescent="0.25">
      <c r="C399" s="2" t="s">
        <v>54</v>
      </c>
      <c r="D399" s="18"/>
      <c r="E399" s="18"/>
      <c r="F399" s="2"/>
      <c r="G399" s="18"/>
      <c r="H399" s="18"/>
      <c r="I399" s="18"/>
      <c r="J399" s="18">
        <f t="shared" ref="J399:N399" si="230">COUNT(J279:J309)</f>
        <v>0</v>
      </c>
      <c r="K399" s="18">
        <f t="shared" si="230"/>
        <v>0</v>
      </c>
      <c r="L399" s="18">
        <f t="shared" si="230"/>
        <v>0</v>
      </c>
      <c r="M399" s="18">
        <f t="shared" si="230"/>
        <v>0</v>
      </c>
      <c r="N399" s="18">
        <f t="shared" si="230"/>
        <v>0</v>
      </c>
      <c r="O399" s="18">
        <f t="shared" ref="O399" si="231">COUNT(O279:O309)</f>
        <v>0</v>
      </c>
      <c r="P399" s="18"/>
      <c r="T399" s="18">
        <f t="shared" ref="T399" si="232">COUNT(T279:T309)</f>
        <v>0</v>
      </c>
      <c r="V399" s="18">
        <f t="shared" ref="V399" si="233">COUNT(V279:V309)</f>
        <v>0</v>
      </c>
      <c r="Y399" s="18">
        <f t="shared" ref="Y399:Z399" si="234">COUNT(Y279:Y309)</f>
        <v>0</v>
      </c>
      <c r="Z399" s="18">
        <f t="shared" si="234"/>
        <v>0</v>
      </c>
      <c r="AB399" s="18">
        <f t="shared" ref="AB399" si="235">COUNT(AB279:AB309)</f>
        <v>0</v>
      </c>
      <c r="AI399" s="18">
        <f t="shared" ref="AI399" si="236">COUNT(AI279:AI309)</f>
        <v>0</v>
      </c>
      <c r="AK399" s="18">
        <f t="shared" ref="AK399" si="237">COUNT(AK279:AK309)</f>
        <v>17</v>
      </c>
      <c r="AN399" s="18">
        <f t="shared" ref="AN399" si="238">COUNT(AN279:AN309)</f>
        <v>0</v>
      </c>
      <c r="AP399" s="18">
        <f t="shared" ref="AP399:AQ399" si="239">COUNT(AP279:AP309)</f>
        <v>31</v>
      </c>
      <c r="AQ399" s="18">
        <f t="shared" si="239"/>
        <v>0</v>
      </c>
      <c r="AS399" s="18"/>
    </row>
    <row r="400" spans="3:85" x14ac:dyDescent="0.25">
      <c r="C400" s="2" t="s">
        <v>55</v>
      </c>
      <c r="D400" s="18"/>
      <c r="E400" s="18"/>
      <c r="F400" s="2"/>
      <c r="G400" s="18"/>
      <c r="H400" s="18"/>
      <c r="I400" s="18"/>
      <c r="J400" s="18">
        <f t="shared" ref="J400:N400" si="240">COUNT(J310:J339)</f>
        <v>0</v>
      </c>
      <c r="K400" s="18">
        <f t="shared" si="240"/>
        <v>0</v>
      </c>
      <c r="L400" s="18">
        <f t="shared" si="240"/>
        <v>0</v>
      </c>
      <c r="M400" s="18">
        <f t="shared" si="240"/>
        <v>0</v>
      </c>
      <c r="N400" s="18">
        <f t="shared" si="240"/>
        <v>0</v>
      </c>
      <c r="O400" s="18">
        <f t="shared" ref="O400" si="241">COUNT(O310:O339)</f>
        <v>0</v>
      </c>
      <c r="P400" s="18"/>
      <c r="T400" s="18">
        <f t="shared" ref="T400" si="242">COUNT(T310:T339)</f>
        <v>0</v>
      </c>
      <c r="V400" s="18">
        <f t="shared" ref="V400" si="243">COUNT(V310:V339)</f>
        <v>0</v>
      </c>
      <c r="Y400" s="18">
        <f t="shared" ref="Y400:Z400" si="244">COUNT(Y310:Y339)</f>
        <v>0</v>
      </c>
      <c r="Z400" s="18">
        <f t="shared" si="244"/>
        <v>0</v>
      </c>
      <c r="AB400" s="18">
        <f t="shared" ref="AB400" si="245">COUNT(AB310:AB339)</f>
        <v>0</v>
      </c>
      <c r="AI400" s="18">
        <f t="shared" ref="AI400" si="246">COUNT(AI310:AI339)</f>
        <v>0</v>
      </c>
      <c r="AK400" s="18">
        <f t="shared" ref="AK400" si="247">COUNT(AK310:AK339)</f>
        <v>0</v>
      </c>
      <c r="AN400" s="18">
        <f t="shared" ref="AN400" si="248">COUNT(AN310:AN339)</f>
        <v>0</v>
      </c>
      <c r="AP400" s="18">
        <f t="shared" ref="AP400:AQ400" si="249">COUNT(AP310:AP339)</f>
        <v>30</v>
      </c>
      <c r="AQ400" s="18">
        <f t="shared" si="249"/>
        <v>0</v>
      </c>
      <c r="AS400" s="18"/>
    </row>
    <row r="401" spans="3:45" x14ac:dyDescent="0.25">
      <c r="C401" s="2" t="s">
        <v>56</v>
      </c>
      <c r="D401" s="18"/>
      <c r="E401" s="18"/>
      <c r="F401" s="2"/>
      <c r="G401" s="18"/>
      <c r="H401" s="18"/>
      <c r="I401" s="18"/>
      <c r="J401" s="18">
        <f t="shared" ref="J401:N401" si="250">COUNT(J340:J370)</f>
        <v>0</v>
      </c>
      <c r="K401" s="18">
        <f t="shared" si="250"/>
        <v>0</v>
      </c>
      <c r="L401" s="18">
        <f t="shared" si="250"/>
        <v>0</v>
      </c>
      <c r="M401" s="18">
        <f t="shared" si="250"/>
        <v>0</v>
      </c>
      <c r="N401" s="18">
        <f t="shared" si="250"/>
        <v>0</v>
      </c>
      <c r="O401" s="18">
        <f t="shared" ref="O401" si="251">COUNT(O340:O370)</f>
        <v>0</v>
      </c>
      <c r="P401" s="18"/>
      <c r="T401" s="18">
        <f t="shared" ref="T401" si="252">COUNT(T340:T370)</f>
        <v>0</v>
      </c>
      <c r="V401" s="18">
        <f t="shared" ref="V401" si="253">COUNT(V340:V370)</f>
        <v>0</v>
      </c>
      <c r="Y401" s="18">
        <f t="shared" ref="Y401:Z401" si="254">COUNT(Y340:Y370)</f>
        <v>0</v>
      </c>
      <c r="Z401" s="18">
        <f t="shared" si="254"/>
        <v>0</v>
      </c>
      <c r="AB401" s="18">
        <f t="shared" ref="AB401" si="255">COUNT(AB340:AB370)</f>
        <v>0</v>
      </c>
      <c r="AI401" s="18">
        <f t="shared" ref="AI401" si="256">COUNT(AI340:AI370)</f>
        <v>0</v>
      </c>
      <c r="AK401" s="18">
        <f t="shared" ref="AK401" si="257">COUNT(AK340:AK370)</f>
        <v>0</v>
      </c>
      <c r="AN401" s="18">
        <f t="shared" ref="AN401" si="258">COUNT(AN340:AN370)</f>
        <v>0</v>
      </c>
      <c r="AP401" s="18">
        <f t="shared" ref="AP401:AQ401" si="259">COUNT(AP340:AP370)</f>
        <v>31</v>
      </c>
      <c r="AQ401" s="18">
        <f t="shared" si="259"/>
        <v>0</v>
      </c>
      <c r="AS401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31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58</v>
      </c>
    </row>
    <row r="2" spans="1:2" x14ac:dyDescent="0.25">
      <c r="A2" t="s">
        <v>119</v>
      </c>
    </row>
    <row r="4" spans="1:2" x14ac:dyDescent="0.25">
      <c r="A4" t="s">
        <v>62</v>
      </c>
    </row>
    <row r="5" spans="1:2" x14ac:dyDescent="0.25">
      <c r="B5" t="s">
        <v>59</v>
      </c>
    </row>
    <row r="6" spans="1:2" x14ac:dyDescent="0.25">
      <c r="B6" t="s">
        <v>76</v>
      </c>
    </row>
    <row r="7" spans="1:2" x14ac:dyDescent="0.25">
      <c r="A7" t="s">
        <v>63</v>
      </c>
    </row>
    <row r="8" spans="1:2" x14ac:dyDescent="0.25">
      <c r="B8" t="s">
        <v>114</v>
      </c>
    </row>
    <row r="9" spans="1:2" x14ac:dyDescent="0.25">
      <c r="B9" t="s">
        <v>70</v>
      </c>
    </row>
    <row r="10" spans="1:2" x14ac:dyDescent="0.25">
      <c r="B10" t="s">
        <v>69</v>
      </c>
    </row>
    <row r="11" spans="1:2" x14ac:dyDescent="0.25">
      <c r="A11" t="s">
        <v>64</v>
      </c>
    </row>
    <row r="12" spans="1:2" x14ac:dyDescent="0.25">
      <c r="B12" t="s">
        <v>115</v>
      </c>
    </row>
    <row r="13" spans="1:2" x14ac:dyDescent="0.25">
      <c r="A13" t="s">
        <v>65</v>
      </c>
    </row>
    <row r="14" spans="1:2" x14ac:dyDescent="0.25">
      <c r="B14" t="s">
        <v>60</v>
      </c>
    </row>
    <row r="15" spans="1:2" x14ac:dyDescent="0.25">
      <c r="A15" t="s">
        <v>66</v>
      </c>
    </row>
    <row r="16" spans="1:2" x14ac:dyDescent="0.25">
      <c r="B16" t="s">
        <v>92</v>
      </c>
    </row>
    <row r="17" spans="1:5" x14ac:dyDescent="0.25">
      <c r="A17" t="s">
        <v>67</v>
      </c>
    </row>
    <row r="18" spans="1:5" x14ac:dyDescent="0.25">
      <c r="B18" t="s">
        <v>61</v>
      </c>
    </row>
    <row r="19" spans="1:5" x14ac:dyDescent="0.25">
      <c r="A19" t="s">
        <v>68</v>
      </c>
    </row>
    <row r="20" spans="1:5" x14ac:dyDescent="0.25">
      <c r="B20" t="s">
        <v>73</v>
      </c>
    </row>
    <row r="21" spans="1:5" x14ac:dyDescent="0.25">
      <c r="B21" t="s">
        <v>94</v>
      </c>
    </row>
    <row r="22" spans="1:5" x14ac:dyDescent="0.25">
      <c r="C22" t="s">
        <v>95</v>
      </c>
      <c r="E22" t="s">
        <v>93</v>
      </c>
    </row>
    <row r="24" spans="1:5" x14ac:dyDescent="0.25">
      <c r="A24" t="s">
        <v>108</v>
      </c>
    </row>
    <row r="25" spans="1:5" x14ac:dyDescent="0.25">
      <c r="B25" t="s">
        <v>109</v>
      </c>
    </row>
    <row r="26" spans="1:5" x14ac:dyDescent="0.25">
      <c r="B26" t="s">
        <v>116</v>
      </c>
    </row>
    <row r="27" spans="1:5" x14ac:dyDescent="0.25">
      <c r="C27" t="s">
        <v>117</v>
      </c>
    </row>
    <row r="28" spans="1:5" x14ac:dyDescent="0.25">
      <c r="A28" t="s">
        <v>110</v>
      </c>
    </row>
    <row r="29" spans="1:5" x14ac:dyDescent="0.25">
      <c r="B29" t="s">
        <v>118</v>
      </c>
    </row>
    <row r="30" spans="1:5" x14ac:dyDescent="0.25">
      <c r="A30" t="s">
        <v>112</v>
      </c>
    </row>
    <row r="31" spans="1:5" x14ac:dyDescent="0.25">
      <c r="B3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17</vt:i4>
      </vt:variant>
    </vt:vector>
  </HeadingPairs>
  <TitlesOfParts>
    <vt:vector size="19" baseType="lpstr">
      <vt:lpstr>Data</vt:lpstr>
      <vt:lpstr>Meta</vt:lpstr>
      <vt:lpstr>Sol</vt:lpstr>
      <vt:lpstr>SolCor</vt:lpstr>
      <vt:lpstr>TAir</vt:lpstr>
      <vt:lpstr>RH</vt:lpstr>
      <vt:lpstr>Tave</vt:lpstr>
      <vt:lpstr>T1.5</vt:lpstr>
      <vt:lpstr>T0.2</vt:lpstr>
      <vt:lpstr>Tsoil</vt:lpstr>
      <vt:lpstr>Wind</vt:lpstr>
      <vt:lpstr>SnowD</vt:lpstr>
      <vt:lpstr>Rain</vt:lpstr>
      <vt:lpstr>PPTSum</vt:lpstr>
      <vt:lpstr>Vpres</vt:lpstr>
      <vt:lpstr>BatV</vt:lpstr>
      <vt:lpstr>TRef</vt:lpstr>
      <vt:lpstr>Tpan</vt:lpstr>
      <vt:lpstr>Short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2013-07-08T16:00:48Z</dcterms:created>
  <dcterms:modified xsi:type="dcterms:W3CDTF">2025-03-31T20:46:22Z</dcterms:modified>
</cp:coreProperties>
</file>