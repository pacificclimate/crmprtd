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9020" windowHeight="11700" tabRatio="663" firstSheet="3" activeTab="17"/>
  </bookViews>
  <sheets>
    <sheet name="Sol" sheetId="4" r:id="rId1"/>
    <sheet name="SolCor" sheetId="19" r:id="rId2"/>
    <sheet name="TAir" sheetId="5" r:id="rId3"/>
    <sheet name="RH" sheetId="6" r:id="rId4"/>
    <sheet name="Tave" sheetId="8" r:id="rId5"/>
    <sheet name="T1.5" sheetId="15" r:id="rId6"/>
    <sheet name="T0.2" sheetId="17" r:id="rId7"/>
    <sheet name="Tsoil" sheetId="16" r:id="rId8"/>
    <sheet name="Wind" sheetId="7" r:id="rId9"/>
    <sheet name="SnowD" sheetId="9" r:id="rId10"/>
    <sheet name="Rain" sheetId="13" r:id="rId11"/>
    <sheet name="PPTSum" sheetId="18" r:id="rId12"/>
    <sheet name="vpres" sheetId="20" r:id="rId13"/>
    <sheet name="BatV" sheetId="10" r:id="rId14"/>
    <sheet name="TRef" sheetId="11" r:id="rId15"/>
    <sheet name="Tpan" sheetId="12" r:id="rId16"/>
    <sheet name="Short" sheetId="14" r:id="rId17"/>
    <sheet name="Data" sheetId="1" r:id="rId18"/>
    <sheet name="Meta" sheetId="2" r:id="rId19"/>
  </sheets>
  <calcPr calcId="145621"/>
</workbook>
</file>

<file path=xl/calcChain.xml><?xml version="1.0" encoding="utf-8"?>
<calcChain xmlns="http://schemas.openxmlformats.org/spreadsheetml/2006/main">
  <c r="BA311" i="1" l="1"/>
  <c r="AV320" i="1"/>
  <c r="AV319" i="1"/>
  <c r="AV318" i="1"/>
  <c r="AV317" i="1"/>
  <c r="AV316" i="1"/>
  <c r="AV315" i="1"/>
  <c r="AV311" i="1"/>
  <c r="AV310" i="1"/>
  <c r="AV309" i="1"/>
  <c r="AV308" i="1"/>
  <c r="AV304" i="1"/>
  <c r="AV303" i="1"/>
  <c r="AV302" i="1"/>
  <c r="AV301" i="1"/>
  <c r="AV300" i="1"/>
  <c r="AV299" i="1"/>
  <c r="AV298" i="1"/>
  <c r="AV297" i="1"/>
  <c r="AV296" i="1"/>
  <c r="AV295" i="1"/>
  <c r="AV294" i="1"/>
  <c r="AV293" i="1"/>
  <c r="AV292" i="1"/>
  <c r="BA320" i="1"/>
  <c r="BA319" i="1"/>
  <c r="BA318" i="1"/>
  <c r="BA317" i="1"/>
  <c r="BA316" i="1"/>
  <c r="BA315" i="1"/>
  <c r="BA314" i="1"/>
  <c r="BA310" i="1"/>
  <c r="BA309" i="1"/>
  <c r="BA308" i="1"/>
  <c r="BA307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F320" i="1"/>
  <c r="BF319" i="1"/>
  <c r="BF318" i="1"/>
  <c r="BF317" i="1"/>
  <c r="BF316" i="1"/>
  <c r="BF315" i="1"/>
  <c r="BF311" i="1"/>
  <c r="BF310" i="1"/>
  <c r="BF309" i="1"/>
  <c r="BF308" i="1"/>
  <c r="BF304" i="1"/>
  <c r="BF303" i="1"/>
  <c r="BF302" i="1"/>
  <c r="BF301" i="1"/>
  <c r="BF300" i="1"/>
  <c r="BF299" i="1"/>
  <c r="BF298" i="1"/>
  <c r="BF297" i="1"/>
  <c r="BF296" i="1"/>
  <c r="BF295" i="1"/>
  <c r="BF294" i="1"/>
  <c r="BF293" i="1"/>
  <c r="BF292" i="1"/>
  <c r="BJ371" i="1"/>
  <c r="BI371" i="1"/>
  <c r="BH371" i="1"/>
  <c r="BG371" i="1"/>
  <c r="BE371" i="1"/>
  <c r="BD371" i="1"/>
  <c r="BC371" i="1"/>
  <c r="BB371" i="1"/>
  <c r="AZ371" i="1"/>
  <c r="AY371" i="1"/>
  <c r="AX371" i="1"/>
  <c r="AW371" i="1"/>
  <c r="AU371" i="1"/>
  <c r="AT371" i="1"/>
  <c r="AS371" i="1"/>
  <c r="BJ370" i="1"/>
  <c r="BI370" i="1"/>
  <c r="BH370" i="1"/>
  <c r="BG370" i="1"/>
  <c r="BE370" i="1"/>
  <c r="BD370" i="1"/>
  <c r="BC370" i="1"/>
  <c r="BB370" i="1"/>
  <c r="AZ370" i="1"/>
  <c r="AY370" i="1"/>
  <c r="AX370" i="1"/>
  <c r="AW370" i="1"/>
  <c r="AU370" i="1"/>
  <c r="AT370" i="1"/>
  <c r="AS370" i="1"/>
  <c r="BJ369" i="1"/>
  <c r="BI369" i="1"/>
  <c r="BH369" i="1"/>
  <c r="BG369" i="1"/>
  <c r="BE369" i="1"/>
  <c r="BD369" i="1"/>
  <c r="BC369" i="1"/>
  <c r="BB369" i="1"/>
  <c r="AZ369" i="1"/>
  <c r="AY369" i="1"/>
  <c r="AX369" i="1"/>
  <c r="AW369" i="1"/>
  <c r="AU369" i="1"/>
  <c r="AT369" i="1"/>
  <c r="AS369" i="1"/>
  <c r="BJ368" i="1"/>
  <c r="BI368" i="1"/>
  <c r="BH368" i="1"/>
  <c r="BG368" i="1"/>
  <c r="BE368" i="1"/>
  <c r="BD368" i="1"/>
  <c r="BC368" i="1"/>
  <c r="BB368" i="1"/>
  <c r="AZ368" i="1"/>
  <c r="AY368" i="1"/>
  <c r="AX368" i="1"/>
  <c r="AW368" i="1"/>
  <c r="AU368" i="1"/>
  <c r="AT368" i="1"/>
  <c r="AS368" i="1"/>
  <c r="BJ367" i="1"/>
  <c r="BI367" i="1"/>
  <c r="BH367" i="1"/>
  <c r="BG367" i="1"/>
  <c r="BE367" i="1"/>
  <c r="BD367" i="1"/>
  <c r="BC367" i="1"/>
  <c r="BB367" i="1"/>
  <c r="AZ367" i="1"/>
  <c r="AY367" i="1"/>
  <c r="AX367" i="1"/>
  <c r="AW367" i="1"/>
  <c r="AU367" i="1"/>
  <c r="AT367" i="1"/>
  <c r="AS367" i="1"/>
  <c r="BJ366" i="1"/>
  <c r="BI366" i="1"/>
  <c r="BH366" i="1"/>
  <c r="BG366" i="1"/>
  <c r="BE366" i="1"/>
  <c r="BD366" i="1"/>
  <c r="BC366" i="1"/>
  <c r="BB366" i="1"/>
  <c r="AZ366" i="1"/>
  <c r="AY366" i="1"/>
  <c r="AX366" i="1"/>
  <c r="AW366" i="1"/>
  <c r="AU366" i="1"/>
  <c r="AT366" i="1"/>
  <c r="AS366" i="1"/>
  <c r="BJ365" i="1"/>
  <c r="BI365" i="1"/>
  <c r="BH365" i="1"/>
  <c r="BG365" i="1"/>
  <c r="BE365" i="1"/>
  <c r="BD365" i="1"/>
  <c r="BC365" i="1"/>
  <c r="BB365" i="1"/>
  <c r="AZ365" i="1"/>
  <c r="AY365" i="1"/>
  <c r="AX365" i="1"/>
  <c r="AW365" i="1"/>
  <c r="AU365" i="1"/>
  <c r="AT365" i="1"/>
  <c r="AS365" i="1"/>
  <c r="BJ364" i="1"/>
  <c r="BI364" i="1"/>
  <c r="BH364" i="1"/>
  <c r="BG364" i="1"/>
  <c r="BE364" i="1"/>
  <c r="BD364" i="1"/>
  <c r="BC364" i="1"/>
  <c r="BB364" i="1"/>
  <c r="AZ364" i="1"/>
  <c r="AY364" i="1"/>
  <c r="AX364" i="1"/>
  <c r="AW364" i="1"/>
  <c r="AU364" i="1"/>
  <c r="AT364" i="1"/>
  <c r="AS364" i="1"/>
  <c r="BJ363" i="1"/>
  <c r="BI363" i="1"/>
  <c r="BH363" i="1"/>
  <c r="BG363" i="1"/>
  <c r="BE363" i="1"/>
  <c r="BD363" i="1"/>
  <c r="BC363" i="1"/>
  <c r="BB363" i="1"/>
  <c r="AZ363" i="1"/>
  <c r="AY363" i="1"/>
  <c r="AX363" i="1"/>
  <c r="AW363" i="1"/>
  <c r="AU363" i="1"/>
  <c r="AT363" i="1"/>
  <c r="AS363" i="1"/>
  <c r="BJ362" i="1"/>
  <c r="BI362" i="1"/>
  <c r="BH362" i="1"/>
  <c r="BG362" i="1"/>
  <c r="BE362" i="1"/>
  <c r="BD362" i="1"/>
  <c r="BC362" i="1"/>
  <c r="BB362" i="1"/>
  <c r="AZ362" i="1"/>
  <c r="AY362" i="1"/>
  <c r="AX362" i="1"/>
  <c r="AW362" i="1"/>
  <c r="AU362" i="1"/>
  <c r="AT362" i="1"/>
  <c r="AS362" i="1"/>
  <c r="BJ361" i="1"/>
  <c r="BI361" i="1"/>
  <c r="BH361" i="1"/>
  <c r="BG361" i="1"/>
  <c r="BE361" i="1"/>
  <c r="BD361" i="1"/>
  <c r="BC361" i="1"/>
  <c r="BB361" i="1"/>
  <c r="AZ361" i="1"/>
  <c r="AY361" i="1"/>
  <c r="AX361" i="1"/>
  <c r="AW361" i="1"/>
  <c r="AU361" i="1"/>
  <c r="AT361" i="1"/>
  <c r="AS361" i="1"/>
  <c r="BJ360" i="1"/>
  <c r="BI360" i="1"/>
  <c r="BH360" i="1"/>
  <c r="BG360" i="1"/>
  <c r="BE360" i="1"/>
  <c r="BD360" i="1"/>
  <c r="BC360" i="1"/>
  <c r="BB360" i="1"/>
  <c r="AZ360" i="1"/>
  <c r="AY360" i="1"/>
  <c r="AX360" i="1"/>
  <c r="AW360" i="1"/>
  <c r="AU360" i="1"/>
  <c r="AT360" i="1"/>
  <c r="AS360" i="1"/>
  <c r="BJ359" i="1"/>
  <c r="BI359" i="1"/>
  <c r="BH359" i="1"/>
  <c r="BG359" i="1"/>
  <c r="BE359" i="1"/>
  <c r="BD359" i="1"/>
  <c r="BC359" i="1"/>
  <c r="BB359" i="1"/>
  <c r="AZ359" i="1"/>
  <c r="AY359" i="1"/>
  <c r="AX359" i="1"/>
  <c r="AW359" i="1"/>
  <c r="AU359" i="1"/>
  <c r="AT359" i="1"/>
  <c r="AS359" i="1"/>
  <c r="BJ358" i="1"/>
  <c r="BI358" i="1"/>
  <c r="BH358" i="1"/>
  <c r="BG358" i="1"/>
  <c r="BE358" i="1"/>
  <c r="BD358" i="1"/>
  <c r="BC358" i="1"/>
  <c r="BB358" i="1"/>
  <c r="AZ358" i="1"/>
  <c r="AY358" i="1"/>
  <c r="AX358" i="1"/>
  <c r="AW358" i="1"/>
  <c r="AU358" i="1"/>
  <c r="AT358" i="1"/>
  <c r="AS358" i="1"/>
  <c r="BJ357" i="1"/>
  <c r="BI357" i="1"/>
  <c r="BH357" i="1"/>
  <c r="BG357" i="1"/>
  <c r="BE357" i="1"/>
  <c r="BD357" i="1"/>
  <c r="BC357" i="1"/>
  <c r="BB357" i="1"/>
  <c r="AZ357" i="1"/>
  <c r="AY357" i="1"/>
  <c r="AX357" i="1"/>
  <c r="AW357" i="1"/>
  <c r="AU357" i="1"/>
  <c r="AT357" i="1"/>
  <c r="AS357" i="1"/>
  <c r="BJ356" i="1"/>
  <c r="BI356" i="1"/>
  <c r="BH356" i="1"/>
  <c r="BG356" i="1"/>
  <c r="BE356" i="1"/>
  <c r="BD356" i="1"/>
  <c r="BC356" i="1"/>
  <c r="BB356" i="1"/>
  <c r="AZ356" i="1"/>
  <c r="AY356" i="1"/>
  <c r="AX356" i="1"/>
  <c r="AW356" i="1"/>
  <c r="AU356" i="1"/>
  <c r="AT356" i="1"/>
  <c r="AS356" i="1"/>
  <c r="BJ355" i="1"/>
  <c r="BI355" i="1"/>
  <c r="BH355" i="1"/>
  <c r="BG355" i="1"/>
  <c r="BE355" i="1"/>
  <c r="BD355" i="1"/>
  <c r="BC355" i="1"/>
  <c r="BB355" i="1"/>
  <c r="AZ355" i="1"/>
  <c r="AY355" i="1"/>
  <c r="AX355" i="1"/>
  <c r="AW355" i="1"/>
  <c r="AU355" i="1"/>
  <c r="AT355" i="1"/>
  <c r="AS355" i="1"/>
  <c r="BJ354" i="1"/>
  <c r="BI354" i="1"/>
  <c r="BH354" i="1"/>
  <c r="BG354" i="1"/>
  <c r="BE354" i="1"/>
  <c r="BD354" i="1"/>
  <c r="BC354" i="1"/>
  <c r="BB354" i="1"/>
  <c r="AZ354" i="1"/>
  <c r="AY354" i="1"/>
  <c r="AX354" i="1"/>
  <c r="AW354" i="1"/>
  <c r="AU354" i="1"/>
  <c r="AT354" i="1"/>
  <c r="AS354" i="1"/>
  <c r="BJ353" i="1"/>
  <c r="BI353" i="1"/>
  <c r="BH353" i="1"/>
  <c r="BG353" i="1"/>
  <c r="BE353" i="1"/>
  <c r="BD353" i="1"/>
  <c r="BC353" i="1"/>
  <c r="BB353" i="1"/>
  <c r="AZ353" i="1"/>
  <c r="AY353" i="1"/>
  <c r="AX353" i="1"/>
  <c r="AW353" i="1"/>
  <c r="AU353" i="1"/>
  <c r="AT353" i="1"/>
  <c r="AS353" i="1"/>
  <c r="BJ352" i="1"/>
  <c r="BI352" i="1"/>
  <c r="BH352" i="1"/>
  <c r="BG352" i="1"/>
  <c r="BE352" i="1"/>
  <c r="BD352" i="1"/>
  <c r="BC352" i="1"/>
  <c r="BB352" i="1"/>
  <c r="AZ352" i="1"/>
  <c r="AY352" i="1"/>
  <c r="AX352" i="1"/>
  <c r="AW352" i="1"/>
  <c r="AU352" i="1"/>
  <c r="AT352" i="1"/>
  <c r="AS352" i="1"/>
  <c r="BJ351" i="1"/>
  <c r="BI351" i="1"/>
  <c r="BH351" i="1"/>
  <c r="BG351" i="1"/>
  <c r="BE351" i="1"/>
  <c r="BD351" i="1"/>
  <c r="BC351" i="1"/>
  <c r="BB351" i="1"/>
  <c r="AZ351" i="1"/>
  <c r="AY351" i="1"/>
  <c r="AX351" i="1"/>
  <c r="AW351" i="1"/>
  <c r="AU351" i="1"/>
  <c r="AT351" i="1"/>
  <c r="AS351" i="1"/>
  <c r="BJ350" i="1"/>
  <c r="BI350" i="1"/>
  <c r="BH350" i="1"/>
  <c r="BG350" i="1"/>
  <c r="BE350" i="1"/>
  <c r="BD350" i="1"/>
  <c r="BC350" i="1"/>
  <c r="BB350" i="1"/>
  <c r="AZ350" i="1"/>
  <c r="AY350" i="1"/>
  <c r="AX350" i="1"/>
  <c r="AW350" i="1"/>
  <c r="AU350" i="1"/>
  <c r="AT350" i="1"/>
  <c r="AS350" i="1"/>
  <c r="BJ349" i="1"/>
  <c r="BI349" i="1"/>
  <c r="BH349" i="1"/>
  <c r="BG349" i="1"/>
  <c r="BE349" i="1"/>
  <c r="BD349" i="1"/>
  <c r="BC349" i="1"/>
  <c r="BB349" i="1"/>
  <c r="AZ349" i="1"/>
  <c r="AY349" i="1"/>
  <c r="AX349" i="1"/>
  <c r="AW349" i="1"/>
  <c r="AU349" i="1"/>
  <c r="AT349" i="1"/>
  <c r="AS349" i="1"/>
  <c r="BJ348" i="1"/>
  <c r="BI348" i="1"/>
  <c r="BH348" i="1"/>
  <c r="BG348" i="1"/>
  <c r="BE348" i="1"/>
  <c r="BD348" i="1"/>
  <c r="BC348" i="1"/>
  <c r="BB348" i="1"/>
  <c r="AZ348" i="1"/>
  <c r="AY348" i="1"/>
  <c r="AX348" i="1"/>
  <c r="AW348" i="1"/>
  <c r="AU348" i="1"/>
  <c r="AT348" i="1"/>
  <c r="AS348" i="1"/>
  <c r="BJ347" i="1"/>
  <c r="BI347" i="1"/>
  <c r="BH347" i="1"/>
  <c r="BG347" i="1"/>
  <c r="BE347" i="1"/>
  <c r="BD347" i="1"/>
  <c r="BC347" i="1"/>
  <c r="BB347" i="1"/>
  <c r="AZ347" i="1"/>
  <c r="AY347" i="1"/>
  <c r="AX347" i="1"/>
  <c r="AW347" i="1"/>
  <c r="AU347" i="1"/>
  <c r="AT347" i="1"/>
  <c r="AS347" i="1"/>
  <c r="BJ346" i="1"/>
  <c r="BI346" i="1"/>
  <c r="BH346" i="1"/>
  <c r="BG346" i="1"/>
  <c r="BE346" i="1"/>
  <c r="BD346" i="1"/>
  <c r="BC346" i="1"/>
  <c r="BB346" i="1"/>
  <c r="AZ346" i="1"/>
  <c r="AY346" i="1"/>
  <c r="AX346" i="1"/>
  <c r="AW346" i="1"/>
  <c r="AU346" i="1"/>
  <c r="AT346" i="1"/>
  <c r="AS346" i="1"/>
  <c r="BJ345" i="1"/>
  <c r="BI345" i="1"/>
  <c r="BH345" i="1"/>
  <c r="BG345" i="1"/>
  <c r="BE345" i="1"/>
  <c r="BD345" i="1"/>
  <c r="BC345" i="1"/>
  <c r="BB345" i="1"/>
  <c r="AZ345" i="1"/>
  <c r="AY345" i="1"/>
  <c r="AX345" i="1"/>
  <c r="AW345" i="1"/>
  <c r="AU345" i="1"/>
  <c r="AT345" i="1"/>
  <c r="AS345" i="1"/>
  <c r="BJ344" i="1"/>
  <c r="BI344" i="1"/>
  <c r="BH344" i="1"/>
  <c r="BG344" i="1"/>
  <c r="BE344" i="1"/>
  <c r="BD344" i="1"/>
  <c r="BC344" i="1"/>
  <c r="BB344" i="1"/>
  <c r="AZ344" i="1"/>
  <c r="AY344" i="1"/>
  <c r="AX344" i="1"/>
  <c r="AW344" i="1"/>
  <c r="AU344" i="1"/>
  <c r="AT344" i="1"/>
  <c r="AS344" i="1"/>
  <c r="BJ343" i="1"/>
  <c r="BI343" i="1"/>
  <c r="BH343" i="1"/>
  <c r="BG343" i="1"/>
  <c r="BE343" i="1"/>
  <c r="BD343" i="1"/>
  <c r="BC343" i="1"/>
  <c r="BB343" i="1"/>
  <c r="AZ343" i="1"/>
  <c r="AY343" i="1"/>
  <c r="AX343" i="1"/>
  <c r="AW343" i="1"/>
  <c r="AU343" i="1"/>
  <c r="AT343" i="1"/>
  <c r="AS343" i="1"/>
  <c r="BJ342" i="1"/>
  <c r="BI342" i="1"/>
  <c r="BH342" i="1"/>
  <c r="BG342" i="1"/>
  <c r="BE342" i="1"/>
  <c r="BD342" i="1"/>
  <c r="BC342" i="1"/>
  <c r="BB342" i="1"/>
  <c r="AZ342" i="1"/>
  <c r="AY342" i="1"/>
  <c r="AX342" i="1"/>
  <c r="AW342" i="1"/>
  <c r="AU342" i="1"/>
  <c r="AT342" i="1"/>
  <c r="AS342" i="1"/>
  <c r="BJ341" i="1"/>
  <c r="BI341" i="1"/>
  <c r="BH341" i="1"/>
  <c r="BG341" i="1"/>
  <c r="BE341" i="1"/>
  <c r="BD341" i="1"/>
  <c r="BC341" i="1"/>
  <c r="BB341" i="1"/>
  <c r="AZ341" i="1"/>
  <c r="AY341" i="1"/>
  <c r="AX341" i="1"/>
  <c r="AW341" i="1"/>
  <c r="AU341" i="1"/>
  <c r="AT341" i="1"/>
  <c r="AS341" i="1"/>
  <c r="BJ340" i="1"/>
  <c r="BI340" i="1"/>
  <c r="BH340" i="1"/>
  <c r="BG340" i="1"/>
  <c r="BE340" i="1"/>
  <c r="BD340" i="1"/>
  <c r="BC340" i="1"/>
  <c r="BB340" i="1"/>
  <c r="AZ340" i="1"/>
  <c r="AY340" i="1"/>
  <c r="AX340" i="1"/>
  <c r="AW340" i="1"/>
  <c r="AU340" i="1"/>
  <c r="AT340" i="1"/>
  <c r="AS340" i="1"/>
  <c r="BJ339" i="1"/>
  <c r="BI339" i="1"/>
  <c r="BH339" i="1"/>
  <c r="BG339" i="1"/>
  <c r="BE339" i="1"/>
  <c r="BD339" i="1"/>
  <c r="BC339" i="1"/>
  <c r="BB339" i="1"/>
  <c r="AZ339" i="1"/>
  <c r="AY339" i="1"/>
  <c r="AX339" i="1"/>
  <c r="AW339" i="1"/>
  <c r="AU339" i="1"/>
  <c r="AT339" i="1"/>
  <c r="AS339" i="1"/>
  <c r="BJ338" i="1"/>
  <c r="BI338" i="1"/>
  <c r="BH338" i="1"/>
  <c r="BG338" i="1"/>
  <c r="BE338" i="1"/>
  <c r="BD338" i="1"/>
  <c r="BC338" i="1"/>
  <c r="BB338" i="1"/>
  <c r="AZ338" i="1"/>
  <c r="AY338" i="1"/>
  <c r="AX338" i="1"/>
  <c r="AW338" i="1"/>
  <c r="AU338" i="1"/>
  <c r="AT338" i="1"/>
  <c r="AS338" i="1"/>
  <c r="BJ337" i="1"/>
  <c r="BI337" i="1"/>
  <c r="BH337" i="1"/>
  <c r="BG337" i="1"/>
  <c r="BE337" i="1"/>
  <c r="BD337" i="1"/>
  <c r="BC337" i="1"/>
  <c r="BB337" i="1"/>
  <c r="AZ337" i="1"/>
  <c r="AY337" i="1"/>
  <c r="AX337" i="1"/>
  <c r="AW337" i="1"/>
  <c r="AU337" i="1"/>
  <c r="AT337" i="1"/>
  <c r="AS337" i="1"/>
  <c r="BJ336" i="1"/>
  <c r="BI336" i="1"/>
  <c r="BH336" i="1"/>
  <c r="BG336" i="1"/>
  <c r="BE336" i="1"/>
  <c r="BD336" i="1"/>
  <c r="BC336" i="1"/>
  <c r="BB336" i="1"/>
  <c r="AZ336" i="1"/>
  <c r="AY336" i="1"/>
  <c r="AX336" i="1"/>
  <c r="AW336" i="1"/>
  <c r="AU336" i="1"/>
  <c r="AT336" i="1"/>
  <c r="AS336" i="1"/>
  <c r="BJ335" i="1"/>
  <c r="BI335" i="1"/>
  <c r="BH335" i="1"/>
  <c r="BG335" i="1"/>
  <c r="BE335" i="1"/>
  <c r="BD335" i="1"/>
  <c r="BC335" i="1"/>
  <c r="BB335" i="1"/>
  <c r="AZ335" i="1"/>
  <c r="AY335" i="1"/>
  <c r="AX335" i="1"/>
  <c r="AW335" i="1"/>
  <c r="AU335" i="1"/>
  <c r="AT335" i="1"/>
  <c r="AS335" i="1"/>
  <c r="BJ334" i="1"/>
  <c r="BI334" i="1"/>
  <c r="BH334" i="1"/>
  <c r="BG334" i="1"/>
  <c r="BE334" i="1"/>
  <c r="BD334" i="1"/>
  <c r="BC334" i="1"/>
  <c r="BB334" i="1"/>
  <c r="AZ334" i="1"/>
  <c r="AY334" i="1"/>
  <c r="AX334" i="1"/>
  <c r="AW334" i="1"/>
  <c r="AU334" i="1"/>
  <c r="AT334" i="1"/>
  <c r="AS334" i="1"/>
  <c r="BJ333" i="1"/>
  <c r="BI333" i="1"/>
  <c r="BH333" i="1"/>
  <c r="BG333" i="1"/>
  <c r="BE333" i="1"/>
  <c r="BD333" i="1"/>
  <c r="BC333" i="1"/>
  <c r="BB333" i="1"/>
  <c r="AZ333" i="1"/>
  <c r="AY333" i="1"/>
  <c r="AX333" i="1"/>
  <c r="AW333" i="1"/>
  <c r="AU333" i="1"/>
  <c r="AT333" i="1"/>
  <c r="AS333" i="1"/>
  <c r="BJ332" i="1"/>
  <c r="BI332" i="1"/>
  <c r="BH332" i="1"/>
  <c r="BG332" i="1"/>
  <c r="BE332" i="1"/>
  <c r="BD332" i="1"/>
  <c r="BC332" i="1"/>
  <c r="BB332" i="1"/>
  <c r="AZ332" i="1"/>
  <c r="AY332" i="1"/>
  <c r="AX332" i="1"/>
  <c r="AW332" i="1"/>
  <c r="AU332" i="1"/>
  <c r="AT332" i="1"/>
  <c r="AS332" i="1"/>
  <c r="BJ331" i="1"/>
  <c r="BI331" i="1"/>
  <c r="BH331" i="1"/>
  <c r="BG331" i="1"/>
  <c r="BE331" i="1"/>
  <c r="BD331" i="1"/>
  <c r="BC331" i="1"/>
  <c r="BB331" i="1"/>
  <c r="AZ331" i="1"/>
  <c r="AY331" i="1"/>
  <c r="AX331" i="1"/>
  <c r="AW331" i="1"/>
  <c r="AU331" i="1"/>
  <c r="AT331" i="1"/>
  <c r="AS331" i="1"/>
  <c r="BJ330" i="1"/>
  <c r="BI330" i="1"/>
  <c r="BH330" i="1"/>
  <c r="BG330" i="1"/>
  <c r="BE330" i="1"/>
  <c r="BD330" i="1"/>
  <c r="BC330" i="1"/>
  <c r="BB330" i="1"/>
  <c r="AZ330" i="1"/>
  <c r="AY330" i="1"/>
  <c r="AX330" i="1"/>
  <c r="AW330" i="1"/>
  <c r="AU330" i="1"/>
  <c r="AT330" i="1"/>
  <c r="AS330" i="1"/>
  <c r="BJ329" i="1"/>
  <c r="BI329" i="1"/>
  <c r="BH329" i="1"/>
  <c r="BG329" i="1"/>
  <c r="BE329" i="1"/>
  <c r="BD329" i="1"/>
  <c r="BC329" i="1"/>
  <c r="BB329" i="1"/>
  <c r="AZ329" i="1"/>
  <c r="AY329" i="1"/>
  <c r="AX329" i="1"/>
  <c r="AW329" i="1"/>
  <c r="AU329" i="1"/>
  <c r="AT329" i="1"/>
  <c r="AS329" i="1"/>
  <c r="BJ328" i="1"/>
  <c r="BI328" i="1"/>
  <c r="BH328" i="1"/>
  <c r="BG328" i="1"/>
  <c r="BE328" i="1"/>
  <c r="BD328" i="1"/>
  <c r="BC328" i="1"/>
  <c r="BB328" i="1"/>
  <c r="AZ328" i="1"/>
  <c r="AY328" i="1"/>
  <c r="AX328" i="1"/>
  <c r="AW328" i="1"/>
  <c r="AU328" i="1"/>
  <c r="AT328" i="1"/>
  <c r="AS328" i="1"/>
  <c r="BJ327" i="1"/>
  <c r="BI327" i="1"/>
  <c r="BH327" i="1"/>
  <c r="BG327" i="1"/>
  <c r="BE327" i="1"/>
  <c r="BD327" i="1"/>
  <c r="BC327" i="1"/>
  <c r="BB327" i="1"/>
  <c r="AZ327" i="1"/>
  <c r="AY327" i="1"/>
  <c r="AX327" i="1"/>
  <c r="AW327" i="1"/>
  <c r="AU327" i="1"/>
  <c r="AT327" i="1"/>
  <c r="AS327" i="1"/>
  <c r="BJ326" i="1"/>
  <c r="BI326" i="1"/>
  <c r="BH326" i="1"/>
  <c r="BG326" i="1"/>
  <c r="BE326" i="1"/>
  <c r="BD326" i="1"/>
  <c r="BC326" i="1"/>
  <c r="BB326" i="1"/>
  <c r="AZ326" i="1"/>
  <c r="AY326" i="1"/>
  <c r="AX326" i="1"/>
  <c r="AW326" i="1"/>
  <c r="AU326" i="1"/>
  <c r="AT326" i="1"/>
  <c r="AS326" i="1"/>
  <c r="BJ325" i="1"/>
  <c r="BI325" i="1"/>
  <c r="BH325" i="1"/>
  <c r="BG325" i="1"/>
  <c r="BE325" i="1"/>
  <c r="BD325" i="1"/>
  <c r="BC325" i="1"/>
  <c r="BB325" i="1"/>
  <c r="AZ325" i="1"/>
  <c r="AY325" i="1"/>
  <c r="AX325" i="1"/>
  <c r="AW325" i="1"/>
  <c r="AU325" i="1"/>
  <c r="AT325" i="1"/>
  <c r="AS325" i="1"/>
  <c r="BJ324" i="1"/>
  <c r="BI324" i="1"/>
  <c r="BH324" i="1"/>
  <c r="BG324" i="1"/>
  <c r="BE324" i="1"/>
  <c r="BD324" i="1"/>
  <c r="BC324" i="1"/>
  <c r="BB324" i="1"/>
  <c r="AZ324" i="1"/>
  <c r="AY324" i="1"/>
  <c r="AX324" i="1"/>
  <c r="AW324" i="1"/>
  <c r="AU324" i="1"/>
  <c r="AT324" i="1"/>
  <c r="AS324" i="1"/>
  <c r="BJ323" i="1"/>
  <c r="BI323" i="1"/>
  <c r="BH323" i="1"/>
  <c r="BG323" i="1"/>
  <c r="BE323" i="1"/>
  <c r="BD323" i="1"/>
  <c r="BC323" i="1"/>
  <c r="BB323" i="1"/>
  <c r="AZ323" i="1"/>
  <c r="AY323" i="1"/>
  <c r="AX323" i="1"/>
  <c r="AW323" i="1"/>
  <c r="AU323" i="1"/>
  <c r="AT323" i="1"/>
  <c r="AS323" i="1"/>
  <c r="BK322" i="1"/>
  <c r="BJ322" i="1"/>
  <c r="BI322" i="1"/>
  <c r="BH322" i="1"/>
  <c r="BG322" i="1"/>
  <c r="BE322" i="1"/>
  <c r="BD322" i="1"/>
  <c r="BC322" i="1"/>
  <c r="BB322" i="1"/>
  <c r="AZ322" i="1"/>
  <c r="AY322" i="1"/>
  <c r="AX322" i="1"/>
  <c r="AW322" i="1"/>
  <c r="AU322" i="1"/>
  <c r="AT322" i="1"/>
  <c r="AS322" i="1"/>
  <c r="BK321" i="1"/>
  <c r="BJ321" i="1"/>
  <c r="BI321" i="1"/>
  <c r="BH321" i="1"/>
  <c r="BG321" i="1"/>
  <c r="BE321" i="1"/>
  <c r="BD321" i="1"/>
  <c r="BC321" i="1"/>
  <c r="BB321" i="1"/>
  <c r="AZ321" i="1"/>
  <c r="AY321" i="1"/>
  <c r="AX321" i="1"/>
  <c r="AW321" i="1"/>
  <c r="AU321" i="1"/>
  <c r="AT321" i="1"/>
  <c r="AS321" i="1"/>
  <c r="BK320" i="1"/>
  <c r="BJ320" i="1"/>
  <c r="BI320" i="1"/>
  <c r="BH320" i="1"/>
  <c r="BG320" i="1"/>
  <c r="BE320" i="1"/>
  <c r="BD320" i="1"/>
  <c r="BC320" i="1"/>
  <c r="BB320" i="1"/>
  <c r="AZ320" i="1"/>
  <c r="AY320" i="1"/>
  <c r="AX320" i="1"/>
  <c r="AW320" i="1"/>
  <c r="AU320" i="1"/>
  <c r="AT320" i="1"/>
  <c r="AS320" i="1"/>
  <c r="BK319" i="1"/>
  <c r="BJ319" i="1"/>
  <c r="BI319" i="1"/>
  <c r="BH319" i="1"/>
  <c r="BG319" i="1"/>
  <c r="BE319" i="1"/>
  <c r="BD319" i="1"/>
  <c r="BC319" i="1"/>
  <c r="BB319" i="1"/>
  <c r="AZ319" i="1"/>
  <c r="AY319" i="1"/>
  <c r="AX319" i="1"/>
  <c r="AW319" i="1"/>
  <c r="AU319" i="1"/>
  <c r="AT319" i="1"/>
  <c r="AS319" i="1"/>
  <c r="BK318" i="1"/>
  <c r="BJ318" i="1"/>
  <c r="BI318" i="1"/>
  <c r="BH318" i="1"/>
  <c r="BG318" i="1"/>
  <c r="BE318" i="1"/>
  <c r="BD318" i="1"/>
  <c r="BC318" i="1"/>
  <c r="BB318" i="1"/>
  <c r="AZ318" i="1"/>
  <c r="AY318" i="1"/>
  <c r="AX318" i="1"/>
  <c r="AW318" i="1"/>
  <c r="AU318" i="1"/>
  <c r="AT318" i="1"/>
  <c r="AS318" i="1"/>
  <c r="BK317" i="1"/>
  <c r="BJ317" i="1"/>
  <c r="BI317" i="1"/>
  <c r="BH317" i="1"/>
  <c r="BG317" i="1"/>
  <c r="BE317" i="1"/>
  <c r="BD317" i="1"/>
  <c r="BC317" i="1"/>
  <c r="BB317" i="1"/>
  <c r="AZ317" i="1"/>
  <c r="AY317" i="1"/>
  <c r="AX317" i="1"/>
  <c r="AW317" i="1"/>
  <c r="AU317" i="1"/>
  <c r="AT317" i="1"/>
  <c r="AS317" i="1"/>
  <c r="BK316" i="1"/>
  <c r="BJ316" i="1"/>
  <c r="BI316" i="1"/>
  <c r="BH316" i="1"/>
  <c r="BG316" i="1"/>
  <c r="BE316" i="1"/>
  <c r="BD316" i="1"/>
  <c r="BC316" i="1"/>
  <c r="BB316" i="1"/>
  <c r="AZ316" i="1"/>
  <c r="AY316" i="1"/>
  <c r="AX316" i="1"/>
  <c r="AW316" i="1"/>
  <c r="AU316" i="1"/>
  <c r="AT316" i="1"/>
  <c r="AS316" i="1"/>
  <c r="BK315" i="1"/>
  <c r="BJ315" i="1"/>
  <c r="BI315" i="1"/>
  <c r="BH315" i="1"/>
  <c r="BG315" i="1"/>
  <c r="BE315" i="1"/>
  <c r="BD315" i="1"/>
  <c r="BC315" i="1"/>
  <c r="BB315" i="1"/>
  <c r="AZ315" i="1"/>
  <c r="AY315" i="1"/>
  <c r="AX315" i="1"/>
  <c r="AW315" i="1"/>
  <c r="AU315" i="1"/>
  <c r="AT315" i="1"/>
  <c r="AS315" i="1"/>
  <c r="BK314" i="1"/>
  <c r="BJ314" i="1"/>
  <c r="BI314" i="1"/>
  <c r="BH314" i="1"/>
  <c r="BG314" i="1"/>
  <c r="BE314" i="1"/>
  <c r="BD314" i="1"/>
  <c r="BC314" i="1"/>
  <c r="BB314" i="1"/>
  <c r="AZ314" i="1"/>
  <c r="AY314" i="1"/>
  <c r="AX314" i="1"/>
  <c r="AW314" i="1"/>
  <c r="AU314" i="1"/>
  <c r="AT314" i="1"/>
  <c r="AS314" i="1"/>
  <c r="BK313" i="1"/>
  <c r="BJ313" i="1"/>
  <c r="BI313" i="1"/>
  <c r="BH313" i="1"/>
  <c r="BG313" i="1"/>
  <c r="BE313" i="1"/>
  <c r="BD313" i="1"/>
  <c r="BC313" i="1"/>
  <c r="BB313" i="1"/>
  <c r="AZ313" i="1"/>
  <c r="AY313" i="1"/>
  <c r="AX313" i="1"/>
  <c r="AW313" i="1"/>
  <c r="AU313" i="1"/>
  <c r="AT313" i="1"/>
  <c r="AS313" i="1"/>
  <c r="BK312" i="1"/>
  <c r="BJ312" i="1"/>
  <c r="BI312" i="1"/>
  <c r="BH312" i="1"/>
  <c r="BG312" i="1"/>
  <c r="BE312" i="1"/>
  <c r="BD312" i="1"/>
  <c r="BC312" i="1"/>
  <c r="BB312" i="1"/>
  <c r="AZ312" i="1"/>
  <c r="AY312" i="1"/>
  <c r="AX312" i="1"/>
  <c r="AW312" i="1"/>
  <c r="AU312" i="1"/>
  <c r="AT312" i="1"/>
  <c r="AS312" i="1"/>
  <c r="BK311" i="1"/>
  <c r="BJ311" i="1"/>
  <c r="BI311" i="1"/>
  <c r="BH311" i="1"/>
  <c r="BG311" i="1"/>
  <c r="BE311" i="1"/>
  <c r="BD311" i="1"/>
  <c r="BC311" i="1"/>
  <c r="BB311" i="1"/>
  <c r="AZ311" i="1"/>
  <c r="AY311" i="1"/>
  <c r="AX311" i="1"/>
  <c r="AW311" i="1"/>
  <c r="AU311" i="1"/>
  <c r="AT311" i="1"/>
  <c r="AS311" i="1"/>
  <c r="BK310" i="1"/>
  <c r="BJ310" i="1"/>
  <c r="BI310" i="1"/>
  <c r="BH310" i="1"/>
  <c r="BG310" i="1"/>
  <c r="BE310" i="1"/>
  <c r="BD310" i="1"/>
  <c r="BC310" i="1"/>
  <c r="BB310" i="1"/>
  <c r="AZ310" i="1"/>
  <c r="AY310" i="1"/>
  <c r="AX310" i="1"/>
  <c r="AW310" i="1"/>
  <c r="AU310" i="1"/>
  <c r="AT310" i="1"/>
  <c r="AS310" i="1"/>
  <c r="BK309" i="1"/>
  <c r="BJ309" i="1"/>
  <c r="BI309" i="1"/>
  <c r="BH309" i="1"/>
  <c r="BG309" i="1"/>
  <c r="BE309" i="1"/>
  <c r="BD309" i="1"/>
  <c r="BC309" i="1"/>
  <c r="BB309" i="1"/>
  <c r="AZ309" i="1"/>
  <c r="AY309" i="1"/>
  <c r="AX309" i="1"/>
  <c r="AW309" i="1"/>
  <c r="AU309" i="1"/>
  <c r="AT309" i="1"/>
  <c r="AS309" i="1"/>
  <c r="BK308" i="1"/>
  <c r="BJ308" i="1"/>
  <c r="BI308" i="1"/>
  <c r="BH308" i="1"/>
  <c r="BG308" i="1"/>
  <c r="BE308" i="1"/>
  <c r="BD308" i="1"/>
  <c r="BC308" i="1"/>
  <c r="BB308" i="1"/>
  <c r="AZ308" i="1"/>
  <c r="AY308" i="1"/>
  <c r="AX308" i="1"/>
  <c r="AW308" i="1"/>
  <c r="AU308" i="1"/>
  <c r="AT308" i="1"/>
  <c r="AS308" i="1"/>
  <c r="BK307" i="1"/>
  <c r="BJ307" i="1"/>
  <c r="BI307" i="1"/>
  <c r="BH307" i="1"/>
  <c r="BG307" i="1"/>
  <c r="BE307" i="1"/>
  <c r="BD307" i="1"/>
  <c r="BC307" i="1"/>
  <c r="BB307" i="1"/>
  <c r="AZ307" i="1"/>
  <c r="AY307" i="1"/>
  <c r="AX307" i="1"/>
  <c r="AW307" i="1"/>
  <c r="AU307" i="1"/>
  <c r="AT307" i="1"/>
  <c r="AS307" i="1"/>
  <c r="BK306" i="1"/>
  <c r="BJ306" i="1"/>
  <c r="BI306" i="1"/>
  <c r="BH306" i="1"/>
  <c r="BG306" i="1"/>
  <c r="BE306" i="1"/>
  <c r="BD306" i="1"/>
  <c r="BC306" i="1"/>
  <c r="BB306" i="1"/>
  <c r="AZ306" i="1"/>
  <c r="AY306" i="1"/>
  <c r="AX306" i="1"/>
  <c r="AW306" i="1"/>
  <c r="AU306" i="1"/>
  <c r="AT306" i="1"/>
  <c r="AS306" i="1"/>
  <c r="BK305" i="1"/>
  <c r="BJ305" i="1"/>
  <c r="BI305" i="1"/>
  <c r="BH305" i="1"/>
  <c r="BG305" i="1"/>
  <c r="BE305" i="1"/>
  <c r="BD305" i="1"/>
  <c r="BC305" i="1"/>
  <c r="BB305" i="1"/>
  <c r="AZ305" i="1"/>
  <c r="AY305" i="1"/>
  <c r="AX305" i="1"/>
  <c r="AW305" i="1"/>
  <c r="AU305" i="1"/>
  <c r="AT305" i="1"/>
  <c r="AS305" i="1"/>
  <c r="BK304" i="1"/>
  <c r="BJ304" i="1"/>
  <c r="BI304" i="1"/>
  <c r="BH304" i="1"/>
  <c r="BG304" i="1"/>
  <c r="BE304" i="1"/>
  <c r="BD304" i="1"/>
  <c r="BC304" i="1"/>
  <c r="BB304" i="1"/>
  <c r="AZ304" i="1"/>
  <c r="AY304" i="1"/>
  <c r="AX304" i="1"/>
  <c r="AW304" i="1"/>
  <c r="AU304" i="1"/>
  <c r="AT304" i="1"/>
  <c r="AS304" i="1"/>
  <c r="BK303" i="1"/>
  <c r="BJ303" i="1"/>
  <c r="BI303" i="1"/>
  <c r="BH303" i="1"/>
  <c r="BG303" i="1"/>
  <c r="BE303" i="1"/>
  <c r="BD303" i="1"/>
  <c r="BC303" i="1"/>
  <c r="BB303" i="1"/>
  <c r="AZ303" i="1"/>
  <c r="AY303" i="1"/>
  <c r="AX303" i="1"/>
  <c r="AW303" i="1"/>
  <c r="AU303" i="1"/>
  <c r="AT303" i="1"/>
  <c r="AS303" i="1"/>
  <c r="BK302" i="1"/>
  <c r="BJ302" i="1"/>
  <c r="BI302" i="1"/>
  <c r="BH302" i="1"/>
  <c r="BG302" i="1"/>
  <c r="BE302" i="1"/>
  <c r="BD302" i="1"/>
  <c r="BC302" i="1"/>
  <c r="BB302" i="1"/>
  <c r="AZ302" i="1"/>
  <c r="AY302" i="1"/>
  <c r="AX302" i="1"/>
  <c r="AW302" i="1"/>
  <c r="AU302" i="1"/>
  <c r="AT302" i="1"/>
  <c r="AS302" i="1"/>
  <c r="BK301" i="1"/>
  <c r="BJ301" i="1"/>
  <c r="BI301" i="1"/>
  <c r="BH301" i="1"/>
  <c r="BG301" i="1"/>
  <c r="BE301" i="1"/>
  <c r="BD301" i="1"/>
  <c r="BC301" i="1"/>
  <c r="BB301" i="1"/>
  <c r="AZ301" i="1"/>
  <c r="AY301" i="1"/>
  <c r="AX301" i="1"/>
  <c r="AW301" i="1"/>
  <c r="AU301" i="1"/>
  <c r="AT301" i="1"/>
  <c r="AS301" i="1"/>
  <c r="BK300" i="1"/>
  <c r="BJ300" i="1"/>
  <c r="BI300" i="1"/>
  <c r="BH300" i="1"/>
  <c r="BG300" i="1"/>
  <c r="BE300" i="1"/>
  <c r="BD300" i="1"/>
  <c r="BC300" i="1"/>
  <c r="BB300" i="1"/>
  <c r="AZ300" i="1"/>
  <c r="AY300" i="1"/>
  <c r="AX300" i="1"/>
  <c r="AW300" i="1"/>
  <c r="AU300" i="1"/>
  <c r="AT300" i="1"/>
  <c r="AS300" i="1"/>
  <c r="BK299" i="1"/>
  <c r="BJ299" i="1"/>
  <c r="BI299" i="1"/>
  <c r="BH299" i="1"/>
  <c r="BG299" i="1"/>
  <c r="BE299" i="1"/>
  <c r="BD299" i="1"/>
  <c r="BC299" i="1"/>
  <c r="BB299" i="1"/>
  <c r="AZ299" i="1"/>
  <c r="AY299" i="1"/>
  <c r="AX299" i="1"/>
  <c r="AW299" i="1"/>
  <c r="AU299" i="1"/>
  <c r="AT299" i="1"/>
  <c r="AS299" i="1"/>
  <c r="BK298" i="1"/>
  <c r="BJ298" i="1"/>
  <c r="BI298" i="1"/>
  <c r="BH298" i="1"/>
  <c r="BG298" i="1"/>
  <c r="BE298" i="1"/>
  <c r="BD298" i="1"/>
  <c r="BC298" i="1"/>
  <c r="BB298" i="1"/>
  <c r="AZ298" i="1"/>
  <c r="AY298" i="1"/>
  <c r="AX298" i="1"/>
  <c r="AW298" i="1"/>
  <c r="AU298" i="1"/>
  <c r="AT298" i="1"/>
  <c r="AS298" i="1"/>
  <c r="BK297" i="1"/>
  <c r="BJ297" i="1"/>
  <c r="BI297" i="1"/>
  <c r="BH297" i="1"/>
  <c r="BG297" i="1"/>
  <c r="BE297" i="1"/>
  <c r="BD297" i="1"/>
  <c r="BC297" i="1"/>
  <c r="BB297" i="1"/>
  <c r="AZ297" i="1"/>
  <c r="AY297" i="1"/>
  <c r="AX297" i="1"/>
  <c r="AW297" i="1"/>
  <c r="AU297" i="1"/>
  <c r="AT297" i="1"/>
  <c r="AS297" i="1"/>
  <c r="BK296" i="1"/>
  <c r="BJ296" i="1"/>
  <c r="BI296" i="1"/>
  <c r="BH296" i="1"/>
  <c r="BG296" i="1"/>
  <c r="BE296" i="1"/>
  <c r="BD296" i="1"/>
  <c r="BC296" i="1"/>
  <c r="BB296" i="1"/>
  <c r="AZ296" i="1"/>
  <c r="AY296" i="1"/>
  <c r="AX296" i="1"/>
  <c r="AW296" i="1"/>
  <c r="AU296" i="1"/>
  <c r="AT296" i="1"/>
  <c r="AS296" i="1"/>
  <c r="BK295" i="1"/>
  <c r="BJ295" i="1"/>
  <c r="BI295" i="1"/>
  <c r="BH295" i="1"/>
  <c r="BG295" i="1"/>
  <c r="BE295" i="1"/>
  <c r="BD295" i="1"/>
  <c r="BC295" i="1"/>
  <c r="BB295" i="1"/>
  <c r="AZ295" i="1"/>
  <c r="AY295" i="1"/>
  <c r="AX295" i="1"/>
  <c r="AW295" i="1"/>
  <c r="AU295" i="1"/>
  <c r="AT295" i="1"/>
  <c r="AS295" i="1"/>
  <c r="BK294" i="1"/>
  <c r="BJ294" i="1"/>
  <c r="BI294" i="1"/>
  <c r="BH294" i="1"/>
  <c r="BG294" i="1"/>
  <c r="BE294" i="1"/>
  <c r="BD294" i="1"/>
  <c r="BC294" i="1"/>
  <c r="BB294" i="1"/>
  <c r="AZ294" i="1"/>
  <c r="AY294" i="1"/>
  <c r="AX294" i="1"/>
  <c r="AW294" i="1"/>
  <c r="AU294" i="1"/>
  <c r="AT294" i="1"/>
  <c r="AS294" i="1"/>
  <c r="BK293" i="1"/>
  <c r="BJ293" i="1"/>
  <c r="BI293" i="1"/>
  <c r="BH293" i="1"/>
  <c r="BG293" i="1"/>
  <c r="BE293" i="1"/>
  <c r="BD293" i="1"/>
  <c r="BC293" i="1"/>
  <c r="BB293" i="1"/>
  <c r="AZ293" i="1"/>
  <c r="AY293" i="1"/>
  <c r="AX293" i="1"/>
  <c r="AW293" i="1"/>
  <c r="AU293" i="1"/>
  <c r="AT293" i="1"/>
  <c r="AS293" i="1"/>
  <c r="BK292" i="1"/>
  <c r="BJ292" i="1"/>
  <c r="BI292" i="1"/>
  <c r="BH292" i="1"/>
  <c r="BG292" i="1"/>
  <c r="BE292" i="1"/>
  <c r="BD292" i="1"/>
  <c r="BC292" i="1"/>
  <c r="BB292" i="1"/>
  <c r="AZ292" i="1"/>
  <c r="AY292" i="1"/>
  <c r="AX292" i="1"/>
  <c r="AW292" i="1"/>
  <c r="AU292" i="1"/>
  <c r="AT292" i="1"/>
  <c r="AS292" i="1"/>
  <c r="BK291" i="1"/>
  <c r="BJ291" i="1"/>
  <c r="BI291" i="1"/>
  <c r="BH291" i="1"/>
  <c r="BG291" i="1"/>
  <c r="BE291" i="1"/>
  <c r="BD291" i="1"/>
  <c r="BC291" i="1"/>
  <c r="BB291" i="1"/>
  <c r="AZ291" i="1"/>
  <c r="AY291" i="1"/>
  <c r="AX291" i="1"/>
  <c r="AW291" i="1"/>
  <c r="AU291" i="1"/>
  <c r="AT291" i="1"/>
  <c r="AS291" i="1"/>
  <c r="BK290" i="1"/>
  <c r="BJ290" i="1"/>
  <c r="BI290" i="1"/>
  <c r="BH290" i="1"/>
  <c r="BG290" i="1"/>
  <c r="BE290" i="1"/>
  <c r="BD290" i="1"/>
  <c r="BC290" i="1"/>
  <c r="BB290" i="1"/>
  <c r="AZ290" i="1"/>
  <c r="AY290" i="1"/>
  <c r="AX290" i="1"/>
  <c r="AW290" i="1"/>
  <c r="AU290" i="1"/>
  <c r="AT290" i="1"/>
  <c r="AS290" i="1"/>
  <c r="BK289" i="1"/>
  <c r="BJ289" i="1"/>
  <c r="BI289" i="1"/>
  <c r="BH289" i="1"/>
  <c r="BG289" i="1"/>
  <c r="BE289" i="1"/>
  <c r="BD289" i="1"/>
  <c r="BC289" i="1"/>
  <c r="BB289" i="1"/>
  <c r="AZ289" i="1"/>
  <c r="AY289" i="1"/>
  <c r="AX289" i="1"/>
  <c r="AW289" i="1"/>
  <c r="AU289" i="1"/>
  <c r="AT289" i="1"/>
  <c r="AS289" i="1"/>
  <c r="BK288" i="1"/>
  <c r="BJ288" i="1"/>
  <c r="BI288" i="1"/>
  <c r="BH288" i="1"/>
  <c r="BG288" i="1"/>
  <c r="BE288" i="1"/>
  <c r="BD288" i="1"/>
  <c r="BC288" i="1"/>
  <c r="BB288" i="1"/>
  <c r="AZ288" i="1"/>
  <c r="AY288" i="1"/>
  <c r="AX288" i="1"/>
  <c r="AW288" i="1"/>
  <c r="AU288" i="1"/>
  <c r="AT288" i="1"/>
  <c r="AS288" i="1"/>
  <c r="BK287" i="1"/>
  <c r="BJ287" i="1"/>
  <c r="BI287" i="1"/>
  <c r="BH287" i="1"/>
  <c r="BG287" i="1"/>
  <c r="BE287" i="1"/>
  <c r="BD287" i="1"/>
  <c r="BC287" i="1"/>
  <c r="BB287" i="1"/>
  <c r="AZ287" i="1"/>
  <c r="AY287" i="1"/>
  <c r="AX287" i="1"/>
  <c r="AW287" i="1"/>
  <c r="AU287" i="1"/>
  <c r="AT287" i="1"/>
  <c r="AS287" i="1"/>
  <c r="BK286" i="1"/>
  <c r="BJ286" i="1"/>
  <c r="BI286" i="1"/>
  <c r="BH286" i="1"/>
  <c r="BG286" i="1"/>
  <c r="BE286" i="1"/>
  <c r="BD286" i="1"/>
  <c r="BC286" i="1"/>
  <c r="BB286" i="1"/>
  <c r="AZ286" i="1"/>
  <c r="AY286" i="1"/>
  <c r="AX286" i="1"/>
  <c r="AW286" i="1"/>
  <c r="AU286" i="1"/>
  <c r="AT286" i="1"/>
  <c r="AS286" i="1"/>
  <c r="BK285" i="1"/>
  <c r="BJ285" i="1"/>
  <c r="BI285" i="1"/>
  <c r="BH285" i="1"/>
  <c r="BG285" i="1"/>
  <c r="BE285" i="1"/>
  <c r="BD285" i="1"/>
  <c r="BC285" i="1"/>
  <c r="BB285" i="1"/>
  <c r="AZ285" i="1"/>
  <c r="AY285" i="1"/>
  <c r="AX285" i="1"/>
  <c r="AW285" i="1"/>
  <c r="AU285" i="1"/>
  <c r="AT285" i="1"/>
  <c r="AS285" i="1"/>
  <c r="BK284" i="1"/>
  <c r="BJ284" i="1"/>
  <c r="BI284" i="1"/>
  <c r="BH284" i="1"/>
  <c r="BG284" i="1"/>
  <c r="BE284" i="1"/>
  <c r="BD284" i="1"/>
  <c r="BC284" i="1"/>
  <c r="BB284" i="1"/>
  <c r="AZ284" i="1"/>
  <c r="AY284" i="1"/>
  <c r="AX284" i="1"/>
  <c r="AW284" i="1"/>
  <c r="AU284" i="1"/>
  <c r="AT284" i="1"/>
  <c r="AS284" i="1"/>
  <c r="BK283" i="1"/>
  <c r="BJ283" i="1"/>
  <c r="BI283" i="1"/>
  <c r="BH283" i="1"/>
  <c r="BG283" i="1"/>
  <c r="BE283" i="1"/>
  <c r="BD283" i="1"/>
  <c r="BC283" i="1"/>
  <c r="BB283" i="1"/>
  <c r="AZ283" i="1"/>
  <c r="AY283" i="1"/>
  <c r="AX283" i="1"/>
  <c r="AW283" i="1"/>
  <c r="AU283" i="1"/>
  <c r="AT283" i="1"/>
  <c r="AS283" i="1"/>
  <c r="BK282" i="1"/>
  <c r="BJ282" i="1"/>
  <c r="BI282" i="1"/>
  <c r="BH282" i="1"/>
  <c r="BG282" i="1"/>
  <c r="BE282" i="1"/>
  <c r="BD282" i="1"/>
  <c r="BC282" i="1"/>
  <c r="BB282" i="1"/>
  <c r="AZ282" i="1"/>
  <c r="AY282" i="1"/>
  <c r="AX282" i="1"/>
  <c r="AW282" i="1"/>
  <c r="AU282" i="1"/>
  <c r="AT282" i="1"/>
  <c r="AS282" i="1"/>
  <c r="BK281" i="1"/>
  <c r="BJ281" i="1"/>
  <c r="BI281" i="1"/>
  <c r="BH281" i="1"/>
  <c r="BG281" i="1"/>
  <c r="BE281" i="1"/>
  <c r="BD281" i="1"/>
  <c r="BC281" i="1"/>
  <c r="BB281" i="1"/>
  <c r="AZ281" i="1"/>
  <c r="AY281" i="1"/>
  <c r="AX281" i="1"/>
  <c r="AW281" i="1"/>
  <c r="AU281" i="1"/>
  <c r="AT281" i="1"/>
  <c r="AS281" i="1"/>
  <c r="BK280" i="1"/>
  <c r="BJ280" i="1"/>
  <c r="BI280" i="1"/>
  <c r="BH280" i="1"/>
  <c r="BG280" i="1"/>
  <c r="BE280" i="1"/>
  <c r="BD280" i="1"/>
  <c r="BC280" i="1"/>
  <c r="BB280" i="1"/>
  <c r="AZ280" i="1"/>
  <c r="AY280" i="1"/>
  <c r="AX280" i="1"/>
  <c r="AW280" i="1"/>
  <c r="AU280" i="1"/>
  <c r="AT280" i="1"/>
  <c r="AS280" i="1"/>
  <c r="BK279" i="1"/>
  <c r="BJ279" i="1"/>
  <c r="BI279" i="1"/>
  <c r="BH279" i="1"/>
  <c r="BG279" i="1"/>
  <c r="BE279" i="1"/>
  <c r="BD279" i="1"/>
  <c r="BC279" i="1"/>
  <c r="BB279" i="1"/>
  <c r="AZ279" i="1"/>
  <c r="AY279" i="1"/>
  <c r="AX279" i="1"/>
  <c r="AW279" i="1"/>
  <c r="AU279" i="1"/>
  <c r="AT279" i="1"/>
  <c r="AS279" i="1"/>
  <c r="BK278" i="1"/>
  <c r="BJ278" i="1"/>
  <c r="BI278" i="1"/>
  <c r="BH278" i="1"/>
  <c r="BG278" i="1"/>
  <c r="BE278" i="1"/>
  <c r="BD278" i="1"/>
  <c r="BC278" i="1"/>
  <c r="BB278" i="1"/>
  <c r="AZ278" i="1"/>
  <c r="AY278" i="1"/>
  <c r="AX278" i="1"/>
  <c r="AW278" i="1"/>
  <c r="AU278" i="1"/>
  <c r="AT278" i="1"/>
  <c r="AS278" i="1"/>
  <c r="BK277" i="1"/>
  <c r="BJ277" i="1"/>
  <c r="BI277" i="1"/>
  <c r="BH277" i="1"/>
  <c r="BG277" i="1"/>
  <c r="BE277" i="1"/>
  <c r="BD277" i="1"/>
  <c r="BC277" i="1"/>
  <c r="BB277" i="1"/>
  <c r="AZ277" i="1"/>
  <c r="AY277" i="1"/>
  <c r="AX277" i="1"/>
  <c r="AW277" i="1"/>
  <c r="AU277" i="1"/>
  <c r="AT277" i="1"/>
  <c r="AS277" i="1"/>
  <c r="BK276" i="1"/>
  <c r="BJ276" i="1"/>
  <c r="BI276" i="1"/>
  <c r="BH276" i="1"/>
  <c r="BG276" i="1"/>
  <c r="BE276" i="1"/>
  <c r="BD276" i="1"/>
  <c r="BC276" i="1"/>
  <c r="BB276" i="1"/>
  <c r="AZ276" i="1"/>
  <c r="AY276" i="1"/>
  <c r="AX276" i="1"/>
  <c r="AW276" i="1"/>
  <c r="AU276" i="1"/>
  <c r="AT276" i="1"/>
  <c r="AS276" i="1"/>
  <c r="BK275" i="1"/>
  <c r="BJ275" i="1"/>
  <c r="BI275" i="1"/>
  <c r="BH275" i="1"/>
  <c r="BG275" i="1"/>
  <c r="BE275" i="1"/>
  <c r="BD275" i="1"/>
  <c r="BC275" i="1"/>
  <c r="BB275" i="1"/>
  <c r="AZ275" i="1"/>
  <c r="AY275" i="1"/>
  <c r="AX275" i="1"/>
  <c r="AW275" i="1"/>
  <c r="AU275" i="1"/>
  <c r="AT275" i="1"/>
  <c r="AS275" i="1"/>
  <c r="BK274" i="1"/>
  <c r="BJ274" i="1"/>
  <c r="BI274" i="1"/>
  <c r="BH274" i="1"/>
  <c r="BG274" i="1"/>
  <c r="BE274" i="1"/>
  <c r="BD274" i="1"/>
  <c r="BC274" i="1"/>
  <c r="BB274" i="1"/>
  <c r="AZ274" i="1"/>
  <c r="AY274" i="1"/>
  <c r="AX274" i="1"/>
  <c r="AW274" i="1"/>
  <c r="AU274" i="1"/>
  <c r="AT274" i="1"/>
  <c r="AS274" i="1"/>
  <c r="BK273" i="1"/>
  <c r="BJ273" i="1"/>
  <c r="BI273" i="1"/>
  <c r="BH273" i="1"/>
  <c r="BG273" i="1"/>
  <c r="BE273" i="1"/>
  <c r="BD273" i="1"/>
  <c r="BC273" i="1"/>
  <c r="BB273" i="1"/>
  <c r="AZ273" i="1"/>
  <c r="AY273" i="1"/>
  <c r="AX273" i="1"/>
  <c r="AW273" i="1"/>
  <c r="AU273" i="1"/>
  <c r="AT273" i="1"/>
  <c r="AS273" i="1"/>
  <c r="BK272" i="1"/>
  <c r="BJ272" i="1"/>
  <c r="BI272" i="1"/>
  <c r="BH272" i="1"/>
  <c r="BG272" i="1"/>
  <c r="BE272" i="1"/>
  <c r="BD272" i="1"/>
  <c r="BC272" i="1"/>
  <c r="BB272" i="1"/>
  <c r="AZ272" i="1"/>
  <c r="AY272" i="1"/>
  <c r="AX272" i="1"/>
  <c r="AW272" i="1"/>
  <c r="AU272" i="1"/>
  <c r="AT272" i="1"/>
  <c r="AS272" i="1"/>
  <c r="BK271" i="1"/>
  <c r="BJ271" i="1"/>
  <c r="BI271" i="1"/>
  <c r="BH271" i="1"/>
  <c r="BG271" i="1"/>
  <c r="BE271" i="1"/>
  <c r="BD271" i="1"/>
  <c r="BC271" i="1"/>
  <c r="BB271" i="1"/>
  <c r="AZ271" i="1"/>
  <c r="AY271" i="1"/>
  <c r="AX271" i="1"/>
  <c r="AW271" i="1"/>
  <c r="AU271" i="1"/>
  <c r="AT271" i="1"/>
  <c r="AS271" i="1"/>
  <c r="BK270" i="1"/>
  <c r="BJ270" i="1"/>
  <c r="BI270" i="1"/>
  <c r="BH270" i="1"/>
  <c r="BG270" i="1"/>
  <c r="BE270" i="1"/>
  <c r="BD270" i="1"/>
  <c r="BC270" i="1"/>
  <c r="BB270" i="1"/>
  <c r="AZ270" i="1"/>
  <c r="AY270" i="1"/>
  <c r="AX270" i="1"/>
  <c r="AW270" i="1"/>
  <c r="AU270" i="1"/>
  <c r="AT270" i="1"/>
  <c r="AS270" i="1"/>
  <c r="BK269" i="1"/>
  <c r="BJ269" i="1"/>
  <c r="BI269" i="1"/>
  <c r="BH269" i="1"/>
  <c r="BG269" i="1"/>
  <c r="BE269" i="1"/>
  <c r="BD269" i="1"/>
  <c r="BC269" i="1"/>
  <c r="BB269" i="1"/>
  <c r="AZ269" i="1"/>
  <c r="AY269" i="1"/>
  <c r="AX269" i="1"/>
  <c r="AW269" i="1"/>
  <c r="AU269" i="1"/>
  <c r="AT269" i="1"/>
  <c r="AS269" i="1"/>
  <c r="BK268" i="1"/>
  <c r="BJ268" i="1"/>
  <c r="BI268" i="1"/>
  <c r="BH268" i="1"/>
  <c r="BG268" i="1"/>
  <c r="BE268" i="1"/>
  <c r="BD268" i="1"/>
  <c r="BC268" i="1"/>
  <c r="BB268" i="1"/>
  <c r="AZ268" i="1"/>
  <c r="AY268" i="1"/>
  <c r="AX268" i="1"/>
  <c r="AW268" i="1"/>
  <c r="AU268" i="1"/>
  <c r="AT268" i="1"/>
  <c r="AS268" i="1"/>
  <c r="BK267" i="1"/>
  <c r="BJ267" i="1"/>
  <c r="BI267" i="1"/>
  <c r="BH267" i="1"/>
  <c r="BG267" i="1"/>
  <c r="BE267" i="1"/>
  <c r="BD267" i="1"/>
  <c r="BC267" i="1"/>
  <c r="BB267" i="1"/>
  <c r="AZ267" i="1"/>
  <c r="AY267" i="1"/>
  <c r="AX267" i="1"/>
  <c r="AW267" i="1"/>
  <c r="AU267" i="1"/>
  <c r="AT267" i="1"/>
  <c r="AS267" i="1"/>
  <c r="BK266" i="1"/>
  <c r="BJ266" i="1"/>
  <c r="BI266" i="1"/>
  <c r="BH266" i="1"/>
  <c r="BG266" i="1"/>
  <c r="BE266" i="1"/>
  <c r="BD266" i="1"/>
  <c r="BC266" i="1"/>
  <c r="BB266" i="1"/>
  <c r="AZ266" i="1"/>
  <c r="AY266" i="1"/>
  <c r="AX266" i="1"/>
  <c r="AW266" i="1"/>
  <c r="AU266" i="1"/>
  <c r="AT266" i="1"/>
  <c r="AS266" i="1"/>
  <c r="BK265" i="1"/>
  <c r="BJ265" i="1"/>
  <c r="BI265" i="1"/>
  <c r="BH265" i="1"/>
  <c r="BG265" i="1"/>
  <c r="BE265" i="1"/>
  <c r="BD265" i="1"/>
  <c r="BC265" i="1"/>
  <c r="BB265" i="1"/>
  <c r="AZ265" i="1"/>
  <c r="AY265" i="1"/>
  <c r="AX265" i="1"/>
  <c r="AW265" i="1"/>
  <c r="AU265" i="1"/>
  <c r="AT265" i="1"/>
  <c r="AS265" i="1"/>
  <c r="BK264" i="1"/>
  <c r="BJ264" i="1"/>
  <c r="BI264" i="1"/>
  <c r="BH264" i="1"/>
  <c r="BG264" i="1"/>
  <c r="BE264" i="1"/>
  <c r="BD264" i="1"/>
  <c r="BC264" i="1"/>
  <c r="BB264" i="1"/>
  <c r="AZ264" i="1"/>
  <c r="AY264" i="1"/>
  <c r="AX264" i="1"/>
  <c r="AW264" i="1"/>
  <c r="AU264" i="1"/>
  <c r="AT264" i="1"/>
  <c r="AS264" i="1"/>
  <c r="BK263" i="1"/>
  <c r="BJ263" i="1"/>
  <c r="BI263" i="1"/>
  <c r="BH263" i="1"/>
  <c r="BG263" i="1"/>
  <c r="BE263" i="1"/>
  <c r="BD263" i="1"/>
  <c r="BC263" i="1"/>
  <c r="BB263" i="1"/>
  <c r="AZ263" i="1"/>
  <c r="AY263" i="1"/>
  <c r="AX263" i="1"/>
  <c r="AW263" i="1"/>
  <c r="AU263" i="1"/>
  <c r="AT263" i="1"/>
  <c r="AS263" i="1"/>
  <c r="BK262" i="1"/>
  <c r="BJ262" i="1"/>
  <c r="BI262" i="1"/>
  <c r="BH262" i="1"/>
  <c r="BG262" i="1"/>
  <c r="BE262" i="1"/>
  <c r="BD262" i="1"/>
  <c r="BC262" i="1"/>
  <c r="BB262" i="1"/>
  <c r="AZ262" i="1"/>
  <c r="AY262" i="1"/>
  <c r="AX262" i="1"/>
  <c r="AW262" i="1"/>
  <c r="AU262" i="1"/>
  <c r="AT262" i="1"/>
  <c r="AS262" i="1"/>
  <c r="BK261" i="1"/>
  <c r="BJ261" i="1"/>
  <c r="BI261" i="1"/>
  <c r="BH261" i="1"/>
  <c r="BG261" i="1"/>
  <c r="BE261" i="1"/>
  <c r="BD261" i="1"/>
  <c r="BC261" i="1"/>
  <c r="BB261" i="1"/>
  <c r="AZ261" i="1"/>
  <c r="AY261" i="1"/>
  <c r="AX261" i="1"/>
  <c r="AW261" i="1"/>
  <c r="AU261" i="1"/>
  <c r="AT261" i="1"/>
  <c r="AS261" i="1"/>
  <c r="BK260" i="1"/>
  <c r="BJ260" i="1"/>
  <c r="BI260" i="1"/>
  <c r="BH260" i="1"/>
  <c r="BG260" i="1"/>
  <c r="BE260" i="1"/>
  <c r="BD260" i="1"/>
  <c r="BC260" i="1"/>
  <c r="BB260" i="1"/>
  <c r="AZ260" i="1"/>
  <c r="AY260" i="1"/>
  <c r="AX260" i="1"/>
  <c r="AW260" i="1"/>
  <c r="AU260" i="1"/>
  <c r="AT260" i="1"/>
  <c r="AS260" i="1"/>
  <c r="BK259" i="1"/>
  <c r="BJ259" i="1"/>
  <c r="BI259" i="1"/>
  <c r="BH259" i="1"/>
  <c r="BG259" i="1"/>
  <c r="BE259" i="1"/>
  <c r="BD259" i="1"/>
  <c r="BC259" i="1"/>
  <c r="BB259" i="1"/>
  <c r="AZ259" i="1"/>
  <c r="AY259" i="1"/>
  <c r="AX259" i="1"/>
  <c r="AW259" i="1"/>
  <c r="AU259" i="1"/>
  <c r="AT259" i="1"/>
  <c r="AS259" i="1"/>
  <c r="BK258" i="1"/>
  <c r="BJ258" i="1"/>
  <c r="BI258" i="1"/>
  <c r="BH258" i="1"/>
  <c r="BG258" i="1"/>
  <c r="BE258" i="1"/>
  <c r="BD258" i="1"/>
  <c r="BC258" i="1"/>
  <c r="BB258" i="1"/>
  <c r="AZ258" i="1"/>
  <c r="AY258" i="1"/>
  <c r="AX258" i="1"/>
  <c r="AW258" i="1"/>
  <c r="AU258" i="1"/>
  <c r="AT258" i="1"/>
  <c r="AS258" i="1"/>
  <c r="BK257" i="1"/>
  <c r="BJ257" i="1"/>
  <c r="BI257" i="1"/>
  <c r="BH257" i="1"/>
  <c r="BG257" i="1"/>
  <c r="BE257" i="1"/>
  <c r="BD257" i="1"/>
  <c r="BC257" i="1"/>
  <c r="BB257" i="1"/>
  <c r="AZ257" i="1"/>
  <c r="AY257" i="1"/>
  <c r="AX257" i="1"/>
  <c r="AW257" i="1"/>
  <c r="AU257" i="1"/>
  <c r="AT257" i="1"/>
  <c r="AS257" i="1"/>
  <c r="BK256" i="1"/>
  <c r="BJ256" i="1"/>
  <c r="BI256" i="1"/>
  <c r="BH256" i="1"/>
  <c r="BG256" i="1"/>
  <c r="BE256" i="1"/>
  <c r="BD256" i="1"/>
  <c r="BC256" i="1"/>
  <c r="BB256" i="1"/>
  <c r="AZ256" i="1"/>
  <c r="AY256" i="1"/>
  <c r="AX256" i="1"/>
  <c r="AW256" i="1"/>
  <c r="AU256" i="1"/>
  <c r="AT256" i="1"/>
  <c r="AS256" i="1"/>
  <c r="BK255" i="1"/>
  <c r="BJ255" i="1"/>
  <c r="BI255" i="1"/>
  <c r="BH255" i="1"/>
  <c r="BG255" i="1"/>
  <c r="BE255" i="1"/>
  <c r="BD255" i="1"/>
  <c r="BC255" i="1"/>
  <c r="BB255" i="1"/>
  <c r="AZ255" i="1"/>
  <c r="AY255" i="1"/>
  <c r="AX255" i="1"/>
  <c r="AW255" i="1"/>
  <c r="AU255" i="1"/>
  <c r="AT255" i="1"/>
  <c r="AS255" i="1"/>
  <c r="BK254" i="1"/>
  <c r="BJ254" i="1"/>
  <c r="BI254" i="1"/>
  <c r="BH254" i="1"/>
  <c r="BG254" i="1"/>
  <c r="BE254" i="1"/>
  <c r="BD254" i="1"/>
  <c r="BC254" i="1"/>
  <c r="BB254" i="1"/>
  <c r="AZ254" i="1"/>
  <c r="AY254" i="1"/>
  <c r="AX254" i="1"/>
  <c r="AW254" i="1"/>
  <c r="AU254" i="1"/>
  <c r="AT254" i="1"/>
  <c r="AS254" i="1"/>
  <c r="BK253" i="1"/>
  <c r="BJ253" i="1"/>
  <c r="BI253" i="1"/>
  <c r="BH253" i="1"/>
  <c r="BG253" i="1"/>
  <c r="BE253" i="1"/>
  <c r="BD253" i="1"/>
  <c r="BC253" i="1"/>
  <c r="BB253" i="1"/>
  <c r="AZ253" i="1"/>
  <c r="AY253" i="1"/>
  <c r="AX253" i="1"/>
  <c r="AW253" i="1"/>
  <c r="AU253" i="1"/>
  <c r="AT253" i="1"/>
  <c r="AS253" i="1"/>
  <c r="BK252" i="1"/>
  <c r="BJ252" i="1"/>
  <c r="BI252" i="1"/>
  <c r="BH252" i="1"/>
  <c r="BG252" i="1"/>
  <c r="BE252" i="1"/>
  <c r="BD252" i="1"/>
  <c r="BC252" i="1"/>
  <c r="BB252" i="1"/>
  <c r="AZ252" i="1"/>
  <c r="AY252" i="1"/>
  <c r="AX252" i="1"/>
  <c r="AW252" i="1"/>
  <c r="AU252" i="1"/>
  <c r="AT252" i="1"/>
  <c r="AS252" i="1"/>
  <c r="BK251" i="1"/>
  <c r="BJ251" i="1"/>
  <c r="BI251" i="1"/>
  <c r="BH251" i="1"/>
  <c r="BG251" i="1"/>
  <c r="BE251" i="1"/>
  <c r="BD251" i="1"/>
  <c r="BC251" i="1"/>
  <c r="BB251" i="1"/>
  <c r="AZ251" i="1"/>
  <c r="AY251" i="1"/>
  <c r="AX251" i="1"/>
  <c r="AW251" i="1"/>
  <c r="AU251" i="1"/>
  <c r="AT251" i="1"/>
  <c r="AS251" i="1"/>
  <c r="BK250" i="1"/>
  <c r="BJ250" i="1"/>
  <c r="BI250" i="1"/>
  <c r="BH250" i="1"/>
  <c r="BG250" i="1"/>
  <c r="BE250" i="1"/>
  <c r="BD250" i="1"/>
  <c r="BC250" i="1"/>
  <c r="BB250" i="1"/>
  <c r="AZ250" i="1"/>
  <c r="AY250" i="1"/>
  <c r="AX250" i="1"/>
  <c r="AW250" i="1"/>
  <c r="AU250" i="1"/>
  <c r="AT250" i="1"/>
  <c r="AS250" i="1"/>
  <c r="BK249" i="1"/>
  <c r="BJ249" i="1"/>
  <c r="BI249" i="1"/>
  <c r="BH249" i="1"/>
  <c r="BG249" i="1"/>
  <c r="BE249" i="1"/>
  <c r="BD249" i="1"/>
  <c r="BC249" i="1"/>
  <c r="BB249" i="1"/>
  <c r="AZ249" i="1"/>
  <c r="AY249" i="1"/>
  <c r="AX249" i="1"/>
  <c r="AW249" i="1"/>
  <c r="AU249" i="1"/>
  <c r="AT249" i="1"/>
  <c r="AS249" i="1"/>
  <c r="BK248" i="1"/>
  <c r="BJ248" i="1"/>
  <c r="BI248" i="1"/>
  <c r="BH248" i="1"/>
  <c r="BG248" i="1"/>
  <c r="BE248" i="1"/>
  <c r="BD248" i="1"/>
  <c r="BC248" i="1"/>
  <c r="BB248" i="1"/>
  <c r="AZ248" i="1"/>
  <c r="AY248" i="1"/>
  <c r="AX248" i="1"/>
  <c r="AW248" i="1"/>
  <c r="AU248" i="1"/>
  <c r="AT248" i="1"/>
  <c r="AS248" i="1"/>
  <c r="BK247" i="1"/>
  <c r="BJ247" i="1"/>
  <c r="BI247" i="1"/>
  <c r="BH247" i="1"/>
  <c r="BG247" i="1"/>
  <c r="BE247" i="1"/>
  <c r="BD247" i="1"/>
  <c r="BC247" i="1"/>
  <c r="BB247" i="1"/>
  <c r="AZ247" i="1"/>
  <c r="AY247" i="1"/>
  <c r="AX247" i="1"/>
  <c r="AW247" i="1"/>
  <c r="AU247" i="1"/>
  <c r="AT247" i="1"/>
  <c r="AS247" i="1"/>
  <c r="BK246" i="1"/>
  <c r="BJ246" i="1"/>
  <c r="BI246" i="1"/>
  <c r="BH246" i="1"/>
  <c r="BG246" i="1"/>
  <c r="BE246" i="1"/>
  <c r="BD246" i="1"/>
  <c r="BC246" i="1"/>
  <c r="BB246" i="1"/>
  <c r="AZ246" i="1"/>
  <c r="AY246" i="1"/>
  <c r="AX246" i="1"/>
  <c r="AW246" i="1"/>
  <c r="AU246" i="1"/>
  <c r="AT246" i="1"/>
  <c r="AS246" i="1"/>
  <c r="BK245" i="1"/>
  <c r="BJ245" i="1"/>
  <c r="BI245" i="1"/>
  <c r="BH245" i="1"/>
  <c r="BG245" i="1"/>
  <c r="BE245" i="1"/>
  <c r="BD245" i="1"/>
  <c r="BC245" i="1"/>
  <c r="BB245" i="1"/>
  <c r="AZ245" i="1"/>
  <c r="AY245" i="1"/>
  <c r="AX245" i="1"/>
  <c r="AW245" i="1"/>
  <c r="AU245" i="1"/>
  <c r="AT245" i="1"/>
  <c r="AS245" i="1"/>
  <c r="BK244" i="1"/>
  <c r="BJ244" i="1"/>
  <c r="BI244" i="1"/>
  <c r="BH244" i="1"/>
  <c r="BG244" i="1"/>
  <c r="BE244" i="1"/>
  <c r="BD244" i="1"/>
  <c r="BC244" i="1"/>
  <c r="BB244" i="1"/>
  <c r="AZ244" i="1"/>
  <c r="AY244" i="1"/>
  <c r="AX244" i="1"/>
  <c r="AW244" i="1"/>
  <c r="AU244" i="1"/>
  <c r="AT244" i="1"/>
  <c r="AS244" i="1"/>
  <c r="BK243" i="1"/>
  <c r="BJ243" i="1"/>
  <c r="BI243" i="1"/>
  <c r="BH243" i="1"/>
  <c r="BG243" i="1"/>
  <c r="BE243" i="1"/>
  <c r="BD243" i="1"/>
  <c r="BC243" i="1"/>
  <c r="BB243" i="1"/>
  <c r="AZ243" i="1"/>
  <c r="AY243" i="1"/>
  <c r="AX243" i="1"/>
  <c r="AW243" i="1"/>
  <c r="AU243" i="1"/>
  <c r="AT243" i="1"/>
  <c r="AS243" i="1"/>
  <c r="BK242" i="1"/>
  <c r="BJ242" i="1"/>
  <c r="BI242" i="1"/>
  <c r="BH242" i="1"/>
  <c r="BG242" i="1"/>
  <c r="BE242" i="1"/>
  <c r="BD242" i="1"/>
  <c r="BC242" i="1"/>
  <c r="BB242" i="1"/>
  <c r="AZ242" i="1"/>
  <c r="AY242" i="1"/>
  <c r="AX242" i="1"/>
  <c r="AW242" i="1"/>
  <c r="AU242" i="1"/>
  <c r="AT242" i="1"/>
  <c r="AS242" i="1"/>
  <c r="BK241" i="1"/>
  <c r="BJ241" i="1"/>
  <c r="BI241" i="1"/>
  <c r="BH241" i="1"/>
  <c r="BG241" i="1"/>
  <c r="BE241" i="1"/>
  <c r="BD241" i="1"/>
  <c r="BC241" i="1"/>
  <c r="BB241" i="1"/>
  <c r="AZ241" i="1"/>
  <c r="AY241" i="1"/>
  <c r="AX241" i="1"/>
  <c r="AW241" i="1"/>
  <c r="AU241" i="1"/>
  <c r="AT241" i="1"/>
  <c r="AS241" i="1"/>
  <c r="BK240" i="1"/>
  <c r="BJ240" i="1"/>
  <c r="BI240" i="1"/>
  <c r="BH240" i="1"/>
  <c r="BG240" i="1"/>
  <c r="BE240" i="1"/>
  <c r="BD240" i="1"/>
  <c r="BC240" i="1"/>
  <c r="BB240" i="1"/>
  <c r="AZ240" i="1"/>
  <c r="AY240" i="1"/>
  <c r="AX240" i="1"/>
  <c r="AW240" i="1"/>
  <c r="AU240" i="1"/>
  <c r="AT240" i="1"/>
  <c r="AS240" i="1"/>
  <c r="BK239" i="1"/>
  <c r="BJ239" i="1"/>
  <c r="BI239" i="1"/>
  <c r="BH239" i="1"/>
  <c r="BG239" i="1"/>
  <c r="BE239" i="1"/>
  <c r="BD239" i="1"/>
  <c r="BC239" i="1"/>
  <c r="BB239" i="1"/>
  <c r="AZ239" i="1"/>
  <c r="AY239" i="1"/>
  <c r="AX239" i="1"/>
  <c r="AW239" i="1"/>
  <c r="AU239" i="1"/>
  <c r="AT239" i="1"/>
  <c r="AS239" i="1"/>
  <c r="BK238" i="1"/>
  <c r="BJ238" i="1"/>
  <c r="BI238" i="1"/>
  <c r="BH238" i="1"/>
  <c r="BG238" i="1"/>
  <c r="BE238" i="1"/>
  <c r="BD238" i="1"/>
  <c r="BC238" i="1"/>
  <c r="BB238" i="1"/>
  <c r="AZ238" i="1"/>
  <c r="AY238" i="1"/>
  <c r="AX238" i="1"/>
  <c r="AW238" i="1"/>
  <c r="AU238" i="1"/>
  <c r="AT238" i="1"/>
  <c r="AS238" i="1"/>
  <c r="BK237" i="1"/>
  <c r="BJ237" i="1"/>
  <c r="BI237" i="1"/>
  <c r="BH237" i="1"/>
  <c r="BG237" i="1"/>
  <c r="BE237" i="1"/>
  <c r="BD237" i="1"/>
  <c r="BC237" i="1"/>
  <c r="BB237" i="1"/>
  <c r="AZ237" i="1"/>
  <c r="AY237" i="1"/>
  <c r="AX237" i="1"/>
  <c r="AW237" i="1"/>
  <c r="AU237" i="1"/>
  <c r="AT237" i="1"/>
  <c r="AS237" i="1"/>
  <c r="BK236" i="1"/>
  <c r="BJ236" i="1"/>
  <c r="BI236" i="1"/>
  <c r="BH236" i="1"/>
  <c r="BG236" i="1"/>
  <c r="BE236" i="1"/>
  <c r="BD236" i="1"/>
  <c r="BC236" i="1"/>
  <c r="BB236" i="1"/>
  <c r="AZ236" i="1"/>
  <c r="AY236" i="1"/>
  <c r="AX236" i="1"/>
  <c r="AW236" i="1"/>
  <c r="AU236" i="1"/>
  <c r="AT236" i="1"/>
  <c r="AS236" i="1"/>
  <c r="BK235" i="1"/>
  <c r="BJ235" i="1"/>
  <c r="BI235" i="1"/>
  <c r="BH235" i="1"/>
  <c r="BG235" i="1"/>
  <c r="BE235" i="1"/>
  <c r="BD235" i="1"/>
  <c r="BC235" i="1"/>
  <c r="BB235" i="1"/>
  <c r="AZ235" i="1"/>
  <c r="AY235" i="1"/>
  <c r="AX235" i="1"/>
  <c r="AW235" i="1"/>
  <c r="AU235" i="1"/>
  <c r="AT235" i="1"/>
  <c r="AS235" i="1"/>
  <c r="BK234" i="1"/>
  <c r="BJ234" i="1"/>
  <c r="BI234" i="1"/>
  <c r="BH234" i="1"/>
  <c r="BG234" i="1"/>
  <c r="BE234" i="1"/>
  <c r="BD234" i="1"/>
  <c r="BC234" i="1"/>
  <c r="BB234" i="1"/>
  <c r="AZ234" i="1"/>
  <c r="AY234" i="1"/>
  <c r="AX234" i="1"/>
  <c r="AW234" i="1"/>
  <c r="AU234" i="1"/>
  <c r="AT234" i="1"/>
  <c r="AS234" i="1"/>
  <c r="BK233" i="1"/>
  <c r="BJ233" i="1"/>
  <c r="BI233" i="1"/>
  <c r="BH233" i="1"/>
  <c r="BG233" i="1"/>
  <c r="BE233" i="1"/>
  <c r="BD233" i="1"/>
  <c r="BC233" i="1"/>
  <c r="BB233" i="1"/>
  <c r="AZ233" i="1"/>
  <c r="AY233" i="1"/>
  <c r="AX233" i="1"/>
  <c r="AW233" i="1"/>
  <c r="AU233" i="1"/>
  <c r="AT233" i="1"/>
  <c r="AS233" i="1"/>
  <c r="BK232" i="1"/>
  <c r="BJ232" i="1"/>
  <c r="BI232" i="1"/>
  <c r="BH232" i="1"/>
  <c r="BG232" i="1"/>
  <c r="BE232" i="1"/>
  <c r="BD232" i="1"/>
  <c r="BC232" i="1"/>
  <c r="BB232" i="1"/>
  <c r="AZ232" i="1"/>
  <c r="AY232" i="1"/>
  <c r="AX232" i="1"/>
  <c r="AW232" i="1"/>
  <c r="AU232" i="1"/>
  <c r="AT232" i="1"/>
  <c r="AS232" i="1"/>
  <c r="BK231" i="1"/>
  <c r="BJ231" i="1"/>
  <c r="BI231" i="1"/>
  <c r="BH231" i="1"/>
  <c r="BG231" i="1"/>
  <c r="BE231" i="1"/>
  <c r="BD231" i="1"/>
  <c r="BC231" i="1"/>
  <c r="BB231" i="1"/>
  <c r="AZ231" i="1"/>
  <c r="AY231" i="1"/>
  <c r="AX231" i="1"/>
  <c r="AW231" i="1"/>
  <c r="AU231" i="1"/>
  <c r="AT231" i="1"/>
  <c r="AS231" i="1"/>
  <c r="BK230" i="1"/>
  <c r="BJ230" i="1"/>
  <c r="BI230" i="1"/>
  <c r="BH230" i="1"/>
  <c r="BG230" i="1"/>
  <c r="BE230" i="1"/>
  <c r="BD230" i="1"/>
  <c r="BC230" i="1"/>
  <c r="BB230" i="1"/>
  <c r="AZ230" i="1"/>
  <c r="AY230" i="1"/>
  <c r="AX230" i="1"/>
  <c r="AW230" i="1"/>
  <c r="AU230" i="1"/>
  <c r="AT230" i="1"/>
  <c r="AS230" i="1"/>
  <c r="BK229" i="1"/>
  <c r="BJ229" i="1"/>
  <c r="BI229" i="1"/>
  <c r="BH229" i="1"/>
  <c r="BG229" i="1"/>
  <c r="BE229" i="1"/>
  <c r="BD229" i="1"/>
  <c r="BC229" i="1"/>
  <c r="BB229" i="1"/>
  <c r="AZ229" i="1"/>
  <c r="AY229" i="1"/>
  <c r="AX229" i="1"/>
  <c r="AW229" i="1"/>
  <c r="AU229" i="1"/>
  <c r="AT229" i="1"/>
  <c r="AS229" i="1"/>
  <c r="BK228" i="1"/>
  <c r="BJ228" i="1"/>
  <c r="BI228" i="1"/>
  <c r="BH228" i="1"/>
  <c r="BG228" i="1"/>
  <c r="BE228" i="1"/>
  <c r="BD228" i="1"/>
  <c r="BC228" i="1"/>
  <c r="BB228" i="1"/>
  <c r="AZ228" i="1"/>
  <c r="AY228" i="1"/>
  <c r="AX228" i="1"/>
  <c r="AW228" i="1"/>
  <c r="AU228" i="1"/>
  <c r="AT228" i="1"/>
  <c r="AS228" i="1"/>
  <c r="BK227" i="1"/>
  <c r="BJ227" i="1"/>
  <c r="BI227" i="1"/>
  <c r="BH227" i="1"/>
  <c r="BG227" i="1"/>
  <c r="BE227" i="1"/>
  <c r="BD227" i="1"/>
  <c r="BC227" i="1"/>
  <c r="BB227" i="1"/>
  <c r="AZ227" i="1"/>
  <c r="AY227" i="1"/>
  <c r="AX227" i="1"/>
  <c r="AW227" i="1"/>
  <c r="AU227" i="1"/>
  <c r="AT227" i="1"/>
  <c r="AS227" i="1"/>
  <c r="BK226" i="1"/>
  <c r="BJ226" i="1"/>
  <c r="BI226" i="1"/>
  <c r="BH226" i="1"/>
  <c r="BG226" i="1"/>
  <c r="BE226" i="1"/>
  <c r="BD226" i="1"/>
  <c r="BC226" i="1"/>
  <c r="BB226" i="1"/>
  <c r="AZ226" i="1"/>
  <c r="AY226" i="1"/>
  <c r="AX226" i="1"/>
  <c r="AW226" i="1"/>
  <c r="AU226" i="1"/>
  <c r="AT226" i="1"/>
  <c r="AS226" i="1"/>
  <c r="BK225" i="1"/>
  <c r="BJ225" i="1"/>
  <c r="BI225" i="1"/>
  <c r="BH225" i="1"/>
  <c r="BG225" i="1"/>
  <c r="BE225" i="1"/>
  <c r="BD225" i="1"/>
  <c r="BC225" i="1"/>
  <c r="BB225" i="1"/>
  <c r="AZ225" i="1"/>
  <c r="AY225" i="1"/>
  <c r="AX225" i="1"/>
  <c r="AW225" i="1"/>
  <c r="AU225" i="1"/>
  <c r="AT225" i="1"/>
  <c r="AS225" i="1"/>
  <c r="BK224" i="1"/>
  <c r="BJ224" i="1"/>
  <c r="BI224" i="1"/>
  <c r="BH224" i="1"/>
  <c r="BG224" i="1"/>
  <c r="BE224" i="1"/>
  <c r="BD224" i="1"/>
  <c r="BC224" i="1"/>
  <c r="BB224" i="1"/>
  <c r="AZ224" i="1"/>
  <c r="AY224" i="1"/>
  <c r="AX224" i="1"/>
  <c r="AW224" i="1"/>
  <c r="AU224" i="1"/>
  <c r="AT224" i="1"/>
  <c r="AS224" i="1"/>
  <c r="BK223" i="1"/>
  <c r="BJ223" i="1"/>
  <c r="BI223" i="1"/>
  <c r="BH223" i="1"/>
  <c r="BG223" i="1"/>
  <c r="BE223" i="1"/>
  <c r="BD223" i="1"/>
  <c r="BC223" i="1"/>
  <c r="BB223" i="1"/>
  <c r="AZ223" i="1"/>
  <c r="AY223" i="1"/>
  <c r="AX223" i="1"/>
  <c r="AW223" i="1"/>
  <c r="AU223" i="1"/>
  <c r="AT223" i="1"/>
  <c r="AS223" i="1"/>
  <c r="BK222" i="1"/>
  <c r="BJ222" i="1"/>
  <c r="BI222" i="1"/>
  <c r="BH222" i="1"/>
  <c r="BG222" i="1"/>
  <c r="BE222" i="1"/>
  <c r="BD222" i="1"/>
  <c r="BC222" i="1"/>
  <c r="BB222" i="1"/>
  <c r="AZ222" i="1"/>
  <c r="AY222" i="1"/>
  <c r="AX222" i="1"/>
  <c r="AW222" i="1"/>
  <c r="AU222" i="1"/>
  <c r="AT222" i="1"/>
  <c r="AS222" i="1"/>
  <c r="BK221" i="1"/>
  <c r="BJ221" i="1"/>
  <c r="BI221" i="1"/>
  <c r="BH221" i="1"/>
  <c r="BG221" i="1"/>
  <c r="BE221" i="1"/>
  <c r="BD221" i="1"/>
  <c r="BC221" i="1"/>
  <c r="BB221" i="1"/>
  <c r="AZ221" i="1"/>
  <c r="AY221" i="1"/>
  <c r="AX221" i="1"/>
  <c r="AW221" i="1"/>
  <c r="AU221" i="1"/>
  <c r="AT221" i="1"/>
  <c r="AS221" i="1"/>
  <c r="BK220" i="1"/>
  <c r="BJ220" i="1"/>
  <c r="BI220" i="1"/>
  <c r="BH220" i="1"/>
  <c r="BG220" i="1"/>
  <c r="BE220" i="1"/>
  <c r="BD220" i="1"/>
  <c r="BC220" i="1"/>
  <c r="BB220" i="1"/>
  <c r="AZ220" i="1"/>
  <c r="AY220" i="1"/>
  <c r="AX220" i="1"/>
  <c r="AW220" i="1"/>
  <c r="AU220" i="1"/>
  <c r="AT220" i="1"/>
  <c r="AS220" i="1"/>
  <c r="BK219" i="1"/>
  <c r="BJ219" i="1"/>
  <c r="BI219" i="1"/>
  <c r="BH219" i="1"/>
  <c r="BG219" i="1"/>
  <c r="BE219" i="1"/>
  <c r="BD219" i="1"/>
  <c r="BC219" i="1"/>
  <c r="BB219" i="1"/>
  <c r="AZ219" i="1"/>
  <c r="AY219" i="1"/>
  <c r="AX219" i="1"/>
  <c r="AW219" i="1"/>
  <c r="AU219" i="1"/>
  <c r="AT219" i="1"/>
  <c r="AS219" i="1"/>
  <c r="BK218" i="1"/>
  <c r="BJ218" i="1"/>
  <c r="BI218" i="1"/>
  <c r="BH218" i="1"/>
  <c r="BG218" i="1"/>
  <c r="BE218" i="1"/>
  <c r="BD218" i="1"/>
  <c r="BC218" i="1"/>
  <c r="BB218" i="1"/>
  <c r="AZ218" i="1"/>
  <c r="AY218" i="1"/>
  <c r="AX218" i="1"/>
  <c r="AW218" i="1"/>
  <c r="AU218" i="1"/>
  <c r="AT218" i="1"/>
  <c r="AS218" i="1"/>
  <c r="BK217" i="1"/>
  <c r="BJ217" i="1"/>
  <c r="BI217" i="1"/>
  <c r="BH217" i="1"/>
  <c r="BG217" i="1"/>
  <c r="BE217" i="1"/>
  <c r="BD217" i="1"/>
  <c r="BC217" i="1"/>
  <c r="BB217" i="1"/>
  <c r="AZ217" i="1"/>
  <c r="AY217" i="1"/>
  <c r="AX217" i="1"/>
  <c r="AW217" i="1"/>
  <c r="AU217" i="1"/>
  <c r="AT217" i="1"/>
  <c r="AS217" i="1"/>
  <c r="BK216" i="1"/>
  <c r="BJ216" i="1"/>
  <c r="BI216" i="1"/>
  <c r="BH216" i="1"/>
  <c r="BG216" i="1"/>
  <c r="BE216" i="1"/>
  <c r="BD216" i="1"/>
  <c r="BC216" i="1"/>
  <c r="BB216" i="1"/>
  <c r="AZ216" i="1"/>
  <c r="AY216" i="1"/>
  <c r="AX216" i="1"/>
  <c r="AW216" i="1"/>
  <c r="AU216" i="1"/>
  <c r="AT216" i="1"/>
  <c r="AS216" i="1"/>
  <c r="BK215" i="1"/>
  <c r="BJ215" i="1"/>
  <c r="BI215" i="1"/>
  <c r="BH215" i="1"/>
  <c r="BG215" i="1"/>
  <c r="BE215" i="1"/>
  <c r="BD215" i="1"/>
  <c r="BC215" i="1"/>
  <c r="BB215" i="1"/>
  <c r="AZ215" i="1"/>
  <c r="AY215" i="1"/>
  <c r="AX215" i="1"/>
  <c r="AW215" i="1"/>
  <c r="AU215" i="1"/>
  <c r="AT215" i="1"/>
  <c r="AS215" i="1"/>
  <c r="BK214" i="1"/>
  <c r="BJ214" i="1"/>
  <c r="BI214" i="1"/>
  <c r="BH214" i="1"/>
  <c r="BG214" i="1"/>
  <c r="BE214" i="1"/>
  <c r="BD214" i="1"/>
  <c r="BC214" i="1"/>
  <c r="BB214" i="1"/>
  <c r="AZ214" i="1"/>
  <c r="AY214" i="1"/>
  <c r="AX214" i="1"/>
  <c r="AW214" i="1"/>
  <c r="AU214" i="1"/>
  <c r="AT214" i="1"/>
  <c r="AS214" i="1"/>
  <c r="BK213" i="1"/>
  <c r="BJ213" i="1"/>
  <c r="BI213" i="1"/>
  <c r="BH213" i="1"/>
  <c r="BG213" i="1"/>
  <c r="BE213" i="1"/>
  <c r="BD213" i="1"/>
  <c r="BC213" i="1"/>
  <c r="BB213" i="1"/>
  <c r="AZ213" i="1"/>
  <c r="AY213" i="1"/>
  <c r="AX213" i="1"/>
  <c r="AW213" i="1"/>
  <c r="AU213" i="1"/>
  <c r="AT213" i="1"/>
  <c r="AS213" i="1"/>
  <c r="BK212" i="1"/>
  <c r="BJ212" i="1"/>
  <c r="BI212" i="1"/>
  <c r="BH212" i="1"/>
  <c r="BG212" i="1"/>
  <c r="BE212" i="1"/>
  <c r="BD212" i="1"/>
  <c r="BC212" i="1"/>
  <c r="BB212" i="1"/>
  <c r="AZ212" i="1"/>
  <c r="AY212" i="1"/>
  <c r="AX212" i="1"/>
  <c r="AW212" i="1"/>
  <c r="AU212" i="1"/>
  <c r="AT212" i="1"/>
  <c r="AS212" i="1"/>
  <c r="BK211" i="1"/>
  <c r="BJ211" i="1"/>
  <c r="BI211" i="1"/>
  <c r="BH211" i="1"/>
  <c r="BG211" i="1"/>
  <c r="BE211" i="1"/>
  <c r="BD211" i="1"/>
  <c r="BC211" i="1"/>
  <c r="BB211" i="1"/>
  <c r="AZ211" i="1"/>
  <c r="AY211" i="1"/>
  <c r="AX211" i="1"/>
  <c r="AW211" i="1"/>
  <c r="AU211" i="1"/>
  <c r="AT211" i="1"/>
  <c r="AS211" i="1"/>
  <c r="BK210" i="1"/>
  <c r="BJ210" i="1"/>
  <c r="BI210" i="1"/>
  <c r="BH210" i="1"/>
  <c r="BG210" i="1"/>
  <c r="BE210" i="1"/>
  <c r="BD210" i="1"/>
  <c r="BC210" i="1"/>
  <c r="BB210" i="1"/>
  <c r="AZ210" i="1"/>
  <c r="AY210" i="1"/>
  <c r="AX210" i="1"/>
  <c r="AW210" i="1"/>
  <c r="AU210" i="1"/>
  <c r="AT210" i="1"/>
  <c r="AS210" i="1"/>
  <c r="BK209" i="1"/>
  <c r="BJ209" i="1"/>
  <c r="BI209" i="1"/>
  <c r="BH209" i="1"/>
  <c r="BG209" i="1"/>
  <c r="BE209" i="1"/>
  <c r="BD209" i="1"/>
  <c r="BC209" i="1"/>
  <c r="BB209" i="1"/>
  <c r="AZ209" i="1"/>
  <c r="AY209" i="1"/>
  <c r="AX209" i="1"/>
  <c r="AW209" i="1"/>
  <c r="AU209" i="1"/>
  <c r="AT209" i="1"/>
  <c r="AS209" i="1"/>
  <c r="BK208" i="1"/>
  <c r="BJ208" i="1"/>
  <c r="BI208" i="1"/>
  <c r="BH208" i="1"/>
  <c r="BG208" i="1"/>
  <c r="BE208" i="1"/>
  <c r="BD208" i="1"/>
  <c r="BC208" i="1"/>
  <c r="BB208" i="1"/>
  <c r="AZ208" i="1"/>
  <c r="AY208" i="1"/>
  <c r="AX208" i="1"/>
  <c r="AW208" i="1"/>
  <c r="AU208" i="1"/>
  <c r="AT208" i="1"/>
  <c r="AS208" i="1"/>
  <c r="BK207" i="1"/>
  <c r="BJ207" i="1"/>
  <c r="BI207" i="1"/>
  <c r="BH207" i="1"/>
  <c r="BG207" i="1"/>
  <c r="BE207" i="1"/>
  <c r="BD207" i="1"/>
  <c r="BC207" i="1"/>
  <c r="BB207" i="1"/>
  <c r="AZ207" i="1"/>
  <c r="AY207" i="1"/>
  <c r="AX207" i="1"/>
  <c r="AW207" i="1"/>
  <c r="AU207" i="1"/>
  <c r="AT207" i="1"/>
  <c r="AS207" i="1"/>
  <c r="BK206" i="1"/>
  <c r="BJ206" i="1"/>
  <c r="BI206" i="1"/>
  <c r="BH206" i="1"/>
  <c r="BG206" i="1"/>
  <c r="BE206" i="1"/>
  <c r="BD206" i="1"/>
  <c r="BC206" i="1"/>
  <c r="BB206" i="1"/>
  <c r="AZ206" i="1"/>
  <c r="AY206" i="1"/>
  <c r="AX206" i="1"/>
  <c r="AW206" i="1"/>
  <c r="AU206" i="1"/>
  <c r="AT206" i="1"/>
  <c r="AS206" i="1"/>
  <c r="BK205" i="1"/>
  <c r="BJ205" i="1"/>
  <c r="BI205" i="1"/>
  <c r="BH205" i="1"/>
  <c r="BG205" i="1"/>
  <c r="BE205" i="1"/>
  <c r="BD205" i="1"/>
  <c r="BC205" i="1"/>
  <c r="BB205" i="1"/>
  <c r="AZ205" i="1"/>
  <c r="AY205" i="1"/>
  <c r="AX205" i="1"/>
  <c r="AW205" i="1"/>
  <c r="AU205" i="1"/>
  <c r="AT205" i="1"/>
  <c r="AS205" i="1"/>
  <c r="BK204" i="1"/>
  <c r="BJ204" i="1"/>
  <c r="BI204" i="1"/>
  <c r="BH204" i="1"/>
  <c r="BG204" i="1"/>
  <c r="BE204" i="1"/>
  <c r="BD204" i="1"/>
  <c r="BC204" i="1"/>
  <c r="BB204" i="1"/>
  <c r="AZ204" i="1"/>
  <c r="AY204" i="1"/>
  <c r="AX204" i="1"/>
  <c r="AW204" i="1"/>
  <c r="AU204" i="1"/>
  <c r="AT204" i="1"/>
  <c r="AS204" i="1"/>
  <c r="BK203" i="1"/>
  <c r="BJ203" i="1"/>
  <c r="BI203" i="1"/>
  <c r="BH203" i="1"/>
  <c r="BG203" i="1"/>
  <c r="BE203" i="1"/>
  <c r="BD203" i="1"/>
  <c r="BC203" i="1"/>
  <c r="BB203" i="1"/>
  <c r="AZ203" i="1"/>
  <c r="AY203" i="1"/>
  <c r="AX203" i="1"/>
  <c r="AW203" i="1"/>
  <c r="AU203" i="1"/>
  <c r="AT203" i="1"/>
  <c r="AS203" i="1"/>
  <c r="BK202" i="1"/>
  <c r="BJ202" i="1"/>
  <c r="BI202" i="1"/>
  <c r="BH202" i="1"/>
  <c r="BG202" i="1"/>
  <c r="BE202" i="1"/>
  <c r="BD202" i="1"/>
  <c r="BC202" i="1"/>
  <c r="BB202" i="1"/>
  <c r="AZ202" i="1"/>
  <c r="AY202" i="1"/>
  <c r="AX202" i="1"/>
  <c r="AW202" i="1"/>
  <c r="AU202" i="1"/>
  <c r="AT202" i="1"/>
  <c r="AS202" i="1"/>
  <c r="BK201" i="1"/>
  <c r="BJ201" i="1"/>
  <c r="BI201" i="1"/>
  <c r="BH201" i="1"/>
  <c r="BG201" i="1"/>
  <c r="BE201" i="1"/>
  <c r="BD201" i="1"/>
  <c r="BC201" i="1"/>
  <c r="BB201" i="1"/>
  <c r="AZ201" i="1"/>
  <c r="AY201" i="1"/>
  <c r="AX201" i="1"/>
  <c r="AW201" i="1"/>
  <c r="AU201" i="1"/>
  <c r="AT201" i="1"/>
  <c r="AS201" i="1"/>
  <c r="BK200" i="1"/>
  <c r="BJ200" i="1"/>
  <c r="BI200" i="1"/>
  <c r="BH200" i="1"/>
  <c r="BG200" i="1"/>
  <c r="BE200" i="1"/>
  <c r="BD200" i="1"/>
  <c r="BC200" i="1"/>
  <c r="BB200" i="1"/>
  <c r="AZ200" i="1"/>
  <c r="AY200" i="1"/>
  <c r="AX200" i="1"/>
  <c r="AW200" i="1"/>
  <c r="AU200" i="1"/>
  <c r="AT200" i="1"/>
  <c r="AS200" i="1"/>
  <c r="BK199" i="1"/>
  <c r="BJ199" i="1"/>
  <c r="BI199" i="1"/>
  <c r="BH199" i="1"/>
  <c r="BG199" i="1"/>
  <c r="BE199" i="1"/>
  <c r="BD199" i="1"/>
  <c r="BC199" i="1"/>
  <c r="BB199" i="1"/>
  <c r="AZ199" i="1"/>
  <c r="AY199" i="1"/>
  <c r="AX199" i="1"/>
  <c r="AW199" i="1"/>
  <c r="AU199" i="1"/>
  <c r="AT199" i="1"/>
  <c r="AS199" i="1"/>
  <c r="BK198" i="1"/>
  <c r="BJ198" i="1"/>
  <c r="BI198" i="1"/>
  <c r="BH198" i="1"/>
  <c r="BG198" i="1"/>
  <c r="BE198" i="1"/>
  <c r="BD198" i="1"/>
  <c r="BC198" i="1"/>
  <c r="BB198" i="1"/>
  <c r="AZ198" i="1"/>
  <c r="AY198" i="1"/>
  <c r="AX198" i="1"/>
  <c r="AW198" i="1"/>
  <c r="AU198" i="1"/>
  <c r="AT198" i="1"/>
  <c r="AS198" i="1"/>
  <c r="BK197" i="1"/>
  <c r="BJ197" i="1"/>
  <c r="BI197" i="1"/>
  <c r="BH197" i="1"/>
  <c r="BG197" i="1"/>
  <c r="BE197" i="1"/>
  <c r="BD197" i="1"/>
  <c r="BC197" i="1"/>
  <c r="BB197" i="1"/>
  <c r="AZ197" i="1"/>
  <c r="AY197" i="1"/>
  <c r="AX197" i="1"/>
  <c r="AW197" i="1"/>
  <c r="AU197" i="1"/>
  <c r="AT197" i="1"/>
  <c r="AS197" i="1"/>
  <c r="BK196" i="1"/>
  <c r="BJ196" i="1"/>
  <c r="BI196" i="1"/>
  <c r="BH196" i="1"/>
  <c r="BG196" i="1"/>
  <c r="BE196" i="1"/>
  <c r="BD196" i="1"/>
  <c r="BC196" i="1"/>
  <c r="BB196" i="1"/>
  <c r="AZ196" i="1"/>
  <c r="AY196" i="1"/>
  <c r="AX196" i="1"/>
  <c r="AW196" i="1"/>
  <c r="AU196" i="1"/>
  <c r="AT196" i="1"/>
  <c r="AS196" i="1"/>
  <c r="BK195" i="1"/>
  <c r="BJ195" i="1"/>
  <c r="BI195" i="1"/>
  <c r="BH195" i="1"/>
  <c r="BG195" i="1"/>
  <c r="BE195" i="1"/>
  <c r="BD195" i="1"/>
  <c r="BC195" i="1"/>
  <c r="BB195" i="1"/>
  <c r="AZ195" i="1"/>
  <c r="AY195" i="1"/>
  <c r="AX195" i="1"/>
  <c r="AW195" i="1"/>
  <c r="AU195" i="1"/>
  <c r="AT195" i="1"/>
  <c r="AS195" i="1"/>
  <c r="BK194" i="1"/>
  <c r="BJ194" i="1"/>
  <c r="BI194" i="1"/>
  <c r="BH194" i="1"/>
  <c r="BG194" i="1"/>
  <c r="BE194" i="1"/>
  <c r="BD194" i="1"/>
  <c r="BC194" i="1"/>
  <c r="BB194" i="1"/>
  <c r="AZ194" i="1"/>
  <c r="AY194" i="1"/>
  <c r="AX194" i="1"/>
  <c r="AW194" i="1"/>
  <c r="AU194" i="1"/>
  <c r="AT194" i="1"/>
  <c r="AS194" i="1"/>
  <c r="BK193" i="1"/>
  <c r="BJ193" i="1"/>
  <c r="BI193" i="1"/>
  <c r="BH193" i="1"/>
  <c r="BG193" i="1"/>
  <c r="BE193" i="1"/>
  <c r="BD193" i="1"/>
  <c r="BC193" i="1"/>
  <c r="BB193" i="1"/>
  <c r="AZ193" i="1"/>
  <c r="AY193" i="1"/>
  <c r="AX193" i="1"/>
  <c r="AW193" i="1"/>
  <c r="AU193" i="1"/>
  <c r="AT193" i="1"/>
  <c r="AS193" i="1"/>
  <c r="BK192" i="1"/>
  <c r="BJ192" i="1"/>
  <c r="BI192" i="1"/>
  <c r="BH192" i="1"/>
  <c r="BG192" i="1"/>
  <c r="BE192" i="1"/>
  <c r="BD192" i="1"/>
  <c r="BC192" i="1"/>
  <c r="BB192" i="1"/>
  <c r="AZ192" i="1"/>
  <c r="AY192" i="1"/>
  <c r="AX192" i="1"/>
  <c r="AW192" i="1"/>
  <c r="AU192" i="1"/>
  <c r="AT192" i="1"/>
  <c r="AS192" i="1"/>
  <c r="BK191" i="1"/>
  <c r="BJ191" i="1"/>
  <c r="BI191" i="1"/>
  <c r="BH191" i="1"/>
  <c r="BG191" i="1"/>
  <c r="BE191" i="1"/>
  <c r="BD191" i="1"/>
  <c r="BC191" i="1"/>
  <c r="BB191" i="1"/>
  <c r="AZ191" i="1"/>
  <c r="AY191" i="1"/>
  <c r="AX191" i="1"/>
  <c r="AW191" i="1"/>
  <c r="AU191" i="1"/>
  <c r="AT191" i="1"/>
  <c r="AS191" i="1"/>
  <c r="BK190" i="1"/>
  <c r="BJ190" i="1"/>
  <c r="BI190" i="1"/>
  <c r="BH190" i="1"/>
  <c r="BG190" i="1"/>
  <c r="BE190" i="1"/>
  <c r="BD190" i="1"/>
  <c r="BC190" i="1"/>
  <c r="BB190" i="1"/>
  <c r="AZ190" i="1"/>
  <c r="AY190" i="1"/>
  <c r="AX190" i="1"/>
  <c r="AW190" i="1"/>
  <c r="AU190" i="1"/>
  <c r="AT190" i="1"/>
  <c r="AS190" i="1"/>
  <c r="BK189" i="1"/>
  <c r="BJ189" i="1"/>
  <c r="BI189" i="1"/>
  <c r="BH189" i="1"/>
  <c r="BG189" i="1"/>
  <c r="BE189" i="1"/>
  <c r="BD189" i="1"/>
  <c r="BC189" i="1"/>
  <c r="BB189" i="1"/>
  <c r="AZ189" i="1"/>
  <c r="AY189" i="1"/>
  <c r="AX189" i="1"/>
  <c r="AW189" i="1"/>
  <c r="AU189" i="1"/>
  <c r="AT189" i="1"/>
  <c r="AS189" i="1"/>
  <c r="BK188" i="1"/>
  <c r="BJ188" i="1"/>
  <c r="BI188" i="1"/>
  <c r="BH188" i="1"/>
  <c r="BG188" i="1"/>
  <c r="BE188" i="1"/>
  <c r="BD188" i="1"/>
  <c r="BC188" i="1"/>
  <c r="BB188" i="1"/>
  <c r="AZ188" i="1"/>
  <c r="AY188" i="1"/>
  <c r="AX188" i="1"/>
  <c r="AW188" i="1"/>
  <c r="AU188" i="1"/>
  <c r="AT188" i="1"/>
  <c r="AS188" i="1"/>
  <c r="BK187" i="1"/>
  <c r="BJ187" i="1"/>
  <c r="BI187" i="1"/>
  <c r="BH187" i="1"/>
  <c r="BG187" i="1"/>
  <c r="BE187" i="1"/>
  <c r="BD187" i="1"/>
  <c r="BC187" i="1"/>
  <c r="BB187" i="1"/>
  <c r="AZ187" i="1"/>
  <c r="AY187" i="1"/>
  <c r="AX187" i="1"/>
  <c r="AW187" i="1"/>
  <c r="AU187" i="1"/>
  <c r="AT187" i="1"/>
  <c r="AS187" i="1"/>
  <c r="BK186" i="1"/>
  <c r="BJ186" i="1"/>
  <c r="BI186" i="1"/>
  <c r="BH186" i="1"/>
  <c r="BG186" i="1"/>
  <c r="BE186" i="1"/>
  <c r="BD186" i="1"/>
  <c r="BC186" i="1"/>
  <c r="BB186" i="1"/>
  <c r="AZ186" i="1"/>
  <c r="AY186" i="1"/>
  <c r="AX186" i="1"/>
  <c r="AW186" i="1"/>
  <c r="AU186" i="1"/>
  <c r="AT186" i="1"/>
  <c r="AS186" i="1"/>
  <c r="BK185" i="1"/>
  <c r="BJ185" i="1"/>
  <c r="BI185" i="1"/>
  <c r="BH185" i="1"/>
  <c r="BG185" i="1"/>
  <c r="BE185" i="1"/>
  <c r="BD185" i="1"/>
  <c r="BC185" i="1"/>
  <c r="BB185" i="1"/>
  <c r="AZ185" i="1"/>
  <c r="AY185" i="1"/>
  <c r="AX185" i="1"/>
  <c r="AW185" i="1"/>
  <c r="AU185" i="1"/>
  <c r="AT185" i="1"/>
  <c r="AS185" i="1"/>
  <c r="BK184" i="1"/>
  <c r="BJ184" i="1"/>
  <c r="BI184" i="1"/>
  <c r="BH184" i="1"/>
  <c r="BG184" i="1"/>
  <c r="BE184" i="1"/>
  <c r="BD184" i="1"/>
  <c r="BC184" i="1"/>
  <c r="BB184" i="1"/>
  <c r="AZ184" i="1"/>
  <c r="AY184" i="1"/>
  <c r="AX184" i="1"/>
  <c r="AW184" i="1"/>
  <c r="AU184" i="1"/>
  <c r="AT184" i="1"/>
  <c r="AS184" i="1"/>
  <c r="BK183" i="1"/>
  <c r="BJ183" i="1"/>
  <c r="BI183" i="1"/>
  <c r="BH183" i="1"/>
  <c r="BG183" i="1"/>
  <c r="BE183" i="1"/>
  <c r="BD183" i="1"/>
  <c r="BC183" i="1"/>
  <c r="BB183" i="1"/>
  <c r="AZ183" i="1"/>
  <c r="AY183" i="1"/>
  <c r="AX183" i="1"/>
  <c r="AW183" i="1"/>
  <c r="AU183" i="1"/>
  <c r="AT183" i="1"/>
  <c r="AS183" i="1"/>
  <c r="BK182" i="1"/>
  <c r="BJ182" i="1"/>
  <c r="BI182" i="1"/>
  <c r="BH182" i="1"/>
  <c r="BG182" i="1"/>
  <c r="BE182" i="1"/>
  <c r="BD182" i="1"/>
  <c r="BC182" i="1"/>
  <c r="BB182" i="1"/>
  <c r="AZ182" i="1"/>
  <c r="AY182" i="1"/>
  <c r="AX182" i="1"/>
  <c r="AW182" i="1"/>
  <c r="AU182" i="1"/>
  <c r="AT182" i="1"/>
  <c r="AS182" i="1"/>
  <c r="BK181" i="1"/>
  <c r="BJ181" i="1"/>
  <c r="BI181" i="1"/>
  <c r="BH181" i="1"/>
  <c r="BG181" i="1"/>
  <c r="BE181" i="1"/>
  <c r="BD181" i="1"/>
  <c r="BC181" i="1"/>
  <c r="BB181" i="1"/>
  <c r="AZ181" i="1"/>
  <c r="AY181" i="1"/>
  <c r="AX181" i="1"/>
  <c r="AW181" i="1"/>
  <c r="AU181" i="1"/>
  <c r="AT181" i="1"/>
  <c r="AS181" i="1"/>
  <c r="BK180" i="1"/>
  <c r="BJ180" i="1"/>
  <c r="BI180" i="1"/>
  <c r="BH180" i="1"/>
  <c r="BG180" i="1"/>
  <c r="BE180" i="1"/>
  <c r="BD180" i="1"/>
  <c r="BC180" i="1"/>
  <c r="BB180" i="1"/>
  <c r="AZ180" i="1"/>
  <c r="AY180" i="1"/>
  <c r="AX180" i="1"/>
  <c r="AW180" i="1"/>
  <c r="AU180" i="1"/>
  <c r="AT180" i="1"/>
  <c r="AS180" i="1"/>
  <c r="BK179" i="1"/>
  <c r="BJ179" i="1"/>
  <c r="BI179" i="1"/>
  <c r="BH179" i="1"/>
  <c r="BG179" i="1"/>
  <c r="BE179" i="1"/>
  <c r="BD179" i="1"/>
  <c r="BC179" i="1"/>
  <c r="BB179" i="1"/>
  <c r="AZ179" i="1"/>
  <c r="AY179" i="1"/>
  <c r="AX179" i="1"/>
  <c r="AW179" i="1"/>
  <c r="AU179" i="1"/>
  <c r="AT179" i="1"/>
  <c r="AS179" i="1"/>
  <c r="BK178" i="1"/>
  <c r="BJ178" i="1"/>
  <c r="BI178" i="1"/>
  <c r="BH178" i="1"/>
  <c r="BG178" i="1"/>
  <c r="BE178" i="1"/>
  <c r="BD178" i="1"/>
  <c r="BC178" i="1"/>
  <c r="BB178" i="1"/>
  <c r="AZ178" i="1"/>
  <c r="AY178" i="1"/>
  <c r="AX178" i="1"/>
  <c r="AW178" i="1"/>
  <c r="AU178" i="1"/>
  <c r="AT178" i="1"/>
  <c r="AS178" i="1"/>
  <c r="BK177" i="1"/>
  <c r="BJ177" i="1"/>
  <c r="BI177" i="1"/>
  <c r="BH177" i="1"/>
  <c r="BG177" i="1"/>
  <c r="BE177" i="1"/>
  <c r="BD177" i="1"/>
  <c r="BC177" i="1"/>
  <c r="BB177" i="1"/>
  <c r="AZ177" i="1"/>
  <c r="AY177" i="1"/>
  <c r="AX177" i="1"/>
  <c r="AW177" i="1"/>
  <c r="AU177" i="1"/>
  <c r="AT177" i="1"/>
  <c r="AS177" i="1"/>
  <c r="BK176" i="1"/>
  <c r="BJ176" i="1"/>
  <c r="BI176" i="1"/>
  <c r="BH176" i="1"/>
  <c r="BG176" i="1"/>
  <c r="BE176" i="1"/>
  <c r="BD176" i="1"/>
  <c r="BC176" i="1"/>
  <c r="BB176" i="1"/>
  <c r="AZ176" i="1"/>
  <c r="AY176" i="1"/>
  <c r="AX176" i="1"/>
  <c r="AW176" i="1"/>
  <c r="AU176" i="1"/>
  <c r="AT176" i="1"/>
  <c r="AS176" i="1"/>
  <c r="BK175" i="1"/>
  <c r="BJ175" i="1"/>
  <c r="BI175" i="1"/>
  <c r="BH175" i="1"/>
  <c r="BG175" i="1"/>
  <c r="BE175" i="1"/>
  <c r="BD175" i="1"/>
  <c r="BC175" i="1"/>
  <c r="BB175" i="1"/>
  <c r="AZ175" i="1"/>
  <c r="AY175" i="1"/>
  <c r="AX175" i="1"/>
  <c r="AW175" i="1"/>
  <c r="AU175" i="1"/>
  <c r="AT175" i="1"/>
  <c r="AS175" i="1"/>
  <c r="BK174" i="1"/>
  <c r="BJ174" i="1"/>
  <c r="BI174" i="1"/>
  <c r="BH174" i="1"/>
  <c r="BG174" i="1"/>
  <c r="BE174" i="1"/>
  <c r="BD174" i="1"/>
  <c r="BC174" i="1"/>
  <c r="BB174" i="1"/>
  <c r="AZ174" i="1"/>
  <c r="AY174" i="1"/>
  <c r="AX174" i="1"/>
  <c r="AW174" i="1"/>
  <c r="AU174" i="1"/>
  <c r="AT174" i="1"/>
  <c r="AS174" i="1"/>
  <c r="BK173" i="1"/>
  <c r="BJ173" i="1"/>
  <c r="BI173" i="1"/>
  <c r="BH173" i="1"/>
  <c r="BG173" i="1"/>
  <c r="BE173" i="1"/>
  <c r="BD173" i="1"/>
  <c r="BC173" i="1"/>
  <c r="BB173" i="1"/>
  <c r="AZ173" i="1"/>
  <c r="AY173" i="1"/>
  <c r="AX173" i="1"/>
  <c r="AW173" i="1"/>
  <c r="AU173" i="1"/>
  <c r="AT173" i="1"/>
  <c r="AS173" i="1"/>
  <c r="BK172" i="1"/>
  <c r="BJ172" i="1"/>
  <c r="BI172" i="1"/>
  <c r="BH172" i="1"/>
  <c r="BG172" i="1"/>
  <c r="BE172" i="1"/>
  <c r="BD172" i="1"/>
  <c r="BC172" i="1"/>
  <c r="BB172" i="1"/>
  <c r="AZ172" i="1"/>
  <c r="AY172" i="1"/>
  <c r="AX172" i="1"/>
  <c r="AW172" i="1"/>
  <c r="AU172" i="1"/>
  <c r="AT172" i="1"/>
  <c r="AS172" i="1"/>
  <c r="BK171" i="1"/>
  <c r="BJ171" i="1"/>
  <c r="BI171" i="1"/>
  <c r="BH171" i="1"/>
  <c r="BG171" i="1"/>
  <c r="BE171" i="1"/>
  <c r="BD171" i="1"/>
  <c r="BC171" i="1"/>
  <c r="BB171" i="1"/>
  <c r="AZ171" i="1"/>
  <c r="AY171" i="1"/>
  <c r="AX171" i="1"/>
  <c r="AW171" i="1"/>
  <c r="AU171" i="1"/>
  <c r="AT171" i="1"/>
  <c r="AS171" i="1"/>
  <c r="BK170" i="1"/>
  <c r="BJ170" i="1"/>
  <c r="BI170" i="1"/>
  <c r="BH170" i="1"/>
  <c r="BG170" i="1"/>
  <c r="BE170" i="1"/>
  <c r="BD170" i="1"/>
  <c r="BC170" i="1"/>
  <c r="BB170" i="1"/>
  <c r="AZ170" i="1"/>
  <c r="AY170" i="1"/>
  <c r="AX170" i="1"/>
  <c r="AW170" i="1"/>
  <c r="AU170" i="1"/>
  <c r="AT170" i="1"/>
  <c r="AS170" i="1"/>
  <c r="BK169" i="1"/>
  <c r="BJ169" i="1"/>
  <c r="BI169" i="1"/>
  <c r="BH169" i="1"/>
  <c r="BG169" i="1"/>
  <c r="BE169" i="1"/>
  <c r="BD169" i="1"/>
  <c r="BC169" i="1"/>
  <c r="BB169" i="1"/>
  <c r="AZ169" i="1"/>
  <c r="AY169" i="1"/>
  <c r="AX169" i="1"/>
  <c r="AW169" i="1"/>
  <c r="AU169" i="1"/>
  <c r="AT169" i="1"/>
  <c r="AS169" i="1"/>
  <c r="BK168" i="1"/>
  <c r="BJ168" i="1"/>
  <c r="BI168" i="1"/>
  <c r="BH168" i="1"/>
  <c r="BG168" i="1"/>
  <c r="BE168" i="1"/>
  <c r="BD168" i="1"/>
  <c r="BC168" i="1"/>
  <c r="BB168" i="1"/>
  <c r="AZ168" i="1"/>
  <c r="AY168" i="1"/>
  <c r="AX168" i="1"/>
  <c r="AW168" i="1"/>
  <c r="AU168" i="1"/>
  <c r="AT168" i="1"/>
  <c r="AS168" i="1"/>
  <c r="BK167" i="1"/>
  <c r="BJ167" i="1"/>
  <c r="BI167" i="1"/>
  <c r="BH167" i="1"/>
  <c r="BG167" i="1"/>
  <c r="BE167" i="1"/>
  <c r="BD167" i="1"/>
  <c r="BC167" i="1"/>
  <c r="BB167" i="1"/>
  <c r="AZ167" i="1"/>
  <c r="AY167" i="1"/>
  <c r="AX167" i="1"/>
  <c r="AW167" i="1"/>
  <c r="AU167" i="1"/>
  <c r="AT167" i="1"/>
  <c r="AS167" i="1"/>
  <c r="BK166" i="1"/>
  <c r="BJ166" i="1"/>
  <c r="BI166" i="1"/>
  <c r="BH166" i="1"/>
  <c r="BG166" i="1"/>
  <c r="BE166" i="1"/>
  <c r="BD166" i="1"/>
  <c r="BC166" i="1"/>
  <c r="BB166" i="1"/>
  <c r="AZ166" i="1"/>
  <c r="AY166" i="1"/>
  <c r="AX166" i="1"/>
  <c r="AW166" i="1"/>
  <c r="AU166" i="1"/>
  <c r="AT166" i="1"/>
  <c r="AS166" i="1"/>
  <c r="BK165" i="1"/>
  <c r="BJ165" i="1"/>
  <c r="BI165" i="1"/>
  <c r="BH165" i="1"/>
  <c r="BG165" i="1"/>
  <c r="BE165" i="1"/>
  <c r="BD165" i="1"/>
  <c r="BC165" i="1"/>
  <c r="BB165" i="1"/>
  <c r="AZ165" i="1"/>
  <c r="AY165" i="1"/>
  <c r="AX165" i="1"/>
  <c r="AW165" i="1"/>
  <c r="AU165" i="1"/>
  <c r="AT165" i="1"/>
  <c r="AS165" i="1"/>
  <c r="BK164" i="1"/>
  <c r="BJ164" i="1"/>
  <c r="BI164" i="1"/>
  <c r="BH164" i="1"/>
  <c r="BG164" i="1"/>
  <c r="BE164" i="1"/>
  <c r="BD164" i="1"/>
  <c r="BC164" i="1"/>
  <c r="BB164" i="1"/>
  <c r="AZ164" i="1"/>
  <c r="AY164" i="1"/>
  <c r="AX164" i="1"/>
  <c r="AW164" i="1"/>
  <c r="AU164" i="1"/>
  <c r="AT164" i="1"/>
  <c r="AS164" i="1"/>
  <c r="BK163" i="1"/>
  <c r="BJ163" i="1"/>
  <c r="BI163" i="1"/>
  <c r="BH163" i="1"/>
  <c r="BG163" i="1"/>
  <c r="BE163" i="1"/>
  <c r="BD163" i="1"/>
  <c r="BC163" i="1"/>
  <c r="BB163" i="1"/>
  <c r="AZ163" i="1"/>
  <c r="AY163" i="1"/>
  <c r="AX163" i="1"/>
  <c r="AW163" i="1"/>
  <c r="AU163" i="1"/>
  <c r="AT163" i="1"/>
  <c r="AS163" i="1"/>
  <c r="BK162" i="1"/>
  <c r="BJ162" i="1"/>
  <c r="BI162" i="1"/>
  <c r="BH162" i="1"/>
  <c r="BG162" i="1"/>
  <c r="BE162" i="1"/>
  <c r="BD162" i="1"/>
  <c r="BC162" i="1"/>
  <c r="BB162" i="1"/>
  <c r="AZ162" i="1"/>
  <c r="AY162" i="1"/>
  <c r="AX162" i="1"/>
  <c r="AW162" i="1"/>
  <c r="AU162" i="1"/>
  <c r="AT162" i="1"/>
  <c r="AS162" i="1"/>
  <c r="BK161" i="1"/>
  <c r="BJ161" i="1"/>
  <c r="BI161" i="1"/>
  <c r="BH161" i="1"/>
  <c r="BG161" i="1"/>
  <c r="BE161" i="1"/>
  <c r="BD161" i="1"/>
  <c r="BC161" i="1"/>
  <c r="BB161" i="1"/>
  <c r="AZ161" i="1"/>
  <c r="AY161" i="1"/>
  <c r="AX161" i="1"/>
  <c r="AW161" i="1"/>
  <c r="AU161" i="1"/>
  <c r="AT161" i="1"/>
  <c r="AS161" i="1"/>
  <c r="BK160" i="1"/>
  <c r="BJ160" i="1"/>
  <c r="BI160" i="1"/>
  <c r="BH160" i="1"/>
  <c r="BG160" i="1"/>
  <c r="BE160" i="1"/>
  <c r="BD160" i="1"/>
  <c r="BC160" i="1"/>
  <c r="BB160" i="1"/>
  <c r="AZ160" i="1"/>
  <c r="AY160" i="1"/>
  <c r="AX160" i="1"/>
  <c r="AW160" i="1"/>
  <c r="AU160" i="1"/>
  <c r="AT160" i="1"/>
  <c r="AS160" i="1"/>
  <c r="BK159" i="1"/>
  <c r="BJ159" i="1"/>
  <c r="BI159" i="1"/>
  <c r="BH159" i="1"/>
  <c r="BG159" i="1"/>
  <c r="BE159" i="1"/>
  <c r="BD159" i="1"/>
  <c r="BC159" i="1"/>
  <c r="BB159" i="1"/>
  <c r="AZ159" i="1"/>
  <c r="AY159" i="1"/>
  <c r="AX159" i="1"/>
  <c r="AW159" i="1"/>
  <c r="AU159" i="1"/>
  <c r="AT159" i="1"/>
  <c r="AS159" i="1"/>
  <c r="BK158" i="1"/>
  <c r="BJ158" i="1"/>
  <c r="BI158" i="1"/>
  <c r="BH158" i="1"/>
  <c r="BG158" i="1"/>
  <c r="BE158" i="1"/>
  <c r="BD158" i="1"/>
  <c r="BC158" i="1"/>
  <c r="BB158" i="1"/>
  <c r="AZ158" i="1"/>
  <c r="AY158" i="1"/>
  <c r="AX158" i="1"/>
  <c r="AW158" i="1"/>
  <c r="AU158" i="1"/>
  <c r="AT158" i="1"/>
  <c r="AS158" i="1"/>
  <c r="BK157" i="1"/>
  <c r="BJ157" i="1"/>
  <c r="BI157" i="1"/>
  <c r="BH157" i="1"/>
  <c r="BG157" i="1"/>
  <c r="BE157" i="1"/>
  <c r="BD157" i="1"/>
  <c r="BC157" i="1"/>
  <c r="BB157" i="1"/>
  <c r="AZ157" i="1"/>
  <c r="AY157" i="1"/>
  <c r="AX157" i="1"/>
  <c r="AW157" i="1"/>
  <c r="AU157" i="1"/>
  <c r="AT157" i="1"/>
  <c r="AS157" i="1"/>
  <c r="BK156" i="1"/>
  <c r="BJ156" i="1"/>
  <c r="BI156" i="1"/>
  <c r="BH156" i="1"/>
  <c r="BG156" i="1"/>
  <c r="BE156" i="1"/>
  <c r="BD156" i="1"/>
  <c r="BC156" i="1"/>
  <c r="BB156" i="1"/>
  <c r="AZ156" i="1"/>
  <c r="AY156" i="1"/>
  <c r="AX156" i="1"/>
  <c r="AW156" i="1"/>
  <c r="AU156" i="1"/>
  <c r="AT156" i="1"/>
  <c r="AS156" i="1"/>
  <c r="BK155" i="1"/>
  <c r="BJ155" i="1"/>
  <c r="BI155" i="1"/>
  <c r="BH155" i="1"/>
  <c r="BG155" i="1"/>
  <c r="BE155" i="1"/>
  <c r="BD155" i="1"/>
  <c r="BC155" i="1"/>
  <c r="BB155" i="1"/>
  <c r="AZ155" i="1"/>
  <c r="AY155" i="1"/>
  <c r="AX155" i="1"/>
  <c r="AW155" i="1"/>
  <c r="AU155" i="1"/>
  <c r="AT155" i="1"/>
  <c r="AS155" i="1"/>
  <c r="BK154" i="1"/>
  <c r="BJ154" i="1"/>
  <c r="BI154" i="1"/>
  <c r="BH154" i="1"/>
  <c r="BG154" i="1"/>
  <c r="BE154" i="1"/>
  <c r="BD154" i="1"/>
  <c r="BC154" i="1"/>
  <c r="BB154" i="1"/>
  <c r="AZ154" i="1"/>
  <c r="AY154" i="1"/>
  <c r="AX154" i="1"/>
  <c r="AW154" i="1"/>
  <c r="AU154" i="1"/>
  <c r="AT154" i="1"/>
  <c r="AS154" i="1"/>
  <c r="BK153" i="1"/>
  <c r="BJ153" i="1"/>
  <c r="BI153" i="1"/>
  <c r="BH153" i="1"/>
  <c r="BG153" i="1"/>
  <c r="BE153" i="1"/>
  <c r="BD153" i="1"/>
  <c r="BC153" i="1"/>
  <c r="BB153" i="1"/>
  <c r="AZ153" i="1"/>
  <c r="AY153" i="1"/>
  <c r="AX153" i="1"/>
  <c r="AW153" i="1"/>
  <c r="AU153" i="1"/>
  <c r="AT153" i="1"/>
  <c r="AS153" i="1"/>
  <c r="BK152" i="1"/>
  <c r="BJ152" i="1"/>
  <c r="BI152" i="1"/>
  <c r="BH152" i="1"/>
  <c r="BG152" i="1"/>
  <c r="BE152" i="1"/>
  <c r="BD152" i="1"/>
  <c r="BC152" i="1"/>
  <c r="BB152" i="1"/>
  <c r="AZ152" i="1"/>
  <c r="AY152" i="1"/>
  <c r="AX152" i="1"/>
  <c r="AW152" i="1"/>
  <c r="AU152" i="1"/>
  <c r="AT152" i="1"/>
  <c r="AS152" i="1"/>
  <c r="BK151" i="1"/>
  <c r="BJ151" i="1"/>
  <c r="BI151" i="1"/>
  <c r="BH151" i="1"/>
  <c r="BG151" i="1"/>
  <c r="BE151" i="1"/>
  <c r="BD151" i="1"/>
  <c r="BC151" i="1"/>
  <c r="BB151" i="1"/>
  <c r="AZ151" i="1"/>
  <c r="AY151" i="1"/>
  <c r="AX151" i="1"/>
  <c r="AW151" i="1"/>
  <c r="AU151" i="1"/>
  <c r="AT151" i="1"/>
  <c r="AS151" i="1"/>
  <c r="BK150" i="1"/>
  <c r="BJ150" i="1"/>
  <c r="BI150" i="1"/>
  <c r="BH150" i="1"/>
  <c r="BG150" i="1"/>
  <c r="BE150" i="1"/>
  <c r="BD150" i="1"/>
  <c r="BC150" i="1"/>
  <c r="BB150" i="1"/>
  <c r="AZ150" i="1"/>
  <c r="AY150" i="1"/>
  <c r="AX150" i="1"/>
  <c r="AW150" i="1"/>
  <c r="AU150" i="1"/>
  <c r="AT150" i="1"/>
  <c r="AS150" i="1"/>
  <c r="BK149" i="1"/>
  <c r="BJ149" i="1"/>
  <c r="BI149" i="1"/>
  <c r="BH149" i="1"/>
  <c r="BG149" i="1"/>
  <c r="BE149" i="1"/>
  <c r="BD149" i="1"/>
  <c r="BC149" i="1"/>
  <c r="BB149" i="1"/>
  <c r="AZ149" i="1"/>
  <c r="AY149" i="1"/>
  <c r="AX149" i="1"/>
  <c r="AW149" i="1"/>
  <c r="AU149" i="1"/>
  <c r="AT149" i="1"/>
  <c r="AS149" i="1"/>
  <c r="BK148" i="1"/>
  <c r="BJ148" i="1"/>
  <c r="BI148" i="1"/>
  <c r="BH148" i="1"/>
  <c r="BG148" i="1"/>
  <c r="BE148" i="1"/>
  <c r="BD148" i="1"/>
  <c r="BC148" i="1"/>
  <c r="BB148" i="1"/>
  <c r="AZ148" i="1"/>
  <c r="AY148" i="1"/>
  <c r="AX148" i="1"/>
  <c r="AW148" i="1"/>
  <c r="AU148" i="1"/>
  <c r="AT148" i="1"/>
  <c r="AS148" i="1"/>
  <c r="BK147" i="1"/>
  <c r="BJ147" i="1"/>
  <c r="BI147" i="1"/>
  <c r="BH147" i="1"/>
  <c r="BG147" i="1"/>
  <c r="BE147" i="1"/>
  <c r="BD147" i="1"/>
  <c r="BC147" i="1"/>
  <c r="BB147" i="1"/>
  <c r="AZ147" i="1"/>
  <c r="AY147" i="1"/>
  <c r="AX147" i="1"/>
  <c r="AW147" i="1"/>
  <c r="AU147" i="1"/>
  <c r="AT147" i="1"/>
  <c r="AS147" i="1"/>
  <c r="BK146" i="1"/>
  <c r="BJ146" i="1"/>
  <c r="BI146" i="1"/>
  <c r="BH146" i="1"/>
  <c r="BG146" i="1"/>
  <c r="BE146" i="1"/>
  <c r="BD146" i="1"/>
  <c r="BC146" i="1"/>
  <c r="BB146" i="1"/>
  <c r="AZ146" i="1"/>
  <c r="AY146" i="1"/>
  <c r="AX146" i="1"/>
  <c r="AW146" i="1"/>
  <c r="AU146" i="1"/>
  <c r="AT146" i="1"/>
  <c r="AS146" i="1"/>
  <c r="BK145" i="1"/>
  <c r="BJ145" i="1"/>
  <c r="BI145" i="1"/>
  <c r="BH145" i="1"/>
  <c r="BG145" i="1"/>
  <c r="BE145" i="1"/>
  <c r="BD145" i="1"/>
  <c r="BC145" i="1"/>
  <c r="BB145" i="1"/>
  <c r="AZ145" i="1"/>
  <c r="AY145" i="1"/>
  <c r="AX145" i="1"/>
  <c r="AW145" i="1"/>
  <c r="AU145" i="1"/>
  <c r="AT145" i="1"/>
  <c r="AS145" i="1"/>
  <c r="BK144" i="1"/>
  <c r="BJ144" i="1"/>
  <c r="BI144" i="1"/>
  <c r="BH144" i="1"/>
  <c r="BG144" i="1"/>
  <c r="BE144" i="1"/>
  <c r="BD144" i="1"/>
  <c r="BC144" i="1"/>
  <c r="BB144" i="1"/>
  <c r="AZ144" i="1"/>
  <c r="AY144" i="1"/>
  <c r="AX144" i="1"/>
  <c r="AW144" i="1"/>
  <c r="AU144" i="1"/>
  <c r="AT144" i="1"/>
  <c r="AS144" i="1"/>
  <c r="BK143" i="1"/>
  <c r="BJ143" i="1"/>
  <c r="BI143" i="1"/>
  <c r="BH143" i="1"/>
  <c r="BG143" i="1"/>
  <c r="BE143" i="1"/>
  <c r="BD143" i="1"/>
  <c r="BC143" i="1"/>
  <c r="BB143" i="1"/>
  <c r="AZ143" i="1"/>
  <c r="AY143" i="1"/>
  <c r="AX143" i="1"/>
  <c r="AW143" i="1"/>
  <c r="AU143" i="1"/>
  <c r="AT143" i="1"/>
  <c r="AS143" i="1"/>
  <c r="BK142" i="1"/>
  <c r="BJ142" i="1"/>
  <c r="BI142" i="1"/>
  <c r="BH142" i="1"/>
  <c r="BG142" i="1"/>
  <c r="BE142" i="1"/>
  <c r="BD142" i="1"/>
  <c r="BC142" i="1"/>
  <c r="BB142" i="1"/>
  <c r="AZ142" i="1"/>
  <c r="AY142" i="1"/>
  <c r="AX142" i="1"/>
  <c r="AW142" i="1"/>
  <c r="AU142" i="1"/>
  <c r="AT142" i="1"/>
  <c r="AS142" i="1"/>
  <c r="BK141" i="1"/>
  <c r="BJ141" i="1"/>
  <c r="BI141" i="1"/>
  <c r="BH141" i="1"/>
  <c r="BG141" i="1"/>
  <c r="BE141" i="1"/>
  <c r="BD141" i="1"/>
  <c r="BC141" i="1"/>
  <c r="BB141" i="1"/>
  <c r="AZ141" i="1"/>
  <c r="AY141" i="1"/>
  <c r="AX141" i="1"/>
  <c r="AW141" i="1"/>
  <c r="AU141" i="1"/>
  <c r="AT141" i="1"/>
  <c r="AS141" i="1"/>
  <c r="BK140" i="1"/>
  <c r="BJ140" i="1"/>
  <c r="BI140" i="1"/>
  <c r="BH140" i="1"/>
  <c r="BG140" i="1"/>
  <c r="BE140" i="1"/>
  <c r="BD140" i="1"/>
  <c r="BC140" i="1"/>
  <c r="BB140" i="1"/>
  <c r="AZ140" i="1"/>
  <c r="AY140" i="1"/>
  <c r="AX140" i="1"/>
  <c r="AW140" i="1"/>
  <c r="AU140" i="1"/>
  <c r="AT140" i="1"/>
  <c r="AS140" i="1"/>
  <c r="BK139" i="1"/>
  <c r="BJ139" i="1"/>
  <c r="BI139" i="1"/>
  <c r="BH139" i="1"/>
  <c r="BG139" i="1"/>
  <c r="BE139" i="1"/>
  <c r="BD139" i="1"/>
  <c r="BC139" i="1"/>
  <c r="BB139" i="1"/>
  <c r="AZ139" i="1"/>
  <c r="AY139" i="1"/>
  <c r="AX139" i="1"/>
  <c r="AW139" i="1"/>
  <c r="AU139" i="1"/>
  <c r="AT139" i="1"/>
  <c r="AS139" i="1"/>
  <c r="BK138" i="1"/>
  <c r="BJ138" i="1"/>
  <c r="BI138" i="1"/>
  <c r="BH138" i="1"/>
  <c r="BG138" i="1"/>
  <c r="BE138" i="1"/>
  <c r="BD138" i="1"/>
  <c r="BC138" i="1"/>
  <c r="BB138" i="1"/>
  <c r="AZ138" i="1"/>
  <c r="AY138" i="1"/>
  <c r="AX138" i="1"/>
  <c r="AW138" i="1"/>
  <c r="AU138" i="1"/>
  <c r="AT138" i="1"/>
  <c r="AS138" i="1"/>
  <c r="BK137" i="1"/>
  <c r="BJ137" i="1"/>
  <c r="BI137" i="1"/>
  <c r="BH137" i="1"/>
  <c r="BG137" i="1"/>
  <c r="BE137" i="1"/>
  <c r="BD137" i="1"/>
  <c r="BC137" i="1"/>
  <c r="BB137" i="1"/>
  <c r="AZ137" i="1"/>
  <c r="AY137" i="1"/>
  <c r="AX137" i="1"/>
  <c r="AW137" i="1"/>
  <c r="AU137" i="1"/>
  <c r="AT137" i="1"/>
  <c r="AS137" i="1"/>
  <c r="BK136" i="1"/>
  <c r="BJ136" i="1"/>
  <c r="BI136" i="1"/>
  <c r="BH136" i="1"/>
  <c r="BG136" i="1"/>
  <c r="BE136" i="1"/>
  <c r="BD136" i="1"/>
  <c r="BC136" i="1"/>
  <c r="BB136" i="1"/>
  <c r="AZ136" i="1"/>
  <c r="AY136" i="1"/>
  <c r="AX136" i="1"/>
  <c r="AW136" i="1"/>
  <c r="AU136" i="1"/>
  <c r="AT136" i="1"/>
  <c r="AS136" i="1"/>
  <c r="BK135" i="1"/>
  <c r="BJ135" i="1"/>
  <c r="BI135" i="1"/>
  <c r="BH135" i="1"/>
  <c r="BG135" i="1"/>
  <c r="BE135" i="1"/>
  <c r="BD135" i="1"/>
  <c r="BC135" i="1"/>
  <c r="BB135" i="1"/>
  <c r="AZ135" i="1"/>
  <c r="AY135" i="1"/>
  <c r="AX135" i="1"/>
  <c r="AW135" i="1"/>
  <c r="AU135" i="1"/>
  <c r="AT135" i="1"/>
  <c r="AS135" i="1"/>
  <c r="BK134" i="1"/>
  <c r="BJ134" i="1"/>
  <c r="BI134" i="1"/>
  <c r="BH134" i="1"/>
  <c r="BG134" i="1"/>
  <c r="BE134" i="1"/>
  <c r="BD134" i="1"/>
  <c r="BC134" i="1"/>
  <c r="BB134" i="1"/>
  <c r="AZ134" i="1"/>
  <c r="AY134" i="1"/>
  <c r="AX134" i="1"/>
  <c r="AW134" i="1"/>
  <c r="AU134" i="1"/>
  <c r="AT134" i="1"/>
  <c r="AS134" i="1"/>
  <c r="BK133" i="1"/>
  <c r="BJ133" i="1"/>
  <c r="BI133" i="1"/>
  <c r="BH133" i="1"/>
  <c r="BG133" i="1"/>
  <c r="BE133" i="1"/>
  <c r="BD133" i="1"/>
  <c r="BC133" i="1"/>
  <c r="BB133" i="1"/>
  <c r="AZ133" i="1"/>
  <c r="AY133" i="1"/>
  <c r="AX133" i="1"/>
  <c r="AW133" i="1"/>
  <c r="AU133" i="1"/>
  <c r="AT133" i="1"/>
  <c r="AS133" i="1"/>
  <c r="BK132" i="1"/>
  <c r="BJ132" i="1"/>
  <c r="BI132" i="1"/>
  <c r="BH132" i="1"/>
  <c r="BG132" i="1"/>
  <c r="BE132" i="1"/>
  <c r="BD132" i="1"/>
  <c r="BC132" i="1"/>
  <c r="BB132" i="1"/>
  <c r="AZ132" i="1"/>
  <c r="AY132" i="1"/>
  <c r="AX132" i="1"/>
  <c r="AW132" i="1"/>
  <c r="AU132" i="1"/>
  <c r="AT132" i="1"/>
  <c r="AS132" i="1"/>
  <c r="BK131" i="1"/>
  <c r="BJ131" i="1"/>
  <c r="BI131" i="1"/>
  <c r="BH131" i="1"/>
  <c r="BG131" i="1"/>
  <c r="BE131" i="1"/>
  <c r="BD131" i="1"/>
  <c r="BC131" i="1"/>
  <c r="BB131" i="1"/>
  <c r="AZ131" i="1"/>
  <c r="AY131" i="1"/>
  <c r="AX131" i="1"/>
  <c r="AW131" i="1"/>
  <c r="AU131" i="1"/>
  <c r="AT131" i="1"/>
  <c r="AS131" i="1"/>
  <c r="BK130" i="1"/>
  <c r="BJ130" i="1"/>
  <c r="BI130" i="1"/>
  <c r="BH130" i="1"/>
  <c r="BG130" i="1"/>
  <c r="BE130" i="1"/>
  <c r="BD130" i="1"/>
  <c r="BC130" i="1"/>
  <c r="BB130" i="1"/>
  <c r="AZ130" i="1"/>
  <c r="AY130" i="1"/>
  <c r="AX130" i="1"/>
  <c r="AW130" i="1"/>
  <c r="AU130" i="1"/>
  <c r="AT130" i="1"/>
  <c r="AS130" i="1"/>
  <c r="BK129" i="1"/>
  <c r="BJ129" i="1"/>
  <c r="BI129" i="1"/>
  <c r="BH129" i="1"/>
  <c r="BG129" i="1"/>
  <c r="BE129" i="1"/>
  <c r="BD129" i="1"/>
  <c r="BC129" i="1"/>
  <c r="BB129" i="1"/>
  <c r="AZ129" i="1"/>
  <c r="AY129" i="1"/>
  <c r="AX129" i="1"/>
  <c r="AW129" i="1"/>
  <c r="AU129" i="1"/>
  <c r="AT129" i="1"/>
  <c r="AS129" i="1"/>
  <c r="BK128" i="1"/>
  <c r="BJ128" i="1"/>
  <c r="BI128" i="1"/>
  <c r="BH128" i="1"/>
  <c r="BG128" i="1"/>
  <c r="BE128" i="1"/>
  <c r="BD128" i="1"/>
  <c r="BC128" i="1"/>
  <c r="BB128" i="1"/>
  <c r="AZ128" i="1"/>
  <c r="AY128" i="1"/>
  <c r="AX128" i="1"/>
  <c r="AW128" i="1"/>
  <c r="AU128" i="1"/>
  <c r="AT128" i="1"/>
  <c r="AS128" i="1"/>
  <c r="BK127" i="1"/>
  <c r="BJ127" i="1"/>
  <c r="BI127" i="1"/>
  <c r="BH127" i="1"/>
  <c r="BG127" i="1"/>
  <c r="BE127" i="1"/>
  <c r="BD127" i="1"/>
  <c r="BC127" i="1"/>
  <c r="BB127" i="1"/>
  <c r="AZ127" i="1"/>
  <c r="AY127" i="1"/>
  <c r="AX127" i="1"/>
  <c r="AW127" i="1"/>
  <c r="AU127" i="1"/>
  <c r="AT127" i="1"/>
  <c r="AS127" i="1"/>
  <c r="BK126" i="1"/>
  <c r="BJ126" i="1"/>
  <c r="BI126" i="1"/>
  <c r="BH126" i="1"/>
  <c r="BG126" i="1"/>
  <c r="BE126" i="1"/>
  <c r="BD126" i="1"/>
  <c r="BC126" i="1"/>
  <c r="BB126" i="1"/>
  <c r="AZ126" i="1"/>
  <c r="AY126" i="1"/>
  <c r="AX126" i="1"/>
  <c r="AW126" i="1"/>
  <c r="AU126" i="1"/>
  <c r="AT126" i="1"/>
  <c r="AS126" i="1"/>
  <c r="BK125" i="1"/>
  <c r="BJ125" i="1"/>
  <c r="BI125" i="1"/>
  <c r="BH125" i="1"/>
  <c r="BG125" i="1"/>
  <c r="BE125" i="1"/>
  <c r="BD125" i="1"/>
  <c r="BC125" i="1"/>
  <c r="BB125" i="1"/>
  <c r="AZ125" i="1"/>
  <c r="AY125" i="1"/>
  <c r="AX125" i="1"/>
  <c r="AW125" i="1"/>
  <c r="AU125" i="1"/>
  <c r="AT125" i="1"/>
  <c r="AS125" i="1"/>
  <c r="BK124" i="1"/>
  <c r="BJ124" i="1"/>
  <c r="BI124" i="1"/>
  <c r="BH124" i="1"/>
  <c r="BG124" i="1"/>
  <c r="BE124" i="1"/>
  <c r="BD124" i="1"/>
  <c r="BC124" i="1"/>
  <c r="BB124" i="1"/>
  <c r="AZ124" i="1"/>
  <c r="AY124" i="1"/>
  <c r="AX124" i="1"/>
  <c r="AW124" i="1"/>
  <c r="AU124" i="1"/>
  <c r="AT124" i="1"/>
  <c r="AS124" i="1"/>
  <c r="BK123" i="1"/>
  <c r="BJ123" i="1"/>
  <c r="BI123" i="1"/>
  <c r="BH123" i="1"/>
  <c r="BG123" i="1"/>
  <c r="BE123" i="1"/>
  <c r="BD123" i="1"/>
  <c r="BC123" i="1"/>
  <c r="BB123" i="1"/>
  <c r="AZ123" i="1"/>
  <c r="AY123" i="1"/>
  <c r="AX123" i="1"/>
  <c r="AW123" i="1"/>
  <c r="AU123" i="1"/>
  <c r="AT123" i="1"/>
  <c r="AS123" i="1"/>
  <c r="BK122" i="1"/>
  <c r="BJ122" i="1"/>
  <c r="BI122" i="1"/>
  <c r="BH122" i="1"/>
  <c r="BG122" i="1"/>
  <c r="BE122" i="1"/>
  <c r="BD122" i="1"/>
  <c r="BC122" i="1"/>
  <c r="BB122" i="1"/>
  <c r="AZ122" i="1"/>
  <c r="AY122" i="1"/>
  <c r="AX122" i="1"/>
  <c r="AW122" i="1"/>
  <c r="AU122" i="1"/>
  <c r="AT122" i="1"/>
  <c r="AS122" i="1"/>
  <c r="BK121" i="1"/>
  <c r="BJ121" i="1"/>
  <c r="BI121" i="1"/>
  <c r="BH121" i="1"/>
  <c r="BG121" i="1"/>
  <c r="BE121" i="1"/>
  <c r="BD121" i="1"/>
  <c r="BC121" i="1"/>
  <c r="BB121" i="1"/>
  <c r="AZ121" i="1"/>
  <c r="AY121" i="1"/>
  <c r="AX121" i="1"/>
  <c r="AW121" i="1"/>
  <c r="AU121" i="1"/>
  <c r="AT121" i="1"/>
  <c r="AS121" i="1"/>
  <c r="BK120" i="1"/>
  <c r="BJ120" i="1"/>
  <c r="BI120" i="1"/>
  <c r="BH120" i="1"/>
  <c r="BG120" i="1"/>
  <c r="BE120" i="1"/>
  <c r="BD120" i="1"/>
  <c r="BC120" i="1"/>
  <c r="BB120" i="1"/>
  <c r="AZ120" i="1"/>
  <c r="AY120" i="1"/>
  <c r="AX120" i="1"/>
  <c r="AW120" i="1"/>
  <c r="AU120" i="1"/>
  <c r="AT120" i="1"/>
  <c r="AS120" i="1"/>
  <c r="BK119" i="1"/>
  <c r="BJ119" i="1"/>
  <c r="BI119" i="1"/>
  <c r="BH119" i="1"/>
  <c r="BG119" i="1"/>
  <c r="BE119" i="1"/>
  <c r="BD119" i="1"/>
  <c r="BC119" i="1"/>
  <c r="BB119" i="1"/>
  <c r="AZ119" i="1"/>
  <c r="AY119" i="1"/>
  <c r="AX119" i="1"/>
  <c r="AW119" i="1"/>
  <c r="AU119" i="1"/>
  <c r="AT119" i="1"/>
  <c r="AS119" i="1"/>
  <c r="BK118" i="1"/>
  <c r="BJ118" i="1"/>
  <c r="BI118" i="1"/>
  <c r="BH118" i="1"/>
  <c r="BG118" i="1"/>
  <c r="BE118" i="1"/>
  <c r="BD118" i="1"/>
  <c r="BC118" i="1"/>
  <c r="BB118" i="1"/>
  <c r="AZ118" i="1"/>
  <c r="AY118" i="1"/>
  <c r="AX118" i="1"/>
  <c r="AW118" i="1"/>
  <c r="AU118" i="1"/>
  <c r="AT118" i="1"/>
  <c r="AS118" i="1"/>
  <c r="BJ117" i="1"/>
  <c r="BI117" i="1"/>
  <c r="BH117" i="1"/>
  <c r="BG117" i="1"/>
  <c r="BE117" i="1"/>
  <c r="BD117" i="1"/>
  <c r="BC117" i="1"/>
  <c r="BB117" i="1"/>
  <c r="AZ117" i="1"/>
  <c r="AY117" i="1"/>
  <c r="AX117" i="1"/>
  <c r="AW117" i="1"/>
  <c r="AU117" i="1"/>
  <c r="AT117" i="1"/>
  <c r="AS117" i="1"/>
  <c r="BJ116" i="1"/>
  <c r="BI116" i="1"/>
  <c r="BH116" i="1"/>
  <c r="BG116" i="1"/>
  <c r="BE116" i="1"/>
  <c r="BD116" i="1"/>
  <c r="BC116" i="1"/>
  <c r="BB116" i="1"/>
  <c r="AZ116" i="1"/>
  <c r="AY116" i="1"/>
  <c r="AX116" i="1"/>
  <c r="AW116" i="1"/>
  <c r="AU116" i="1"/>
  <c r="AT116" i="1"/>
  <c r="AS116" i="1"/>
  <c r="BJ115" i="1"/>
  <c r="BI115" i="1"/>
  <c r="BH115" i="1"/>
  <c r="BG115" i="1"/>
  <c r="BE115" i="1"/>
  <c r="BD115" i="1"/>
  <c r="BC115" i="1"/>
  <c r="BB115" i="1"/>
  <c r="AZ115" i="1"/>
  <c r="AY115" i="1"/>
  <c r="AX115" i="1"/>
  <c r="AW115" i="1"/>
  <c r="AU115" i="1"/>
  <c r="AT115" i="1"/>
  <c r="AS115" i="1"/>
  <c r="BJ114" i="1"/>
  <c r="BI114" i="1"/>
  <c r="BH114" i="1"/>
  <c r="BG114" i="1"/>
  <c r="BE114" i="1"/>
  <c r="BD114" i="1"/>
  <c r="BC114" i="1"/>
  <c r="BB114" i="1"/>
  <c r="AZ114" i="1"/>
  <c r="AY114" i="1"/>
  <c r="AX114" i="1"/>
  <c r="AW114" i="1"/>
  <c r="AU114" i="1"/>
  <c r="AT114" i="1"/>
  <c r="AS114" i="1"/>
  <c r="BJ113" i="1"/>
  <c r="BI113" i="1"/>
  <c r="BH113" i="1"/>
  <c r="BG113" i="1"/>
  <c r="BE113" i="1"/>
  <c r="BD113" i="1"/>
  <c r="BC113" i="1"/>
  <c r="BB113" i="1"/>
  <c r="AZ113" i="1"/>
  <c r="AY113" i="1"/>
  <c r="AX113" i="1"/>
  <c r="AW113" i="1"/>
  <c r="AU113" i="1"/>
  <c r="AT113" i="1"/>
  <c r="AS113" i="1"/>
  <c r="BJ112" i="1"/>
  <c r="BI112" i="1"/>
  <c r="BH112" i="1"/>
  <c r="BG112" i="1"/>
  <c r="BE112" i="1"/>
  <c r="BD112" i="1"/>
  <c r="BC112" i="1"/>
  <c r="BB112" i="1"/>
  <c r="AZ112" i="1"/>
  <c r="AY112" i="1"/>
  <c r="AX112" i="1"/>
  <c r="AW112" i="1"/>
  <c r="AU112" i="1"/>
  <c r="AT112" i="1"/>
  <c r="AS112" i="1"/>
  <c r="BJ111" i="1"/>
  <c r="BI111" i="1"/>
  <c r="BH111" i="1"/>
  <c r="BG111" i="1"/>
  <c r="BE111" i="1"/>
  <c r="BD111" i="1"/>
  <c r="BC111" i="1"/>
  <c r="BB111" i="1"/>
  <c r="AZ111" i="1"/>
  <c r="AY111" i="1"/>
  <c r="AX111" i="1"/>
  <c r="AW111" i="1"/>
  <c r="AU111" i="1"/>
  <c r="AT111" i="1"/>
  <c r="AS111" i="1"/>
  <c r="BJ110" i="1"/>
  <c r="BI110" i="1"/>
  <c r="BH110" i="1"/>
  <c r="BG110" i="1"/>
  <c r="BE110" i="1"/>
  <c r="BD110" i="1"/>
  <c r="BC110" i="1"/>
  <c r="BB110" i="1"/>
  <c r="AZ110" i="1"/>
  <c r="AY110" i="1"/>
  <c r="AX110" i="1"/>
  <c r="AW110" i="1"/>
  <c r="AU110" i="1"/>
  <c r="AT110" i="1"/>
  <c r="AS110" i="1"/>
  <c r="BJ109" i="1"/>
  <c r="BI109" i="1"/>
  <c r="BH109" i="1"/>
  <c r="BG109" i="1"/>
  <c r="BE109" i="1"/>
  <c r="BD109" i="1"/>
  <c r="BC109" i="1"/>
  <c r="BB109" i="1"/>
  <c r="AZ109" i="1"/>
  <c r="AY109" i="1"/>
  <c r="AX109" i="1"/>
  <c r="AW109" i="1"/>
  <c r="AU109" i="1"/>
  <c r="AT109" i="1"/>
  <c r="AS109" i="1"/>
  <c r="BJ108" i="1"/>
  <c r="BI108" i="1"/>
  <c r="BH108" i="1"/>
  <c r="BG108" i="1"/>
  <c r="BE108" i="1"/>
  <c r="BD108" i="1"/>
  <c r="BC108" i="1"/>
  <c r="BB108" i="1"/>
  <c r="AZ108" i="1"/>
  <c r="AY108" i="1"/>
  <c r="AX108" i="1"/>
  <c r="AW108" i="1"/>
  <c r="AU108" i="1"/>
  <c r="AT108" i="1"/>
  <c r="AS108" i="1"/>
  <c r="BJ107" i="1"/>
  <c r="BI107" i="1"/>
  <c r="BH107" i="1"/>
  <c r="BG107" i="1"/>
  <c r="BE107" i="1"/>
  <c r="BD107" i="1"/>
  <c r="BC107" i="1"/>
  <c r="BB107" i="1"/>
  <c r="AZ107" i="1"/>
  <c r="AY107" i="1"/>
  <c r="AX107" i="1"/>
  <c r="AW107" i="1"/>
  <c r="AU107" i="1"/>
  <c r="AT107" i="1"/>
  <c r="AS107" i="1"/>
  <c r="BJ106" i="1"/>
  <c r="BI106" i="1"/>
  <c r="BH106" i="1"/>
  <c r="BG106" i="1"/>
  <c r="BE106" i="1"/>
  <c r="BD106" i="1"/>
  <c r="BC106" i="1"/>
  <c r="BB106" i="1"/>
  <c r="AZ106" i="1"/>
  <c r="AY106" i="1"/>
  <c r="AX106" i="1"/>
  <c r="AW106" i="1"/>
  <c r="AU106" i="1"/>
  <c r="AT106" i="1"/>
  <c r="AS106" i="1"/>
  <c r="BJ105" i="1"/>
  <c r="BI105" i="1"/>
  <c r="BH105" i="1"/>
  <c r="BG105" i="1"/>
  <c r="BE105" i="1"/>
  <c r="BD105" i="1"/>
  <c r="BC105" i="1"/>
  <c r="BB105" i="1"/>
  <c r="AZ105" i="1"/>
  <c r="AY105" i="1"/>
  <c r="AX105" i="1"/>
  <c r="AW105" i="1"/>
  <c r="AU105" i="1"/>
  <c r="AT105" i="1"/>
  <c r="AS105" i="1"/>
  <c r="BJ104" i="1"/>
  <c r="BI104" i="1"/>
  <c r="BH104" i="1"/>
  <c r="BG104" i="1"/>
  <c r="BE104" i="1"/>
  <c r="BD104" i="1"/>
  <c r="BC104" i="1"/>
  <c r="BB104" i="1"/>
  <c r="AZ104" i="1"/>
  <c r="AY104" i="1"/>
  <c r="AX104" i="1"/>
  <c r="AW104" i="1"/>
  <c r="AU104" i="1"/>
  <c r="AT104" i="1"/>
  <c r="AS104" i="1"/>
  <c r="BJ103" i="1"/>
  <c r="BI103" i="1"/>
  <c r="BH103" i="1"/>
  <c r="BG103" i="1"/>
  <c r="BE103" i="1"/>
  <c r="BD103" i="1"/>
  <c r="BC103" i="1"/>
  <c r="BB103" i="1"/>
  <c r="AZ103" i="1"/>
  <c r="AY103" i="1"/>
  <c r="AX103" i="1"/>
  <c r="AW103" i="1"/>
  <c r="AU103" i="1"/>
  <c r="AT103" i="1"/>
  <c r="AS103" i="1"/>
  <c r="BJ102" i="1"/>
  <c r="BI102" i="1"/>
  <c r="BH102" i="1"/>
  <c r="BG102" i="1"/>
  <c r="BE102" i="1"/>
  <c r="BD102" i="1"/>
  <c r="BC102" i="1"/>
  <c r="BB102" i="1"/>
  <c r="AZ102" i="1"/>
  <c r="AY102" i="1"/>
  <c r="AX102" i="1"/>
  <c r="AW102" i="1"/>
  <c r="AU102" i="1"/>
  <c r="AT102" i="1"/>
  <c r="AS102" i="1"/>
  <c r="BJ101" i="1"/>
  <c r="BI101" i="1"/>
  <c r="BH101" i="1"/>
  <c r="BG101" i="1"/>
  <c r="BE101" i="1"/>
  <c r="BD101" i="1"/>
  <c r="BC101" i="1"/>
  <c r="BB101" i="1"/>
  <c r="AZ101" i="1"/>
  <c r="AY101" i="1"/>
  <c r="AX101" i="1"/>
  <c r="AW101" i="1"/>
  <c r="AU101" i="1"/>
  <c r="AT101" i="1"/>
  <c r="AS101" i="1"/>
  <c r="BJ100" i="1"/>
  <c r="BI100" i="1"/>
  <c r="BH100" i="1"/>
  <c r="BG100" i="1"/>
  <c r="BE100" i="1"/>
  <c r="BD100" i="1"/>
  <c r="BC100" i="1"/>
  <c r="BB100" i="1"/>
  <c r="AZ100" i="1"/>
  <c r="AY100" i="1"/>
  <c r="AX100" i="1"/>
  <c r="AW100" i="1"/>
  <c r="AU100" i="1"/>
  <c r="AT100" i="1"/>
  <c r="AS100" i="1"/>
  <c r="BJ99" i="1"/>
  <c r="BI99" i="1"/>
  <c r="BH99" i="1"/>
  <c r="BG99" i="1"/>
  <c r="BE99" i="1"/>
  <c r="BD99" i="1"/>
  <c r="BC99" i="1"/>
  <c r="BB99" i="1"/>
  <c r="AZ99" i="1"/>
  <c r="AY99" i="1"/>
  <c r="AX99" i="1"/>
  <c r="AW99" i="1"/>
  <c r="AU99" i="1"/>
  <c r="AT99" i="1"/>
  <c r="AS99" i="1"/>
  <c r="BJ98" i="1"/>
  <c r="BI98" i="1"/>
  <c r="BH98" i="1"/>
  <c r="BG98" i="1"/>
  <c r="BE98" i="1"/>
  <c r="BD98" i="1"/>
  <c r="BC98" i="1"/>
  <c r="BB98" i="1"/>
  <c r="AZ98" i="1"/>
  <c r="AY98" i="1"/>
  <c r="AX98" i="1"/>
  <c r="AW98" i="1"/>
  <c r="AU98" i="1"/>
  <c r="AT98" i="1"/>
  <c r="AS98" i="1"/>
  <c r="BJ97" i="1"/>
  <c r="BI97" i="1"/>
  <c r="BH97" i="1"/>
  <c r="BG97" i="1"/>
  <c r="BE97" i="1"/>
  <c r="BD97" i="1"/>
  <c r="BC97" i="1"/>
  <c r="BB97" i="1"/>
  <c r="AZ97" i="1"/>
  <c r="AY97" i="1"/>
  <c r="AX97" i="1"/>
  <c r="AW97" i="1"/>
  <c r="AU97" i="1"/>
  <c r="AT97" i="1"/>
  <c r="AS97" i="1"/>
  <c r="BJ96" i="1"/>
  <c r="BI96" i="1"/>
  <c r="BH96" i="1"/>
  <c r="BG96" i="1"/>
  <c r="BE96" i="1"/>
  <c r="BD96" i="1"/>
  <c r="BC96" i="1"/>
  <c r="BB96" i="1"/>
  <c r="AZ96" i="1"/>
  <c r="AY96" i="1"/>
  <c r="AX96" i="1"/>
  <c r="AW96" i="1"/>
  <c r="AU96" i="1"/>
  <c r="AT96" i="1"/>
  <c r="AS96" i="1"/>
  <c r="BJ95" i="1"/>
  <c r="BI95" i="1"/>
  <c r="BH95" i="1"/>
  <c r="BG95" i="1"/>
  <c r="BE95" i="1"/>
  <c r="BD95" i="1"/>
  <c r="BC95" i="1"/>
  <c r="BB95" i="1"/>
  <c r="AZ95" i="1"/>
  <c r="AY95" i="1"/>
  <c r="AX95" i="1"/>
  <c r="AW95" i="1"/>
  <c r="AU95" i="1"/>
  <c r="AT95" i="1"/>
  <c r="AS95" i="1"/>
  <c r="BJ94" i="1"/>
  <c r="BI94" i="1"/>
  <c r="BH94" i="1"/>
  <c r="BG94" i="1"/>
  <c r="BE94" i="1"/>
  <c r="BD94" i="1"/>
  <c r="BC94" i="1"/>
  <c r="BB94" i="1"/>
  <c r="AZ94" i="1"/>
  <c r="AY94" i="1"/>
  <c r="AX94" i="1"/>
  <c r="AW94" i="1"/>
  <c r="AU94" i="1"/>
  <c r="AT94" i="1"/>
  <c r="AS94" i="1"/>
  <c r="BJ93" i="1"/>
  <c r="BI93" i="1"/>
  <c r="BH93" i="1"/>
  <c r="BG93" i="1"/>
  <c r="BE93" i="1"/>
  <c r="BD93" i="1"/>
  <c r="BC93" i="1"/>
  <c r="BB93" i="1"/>
  <c r="AZ93" i="1"/>
  <c r="AY93" i="1"/>
  <c r="AX93" i="1"/>
  <c r="AW93" i="1"/>
  <c r="AU93" i="1"/>
  <c r="AT93" i="1"/>
  <c r="AS93" i="1"/>
  <c r="BJ92" i="1"/>
  <c r="BI92" i="1"/>
  <c r="BH92" i="1"/>
  <c r="BG92" i="1"/>
  <c r="BE92" i="1"/>
  <c r="BD92" i="1"/>
  <c r="BC92" i="1"/>
  <c r="BB92" i="1"/>
  <c r="AZ92" i="1"/>
  <c r="AY92" i="1"/>
  <c r="AX92" i="1"/>
  <c r="AW92" i="1"/>
  <c r="AU92" i="1"/>
  <c r="AT92" i="1"/>
  <c r="AS92" i="1"/>
  <c r="BJ91" i="1"/>
  <c r="BI91" i="1"/>
  <c r="BH91" i="1"/>
  <c r="BG91" i="1"/>
  <c r="BE91" i="1"/>
  <c r="BD91" i="1"/>
  <c r="BC91" i="1"/>
  <c r="BB91" i="1"/>
  <c r="AZ91" i="1"/>
  <c r="AY91" i="1"/>
  <c r="AX91" i="1"/>
  <c r="AW91" i="1"/>
  <c r="AU91" i="1"/>
  <c r="AT91" i="1"/>
  <c r="AS91" i="1"/>
  <c r="BJ90" i="1"/>
  <c r="BI90" i="1"/>
  <c r="BH90" i="1"/>
  <c r="BG90" i="1"/>
  <c r="BE90" i="1"/>
  <c r="BD90" i="1"/>
  <c r="BC90" i="1"/>
  <c r="BB90" i="1"/>
  <c r="AZ90" i="1"/>
  <c r="AY90" i="1"/>
  <c r="AX90" i="1"/>
  <c r="AW90" i="1"/>
  <c r="AU90" i="1"/>
  <c r="AT90" i="1"/>
  <c r="AS90" i="1"/>
  <c r="BJ89" i="1"/>
  <c r="BI89" i="1"/>
  <c r="BH89" i="1"/>
  <c r="BG89" i="1"/>
  <c r="BE89" i="1"/>
  <c r="BD89" i="1"/>
  <c r="BC89" i="1"/>
  <c r="BB89" i="1"/>
  <c r="AZ89" i="1"/>
  <c r="AY89" i="1"/>
  <c r="AX89" i="1"/>
  <c r="AW89" i="1"/>
  <c r="AU89" i="1"/>
  <c r="AT89" i="1"/>
  <c r="AS89" i="1"/>
  <c r="BJ88" i="1"/>
  <c r="BI88" i="1"/>
  <c r="BH88" i="1"/>
  <c r="BG88" i="1"/>
  <c r="BE88" i="1"/>
  <c r="BD88" i="1"/>
  <c r="BC88" i="1"/>
  <c r="BB88" i="1"/>
  <c r="AZ88" i="1"/>
  <c r="AY88" i="1"/>
  <c r="AX88" i="1"/>
  <c r="AW88" i="1"/>
  <c r="AU88" i="1"/>
  <c r="AT88" i="1"/>
  <c r="AS88" i="1"/>
  <c r="BJ87" i="1"/>
  <c r="BI87" i="1"/>
  <c r="BH87" i="1"/>
  <c r="BG87" i="1"/>
  <c r="BE87" i="1"/>
  <c r="BD87" i="1"/>
  <c r="BC87" i="1"/>
  <c r="BB87" i="1"/>
  <c r="AZ87" i="1"/>
  <c r="AY87" i="1"/>
  <c r="AX87" i="1"/>
  <c r="AW87" i="1"/>
  <c r="AU87" i="1"/>
  <c r="AT87" i="1"/>
  <c r="AS87" i="1"/>
  <c r="BJ86" i="1"/>
  <c r="BI86" i="1"/>
  <c r="BH86" i="1"/>
  <c r="BG86" i="1"/>
  <c r="BE86" i="1"/>
  <c r="BD86" i="1"/>
  <c r="BC86" i="1"/>
  <c r="BB86" i="1"/>
  <c r="AZ86" i="1"/>
  <c r="AY86" i="1"/>
  <c r="AX86" i="1"/>
  <c r="AW86" i="1"/>
  <c r="AU86" i="1"/>
  <c r="AT86" i="1"/>
  <c r="AS86" i="1"/>
  <c r="BJ85" i="1"/>
  <c r="BI85" i="1"/>
  <c r="BH85" i="1"/>
  <c r="BG85" i="1"/>
  <c r="BE85" i="1"/>
  <c r="BD85" i="1"/>
  <c r="BC85" i="1"/>
  <c r="BB85" i="1"/>
  <c r="AZ85" i="1"/>
  <c r="AY85" i="1"/>
  <c r="AX85" i="1"/>
  <c r="AW85" i="1"/>
  <c r="AU85" i="1"/>
  <c r="AT85" i="1"/>
  <c r="AS85" i="1"/>
  <c r="BJ84" i="1"/>
  <c r="BI84" i="1"/>
  <c r="BH84" i="1"/>
  <c r="BG84" i="1"/>
  <c r="BE84" i="1"/>
  <c r="BD84" i="1"/>
  <c r="BC84" i="1"/>
  <c r="BB84" i="1"/>
  <c r="AZ84" i="1"/>
  <c r="AY84" i="1"/>
  <c r="AX84" i="1"/>
  <c r="AW84" i="1"/>
  <c r="AU84" i="1"/>
  <c r="AT84" i="1"/>
  <c r="AS84" i="1"/>
  <c r="BJ83" i="1"/>
  <c r="BI83" i="1"/>
  <c r="BH83" i="1"/>
  <c r="BG83" i="1"/>
  <c r="BE83" i="1"/>
  <c r="BD83" i="1"/>
  <c r="BC83" i="1"/>
  <c r="BB83" i="1"/>
  <c r="AZ83" i="1"/>
  <c r="AY83" i="1"/>
  <c r="AX83" i="1"/>
  <c r="AW83" i="1"/>
  <c r="AU83" i="1"/>
  <c r="AT83" i="1"/>
  <c r="AS83" i="1"/>
  <c r="BJ82" i="1"/>
  <c r="BI82" i="1"/>
  <c r="BH82" i="1"/>
  <c r="BG82" i="1"/>
  <c r="BE82" i="1"/>
  <c r="BD82" i="1"/>
  <c r="BC82" i="1"/>
  <c r="BB82" i="1"/>
  <c r="AZ82" i="1"/>
  <c r="AY82" i="1"/>
  <c r="AX82" i="1"/>
  <c r="AW82" i="1"/>
  <c r="AU82" i="1"/>
  <c r="AT82" i="1"/>
  <c r="AS82" i="1"/>
  <c r="BJ81" i="1"/>
  <c r="BI81" i="1"/>
  <c r="BH81" i="1"/>
  <c r="BG81" i="1"/>
  <c r="BE81" i="1"/>
  <c r="BD81" i="1"/>
  <c r="BC81" i="1"/>
  <c r="BB81" i="1"/>
  <c r="AZ81" i="1"/>
  <c r="AY81" i="1"/>
  <c r="AX81" i="1"/>
  <c r="AW81" i="1"/>
  <c r="AU81" i="1"/>
  <c r="AT81" i="1"/>
  <c r="AS81" i="1"/>
  <c r="BJ80" i="1"/>
  <c r="BI80" i="1"/>
  <c r="BH80" i="1"/>
  <c r="BG80" i="1"/>
  <c r="BE80" i="1"/>
  <c r="BD80" i="1"/>
  <c r="BC80" i="1"/>
  <c r="BB80" i="1"/>
  <c r="AZ80" i="1"/>
  <c r="AY80" i="1"/>
  <c r="AX80" i="1"/>
  <c r="AW80" i="1"/>
  <c r="AU80" i="1"/>
  <c r="AT80" i="1"/>
  <c r="AS80" i="1"/>
  <c r="BJ79" i="1"/>
  <c r="BI79" i="1"/>
  <c r="BH79" i="1"/>
  <c r="BG79" i="1"/>
  <c r="BE79" i="1"/>
  <c r="BD79" i="1"/>
  <c r="BC79" i="1"/>
  <c r="BB79" i="1"/>
  <c r="AZ79" i="1"/>
  <c r="AY79" i="1"/>
  <c r="AX79" i="1"/>
  <c r="AW79" i="1"/>
  <c r="AU79" i="1"/>
  <c r="AT79" i="1"/>
  <c r="AS79" i="1"/>
  <c r="BJ78" i="1"/>
  <c r="BI78" i="1"/>
  <c r="BH78" i="1"/>
  <c r="BG78" i="1"/>
  <c r="BE78" i="1"/>
  <c r="BD78" i="1"/>
  <c r="BC78" i="1"/>
  <c r="BB78" i="1"/>
  <c r="AZ78" i="1"/>
  <c r="AY78" i="1"/>
  <c r="AX78" i="1"/>
  <c r="AW78" i="1"/>
  <c r="AU78" i="1"/>
  <c r="AT78" i="1"/>
  <c r="AS78" i="1"/>
  <c r="BJ77" i="1"/>
  <c r="BI77" i="1"/>
  <c r="BH77" i="1"/>
  <c r="BG77" i="1"/>
  <c r="BE77" i="1"/>
  <c r="BD77" i="1"/>
  <c r="BC77" i="1"/>
  <c r="BB77" i="1"/>
  <c r="AZ77" i="1"/>
  <c r="AY77" i="1"/>
  <c r="AX77" i="1"/>
  <c r="AW77" i="1"/>
  <c r="AU77" i="1"/>
  <c r="AT77" i="1"/>
  <c r="AS77" i="1"/>
  <c r="BJ76" i="1"/>
  <c r="BI76" i="1"/>
  <c r="BH76" i="1"/>
  <c r="BG76" i="1"/>
  <c r="BE76" i="1"/>
  <c r="BD76" i="1"/>
  <c r="BC76" i="1"/>
  <c r="BB76" i="1"/>
  <c r="AZ76" i="1"/>
  <c r="AY76" i="1"/>
  <c r="AX76" i="1"/>
  <c r="AW76" i="1"/>
  <c r="AU76" i="1"/>
  <c r="AT76" i="1"/>
  <c r="AS76" i="1"/>
  <c r="BJ75" i="1"/>
  <c r="BI75" i="1"/>
  <c r="BH75" i="1"/>
  <c r="BG75" i="1"/>
  <c r="BE75" i="1"/>
  <c r="BD75" i="1"/>
  <c r="BC75" i="1"/>
  <c r="BB75" i="1"/>
  <c r="AZ75" i="1"/>
  <c r="AY75" i="1"/>
  <c r="AX75" i="1"/>
  <c r="AW75" i="1"/>
  <c r="AU75" i="1"/>
  <c r="AT75" i="1"/>
  <c r="AS75" i="1"/>
  <c r="BJ74" i="1"/>
  <c r="BI74" i="1"/>
  <c r="BH74" i="1"/>
  <c r="BG74" i="1"/>
  <c r="BE74" i="1"/>
  <c r="BD74" i="1"/>
  <c r="BC74" i="1"/>
  <c r="BB74" i="1"/>
  <c r="AZ74" i="1"/>
  <c r="AY74" i="1"/>
  <c r="AX74" i="1"/>
  <c r="AW74" i="1"/>
  <c r="AU74" i="1"/>
  <c r="AT74" i="1"/>
  <c r="AS74" i="1"/>
  <c r="BJ73" i="1"/>
  <c r="BI73" i="1"/>
  <c r="BH73" i="1"/>
  <c r="BG73" i="1"/>
  <c r="BE73" i="1"/>
  <c r="BD73" i="1"/>
  <c r="BC73" i="1"/>
  <c r="BB73" i="1"/>
  <c r="AZ73" i="1"/>
  <c r="AY73" i="1"/>
  <c r="AX73" i="1"/>
  <c r="AW73" i="1"/>
  <c r="AU73" i="1"/>
  <c r="AT73" i="1"/>
  <c r="AS73" i="1"/>
  <c r="BJ72" i="1"/>
  <c r="BI72" i="1"/>
  <c r="BH72" i="1"/>
  <c r="BG72" i="1"/>
  <c r="BE72" i="1"/>
  <c r="BD72" i="1"/>
  <c r="BC72" i="1"/>
  <c r="BB72" i="1"/>
  <c r="AZ72" i="1"/>
  <c r="AY72" i="1"/>
  <c r="AX72" i="1"/>
  <c r="AW72" i="1"/>
  <c r="AU72" i="1"/>
  <c r="AT72" i="1"/>
  <c r="AS72" i="1"/>
  <c r="BJ71" i="1"/>
  <c r="BI71" i="1"/>
  <c r="BH71" i="1"/>
  <c r="BG71" i="1"/>
  <c r="BE71" i="1"/>
  <c r="BD71" i="1"/>
  <c r="BC71" i="1"/>
  <c r="BB71" i="1"/>
  <c r="AZ71" i="1"/>
  <c r="AY71" i="1"/>
  <c r="AX71" i="1"/>
  <c r="AW71" i="1"/>
  <c r="AU71" i="1"/>
  <c r="AT71" i="1"/>
  <c r="AS71" i="1"/>
  <c r="BJ70" i="1"/>
  <c r="BI70" i="1"/>
  <c r="BH70" i="1"/>
  <c r="BG70" i="1"/>
  <c r="BE70" i="1"/>
  <c r="BD70" i="1"/>
  <c r="BC70" i="1"/>
  <c r="BB70" i="1"/>
  <c r="AZ70" i="1"/>
  <c r="AY70" i="1"/>
  <c r="AX70" i="1"/>
  <c r="AW70" i="1"/>
  <c r="AU70" i="1"/>
  <c r="AT70" i="1"/>
  <c r="AS70" i="1"/>
  <c r="BJ69" i="1"/>
  <c r="BI69" i="1"/>
  <c r="BH69" i="1"/>
  <c r="BG69" i="1"/>
  <c r="BE69" i="1"/>
  <c r="BD69" i="1"/>
  <c r="BC69" i="1"/>
  <c r="BB69" i="1"/>
  <c r="AZ69" i="1"/>
  <c r="AY69" i="1"/>
  <c r="AX69" i="1"/>
  <c r="AW69" i="1"/>
  <c r="AU69" i="1"/>
  <c r="AT69" i="1"/>
  <c r="AS69" i="1"/>
  <c r="BJ68" i="1"/>
  <c r="BI68" i="1"/>
  <c r="BH68" i="1"/>
  <c r="BG68" i="1"/>
  <c r="BE68" i="1"/>
  <c r="BD68" i="1"/>
  <c r="BC68" i="1"/>
  <c r="BB68" i="1"/>
  <c r="AZ68" i="1"/>
  <c r="AY68" i="1"/>
  <c r="AX68" i="1"/>
  <c r="AW68" i="1"/>
  <c r="AU68" i="1"/>
  <c r="AT68" i="1"/>
  <c r="AS68" i="1"/>
  <c r="BJ67" i="1"/>
  <c r="BI67" i="1"/>
  <c r="BH67" i="1"/>
  <c r="BG67" i="1"/>
  <c r="BE67" i="1"/>
  <c r="BD67" i="1"/>
  <c r="BC67" i="1"/>
  <c r="BB67" i="1"/>
  <c r="AZ67" i="1"/>
  <c r="AY67" i="1"/>
  <c r="AX67" i="1"/>
  <c r="AW67" i="1"/>
  <c r="AU67" i="1"/>
  <c r="AT67" i="1"/>
  <c r="AS67" i="1"/>
  <c r="BJ66" i="1"/>
  <c r="BI66" i="1"/>
  <c r="BH66" i="1"/>
  <c r="BG66" i="1"/>
  <c r="BE66" i="1"/>
  <c r="BD66" i="1"/>
  <c r="BC66" i="1"/>
  <c r="BB66" i="1"/>
  <c r="AZ66" i="1"/>
  <c r="AY66" i="1"/>
  <c r="AX66" i="1"/>
  <c r="AW66" i="1"/>
  <c r="AU66" i="1"/>
  <c r="AT66" i="1"/>
  <c r="AS66" i="1"/>
  <c r="BJ65" i="1"/>
  <c r="BI65" i="1"/>
  <c r="BH65" i="1"/>
  <c r="BG65" i="1"/>
  <c r="BE65" i="1"/>
  <c r="BD65" i="1"/>
  <c r="BC65" i="1"/>
  <c r="BB65" i="1"/>
  <c r="AZ65" i="1"/>
  <c r="AY65" i="1"/>
  <c r="AX65" i="1"/>
  <c r="AW65" i="1"/>
  <c r="AU65" i="1"/>
  <c r="AT65" i="1"/>
  <c r="AS65" i="1"/>
  <c r="BJ64" i="1"/>
  <c r="BI64" i="1"/>
  <c r="BH64" i="1"/>
  <c r="BG64" i="1"/>
  <c r="BE64" i="1"/>
  <c r="BD64" i="1"/>
  <c r="BC64" i="1"/>
  <c r="BB64" i="1"/>
  <c r="AZ64" i="1"/>
  <c r="AY64" i="1"/>
  <c r="AX64" i="1"/>
  <c r="AW64" i="1"/>
  <c r="AU64" i="1"/>
  <c r="AT64" i="1"/>
  <c r="AS64" i="1"/>
  <c r="BJ63" i="1"/>
  <c r="BI63" i="1"/>
  <c r="BH63" i="1"/>
  <c r="BG63" i="1"/>
  <c r="BE63" i="1"/>
  <c r="BD63" i="1"/>
  <c r="BC63" i="1"/>
  <c r="BB63" i="1"/>
  <c r="AZ63" i="1"/>
  <c r="AY63" i="1"/>
  <c r="AX63" i="1"/>
  <c r="AW63" i="1"/>
  <c r="AU63" i="1"/>
  <c r="AT63" i="1"/>
  <c r="AS63" i="1"/>
  <c r="BJ62" i="1"/>
  <c r="BI62" i="1"/>
  <c r="BH62" i="1"/>
  <c r="BG62" i="1"/>
  <c r="BE62" i="1"/>
  <c r="BD62" i="1"/>
  <c r="BC62" i="1"/>
  <c r="BB62" i="1"/>
  <c r="AZ62" i="1"/>
  <c r="AY62" i="1"/>
  <c r="AX62" i="1"/>
  <c r="AW62" i="1"/>
  <c r="AU62" i="1"/>
  <c r="AT62" i="1"/>
  <c r="AS62" i="1"/>
  <c r="BJ61" i="1"/>
  <c r="BI61" i="1"/>
  <c r="BH61" i="1"/>
  <c r="BG61" i="1"/>
  <c r="BE61" i="1"/>
  <c r="BD61" i="1"/>
  <c r="BC61" i="1"/>
  <c r="BB61" i="1"/>
  <c r="AZ61" i="1"/>
  <c r="AY61" i="1"/>
  <c r="AX61" i="1"/>
  <c r="AW61" i="1"/>
  <c r="AU61" i="1"/>
  <c r="AT61" i="1"/>
  <c r="AS61" i="1"/>
  <c r="BJ60" i="1"/>
  <c r="BI60" i="1"/>
  <c r="BH60" i="1"/>
  <c r="BG60" i="1"/>
  <c r="BE60" i="1"/>
  <c r="BD60" i="1"/>
  <c r="BC60" i="1"/>
  <c r="BB60" i="1"/>
  <c r="AZ60" i="1"/>
  <c r="AY60" i="1"/>
  <c r="AX60" i="1"/>
  <c r="AW60" i="1"/>
  <c r="AU60" i="1"/>
  <c r="AT60" i="1"/>
  <c r="AS60" i="1"/>
  <c r="BJ59" i="1"/>
  <c r="BI59" i="1"/>
  <c r="BH59" i="1"/>
  <c r="BG59" i="1"/>
  <c r="BE59" i="1"/>
  <c r="BD59" i="1"/>
  <c r="BC59" i="1"/>
  <c r="BB59" i="1"/>
  <c r="AZ59" i="1"/>
  <c r="AY59" i="1"/>
  <c r="AX59" i="1"/>
  <c r="AW59" i="1"/>
  <c r="AU59" i="1"/>
  <c r="AT59" i="1"/>
  <c r="AS59" i="1"/>
  <c r="BJ58" i="1"/>
  <c r="BI58" i="1"/>
  <c r="BH58" i="1"/>
  <c r="BG58" i="1"/>
  <c r="BE58" i="1"/>
  <c r="BD58" i="1"/>
  <c r="BC58" i="1"/>
  <c r="BB58" i="1"/>
  <c r="AZ58" i="1"/>
  <c r="AY58" i="1"/>
  <c r="AX58" i="1"/>
  <c r="AW58" i="1"/>
  <c r="AU58" i="1"/>
  <c r="AT58" i="1"/>
  <c r="AS58" i="1"/>
  <c r="BJ57" i="1"/>
  <c r="BI57" i="1"/>
  <c r="BH57" i="1"/>
  <c r="BG57" i="1"/>
  <c r="BE57" i="1"/>
  <c r="BD57" i="1"/>
  <c r="BC57" i="1"/>
  <c r="BB57" i="1"/>
  <c r="AZ57" i="1"/>
  <c r="AY57" i="1"/>
  <c r="AX57" i="1"/>
  <c r="AW57" i="1"/>
  <c r="AU57" i="1"/>
  <c r="AT57" i="1"/>
  <c r="AS57" i="1"/>
  <c r="BJ56" i="1"/>
  <c r="BI56" i="1"/>
  <c r="BH56" i="1"/>
  <c r="BG56" i="1"/>
  <c r="BE56" i="1"/>
  <c r="BD56" i="1"/>
  <c r="BC56" i="1"/>
  <c r="BB56" i="1"/>
  <c r="AZ56" i="1"/>
  <c r="AY56" i="1"/>
  <c r="AX56" i="1"/>
  <c r="AW56" i="1"/>
  <c r="AU56" i="1"/>
  <c r="AT56" i="1"/>
  <c r="AS56" i="1"/>
  <c r="BJ55" i="1"/>
  <c r="BI55" i="1"/>
  <c r="BH55" i="1"/>
  <c r="BG55" i="1"/>
  <c r="BE55" i="1"/>
  <c r="BD55" i="1"/>
  <c r="BC55" i="1"/>
  <c r="BB55" i="1"/>
  <c r="AZ55" i="1"/>
  <c r="AY55" i="1"/>
  <c r="AX55" i="1"/>
  <c r="AW55" i="1"/>
  <c r="AU55" i="1"/>
  <c r="AT55" i="1"/>
  <c r="AS55" i="1"/>
  <c r="BJ54" i="1"/>
  <c r="BI54" i="1"/>
  <c r="BH54" i="1"/>
  <c r="BG54" i="1"/>
  <c r="BE54" i="1"/>
  <c r="BD54" i="1"/>
  <c r="BC54" i="1"/>
  <c r="BB54" i="1"/>
  <c r="AZ54" i="1"/>
  <c r="AY54" i="1"/>
  <c r="AX54" i="1"/>
  <c r="AW54" i="1"/>
  <c r="AU54" i="1"/>
  <c r="AT54" i="1"/>
  <c r="AS54" i="1"/>
  <c r="BJ53" i="1"/>
  <c r="BI53" i="1"/>
  <c r="BH53" i="1"/>
  <c r="BG53" i="1"/>
  <c r="BE53" i="1"/>
  <c r="BD53" i="1"/>
  <c r="BC53" i="1"/>
  <c r="BB53" i="1"/>
  <c r="AZ53" i="1"/>
  <c r="AY53" i="1"/>
  <c r="AX53" i="1"/>
  <c r="AW53" i="1"/>
  <c r="AU53" i="1"/>
  <c r="AT53" i="1"/>
  <c r="AS53" i="1"/>
  <c r="BJ52" i="1"/>
  <c r="BI52" i="1"/>
  <c r="BH52" i="1"/>
  <c r="BG52" i="1"/>
  <c r="BE52" i="1"/>
  <c r="BD52" i="1"/>
  <c r="BC52" i="1"/>
  <c r="BB52" i="1"/>
  <c r="AZ52" i="1"/>
  <c r="AY52" i="1"/>
  <c r="AX52" i="1"/>
  <c r="AW52" i="1"/>
  <c r="AU52" i="1"/>
  <c r="AT52" i="1"/>
  <c r="AS52" i="1"/>
  <c r="BJ51" i="1"/>
  <c r="BI51" i="1"/>
  <c r="BH51" i="1"/>
  <c r="BG51" i="1"/>
  <c r="BE51" i="1"/>
  <c r="BD51" i="1"/>
  <c r="BC51" i="1"/>
  <c r="BB51" i="1"/>
  <c r="AZ51" i="1"/>
  <c r="AY51" i="1"/>
  <c r="AX51" i="1"/>
  <c r="AW51" i="1"/>
  <c r="AU51" i="1"/>
  <c r="AT51" i="1"/>
  <c r="AS51" i="1"/>
  <c r="BJ50" i="1"/>
  <c r="BI50" i="1"/>
  <c r="BH50" i="1"/>
  <c r="BG50" i="1"/>
  <c r="BE50" i="1"/>
  <c r="BD50" i="1"/>
  <c r="BC50" i="1"/>
  <c r="BB50" i="1"/>
  <c r="AZ50" i="1"/>
  <c r="AY50" i="1"/>
  <c r="AX50" i="1"/>
  <c r="AW50" i="1"/>
  <c r="AU50" i="1"/>
  <c r="AT50" i="1"/>
  <c r="AS50" i="1"/>
  <c r="BJ49" i="1"/>
  <c r="BI49" i="1"/>
  <c r="BH49" i="1"/>
  <c r="BG49" i="1"/>
  <c r="BE49" i="1"/>
  <c r="BD49" i="1"/>
  <c r="BC49" i="1"/>
  <c r="BB49" i="1"/>
  <c r="AZ49" i="1"/>
  <c r="AY49" i="1"/>
  <c r="AX49" i="1"/>
  <c r="AW49" i="1"/>
  <c r="AU49" i="1"/>
  <c r="AT49" i="1"/>
  <c r="AS49" i="1"/>
  <c r="BJ48" i="1"/>
  <c r="BI48" i="1"/>
  <c r="BH48" i="1"/>
  <c r="BG48" i="1"/>
  <c r="BE48" i="1"/>
  <c r="BD48" i="1"/>
  <c r="BC48" i="1"/>
  <c r="BB48" i="1"/>
  <c r="AZ48" i="1"/>
  <c r="AY48" i="1"/>
  <c r="AX48" i="1"/>
  <c r="AW48" i="1"/>
  <c r="AU48" i="1"/>
  <c r="AT48" i="1"/>
  <c r="AS48" i="1"/>
  <c r="BJ47" i="1"/>
  <c r="BI47" i="1"/>
  <c r="BH47" i="1"/>
  <c r="BG47" i="1"/>
  <c r="BE47" i="1"/>
  <c r="BD47" i="1"/>
  <c r="BC47" i="1"/>
  <c r="BB47" i="1"/>
  <c r="AZ47" i="1"/>
  <c r="AY47" i="1"/>
  <c r="AX47" i="1"/>
  <c r="AW47" i="1"/>
  <c r="AU47" i="1"/>
  <c r="AT47" i="1"/>
  <c r="AS47" i="1"/>
  <c r="BJ46" i="1"/>
  <c r="BI46" i="1"/>
  <c r="BH46" i="1"/>
  <c r="BG46" i="1"/>
  <c r="BE46" i="1"/>
  <c r="BD46" i="1"/>
  <c r="BC46" i="1"/>
  <c r="BB46" i="1"/>
  <c r="AZ46" i="1"/>
  <c r="AY46" i="1"/>
  <c r="AX46" i="1"/>
  <c r="AW46" i="1"/>
  <c r="AU46" i="1"/>
  <c r="AT46" i="1"/>
  <c r="AS46" i="1"/>
  <c r="BJ45" i="1"/>
  <c r="BI45" i="1"/>
  <c r="BH45" i="1"/>
  <c r="BG45" i="1"/>
  <c r="BE45" i="1"/>
  <c r="BD45" i="1"/>
  <c r="BC45" i="1"/>
  <c r="BB45" i="1"/>
  <c r="AZ45" i="1"/>
  <c r="AY45" i="1"/>
  <c r="AX45" i="1"/>
  <c r="AW45" i="1"/>
  <c r="AU45" i="1"/>
  <c r="AT45" i="1"/>
  <c r="AS45" i="1"/>
  <c r="BJ44" i="1"/>
  <c r="BI44" i="1"/>
  <c r="BH44" i="1"/>
  <c r="BG44" i="1"/>
  <c r="BE44" i="1"/>
  <c r="BD44" i="1"/>
  <c r="BC44" i="1"/>
  <c r="BB44" i="1"/>
  <c r="AZ44" i="1"/>
  <c r="AY44" i="1"/>
  <c r="AX44" i="1"/>
  <c r="AW44" i="1"/>
  <c r="AU44" i="1"/>
  <c r="AT44" i="1"/>
  <c r="AS44" i="1"/>
  <c r="BJ43" i="1"/>
  <c r="BI43" i="1"/>
  <c r="BH43" i="1"/>
  <c r="BG43" i="1"/>
  <c r="BE43" i="1"/>
  <c r="BD43" i="1"/>
  <c r="BC43" i="1"/>
  <c r="BB43" i="1"/>
  <c r="AZ43" i="1"/>
  <c r="AY43" i="1"/>
  <c r="AX43" i="1"/>
  <c r="AW43" i="1"/>
  <c r="AU43" i="1"/>
  <c r="AT43" i="1"/>
  <c r="AS43" i="1"/>
  <c r="BJ42" i="1"/>
  <c r="BI42" i="1"/>
  <c r="BH42" i="1"/>
  <c r="BG42" i="1"/>
  <c r="BE42" i="1"/>
  <c r="BD42" i="1"/>
  <c r="BC42" i="1"/>
  <c r="BB42" i="1"/>
  <c r="AZ42" i="1"/>
  <c r="AY42" i="1"/>
  <c r="AX42" i="1"/>
  <c r="AW42" i="1"/>
  <c r="AU42" i="1"/>
  <c r="AT42" i="1"/>
  <c r="AS42" i="1"/>
  <c r="BJ41" i="1"/>
  <c r="BI41" i="1"/>
  <c r="BH41" i="1"/>
  <c r="BG41" i="1"/>
  <c r="BE41" i="1"/>
  <c r="BD41" i="1"/>
  <c r="BC41" i="1"/>
  <c r="BB41" i="1"/>
  <c r="AZ41" i="1"/>
  <c r="AY41" i="1"/>
  <c r="AX41" i="1"/>
  <c r="AW41" i="1"/>
  <c r="AU41" i="1"/>
  <c r="AT41" i="1"/>
  <c r="AS41" i="1"/>
  <c r="BJ40" i="1"/>
  <c r="BI40" i="1"/>
  <c r="BH40" i="1"/>
  <c r="BG40" i="1"/>
  <c r="BE40" i="1"/>
  <c r="BD40" i="1"/>
  <c r="BC40" i="1"/>
  <c r="BB40" i="1"/>
  <c r="AZ40" i="1"/>
  <c r="AY40" i="1"/>
  <c r="AX40" i="1"/>
  <c r="AW40" i="1"/>
  <c r="AU40" i="1"/>
  <c r="AT40" i="1"/>
  <c r="AS40" i="1"/>
  <c r="BJ39" i="1"/>
  <c r="BI39" i="1"/>
  <c r="BH39" i="1"/>
  <c r="BG39" i="1"/>
  <c r="BE39" i="1"/>
  <c r="BD39" i="1"/>
  <c r="BC39" i="1"/>
  <c r="BB39" i="1"/>
  <c r="AZ39" i="1"/>
  <c r="AY39" i="1"/>
  <c r="AX39" i="1"/>
  <c r="AW39" i="1"/>
  <c r="AU39" i="1"/>
  <c r="AT39" i="1"/>
  <c r="AS39" i="1"/>
  <c r="BJ38" i="1"/>
  <c r="BI38" i="1"/>
  <c r="BH38" i="1"/>
  <c r="BG38" i="1"/>
  <c r="BE38" i="1"/>
  <c r="BD38" i="1"/>
  <c r="BC38" i="1"/>
  <c r="BB38" i="1"/>
  <c r="AZ38" i="1"/>
  <c r="AY38" i="1"/>
  <c r="AX38" i="1"/>
  <c r="AW38" i="1"/>
  <c r="AU38" i="1"/>
  <c r="AT38" i="1"/>
  <c r="AS38" i="1"/>
  <c r="BJ37" i="1"/>
  <c r="BI37" i="1"/>
  <c r="BH37" i="1"/>
  <c r="BG37" i="1"/>
  <c r="BE37" i="1"/>
  <c r="BD37" i="1"/>
  <c r="BC37" i="1"/>
  <c r="BB37" i="1"/>
  <c r="AZ37" i="1"/>
  <c r="AY37" i="1"/>
  <c r="AX37" i="1"/>
  <c r="AW37" i="1"/>
  <c r="AU37" i="1"/>
  <c r="AT37" i="1"/>
  <c r="AS37" i="1"/>
  <c r="BJ36" i="1"/>
  <c r="BI36" i="1"/>
  <c r="BH36" i="1"/>
  <c r="BG36" i="1"/>
  <c r="BE36" i="1"/>
  <c r="BD36" i="1"/>
  <c r="BC36" i="1"/>
  <c r="BB36" i="1"/>
  <c r="AZ36" i="1"/>
  <c r="AY36" i="1"/>
  <c r="AX36" i="1"/>
  <c r="AW36" i="1"/>
  <c r="AU36" i="1"/>
  <c r="AT36" i="1"/>
  <c r="AS36" i="1"/>
  <c r="BJ35" i="1"/>
  <c r="BI35" i="1"/>
  <c r="BH35" i="1"/>
  <c r="BG35" i="1"/>
  <c r="BE35" i="1"/>
  <c r="BD35" i="1"/>
  <c r="BC35" i="1"/>
  <c r="BB35" i="1"/>
  <c r="AZ35" i="1"/>
  <c r="AY35" i="1"/>
  <c r="AX35" i="1"/>
  <c r="AW35" i="1"/>
  <c r="AU35" i="1"/>
  <c r="AT35" i="1"/>
  <c r="AS35" i="1"/>
  <c r="BJ34" i="1"/>
  <c r="BI34" i="1"/>
  <c r="BH34" i="1"/>
  <c r="BG34" i="1"/>
  <c r="BE34" i="1"/>
  <c r="BD34" i="1"/>
  <c r="BC34" i="1"/>
  <c r="BB34" i="1"/>
  <c r="AZ34" i="1"/>
  <c r="AY34" i="1"/>
  <c r="AX34" i="1"/>
  <c r="AW34" i="1"/>
  <c r="AU34" i="1"/>
  <c r="AT34" i="1"/>
  <c r="AS34" i="1"/>
  <c r="BJ33" i="1"/>
  <c r="BI33" i="1"/>
  <c r="BH33" i="1"/>
  <c r="BG33" i="1"/>
  <c r="BE33" i="1"/>
  <c r="BD33" i="1"/>
  <c r="BC33" i="1"/>
  <c r="BB33" i="1"/>
  <c r="AZ33" i="1"/>
  <c r="AY33" i="1"/>
  <c r="AX33" i="1"/>
  <c r="AW33" i="1"/>
  <c r="AU33" i="1"/>
  <c r="AT33" i="1"/>
  <c r="AS33" i="1"/>
  <c r="BJ32" i="1"/>
  <c r="BI32" i="1"/>
  <c r="BH32" i="1"/>
  <c r="BG32" i="1"/>
  <c r="BE32" i="1"/>
  <c r="BD32" i="1"/>
  <c r="BC32" i="1"/>
  <c r="BB32" i="1"/>
  <c r="AZ32" i="1"/>
  <c r="AY32" i="1"/>
  <c r="AX32" i="1"/>
  <c r="AW32" i="1"/>
  <c r="AU32" i="1"/>
  <c r="AT32" i="1"/>
  <c r="AS32" i="1"/>
  <c r="BJ31" i="1"/>
  <c r="BI31" i="1"/>
  <c r="BH31" i="1"/>
  <c r="BG31" i="1"/>
  <c r="BE31" i="1"/>
  <c r="BD31" i="1"/>
  <c r="BC31" i="1"/>
  <c r="BB31" i="1"/>
  <c r="AZ31" i="1"/>
  <c r="AY31" i="1"/>
  <c r="AX31" i="1"/>
  <c r="AW31" i="1"/>
  <c r="AU31" i="1"/>
  <c r="AT31" i="1"/>
  <c r="AS31" i="1"/>
  <c r="BJ30" i="1"/>
  <c r="BI30" i="1"/>
  <c r="BH30" i="1"/>
  <c r="BG30" i="1"/>
  <c r="BE30" i="1"/>
  <c r="BD30" i="1"/>
  <c r="BC30" i="1"/>
  <c r="BB30" i="1"/>
  <c r="AZ30" i="1"/>
  <c r="AY30" i="1"/>
  <c r="AX30" i="1"/>
  <c r="AW30" i="1"/>
  <c r="AU30" i="1"/>
  <c r="AT30" i="1"/>
  <c r="AS30" i="1"/>
  <c r="BJ29" i="1"/>
  <c r="BI29" i="1"/>
  <c r="BH29" i="1"/>
  <c r="BG29" i="1"/>
  <c r="BE29" i="1"/>
  <c r="BD29" i="1"/>
  <c r="BC29" i="1"/>
  <c r="BB29" i="1"/>
  <c r="AZ29" i="1"/>
  <c r="AY29" i="1"/>
  <c r="AX29" i="1"/>
  <c r="AW29" i="1"/>
  <c r="AU29" i="1"/>
  <c r="AT29" i="1"/>
  <c r="AS29" i="1"/>
  <c r="BJ28" i="1"/>
  <c r="BI28" i="1"/>
  <c r="BH28" i="1"/>
  <c r="BG28" i="1"/>
  <c r="BE28" i="1"/>
  <c r="BD28" i="1"/>
  <c r="BC28" i="1"/>
  <c r="BB28" i="1"/>
  <c r="AZ28" i="1"/>
  <c r="AY28" i="1"/>
  <c r="AX28" i="1"/>
  <c r="AW28" i="1"/>
  <c r="AU28" i="1"/>
  <c r="AT28" i="1"/>
  <c r="AS28" i="1"/>
  <c r="BJ27" i="1"/>
  <c r="BI27" i="1"/>
  <c r="BH27" i="1"/>
  <c r="BG27" i="1"/>
  <c r="BE27" i="1"/>
  <c r="BD27" i="1"/>
  <c r="BC27" i="1"/>
  <c r="BB27" i="1"/>
  <c r="AZ27" i="1"/>
  <c r="AY27" i="1"/>
  <c r="AX27" i="1"/>
  <c r="AW27" i="1"/>
  <c r="AU27" i="1"/>
  <c r="AT27" i="1"/>
  <c r="AS27" i="1"/>
  <c r="BJ26" i="1"/>
  <c r="BI26" i="1"/>
  <c r="BH26" i="1"/>
  <c r="BG26" i="1"/>
  <c r="BE26" i="1"/>
  <c r="BD26" i="1"/>
  <c r="BC26" i="1"/>
  <c r="BB26" i="1"/>
  <c r="AZ26" i="1"/>
  <c r="AY26" i="1"/>
  <c r="AX26" i="1"/>
  <c r="AW26" i="1"/>
  <c r="AU26" i="1"/>
  <c r="AT26" i="1"/>
  <c r="AS26" i="1"/>
  <c r="BJ25" i="1"/>
  <c r="BI25" i="1"/>
  <c r="BH25" i="1"/>
  <c r="BG25" i="1"/>
  <c r="BE25" i="1"/>
  <c r="BD25" i="1"/>
  <c r="BC25" i="1"/>
  <c r="BB25" i="1"/>
  <c r="AZ25" i="1"/>
  <c r="AY25" i="1"/>
  <c r="AX25" i="1"/>
  <c r="AW25" i="1"/>
  <c r="AU25" i="1"/>
  <c r="AT25" i="1"/>
  <c r="AS25" i="1"/>
  <c r="BJ24" i="1"/>
  <c r="BI24" i="1"/>
  <c r="BH24" i="1"/>
  <c r="BG24" i="1"/>
  <c r="BE24" i="1"/>
  <c r="BD24" i="1"/>
  <c r="BC24" i="1"/>
  <c r="BB24" i="1"/>
  <c r="AZ24" i="1"/>
  <c r="AY24" i="1"/>
  <c r="AX24" i="1"/>
  <c r="AW24" i="1"/>
  <c r="AU24" i="1"/>
  <c r="AT24" i="1"/>
  <c r="AS24" i="1"/>
  <c r="BJ23" i="1"/>
  <c r="BI23" i="1"/>
  <c r="BH23" i="1"/>
  <c r="BG23" i="1"/>
  <c r="BE23" i="1"/>
  <c r="BD23" i="1"/>
  <c r="BC23" i="1"/>
  <c r="BB23" i="1"/>
  <c r="AZ23" i="1"/>
  <c r="AY23" i="1"/>
  <c r="AX23" i="1"/>
  <c r="AW23" i="1"/>
  <c r="AU23" i="1"/>
  <c r="AT23" i="1"/>
  <c r="AS23" i="1"/>
  <c r="BJ22" i="1"/>
  <c r="BI22" i="1"/>
  <c r="BH22" i="1"/>
  <c r="BG22" i="1"/>
  <c r="BE22" i="1"/>
  <c r="BD22" i="1"/>
  <c r="BC22" i="1"/>
  <c r="BB22" i="1"/>
  <c r="AZ22" i="1"/>
  <c r="AY22" i="1"/>
  <c r="AX22" i="1"/>
  <c r="AW22" i="1"/>
  <c r="AU22" i="1"/>
  <c r="AT22" i="1"/>
  <c r="AS22" i="1"/>
  <c r="BJ21" i="1"/>
  <c r="BI21" i="1"/>
  <c r="BH21" i="1"/>
  <c r="BG21" i="1"/>
  <c r="BE21" i="1"/>
  <c r="BD21" i="1"/>
  <c r="BC21" i="1"/>
  <c r="BB21" i="1"/>
  <c r="AZ21" i="1"/>
  <c r="AY21" i="1"/>
  <c r="AX21" i="1"/>
  <c r="AW21" i="1"/>
  <c r="AU21" i="1"/>
  <c r="AT21" i="1"/>
  <c r="AS21" i="1"/>
  <c r="BJ20" i="1"/>
  <c r="BI20" i="1"/>
  <c r="BH20" i="1"/>
  <c r="BG20" i="1"/>
  <c r="BE20" i="1"/>
  <c r="BD20" i="1"/>
  <c r="BC20" i="1"/>
  <c r="BB20" i="1"/>
  <c r="AZ20" i="1"/>
  <c r="AY20" i="1"/>
  <c r="AX20" i="1"/>
  <c r="AW20" i="1"/>
  <c r="AU20" i="1"/>
  <c r="AT20" i="1"/>
  <c r="AS20" i="1"/>
  <c r="BJ19" i="1"/>
  <c r="BI19" i="1"/>
  <c r="BH19" i="1"/>
  <c r="BG19" i="1"/>
  <c r="BE19" i="1"/>
  <c r="BD19" i="1"/>
  <c r="BC19" i="1"/>
  <c r="BB19" i="1"/>
  <c r="AZ19" i="1"/>
  <c r="AY19" i="1"/>
  <c r="AX19" i="1"/>
  <c r="AW19" i="1"/>
  <c r="AU19" i="1"/>
  <c r="AT19" i="1"/>
  <c r="AS19" i="1"/>
  <c r="BJ18" i="1"/>
  <c r="BI18" i="1"/>
  <c r="BH18" i="1"/>
  <c r="BG18" i="1"/>
  <c r="BE18" i="1"/>
  <c r="BD18" i="1"/>
  <c r="BC18" i="1"/>
  <c r="BB18" i="1"/>
  <c r="AZ18" i="1"/>
  <c r="AY18" i="1"/>
  <c r="AX18" i="1"/>
  <c r="AW18" i="1"/>
  <c r="AU18" i="1"/>
  <c r="AT18" i="1"/>
  <c r="AS18" i="1"/>
  <c r="BJ17" i="1"/>
  <c r="BI17" i="1"/>
  <c r="BH17" i="1"/>
  <c r="BG17" i="1"/>
  <c r="BE17" i="1"/>
  <c r="BD17" i="1"/>
  <c r="BC17" i="1"/>
  <c r="BB17" i="1"/>
  <c r="AZ17" i="1"/>
  <c r="AY17" i="1"/>
  <c r="AX17" i="1"/>
  <c r="AW17" i="1"/>
  <c r="AU17" i="1"/>
  <c r="AT17" i="1"/>
  <c r="AS17" i="1"/>
  <c r="BJ16" i="1"/>
  <c r="BI16" i="1"/>
  <c r="BH16" i="1"/>
  <c r="BG16" i="1"/>
  <c r="BE16" i="1"/>
  <c r="BD16" i="1"/>
  <c r="BC16" i="1"/>
  <c r="BB16" i="1"/>
  <c r="AZ16" i="1"/>
  <c r="AY16" i="1"/>
  <c r="AX16" i="1"/>
  <c r="AW16" i="1"/>
  <c r="AU16" i="1"/>
  <c r="AT16" i="1"/>
  <c r="AS16" i="1"/>
  <c r="BJ15" i="1"/>
  <c r="BI15" i="1"/>
  <c r="BH15" i="1"/>
  <c r="BG15" i="1"/>
  <c r="BE15" i="1"/>
  <c r="BD15" i="1"/>
  <c r="BC15" i="1"/>
  <c r="BB15" i="1"/>
  <c r="AZ15" i="1"/>
  <c r="AY15" i="1"/>
  <c r="AX15" i="1"/>
  <c r="AW15" i="1"/>
  <c r="AU15" i="1"/>
  <c r="AT15" i="1"/>
  <c r="AS15" i="1"/>
  <c r="BJ14" i="1"/>
  <c r="BI14" i="1"/>
  <c r="BH14" i="1"/>
  <c r="BG14" i="1"/>
  <c r="BE14" i="1"/>
  <c r="BD14" i="1"/>
  <c r="BC14" i="1"/>
  <c r="BB14" i="1"/>
  <c r="AZ14" i="1"/>
  <c r="AY14" i="1"/>
  <c r="AX14" i="1"/>
  <c r="AW14" i="1"/>
  <c r="AU14" i="1"/>
  <c r="AT14" i="1"/>
  <c r="AS14" i="1"/>
  <c r="BJ13" i="1"/>
  <c r="BI13" i="1"/>
  <c r="BH13" i="1"/>
  <c r="BG13" i="1"/>
  <c r="BE13" i="1"/>
  <c r="BD13" i="1"/>
  <c r="BC13" i="1"/>
  <c r="BB13" i="1"/>
  <c r="AZ13" i="1"/>
  <c r="AY13" i="1"/>
  <c r="AX13" i="1"/>
  <c r="AW13" i="1"/>
  <c r="AU13" i="1"/>
  <c r="AT13" i="1"/>
  <c r="AS13" i="1"/>
  <c r="BJ12" i="1"/>
  <c r="BI12" i="1"/>
  <c r="BH12" i="1"/>
  <c r="BG12" i="1"/>
  <c r="BE12" i="1"/>
  <c r="BD12" i="1"/>
  <c r="BC12" i="1"/>
  <c r="BB12" i="1"/>
  <c r="AZ12" i="1"/>
  <c r="AY12" i="1"/>
  <c r="AX12" i="1"/>
  <c r="AW12" i="1"/>
  <c r="AU12" i="1"/>
  <c r="AT12" i="1"/>
  <c r="AS12" i="1"/>
  <c r="BJ11" i="1"/>
  <c r="BI11" i="1"/>
  <c r="BH11" i="1"/>
  <c r="BG11" i="1"/>
  <c r="BE11" i="1"/>
  <c r="BD11" i="1"/>
  <c r="BC11" i="1"/>
  <c r="BB11" i="1"/>
  <c r="AZ11" i="1"/>
  <c r="AY11" i="1"/>
  <c r="AX11" i="1"/>
  <c r="AW11" i="1"/>
  <c r="AU11" i="1"/>
  <c r="AT11" i="1"/>
  <c r="AS11" i="1"/>
  <c r="BJ10" i="1"/>
  <c r="BI10" i="1"/>
  <c r="BH10" i="1"/>
  <c r="BG10" i="1"/>
  <c r="BE10" i="1"/>
  <c r="BD10" i="1"/>
  <c r="BC10" i="1"/>
  <c r="BB10" i="1"/>
  <c r="AZ10" i="1"/>
  <c r="AY10" i="1"/>
  <c r="AX10" i="1"/>
  <c r="AW10" i="1"/>
  <c r="AU10" i="1"/>
  <c r="AT10" i="1"/>
  <c r="AS10" i="1"/>
  <c r="BJ9" i="1"/>
  <c r="BI9" i="1"/>
  <c r="BH9" i="1"/>
  <c r="BG9" i="1"/>
  <c r="BE9" i="1"/>
  <c r="BD9" i="1"/>
  <c r="BC9" i="1"/>
  <c r="BB9" i="1"/>
  <c r="AZ9" i="1"/>
  <c r="AY9" i="1"/>
  <c r="AX9" i="1"/>
  <c r="AW9" i="1"/>
  <c r="AU9" i="1"/>
  <c r="AT9" i="1"/>
  <c r="AS9" i="1"/>
  <c r="BJ8" i="1"/>
  <c r="BI8" i="1"/>
  <c r="BH8" i="1"/>
  <c r="BG8" i="1"/>
  <c r="BE8" i="1"/>
  <c r="BD8" i="1"/>
  <c r="BC8" i="1"/>
  <c r="BB8" i="1"/>
  <c r="AZ8" i="1"/>
  <c r="AY8" i="1"/>
  <c r="AX8" i="1"/>
  <c r="AW8" i="1"/>
  <c r="AU8" i="1"/>
  <c r="AT8" i="1"/>
  <c r="AS8" i="1"/>
  <c r="BJ7" i="1"/>
  <c r="BI7" i="1"/>
  <c r="BH7" i="1"/>
  <c r="BG7" i="1"/>
  <c r="BE7" i="1"/>
  <c r="BD7" i="1"/>
  <c r="BC7" i="1"/>
  <c r="BB7" i="1"/>
  <c r="AZ7" i="1"/>
  <c r="AY7" i="1"/>
  <c r="AX7" i="1"/>
  <c r="AW7" i="1"/>
  <c r="AU7" i="1"/>
  <c r="AT7" i="1"/>
  <c r="AS7" i="1"/>
  <c r="BJ6" i="1"/>
  <c r="BI6" i="1"/>
  <c r="BH6" i="1"/>
  <c r="BG6" i="1"/>
  <c r="BE6" i="1"/>
  <c r="BD6" i="1"/>
  <c r="BC6" i="1"/>
  <c r="BB6" i="1"/>
  <c r="AZ6" i="1"/>
  <c r="AY6" i="1"/>
  <c r="AX6" i="1"/>
  <c r="AW6" i="1"/>
  <c r="AU6" i="1"/>
  <c r="AT6" i="1"/>
  <c r="AS6" i="1"/>
  <c r="AK322" i="1" l="1"/>
  <c r="BL322" i="1" s="1"/>
  <c r="AK321" i="1"/>
  <c r="BL321" i="1" s="1"/>
  <c r="AK320" i="1"/>
  <c r="BL320" i="1" s="1"/>
  <c r="AK319" i="1"/>
  <c r="BL319" i="1" s="1"/>
  <c r="AK318" i="1"/>
  <c r="BL318" i="1" s="1"/>
  <c r="AK317" i="1"/>
  <c r="BL317" i="1" s="1"/>
  <c r="AK316" i="1"/>
  <c r="BL316" i="1" s="1"/>
  <c r="AK315" i="1"/>
  <c r="BL315" i="1" s="1"/>
  <c r="AK314" i="1"/>
  <c r="BL314" i="1" s="1"/>
  <c r="AK313" i="1"/>
  <c r="BL313" i="1" s="1"/>
  <c r="AK312" i="1"/>
  <c r="BL312" i="1" s="1"/>
  <c r="AK311" i="1"/>
  <c r="BL311" i="1" s="1"/>
  <c r="AK310" i="1"/>
  <c r="BL310" i="1" s="1"/>
  <c r="AK309" i="1"/>
  <c r="BL309" i="1" s="1"/>
  <c r="AK308" i="1"/>
  <c r="BL308" i="1" s="1"/>
  <c r="AK307" i="1"/>
  <c r="BL307" i="1" s="1"/>
  <c r="AK306" i="1"/>
  <c r="BL306" i="1" s="1"/>
  <c r="AK305" i="1"/>
  <c r="BL305" i="1" s="1"/>
  <c r="AK304" i="1"/>
  <c r="BL304" i="1" s="1"/>
  <c r="AK303" i="1"/>
  <c r="BL303" i="1" s="1"/>
  <c r="AK302" i="1"/>
  <c r="BL302" i="1" s="1"/>
  <c r="AK301" i="1"/>
  <c r="BL301" i="1" s="1"/>
  <c r="AK300" i="1"/>
  <c r="BL300" i="1" s="1"/>
  <c r="AK299" i="1"/>
  <c r="BL299" i="1" s="1"/>
  <c r="AK298" i="1"/>
  <c r="BL298" i="1" s="1"/>
  <c r="AK297" i="1"/>
  <c r="BL297" i="1" s="1"/>
  <c r="AK35" i="1"/>
  <c r="BL35" i="1" s="1"/>
  <c r="AK34" i="1"/>
  <c r="BL34" i="1" s="1"/>
  <c r="AK33" i="1"/>
  <c r="BL33" i="1" s="1"/>
  <c r="AK32" i="1"/>
  <c r="BL32" i="1" s="1"/>
  <c r="AK38" i="1"/>
  <c r="BL38" i="1" s="1"/>
  <c r="AK37" i="1"/>
  <c r="BL37" i="1" s="1"/>
  <c r="AK36" i="1"/>
  <c r="BL36" i="1" s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J323" i="1" l="1"/>
  <c r="AK323" i="1" s="1"/>
  <c r="BL323" i="1" s="1"/>
  <c r="BK323" i="1"/>
  <c r="AJ325" i="1"/>
  <c r="AK325" i="1" s="1"/>
  <c r="BL325" i="1" s="1"/>
  <c r="BK325" i="1"/>
  <c r="AJ327" i="1"/>
  <c r="AK327" i="1" s="1"/>
  <c r="BL327" i="1" s="1"/>
  <c r="BK327" i="1"/>
  <c r="AJ329" i="1"/>
  <c r="AK329" i="1" s="1"/>
  <c r="BL329" i="1" s="1"/>
  <c r="BK329" i="1"/>
  <c r="AJ331" i="1"/>
  <c r="AK331" i="1" s="1"/>
  <c r="BL331" i="1" s="1"/>
  <c r="BK331" i="1"/>
  <c r="AJ333" i="1"/>
  <c r="AK333" i="1" s="1"/>
  <c r="BL333" i="1" s="1"/>
  <c r="BK333" i="1"/>
  <c r="AJ335" i="1"/>
  <c r="AK335" i="1" s="1"/>
  <c r="BL335" i="1" s="1"/>
  <c r="BK335" i="1"/>
  <c r="AJ337" i="1"/>
  <c r="AK337" i="1" s="1"/>
  <c r="BL337" i="1" s="1"/>
  <c r="BK337" i="1"/>
  <c r="AJ339" i="1"/>
  <c r="AK339" i="1" s="1"/>
  <c r="BL339" i="1" s="1"/>
  <c r="BK339" i="1"/>
  <c r="AJ341" i="1"/>
  <c r="AK341" i="1" s="1"/>
  <c r="BL341" i="1" s="1"/>
  <c r="BK341" i="1"/>
  <c r="AJ343" i="1"/>
  <c r="AK343" i="1" s="1"/>
  <c r="BL343" i="1" s="1"/>
  <c r="BK343" i="1"/>
  <c r="AJ345" i="1"/>
  <c r="AK345" i="1" s="1"/>
  <c r="BL345" i="1" s="1"/>
  <c r="BK345" i="1"/>
  <c r="AJ347" i="1"/>
  <c r="AK347" i="1" s="1"/>
  <c r="BL347" i="1" s="1"/>
  <c r="BK347" i="1"/>
  <c r="AJ349" i="1"/>
  <c r="AK349" i="1" s="1"/>
  <c r="BL349" i="1" s="1"/>
  <c r="BK349" i="1"/>
  <c r="AJ351" i="1"/>
  <c r="AK351" i="1" s="1"/>
  <c r="BL351" i="1" s="1"/>
  <c r="BK351" i="1"/>
  <c r="AJ353" i="1"/>
  <c r="AK353" i="1" s="1"/>
  <c r="BL353" i="1" s="1"/>
  <c r="BK353" i="1"/>
  <c r="AJ355" i="1"/>
  <c r="AK355" i="1" s="1"/>
  <c r="BL355" i="1" s="1"/>
  <c r="BK355" i="1"/>
  <c r="AJ357" i="1"/>
  <c r="AK357" i="1" s="1"/>
  <c r="BL357" i="1" s="1"/>
  <c r="BK357" i="1"/>
  <c r="AJ359" i="1"/>
  <c r="AK359" i="1" s="1"/>
  <c r="BL359" i="1" s="1"/>
  <c r="BK359" i="1"/>
  <c r="AJ361" i="1"/>
  <c r="AK361" i="1" s="1"/>
  <c r="BL361" i="1" s="1"/>
  <c r="BK361" i="1"/>
  <c r="AJ363" i="1"/>
  <c r="AK363" i="1" s="1"/>
  <c r="BL363" i="1" s="1"/>
  <c r="BK363" i="1"/>
  <c r="AJ365" i="1"/>
  <c r="AK365" i="1" s="1"/>
  <c r="BL365" i="1" s="1"/>
  <c r="BK365" i="1"/>
  <c r="AJ367" i="1"/>
  <c r="AK367" i="1" s="1"/>
  <c r="BL367" i="1" s="1"/>
  <c r="BK367" i="1"/>
  <c r="AJ369" i="1"/>
  <c r="AK369" i="1" s="1"/>
  <c r="BL369" i="1" s="1"/>
  <c r="BK369" i="1"/>
  <c r="AJ371" i="1"/>
  <c r="AK371" i="1" s="1"/>
  <c r="BL371" i="1" s="1"/>
  <c r="BK371" i="1"/>
  <c r="AJ324" i="1"/>
  <c r="AK324" i="1" s="1"/>
  <c r="BL324" i="1" s="1"/>
  <c r="BK324" i="1"/>
  <c r="AJ326" i="1"/>
  <c r="AK326" i="1" s="1"/>
  <c r="BL326" i="1" s="1"/>
  <c r="BK326" i="1"/>
  <c r="AJ328" i="1"/>
  <c r="AK328" i="1" s="1"/>
  <c r="BL328" i="1" s="1"/>
  <c r="BK328" i="1"/>
  <c r="AJ330" i="1"/>
  <c r="AK330" i="1" s="1"/>
  <c r="BL330" i="1" s="1"/>
  <c r="BK330" i="1"/>
  <c r="AJ332" i="1"/>
  <c r="AK332" i="1" s="1"/>
  <c r="BL332" i="1" s="1"/>
  <c r="BK332" i="1"/>
  <c r="AJ334" i="1"/>
  <c r="AK334" i="1" s="1"/>
  <c r="BL334" i="1" s="1"/>
  <c r="BK334" i="1"/>
  <c r="AJ336" i="1"/>
  <c r="AK336" i="1" s="1"/>
  <c r="BL336" i="1" s="1"/>
  <c r="BK336" i="1"/>
  <c r="AJ338" i="1"/>
  <c r="AK338" i="1" s="1"/>
  <c r="BL338" i="1" s="1"/>
  <c r="BK338" i="1"/>
  <c r="AJ340" i="1"/>
  <c r="AK340" i="1" s="1"/>
  <c r="BL340" i="1" s="1"/>
  <c r="BK340" i="1"/>
  <c r="AJ342" i="1"/>
  <c r="AK342" i="1" s="1"/>
  <c r="BL342" i="1" s="1"/>
  <c r="BK342" i="1"/>
  <c r="AJ344" i="1"/>
  <c r="AK344" i="1" s="1"/>
  <c r="BL344" i="1" s="1"/>
  <c r="BK344" i="1"/>
  <c r="AJ346" i="1"/>
  <c r="AK346" i="1" s="1"/>
  <c r="BL346" i="1" s="1"/>
  <c r="BK346" i="1"/>
  <c r="AJ348" i="1"/>
  <c r="AK348" i="1" s="1"/>
  <c r="BL348" i="1" s="1"/>
  <c r="BK348" i="1"/>
  <c r="AJ350" i="1"/>
  <c r="AK350" i="1" s="1"/>
  <c r="BL350" i="1" s="1"/>
  <c r="BK350" i="1"/>
  <c r="AJ352" i="1"/>
  <c r="AK352" i="1" s="1"/>
  <c r="BL352" i="1" s="1"/>
  <c r="BK352" i="1"/>
  <c r="AJ354" i="1"/>
  <c r="AK354" i="1" s="1"/>
  <c r="BL354" i="1" s="1"/>
  <c r="BK354" i="1"/>
  <c r="AJ356" i="1"/>
  <c r="AK356" i="1" s="1"/>
  <c r="BL356" i="1" s="1"/>
  <c r="BK356" i="1"/>
  <c r="AJ358" i="1"/>
  <c r="AK358" i="1" s="1"/>
  <c r="BL358" i="1" s="1"/>
  <c r="BK358" i="1"/>
  <c r="AJ360" i="1"/>
  <c r="AK360" i="1" s="1"/>
  <c r="BL360" i="1" s="1"/>
  <c r="BK360" i="1"/>
  <c r="AJ362" i="1"/>
  <c r="AK362" i="1" s="1"/>
  <c r="BL362" i="1" s="1"/>
  <c r="BK362" i="1"/>
  <c r="AJ364" i="1"/>
  <c r="AK364" i="1" s="1"/>
  <c r="BL364" i="1" s="1"/>
  <c r="BK364" i="1"/>
  <c r="AJ366" i="1"/>
  <c r="AK366" i="1" s="1"/>
  <c r="BL366" i="1" s="1"/>
  <c r="BK366" i="1"/>
  <c r="AJ368" i="1"/>
  <c r="AK368" i="1" s="1"/>
  <c r="BL368" i="1" s="1"/>
  <c r="BK368" i="1"/>
  <c r="AJ370" i="1"/>
  <c r="AK370" i="1" s="1"/>
  <c r="BL370" i="1" s="1"/>
  <c r="BK370" i="1"/>
  <c r="AP65" i="1"/>
  <c r="AP64" i="1"/>
  <c r="AI64" i="1"/>
  <c r="BK64" i="1" s="1"/>
  <c r="AQ64" i="1" l="1"/>
  <c r="BN64" i="1" s="1"/>
  <c r="BM64" i="1"/>
  <c r="AQ65" i="1"/>
  <c r="BN65" i="1" s="1"/>
  <c r="BM65" i="1"/>
  <c r="B6" i="1"/>
  <c r="AI117" i="1"/>
  <c r="BK117" i="1" s="1"/>
  <c r="AI116" i="1"/>
  <c r="BK116" i="1" s="1"/>
  <c r="AI115" i="1"/>
  <c r="BK115" i="1" s="1"/>
  <c r="AI114" i="1"/>
  <c r="BK114" i="1" s="1"/>
  <c r="AI113" i="1"/>
  <c r="BK113" i="1" s="1"/>
  <c r="AI112" i="1"/>
  <c r="BK112" i="1" s="1"/>
  <c r="AI111" i="1"/>
  <c r="BK111" i="1" s="1"/>
  <c r="AI110" i="1"/>
  <c r="BK110" i="1" s="1"/>
  <c r="AI109" i="1"/>
  <c r="BK109" i="1" s="1"/>
  <c r="AI108" i="1"/>
  <c r="BK108" i="1" s="1"/>
  <c r="AI107" i="1"/>
  <c r="BK107" i="1" s="1"/>
  <c r="AI106" i="1"/>
  <c r="BK106" i="1" s="1"/>
  <c r="AI105" i="1"/>
  <c r="BK105" i="1" s="1"/>
  <c r="AI104" i="1"/>
  <c r="BK104" i="1" s="1"/>
  <c r="AI103" i="1"/>
  <c r="BK103" i="1" s="1"/>
  <c r="AI102" i="1"/>
  <c r="BK102" i="1" s="1"/>
  <c r="AI101" i="1"/>
  <c r="BK101" i="1" s="1"/>
  <c r="AI100" i="1"/>
  <c r="BK100" i="1" s="1"/>
  <c r="AI99" i="1"/>
  <c r="BK99" i="1" s="1"/>
  <c r="AI98" i="1"/>
  <c r="BK98" i="1" s="1"/>
  <c r="AI97" i="1"/>
  <c r="BK97" i="1" s="1"/>
  <c r="AI96" i="1"/>
  <c r="BK96" i="1" s="1"/>
  <c r="AI95" i="1"/>
  <c r="BK95" i="1" s="1"/>
  <c r="AI94" i="1"/>
  <c r="BK94" i="1" s="1"/>
  <c r="AI93" i="1"/>
  <c r="BK93" i="1" s="1"/>
  <c r="AI92" i="1"/>
  <c r="BK92" i="1" s="1"/>
  <c r="AI91" i="1"/>
  <c r="BK91" i="1" s="1"/>
  <c r="AI90" i="1"/>
  <c r="BK90" i="1" s="1"/>
  <c r="AI89" i="1"/>
  <c r="BK89" i="1" s="1"/>
  <c r="AI88" i="1"/>
  <c r="BK88" i="1" s="1"/>
  <c r="AI87" i="1"/>
  <c r="BK87" i="1" s="1"/>
  <c r="AI86" i="1"/>
  <c r="BK86" i="1" s="1"/>
  <c r="AI85" i="1"/>
  <c r="BK85" i="1" s="1"/>
  <c r="AI84" i="1"/>
  <c r="BK84" i="1" s="1"/>
  <c r="AI83" i="1"/>
  <c r="BK83" i="1" s="1"/>
  <c r="AI82" i="1"/>
  <c r="BK82" i="1" s="1"/>
  <c r="AI81" i="1"/>
  <c r="BK81" i="1" s="1"/>
  <c r="AI80" i="1"/>
  <c r="BK80" i="1" s="1"/>
  <c r="AI79" i="1"/>
  <c r="BK79" i="1" s="1"/>
  <c r="AI78" i="1"/>
  <c r="BK78" i="1" s="1"/>
  <c r="AI77" i="1"/>
  <c r="BK77" i="1" s="1"/>
  <c r="AI76" i="1"/>
  <c r="BK76" i="1" s="1"/>
  <c r="AI75" i="1"/>
  <c r="BK75" i="1" s="1"/>
  <c r="AI74" i="1"/>
  <c r="BK74" i="1" s="1"/>
  <c r="AI73" i="1"/>
  <c r="BK73" i="1" s="1"/>
  <c r="AI72" i="1"/>
  <c r="BK72" i="1" s="1"/>
  <c r="AI71" i="1"/>
  <c r="BK71" i="1" s="1"/>
  <c r="AI70" i="1"/>
  <c r="BK70" i="1" s="1"/>
  <c r="AI69" i="1"/>
  <c r="BK69" i="1" s="1"/>
  <c r="AI68" i="1"/>
  <c r="BK68" i="1" s="1"/>
  <c r="AI67" i="1"/>
  <c r="BK67" i="1" s="1"/>
  <c r="AI66" i="1"/>
  <c r="BK66" i="1" s="1"/>
  <c r="AI65" i="1"/>
  <c r="AI63" i="1"/>
  <c r="AI62" i="1"/>
  <c r="BK62" i="1" s="1"/>
  <c r="AI61" i="1"/>
  <c r="BK61" i="1" s="1"/>
  <c r="AI60" i="1"/>
  <c r="BK60" i="1" s="1"/>
  <c r="AI59" i="1"/>
  <c r="BK59" i="1" s="1"/>
  <c r="AI58" i="1"/>
  <c r="BK58" i="1" s="1"/>
  <c r="AI57" i="1"/>
  <c r="BK57" i="1" s="1"/>
  <c r="AI56" i="1"/>
  <c r="BK56" i="1" s="1"/>
  <c r="AI55" i="1"/>
  <c r="BK55" i="1" s="1"/>
  <c r="AI54" i="1"/>
  <c r="BK54" i="1" s="1"/>
  <c r="AI53" i="1"/>
  <c r="BK53" i="1" s="1"/>
  <c r="AI52" i="1"/>
  <c r="BK52" i="1" s="1"/>
  <c r="AJ64" i="1" l="1"/>
  <c r="AK64" i="1" s="1"/>
  <c r="BL64" i="1" s="1"/>
  <c r="BK63" i="1"/>
  <c r="AJ65" i="1"/>
  <c r="AK65" i="1" s="1"/>
  <c r="BL65" i="1" s="1"/>
  <c r="BK65" i="1"/>
  <c r="AJ118" i="1"/>
  <c r="AJ116" i="1"/>
  <c r="AJ114" i="1"/>
  <c r="AJ112" i="1"/>
  <c r="AK112" i="1" s="1"/>
  <c r="BL112" i="1" s="1"/>
  <c r="AJ110" i="1"/>
  <c r="AK110" i="1" s="1"/>
  <c r="BL110" i="1" s="1"/>
  <c r="AJ108" i="1"/>
  <c r="AK108" i="1" s="1"/>
  <c r="BL108" i="1" s="1"/>
  <c r="AJ106" i="1"/>
  <c r="AK106" i="1" s="1"/>
  <c r="BL106" i="1" s="1"/>
  <c r="AJ104" i="1"/>
  <c r="AK104" i="1" s="1"/>
  <c r="BL104" i="1" s="1"/>
  <c r="AJ102" i="1"/>
  <c r="AK102" i="1" s="1"/>
  <c r="BL102" i="1" s="1"/>
  <c r="AI51" i="1"/>
  <c r="BK51" i="1" s="1"/>
  <c r="AI50" i="1"/>
  <c r="BK50" i="1" s="1"/>
  <c r="AI49" i="1"/>
  <c r="BK49" i="1" s="1"/>
  <c r="AI48" i="1"/>
  <c r="BK48" i="1" s="1"/>
  <c r="AI47" i="1"/>
  <c r="BK47" i="1" s="1"/>
  <c r="AI46" i="1"/>
  <c r="BK46" i="1" s="1"/>
  <c r="AI45" i="1"/>
  <c r="BK45" i="1" s="1"/>
  <c r="AI44" i="1"/>
  <c r="BK44" i="1" s="1"/>
  <c r="AI43" i="1"/>
  <c r="BK43" i="1" s="1"/>
  <c r="AI42" i="1"/>
  <c r="BK42" i="1" s="1"/>
  <c r="AI41" i="1"/>
  <c r="BK41" i="1" s="1"/>
  <c r="AI40" i="1"/>
  <c r="BK40" i="1" s="1"/>
  <c r="AI39" i="1"/>
  <c r="BK39" i="1" s="1"/>
  <c r="AJ103" i="1" l="1"/>
  <c r="AK103" i="1" s="1"/>
  <c r="BL103" i="1" s="1"/>
  <c r="AJ105" i="1"/>
  <c r="AK105" i="1" s="1"/>
  <c r="BL105" i="1" s="1"/>
  <c r="AJ107" i="1"/>
  <c r="AK107" i="1" s="1"/>
  <c r="BL107" i="1" s="1"/>
  <c r="AJ109" i="1"/>
  <c r="AK109" i="1" s="1"/>
  <c r="BL109" i="1" s="1"/>
  <c r="AJ111" i="1"/>
  <c r="AK111" i="1" s="1"/>
  <c r="BL111" i="1" s="1"/>
  <c r="AJ113" i="1"/>
  <c r="AK113" i="1" s="1"/>
  <c r="BL113" i="1" s="1"/>
  <c r="AJ115" i="1"/>
  <c r="AJ117" i="1"/>
  <c r="AI377" i="1" l="1"/>
  <c r="AI38" i="1"/>
  <c r="BK38" i="1" s="1"/>
  <c r="AI37" i="1"/>
  <c r="BK37" i="1" s="1"/>
  <c r="AI36" i="1"/>
  <c r="AI35" i="1"/>
  <c r="BK35" i="1" s="1"/>
  <c r="AI34" i="1"/>
  <c r="BK34" i="1" s="1"/>
  <c r="AI33" i="1"/>
  <c r="BK33" i="1" s="1"/>
  <c r="AI32" i="1"/>
  <c r="BK32" i="1" s="1"/>
  <c r="AI31" i="1"/>
  <c r="BK31" i="1" s="1"/>
  <c r="AI30" i="1"/>
  <c r="BK30" i="1" s="1"/>
  <c r="AI29" i="1"/>
  <c r="BK29" i="1" s="1"/>
  <c r="AI28" i="1"/>
  <c r="BK28" i="1" s="1"/>
  <c r="AI27" i="1"/>
  <c r="BK27" i="1" s="1"/>
  <c r="AI26" i="1"/>
  <c r="BK26" i="1" s="1"/>
  <c r="AI25" i="1"/>
  <c r="BK25" i="1" s="1"/>
  <c r="AI24" i="1"/>
  <c r="BK24" i="1" s="1"/>
  <c r="AI22" i="1"/>
  <c r="BK22" i="1" s="1"/>
  <c r="AI21" i="1"/>
  <c r="BK21" i="1" s="1"/>
  <c r="AI20" i="1"/>
  <c r="BK20" i="1" s="1"/>
  <c r="AI19" i="1"/>
  <c r="BK19" i="1" s="1"/>
  <c r="AI18" i="1"/>
  <c r="BK18" i="1" s="1"/>
  <c r="AI17" i="1"/>
  <c r="BK17" i="1" s="1"/>
  <c r="AI16" i="1"/>
  <c r="BK16" i="1" s="1"/>
  <c r="AI15" i="1"/>
  <c r="BK15" i="1" s="1"/>
  <c r="AI14" i="1"/>
  <c r="BK14" i="1" s="1"/>
  <c r="AI13" i="1"/>
  <c r="BK13" i="1" s="1"/>
  <c r="AI12" i="1"/>
  <c r="BK12" i="1" s="1"/>
  <c r="AI11" i="1"/>
  <c r="BK11" i="1" s="1"/>
  <c r="AI10" i="1"/>
  <c r="BK10" i="1" s="1"/>
  <c r="AI9" i="1"/>
  <c r="BK9" i="1" s="1"/>
  <c r="AI8" i="1"/>
  <c r="BK8" i="1" s="1"/>
  <c r="AI7" i="1"/>
  <c r="BK7" i="1" s="1"/>
  <c r="AI6" i="1"/>
  <c r="BK6" i="1" s="1"/>
  <c r="AK402" i="1"/>
  <c r="AN402" i="1"/>
  <c r="AI402" i="1"/>
  <c r="AB402" i="1"/>
  <c r="Z402" i="1"/>
  <c r="Y402" i="1"/>
  <c r="V402" i="1"/>
  <c r="T402" i="1"/>
  <c r="O402" i="1"/>
  <c r="N402" i="1"/>
  <c r="M402" i="1"/>
  <c r="L402" i="1"/>
  <c r="K402" i="1"/>
  <c r="J402" i="1"/>
  <c r="AK401" i="1"/>
  <c r="AN401" i="1"/>
  <c r="AI401" i="1"/>
  <c r="AB401" i="1"/>
  <c r="Z401" i="1"/>
  <c r="Y401" i="1"/>
  <c r="V401" i="1"/>
  <c r="T401" i="1"/>
  <c r="O401" i="1"/>
  <c r="N401" i="1"/>
  <c r="M401" i="1"/>
  <c r="L401" i="1"/>
  <c r="K401" i="1"/>
  <c r="J401" i="1"/>
  <c r="AN400" i="1"/>
  <c r="AI400" i="1"/>
  <c r="AB400" i="1"/>
  <c r="Z400" i="1"/>
  <c r="Y400" i="1"/>
  <c r="V400" i="1"/>
  <c r="T400" i="1"/>
  <c r="O400" i="1"/>
  <c r="N400" i="1"/>
  <c r="M400" i="1"/>
  <c r="L400" i="1"/>
  <c r="K400" i="1"/>
  <c r="J400" i="1"/>
  <c r="AN399" i="1"/>
  <c r="AI399" i="1"/>
  <c r="AB399" i="1"/>
  <c r="Z399" i="1"/>
  <c r="Y399" i="1"/>
  <c r="V399" i="1"/>
  <c r="T399" i="1"/>
  <c r="O399" i="1"/>
  <c r="N399" i="1"/>
  <c r="M399" i="1"/>
  <c r="L399" i="1"/>
  <c r="K399" i="1"/>
  <c r="J399" i="1"/>
  <c r="AN398" i="1"/>
  <c r="AI398" i="1"/>
  <c r="AB398" i="1"/>
  <c r="Z398" i="1"/>
  <c r="Y398" i="1"/>
  <c r="V398" i="1"/>
  <c r="T398" i="1"/>
  <c r="O398" i="1"/>
  <c r="N398" i="1"/>
  <c r="M398" i="1"/>
  <c r="L398" i="1"/>
  <c r="K398" i="1"/>
  <c r="J398" i="1"/>
  <c r="AN397" i="1"/>
  <c r="AI397" i="1"/>
  <c r="AB397" i="1"/>
  <c r="Z397" i="1"/>
  <c r="Y397" i="1"/>
  <c r="V397" i="1"/>
  <c r="T397" i="1"/>
  <c r="O397" i="1"/>
  <c r="N397" i="1"/>
  <c r="M397" i="1"/>
  <c r="L397" i="1"/>
  <c r="K397" i="1"/>
  <c r="J397" i="1"/>
  <c r="AN396" i="1"/>
  <c r="AI396" i="1"/>
  <c r="AB396" i="1"/>
  <c r="Z396" i="1"/>
  <c r="Y396" i="1"/>
  <c r="V396" i="1"/>
  <c r="T396" i="1"/>
  <c r="O396" i="1"/>
  <c r="N396" i="1"/>
  <c r="M396" i="1"/>
  <c r="L396" i="1"/>
  <c r="K396" i="1"/>
  <c r="J396" i="1"/>
  <c r="AN395" i="1"/>
  <c r="AI395" i="1"/>
  <c r="AB395" i="1"/>
  <c r="Z395" i="1"/>
  <c r="Y395" i="1"/>
  <c r="V395" i="1"/>
  <c r="T395" i="1"/>
  <c r="O395" i="1"/>
  <c r="N395" i="1"/>
  <c r="M395" i="1"/>
  <c r="L395" i="1"/>
  <c r="K395" i="1"/>
  <c r="J395" i="1"/>
  <c r="AN394" i="1"/>
  <c r="AI394" i="1"/>
  <c r="AB394" i="1"/>
  <c r="Z394" i="1"/>
  <c r="Y394" i="1"/>
  <c r="V394" i="1"/>
  <c r="T394" i="1"/>
  <c r="O394" i="1"/>
  <c r="N394" i="1"/>
  <c r="M394" i="1"/>
  <c r="L394" i="1"/>
  <c r="K394" i="1"/>
  <c r="J394" i="1"/>
  <c r="AN393" i="1"/>
  <c r="AB393" i="1"/>
  <c r="Z393" i="1"/>
  <c r="Y393" i="1"/>
  <c r="V393" i="1"/>
  <c r="T393" i="1"/>
  <c r="O393" i="1"/>
  <c r="N393" i="1"/>
  <c r="M393" i="1"/>
  <c r="L393" i="1"/>
  <c r="K393" i="1"/>
  <c r="J393" i="1"/>
  <c r="AN392" i="1"/>
  <c r="AB392" i="1"/>
  <c r="Z392" i="1"/>
  <c r="Y392" i="1"/>
  <c r="V392" i="1"/>
  <c r="T392" i="1"/>
  <c r="O392" i="1"/>
  <c r="N392" i="1"/>
  <c r="M392" i="1"/>
  <c r="L392" i="1"/>
  <c r="K392" i="1"/>
  <c r="J392" i="1"/>
  <c r="AN391" i="1"/>
  <c r="AB391" i="1"/>
  <c r="Z391" i="1"/>
  <c r="Y391" i="1"/>
  <c r="V391" i="1"/>
  <c r="T391" i="1"/>
  <c r="O391" i="1"/>
  <c r="N391" i="1"/>
  <c r="M391" i="1"/>
  <c r="L391" i="1"/>
  <c r="K391" i="1"/>
  <c r="J391" i="1"/>
  <c r="AK387" i="1"/>
  <c r="AN387" i="1"/>
  <c r="AI387" i="1"/>
  <c r="AB387" i="1"/>
  <c r="AA387" i="1"/>
  <c r="Z387" i="1"/>
  <c r="Y387" i="1"/>
  <c r="W387" i="1"/>
  <c r="V387" i="1"/>
  <c r="U387" i="1"/>
  <c r="T387" i="1"/>
  <c r="P387" i="1"/>
  <c r="O387" i="1"/>
  <c r="N387" i="1"/>
  <c r="M387" i="1"/>
  <c r="L387" i="1"/>
  <c r="K387" i="1"/>
  <c r="J387" i="1"/>
  <c r="AK386" i="1"/>
  <c r="AN386" i="1"/>
  <c r="AI386" i="1"/>
  <c r="AB386" i="1"/>
  <c r="AA386" i="1"/>
  <c r="Z386" i="1"/>
  <c r="Y386" i="1"/>
  <c r="W386" i="1"/>
  <c r="V386" i="1"/>
  <c r="U386" i="1"/>
  <c r="T386" i="1"/>
  <c r="P386" i="1"/>
  <c r="O386" i="1"/>
  <c r="N386" i="1"/>
  <c r="M386" i="1"/>
  <c r="L386" i="1"/>
  <c r="K386" i="1"/>
  <c r="J386" i="1"/>
  <c r="AN385" i="1"/>
  <c r="AI385" i="1"/>
  <c r="AB385" i="1"/>
  <c r="AA385" i="1"/>
  <c r="Z385" i="1"/>
  <c r="Y385" i="1"/>
  <c r="W385" i="1"/>
  <c r="V385" i="1"/>
  <c r="U385" i="1"/>
  <c r="T385" i="1"/>
  <c r="P385" i="1"/>
  <c r="O385" i="1"/>
  <c r="N385" i="1"/>
  <c r="M385" i="1"/>
  <c r="L385" i="1"/>
  <c r="K385" i="1"/>
  <c r="J385" i="1"/>
  <c r="AN384" i="1"/>
  <c r="AI384" i="1"/>
  <c r="AB384" i="1"/>
  <c r="AA384" i="1"/>
  <c r="Z384" i="1"/>
  <c r="Y384" i="1"/>
  <c r="W384" i="1"/>
  <c r="V384" i="1"/>
  <c r="U384" i="1"/>
  <c r="T384" i="1"/>
  <c r="P384" i="1"/>
  <c r="O384" i="1"/>
  <c r="N384" i="1"/>
  <c r="M384" i="1"/>
  <c r="L384" i="1"/>
  <c r="K384" i="1"/>
  <c r="J384" i="1"/>
  <c r="AN383" i="1"/>
  <c r="AI383" i="1"/>
  <c r="AB383" i="1"/>
  <c r="AA383" i="1"/>
  <c r="Z383" i="1"/>
  <c r="Y383" i="1"/>
  <c r="W383" i="1"/>
  <c r="V383" i="1"/>
  <c r="U383" i="1"/>
  <c r="T383" i="1"/>
  <c r="P383" i="1"/>
  <c r="O383" i="1"/>
  <c r="N383" i="1"/>
  <c r="M383" i="1"/>
  <c r="L383" i="1"/>
  <c r="K383" i="1"/>
  <c r="J383" i="1"/>
  <c r="AN382" i="1"/>
  <c r="AI382" i="1"/>
  <c r="AB382" i="1"/>
  <c r="AA382" i="1"/>
  <c r="Z382" i="1"/>
  <c r="Y382" i="1"/>
  <c r="W382" i="1"/>
  <c r="V382" i="1"/>
  <c r="U382" i="1"/>
  <c r="T382" i="1"/>
  <c r="P382" i="1"/>
  <c r="O382" i="1"/>
  <c r="N382" i="1"/>
  <c r="M382" i="1"/>
  <c r="L382" i="1"/>
  <c r="K382" i="1"/>
  <c r="J382" i="1"/>
  <c r="AN381" i="1"/>
  <c r="AI381" i="1"/>
  <c r="AB381" i="1"/>
  <c r="AA381" i="1"/>
  <c r="Z381" i="1"/>
  <c r="Y381" i="1"/>
  <c r="W381" i="1"/>
  <c r="V381" i="1"/>
  <c r="U381" i="1"/>
  <c r="T381" i="1"/>
  <c r="P381" i="1"/>
  <c r="O381" i="1"/>
  <c r="N381" i="1"/>
  <c r="M381" i="1"/>
  <c r="L381" i="1"/>
  <c r="K381" i="1"/>
  <c r="J381" i="1"/>
  <c r="AN380" i="1"/>
  <c r="AI380" i="1"/>
  <c r="AB380" i="1"/>
  <c r="AA380" i="1"/>
  <c r="Z380" i="1"/>
  <c r="Y380" i="1"/>
  <c r="W380" i="1"/>
  <c r="V380" i="1"/>
  <c r="U380" i="1"/>
  <c r="T380" i="1"/>
  <c r="P380" i="1"/>
  <c r="O380" i="1"/>
  <c r="N380" i="1"/>
  <c r="M380" i="1"/>
  <c r="L380" i="1"/>
  <c r="K380" i="1"/>
  <c r="J380" i="1"/>
  <c r="AN379" i="1"/>
  <c r="AI379" i="1"/>
  <c r="AB379" i="1"/>
  <c r="AA379" i="1"/>
  <c r="Z379" i="1"/>
  <c r="Y379" i="1"/>
  <c r="W379" i="1"/>
  <c r="V379" i="1"/>
  <c r="U379" i="1"/>
  <c r="T379" i="1"/>
  <c r="P379" i="1"/>
  <c r="O379" i="1"/>
  <c r="N379" i="1"/>
  <c r="M379" i="1"/>
  <c r="L379" i="1"/>
  <c r="K379" i="1"/>
  <c r="J379" i="1"/>
  <c r="AN378" i="1"/>
  <c r="AI378" i="1"/>
  <c r="AB378" i="1"/>
  <c r="AA378" i="1"/>
  <c r="Z378" i="1"/>
  <c r="Y378" i="1"/>
  <c r="W378" i="1"/>
  <c r="V378" i="1"/>
  <c r="U378" i="1"/>
  <c r="T378" i="1"/>
  <c r="P378" i="1"/>
  <c r="O378" i="1"/>
  <c r="N378" i="1"/>
  <c r="M378" i="1"/>
  <c r="L378" i="1"/>
  <c r="K378" i="1"/>
  <c r="J378" i="1"/>
  <c r="AN377" i="1"/>
  <c r="AB377" i="1"/>
  <c r="AA377" i="1"/>
  <c r="Z377" i="1"/>
  <c r="Y377" i="1"/>
  <c r="W377" i="1"/>
  <c r="V377" i="1"/>
  <c r="U377" i="1"/>
  <c r="T377" i="1"/>
  <c r="P377" i="1"/>
  <c r="O377" i="1"/>
  <c r="N377" i="1"/>
  <c r="M377" i="1"/>
  <c r="L377" i="1"/>
  <c r="K377" i="1"/>
  <c r="J377" i="1"/>
  <c r="AN376" i="1"/>
  <c r="AB376" i="1"/>
  <c r="AA376" i="1"/>
  <c r="Z376" i="1"/>
  <c r="Y376" i="1"/>
  <c r="W376" i="1"/>
  <c r="V376" i="1"/>
  <c r="U376" i="1"/>
  <c r="T376" i="1"/>
  <c r="P376" i="1"/>
  <c r="O376" i="1"/>
  <c r="N376" i="1"/>
  <c r="M376" i="1"/>
  <c r="L376" i="1"/>
  <c r="K376" i="1"/>
  <c r="J376" i="1"/>
  <c r="AI376" i="1" l="1"/>
  <c r="BK36" i="1"/>
  <c r="AI392" i="1"/>
  <c r="AI393" i="1"/>
  <c r="AI23" i="1" l="1"/>
  <c r="AI391" i="1" l="1"/>
  <c r="BK23" i="1"/>
  <c r="AJ62" i="1"/>
  <c r="AK296" i="1" l="1"/>
  <c r="BL296" i="1" s="1"/>
  <c r="AK295" i="1"/>
  <c r="BL295" i="1" s="1"/>
  <c r="AK294" i="1"/>
  <c r="BL294" i="1" s="1"/>
  <c r="AK293" i="1"/>
  <c r="BL293" i="1" s="1"/>
  <c r="AK292" i="1"/>
  <c r="BL292" i="1" s="1"/>
  <c r="AK291" i="1"/>
  <c r="BL291" i="1" s="1"/>
  <c r="AK290" i="1"/>
  <c r="BL290" i="1" s="1"/>
  <c r="AK289" i="1"/>
  <c r="BL289" i="1" s="1"/>
  <c r="AK288" i="1"/>
  <c r="BL288" i="1" s="1"/>
  <c r="AK287" i="1"/>
  <c r="BL287" i="1" s="1"/>
  <c r="AK286" i="1"/>
  <c r="BL286" i="1" s="1"/>
  <c r="AK285" i="1"/>
  <c r="BL285" i="1" s="1"/>
  <c r="AK284" i="1"/>
  <c r="BL284" i="1" s="1"/>
  <c r="AK283" i="1"/>
  <c r="BL283" i="1" s="1"/>
  <c r="AK282" i="1"/>
  <c r="BL282" i="1" s="1"/>
  <c r="AK281" i="1"/>
  <c r="BL281" i="1" s="1"/>
  <c r="AK280" i="1"/>
  <c r="BL280" i="1" s="1"/>
  <c r="AK279" i="1"/>
  <c r="BL279" i="1" s="1"/>
  <c r="AK278" i="1"/>
  <c r="BL278" i="1" s="1"/>
  <c r="AK277" i="1"/>
  <c r="BL277" i="1" s="1"/>
  <c r="AK276" i="1"/>
  <c r="BL276" i="1" s="1"/>
  <c r="AK275" i="1"/>
  <c r="BL275" i="1" s="1"/>
  <c r="AK274" i="1"/>
  <c r="BL274" i="1" s="1"/>
  <c r="AK273" i="1"/>
  <c r="BL273" i="1" s="1"/>
  <c r="AK272" i="1"/>
  <c r="BL272" i="1" s="1"/>
  <c r="AK271" i="1"/>
  <c r="BL271" i="1" s="1"/>
  <c r="AK270" i="1"/>
  <c r="BL270" i="1" s="1"/>
  <c r="AK269" i="1"/>
  <c r="BL269" i="1" s="1"/>
  <c r="AK268" i="1"/>
  <c r="BL268" i="1" s="1"/>
  <c r="AK267" i="1"/>
  <c r="BL267" i="1" s="1"/>
  <c r="AK266" i="1"/>
  <c r="BL266" i="1" s="1"/>
  <c r="AK265" i="1"/>
  <c r="BL265" i="1" s="1"/>
  <c r="AK264" i="1"/>
  <c r="BL264" i="1" s="1"/>
  <c r="AK263" i="1"/>
  <c r="BL263" i="1" s="1"/>
  <c r="AK262" i="1"/>
  <c r="BL262" i="1" s="1"/>
  <c r="AK261" i="1"/>
  <c r="BL261" i="1" s="1"/>
  <c r="AK260" i="1"/>
  <c r="BL260" i="1" s="1"/>
  <c r="AK259" i="1"/>
  <c r="BL259" i="1" s="1"/>
  <c r="AK258" i="1"/>
  <c r="BL258" i="1" s="1"/>
  <c r="AK257" i="1"/>
  <c r="BL257" i="1" s="1"/>
  <c r="AK256" i="1"/>
  <c r="BL256" i="1" s="1"/>
  <c r="AK255" i="1"/>
  <c r="BL255" i="1" s="1"/>
  <c r="AK254" i="1"/>
  <c r="BL254" i="1" s="1"/>
  <c r="AK253" i="1"/>
  <c r="BL253" i="1" s="1"/>
  <c r="AK252" i="1"/>
  <c r="BL252" i="1" s="1"/>
  <c r="AK251" i="1"/>
  <c r="BL251" i="1" s="1"/>
  <c r="AK250" i="1"/>
  <c r="BL250" i="1" s="1"/>
  <c r="AK249" i="1"/>
  <c r="BL249" i="1" s="1"/>
  <c r="AK248" i="1"/>
  <c r="BL248" i="1" s="1"/>
  <c r="AK247" i="1"/>
  <c r="BL247" i="1" s="1"/>
  <c r="AK246" i="1"/>
  <c r="BL246" i="1" s="1"/>
  <c r="AK245" i="1"/>
  <c r="BL245" i="1" s="1"/>
  <c r="AK244" i="1"/>
  <c r="BL244" i="1" s="1"/>
  <c r="AK243" i="1"/>
  <c r="BL243" i="1" s="1"/>
  <c r="AK242" i="1"/>
  <c r="BL242" i="1" s="1"/>
  <c r="AK241" i="1"/>
  <c r="BL241" i="1" s="1"/>
  <c r="AK240" i="1"/>
  <c r="BL240" i="1" s="1"/>
  <c r="AK239" i="1"/>
  <c r="BL239" i="1" s="1"/>
  <c r="AK238" i="1"/>
  <c r="BL238" i="1" s="1"/>
  <c r="AK237" i="1"/>
  <c r="BL237" i="1" s="1"/>
  <c r="AK236" i="1"/>
  <c r="BL236" i="1" s="1"/>
  <c r="AK235" i="1"/>
  <c r="BL235" i="1" s="1"/>
  <c r="AK234" i="1"/>
  <c r="BL234" i="1" s="1"/>
  <c r="AK233" i="1"/>
  <c r="BL233" i="1" s="1"/>
  <c r="AK232" i="1"/>
  <c r="BL232" i="1" s="1"/>
  <c r="AK231" i="1"/>
  <c r="BL231" i="1" s="1"/>
  <c r="AK230" i="1"/>
  <c r="BL230" i="1" s="1"/>
  <c r="AK229" i="1"/>
  <c r="BL229" i="1" s="1"/>
  <c r="AK228" i="1"/>
  <c r="BL228" i="1" s="1"/>
  <c r="AK227" i="1"/>
  <c r="BL227" i="1" s="1"/>
  <c r="AK226" i="1"/>
  <c r="BL226" i="1" s="1"/>
  <c r="AK225" i="1"/>
  <c r="BL225" i="1" s="1"/>
  <c r="AK224" i="1"/>
  <c r="BL224" i="1" s="1"/>
  <c r="AK223" i="1"/>
  <c r="BL223" i="1" s="1"/>
  <c r="AK222" i="1"/>
  <c r="BL222" i="1" s="1"/>
  <c r="AK221" i="1"/>
  <c r="BL221" i="1" s="1"/>
  <c r="AK220" i="1"/>
  <c r="BL220" i="1" s="1"/>
  <c r="AK219" i="1"/>
  <c r="BL219" i="1" s="1"/>
  <c r="AK218" i="1"/>
  <c r="BL218" i="1" s="1"/>
  <c r="AK217" i="1"/>
  <c r="BL217" i="1" s="1"/>
  <c r="AK216" i="1"/>
  <c r="BL216" i="1" s="1"/>
  <c r="AK215" i="1"/>
  <c r="BL215" i="1" s="1"/>
  <c r="AK214" i="1"/>
  <c r="BL214" i="1" s="1"/>
  <c r="AK213" i="1"/>
  <c r="BL213" i="1" s="1"/>
  <c r="AK212" i="1"/>
  <c r="BL212" i="1" s="1"/>
  <c r="AK211" i="1"/>
  <c r="BL211" i="1" s="1"/>
  <c r="AK210" i="1"/>
  <c r="BL210" i="1" s="1"/>
  <c r="AK209" i="1"/>
  <c r="BL209" i="1" s="1"/>
  <c r="AK208" i="1"/>
  <c r="BL208" i="1" s="1"/>
  <c r="AK207" i="1"/>
  <c r="BL207" i="1" s="1"/>
  <c r="AK206" i="1"/>
  <c r="BL206" i="1" s="1"/>
  <c r="AK205" i="1"/>
  <c r="BL205" i="1" s="1"/>
  <c r="AK204" i="1"/>
  <c r="BL204" i="1" s="1"/>
  <c r="AK203" i="1"/>
  <c r="BL203" i="1" s="1"/>
  <c r="AK202" i="1"/>
  <c r="BL202" i="1" s="1"/>
  <c r="AK201" i="1"/>
  <c r="BL201" i="1" s="1"/>
  <c r="AK200" i="1"/>
  <c r="BL200" i="1" s="1"/>
  <c r="AK199" i="1"/>
  <c r="BL199" i="1" s="1"/>
  <c r="AK198" i="1"/>
  <c r="BL198" i="1" s="1"/>
  <c r="AK197" i="1"/>
  <c r="BL197" i="1" s="1"/>
  <c r="AK196" i="1"/>
  <c r="BL196" i="1" s="1"/>
  <c r="AK195" i="1"/>
  <c r="BL195" i="1" s="1"/>
  <c r="AK194" i="1"/>
  <c r="BL194" i="1" s="1"/>
  <c r="AK193" i="1"/>
  <c r="BL193" i="1" s="1"/>
  <c r="AK192" i="1"/>
  <c r="BL192" i="1" s="1"/>
  <c r="AK191" i="1"/>
  <c r="BL191" i="1" s="1"/>
  <c r="AK190" i="1"/>
  <c r="BL190" i="1" s="1"/>
  <c r="AK189" i="1"/>
  <c r="BL189" i="1" s="1"/>
  <c r="AK188" i="1"/>
  <c r="BL188" i="1" s="1"/>
  <c r="AK187" i="1"/>
  <c r="BL187" i="1" s="1"/>
  <c r="AK186" i="1"/>
  <c r="BL186" i="1" s="1"/>
  <c r="AK185" i="1"/>
  <c r="BL185" i="1" s="1"/>
  <c r="AK184" i="1"/>
  <c r="BL184" i="1" s="1"/>
  <c r="AK183" i="1"/>
  <c r="BL183" i="1" s="1"/>
  <c r="AK182" i="1"/>
  <c r="BL182" i="1" s="1"/>
  <c r="AK181" i="1"/>
  <c r="BL181" i="1" s="1"/>
  <c r="AK180" i="1"/>
  <c r="BL180" i="1" s="1"/>
  <c r="AK179" i="1"/>
  <c r="BL179" i="1" s="1"/>
  <c r="AK178" i="1"/>
  <c r="BL178" i="1" s="1"/>
  <c r="AK177" i="1"/>
  <c r="BL177" i="1" s="1"/>
  <c r="AK176" i="1"/>
  <c r="BL176" i="1" s="1"/>
  <c r="AK175" i="1"/>
  <c r="BL175" i="1" s="1"/>
  <c r="AK174" i="1"/>
  <c r="BL174" i="1" s="1"/>
  <c r="AK173" i="1"/>
  <c r="BL173" i="1" s="1"/>
  <c r="AK172" i="1"/>
  <c r="BL172" i="1" s="1"/>
  <c r="AK171" i="1"/>
  <c r="BL171" i="1" s="1"/>
  <c r="AK170" i="1"/>
  <c r="BL170" i="1" s="1"/>
  <c r="AK169" i="1"/>
  <c r="BL169" i="1" s="1"/>
  <c r="AK168" i="1"/>
  <c r="BL168" i="1" s="1"/>
  <c r="AK167" i="1"/>
  <c r="BL167" i="1" s="1"/>
  <c r="AK166" i="1"/>
  <c r="BL166" i="1" s="1"/>
  <c r="AK165" i="1"/>
  <c r="BL165" i="1" s="1"/>
  <c r="AK164" i="1"/>
  <c r="BL164" i="1" s="1"/>
  <c r="AK163" i="1"/>
  <c r="BL163" i="1" s="1"/>
  <c r="AK162" i="1"/>
  <c r="BL162" i="1" s="1"/>
  <c r="AK161" i="1"/>
  <c r="BL161" i="1" s="1"/>
  <c r="AK160" i="1"/>
  <c r="BL160" i="1" s="1"/>
  <c r="AK159" i="1"/>
  <c r="BL159" i="1" s="1"/>
  <c r="AK158" i="1"/>
  <c r="BL158" i="1" s="1"/>
  <c r="AK157" i="1"/>
  <c r="BL157" i="1" s="1"/>
  <c r="AK156" i="1"/>
  <c r="BL156" i="1" s="1"/>
  <c r="AK155" i="1"/>
  <c r="BL155" i="1" s="1"/>
  <c r="AK154" i="1"/>
  <c r="BL154" i="1" s="1"/>
  <c r="AK153" i="1"/>
  <c r="BL153" i="1" s="1"/>
  <c r="AK398" i="1" l="1"/>
  <c r="AK383" i="1"/>
  <c r="AK396" i="1"/>
  <c r="AK381" i="1"/>
  <c r="AK382" i="1"/>
  <c r="AK397" i="1"/>
  <c r="AK384" i="1"/>
  <c r="AK399" i="1"/>
  <c r="AK400" i="1"/>
  <c r="AK385" i="1"/>
  <c r="AK152" i="1"/>
  <c r="BL152" i="1" s="1"/>
  <c r="AK151" i="1"/>
  <c r="BL151" i="1" s="1"/>
  <c r="AK150" i="1"/>
  <c r="BL150" i="1" s="1"/>
  <c r="AK149" i="1"/>
  <c r="BL149" i="1" s="1"/>
  <c r="AK148" i="1"/>
  <c r="BL148" i="1" s="1"/>
  <c r="AK147" i="1"/>
  <c r="BL147" i="1" s="1"/>
  <c r="AK146" i="1"/>
  <c r="BL146" i="1" s="1"/>
  <c r="AK145" i="1"/>
  <c r="BL145" i="1" s="1"/>
  <c r="AK144" i="1"/>
  <c r="BL144" i="1" s="1"/>
  <c r="AK143" i="1"/>
  <c r="BL143" i="1" s="1"/>
  <c r="AK142" i="1"/>
  <c r="BL142" i="1" s="1"/>
  <c r="AK141" i="1"/>
  <c r="BL141" i="1" s="1"/>
  <c r="AK140" i="1"/>
  <c r="BL140" i="1" s="1"/>
  <c r="AK139" i="1"/>
  <c r="BL139" i="1" s="1"/>
  <c r="AK138" i="1"/>
  <c r="BL138" i="1" s="1"/>
  <c r="AK137" i="1"/>
  <c r="BL137" i="1" s="1"/>
  <c r="AK136" i="1"/>
  <c r="BL136" i="1" s="1"/>
  <c r="AK135" i="1"/>
  <c r="BL135" i="1" s="1"/>
  <c r="AK134" i="1"/>
  <c r="BL134" i="1" s="1"/>
  <c r="AK133" i="1"/>
  <c r="BL133" i="1" s="1"/>
  <c r="AK132" i="1"/>
  <c r="BL132" i="1" s="1"/>
  <c r="AK131" i="1"/>
  <c r="BL131" i="1" s="1"/>
  <c r="AK130" i="1"/>
  <c r="BL130" i="1" s="1"/>
  <c r="AK129" i="1"/>
  <c r="BL129" i="1" s="1"/>
  <c r="AK128" i="1"/>
  <c r="BL128" i="1" s="1"/>
  <c r="AK127" i="1"/>
  <c r="BL127" i="1" s="1"/>
  <c r="AK126" i="1"/>
  <c r="BL126" i="1" s="1"/>
  <c r="AK125" i="1"/>
  <c r="BL125" i="1" s="1"/>
  <c r="AK124" i="1"/>
  <c r="BL124" i="1" s="1"/>
  <c r="AK123" i="1"/>
  <c r="BL123" i="1" s="1"/>
  <c r="AK122" i="1"/>
  <c r="BL122" i="1" s="1"/>
  <c r="AK121" i="1"/>
  <c r="BL121" i="1" s="1"/>
  <c r="AK120" i="1"/>
  <c r="BL120" i="1" s="1"/>
  <c r="AK119" i="1"/>
  <c r="BL119" i="1" s="1"/>
  <c r="AK118" i="1"/>
  <c r="BL118" i="1" s="1"/>
  <c r="AK117" i="1"/>
  <c r="BL117" i="1" s="1"/>
  <c r="AK116" i="1"/>
  <c r="BL116" i="1" s="1"/>
  <c r="AK115" i="1"/>
  <c r="BL115" i="1" s="1"/>
  <c r="AK114" i="1"/>
  <c r="BL114" i="1" s="1"/>
  <c r="AK380" i="1" l="1"/>
  <c r="AK395" i="1"/>
  <c r="AJ87" i="1"/>
  <c r="AK87" i="1" s="1"/>
  <c r="BL87" i="1" s="1"/>
  <c r="AJ91" i="1"/>
  <c r="AK91" i="1" s="1"/>
  <c r="BL91" i="1" s="1"/>
  <c r="AJ95" i="1"/>
  <c r="AK95" i="1" s="1"/>
  <c r="BL95" i="1" s="1"/>
  <c r="AJ99" i="1"/>
  <c r="AK99" i="1" s="1"/>
  <c r="BL99" i="1" s="1"/>
  <c r="AJ100" i="1"/>
  <c r="AK100" i="1" s="1"/>
  <c r="BL100" i="1" s="1"/>
  <c r="AJ88" i="1"/>
  <c r="AK88" i="1" s="1"/>
  <c r="BL88" i="1" s="1"/>
  <c r="AJ92" i="1"/>
  <c r="AK92" i="1" s="1"/>
  <c r="BL92" i="1" s="1"/>
  <c r="AJ96" i="1"/>
  <c r="AK96" i="1" s="1"/>
  <c r="BL96" i="1" s="1"/>
  <c r="AJ89" i="1"/>
  <c r="AK89" i="1" s="1"/>
  <c r="BL89" i="1" s="1"/>
  <c r="AJ93" i="1"/>
  <c r="AK93" i="1" s="1"/>
  <c r="BL93" i="1" s="1"/>
  <c r="AJ97" i="1"/>
  <c r="AK97" i="1" s="1"/>
  <c r="BL97" i="1" s="1"/>
  <c r="AJ101" i="1"/>
  <c r="AK101" i="1" s="1"/>
  <c r="BL101" i="1" s="1"/>
  <c r="AJ90" i="1"/>
  <c r="AK90" i="1" s="1"/>
  <c r="BL90" i="1" s="1"/>
  <c r="AJ94" i="1"/>
  <c r="AK94" i="1" s="1"/>
  <c r="BL94" i="1" s="1"/>
  <c r="AJ98" i="1"/>
  <c r="AK98" i="1" s="1"/>
  <c r="BL98" i="1" s="1"/>
  <c r="AP48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BM341" i="1" s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Q312" i="1" l="1"/>
  <c r="BN312" i="1" s="1"/>
  <c r="BM312" i="1"/>
  <c r="AQ314" i="1"/>
  <c r="BN314" i="1" s="1"/>
  <c r="BM314" i="1"/>
  <c r="AQ316" i="1"/>
  <c r="BN316" i="1" s="1"/>
  <c r="BM316" i="1"/>
  <c r="AQ318" i="1"/>
  <c r="BN318" i="1" s="1"/>
  <c r="BM318" i="1"/>
  <c r="AQ320" i="1"/>
  <c r="BN320" i="1" s="1"/>
  <c r="BM320" i="1"/>
  <c r="AQ322" i="1"/>
  <c r="BN322" i="1" s="1"/>
  <c r="BM322" i="1"/>
  <c r="AQ324" i="1"/>
  <c r="BN324" i="1" s="1"/>
  <c r="BM324" i="1"/>
  <c r="AQ326" i="1"/>
  <c r="BN326" i="1" s="1"/>
  <c r="BM326" i="1"/>
  <c r="AQ328" i="1"/>
  <c r="BN328" i="1" s="1"/>
  <c r="BM328" i="1"/>
  <c r="AQ330" i="1"/>
  <c r="BN330" i="1" s="1"/>
  <c r="BM330" i="1"/>
  <c r="AQ332" i="1"/>
  <c r="BN332" i="1" s="1"/>
  <c r="BM332" i="1"/>
  <c r="AQ334" i="1"/>
  <c r="BN334" i="1" s="1"/>
  <c r="BM334" i="1"/>
  <c r="AQ336" i="1"/>
  <c r="BN336" i="1" s="1"/>
  <c r="BM336" i="1"/>
  <c r="AQ338" i="1"/>
  <c r="BN338" i="1" s="1"/>
  <c r="BM338" i="1"/>
  <c r="AQ340" i="1"/>
  <c r="BN340" i="1" s="1"/>
  <c r="BM340" i="1"/>
  <c r="AQ342" i="1"/>
  <c r="BN342" i="1" s="1"/>
  <c r="BM342" i="1"/>
  <c r="AQ344" i="1"/>
  <c r="BN344" i="1" s="1"/>
  <c r="BM344" i="1"/>
  <c r="AQ346" i="1"/>
  <c r="BN346" i="1" s="1"/>
  <c r="BM346" i="1"/>
  <c r="AQ348" i="1"/>
  <c r="BN348" i="1" s="1"/>
  <c r="BM348" i="1"/>
  <c r="AQ350" i="1"/>
  <c r="BN350" i="1" s="1"/>
  <c r="BM350" i="1"/>
  <c r="AQ352" i="1"/>
  <c r="BN352" i="1" s="1"/>
  <c r="BM352" i="1"/>
  <c r="AQ354" i="1"/>
  <c r="BN354" i="1" s="1"/>
  <c r="BM354" i="1"/>
  <c r="AQ356" i="1"/>
  <c r="BN356" i="1" s="1"/>
  <c r="BM356" i="1"/>
  <c r="AQ358" i="1"/>
  <c r="BN358" i="1" s="1"/>
  <c r="BM358" i="1"/>
  <c r="AQ360" i="1"/>
  <c r="BN360" i="1" s="1"/>
  <c r="BM360" i="1"/>
  <c r="AQ362" i="1"/>
  <c r="BN362" i="1" s="1"/>
  <c r="BM362" i="1"/>
  <c r="AQ364" i="1"/>
  <c r="BN364" i="1" s="1"/>
  <c r="BM364" i="1"/>
  <c r="AQ366" i="1"/>
  <c r="BN366" i="1" s="1"/>
  <c r="BM366" i="1"/>
  <c r="AQ368" i="1"/>
  <c r="BN368" i="1" s="1"/>
  <c r="BM368" i="1"/>
  <c r="AQ370" i="1"/>
  <c r="BN370" i="1" s="1"/>
  <c r="BM370" i="1"/>
  <c r="AQ48" i="1"/>
  <c r="BN48" i="1" s="1"/>
  <c r="BM48" i="1"/>
  <c r="AQ313" i="1"/>
  <c r="BN313" i="1" s="1"/>
  <c r="BM313" i="1"/>
  <c r="AQ315" i="1"/>
  <c r="BN315" i="1" s="1"/>
  <c r="BM315" i="1"/>
  <c r="AQ317" i="1"/>
  <c r="BN317" i="1" s="1"/>
  <c r="BM317" i="1"/>
  <c r="AQ319" i="1"/>
  <c r="BN319" i="1" s="1"/>
  <c r="BM319" i="1"/>
  <c r="AQ321" i="1"/>
  <c r="BN321" i="1" s="1"/>
  <c r="BM321" i="1"/>
  <c r="AQ323" i="1"/>
  <c r="BN323" i="1" s="1"/>
  <c r="BM323" i="1"/>
  <c r="AQ325" i="1"/>
  <c r="BN325" i="1" s="1"/>
  <c r="BM325" i="1"/>
  <c r="AQ327" i="1"/>
  <c r="BN327" i="1" s="1"/>
  <c r="BM327" i="1"/>
  <c r="AQ329" i="1"/>
  <c r="BN329" i="1" s="1"/>
  <c r="BM329" i="1"/>
  <c r="AQ331" i="1"/>
  <c r="BN331" i="1" s="1"/>
  <c r="BM331" i="1"/>
  <c r="AQ333" i="1"/>
  <c r="BN333" i="1" s="1"/>
  <c r="BM333" i="1"/>
  <c r="AQ335" i="1"/>
  <c r="BN335" i="1" s="1"/>
  <c r="BM335" i="1"/>
  <c r="AQ337" i="1"/>
  <c r="BN337" i="1" s="1"/>
  <c r="BM337" i="1"/>
  <c r="AQ339" i="1"/>
  <c r="BN339" i="1" s="1"/>
  <c r="BM339" i="1"/>
  <c r="AQ343" i="1"/>
  <c r="BN343" i="1" s="1"/>
  <c r="BM343" i="1"/>
  <c r="AQ345" i="1"/>
  <c r="BN345" i="1" s="1"/>
  <c r="BM345" i="1"/>
  <c r="AQ347" i="1"/>
  <c r="BN347" i="1" s="1"/>
  <c r="BM347" i="1"/>
  <c r="AQ349" i="1"/>
  <c r="BN349" i="1" s="1"/>
  <c r="BM349" i="1"/>
  <c r="AQ351" i="1"/>
  <c r="BN351" i="1" s="1"/>
  <c r="BM351" i="1"/>
  <c r="AQ353" i="1"/>
  <c r="BN353" i="1" s="1"/>
  <c r="BM353" i="1"/>
  <c r="AQ355" i="1"/>
  <c r="BN355" i="1" s="1"/>
  <c r="BM355" i="1"/>
  <c r="AQ357" i="1"/>
  <c r="BN357" i="1" s="1"/>
  <c r="BM357" i="1"/>
  <c r="AQ359" i="1"/>
  <c r="BN359" i="1" s="1"/>
  <c r="BM359" i="1"/>
  <c r="AQ361" i="1"/>
  <c r="BN361" i="1" s="1"/>
  <c r="BM361" i="1"/>
  <c r="AQ363" i="1"/>
  <c r="BN363" i="1" s="1"/>
  <c r="BM363" i="1"/>
  <c r="AQ365" i="1"/>
  <c r="BN365" i="1" s="1"/>
  <c r="BM365" i="1"/>
  <c r="AQ367" i="1"/>
  <c r="BN367" i="1" s="1"/>
  <c r="BM367" i="1"/>
  <c r="AQ369" i="1"/>
  <c r="BN369" i="1" s="1"/>
  <c r="BM369" i="1"/>
  <c r="AQ371" i="1"/>
  <c r="BN371" i="1" s="1"/>
  <c r="BM371" i="1"/>
  <c r="AK394" i="1"/>
  <c r="AK379" i="1"/>
  <c r="AQ341" i="1"/>
  <c r="BN341" i="1" s="1"/>
  <c r="AP387" i="1"/>
  <c r="AP402" i="1"/>
  <c r="AP311" i="1"/>
  <c r="BM311" i="1" s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BM280" i="1" s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BM250" i="1" s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BM219" i="1" s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BM188" i="1" s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BM158" i="1" s="1"/>
  <c r="AP157" i="1"/>
  <c r="BM157" i="1" s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BM127" i="1" s="1"/>
  <c r="AQ128" i="1" l="1"/>
  <c r="BN128" i="1" s="1"/>
  <c r="BM128" i="1"/>
  <c r="AQ132" i="1"/>
  <c r="BN132" i="1" s="1"/>
  <c r="BM132" i="1"/>
  <c r="AQ129" i="1"/>
  <c r="BN129" i="1" s="1"/>
  <c r="BM129" i="1"/>
  <c r="AQ131" i="1"/>
  <c r="BN131" i="1" s="1"/>
  <c r="BM131" i="1"/>
  <c r="AQ133" i="1"/>
  <c r="BN133" i="1" s="1"/>
  <c r="BM133" i="1"/>
  <c r="AQ135" i="1"/>
  <c r="BN135" i="1" s="1"/>
  <c r="BM135" i="1"/>
  <c r="AQ137" i="1"/>
  <c r="BN137" i="1" s="1"/>
  <c r="BM137" i="1"/>
  <c r="AQ139" i="1"/>
  <c r="BN139" i="1" s="1"/>
  <c r="BM139" i="1"/>
  <c r="AQ141" i="1"/>
  <c r="BN141" i="1" s="1"/>
  <c r="BM141" i="1"/>
  <c r="AQ143" i="1"/>
  <c r="BN143" i="1" s="1"/>
  <c r="BM143" i="1"/>
  <c r="AQ145" i="1"/>
  <c r="BN145" i="1" s="1"/>
  <c r="BM145" i="1"/>
  <c r="AQ147" i="1"/>
  <c r="BN147" i="1" s="1"/>
  <c r="BM147" i="1"/>
  <c r="AQ149" i="1"/>
  <c r="BN149" i="1" s="1"/>
  <c r="BM149" i="1"/>
  <c r="AQ151" i="1"/>
  <c r="BN151" i="1" s="1"/>
  <c r="BM151" i="1"/>
  <c r="AQ153" i="1"/>
  <c r="BN153" i="1" s="1"/>
  <c r="BM153" i="1"/>
  <c r="AQ155" i="1"/>
  <c r="BN155" i="1" s="1"/>
  <c r="BM155" i="1"/>
  <c r="AQ159" i="1"/>
  <c r="BN159" i="1" s="1"/>
  <c r="BM159" i="1"/>
  <c r="AQ161" i="1"/>
  <c r="BN161" i="1" s="1"/>
  <c r="BM161" i="1"/>
  <c r="AQ163" i="1"/>
  <c r="BN163" i="1" s="1"/>
  <c r="BM163" i="1"/>
  <c r="AQ165" i="1"/>
  <c r="BN165" i="1" s="1"/>
  <c r="BM165" i="1"/>
  <c r="AQ167" i="1"/>
  <c r="BN167" i="1" s="1"/>
  <c r="BM167" i="1"/>
  <c r="AQ169" i="1"/>
  <c r="BN169" i="1" s="1"/>
  <c r="BM169" i="1"/>
  <c r="AQ171" i="1"/>
  <c r="BN171" i="1" s="1"/>
  <c r="BM171" i="1"/>
  <c r="AQ173" i="1"/>
  <c r="BN173" i="1" s="1"/>
  <c r="BM173" i="1"/>
  <c r="AQ175" i="1"/>
  <c r="BN175" i="1" s="1"/>
  <c r="BM175" i="1"/>
  <c r="AQ177" i="1"/>
  <c r="BN177" i="1" s="1"/>
  <c r="BM177" i="1"/>
  <c r="AQ179" i="1"/>
  <c r="BN179" i="1" s="1"/>
  <c r="BM179" i="1"/>
  <c r="AQ181" i="1"/>
  <c r="BN181" i="1" s="1"/>
  <c r="BM181" i="1"/>
  <c r="AQ183" i="1"/>
  <c r="BN183" i="1" s="1"/>
  <c r="BM183" i="1"/>
  <c r="AQ185" i="1"/>
  <c r="BN185" i="1" s="1"/>
  <c r="BM185" i="1"/>
  <c r="AQ187" i="1"/>
  <c r="BN187" i="1" s="1"/>
  <c r="BM187" i="1"/>
  <c r="AQ189" i="1"/>
  <c r="BN189" i="1" s="1"/>
  <c r="BM189" i="1"/>
  <c r="AQ191" i="1"/>
  <c r="BN191" i="1" s="1"/>
  <c r="BM191" i="1"/>
  <c r="AQ193" i="1"/>
  <c r="BN193" i="1" s="1"/>
  <c r="BM193" i="1"/>
  <c r="AQ195" i="1"/>
  <c r="BN195" i="1" s="1"/>
  <c r="BM195" i="1"/>
  <c r="AQ197" i="1"/>
  <c r="BN197" i="1" s="1"/>
  <c r="BM197" i="1"/>
  <c r="AQ199" i="1"/>
  <c r="BN199" i="1" s="1"/>
  <c r="BM199" i="1"/>
  <c r="AQ201" i="1"/>
  <c r="BN201" i="1" s="1"/>
  <c r="BM201" i="1"/>
  <c r="AQ203" i="1"/>
  <c r="BN203" i="1" s="1"/>
  <c r="BM203" i="1"/>
  <c r="AQ205" i="1"/>
  <c r="BN205" i="1" s="1"/>
  <c r="BM205" i="1"/>
  <c r="AQ207" i="1"/>
  <c r="BN207" i="1" s="1"/>
  <c r="BM207" i="1"/>
  <c r="AQ209" i="1"/>
  <c r="BN209" i="1" s="1"/>
  <c r="BM209" i="1"/>
  <c r="AQ211" i="1"/>
  <c r="BN211" i="1" s="1"/>
  <c r="BM211" i="1"/>
  <c r="AQ213" i="1"/>
  <c r="BN213" i="1" s="1"/>
  <c r="BM213" i="1"/>
  <c r="AQ215" i="1"/>
  <c r="BN215" i="1" s="1"/>
  <c r="BM215" i="1"/>
  <c r="AQ217" i="1"/>
  <c r="BN217" i="1" s="1"/>
  <c r="BM217" i="1"/>
  <c r="AQ221" i="1"/>
  <c r="BN221" i="1" s="1"/>
  <c r="BM221" i="1"/>
  <c r="AQ223" i="1"/>
  <c r="BN223" i="1" s="1"/>
  <c r="BM223" i="1"/>
  <c r="AQ225" i="1"/>
  <c r="BN225" i="1" s="1"/>
  <c r="BM225" i="1"/>
  <c r="AQ227" i="1"/>
  <c r="BN227" i="1" s="1"/>
  <c r="BM227" i="1"/>
  <c r="AQ229" i="1"/>
  <c r="BN229" i="1" s="1"/>
  <c r="BM229" i="1"/>
  <c r="AQ231" i="1"/>
  <c r="BN231" i="1" s="1"/>
  <c r="BM231" i="1"/>
  <c r="AQ233" i="1"/>
  <c r="BN233" i="1" s="1"/>
  <c r="BM233" i="1"/>
  <c r="AQ235" i="1"/>
  <c r="BN235" i="1" s="1"/>
  <c r="BM235" i="1"/>
  <c r="AQ237" i="1"/>
  <c r="BN237" i="1" s="1"/>
  <c r="BM237" i="1"/>
  <c r="AQ239" i="1"/>
  <c r="BN239" i="1" s="1"/>
  <c r="BM239" i="1"/>
  <c r="AQ241" i="1"/>
  <c r="BN241" i="1" s="1"/>
  <c r="BM241" i="1"/>
  <c r="AQ243" i="1"/>
  <c r="BN243" i="1" s="1"/>
  <c r="BM243" i="1"/>
  <c r="AQ245" i="1"/>
  <c r="BN245" i="1" s="1"/>
  <c r="BM245" i="1"/>
  <c r="AQ247" i="1"/>
  <c r="BN247" i="1" s="1"/>
  <c r="BM247" i="1"/>
  <c r="AQ249" i="1"/>
  <c r="BN249" i="1" s="1"/>
  <c r="BM249" i="1"/>
  <c r="AQ251" i="1"/>
  <c r="BN251" i="1" s="1"/>
  <c r="BM251" i="1"/>
  <c r="AQ253" i="1"/>
  <c r="BN253" i="1" s="1"/>
  <c r="BM253" i="1"/>
  <c r="AQ255" i="1"/>
  <c r="BN255" i="1" s="1"/>
  <c r="BM255" i="1"/>
  <c r="AQ257" i="1"/>
  <c r="BN257" i="1" s="1"/>
  <c r="BM257" i="1"/>
  <c r="AQ259" i="1"/>
  <c r="BN259" i="1" s="1"/>
  <c r="BM259" i="1"/>
  <c r="AQ261" i="1"/>
  <c r="BN261" i="1" s="1"/>
  <c r="BM261" i="1"/>
  <c r="AQ263" i="1"/>
  <c r="BN263" i="1" s="1"/>
  <c r="BM263" i="1"/>
  <c r="AQ265" i="1"/>
  <c r="BN265" i="1" s="1"/>
  <c r="BM265" i="1"/>
  <c r="AQ267" i="1"/>
  <c r="BN267" i="1" s="1"/>
  <c r="BM267" i="1"/>
  <c r="AQ269" i="1"/>
  <c r="BN269" i="1" s="1"/>
  <c r="BM269" i="1"/>
  <c r="AQ271" i="1"/>
  <c r="BN271" i="1" s="1"/>
  <c r="BM271" i="1"/>
  <c r="AQ273" i="1"/>
  <c r="BN273" i="1" s="1"/>
  <c r="BM273" i="1"/>
  <c r="AQ275" i="1"/>
  <c r="BN275" i="1" s="1"/>
  <c r="BM275" i="1"/>
  <c r="AQ277" i="1"/>
  <c r="BN277" i="1" s="1"/>
  <c r="BM277" i="1"/>
  <c r="AQ279" i="1"/>
  <c r="BN279" i="1" s="1"/>
  <c r="BM279" i="1"/>
  <c r="AQ281" i="1"/>
  <c r="BN281" i="1" s="1"/>
  <c r="BM281" i="1"/>
  <c r="AQ283" i="1"/>
  <c r="BN283" i="1" s="1"/>
  <c r="BM283" i="1"/>
  <c r="AQ285" i="1"/>
  <c r="BN285" i="1" s="1"/>
  <c r="BM285" i="1"/>
  <c r="AQ287" i="1"/>
  <c r="BN287" i="1" s="1"/>
  <c r="BM287" i="1"/>
  <c r="AQ289" i="1"/>
  <c r="BN289" i="1" s="1"/>
  <c r="BM289" i="1"/>
  <c r="AQ291" i="1"/>
  <c r="BN291" i="1" s="1"/>
  <c r="BM291" i="1"/>
  <c r="AQ293" i="1"/>
  <c r="BN293" i="1" s="1"/>
  <c r="BM293" i="1"/>
  <c r="AQ295" i="1"/>
  <c r="BN295" i="1" s="1"/>
  <c r="BM295" i="1"/>
  <c r="AQ297" i="1"/>
  <c r="BN297" i="1" s="1"/>
  <c r="BM297" i="1"/>
  <c r="AQ299" i="1"/>
  <c r="BN299" i="1" s="1"/>
  <c r="BM299" i="1"/>
  <c r="AQ301" i="1"/>
  <c r="BN301" i="1" s="1"/>
  <c r="BM301" i="1"/>
  <c r="AQ303" i="1"/>
  <c r="BN303" i="1" s="1"/>
  <c r="BM303" i="1"/>
  <c r="AQ305" i="1"/>
  <c r="BN305" i="1" s="1"/>
  <c r="BM305" i="1"/>
  <c r="AQ307" i="1"/>
  <c r="BN307" i="1" s="1"/>
  <c r="BM307" i="1"/>
  <c r="AQ309" i="1"/>
  <c r="BN309" i="1" s="1"/>
  <c r="BM309" i="1"/>
  <c r="AQ130" i="1"/>
  <c r="BN130" i="1" s="1"/>
  <c r="BM130" i="1"/>
  <c r="AQ134" i="1"/>
  <c r="BN134" i="1" s="1"/>
  <c r="BM134" i="1"/>
  <c r="AQ136" i="1"/>
  <c r="BN136" i="1" s="1"/>
  <c r="BM136" i="1"/>
  <c r="AQ138" i="1"/>
  <c r="BN138" i="1" s="1"/>
  <c r="BM138" i="1"/>
  <c r="AQ140" i="1"/>
  <c r="BN140" i="1" s="1"/>
  <c r="BM140" i="1"/>
  <c r="AQ142" i="1"/>
  <c r="BN142" i="1" s="1"/>
  <c r="BM142" i="1"/>
  <c r="AQ144" i="1"/>
  <c r="BN144" i="1" s="1"/>
  <c r="BM144" i="1"/>
  <c r="AQ146" i="1"/>
  <c r="BN146" i="1" s="1"/>
  <c r="BM146" i="1"/>
  <c r="AQ148" i="1"/>
  <c r="BN148" i="1" s="1"/>
  <c r="BM148" i="1"/>
  <c r="AQ150" i="1"/>
  <c r="BN150" i="1" s="1"/>
  <c r="BM150" i="1"/>
  <c r="AQ152" i="1"/>
  <c r="BN152" i="1" s="1"/>
  <c r="BM152" i="1"/>
  <c r="AQ154" i="1"/>
  <c r="BN154" i="1" s="1"/>
  <c r="BM154" i="1"/>
  <c r="AQ156" i="1"/>
  <c r="BN156" i="1" s="1"/>
  <c r="BM156" i="1"/>
  <c r="AQ160" i="1"/>
  <c r="BN160" i="1" s="1"/>
  <c r="BM160" i="1"/>
  <c r="AQ162" i="1"/>
  <c r="BN162" i="1" s="1"/>
  <c r="BM162" i="1"/>
  <c r="AQ164" i="1"/>
  <c r="BN164" i="1" s="1"/>
  <c r="BM164" i="1"/>
  <c r="AQ166" i="1"/>
  <c r="BN166" i="1" s="1"/>
  <c r="BM166" i="1"/>
  <c r="AQ168" i="1"/>
  <c r="BN168" i="1" s="1"/>
  <c r="BM168" i="1"/>
  <c r="AQ170" i="1"/>
  <c r="BN170" i="1" s="1"/>
  <c r="BM170" i="1"/>
  <c r="AQ172" i="1"/>
  <c r="BN172" i="1" s="1"/>
  <c r="BM172" i="1"/>
  <c r="AQ174" i="1"/>
  <c r="BN174" i="1" s="1"/>
  <c r="BM174" i="1"/>
  <c r="AQ176" i="1"/>
  <c r="BN176" i="1" s="1"/>
  <c r="BM176" i="1"/>
  <c r="AQ178" i="1"/>
  <c r="BN178" i="1" s="1"/>
  <c r="BM178" i="1"/>
  <c r="AQ180" i="1"/>
  <c r="BN180" i="1" s="1"/>
  <c r="BM180" i="1"/>
  <c r="AQ182" i="1"/>
  <c r="BN182" i="1" s="1"/>
  <c r="BM182" i="1"/>
  <c r="AQ184" i="1"/>
  <c r="BN184" i="1" s="1"/>
  <c r="BM184" i="1"/>
  <c r="AQ186" i="1"/>
  <c r="BN186" i="1" s="1"/>
  <c r="BM186" i="1"/>
  <c r="AQ190" i="1"/>
  <c r="BN190" i="1" s="1"/>
  <c r="BM190" i="1"/>
  <c r="AQ192" i="1"/>
  <c r="BN192" i="1" s="1"/>
  <c r="BM192" i="1"/>
  <c r="AQ194" i="1"/>
  <c r="BN194" i="1" s="1"/>
  <c r="BM194" i="1"/>
  <c r="AQ196" i="1"/>
  <c r="BN196" i="1" s="1"/>
  <c r="BM196" i="1"/>
  <c r="AQ198" i="1"/>
  <c r="BN198" i="1" s="1"/>
  <c r="BM198" i="1"/>
  <c r="AQ200" i="1"/>
  <c r="BN200" i="1" s="1"/>
  <c r="BM200" i="1"/>
  <c r="AQ202" i="1"/>
  <c r="BN202" i="1" s="1"/>
  <c r="BM202" i="1"/>
  <c r="AQ204" i="1"/>
  <c r="BN204" i="1" s="1"/>
  <c r="BM204" i="1"/>
  <c r="AQ206" i="1"/>
  <c r="BN206" i="1" s="1"/>
  <c r="BM206" i="1"/>
  <c r="AQ208" i="1"/>
  <c r="BN208" i="1" s="1"/>
  <c r="BM208" i="1"/>
  <c r="AQ210" i="1"/>
  <c r="BN210" i="1" s="1"/>
  <c r="BM210" i="1"/>
  <c r="AQ212" i="1"/>
  <c r="BN212" i="1" s="1"/>
  <c r="BM212" i="1"/>
  <c r="AQ214" i="1"/>
  <c r="BN214" i="1" s="1"/>
  <c r="BM214" i="1"/>
  <c r="AQ216" i="1"/>
  <c r="BN216" i="1" s="1"/>
  <c r="BM216" i="1"/>
  <c r="AQ218" i="1"/>
  <c r="BN218" i="1" s="1"/>
  <c r="BM218" i="1"/>
  <c r="AQ220" i="1"/>
  <c r="BN220" i="1" s="1"/>
  <c r="BM220" i="1"/>
  <c r="AQ222" i="1"/>
  <c r="BN222" i="1" s="1"/>
  <c r="BM222" i="1"/>
  <c r="AQ224" i="1"/>
  <c r="BN224" i="1" s="1"/>
  <c r="BM224" i="1"/>
  <c r="AQ226" i="1"/>
  <c r="BN226" i="1" s="1"/>
  <c r="BM226" i="1"/>
  <c r="AQ228" i="1"/>
  <c r="BN228" i="1" s="1"/>
  <c r="BM228" i="1"/>
  <c r="AQ230" i="1"/>
  <c r="BN230" i="1" s="1"/>
  <c r="BM230" i="1"/>
  <c r="AQ232" i="1"/>
  <c r="BN232" i="1" s="1"/>
  <c r="BM232" i="1"/>
  <c r="AQ234" i="1"/>
  <c r="BN234" i="1" s="1"/>
  <c r="BM234" i="1"/>
  <c r="AQ236" i="1"/>
  <c r="BN236" i="1" s="1"/>
  <c r="BM236" i="1"/>
  <c r="AQ238" i="1"/>
  <c r="BN238" i="1" s="1"/>
  <c r="BM238" i="1"/>
  <c r="AQ240" i="1"/>
  <c r="BN240" i="1" s="1"/>
  <c r="BM240" i="1"/>
  <c r="AQ242" i="1"/>
  <c r="BN242" i="1" s="1"/>
  <c r="BM242" i="1"/>
  <c r="AQ244" i="1"/>
  <c r="BN244" i="1" s="1"/>
  <c r="BM244" i="1"/>
  <c r="AQ246" i="1"/>
  <c r="BN246" i="1" s="1"/>
  <c r="BM246" i="1"/>
  <c r="AQ248" i="1"/>
  <c r="BN248" i="1" s="1"/>
  <c r="BM248" i="1"/>
  <c r="AQ252" i="1"/>
  <c r="BN252" i="1" s="1"/>
  <c r="BM252" i="1"/>
  <c r="AQ254" i="1"/>
  <c r="BN254" i="1" s="1"/>
  <c r="BM254" i="1"/>
  <c r="AQ256" i="1"/>
  <c r="BN256" i="1" s="1"/>
  <c r="BM256" i="1"/>
  <c r="AQ258" i="1"/>
  <c r="BN258" i="1" s="1"/>
  <c r="BM258" i="1"/>
  <c r="AQ260" i="1"/>
  <c r="BN260" i="1" s="1"/>
  <c r="BM260" i="1"/>
  <c r="AQ262" i="1"/>
  <c r="BN262" i="1" s="1"/>
  <c r="BM262" i="1"/>
  <c r="AQ264" i="1"/>
  <c r="BN264" i="1" s="1"/>
  <c r="BM264" i="1"/>
  <c r="AQ266" i="1"/>
  <c r="BN266" i="1" s="1"/>
  <c r="BM266" i="1"/>
  <c r="AQ268" i="1"/>
  <c r="BN268" i="1" s="1"/>
  <c r="BM268" i="1"/>
  <c r="AQ270" i="1"/>
  <c r="BN270" i="1" s="1"/>
  <c r="BM270" i="1"/>
  <c r="AQ272" i="1"/>
  <c r="BN272" i="1" s="1"/>
  <c r="BM272" i="1"/>
  <c r="AQ274" i="1"/>
  <c r="BN274" i="1" s="1"/>
  <c r="BM274" i="1"/>
  <c r="AQ276" i="1"/>
  <c r="BN276" i="1" s="1"/>
  <c r="BM276" i="1"/>
  <c r="AQ278" i="1"/>
  <c r="BN278" i="1" s="1"/>
  <c r="BM278" i="1"/>
  <c r="AQ282" i="1"/>
  <c r="BN282" i="1" s="1"/>
  <c r="BM282" i="1"/>
  <c r="AQ284" i="1"/>
  <c r="BN284" i="1" s="1"/>
  <c r="BM284" i="1"/>
  <c r="AQ286" i="1"/>
  <c r="BN286" i="1" s="1"/>
  <c r="BM286" i="1"/>
  <c r="AQ288" i="1"/>
  <c r="BN288" i="1" s="1"/>
  <c r="BM288" i="1"/>
  <c r="AQ290" i="1"/>
  <c r="BN290" i="1" s="1"/>
  <c r="BM290" i="1"/>
  <c r="AQ292" i="1"/>
  <c r="BN292" i="1" s="1"/>
  <c r="BM292" i="1"/>
  <c r="AQ294" i="1"/>
  <c r="BN294" i="1" s="1"/>
  <c r="BM294" i="1"/>
  <c r="AQ296" i="1"/>
  <c r="BN296" i="1" s="1"/>
  <c r="BM296" i="1"/>
  <c r="AQ298" i="1"/>
  <c r="BN298" i="1" s="1"/>
  <c r="BM298" i="1"/>
  <c r="AQ300" i="1"/>
  <c r="BN300" i="1" s="1"/>
  <c r="BM300" i="1"/>
  <c r="AQ302" i="1"/>
  <c r="BN302" i="1" s="1"/>
  <c r="BM302" i="1"/>
  <c r="AQ304" i="1"/>
  <c r="BN304" i="1" s="1"/>
  <c r="BM304" i="1"/>
  <c r="AQ306" i="1"/>
  <c r="BN306" i="1" s="1"/>
  <c r="BM306" i="1"/>
  <c r="AQ308" i="1"/>
  <c r="BN308" i="1" s="1"/>
  <c r="BM308" i="1"/>
  <c r="AQ310" i="1"/>
  <c r="BN310" i="1" s="1"/>
  <c r="BM310" i="1"/>
  <c r="AP401" i="1"/>
  <c r="AP386" i="1"/>
  <c r="AQ387" i="1"/>
  <c r="AQ402" i="1"/>
  <c r="AR387" i="1"/>
  <c r="AQ157" i="1"/>
  <c r="BN157" i="1" s="1"/>
  <c r="AP395" i="1"/>
  <c r="AP380" i="1"/>
  <c r="AP381" i="1"/>
  <c r="AP396" i="1"/>
  <c r="AP397" i="1"/>
  <c r="AP382" i="1"/>
  <c r="AP383" i="1"/>
  <c r="AP398" i="1"/>
  <c r="AQ250" i="1"/>
  <c r="AP399" i="1"/>
  <c r="AP384" i="1"/>
  <c r="AP385" i="1"/>
  <c r="AP400" i="1"/>
  <c r="AQ219" i="1"/>
  <c r="BN219" i="1" s="1"/>
  <c r="AQ280" i="1"/>
  <c r="BN280" i="1" s="1"/>
  <c r="AQ158" i="1"/>
  <c r="BN158" i="1" s="1"/>
  <c r="AQ127" i="1"/>
  <c r="BN127" i="1" s="1"/>
  <c r="AQ188" i="1"/>
  <c r="BN188" i="1" s="1"/>
  <c r="AQ311" i="1"/>
  <c r="BN311" i="1" s="1"/>
  <c r="AR384" i="1" l="1"/>
  <c r="BN250" i="1"/>
  <c r="AR382" i="1"/>
  <c r="AQ401" i="1"/>
  <c r="AQ386" i="1"/>
  <c r="AR386" i="1"/>
  <c r="AQ385" i="1"/>
  <c r="AQ400" i="1"/>
  <c r="AR385" i="1"/>
  <c r="AQ397" i="1"/>
  <c r="AQ382" i="1"/>
  <c r="AQ381" i="1"/>
  <c r="AQ396" i="1"/>
  <c r="AQ383" i="1"/>
  <c r="AQ398" i="1"/>
  <c r="AQ399" i="1"/>
  <c r="AQ384" i="1"/>
  <c r="AR383" i="1"/>
  <c r="AQ395" i="1"/>
  <c r="AQ380" i="1"/>
  <c r="AR381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BM97" i="1" s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BM66" i="1" s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7" i="1"/>
  <c r="AP46" i="1"/>
  <c r="AP45" i="1"/>
  <c r="AP44" i="1"/>
  <c r="AP43" i="1"/>
  <c r="AP42" i="1"/>
  <c r="AP41" i="1"/>
  <c r="AP40" i="1"/>
  <c r="AP39" i="1"/>
  <c r="AP38" i="1"/>
  <c r="AP37" i="1"/>
  <c r="BM37" i="1" s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BM6" i="1" s="1"/>
  <c r="AQ9" i="1" l="1"/>
  <c r="BN9" i="1" s="1"/>
  <c r="BM9" i="1"/>
  <c r="AQ13" i="1"/>
  <c r="BN13" i="1" s="1"/>
  <c r="BM13" i="1"/>
  <c r="AQ17" i="1"/>
  <c r="BN17" i="1" s="1"/>
  <c r="BM17" i="1"/>
  <c r="AQ21" i="1"/>
  <c r="BN21" i="1" s="1"/>
  <c r="BM21" i="1"/>
  <c r="AQ25" i="1"/>
  <c r="BN25" i="1" s="1"/>
  <c r="BM25" i="1"/>
  <c r="AQ27" i="1"/>
  <c r="BN27" i="1" s="1"/>
  <c r="BM27" i="1"/>
  <c r="AQ31" i="1"/>
  <c r="BN31" i="1" s="1"/>
  <c r="BM31" i="1"/>
  <c r="AQ35" i="1"/>
  <c r="BN35" i="1" s="1"/>
  <c r="BM35" i="1"/>
  <c r="AQ39" i="1"/>
  <c r="BN39" i="1" s="1"/>
  <c r="BM39" i="1"/>
  <c r="AQ43" i="1"/>
  <c r="BN43" i="1" s="1"/>
  <c r="BM43" i="1"/>
  <c r="AQ47" i="1"/>
  <c r="BN47" i="1" s="1"/>
  <c r="BM47" i="1"/>
  <c r="AQ52" i="1"/>
  <c r="BN52" i="1" s="1"/>
  <c r="BM52" i="1"/>
  <c r="AQ56" i="1"/>
  <c r="BN56" i="1" s="1"/>
  <c r="BM56" i="1"/>
  <c r="AQ60" i="1"/>
  <c r="BN60" i="1" s="1"/>
  <c r="BM60" i="1"/>
  <c r="AQ70" i="1"/>
  <c r="BN70" i="1" s="1"/>
  <c r="BM70" i="1"/>
  <c r="AQ74" i="1"/>
  <c r="BN74" i="1" s="1"/>
  <c r="BM74" i="1"/>
  <c r="AQ78" i="1"/>
  <c r="BN78" i="1" s="1"/>
  <c r="BM78" i="1"/>
  <c r="AQ82" i="1"/>
  <c r="BN82" i="1" s="1"/>
  <c r="BM82" i="1"/>
  <c r="AQ86" i="1"/>
  <c r="BN86" i="1" s="1"/>
  <c r="BM86" i="1"/>
  <c r="AQ88" i="1"/>
  <c r="BN88" i="1" s="1"/>
  <c r="BM88" i="1"/>
  <c r="AQ92" i="1"/>
  <c r="BN92" i="1" s="1"/>
  <c r="BM92" i="1"/>
  <c r="AQ94" i="1"/>
  <c r="BN94" i="1" s="1"/>
  <c r="BM94" i="1"/>
  <c r="AQ96" i="1"/>
  <c r="BN96" i="1" s="1"/>
  <c r="BM96" i="1"/>
  <c r="AQ98" i="1"/>
  <c r="BN98" i="1" s="1"/>
  <c r="BM98" i="1"/>
  <c r="AQ100" i="1"/>
  <c r="BN100" i="1" s="1"/>
  <c r="BM100" i="1"/>
  <c r="AQ102" i="1"/>
  <c r="BN102" i="1" s="1"/>
  <c r="BM102" i="1"/>
  <c r="AQ104" i="1"/>
  <c r="BN104" i="1" s="1"/>
  <c r="BM104" i="1"/>
  <c r="AQ106" i="1"/>
  <c r="BN106" i="1" s="1"/>
  <c r="BM106" i="1"/>
  <c r="AQ108" i="1"/>
  <c r="BN108" i="1" s="1"/>
  <c r="BM108" i="1"/>
  <c r="AQ110" i="1"/>
  <c r="BN110" i="1" s="1"/>
  <c r="BM110" i="1"/>
  <c r="AQ112" i="1"/>
  <c r="BN112" i="1" s="1"/>
  <c r="BM112" i="1"/>
  <c r="AQ114" i="1"/>
  <c r="BN114" i="1" s="1"/>
  <c r="BM114" i="1"/>
  <c r="AQ116" i="1"/>
  <c r="BN116" i="1" s="1"/>
  <c r="BM116" i="1"/>
  <c r="AQ118" i="1"/>
  <c r="BN118" i="1" s="1"/>
  <c r="BM118" i="1"/>
  <c r="AQ120" i="1"/>
  <c r="BN120" i="1" s="1"/>
  <c r="BM120" i="1"/>
  <c r="AQ122" i="1"/>
  <c r="BN122" i="1" s="1"/>
  <c r="BM122" i="1"/>
  <c r="AQ124" i="1"/>
  <c r="BN124" i="1" s="1"/>
  <c r="BM124" i="1"/>
  <c r="AQ126" i="1"/>
  <c r="BM126" i="1"/>
  <c r="AQ7" i="1"/>
  <c r="BN7" i="1" s="1"/>
  <c r="BM7" i="1"/>
  <c r="AQ11" i="1"/>
  <c r="BN11" i="1" s="1"/>
  <c r="BM11" i="1"/>
  <c r="AQ15" i="1"/>
  <c r="BN15" i="1" s="1"/>
  <c r="BM15" i="1"/>
  <c r="AQ19" i="1"/>
  <c r="BN19" i="1" s="1"/>
  <c r="BM19" i="1"/>
  <c r="AQ23" i="1"/>
  <c r="BN23" i="1" s="1"/>
  <c r="BM23" i="1"/>
  <c r="AQ29" i="1"/>
  <c r="BN29" i="1" s="1"/>
  <c r="BM29" i="1"/>
  <c r="AQ33" i="1"/>
  <c r="BN33" i="1" s="1"/>
  <c r="BM33" i="1"/>
  <c r="AQ41" i="1"/>
  <c r="BN41" i="1" s="1"/>
  <c r="BM41" i="1"/>
  <c r="AQ45" i="1"/>
  <c r="BN45" i="1" s="1"/>
  <c r="BM45" i="1"/>
  <c r="AQ50" i="1"/>
  <c r="BN50" i="1" s="1"/>
  <c r="BM50" i="1"/>
  <c r="AQ54" i="1"/>
  <c r="BN54" i="1" s="1"/>
  <c r="BM54" i="1"/>
  <c r="AQ58" i="1"/>
  <c r="BN58" i="1" s="1"/>
  <c r="BM58" i="1"/>
  <c r="AQ62" i="1"/>
  <c r="BN62" i="1" s="1"/>
  <c r="BM62" i="1"/>
  <c r="AQ68" i="1"/>
  <c r="BN68" i="1" s="1"/>
  <c r="BM68" i="1"/>
  <c r="AQ72" i="1"/>
  <c r="BN72" i="1" s="1"/>
  <c r="BM72" i="1"/>
  <c r="AQ76" i="1"/>
  <c r="BN76" i="1" s="1"/>
  <c r="BM76" i="1"/>
  <c r="AQ80" i="1"/>
  <c r="BN80" i="1" s="1"/>
  <c r="BM80" i="1"/>
  <c r="AQ84" i="1"/>
  <c r="BN84" i="1" s="1"/>
  <c r="BM84" i="1"/>
  <c r="AQ90" i="1"/>
  <c r="BN90" i="1" s="1"/>
  <c r="BM90" i="1"/>
  <c r="AQ8" i="1"/>
  <c r="BN8" i="1" s="1"/>
  <c r="BM8" i="1"/>
  <c r="AQ10" i="1"/>
  <c r="BN10" i="1" s="1"/>
  <c r="BM10" i="1"/>
  <c r="AQ12" i="1"/>
  <c r="BN12" i="1" s="1"/>
  <c r="BM12" i="1"/>
  <c r="AQ14" i="1"/>
  <c r="BN14" i="1" s="1"/>
  <c r="BM14" i="1"/>
  <c r="AQ16" i="1"/>
  <c r="BN16" i="1" s="1"/>
  <c r="BM16" i="1"/>
  <c r="AQ18" i="1"/>
  <c r="BN18" i="1" s="1"/>
  <c r="BM18" i="1"/>
  <c r="AQ20" i="1"/>
  <c r="BN20" i="1" s="1"/>
  <c r="BM20" i="1"/>
  <c r="AQ22" i="1"/>
  <c r="BN22" i="1" s="1"/>
  <c r="BM22" i="1"/>
  <c r="AQ24" i="1"/>
  <c r="BN24" i="1" s="1"/>
  <c r="BM24" i="1"/>
  <c r="AQ26" i="1"/>
  <c r="BN26" i="1" s="1"/>
  <c r="BM26" i="1"/>
  <c r="AQ28" i="1"/>
  <c r="BN28" i="1" s="1"/>
  <c r="BM28" i="1"/>
  <c r="AQ30" i="1"/>
  <c r="BN30" i="1" s="1"/>
  <c r="BM30" i="1"/>
  <c r="AQ32" i="1"/>
  <c r="BN32" i="1" s="1"/>
  <c r="BM32" i="1"/>
  <c r="AQ34" i="1"/>
  <c r="BN34" i="1" s="1"/>
  <c r="BM34" i="1"/>
  <c r="AQ36" i="1"/>
  <c r="BN36" i="1" s="1"/>
  <c r="BM36" i="1"/>
  <c r="AQ38" i="1"/>
  <c r="BN38" i="1" s="1"/>
  <c r="BM38" i="1"/>
  <c r="AQ40" i="1"/>
  <c r="BN40" i="1" s="1"/>
  <c r="BM40" i="1"/>
  <c r="AQ42" i="1"/>
  <c r="BN42" i="1" s="1"/>
  <c r="BM42" i="1"/>
  <c r="AQ44" i="1"/>
  <c r="BN44" i="1" s="1"/>
  <c r="BM44" i="1"/>
  <c r="AQ46" i="1"/>
  <c r="BN46" i="1" s="1"/>
  <c r="BM46" i="1"/>
  <c r="AQ49" i="1"/>
  <c r="BN49" i="1" s="1"/>
  <c r="BM49" i="1"/>
  <c r="AQ51" i="1"/>
  <c r="BN51" i="1" s="1"/>
  <c r="BM51" i="1"/>
  <c r="AQ53" i="1"/>
  <c r="BN53" i="1" s="1"/>
  <c r="BM53" i="1"/>
  <c r="AQ55" i="1"/>
  <c r="BN55" i="1" s="1"/>
  <c r="BM55" i="1"/>
  <c r="AQ57" i="1"/>
  <c r="BN57" i="1" s="1"/>
  <c r="BM57" i="1"/>
  <c r="AQ59" i="1"/>
  <c r="BN59" i="1" s="1"/>
  <c r="BM59" i="1"/>
  <c r="AQ61" i="1"/>
  <c r="BN61" i="1" s="1"/>
  <c r="BM61" i="1"/>
  <c r="AQ63" i="1"/>
  <c r="BN63" i="1" s="1"/>
  <c r="BM63" i="1"/>
  <c r="AQ67" i="1"/>
  <c r="BN67" i="1" s="1"/>
  <c r="BM67" i="1"/>
  <c r="AQ69" i="1"/>
  <c r="BN69" i="1" s="1"/>
  <c r="BM69" i="1"/>
  <c r="AQ71" i="1"/>
  <c r="BN71" i="1" s="1"/>
  <c r="BM71" i="1"/>
  <c r="AQ73" i="1"/>
  <c r="BN73" i="1" s="1"/>
  <c r="BM73" i="1"/>
  <c r="AQ75" i="1"/>
  <c r="BN75" i="1" s="1"/>
  <c r="BM75" i="1"/>
  <c r="AQ77" i="1"/>
  <c r="BN77" i="1" s="1"/>
  <c r="BM77" i="1"/>
  <c r="AQ79" i="1"/>
  <c r="BN79" i="1" s="1"/>
  <c r="BM79" i="1"/>
  <c r="AQ81" i="1"/>
  <c r="BN81" i="1" s="1"/>
  <c r="BM81" i="1"/>
  <c r="AQ83" i="1"/>
  <c r="BN83" i="1" s="1"/>
  <c r="BM83" i="1"/>
  <c r="AQ85" i="1"/>
  <c r="BN85" i="1" s="1"/>
  <c r="BM85" i="1"/>
  <c r="AQ87" i="1"/>
  <c r="BN87" i="1" s="1"/>
  <c r="BM87" i="1"/>
  <c r="AQ89" i="1"/>
  <c r="BN89" i="1" s="1"/>
  <c r="BM89" i="1"/>
  <c r="AQ91" i="1"/>
  <c r="BN91" i="1" s="1"/>
  <c r="BM91" i="1"/>
  <c r="AQ93" i="1"/>
  <c r="BN93" i="1" s="1"/>
  <c r="BM93" i="1"/>
  <c r="AQ95" i="1"/>
  <c r="BN95" i="1" s="1"/>
  <c r="BM95" i="1"/>
  <c r="AQ99" i="1"/>
  <c r="BN99" i="1" s="1"/>
  <c r="BM99" i="1"/>
  <c r="AQ101" i="1"/>
  <c r="BN101" i="1" s="1"/>
  <c r="BM101" i="1"/>
  <c r="AQ103" i="1"/>
  <c r="BN103" i="1" s="1"/>
  <c r="BM103" i="1"/>
  <c r="AQ105" i="1"/>
  <c r="BN105" i="1" s="1"/>
  <c r="BM105" i="1"/>
  <c r="AQ107" i="1"/>
  <c r="BN107" i="1" s="1"/>
  <c r="BM107" i="1"/>
  <c r="AQ109" i="1"/>
  <c r="BN109" i="1" s="1"/>
  <c r="BM109" i="1"/>
  <c r="AQ111" i="1"/>
  <c r="BN111" i="1" s="1"/>
  <c r="BM111" i="1"/>
  <c r="AQ113" i="1"/>
  <c r="BN113" i="1" s="1"/>
  <c r="BM113" i="1"/>
  <c r="AQ115" i="1"/>
  <c r="BN115" i="1" s="1"/>
  <c r="BM115" i="1"/>
  <c r="AQ117" i="1"/>
  <c r="BN117" i="1" s="1"/>
  <c r="BM117" i="1"/>
  <c r="AQ119" i="1"/>
  <c r="BN119" i="1" s="1"/>
  <c r="BM119" i="1"/>
  <c r="AQ121" i="1"/>
  <c r="BN121" i="1" s="1"/>
  <c r="BM121" i="1"/>
  <c r="AQ123" i="1"/>
  <c r="BN123" i="1" s="1"/>
  <c r="BM123" i="1"/>
  <c r="AQ125" i="1"/>
  <c r="BN125" i="1" s="1"/>
  <c r="BM125" i="1"/>
  <c r="AP391" i="1"/>
  <c r="AP376" i="1"/>
  <c r="AP378" i="1"/>
  <c r="AP393" i="1"/>
  <c r="AP392" i="1"/>
  <c r="AP377" i="1"/>
  <c r="AP394" i="1"/>
  <c r="AP379" i="1"/>
  <c r="AQ66" i="1"/>
  <c r="AQ6" i="1"/>
  <c r="BN6" i="1" s="1"/>
  <c r="AQ37" i="1"/>
  <c r="AQ97" i="1"/>
  <c r="AR379" i="1" l="1"/>
  <c r="BN97" i="1"/>
  <c r="AR377" i="1"/>
  <c r="BN37" i="1"/>
  <c r="AR378" i="1"/>
  <c r="BN66" i="1"/>
  <c r="AR380" i="1"/>
  <c r="BN126" i="1"/>
  <c r="AQ394" i="1"/>
  <c r="AQ379" i="1"/>
  <c r="AR376" i="1"/>
  <c r="AQ391" i="1"/>
  <c r="AQ376" i="1"/>
  <c r="AQ392" i="1"/>
  <c r="AQ377" i="1"/>
  <c r="AQ378" i="1"/>
  <c r="AQ393" i="1"/>
  <c r="AJ6" i="1"/>
  <c r="AK6" i="1" s="1"/>
  <c r="BL6" i="1" s="1"/>
  <c r="B7" i="1"/>
  <c r="AJ49" i="1"/>
  <c r="AK49" i="1" s="1"/>
  <c r="BL49" i="1" s="1"/>
  <c r="B8" i="1" l="1"/>
  <c r="AJ16" i="1"/>
  <c r="AK16" i="1" s="1"/>
  <c r="BL16" i="1" s="1"/>
  <c r="AJ20" i="1"/>
  <c r="AK20" i="1" s="1"/>
  <c r="BL20" i="1" s="1"/>
  <c r="AJ24" i="1"/>
  <c r="AK24" i="1" s="1"/>
  <c r="BL24" i="1" s="1"/>
  <c r="AJ28" i="1"/>
  <c r="AK28" i="1" s="1"/>
  <c r="BL28" i="1" s="1"/>
  <c r="AJ32" i="1"/>
  <c r="AJ40" i="1"/>
  <c r="AK40" i="1" s="1"/>
  <c r="BL40" i="1" s="1"/>
  <c r="AJ44" i="1"/>
  <c r="AK44" i="1" s="1"/>
  <c r="BL44" i="1" s="1"/>
  <c r="AJ53" i="1"/>
  <c r="AK53" i="1" s="1"/>
  <c r="BL53" i="1" s="1"/>
  <c r="AJ57" i="1"/>
  <c r="AK57" i="1" s="1"/>
  <c r="BL57" i="1" s="1"/>
  <c r="AJ61" i="1"/>
  <c r="AK61" i="1" s="1"/>
  <c r="BL61" i="1" s="1"/>
  <c r="AJ69" i="1"/>
  <c r="AK69" i="1" s="1"/>
  <c r="BL69" i="1" s="1"/>
  <c r="AJ73" i="1"/>
  <c r="AK73" i="1" s="1"/>
  <c r="BL73" i="1" s="1"/>
  <c r="AJ77" i="1"/>
  <c r="AK77" i="1" s="1"/>
  <c r="BL77" i="1" s="1"/>
  <c r="AJ81" i="1"/>
  <c r="AK81" i="1" s="1"/>
  <c r="BL81" i="1" s="1"/>
  <c r="AJ10" i="1"/>
  <c r="AK10" i="1" s="1"/>
  <c r="BL10" i="1" s="1"/>
  <c r="AJ13" i="1"/>
  <c r="AK13" i="1" s="1"/>
  <c r="BL13" i="1" s="1"/>
  <c r="AJ17" i="1"/>
  <c r="AK17" i="1" s="1"/>
  <c r="BL17" i="1" s="1"/>
  <c r="AJ21" i="1"/>
  <c r="AK21" i="1" s="1"/>
  <c r="BL21" i="1" s="1"/>
  <c r="AJ25" i="1"/>
  <c r="AK25" i="1" s="1"/>
  <c r="BL25" i="1" s="1"/>
  <c r="AJ29" i="1"/>
  <c r="AK29" i="1" s="1"/>
  <c r="BL29" i="1" s="1"/>
  <c r="AJ33" i="1"/>
  <c r="AJ37" i="1"/>
  <c r="AJ41" i="1"/>
  <c r="AK41" i="1" s="1"/>
  <c r="BL41" i="1" s="1"/>
  <c r="AJ45" i="1"/>
  <c r="AK45" i="1" s="1"/>
  <c r="BL45" i="1" s="1"/>
  <c r="AJ50" i="1"/>
  <c r="AK50" i="1" s="1"/>
  <c r="BL50" i="1" s="1"/>
  <c r="AJ54" i="1"/>
  <c r="AK54" i="1" s="1"/>
  <c r="BL54" i="1" s="1"/>
  <c r="AJ58" i="1"/>
  <c r="AK58" i="1" s="1"/>
  <c r="BL58" i="1" s="1"/>
  <c r="AJ66" i="1"/>
  <c r="AK66" i="1" s="1"/>
  <c r="BL66" i="1" s="1"/>
  <c r="AJ70" i="1"/>
  <c r="AK70" i="1" s="1"/>
  <c r="BL70" i="1" s="1"/>
  <c r="AJ74" i="1"/>
  <c r="AK74" i="1" s="1"/>
  <c r="BL74" i="1" s="1"/>
  <c r="AJ78" i="1"/>
  <c r="AK78" i="1" s="1"/>
  <c r="BL78" i="1" s="1"/>
  <c r="AJ82" i="1"/>
  <c r="AK82" i="1" s="1"/>
  <c r="BL82" i="1" s="1"/>
  <c r="AJ7" i="1"/>
  <c r="AK7" i="1" s="1"/>
  <c r="BL7" i="1" s="1"/>
  <c r="AJ11" i="1"/>
  <c r="AK11" i="1" s="1"/>
  <c r="BL11" i="1" s="1"/>
  <c r="AJ14" i="1"/>
  <c r="AK14" i="1" s="1"/>
  <c r="BL14" i="1" s="1"/>
  <c r="AJ22" i="1"/>
  <c r="AK22" i="1" s="1"/>
  <c r="BL22" i="1" s="1"/>
  <c r="AJ34" i="1"/>
  <c r="AJ12" i="1"/>
  <c r="AK12" i="1" s="1"/>
  <c r="BL12" i="1" s="1"/>
  <c r="AJ36" i="1"/>
  <c r="AJ85" i="1"/>
  <c r="AK85" i="1" s="1"/>
  <c r="BL85" i="1" s="1"/>
  <c r="AJ86" i="1"/>
  <c r="AK86" i="1" s="1"/>
  <c r="BL86" i="1" s="1"/>
  <c r="AL6" i="1"/>
  <c r="AJ18" i="1"/>
  <c r="AK18" i="1" s="1"/>
  <c r="BL18" i="1" s="1"/>
  <c r="AJ26" i="1"/>
  <c r="AK26" i="1" s="1"/>
  <c r="BL26" i="1" s="1"/>
  <c r="AJ30" i="1"/>
  <c r="AK30" i="1" s="1"/>
  <c r="BL30" i="1" s="1"/>
  <c r="AJ38" i="1"/>
  <c r="AJ42" i="1"/>
  <c r="AK42" i="1" s="1"/>
  <c r="BL42" i="1" s="1"/>
  <c r="AJ46" i="1"/>
  <c r="AK46" i="1" s="1"/>
  <c r="BL46" i="1" s="1"/>
  <c r="AJ51" i="1"/>
  <c r="AK51" i="1" s="1"/>
  <c r="BL51" i="1" s="1"/>
  <c r="AJ55" i="1"/>
  <c r="AK55" i="1" s="1"/>
  <c r="BL55" i="1" s="1"/>
  <c r="AJ59" i="1"/>
  <c r="AK59" i="1" s="1"/>
  <c r="BL59" i="1" s="1"/>
  <c r="AK62" i="1"/>
  <c r="BL62" i="1" s="1"/>
  <c r="AJ67" i="1"/>
  <c r="AK67" i="1" s="1"/>
  <c r="BL67" i="1" s="1"/>
  <c r="AJ71" i="1"/>
  <c r="AK71" i="1" s="1"/>
  <c r="BL71" i="1" s="1"/>
  <c r="AJ75" i="1"/>
  <c r="AK75" i="1" s="1"/>
  <c r="BL75" i="1" s="1"/>
  <c r="AJ79" i="1"/>
  <c r="AK79" i="1" s="1"/>
  <c r="BL79" i="1" s="1"/>
  <c r="AJ83" i="1"/>
  <c r="AK83" i="1" s="1"/>
  <c r="BL83" i="1" s="1"/>
  <c r="AJ8" i="1"/>
  <c r="AK8" i="1" s="1"/>
  <c r="BL8" i="1" s="1"/>
  <c r="AJ15" i="1"/>
  <c r="AK15" i="1" s="1"/>
  <c r="BL15" i="1" s="1"/>
  <c r="AJ19" i="1"/>
  <c r="AK19" i="1" s="1"/>
  <c r="BL19" i="1" s="1"/>
  <c r="AJ23" i="1"/>
  <c r="AK23" i="1" s="1"/>
  <c r="BL23" i="1" s="1"/>
  <c r="AJ27" i="1"/>
  <c r="AK27" i="1" s="1"/>
  <c r="BL27" i="1" s="1"/>
  <c r="AJ31" i="1"/>
  <c r="AK31" i="1" s="1"/>
  <c r="BL31" i="1" s="1"/>
  <c r="AJ35" i="1"/>
  <c r="AJ39" i="1"/>
  <c r="AK39" i="1" s="1"/>
  <c r="BL39" i="1" s="1"/>
  <c r="AJ43" i="1"/>
  <c r="AK43" i="1" s="1"/>
  <c r="BL43" i="1" s="1"/>
  <c r="AJ47" i="1"/>
  <c r="AK47" i="1" s="1"/>
  <c r="BL47" i="1" s="1"/>
  <c r="AJ48" i="1"/>
  <c r="AK48" i="1" s="1"/>
  <c r="BL48" i="1" s="1"/>
  <c r="AJ52" i="1"/>
  <c r="AK52" i="1" s="1"/>
  <c r="BL52" i="1" s="1"/>
  <c r="AJ56" i="1"/>
  <c r="AK56" i="1" s="1"/>
  <c r="BL56" i="1" s="1"/>
  <c r="AJ60" i="1"/>
  <c r="AK60" i="1" s="1"/>
  <c r="BL60" i="1" s="1"/>
  <c r="AJ63" i="1"/>
  <c r="AK63" i="1" s="1"/>
  <c r="BL63" i="1" s="1"/>
  <c r="AJ68" i="1"/>
  <c r="AK68" i="1" s="1"/>
  <c r="BL68" i="1" s="1"/>
  <c r="AJ72" i="1"/>
  <c r="AK72" i="1" s="1"/>
  <c r="BL72" i="1" s="1"/>
  <c r="AJ76" i="1"/>
  <c r="AK76" i="1" s="1"/>
  <c r="BL76" i="1" s="1"/>
  <c r="AJ80" i="1"/>
  <c r="AK80" i="1" s="1"/>
  <c r="BL80" i="1" s="1"/>
  <c r="AJ84" i="1"/>
  <c r="AK84" i="1" s="1"/>
  <c r="BL84" i="1" s="1"/>
  <c r="AJ9" i="1"/>
  <c r="AK9" i="1" s="1"/>
  <c r="BL9" i="1" s="1"/>
  <c r="B9" i="1" l="1"/>
  <c r="AK376" i="1"/>
  <c r="AK393" i="1"/>
  <c r="AK378" i="1"/>
  <c r="AK377" i="1"/>
  <c r="AK392" i="1"/>
  <c r="AK391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B10" i="1" l="1"/>
  <c r="AL62" i="1"/>
  <c r="B11" i="1" l="1"/>
  <c r="AL63" i="1"/>
  <c r="B12" i="1" l="1"/>
  <c r="AL64" i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AL371" i="1" s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2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  <c r="B259" i="1" l="1"/>
  <c r="B260" i="1" l="1"/>
  <c r="B261" i="1" l="1"/>
  <c r="B262" i="1" l="1"/>
  <c r="B263" i="1" l="1"/>
  <c r="B264" i="1" l="1"/>
  <c r="B265" i="1" l="1"/>
  <c r="B266" i="1" l="1"/>
  <c r="B267" i="1" l="1"/>
  <c r="B268" i="1" l="1"/>
  <c r="B269" i="1" l="1"/>
  <c r="B270" i="1" l="1"/>
  <c r="B271" i="1" l="1"/>
  <c r="B272" i="1" l="1"/>
  <c r="B273" i="1" l="1"/>
  <c r="B274" i="1" l="1"/>
  <c r="B275" i="1" l="1"/>
  <c r="B276" i="1" l="1"/>
  <c r="B277" i="1" l="1"/>
  <c r="B278" i="1" l="1"/>
  <c r="B279" i="1" l="1"/>
  <c r="B280" i="1" l="1"/>
  <c r="B281" i="1" l="1"/>
  <c r="B282" i="1" l="1"/>
  <c r="B283" i="1" l="1"/>
  <c r="B284" i="1" l="1"/>
  <c r="B285" i="1" l="1"/>
  <c r="B286" i="1" l="1"/>
  <c r="B287" i="1" l="1"/>
  <c r="B288" i="1" l="1"/>
  <c r="B289" i="1" l="1"/>
  <c r="B290" i="1" l="1"/>
  <c r="B291" i="1" l="1"/>
  <c r="B292" i="1" l="1"/>
  <c r="B293" i="1" l="1"/>
  <c r="B294" i="1" l="1"/>
  <c r="B295" i="1" l="1"/>
  <c r="B296" i="1" l="1"/>
  <c r="B297" i="1" l="1"/>
  <c r="B298" i="1" l="1"/>
  <c r="B299" i="1" l="1"/>
  <c r="B300" i="1" l="1"/>
  <c r="B301" i="1" l="1"/>
  <c r="B302" i="1" l="1"/>
  <c r="B303" i="1" l="1"/>
  <c r="B304" i="1" l="1"/>
  <c r="B305" i="1" l="1"/>
  <c r="B306" i="1" l="1"/>
  <c r="B307" i="1" l="1"/>
  <c r="B308" i="1" l="1"/>
  <c r="B309" i="1" l="1"/>
  <c r="B310" i="1" l="1"/>
  <c r="B311" i="1" l="1"/>
  <c r="B312" i="1" l="1"/>
  <c r="B313" i="1" l="1"/>
  <c r="B314" i="1" l="1"/>
  <c r="B315" i="1" l="1"/>
  <c r="B316" i="1" l="1"/>
  <c r="B317" i="1" l="1"/>
  <c r="B318" i="1" l="1"/>
  <c r="B319" i="1" l="1"/>
  <c r="B320" i="1" l="1"/>
  <c r="B321" i="1" l="1"/>
  <c r="B322" i="1" l="1"/>
  <c r="B323" i="1" l="1"/>
  <c r="B324" i="1" l="1"/>
  <c r="B325" i="1" l="1"/>
  <c r="B326" i="1" l="1"/>
  <c r="B327" i="1" l="1"/>
  <c r="B328" i="1" l="1"/>
  <c r="B329" i="1" l="1"/>
  <c r="B330" i="1" l="1"/>
  <c r="B331" i="1" l="1"/>
  <c r="B332" i="1" l="1"/>
  <c r="B333" i="1" l="1"/>
  <c r="B334" i="1" l="1"/>
  <c r="B335" i="1" l="1"/>
  <c r="B336" i="1" l="1"/>
  <c r="B337" i="1" l="1"/>
  <c r="B338" i="1" l="1"/>
  <c r="B339" i="1" l="1"/>
  <c r="B340" i="1" l="1"/>
  <c r="B341" i="1" l="1"/>
  <c r="B342" i="1" l="1"/>
  <c r="B343" i="1" l="1"/>
  <c r="B344" i="1" l="1"/>
  <c r="B345" i="1" l="1"/>
  <c r="B346" i="1" l="1"/>
  <c r="B347" i="1" l="1"/>
  <c r="B348" i="1" l="1"/>
  <c r="B349" i="1" l="1"/>
  <c r="B350" i="1" l="1"/>
  <c r="B351" i="1" l="1"/>
  <c r="B352" i="1" l="1"/>
  <c r="B353" i="1" l="1"/>
  <c r="B354" i="1" l="1"/>
  <c r="B355" i="1" l="1"/>
  <c r="B356" i="1" l="1"/>
  <c r="B357" i="1" l="1"/>
  <c r="B358" i="1" l="1"/>
  <c r="B359" i="1" l="1"/>
  <c r="B360" i="1" l="1"/>
  <c r="B361" i="1" l="1"/>
  <c r="B362" i="1" l="1"/>
  <c r="B363" i="1" l="1"/>
  <c r="B364" i="1" l="1"/>
  <c r="B365" i="1" l="1"/>
  <c r="B366" i="1" l="1"/>
  <c r="B367" i="1" l="1"/>
  <c r="B368" i="1" l="1"/>
  <c r="B369" i="1" l="1"/>
  <c r="B370" i="1" l="1"/>
  <c r="B371" i="1" l="1"/>
</calcChain>
</file>

<file path=xl/sharedStrings.xml><?xml version="1.0" encoding="utf-8"?>
<sst xmlns="http://schemas.openxmlformats.org/spreadsheetml/2006/main" count="1245" uniqueCount="119">
  <si>
    <t>YR</t>
  </si>
  <si>
    <t>Date</t>
  </si>
  <si>
    <t>DoY</t>
  </si>
  <si>
    <t>StnNo</t>
  </si>
  <si>
    <t>BatV</t>
  </si>
  <si>
    <t>Tref</t>
  </si>
  <si>
    <t>Max</t>
  </si>
  <si>
    <t>Min</t>
  </si>
  <si>
    <t>Solar</t>
  </si>
  <si>
    <t>MJ/m2/d</t>
  </si>
  <si>
    <t>Ave C</t>
  </si>
  <si>
    <t>Max C</t>
  </si>
  <si>
    <t>Min C</t>
  </si>
  <si>
    <t>V</t>
  </si>
  <si>
    <t>RH</t>
  </si>
  <si>
    <t>Tair</t>
  </si>
  <si>
    <t>C</t>
  </si>
  <si>
    <t>%</t>
  </si>
  <si>
    <t>Average</t>
  </si>
  <si>
    <t xml:space="preserve">Maximum </t>
  </si>
  <si>
    <t>Minimum</t>
  </si>
  <si>
    <t>Wind</t>
  </si>
  <si>
    <t>Ave m/s</t>
  </si>
  <si>
    <t>Max m/s</t>
  </si>
  <si>
    <t>Rain</t>
  </si>
  <si>
    <t>mm</t>
  </si>
  <si>
    <t>Snow Dist</t>
  </si>
  <si>
    <t>m</t>
  </si>
  <si>
    <t>Tpanel</t>
  </si>
  <si>
    <t>SnowDist</t>
  </si>
  <si>
    <t>cts</t>
  </si>
  <si>
    <t>Comments</t>
  </si>
  <si>
    <t>SolarMax</t>
  </si>
  <si>
    <t>SnowDepth</t>
  </si>
  <si>
    <t>Tsoil</t>
  </si>
  <si>
    <t>Short (mV)</t>
  </si>
  <si>
    <t>Ta1.5m</t>
  </si>
  <si>
    <t>Ta0.2m</t>
  </si>
  <si>
    <t xml:space="preserve">Adjusted </t>
  </si>
  <si>
    <t>Vapres</t>
  </si>
  <si>
    <t>vpd</t>
  </si>
  <si>
    <t>kPa</t>
  </si>
  <si>
    <t>Sol</t>
  </si>
  <si>
    <t>PPT</t>
  </si>
  <si>
    <t>vpdX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</si>
  <si>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</si>
  <si>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</si>
  <si>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</si>
  <si>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</si>
  <si>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</si>
  <si>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</si>
  <si>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</si>
  <si>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</si>
  <si>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</si>
  <si>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</si>
  <si>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</si>
  <si>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</si>
  <si>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From hourly</t>
  </si>
  <si>
    <t>Meta data for Chase Creek</t>
  </si>
  <si>
    <t>Kipp and Zonen silicon pyranomter 105.15 W/m2/mV at 2.5 m</t>
  </si>
  <si>
    <t>Texas Electronic tipping bucket on stump</t>
  </si>
  <si>
    <t>Approx. 0.1 m depth Chromel constantan thermocouples (average of three locations)  referenced to panel thermistor</t>
  </si>
  <si>
    <t>Solar radiation MJ/m2/d</t>
  </si>
  <si>
    <t xml:space="preserve">Air temperature </t>
  </si>
  <si>
    <t>Relative humidity %</t>
  </si>
  <si>
    <t>Rainfall mm</t>
  </si>
  <si>
    <t>Snow depth m</t>
  </si>
  <si>
    <t>Soil temperature C</t>
  </si>
  <si>
    <t>Wind speed m/s</t>
  </si>
  <si>
    <t>1.5 thermocouple not working</t>
  </si>
  <si>
    <t>Chromel constantan thermocouples at 1.5 and 0.2 m referenced to panel thermistor. No shielding</t>
  </si>
  <si>
    <t>Snow D mm</t>
  </si>
  <si>
    <t>End of month</t>
  </si>
  <si>
    <t>RMYoung Wind Sentry at 2.5 m</t>
  </si>
  <si>
    <t>from snow</t>
  </si>
  <si>
    <t>Snw+Rain</t>
  </si>
  <si>
    <t>Kmax from 10 min calculation</t>
  </si>
  <si>
    <t>Sum ppt</t>
  </si>
  <si>
    <t>TaAvg</t>
  </si>
  <si>
    <t>RHAvg</t>
  </si>
  <si>
    <t>Ta1.5Ave</t>
  </si>
  <si>
    <t>Ta20Avg</t>
  </si>
  <si>
    <t>TSoilAve</t>
  </si>
  <si>
    <t>Txavg</t>
  </si>
  <si>
    <t>Tmaxmax</t>
  </si>
  <si>
    <t>Tminavg</t>
  </si>
  <si>
    <t>TminTmin</t>
  </si>
  <si>
    <t>RHmin</t>
  </si>
  <si>
    <t>Rhminmin</t>
  </si>
  <si>
    <t>Uavg</t>
  </si>
  <si>
    <t>Uxavg</t>
  </si>
  <si>
    <t>Umax</t>
  </si>
  <si>
    <t>CSI SR50A at 2 m</t>
  </si>
  <si>
    <t>Chase Creek 2024</t>
  </si>
  <si>
    <t>Average------</t>
  </si>
  <si>
    <t>---</t>
  </si>
  <si>
    <t>---]</t>
  </si>
  <si>
    <t>Maximum -------</t>
  </si>
  <si>
    <t>Minimum------</t>
  </si>
  <si>
    <t>Ave</t>
  </si>
  <si>
    <t xml:space="preserve">Max </t>
  </si>
  <si>
    <t>Midnight</t>
  </si>
  <si>
    <t>SnowD</t>
  </si>
  <si>
    <t>m/s</t>
  </si>
  <si>
    <t>NA</t>
  </si>
  <si>
    <t>PPT= snow+rain</t>
  </si>
  <si>
    <t>Snow = Daily increase in pack depth and assumed compacted density of 0.13 Mg/m3</t>
  </si>
  <si>
    <t>vpdMax</t>
  </si>
  <si>
    <t>Vapour pressure kPa</t>
  </si>
  <si>
    <t>Maximum vapour presure deficit</t>
  </si>
  <si>
    <t>Calculated from the daily maximum temperature and mininimum relative humdity: esat(Tmax)*(1-RH/100)</t>
  </si>
  <si>
    <t>Summary</t>
  </si>
  <si>
    <t>NA =no data</t>
  </si>
  <si>
    <t xml:space="preserve">Rain = Rain gauge. </t>
  </si>
  <si>
    <t xml:space="preserve"> If there is a snow pack then  reviewed hourly data to determine if likely snow melt rather than rain, i.e., tipping when above zero and low humidity and sunny.</t>
  </si>
  <si>
    <t>Calculated from the daily maximum temperature and mininimum relative humdity: esat(Tmax)*RH/100</t>
  </si>
  <si>
    <t>CS500 platinum resistance thermometer at 2.5 m in pie plate shield</t>
  </si>
  <si>
    <t>CS500 at 2.5 m in pie plate shield</t>
  </si>
  <si>
    <t>Last edit 31/03/25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</si>
</sst>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9]d/mmm/yy;@"/>
    <numFmt numFmtId="165" formatCode="0.00_)"/>
    <numFmt numFmtId="166" formatCode="0.0_)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applyFont="1" applyProtection="1"/>
    <xf numFmtId="0" fontId="1" fillId="0" borderId="0" xfId="0" applyFont="1" applyFill="1"/>
    <xf numFmtId="165" fontId="1" fillId="0" borderId="0" xfId="0" applyNumberFormat="1" applyFont="1" applyFill="1"/>
    <xf numFmtId="165" fontId="1" fillId="0" borderId="0" xfId="0" applyNumberFormat="1" applyFont="1"/>
    <xf numFmtId="165" fontId="1" fillId="0" borderId="0" xfId="0" applyNumberFormat="1" applyFont="1" applyFill="1" applyBorder="1"/>
    <xf numFmtId="0" fontId="1" fillId="0" borderId="0" xfId="0" applyFont="1" applyFill="1" applyAlignment="1" applyProtection="1">
      <alignment horizontal="center"/>
    </xf>
    <xf numFmtId="0" fontId="1" fillId="0" borderId="0" xfId="0" applyFont="1" applyBorder="1"/>
    <xf numFmtId="0" fontId="1" fillId="0" borderId="0" xfId="0" applyFont="1" applyAlignment="1" applyProtection="1">
      <alignment horizontal="center"/>
    </xf>
    <xf numFmtId="166" fontId="1" fillId="0" borderId="0" xfId="0" applyNumberFormat="1" applyFont="1" applyFill="1"/>
    <xf numFmtId="1" fontId="1" fillId="0" borderId="0" xfId="0" applyNumberFormat="1" applyFont="1" applyBorder="1"/>
    <xf numFmtId="166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1" fillId="0" borderId="0" xfId="0" applyFont="1" applyFill="1" applyBorder="1"/>
    <xf numFmtId="1" fontId="1" fillId="0" borderId="0" xfId="0" applyNumberFormat="1" applyFont="1" applyFill="1" applyBorder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21" Type="http://schemas.openxmlformats.org/officeDocument/2006/relationships/styles" Target="styles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calcChain" Target="calcChain.xml"/><Relationship Id="rId10" Type="http://schemas.openxmlformats.org/officeDocument/2006/relationships/chartsheet" Target="chartsheets/sheet10.xml"/><Relationship Id="rId19" Type="http://schemas.openxmlformats.org/officeDocument/2006/relationships/worksheet" Target="worksheets/sheet2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0.51100000000000001</c:v>
                </c:pt>
                <c:pt idx="1">
                  <c:v>0.33800000000000002</c:v>
                </c:pt>
                <c:pt idx="2">
                  <c:v>0.33700000000000002</c:v>
                </c:pt>
                <c:pt idx="3">
                  <c:v>0.27900000000000003</c:v>
                </c:pt>
                <c:pt idx="4">
                  <c:v>0.248</c:v>
                </c:pt>
                <c:pt idx="5">
                  <c:v>0.124</c:v>
                </c:pt>
                <c:pt idx="6">
                  <c:v>0.109</c:v>
                </c:pt>
                <c:pt idx="7">
                  <c:v>0.184</c:v>
                </c:pt>
                <c:pt idx="8">
                  <c:v>0.10100000000000001</c:v>
                </c:pt>
                <c:pt idx="9">
                  <c:v>0.48799999999999999</c:v>
                </c:pt>
                <c:pt idx="10">
                  <c:v>0.58699999999999997</c:v>
                </c:pt>
                <c:pt idx="11">
                  <c:v>0.79100000000000004</c:v>
                </c:pt>
                <c:pt idx="12">
                  <c:v>0.73299999999999998</c:v>
                </c:pt>
                <c:pt idx="13">
                  <c:v>0.89200000000000002</c:v>
                </c:pt>
                <c:pt idx="14">
                  <c:v>0.40500000000000003</c:v>
                </c:pt>
                <c:pt idx="15">
                  <c:v>0.19400000000000001</c:v>
                </c:pt>
                <c:pt idx="16">
                  <c:v>0.13200000000000001</c:v>
                </c:pt>
                <c:pt idx="17">
                  <c:v>0.50700000000000001</c:v>
                </c:pt>
                <c:pt idx="18">
                  <c:v>0.14399999999999999</c:v>
                </c:pt>
                <c:pt idx="19">
                  <c:v>0.85399999999999998</c:v>
                </c:pt>
                <c:pt idx="20">
                  <c:v>1.7689999999999999</c:v>
                </c:pt>
                <c:pt idx="21">
                  <c:v>1.0549999999999999</c:v>
                </c:pt>
                <c:pt idx="22">
                  <c:v>2.71</c:v>
                </c:pt>
                <c:pt idx="23">
                  <c:v>1.403</c:v>
                </c:pt>
                <c:pt idx="24">
                  <c:v>1.8420000000000001</c:v>
                </c:pt>
                <c:pt idx="25">
                  <c:v>2.6320000000000001</c:v>
                </c:pt>
                <c:pt idx="26">
                  <c:v>1.554</c:v>
                </c:pt>
                <c:pt idx="27">
                  <c:v>2.855</c:v>
                </c:pt>
                <c:pt idx="28">
                  <c:v>2.734</c:v>
                </c:pt>
                <c:pt idx="29">
                  <c:v>3.024</c:v>
                </c:pt>
                <c:pt idx="30">
                  <c:v>1.7070000000000001</c:v>
                </c:pt>
                <c:pt idx="31">
                  <c:v>1.4359999999999999</c:v>
                </c:pt>
                <c:pt idx="32">
                  <c:v>4.9740000000000002</c:v>
                </c:pt>
                <c:pt idx="33">
                  <c:v>2.7149999999999999</c:v>
                </c:pt>
                <c:pt idx="34">
                  <c:v>0.67500000000000004</c:v>
                </c:pt>
                <c:pt idx="35">
                  <c:v>1.58</c:v>
                </c:pt>
                <c:pt idx="36">
                  <c:v>3.6709999999999998</c:v>
                </c:pt>
                <c:pt idx="37">
                  <c:v>0.73499999999999999</c:v>
                </c:pt>
                <c:pt idx="38">
                  <c:v>1.758</c:v>
                </c:pt>
                <c:pt idx="39">
                  <c:v>5.056</c:v>
                </c:pt>
                <c:pt idx="40">
                  <c:v>3.4409999999999998</c:v>
                </c:pt>
                <c:pt idx="41">
                  <c:v>0.314</c:v>
                </c:pt>
                <c:pt idx="42">
                  <c:v>0.99199999999999999</c:v>
                </c:pt>
                <c:pt idx="43">
                  <c:v>2.149</c:v>
                </c:pt>
                <c:pt idx="44">
                  <c:v>3.077</c:v>
                </c:pt>
                <c:pt idx="45">
                  <c:v>3.3809999999999998</c:v>
                </c:pt>
                <c:pt idx="46">
                  <c:v>4.9809999999999999</c:v>
                </c:pt>
                <c:pt idx="47">
                  <c:v>8.82</c:v>
                </c:pt>
                <c:pt idx="48">
                  <c:v>4.2030000000000003</c:v>
                </c:pt>
                <c:pt idx="49">
                  <c:v>7.58</c:v>
                </c:pt>
                <c:pt idx="50">
                  <c:v>4.5789999999999997</c:v>
                </c:pt>
                <c:pt idx="51">
                  <c:v>4.0960000000000001</c:v>
                </c:pt>
                <c:pt idx="52">
                  <c:v>3.4169999999999998</c:v>
                </c:pt>
                <c:pt idx="53">
                  <c:v>7.18</c:v>
                </c:pt>
                <c:pt idx="54">
                  <c:v>4.8490000000000002</c:v>
                </c:pt>
                <c:pt idx="55">
                  <c:v>4.6660000000000004</c:v>
                </c:pt>
                <c:pt idx="56">
                  <c:v>3.4329999999999998</c:v>
                </c:pt>
                <c:pt idx="57">
                  <c:v>1.4330000000000001</c:v>
                </c:pt>
                <c:pt idx="58">
                  <c:v>0.86099999999999999</c:v>
                </c:pt>
                <c:pt idx="59">
                  <c:v>4.3099999999999996</c:v>
                </c:pt>
                <c:pt idx="60">
                  <c:v>7.44</c:v>
                </c:pt>
                <c:pt idx="61">
                  <c:v>3.8980000000000001</c:v>
                </c:pt>
                <c:pt idx="62">
                  <c:v>1.99</c:v>
                </c:pt>
                <c:pt idx="63">
                  <c:v>1.931</c:v>
                </c:pt>
                <c:pt idx="64">
                  <c:v>2.593</c:v>
                </c:pt>
                <c:pt idx="65">
                  <c:v>7.13</c:v>
                </c:pt>
                <c:pt idx="66">
                  <c:v>12.29</c:v>
                </c:pt>
                <c:pt idx="67">
                  <c:v>3.6070000000000002</c:v>
                </c:pt>
                <c:pt idx="68">
                  <c:v>6.2729999999999997</c:v>
                </c:pt>
                <c:pt idx="69">
                  <c:v>4.9420000000000002</c:v>
                </c:pt>
                <c:pt idx="70">
                  <c:v>5.5839999999999996</c:v>
                </c:pt>
                <c:pt idx="71">
                  <c:v>8.7100000000000009</c:v>
                </c:pt>
                <c:pt idx="72">
                  <c:v>10.17</c:v>
                </c:pt>
                <c:pt idx="73">
                  <c:v>12.47</c:v>
                </c:pt>
                <c:pt idx="74">
                  <c:v>12.77</c:v>
                </c:pt>
                <c:pt idx="75">
                  <c:v>14.93</c:v>
                </c:pt>
                <c:pt idx="76">
                  <c:v>15.38</c:v>
                </c:pt>
                <c:pt idx="77">
                  <c:v>15.39</c:v>
                </c:pt>
                <c:pt idx="78">
                  <c:v>15.45</c:v>
                </c:pt>
                <c:pt idx="79">
                  <c:v>8.09</c:v>
                </c:pt>
                <c:pt idx="80">
                  <c:v>14.85</c:v>
                </c:pt>
                <c:pt idx="81">
                  <c:v>11.36</c:v>
                </c:pt>
                <c:pt idx="82">
                  <c:v>10.77</c:v>
                </c:pt>
                <c:pt idx="83">
                  <c:v>16.850000000000001</c:v>
                </c:pt>
                <c:pt idx="84">
                  <c:v>12.09</c:v>
                </c:pt>
                <c:pt idx="85">
                  <c:v>7.27</c:v>
                </c:pt>
                <c:pt idx="86">
                  <c:v>4.8929999999999998</c:v>
                </c:pt>
                <c:pt idx="87">
                  <c:v>9.08</c:v>
                </c:pt>
                <c:pt idx="88">
                  <c:v>7.66</c:v>
                </c:pt>
                <c:pt idx="89">
                  <c:v>11.87</c:v>
                </c:pt>
                <c:pt idx="90">
                  <c:v>11.98</c:v>
                </c:pt>
                <c:pt idx="91">
                  <c:v>15.99</c:v>
                </c:pt>
                <c:pt idx="92">
                  <c:v>5.4870000000000001</c:v>
                </c:pt>
                <c:pt idx="93">
                  <c:v>11.12</c:v>
                </c:pt>
                <c:pt idx="94">
                  <c:v>8.56</c:v>
                </c:pt>
                <c:pt idx="95">
                  <c:v>3.895</c:v>
                </c:pt>
                <c:pt idx="96">
                  <c:v>11.41</c:v>
                </c:pt>
                <c:pt idx="97">
                  <c:v>10.62</c:v>
                </c:pt>
                <c:pt idx="98">
                  <c:v>3.427</c:v>
                </c:pt>
                <c:pt idx="99">
                  <c:v>10.199999999999999</c:v>
                </c:pt>
                <c:pt idx="100">
                  <c:v>16.53</c:v>
                </c:pt>
                <c:pt idx="101">
                  <c:v>7.54</c:v>
                </c:pt>
                <c:pt idx="102">
                  <c:v>10.5</c:v>
                </c:pt>
                <c:pt idx="103">
                  <c:v>19.260000000000002</c:v>
                </c:pt>
                <c:pt idx="104">
                  <c:v>16.329999999999998</c:v>
                </c:pt>
                <c:pt idx="105">
                  <c:v>11.11</c:v>
                </c:pt>
                <c:pt idx="106">
                  <c:v>4.9050000000000002</c:v>
                </c:pt>
                <c:pt idx="107">
                  <c:v>13.32</c:v>
                </c:pt>
                <c:pt idx="108">
                  <c:v>20.69</c:v>
                </c:pt>
                <c:pt idx="109">
                  <c:v>19.5</c:v>
                </c:pt>
                <c:pt idx="110">
                  <c:v>20.329999999999998</c:v>
                </c:pt>
                <c:pt idx="111">
                  <c:v>9.86</c:v>
                </c:pt>
                <c:pt idx="112">
                  <c:v>19.940000000000001</c:v>
                </c:pt>
                <c:pt idx="113">
                  <c:v>19.010000000000002</c:v>
                </c:pt>
                <c:pt idx="114">
                  <c:v>9.49</c:v>
                </c:pt>
                <c:pt idx="115">
                  <c:v>8.35</c:v>
                </c:pt>
                <c:pt idx="116">
                  <c:v>8.2200000000000006</c:v>
                </c:pt>
                <c:pt idx="117">
                  <c:v>8.6999999999999993</c:v>
                </c:pt>
                <c:pt idx="118">
                  <c:v>8.24</c:v>
                </c:pt>
                <c:pt idx="119">
                  <c:v>12.94</c:v>
                </c:pt>
                <c:pt idx="120">
                  <c:v>12.27</c:v>
                </c:pt>
                <c:pt idx="121">
                  <c:v>14.69</c:v>
                </c:pt>
                <c:pt idx="122">
                  <c:v>19.059999999999999</c:v>
                </c:pt>
                <c:pt idx="123">
                  <c:v>11.22</c:v>
                </c:pt>
                <c:pt idx="124">
                  <c:v>15.34</c:v>
                </c:pt>
                <c:pt idx="125">
                  <c:v>12.15</c:v>
                </c:pt>
                <c:pt idx="126">
                  <c:v>11.35</c:v>
                </c:pt>
                <c:pt idx="127">
                  <c:v>13.45</c:v>
                </c:pt>
                <c:pt idx="128">
                  <c:v>23.25</c:v>
                </c:pt>
                <c:pt idx="129">
                  <c:v>23.48</c:v>
                </c:pt>
                <c:pt idx="130">
                  <c:v>22.6</c:v>
                </c:pt>
                <c:pt idx="131">
                  <c:v>23.03</c:v>
                </c:pt>
                <c:pt idx="132">
                  <c:v>16.97</c:v>
                </c:pt>
                <c:pt idx="133">
                  <c:v>8.66</c:v>
                </c:pt>
                <c:pt idx="134">
                  <c:v>15.63</c:v>
                </c:pt>
                <c:pt idx="135">
                  <c:v>11.96</c:v>
                </c:pt>
                <c:pt idx="136">
                  <c:v>8.7799999999999994</c:v>
                </c:pt>
                <c:pt idx="137">
                  <c:v>10.97</c:v>
                </c:pt>
                <c:pt idx="138">
                  <c:v>12.55</c:v>
                </c:pt>
                <c:pt idx="139">
                  <c:v>18.04</c:v>
                </c:pt>
                <c:pt idx="140">
                  <c:v>18.79</c:v>
                </c:pt>
                <c:pt idx="141">
                  <c:v>12.76</c:v>
                </c:pt>
                <c:pt idx="142">
                  <c:v>14.96</c:v>
                </c:pt>
                <c:pt idx="143">
                  <c:v>14.68</c:v>
                </c:pt>
                <c:pt idx="144">
                  <c:v>12.08</c:v>
                </c:pt>
                <c:pt idx="145">
                  <c:v>12.05</c:v>
                </c:pt>
                <c:pt idx="146">
                  <c:v>14.76</c:v>
                </c:pt>
                <c:pt idx="147">
                  <c:v>9.66</c:v>
                </c:pt>
                <c:pt idx="148">
                  <c:v>8.6</c:v>
                </c:pt>
                <c:pt idx="149">
                  <c:v>14.96</c:v>
                </c:pt>
                <c:pt idx="150">
                  <c:v>15.09</c:v>
                </c:pt>
                <c:pt idx="151">
                  <c:v>16.54</c:v>
                </c:pt>
                <c:pt idx="152">
                  <c:v>9.9600000000000009</c:v>
                </c:pt>
                <c:pt idx="153">
                  <c:v>7.77</c:v>
                </c:pt>
                <c:pt idx="154">
                  <c:v>9.3699999999999992</c:v>
                </c:pt>
                <c:pt idx="155">
                  <c:v>16.579999999999998</c:v>
                </c:pt>
                <c:pt idx="156">
                  <c:v>15.81</c:v>
                </c:pt>
                <c:pt idx="157">
                  <c:v>19.649999999999999</c:v>
                </c:pt>
                <c:pt idx="158">
                  <c:v>26.91</c:v>
                </c:pt>
                <c:pt idx="159">
                  <c:v>26.03</c:v>
                </c:pt>
                <c:pt idx="160">
                  <c:v>15.06</c:v>
                </c:pt>
                <c:pt idx="161">
                  <c:v>18.12</c:v>
                </c:pt>
                <c:pt idx="162">
                  <c:v>25.43</c:v>
                </c:pt>
                <c:pt idx="163">
                  <c:v>14.13</c:v>
                </c:pt>
                <c:pt idx="164">
                  <c:v>25.11</c:v>
                </c:pt>
                <c:pt idx="165">
                  <c:v>22.93</c:v>
                </c:pt>
                <c:pt idx="166">
                  <c:v>9.98</c:v>
                </c:pt>
                <c:pt idx="167">
                  <c:v>8.27</c:v>
                </c:pt>
                <c:pt idx="168">
                  <c:v>12.59</c:v>
                </c:pt>
                <c:pt idx="169">
                  <c:v>12.57</c:v>
                </c:pt>
                <c:pt idx="170">
                  <c:v>17.079999999999998</c:v>
                </c:pt>
                <c:pt idx="171">
                  <c:v>19.23</c:v>
                </c:pt>
                <c:pt idx="172">
                  <c:v>21.44</c:v>
                </c:pt>
                <c:pt idx="173">
                  <c:v>12.27</c:v>
                </c:pt>
                <c:pt idx="174">
                  <c:v>20.71</c:v>
                </c:pt>
                <c:pt idx="175">
                  <c:v>11.23</c:v>
                </c:pt>
                <c:pt idx="176">
                  <c:v>24.48</c:v>
                </c:pt>
                <c:pt idx="177">
                  <c:v>10.94</c:v>
                </c:pt>
                <c:pt idx="178">
                  <c:v>19.13</c:v>
                </c:pt>
                <c:pt idx="179">
                  <c:v>18.559999999999999</c:v>
                </c:pt>
                <c:pt idx="180">
                  <c:v>14.66</c:v>
                </c:pt>
                <c:pt idx="181">
                  <c:v>9.14</c:v>
                </c:pt>
                <c:pt idx="182">
                  <c:v>15.13</c:v>
                </c:pt>
                <c:pt idx="183">
                  <c:v>18.39</c:v>
                </c:pt>
                <c:pt idx="184">
                  <c:v>22.46</c:v>
                </c:pt>
                <c:pt idx="185">
                  <c:v>23.89</c:v>
                </c:pt>
                <c:pt idx="186">
                  <c:v>25.35</c:v>
                </c:pt>
                <c:pt idx="187">
                  <c:v>25.45</c:v>
                </c:pt>
                <c:pt idx="188">
                  <c:v>25.12</c:v>
                </c:pt>
                <c:pt idx="189">
                  <c:v>23.86</c:v>
                </c:pt>
                <c:pt idx="190">
                  <c:v>24.22</c:v>
                </c:pt>
                <c:pt idx="191">
                  <c:v>24.76</c:v>
                </c:pt>
                <c:pt idx="192">
                  <c:v>24.42</c:v>
                </c:pt>
                <c:pt idx="193">
                  <c:v>24.19</c:v>
                </c:pt>
                <c:pt idx="194">
                  <c:v>23.41</c:v>
                </c:pt>
                <c:pt idx="195">
                  <c:v>21.8</c:v>
                </c:pt>
                <c:pt idx="196">
                  <c:v>20.7</c:v>
                </c:pt>
                <c:pt idx="197">
                  <c:v>22.23</c:v>
                </c:pt>
                <c:pt idx="198">
                  <c:v>14.77</c:v>
                </c:pt>
                <c:pt idx="199">
                  <c:v>22.79</c:v>
                </c:pt>
                <c:pt idx="200">
                  <c:v>23.87</c:v>
                </c:pt>
                <c:pt idx="201">
                  <c:v>23.75</c:v>
                </c:pt>
                <c:pt idx="202">
                  <c:v>22.43</c:v>
                </c:pt>
                <c:pt idx="203">
                  <c:v>15.8</c:v>
                </c:pt>
                <c:pt idx="204">
                  <c:v>23.15</c:v>
                </c:pt>
                <c:pt idx="205">
                  <c:v>16.09</c:v>
                </c:pt>
                <c:pt idx="206">
                  <c:v>12.46</c:v>
                </c:pt>
                <c:pt idx="207">
                  <c:v>17.36</c:v>
                </c:pt>
                <c:pt idx="208">
                  <c:v>18.05</c:v>
                </c:pt>
                <c:pt idx="209">
                  <c:v>19.559999999999999</c:v>
                </c:pt>
                <c:pt idx="210">
                  <c:v>7.46</c:v>
                </c:pt>
                <c:pt idx="211">
                  <c:v>11.19</c:v>
                </c:pt>
                <c:pt idx="212">
                  <c:v>21.41</c:v>
                </c:pt>
                <c:pt idx="213">
                  <c:v>21.73</c:v>
                </c:pt>
                <c:pt idx="214">
                  <c:v>16.43</c:v>
                </c:pt>
                <c:pt idx="215">
                  <c:v>20.41</c:v>
                </c:pt>
                <c:pt idx="216">
                  <c:v>16.97</c:v>
                </c:pt>
                <c:pt idx="217">
                  <c:v>17.71</c:v>
                </c:pt>
                <c:pt idx="218">
                  <c:v>20.75</c:v>
                </c:pt>
                <c:pt idx="219">
                  <c:v>17.18</c:v>
                </c:pt>
                <c:pt idx="220">
                  <c:v>16.66</c:v>
                </c:pt>
                <c:pt idx="221">
                  <c:v>11.82</c:v>
                </c:pt>
                <c:pt idx="222">
                  <c:v>15.51</c:v>
                </c:pt>
                <c:pt idx="223">
                  <c:v>17.93</c:v>
                </c:pt>
                <c:pt idx="224">
                  <c:v>9.6300000000000008</c:v>
                </c:pt>
                <c:pt idx="225">
                  <c:v>16.22</c:v>
                </c:pt>
                <c:pt idx="226">
                  <c:v>16.52</c:v>
                </c:pt>
                <c:pt idx="227">
                  <c:v>12.74</c:v>
                </c:pt>
                <c:pt idx="228">
                  <c:v>4.6559999999999997</c:v>
                </c:pt>
                <c:pt idx="229">
                  <c:v>12.19</c:v>
                </c:pt>
                <c:pt idx="230">
                  <c:v>17.36</c:v>
                </c:pt>
                <c:pt idx="231">
                  <c:v>13.64</c:v>
                </c:pt>
                <c:pt idx="232">
                  <c:v>12.99</c:v>
                </c:pt>
                <c:pt idx="233">
                  <c:v>9.66</c:v>
                </c:pt>
                <c:pt idx="234">
                  <c:v>14.84</c:v>
                </c:pt>
                <c:pt idx="235">
                  <c:v>14.49</c:v>
                </c:pt>
                <c:pt idx="236">
                  <c:v>3.9359999999999999</c:v>
                </c:pt>
                <c:pt idx="237">
                  <c:v>10.42</c:v>
                </c:pt>
                <c:pt idx="238">
                  <c:v>7.26</c:v>
                </c:pt>
                <c:pt idx="239">
                  <c:v>6.9260000000000002</c:v>
                </c:pt>
                <c:pt idx="240">
                  <c:v>15.65</c:v>
                </c:pt>
                <c:pt idx="241">
                  <c:v>18.18</c:v>
                </c:pt>
                <c:pt idx="242">
                  <c:v>17.350000000000001</c:v>
                </c:pt>
                <c:pt idx="243">
                  <c:v>18.05</c:v>
                </c:pt>
                <c:pt idx="244">
                  <c:v>17.48</c:v>
                </c:pt>
                <c:pt idx="245">
                  <c:v>9.08</c:v>
                </c:pt>
                <c:pt idx="246">
                  <c:v>16.46</c:v>
                </c:pt>
                <c:pt idx="247">
                  <c:v>16.86</c:v>
                </c:pt>
                <c:pt idx="248">
                  <c:v>17.02</c:v>
                </c:pt>
                <c:pt idx="249">
                  <c:v>16.73</c:v>
                </c:pt>
                <c:pt idx="250">
                  <c:v>16.010000000000002</c:v>
                </c:pt>
                <c:pt idx="251">
                  <c:v>9.82</c:v>
                </c:pt>
                <c:pt idx="252">
                  <c:v>9.24</c:v>
                </c:pt>
                <c:pt idx="253">
                  <c:v>14.59</c:v>
                </c:pt>
                <c:pt idx="254">
                  <c:v>6.4829999999999997</c:v>
                </c:pt>
                <c:pt idx="255">
                  <c:v>10.58</c:v>
                </c:pt>
                <c:pt idx="256">
                  <c:v>10.01</c:v>
                </c:pt>
                <c:pt idx="257">
                  <c:v>13.29</c:v>
                </c:pt>
                <c:pt idx="258">
                  <c:v>8.36</c:v>
                </c:pt>
                <c:pt idx="259">
                  <c:v>14.49</c:v>
                </c:pt>
                <c:pt idx="260">
                  <c:v>12.25</c:v>
                </c:pt>
                <c:pt idx="261">
                  <c:v>10.81</c:v>
                </c:pt>
                <c:pt idx="262">
                  <c:v>9.32</c:v>
                </c:pt>
                <c:pt idx="263">
                  <c:v>7.32</c:v>
                </c:pt>
                <c:pt idx="264">
                  <c:v>12.66</c:v>
                </c:pt>
                <c:pt idx="265">
                  <c:v>5.5629999999999997</c:v>
                </c:pt>
                <c:pt idx="266">
                  <c:v>11.67</c:v>
                </c:pt>
                <c:pt idx="267">
                  <c:v>9.17</c:v>
                </c:pt>
                <c:pt idx="268">
                  <c:v>4.5339999999999998</c:v>
                </c:pt>
                <c:pt idx="269">
                  <c:v>7.84</c:v>
                </c:pt>
                <c:pt idx="270">
                  <c:v>12.35</c:v>
                </c:pt>
                <c:pt idx="271">
                  <c:v>6.8680000000000003</c:v>
                </c:pt>
                <c:pt idx="272">
                  <c:v>5.1420000000000003</c:v>
                </c:pt>
                <c:pt idx="273">
                  <c:v>10.27</c:v>
                </c:pt>
                <c:pt idx="274">
                  <c:v>2.355</c:v>
                </c:pt>
                <c:pt idx="275">
                  <c:v>9.7200000000000006</c:v>
                </c:pt>
                <c:pt idx="276">
                  <c:v>10.32</c:v>
                </c:pt>
                <c:pt idx="277">
                  <c:v>2.609</c:v>
                </c:pt>
                <c:pt idx="278">
                  <c:v>9.99</c:v>
                </c:pt>
                <c:pt idx="279">
                  <c:v>4.976</c:v>
                </c:pt>
                <c:pt idx="280">
                  <c:v>10.51</c:v>
                </c:pt>
                <c:pt idx="281">
                  <c:v>5.782</c:v>
                </c:pt>
                <c:pt idx="282">
                  <c:v>8.4700000000000006</c:v>
                </c:pt>
                <c:pt idx="283">
                  <c:v>6.45</c:v>
                </c:pt>
                <c:pt idx="284">
                  <c:v>9.2200000000000006</c:v>
                </c:pt>
                <c:pt idx="285">
                  <c:v>9.39</c:v>
                </c:pt>
                <c:pt idx="286">
                  <c:v>8.8000000000000007</c:v>
                </c:pt>
                <c:pt idx="287">
                  <c:v>3.4089999999999998</c:v>
                </c:pt>
                <c:pt idx="288">
                  <c:v>2.15</c:v>
                </c:pt>
                <c:pt idx="289">
                  <c:v>6.4329999999999998</c:v>
                </c:pt>
                <c:pt idx="290">
                  <c:v>6.52</c:v>
                </c:pt>
                <c:pt idx="291">
                  <c:v>1.319</c:v>
                </c:pt>
                <c:pt idx="292">
                  <c:v>2.3570000000000002</c:v>
                </c:pt>
                <c:pt idx="293">
                  <c:v>1.704</c:v>
                </c:pt>
                <c:pt idx="294">
                  <c:v>3.9790000000000001</c:v>
                </c:pt>
                <c:pt idx="295">
                  <c:v>6.8150000000000004</c:v>
                </c:pt>
                <c:pt idx="296">
                  <c:v>5.6959999999999997</c:v>
                </c:pt>
                <c:pt idx="297">
                  <c:v>5.9119999999999999</c:v>
                </c:pt>
                <c:pt idx="298">
                  <c:v>3.7759999999999998</c:v>
                </c:pt>
                <c:pt idx="299">
                  <c:v>2.593</c:v>
                </c:pt>
                <c:pt idx="300">
                  <c:v>5.3339999999999996</c:v>
                </c:pt>
                <c:pt idx="301">
                  <c:v>4.7060000000000004</c:v>
                </c:pt>
                <c:pt idx="302">
                  <c:v>4.8719999999999999</c:v>
                </c:pt>
                <c:pt idx="303">
                  <c:v>3.1179999999999999</c:v>
                </c:pt>
                <c:pt idx="304">
                  <c:v>1.9570000000000001</c:v>
                </c:pt>
                <c:pt idx="305">
                  <c:v>0.53</c:v>
                </c:pt>
                <c:pt idx="306">
                  <c:v>0.64300000000000002</c:v>
                </c:pt>
                <c:pt idx="307">
                  <c:v>1.198</c:v>
                </c:pt>
                <c:pt idx="308">
                  <c:v>0.42899999999999999</c:v>
                </c:pt>
                <c:pt idx="309">
                  <c:v>2.2810000000000001</c:v>
                </c:pt>
                <c:pt idx="310">
                  <c:v>3.8279999999999998</c:v>
                </c:pt>
                <c:pt idx="311">
                  <c:v>3.35</c:v>
                </c:pt>
                <c:pt idx="312">
                  <c:v>2.4580000000000002</c:v>
                </c:pt>
                <c:pt idx="313">
                  <c:v>1.071</c:v>
                </c:pt>
                <c:pt idx="314">
                  <c:v>3.3380000000000001</c:v>
                </c:pt>
                <c:pt idx="315">
                  <c:v>1.2410000000000001</c:v>
                </c:pt>
                <c:pt idx="316">
                  <c:v>3.5019999999999998</c:v>
                </c:pt>
                <c:pt idx="317">
                  <c:v>0.39500000000000002</c:v>
                </c:pt>
                <c:pt idx="318">
                  <c:v>1.353</c:v>
                </c:pt>
                <c:pt idx="319">
                  <c:v>2.0409999999999999</c:v>
                </c:pt>
                <c:pt idx="320">
                  <c:v>0.71799999999999997</c:v>
                </c:pt>
                <c:pt idx="321">
                  <c:v>0.36599999999999999</c:v>
                </c:pt>
                <c:pt idx="322">
                  <c:v>0.67100000000000004</c:v>
                </c:pt>
                <c:pt idx="323">
                  <c:v>0.35899999999999999</c:v>
                </c:pt>
                <c:pt idx="324">
                  <c:v>0.14199999999999999</c:v>
                </c:pt>
                <c:pt idx="325">
                  <c:v>1.907</c:v>
                </c:pt>
                <c:pt idx="326">
                  <c:v>0.61599999999999999</c:v>
                </c:pt>
                <c:pt idx="327">
                  <c:v>3.0830000000000002</c:v>
                </c:pt>
                <c:pt idx="328">
                  <c:v>1.948</c:v>
                </c:pt>
                <c:pt idx="329">
                  <c:v>0.65800000000000003</c:v>
                </c:pt>
                <c:pt idx="330">
                  <c:v>1.1419999999999999</c:v>
                </c:pt>
                <c:pt idx="331">
                  <c:v>0.83099999999999996</c:v>
                </c:pt>
                <c:pt idx="332">
                  <c:v>1.002</c:v>
                </c:pt>
                <c:pt idx="333">
                  <c:v>2.3690000000000002</c:v>
                </c:pt>
                <c:pt idx="334">
                  <c:v>0.81299999999999994</c:v>
                </c:pt>
                <c:pt idx="335">
                  <c:v>1.585</c:v>
                </c:pt>
                <c:pt idx="336">
                  <c:v>2.948</c:v>
                </c:pt>
                <c:pt idx="337">
                  <c:v>2.3010000000000002</c:v>
                </c:pt>
                <c:pt idx="338">
                  <c:v>1.857</c:v>
                </c:pt>
                <c:pt idx="339">
                  <c:v>1.7070000000000001</c:v>
                </c:pt>
                <c:pt idx="340">
                  <c:v>0.64700000000000002</c:v>
                </c:pt>
                <c:pt idx="341">
                  <c:v>0.68899999999999995</c:v>
                </c:pt>
                <c:pt idx="342">
                  <c:v>0.25</c:v>
                </c:pt>
                <c:pt idx="343">
                  <c:v>0.35299999999999998</c:v>
                </c:pt>
                <c:pt idx="344">
                  <c:v>0.30599999999999999</c:v>
                </c:pt>
                <c:pt idx="345">
                  <c:v>0.19900000000000001</c:v>
                </c:pt>
                <c:pt idx="346">
                  <c:v>0.42799999999999999</c:v>
                </c:pt>
                <c:pt idx="347">
                  <c:v>0.216</c:v>
                </c:pt>
                <c:pt idx="348">
                  <c:v>0.439</c:v>
                </c:pt>
                <c:pt idx="349">
                  <c:v>0.374</c:v>
                </c:pt>
                <c:pt idx="350">
                  <c:v>0.222</c:v>
                </c:pt>
                <c:pt idx="351">
                  <c:v>0.18</c:v>
                </c:pt>
                <c:pt idx="352">
                  <c:v>0.29499999999999998</c:v>
                </c:pt>
                <c:pt idx="353">
                  <c:v>0.104</c:v>
                </c:pt>
                <c:pt idx="354">
                  <c:v>0.23300000000000001</c:v>
                </c:pt>
                <c:pt idx="355">
                  <c:v>0.30199999999999999</c:v>
                </c:pt>
                <c:pt idx="356">
                  <c:v>1.2170000000000001</c:v>
                </c:pt>
                <c:pt idx="357">
                  <c:v>1.095</c:v>
                </c:pt>
                <c:pt idx="358">
                  <c:v>1.133</c:v>
                </c:pt>
                <c:pt idx="359">
                  <c:v>0.76800000000000002</c:v>
                </c:pt>
                <c:pt idx="360">
                  <c:v>0.31</c:v>
                </c:pt>
                <c:pt idx="361">
                  <c:v>0.29799999999999999</c:v>
                </c:pt>
                <c:pt idx="362">
                  <c:v>0.123</c:v>
                </c:pt>
                <c:pt idx="363">
                  <c:v>0.59199999999999997</c:v>
                </c:pt>
                <c:pt idx="364">
                  <c:v>0.247</c:v>
                </c:pt>
                <c:pt idx="365">
                  <c:v>0.435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Data!$AM$6:$AM$371</c:f>
              <c:numCache>
                <c:formatCode>0.00</c:formatCode>
                <c:ptCount val="366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  <c:pt idx="365" formatCode="General">
                  <c:v>4.63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30336"/>
        <c:axId val="151231872"/>
      </c:lineChart>
      <c:catAx>
        <c:axId val="151230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1231872"/>
        <c:crosses val="autoZero"/>
        <c:auto val="1"/>
        <c:lblAlgn val="ctr"/>
        <c:lblOffset val="100"/>
        <c:tickMarkSkip val="10"/>
        <c:noMultiLvlLbl val="0"/>
      </c:catAx>
      <c:valAx>
        <c:axId val="151231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1230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0.51</c:v>
                </c:pt>
                <c:pt idx="1">
                  <c:v>0.34</c:v>
                </c:pt>
                <c:pt idx="2">
                  <c:v>0.34</c:v>
                </c:pt>
                <c:pt idx="3">
                  <c:v>0.28000000000000003</c:v>
                </c:pt>
                <c:pt idx="4">
                  <c:v>0.25</c:v>
                </c:pt>
                <c:pt idx="5">
                  <c:v>0.12</c:v>
                </c:pt>
                <c:pt idx="6">
                  <c:v>0.11</c:v>
                </c:pt>
                <c:pt idx="7">
                  <c:v>0.18</c:v>
                </c:pt>
                <c:pt idx="8">
                  <c:v>0.1</c:v>
                </c:pt>
                <c:pt idx="9">
                  <c:v>0.49</c:v>
                </c:pt>
                <c:pt idx="10">
                  <c:v>0.57999999999999996</c:v>
                </c:pt>
                <c:pt idx="11">
                  <c:v>0.79</c:v>
                </c:pt>
                <c:pt idx="12">
                  <c:v>0.73</c:v>
                </c:pt>
                <c:pt idx="13">
                  <c:v>0.89</c:v>
                </c:pt>
                <c:pt idx="14">
                  <c:v>0.4</c:v>
                </c:pt>
                <c:pt idx="15">
                  <c:v>0.19</c:v>
                </c:pt>
                <c:pt idx="16">
                  <c:v>0.12</c:v>
                </c:pt>
                <c:pt idx="17">
                  <c:v>0.5</c:v>
                </c:pt>
                <c:pt idx="18">
                  <c:v>0.14000000000000001</c:v>
                </c:pt>
                <c:pt idx="19">
                  <c:v>0.84</c:v>
                </c:pt>
                <c:pt idx="20">
                  <c:v>1.75</c:v>
                </c:pt>
                <c:pt idx="21">
                  <c:v>1.05</c:v>
                </c:pt>
                <c:pt idx="22">
                  <c:v>2.71</c:v>
                </c:pt>
                <c:pt idx="23">
                  <c:v>1.4</c:v>
                </c:pt>
                <c:pt idx="24">
                  <c:v>1.84</c:v>
                </c:pt>
                <c:pt idx="25">
                  <c:v>2.63</c:v>
                </c:pt>
                <c:pt idx="26">
                  <c:v>1.55</c:v>
                </c:pt>
                <c:pt idx="27">
                  <c:v>2.85</c:v>
                </c:pt>
                <c:pt idx="28">
                  <c:v>2.73</c:v>
                </c:pt>
                <c:pt idx="29">
                  <c:v>3.02</c:v>
                </c:pt>
                <c:pt idx="30">
                  <c:v>1.71</c:v>
                </c:pt>
                <c:pt idx="31">
                  <c:v>1.43</c:v>
                </c:pt>
                <c:pt idx="32">
                  <c:v>4.97</c:v>
                </c:pt>
                <c:pt idx="33">
                  <c:v>2.71</c:v>
                </c:pt>
                <c:pt idx="34">
                  <c:v>0.67</c:v>
                </c:pt>
                <c:pt idx="35">
                  <c:v>1.58</c:v>
                </c:pt>
                <c:pt idx="36">
                  <c:v>3.67</c:v>
                </c:pt>
                <c:pt idx="37">
                  <c:v>0.73</c:v>
                </c:pt>
                <c:pt idx="38">
                  <c:v>1.76</c:v>
                </c:pt>
                <c:pt idx="39">
                  <c:v>5.05</c:v>
                </c:pt>
                <c:pt idx="40">
                  <c:v>3.44</c:v>
                </c:pt>
                <c:pt idx="41">
                  <c:v>0.31</c:v>
                </c:pt>
                <c:pt idx="42">
                  <c:v>0.99</c:v>
                </c:pt>
                <c:pt idx="43">
                  <c:v>2.15</c:v>
                </c:pt>
                <c:pt idx="44">
                  <c:v>3.07</c:v>
                </c:pt>
                <c:pt idx="45">
                  <c:v>3.38</c:v>
                </c:pt>
                <c:pt idx="46">
                  <c:v>4.9800000000000004</c:v>
                </c:pt>
                <c:pt idx="47">
                  <c:v>8.82</c:v>
                </c:pt>
                <c:pt idx="48">
                  <c:v>4.2</c:v>
                </c:pt>
                <c:pt idx="49">
                  <c:v>7.57</c:v>
                </c:pt>
                <c:pt idx="50">
                  <c:v>4.5599999999999996</c:v>
                </c:pt>
                <c:pt idx="51">
                  <c:v>4.08</c:v>
                </c:pt>
                <c:pt idx="52">
                  <c:v>3.41</c:v>
                </c:pt>
                <c:pt idx="53">
                  <c:v>7.17</c:v>
                </c:pt>
                <c:pt idx="54">
                  <c:v>4.84</c:v>
                </c:pt>
                <c:pt idx="55">
                  <c:v>4.66</c:v>
                </c:pt>
                <c:pt idx="56">
                  <c:v>3.43</c:v>
                </c:pt>
                <c:pt idx="57">
                  <c:v>1.43</c:v>
                </c:pt>
                <c:pt idx="58">
                  <c:v>0.85</c:v>
                </c:pt>
                <c:pt idx="59">
                  <c:v>4.3099999999999996</c:v>
                </c:pt>
                <c:pt idx="60">
                  <c:v>7.44</c:v>
                </c:pt>
                <c:pt idx="61">
                  <c:v>3.9</c:v>
                </c:pt>
                <c:pt idx="62">
                  <c:v>1.99</c:v>
                </c:pt>
                <c:pt idx="63">
                  <c:v>1.93</c:v>
                </c:pt>
                <c:pt idx="64">
                  <c:v>2.59</c:v>
                </c:pt>
                <c:pt idx="65">
                  <c:v>7.13</c:v>
                </c:pt>
                <c:pt idx="66">
                  <c:v>12.29</c:v>
                </c:pt>
                <c:pt idx="67">
                  <c:v>3.61</c:v>
                </c:pt>
                <c:pt idx="68">
                  <c:v>6.27</c:v>
                </c:pt>
                <c:pt idx="69">
                  <c:v>4.9400000000000004</c:v>
                </c:pt>
                <c:pt idx="70">
                  <c:v>5.58</c:v>
                </c:pt>
                <c:pt idx="71">
                  <c:v>8.7100000000000009</c:v>
                </c:pt>
                <c:pt idx="72">
                  <c:v>10.16</c:v>
                </c:pt>
                <c:pt idx="73">
                  <c:v>12.46</c:v>
                </c:pt>
                <c:pt idx="74">
                  <c:v>12.76</c:v>
                </c:pt>
                <c:pt idx="75">
                  <c:v>14.93</c:v>
                </c:pt>
                <c:pt idx="76">
                  <c:v>15.37</c:v>
                </c:pt>
                <c:pt idx="77">
                  <c:v>15.38</c:v>
                </c:pt>
                <c:pt idx="78">
                  <c:v>15.45</c:v>
                </c:pt>
                <c:pt idx="79">
                  <c:v>8.08</c:v>
                </c:pt>
                <c:pt idx="80">
                  <c:v>14.85</c:v>
                </c:pt>
                <c:pt idx="81">
                  <c:v>11.36</c:v>
                </c:pt>
                <c:pt idx="82">
                  <c:v>10.76</c:v>
                </c:pt>
                <c:pt idx="83">
                  <c:v>16.850000000000001</c:v>
                </c:pt>
                <c:pt idx="84">
                  <c:v>12.09</c:v>
                </c:pt>
                <c:pt idx="85">
                  <c:v>7.27</c:v>
                </c:pt>
                <c:pt idx="86">
                  <c:v>4.8899999999999997</c:v>
                </c:pt>
                <c:pt idx="87">
                  <c:v>9.08</c:v>
                </c:pt>
                <c:pt idx="88">
                  <c:v>7.66</c:v>
                </c:pt>
                <c:pt idx="89">
                  <c:v>11.87</c:v>
                </c:pt>
                <c:pt idx="90">
                  <c:v>11.98</c:v>
                </c:pt>
                <c:pt idx="91">
                  <c:v>15.99</c:v>
                </c:pt>
                <c:pt idx="92">
                  <c:v>5.48</c:v>
                </c:pt>
                <c:pt idx="93">
                  <c:v>11.12</c:v>
                </c:pt>
                <c:pt idx="94">
                  <c:v>8.56</c:v>
                </c:pt>
                <c:pt idx="95">
                  <c:v>3.89</c:v>
                </c:pt>
                <c:pt idx="96">
                  <c:v>11.41</c:v>
                </c:pt>
                <c:pt idx="97">
                  <c:v>10.62</c:v>
                </c:pt>
                <c:pt idx="98">
                  <c:v>3.43</c:v>
                </c:pt>
                <c:pt idx="99">
                  <c:v>10.199999999999999</c:v>
                </c:pt>
                <c:pt idx="100">
                  <c:v>16.53</c:v>
                </c:pt>
                <c:pt idx="101">
                  <c:v>7.54</c:v>
                </c:pt>
                <c:pt idx="102">
                  <c:v>10.5</c:v>
                </c:pt>
                <c:pt idx="103">
                  <c:v>19.25</c:v>
                </c:pt>
                <c:pt idx="104">
                  <c:v>16.32</c:v>
                </c:pt>
                <c:pt idx="105">
                  <c:v>11.1</c:v>
                </c:pt>
                <c:pt idx="106">
                  <c:v>4.9000000000000004</c:v>
                </c:pt>
                <c:pt idx="107">
                  <c:v>13.32</c:v>
                </c:pt>
                <c:pt idx="108">
                  <c:v>20.69</c:v>
                </c:pt>
                <c:pt idx="109">
                  <c:v>19.5</c:v>
                </c:pt>
                <c:pt idx="110">
                  <c:v>20.32</c:v>
                </c:pt>
                <c:pt idx="111">
                  <c:v>9.85</c:v>
                </c:pt>
                <c:pt idx="112">
                  <c:v>19.93</c:v>
                </c:pt>
                <c:pt idx="113">
                  <c:v>19</c:v>
                </c:pt>
                <c:pt idx="114">
                  <c:v>9.48</c:v>
                </c:pt>
                <c:pt idx="115">
                  <c:v>8.35</c:v>
                </c:pt>
                <c:pt idx="116">
                  <c:v>8.2200000000000006</c:v>
                </c:pt>
                <c:pt idx="117">
                  <c:v>8.6999999999999993</c:v>
                </c:pt>
                <c:pt idx="118">
                  <c:v>8.23</c:v>
                </c:pt>
                <c:pt idx="119">
                  <c:v>12.94</c:v>
                </c:pt>
                <c:pt idx="120">
                  <c:v>12.27</c:v>
                </c:pt>
                <c:pt idx="121">
                  <c:v>14.68</c:v>
                </c:pt>
                <c:pt idx="122">
                  <c:v>19.05</c:v>
                </c:pt>
                <c:pt idx="123">
                  <c:v>11.21</c:v>
                </c:pt>
                <c:pt idx="124">
                  <c:v>15.33</c:v>
                </c:pt>
                <c:pt idx="125">
                  <c:v>12.14</c:v>
                </c:pt>
                <c:pt idx="126">
                  <c:v>11.34</c:v>
                </c:pt>
                <c:pt idx="127">
                  <c:v>13.45</c:v>
                </c:pt>
                <c:pt idx="128">
                  <c:v>23.24</c:v>
                </c:pt>
                <c:pt idx="129">
                  <c:v>23.47</c:v>
                </c:pt>
                <c:pt idx="130">
                  <c:v>22.59</c:v>
                </c:pt>
                <c:pt idx="131">
                  <c:v>23.02</c:v>
                </c:pt>
                <c:pt idx="132">
                  <c:v>16.96</c:v>
                </c:pt>
                <c:pt idx="133">
                  <c:v>8.65</c:v>
                </c:pt>
                <c:pt idx="134">
                  <c:v>15.62</c:v>
                </c:pt>
                <c:pt idx="135">
                  <c:v>11.95</c:v>
                </c:pt>
                <c:pt idx="136">
                  <c:v>8.77</c:v>
                </c:pt>
                <c:pt idx="137">
                  <c:v>10.96</c:v>
                </c:pt>
                <c:pt idx="138">
                  <c:v>12.54</c:v>
                </c:pt>
                <c:pt idx="139">
                  <c:v>18.03</c:v>
                </c:pt>
                <c:pt idx="140">
                  <c:v>18.78</c:v>
                </c:pt>
                <c:pt idx="141">
                  <c:v>12.75</c:v>
                </c:pt>
                <c:pt idx="142">
                  <c:v>14.95</c:v>
                </c:pt>
                <c:pt idx="143">
                  <c:v>14.66</c:v>
                </c:pt>
                <c:pt idx="144">
                  <c:v>12.07</c:v>
                </c:pt>
                <c:pt idx="145">
                  <c:v>12.04</c:v>
                </c:pt>
                <c:pt idx="146">
                  <c:v>14.75</c:v>
                </c:pt>
                <c:pt idx="147">
                  <c:v>9.65</c:v>
                </c:pt>
                <c:pt idx="148">
                  <c:v>8.59</c:v>
                </c:pt>
                <c:pt idx="149">
                  <c:v>14.95</c:v>
                </c:pt>
                <c:pt idx="150">
                  <c:v>15.08</c:v>
                </c:pt>
                <c:pt idx="151">
                  <c:v>16.52</c:v>
                </c:pt>
                <c:pt idx="152">
                  <c:v>9.9499999999999993</c:v>
                </c:pt>
                <c:pt idx="153">
                  <c:v>7.76</c:v>
                </c:pt>
                <c:pt idx="154">
                  <c:v>9.36</c:v>
                </c:pt>
                <c:pt idx="155">
                  <c:v>16.57</c:v>
                </c:pt>
                <c:pt idx="156">
                  <c:v>15.8</c:v>
                </c:pt>
                <c:pt idx="157">
                  <c:v>19.64</c:v>
                </c:pt>
                <c:pt idx="158">
                  <c:v>26.91</c:v>
                </c:pt>
                <c:pt idx="159">
                  <c:v>26.02</c:v>
                </c:pt>
                <c:pt idx="160">
                  <c:v>15.05</c:v>
                </c:pt>
                <c:pt idx="161">
                  <c:v>18.11</c:v>
                </c:pt>
                <c:pt idx="162">
                  <c:v>25.42</c:v>
                </c:pt>
                <c:pt idx="163">
                  <c:v>14.13</c:v>
                </c:pt>
                <c:pt idx="164">
                  <c:v>25.11</c:v>
                </c:pt>
                <c:pt idx="165">
                  <c:v>22.93</c:v>
                </c:pt>
                <c:pt idx="166">
                  <c:v>9.9700000000000006</c:v>
                </c:pt>
                <c:pt idx="167">
                  <c:v>8.26</c:v>
                </c:pt>
                <c:pt idx="168">
                  <c:v>12.58</c:v>
                </c:pt>
                <c:pt idx="169">
                  <c:v>12.57</c:v>
                </c:pt>
                <c:pt idx="170">
                  <c:v>17.07</c:v>
                </c:pt>
                <c:pt idx="171">
                  <c:v>19.22</c:v>
                </c:pt>
                <c:pt idx="172">
                  <c:v>21.43</c:v>
                </c:pt>
                <c:pt idx="173">
                  <c:v>12.26</c:v>
                </c:pt>
                <c:pt idx="174">
                  <c:v>20.7</c:v>
                </c:pt>
                <c:pt idx="175">
                  <c:v>11.22</c:v>
                </c:pt>
                <c:pt idx="176">
                  <c:v>24.47</c:v>
                </c:pt>
                <c:pt idx="177">
                  <c:v>10.93</c:v>
                </c:pt>
                <c:pt idx="178">
                  <c:v>19.12</c:v>
                </c:pt>
                <c:pt idx="179">
                  <c:v>18.55</c:v>
                </c:pt>
                <c:pt idx="180">
                  <c:v>14.66</c:v>
                </c:pt>
                <c:pt idx="181">
                  <c:v>9.1300000000000008</c:v>
                </c:pt>
                <c:pt idx="182">
                  <c:v>15.12</c:v>
                </c:pt>
                <c:pt idx="183">
                  <c:v>18.38</c:v>
                </c:pt>
                <c:pt idx="184">
                  <c:v>22.46</c:v>
                </c:pt>
                <c:pt idx="185">
                  <c:v>23.89</c:v>
                </c:pt>
                <c:pt idx="186">
                  <c:v>25.35</c:v>
                </c:pt>
                <c:pt idx="187">
                  <c:v>25.45</c:v>
                </c:pt>
                <c:pt idx="188">
                  <c:v>25.12</c:v>
                </c:pt>
                <c:pt idx="189">
                  <c:v>23.86</c:v>
                </c:pt>
                <c:pt idx="190">
                  <c:v>24.22</c:v>
                </c:pt>
                <c:pt idx="191">
                  <c:v>24.75</c:v>
                </c:pt>
                <c:pt idx="192">
                  <c:v>24.41</c:v>
                </c:pt>
                <c:pt idx="193">
                  <c:v>24.19</c:v>
                </c:pt>
                <c:pt idx="194">
                  <c:v>23.4</c:v>
                </c:pt>
                <c:pt idx="195">
                  <c:v>21.8</c:v>
                </c:pt>
                <c:pt idx="196">
                  <c:v>20.7</c:v>
                </c:pt>
                <c:pt idx="197">
                  <c:v>22.23</c:v>
                </c:pt>
                <c:pt idx="198">
                  <c:v>14.76</c:v>
                </c:pt>
                <c:pt idx="199">
                  <c:v>22.79</c:v>
                </c:pt>
                <c:pt idx="200">
                  <c:v>23.87</c:v>
                </c:pt>
                <c:pt idx="201">
                  <c:v>23.75</c:v>
                </c:pt>
                <c:pt idx="202">
                  <c:v>22.43</c:v>
                </c:pt>
                <c:pt idx="203">
                  <c:v>15.8</c:v>
                </c:pt>
                <c:pt idx="204">
                  <c:v>23.15</c:v>
                </c:pt>
                <c:pt idx="205">
                  <c:v>16.09</c:v>
                </c:pt>
                <c:pt idx="206">
                  <c:v>12.45</c:v>
                </c:pt>
                <c:pt idx="207">
                  <c:v>17.36</c:v>
                </c:pt>
                <c:pt idx="208">
                  <c:v>18.04</c:v>
                </c:pt>
                <c:pt idx="209">
                  <c:v>19.559999999999999</c:v>
                </c:pt>
                <c:pt idx="210">
                  <c:v>7.46</c:v>
                </c:pt>
                <c:pt idx="211">
                  <c:v>11.18</c:v>
                </c:pt>
                <c:pt idx="212">
                  <c:v>21.41</c:v>
                </c:pt>
                <c:pt idx="213">
                  <c:v>21.73</c:v>
                </c:pt>
                <c:pt idx="214">
                  <c:v>16.43</c:v>
                </c:pt>
                <c:pt idx="215">
                  <c:v>20.41</c:v>
                </c:pt>
                <c:pt idx="216">
                  <c:v>16.97</c:v>
                </c:pt>
                <c:pt idx="217">
                  <c:v>17.71</c:v>
                </c:pt>
                <c:pt idx="218">
                  <c:v>20.75</c:v>
                </c:pt>
                <c:pt idx="219">
                  <c:v>17.18</c:v>
                </c:pt>
                <c:pt idx="220">
                  <c:v>16.66</c:v>
                </c:pt>
                <c:pt idx="221">
                  <c:v>11.82</c:v>
                </c:pt>
                <c:pt idx="222">
                  <c:v>15.5</c:v>
                </c:pt>
                <c:pt idx="223">
                  <c:v>17.93</c:v>
                </c:pt>
                <c:pt idx="224">
                  <c:v>9.6300000000000008</c:v>
                </c:pt>
                <c:pt idx="225">
                  <c:v>16.22</c:v>
                </c:pt>
                <c:pt idx="226">
                  <c:v>16.52</c:v>
                </c:pt>
                <c:pt idx="227">
                  <c:v>12.74</c:v>
                </c:pt>
                <c:pt idx="228">
                  <c:v>4.6500000000000004</c:v>
                </c:pt>
                <c:pt idx="229">
                  <c:v>12.19</c:v>
                </c:pt>
                <c:pt idx="230">
                  <c:v>17.350000000000001</c:v>
                </c:pt>
                <c:pt idx="231">
                  <c:v>13.64</c:v>
                </c:pt>
                <c:pt idx="232">
                  <c:v>12.99</c:v>
                </c:pt>
                <c:pt idx="233">
                  <c:v>9.66</c:v>
                </c:pt>
                <c:pt idx="234">
                  <c:v>14.83</c:v>
                </c:pt>
                <c:pt idx="235">
                  <c:v>14.49</c:v>
                </c:pt>
                <c:pt idx="236">
                  <c:v>3.93</c:v>
                </c:pt>
                <c:pt idx="237">
                  <c:v>10.42</c:v>
                </c:pt>
                <c:pt idx="238">
                  <c:v>7.25</c:v>
                </c:pt>
                <c:pt idx="239">
                  <c:v>6.92</c:v>
                </c:pt>
                <c:pt idx="240">
                  <c:v>15.65</c:v>
                </c:pt>
                <c:pt idx="241">
                  <c:v>18.18</c:v>
                </c:pt>
                <c:pt idx="242">
                  <c:v>17.350000000000001</c:v>
                </c:pt>
                <c:pt idx="243">
                  <c:v>18.05</c:v>
                </c:pt>
                <c:pt idx="244">
                  <c:v>17.48</c:v>
                </c:pt>
                <c:pt idx="245">
                  <c:v>9.08</c:v>
                </c:pt>
                <c:pt idx="246">
                  <c:v>16.46</c:v>
                </c:pt>
                <c:pt idx="247">
                  <c:v>16.86</c:v>
                </c:pt>
                <c:pt idx="248">
                  <c:v>17.02</c:v>
                </c:pt>
                <c:pt idx="249">
                  <c:v>16.73</c:v>
                </c:pt>
                <c:pt idx="250">
                  <c:v>16.010000000000002</c:v>
                </c:pt>
                <c:pt idx="251">
                  <c:v>9.82</c:v>
                </c:pt>
                <c:pt idx="252">
                  <c:v>9.24</c:v>
                </c:pt>
                <c:pt idx="253">
                  <c:v>14.59</c:v>
                </c:pt>
                <c:pt idx="254">
                  <c:v>6.48</c:v>
                </c:pt>
                <c:pt idx="255">
                  <c:v>10.58</c:v>
                </c:pt>
                <c:pt idx="256">
                  <c:v>10</c:v>
                </c:pt>
                <c:pt idx="257">
                  <c:v>13.29</c:v>
                </c:pt>
                <c:pt idx="258">
                  <c:v>8.36</c:v>
                </c:pt>
                <c:pt idx="259">
                  <c:v>14.49</c:v>
                </c:pt>
                <c:pt idx="260">
                  <c:v>12.24</c:v>
                </c:pt>
                <c:pt idx="261">
                  <c:v>10.81</c:v>
                </c:pt>
                <c:pt idx="262">
                  <c:v>9.32</c:v>
                </c:pt>
                <c:pt idx="263">
                  <c:v>7.31</c:v>
                </c:pt>
                <c:pt idx="264">
                  <c:v>12.65</c:v>
                </c:pt>
                <c:pt idx="265">
                  <c:v>5.56</c:v>
                </c:pt>
                <c:pt idx="266">
                  <c:v>11.67</c:v>
                </c:pt>
                <c:pt idx="267">
                  <c:v>9.16</c:v>
                </c:pt>
                <c:pt idx="268">
                  <c:v>4.53</c:v>
                </c:pt>
                <c:pt idx="269">
                  <c:v>7.83</c:v>
                </c:pt>
                <c:pt idx="270">
                  <c:v>12.33</c:v>
                </c:pt>
                <c:pt idx="271">
                  <c:v>6.86</c:v>
                </c:pt>
                <c:pt idx="272">
                  <c:v>5.13</c:v>
                </c:pt>
                <c:pt idx="273">
                  <c:v>10.26</c:v>
                </c:pt>
                <c:pt idx="274">
                  <c:v>2.34</c:v>
                </c:pt>
                <c:pt idx="275">
                  <c:v>9.7200000000000006</c:v>
                </c:pt>
                <c:pt idx="276">
                  <c:v>10.31</c:v>
                </c:pt>
                <c:pt idx="277">
                  <c:v>2.6</c:v>
                </c:pt>
                <c:pt idx="278">
                  <c:v>9.99</c:v>
                </c:pt>
                <c:pt idx="279">
                  <c:v>4.97</c:v>
                </c:pt>
                <c:pt idx="280">
                  <c:v>10.51</c:v>
                </c:pt>
                <c:pt idx="281">
                  <c:v>5.78</c:v>
                </c:pt>
                <c:pt idx="282">
                  <c:v>8.4600000000000009</c:v>
                </c:pt>
                <c:pt idx="283">
                  <c:v>6.44</c:v>
                </c:pt>
                <c:pt idx="284">
                  <c:v>9.2100000000000009</c:v>
                </c:pt>
                <c:pt idx="285">
                  <c:v>9.3699999999999992</c:v>
                </c:pt>
                <c:pt idx="286">
                  <c:v>8.7899999999999991</c:v>
                </c:pt>
                <c:pt idx="287">
                  <c:v>3.4</c:v>
                </c:pt>
                <c:pt idx="288">
                  <c:v>2.14</c:v>
                </c:pt>
                <c:pt idx="289">
                  <c:v>6.43</c:v>
                </c:pt>
                <c:pt idx="290">
                  <c:v>6.52</c:v>
                </c:pt>
                <c:pt idx="291">
                  <c:v>1.32</c:v>
                </c:pt>
                <c:pt idx="292">
                  <c:v>2.35</c:v>
                </c:pt>
                <c:pt idx="293">
                  <c:v>1.69</c:v>
                </c:pt>
                <c:pt idx="294">
                  <c:v>3.97</c:v>
                </c:pt>
                <c:pt idx="295">
                  <c:v>6.81</c:v>
                </c:pt>
                <c:pt idx="296">
                  <c:v>5.69</c:v>
                </c:pt>
                <c:pt idx="297">
                  <c:v>5.91</c:v>
                </c:pt>
                <c:pt idx="298">
                  <c:v>3.77</c:v>
                </c:pt>
                <c:pt idx="299">
                  <c:v>2.59</c:v>
                </c:pt>
                <c:pt idx="300">
                  <c:v>5.33</c:v>
                </c:pt>
                <c:pt idx="301">
                  <c:v>4.71</c:v>
                </c:pt>
                <c:pt idx="302">
                  <c:v>4.87</c:v>
                </c:pt>
                <c:pt idx="303">
                  <c:v>3.11</c:v>
                </c:pt>
                <c:pt idx="304">
                  <c:v>1.96</c:v>
                </c:pt>
                <c:pt idx="305">
                  <c:v>0.53</c:v>
                </c:pt>
                <c:pt idx="306">
                  <c:v>0.64</c:v>
                </c:pt>
                <c:pt idx="307">
                  <c:v>1.2</c:v>
                </c:pt>
                <c:pt idx="308">
                  <c:v>0.43</c:v>
                </c:pt>
                <c:pt idx="309">
                  <c:v>2.2799999999999998</c:v>
                </c:pt>
                <c:pt idx="310">
                  <c:v>3.83</c:v>
                </c:pt>
                <c:pt idx="311">
                  <c:v>3.35</c:v>
                </c:pt>
                <c:pt idx="312">
                  <c:v>2.46</c:v>
                </c:pt>
                <c:pt idx="313">
                  <c:v>1.07</c:v>
                </c:pt>
                <c:pt idx="314">
                  <c:v>3.32</c:v>
                </c:pt>
                <c:pt idx="315">
                  <c:v>1.23</c:v>
                </c:pt>
                <c:pt idx="316">
                  <c:v>3.49</c:v>
                </c:pt>
                <c:pt idx="317">
                  <c:v>0.39</c:v>
                </c:pt>
                <c:pt idx="318">
                  <c:v>1.35</c:v>
                </c:pt>
                <c:pt idx="319">
                  <c:v>2.04</c:v>
                </c:pt>
                <c:pt idx="320">
                  <c:v>0.72</c:v>
                </c:pt>
                <c:pt idx="321">
                  <c:v>0.36</c:v>
                </c:pt>
                <c:pt idx="322">
                  <c:v>0.67</c:v>
                </c:pt>
                <c:pt idx="323">
                  <c:v>0.35</c:v>
                </c:pt>
                <c:pt idx="324">
                  <c:v>0.14000000000000001</c:v>
                </c:pt>
                <c:pt idx="325">
                  <c:v>1.9</c:v>
                </c:pt>
                <c:pt idx="326">
                  <c:v>0.62</c:v>
                </c:pt>
                <c:pt idx="327">
                  <c:v>3.08</c:v>
                </c:pt>
                <c:pt idx="328">
                  <c:v>1.95</c:v>
                </c:pt>
                <c:pt idx="329">
                  <c:v>0.66</c:v>
                </c:pt>
                <c:pt idx="330">
                  <c:v>1.1399999999999999</c:v>
                </c:pt>
                <c:pt idx="331">
                  <c:v>0.83</c:v>
                </c:pt>
                <c:pt idx="332">
                  <c:v>1</c:v>
                </c:pt>
                <c:pt idx="333">
                  <c:v>2.37</c:v>
                </c:pt>
                <c:pt idx="334">
                  <c:v>0.81</c:v>
                </c:pt>
                <c:pt idx="335">
                  <c:v>1.58</c:v>
                </c:pt>
                <c:pt idx="336">
                  <c:v>2.95</c:v>
                </c:pt>
                <c:pt idx="337">
                  <c:v>2.2999999999999998</c:v>
                </c:pt>
                <c:pt idx="338">
                  <c:v>1.86</c:v>
                </c:pt>
                <c:pt idx="339">
                  <c:v>1.71</c:v>
                </c:pt>
                <c:pt idx="340">
                  <c:v>0.64</c:v>
                </c:pt>
                <c:pt idx="341">
                  <c:v>0.69</c:v>
                </c:pt>
                <c:pt idx="342">
                  <c:v>0.25</c:v>
                </c:pt>
                <c:pt idx="343">
                  <c:v>0.35</c:v>
                </c:pt>
                <c:pt idx="344">
                  <c:v>0.3</c:v>
                </c:pt>
                <c:pt idx="345">
                  <c:v>0.2</c:v>
                </c:pt>
                <c:pt idx="346">
                  <c:v>0.43</c:v>
                </c:pt>
                <c:pt idx="347">
                  <c:v>0.21</c:v>
                </c:pt>
                <c:pt idx="348">
                  <c:v>0.44</c:v>
                </c:pt>
                <c:pt idx="349">
                  <c:v>0.37</c:v>
                </c:pt>
                <c:pt idx="350">
                  <c:v>0.22</c:v>
                </c:pt>
                <c:pt idx="351">
                  <c:v>0.18</c:v>
                </c:pt>
                <c:pt idx="352">
                  <c:v>0.28999999999999998</c:v>
                </c:pt>
                <c:pt idx="353">
                  <c:v>0.1</c:v>
                </c:pt>
                <c:pt idx="354">
                  <c:v>0.22</c:v>
                </c:pt>
                <c:pt idx="355">
                  <c:v>0.28999999999999998</c:v>
                </c:pt>
                <c:pt idx="356">
                  <c:v>1.22</c:v>
                </c:pt>
                <c:pt idx="357">
                  <c:v>1.0900000000000001</c:v>
                </c:pt>
                <c:pt idx="358">
                  <c:v>1.1299999999999999</c:v>
                </c:pt>
                <c:pt idx="359">
                  <c:v>0.77</c:v>
                </c:pt>
                <c:pt idx="360">
                  <c:v>0.31</c:v>
                </c:pt>
                <c:pt idx="361">
                  <c:v>0.3</c:v>
                </c:pt>
                <c:pt idx="362">
                  <c:v>0.12</c:v>
                </c:pt>
                <c:pt idx="363">
                  <c:v>0.59</c:v>
                </c:pt>
                <c:pt idx="364">
                  <c:v>0.25</c:v>
                </c:pt>
                <c:pt idx="365">
                  <c:v>0.43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Data!$AM$6:$AM$371</c:f>
              <c:numCache>
                <c:formatCode>0.00</c:formatCode>
                <c:ptCount val="366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  <c:pt idx="365" formatCode="General">
                  <c:v>4.63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25344"/>
        <c:axId val="206826880"/>
      </c:lineChart>
      <c:catAx>
        <c:axId val="206825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826880"/>
        <c:crosses val="autoZero"/>
        <c:auto val="1"/>
        <c:lblAlgn val="ctr"/>
        <c:lblOffset val="100"/>
        <c:tickMarkSkip val="10"/>
        <c:noMultiLvlLbl val="0"/>
      </c:catAx>
      <c:valAx>
        <c:axId val="206826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6825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Ta/RH sensor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-4.7329999999999997</c:v>
                </c:pt>
                <c:pt idx="1">
                  <c:v>-5.5389999999999997</c:v>
                </c:pt>
                <c:pt idx="2">
                  <c:v>-2.254</c:v>
                </c:pt>
                <c:pt idx="3">
                  <c:v>-4.8079999999999998</c:v>
                </c:pt>
                <c:pt idx="4">
                  <c:v>-5.3380000000000001</c:v>
                </c:pt>
                <c:pt idx="5">
                  <c:v>-6.1449999999999996</c:v>
                </c:pt>
                <c:pt idx="6">
                  <c:v>-12.4</c:v>
                </c:pt>
                <c:pt idx="7">
                  <c:v>-13.19</c:v>
                </c:pt>
                <c:pt idx="8">
                  <c:v>-6.6840000000000002</c:v>
                </c:pt>
                <c:pt idx="9">
                  <c:v>-13.87</c:v>
                </c:pt>
                <c:pt idx="10">
                  <c:v>-32.78</c:v>
                </c:pt>
                <c:pt idx="11">
                  <c:v>-35.950000000000003</c:v>
                </c:pt>
                <c:pt idx="12">
                  <c:v>-32.78</c:v>
                </c:pt>
                <c:pt idx="13">
                  <c:v>-23.35</c:v>
                </c:pt>
                <c:pt idx="14">
                  <c:v>-23.41</c:v>
                </c:pt>
                <c:pt idx="15">
                  <c:v>-17.829999999999998</c:v>
                </c:pt>
                <c:pt idx="16">
                  <c:v>-17.91</c:v>
                </c:pt>
                <c:pt idx="17">
                  <c:v>-16.02</c:v>
                </c:pt>
                <c:pt idx="18">
                  <c:v>-10.71</c:v>
                </c:pt>
                <c:pt idx="19">
                  <c:v>-4.34</c:v>
                </c:pt>
                <c:pt idx="20">
                  <c:v>0.155</c:v>
                </c:pt>
                <c:pt idx="21">
                  <c:v>-4.7E-2</c:v>
                </c:pt>
                <c:pt idx="22">
                  <c:v>-0.97799999999999998</c:v>
                </c:pt>
                <c:pt idx="23">
                  <c:v>-2.3260000000000001</c:v>
                </c:pt>
                <c:pt idx="24">
                  <c:v>-3.129</c:v>
                </c:pt>
                <c:pt idx="25">
                  <c:v>-1.9850000000000001</c:v>
                </c:pt>
                <c:pt idx="26">
                  <c:v>-4.7E-2</c:v>
                </c:pt>
                <c:pt idx="27">
                  <c:v>2.105</c:v>
                </c:pt>
                <c:pt idx="28">
                  <c:v>3.7749999999999999</c:v>
                </c:pt>
                <c:pt idx="29">
                  <c:v>3.516</c:v>
                </c:pt>
                <c:pt idx="30">
                  <c:v>3.5110000000000001</c:v>
                </c:pt>
                <c:pt idx="31">
                  <c:v>2.8450000000000002</c:v>
                </c:pt>
                <c:pt idx="32">
                  <c:v>-0.78500000000000003</c:v>
                </c:pt>
                <c:pt idx="33">
                  <c:v>-4.0709999999999997</c:v>
                </c:pt>
                <c:pt idx="34">
                  <c:v>-6.6159999999999997</c:v>
                </c:pt>
                <c:pt idx="35">
                  <c:v>-6.01</c:v>
                </c:pt>
                <c:pt idx="36">
                  <c:v>-1.921</c:v>
                </c:pt>
                <c:pt idx="37">
                  <c:v>-4.944</c:v>
                </c:pt>
                <c:pt idx="38">
                  <c:v>-7.9</c:v>
                </c:pt>
                <c:pt idx="39">
                  <c:v>-11.52</c:v>
                </c:pt>
                <c:pt idx="40">
                  <c:v>-9.43</c:v>
                </c:pt>
                <c:pt idx="41">
                  <c:v>-3.532</c:v>
                </c:pt>
                <c:pt idx="42">
                  <c:v>-8.43</c:v>
                </c:pt>
                <c:pt idx="43">
                  <c:v>-11.72</c:v>
                </c:pt>
                <c:pt idx="44">
                  <c:v>-13.33</c:v>
                </c:pt>
                <c:pt idx="45">
                  <c:v>-14.54</c:v>
                </c:pt>
                <c:pt idx="46">
                  <c:v>-13.67</c:v>
                </c:pt>
                <c:pt idx="47">
                  <c:v>-8.3699999999999992</c:v>
                </c:pt>
                <c:pt idx="48">
                  <c:v>-5.1360000000000001</c:v>
                </c:pt>
                <c:pt idx="49">
                  <c:v>-3.3980000000000001</c:v>
                </c:pt>
                <c:pt idx="50">
                  <c:v>-4.7E-2</c:v>
                </c:pt>
                <c:pt idx="51">
                  <c:v>0.02</c:v>
                </c:pt>
                <c:pt idx="52">
                  <c:v>-1.2509999999999999</c:v>
                </c:pt>
                <c:pt idx="53">
                  <c:v>-2.59</c:v>
                </c:pt>
                <c:pt idx="54">
                  <c:v>-0.58299999999999996</c:v>
                </c:pt>
                <c:pt idx="55">
                  <c:v>-6.1449999999999996</c:v>
                </c:pt>
                <c:pt idx="56">
                  <c:v>-15.22</c:v>
                </c:pt>
                <c:pt idx="57">
                  <c:v>-20.99</c:v>
                </c:pt>
                <c:pt idx="58">
                  <c:v>-7.36</c:v>
                </c:pt>
                <c:pt idx="59">
                  <c:v>-6.9530000000000003</c:v>
                </c:pt>
                <c:pt idx="60">
                  <c:v>-5.5389999999999997</c:v>
                </c:pt>
                <c:pt idx="61">
                  <c:v>-6.0810000000000004</c:v>
                </c:pt>
                <c:pt idx="62">
                  <c:v>-11.12</c:v>
                </c:pt>
                <c:pt idx="63">
                  <c:v>-15.69</c:v>
                </c:pt>
                <c:pt idx="64">
                  <c:v>-15.21</c:v>
                </c:pt>
                <c:pt idx="65">
                  <c:v>-16.02</c:v>
                </c:pt>
                <c:pt idx="66">
                  <c:v>-12.59</c:v>
                </c:pt>
                <c:pt idx="67">
                  <c:v>-4.6760000000000002</c:v>
                </c:pt>
                <c:pt idx="68">
                  <c:v>-3.0609999999999999</c:v>
                </c:pt>
                <c:pt idx="69">
                  <c:v>-3.1960000000000002</c:v>
                </c:pt>
                <c:pt idx="70">
                  <c:v>-2.0529999999999999</c:v>
                </c:pt>
                <c:pt idx="71">
                  <c:v>-1.9850000000000001</c:v>
                </c:pt>
                <c:pt idx="72">
                  <c:v>-5.6740000000000004</c:v>
                </c:pt>
                <c:pt idx="73">
                  <c:v>-4.8659999999999997</c:v>
                </c:pt>
                <c:pt idx="74">
                  <c:v>-0.84099999999999997</c:v>
                </c:pt>
                <c:pt idx="75">
                  <c:v>0.96599999999999997</c:v>
                </c:pt>
                <c:pt idx="76">
                  <c:v>4.1900000000000004</c:v>
                </c:pt>
                <c:pt idx="77">
                  <c:v>3.0470000000000002</c:v>
                </c:pt>
                <c:pt idx="78">
                  <c:v>2.3069999999999999</c:v>
                </c:pt>
                <c:pt idx="79">
                  <c:v>1.9710000000000001</c:v>
                </c:pt>
                <c:pt idx="80">
                  <c:v>-1.9179999999999999</c:v>
                </c:pt>
                <c:pt idx="81">
                  <c:v>-2.5880000000000001</c:v>
                </c:pt>
                <c:pt idx="82">
                  <c:v>-2.6539999999999999</c:v>
                </c:pt>
                <c:pt idx="83">
                  <c:v>-5.8090000000000002</c:v>
                </c:pt>
                <c:pt idx="84">
                  <c:v>-2.7869999999999999</c:v>
                </c:pt>
                <c:pt idx="85">
                  <c:v>-2.254</c:v>
                </c:pt>
                <c:pt idx="86">
                  <c:v>-3.726</c:v>
                </c:pt>
                <c:pt idx="87">
                  <c:v>-3.53</c:v>
                </c:pt>
                <c:pt idx="88">
                  <c:v>-4.3949999999999996</c:v>
                </c:pt>
                <c:pt idx="89">
                  <c:v>-6.28</c:v>
                </c:pt>
                <c:pt idx="90">
                  <c:v>-5.1349999999999998</c:v>
                </c:pt>
                <c:pt idx="91">
                  <c:v>-0.84099999999999997</c:v>
                </c:pt>
                <c:pt idx="92">
                  <c:v>4.3789999999999996</c:v>
                </c:pt>
                <c:pt idx="93">
                  <c:v>-2.8580000000000001</c:v>
                </c:pt>
                <c:pt idx="94">
                  <c:v>-3.5289999999999999</c:v>
                </c:pt>
                <c:pt idx="95">
                  <c:v>-2.5230000000000001</c:v>
                </c:pt>
                <c:pt idx="96">
                  <c:v>-2.3210000000000002</c:v>
                </c:pt>
                <c:pt idx="97">
                  <c:v>-3.7890000000000001</c:v>
                </c:pt>
                <c:pt idx="98">
                  <c:v>-0.90900000000000003</c:v>
                </c:pt>
                <c:pt idx="99">
                  <c:v>-2.86</c:v>
                </c:pt>
                <c:pt idx="100">
                  <c:v>-3.859</c:v>
                </c:pt>
                <c:pt idx="101">
                  <c:v>-0.316</c:v>
                </c:pt>
                <c:pt idx="102">
                  <c:v>-1.246</c:v>
                </c:pt>
                <c:pt idx="103">
                  <c:v>-0.64</c:v>
                </c:pt>
                <c:pt idx="104">
                  <c:v>1.702</c:v>
                </c:pt>
                <c:pt idx="105">
                  <c:v>-2.86</c:v>
                </c:pt>
                <c:pt idx="106">
                  <c:v>-5.1449999999999996</c:v>
                </c:pt>
                <c:pt idx="107">
                  <c:v>-7.36</c:v>
                </c:pt>
                <c:pt idx="108">
                  <c:v>-4.7320000000000002</c:v>
                </c:pt>
                <c:pt idx="109">
                  <c:v>-5.0010000000000003</c:v>
                </c:pt>
                <c:pt idx="110">
                  <c:v>-2.3210000000000002</c:v>
                </c:pt>
                <c:pt idx="111">
                  <c:v>-1.1779999999999999</c:v>
                </c:pt>
                <c:pt idx="112">
                  <c:v>-3.3279999999999998</c:v>
                </c:pt>
                <c:pt idx="113">
                  <c:v>-0.84099999999999997</c:v>
                </c:pt>
                <c:pt idx="114">
                  <c:v>2.778</c:v>
                </c:pt>
                <c:pt idx="115">
                  <c:v>0.222</c:v>
                </c:pt>
                <c:pt idx="116">
                  <c:v>0.69299999999999995</c:v>
                </c:pt>
                <c:pt idx="117">
                  <c:v>0.76100000000000001</c:v>
                </c:pt>
                <c:pt idx="118">
                  <c:v>-1.5820000000000001</c:v>
                </c:pt>
                <c:pt idx="119">
                  <c:v>-3.5920000000000001</c:v>
                </c:pt>
                <c:pt idx="120">
                  <c:v>-4.4619999999999997</c:v>
                </c:pt>
                <c:pt idx="121">
                  <c:v>-2.3210000000000002</c:v>
                </c:pt>
                <c:pt idx="122">
                  <c:v>-1.6479999999999999</c:v>
                </c:pt>
                <c:pt idx="123">
                  <c:v>1.232</c:v>
                </c:pt>
                <c:pt idx="124">
                  <c:v>4.056</c:v>
                </c:pt>
                <c:pt idx="125">
                  <c:v>4.0549999999999997</c:v>
                </c:pt>
                <c:pt idx="126">
                  <c:v>-0.17499999999999999</c:v>
                </c:pt>
                <c:pt idx="127">
                  <c:v>-0.97599999999999998</c:v>
                </c:pt>
                <c:pt idx="128">
                  <c:v>-2.1869999999999998</c:v>
                </c:pt>
                <c:pt idx="129">
                  <c:v>3.8540000000000001</c:v>
                </c:pt>
                <c:pt idx="130">
                  <c:v>7.94</c:v>
                </c:pt>
                <c:pt idx="131">
                  <c:v>8.41</c:v>
                </c:pt>
                <c:pt idx="132">
                  <c:v>8.08</c:v>
                </c:pt>
                <c:pt idx="133">
                  <c:v>2.2400000000000002</c:v>
                </c:pt>
                <c:pt idx="134">
                  <c:v>1.2330000000000001</c:v>
                </c:pt>
                <c:pt idx="135">
                  <c:v>6.8650000000000002</c:v>
                </c:pt>
                <c:pt idx="136">
                  <c:v>0.29099999999999998</c:v>
                </c:pt>
                <c:pt idx="137">
                  <c:v>9.2999999999999999E-2</c:v>
                </c:pt>
                <c:pt idx="138">
                  <c:v>-0.17799999999999999</c:v>
                </c:pt>
                <c:pt idx="139">
                  <c:v>-0.84199999999999997</c:v>
                </c:pt>
                <c:pt idx="140">
                  <c:v>3.4000000000000002E-2</c:v>
                </c:pt>
                <c:pt idx="141">
                  <c:v>4.056</c:v>
                </c:pt>
                <c:pt idx="142">
                  <c:v>2.5760000000000001</c:v>
                </c:pt>
                <c:pt idx="143">
                  <c:v>2.98</c:v>
                </c:pt>
                <c:pt idx="144">
                  <c:v>3.9889999999999999</c:v>
                </c:pt>
                <c:pt idx="145">
                  <c:v>2.4420000000000002</c:v>
                </c:pt>
                <c:pt idx="146">
                  <c:v>0.89600000000000002</c:v>
                </c:pt>
                <c:pt idx="147">
                  <c:v>3.0470000000000002</c:v>
                </c:pt>
                <c:pt idx="148">
                  <c:v>1.165</c:v>
                </c:pt>
                <c:pt idx="149">
                  <c:v>-0.11</c:v>
                </c:pt>
                <c:pt idx="150">
                  <c:v>-0.57199999999999995</c:v>
                </c:pt>
                <c:pt idx="151">
                  <c:v>2.105</c:v>
                </c:pt>
                <c:pt idx="152">
                  <c:v>5.0519999999999996</c:v>
                </c:pt>
                <c:pt idx="153">
                  <c:v>2.9119999999999999</c:v>
                </c:pt>
                <c:pt idx="154">
                  <c:v>2.5089999999999999</c:v>
                </c:pt>
                <c:pt idx="155">
                  <c:v>2.173</c:v>
                </c:pt>
                <c:pt idx="156">
                  <c:v>0.496</c:v>
                </c:pt>
                <c:pt idx="157">
                  <c:v>1.772</c:v>
                </c:pt>
                <c:pt idx="158">
                  <c:v>2.98</c:v>
                </c:pt>
                <c:pt idx="159">
                  <c:v>5.3339999999999996</c:v>
                </c:pt>
                <c:pt idx="160">
                  <c:v>8.81</c:v>
                </c:pt>
                <c:pt idx="161">
                  <c:v>7.6</c:v>
                </c:pt>
                <c:pt idx="162">
                  <c:v>5.8710000000000004</c:v>
                </c:pt>
                <c:pt idx="163">
                  <c:v>1.8360000000000001</c:v>
                </c:pt>
                <c:pt idx="164">
                  <c:v>2.5760000000000001</c:v>
                </c:pt>
                <c:pt idx="165">
                  <c:v>3.383</c:v>
                </c:pt>
                <c:pt idx="166">
                  <c:v>2.173</c:v>
                </c:pt>
                <c:pt idx="167">
                  <c:v>1.7689999999999999</c:v>
                </c:pt>
                <c:pt idx="168">
                  <c:v>3.8540000000000001</c:v>
                </c:pt>
                <c:pt idx="169">
                  <c:v>2.7109999999999999</c:v>
                </c:pt>
                <c:pt idx="170">
                  <c:v>2.3740000000000001</c:v>
                </c:pt>
                <c:pt idx="171">
                  <c:v>5.3339999999999996</c:v>
                </c:pt>
                <c:pt idx="172">
                  <c:v>8.08</c:v>
                </c:pt>
                <c:pt idx="173">
                  <c:v>10.43</c:v>
                </c:pt>
                <c:pt idx="174">
                  <c:v>6.3970000000000002</c:v>
                </c:pt>
                <c:pt idx="175">
                  <c:v>4.7229999999999999</c:v>
                </c:pt>
                <c:pt idx="176">
                  <c:v>3.3159999999999998</c:v>
                </c:pt>
                <c:pt idx="177">
                  <c:v>6.3339999999999996</c:v>
                </c:pt>
                <c:pt idx="178">
                  <c:v>5.3339999999999996</c:v>
                </c:pt>
                <c:pt idx="179">
                  <c:v>4.93</c:v>
                </c:pt>
                <c:pt idx="180">
                  <c:v>9.6199999999999992</c:v>
                </c:pt>
                <c:pt idx="181">
                  <c:v>9.49</c:v>
                </c:pt>
                <c:pt idx="182">
                  <c:v>9.42</c:v>
                </c:pt>
                <c:pt idx="183">
                  <c:v>5.8719999999999999</c:v>
                </c:pt>
                <c:pt idx="184">
                  <c:v>5.0650000000000004</c:v>
                </c:pt>
                <c:pt idx="185">
                  <c:v>7.14</c:v>
                </c:pt>
                <c:pt idx="186">
                  <c:v>9.9600000000000009</c:v>
                </c:pt>
                <c:pt idx="187">
                  <c:v>10.7</c:v>
                </c:pt>
                <c:pt idx="188">
                  <c:v>12.58</c:v>
                </c:pt>
                <c:pt idx="189">
                  <c:v>14.45</c:v>
                </c:pt>
                <c:pt idx="190">
                  <c:v>16.190000000000001</c:v>
                </c:pt>
                <c:pt idx="191">
                  <c:v>14.92</c:v>
                </c:pt>
                <c:pt idx="192">
                  <c:v>11.64</c:v>
                </c:pt>
                <c:pt idx="193">
                  <c:v>11.91</c:v>
                </c:pt>
                <c:pt idx="194">
                  <c:v>12.85</c:v>
                </c:pt>
                <c:pt idx="195">
                  <c:v>13.39</c:v>
                </c:pt>
                <c:pt idx="196">
                  <c:v>14.32</c:v>
                </c:pt>
                <c:pt idx="197">
                  <c:v>14.05</c:v>
                </c:pt>
                <c:pt idx="198">
                  <c:v>17.399999999999999</c:v>
                </c:pt>
                <c:pt idx="199">
                  <c:v>16.39</c:v>
                </c:pt>
                <c:pt idx="200">
                  <c:v>15.86</c:v>
                </c:pt>
                <c:pt idx="201">
                  <c:v>13.72</c:v>
                </c:pt>
                <c:pt idx="202">
                  <c:v>18.28</c:v>
                </c:pt>
                <c:pt idx="203">
                  <c:v>13.18</c:v>
                </c:pt>
                <c:pt idx="204">
                  <c:v>6.2080000000000002</c:v>
                </c:pt>
                <c:pt idx="205">
                  <c:v>9.2899999999999991</c:v>
                </c:pt>
                <c:pt idx="206">
                  <c:v>6.2080000000000002</c:v>
                </c:pt>
                <c:pt idx="207">
                  <c:v>5.468</c:v>
                </c:pt>
                <c:pt idx="208">
                  <c:v>7.22</c:v>
                </c:pt>
                <c:pt idx="209">
                  <c:v>10.16</c:v>
                </c:pt>
                <c:pt idx="210">
                  <c:v>10.9</c:v>
                </c:pt>
                <c:pt idx="211">
                  <c:v>9.76</c:v>
                </c:pt>
                <c:pt idx="212">
                  <c:v>9.2899999999999991</c:v>
                </c:pt>
                <c:pt idx="213">
                  <c:v>11.5</c:v>
                </c:pt>
                <c:pt idx="214">
                  <c:v>15.79</c:v>
                </c:pt>
                <c:pt idx="215">
                  <c:v>17.07</c:v>
                </c:pt>
                <c:pt idx="216">
                  <c:v>15.59</c:v>
                </c:pt>
                <c:pt idx="217">
                  <c:v>12.45</c:v>
                </c:pt>
                <c:pt idx="218">
                  <c:v>8.69</c:v>
                </c:pt>
                <c:pt idx="219">
                  <c:v>8.49</c:v>
                </c:pt>
                <c:pt idx="220">
                  <c:v>11.77</c:v>
                </c:pt>
                <c:pt idx="221">
                  <c:v>11.5</c:v>
                </c:pt>
                <c:pt idx="222">
                  <c:v>10.7</c:v>
                </c:pt>
                <c:pt idx="223">
                  <c:v>11.3</c:v>
                </c:pt>
                <c:pt idx="224">
                  <c:v>11.71</c:v>
                </c:pt>
                <c:pt idx="225">
                  <c:v>9.82</c:v>
                </c:pt>
                <c:pt idx="226">
                  <c:v>10.9</c:v>
                </c:pt>
                <c:pt idx="227">
                  <c:v>12.11</c:v>
                </c:pt>
                <c:pt idx="228">
                  <c:v>10.63</c:v>
                </c:pt>
                <c:pt idx="229">
                  <c:v>9.76</c:v>
                </c:pt>
                <c:pt idx="230">
                  <c:v>9.15</c:v>
                </c:pt>
                <c:pt idx="231">
                  <c:v>6.8810000000000002</c:v>
                </c:pt>
                <c:pt idx="232">
                  <c:v>6.8789999999999996</c:v>
                </c:pt>
                <c:pt idx="233">
                  <c:v>8.9499999999999993</c:v>
                </c:pt>
                <c:pt idx="234">
                  <c:v>7.21</c:v>
                </c:pt>
                <c:pt idx="235">
                  <c:v>9.6199999999999992</c:v>
                </c:pt>
                <c:pt idx="236">
                  <c:v>7.21</c:v>
                </c:pt>
                <c:pt idx="237">
                  <c:v>5.1319999999999997</c:v>
                </c:pt>
                <c:pt idx="238">
                  <c:v>6.343</c:v>
                </c:pt>
                <c:pt idx="239">
                  <c:v>3.7869999999999999</c:v>
                </c:pt>
                <c:pt idx="240">
                  <c:v>4.3250000000000002</c:v>
                </c:pt>
                <c:pt idx="241">
                  <c:v>5.67</c:v>
                </c:pt>
                <c:pt idx="242">
                  <c:v>10.5</c:v>
                </c:pt>
                <c:pt idx="243">
                  <c:v>12.04</c:v>
                </c:pt>
                <c:pt idx="244">
                  <c:v>14.06</c:v>
                </c:pt>
                <c:pt idx="245">
                  <c:v>13.79</c:v>
                </c:pt>
                <c:pt idx="246">
                  <c:v>10.43</c:v>
                </c:pt>
                <c:pt idx="247">
                  <c:v>9.89</c:v>
                </c:pt>
                <c:pt idx="248">
                  <c:v>11.77</c:v>
                </c:pt>
                <c:pt idx="249">
                  <c:v>14.33</c:v>
                </c:pt>
                <c:pt idx="250">
                  <c:v>13.99</c:v>
                </c:pt>
                <c:pt idx="251">
                  <c:v>16.190000000000001</c:v>
                </c:pt>
                <c:pt idx="252">
                  <c:v>5.8719999999999999</c:v>
                </c:pt>
                <c:pt idx="253">
                  <c:v>4.8630000000000004</c:v>
                </c:pt>
                <c:pt idx="254">
                  <c:v>7.08</c:v>
                </c:pt>
                <c:pt idx="255">
                  <c:v>6.8129999999999997</c:v>
                </c:pt>
                <c:pt idx="256">
                  <c:v>5.5359999999999996</c:v>
                </c:pt>
                <c:pt idx="257">
                  <c:v>4.7279999999999998</c:v>
                </c:pt>
                <c:pt idx="258">
                  <c:v>2.3839999999999999</c:v>
                </c:pt>
                <c:pt idx="259">
                  <c:v>3.4510000000000001</c:v>
                </c:pt>
                <c:pt idx="260">
                  <c:v>6.2750000000000004</c:v>
                </c:pt>
                <c:pt idx="261">
                  <c:v>7.15</c:v>
                </c:pt>
                <c:pt idx="262">
                  <c:v>6.343</c:v>
                </c:pt>
                <c:pt idx="263">
                  <c:v>2.052</c:v>
                </c:pt>
                <c:pt idx="264">
                  <c:v>1.7829999999999999</c:v>
                </c:pt>
                <c:pt idx="265">
                  <c:v>8.15</c:v>
                </c:pt>
                <c:pt idx="266">
                  <c:v>8.2799999999999994</c:v>
                </c:pt>
                <c:pt idx="267">
                  <c:v>10.36</c:v>
                </c:pt>
                <c:pt idx="268">
                  <c:v>6.141</c:v>
                </c:pt>
                <c:pt idx="269">
                  <c:v>4.056</c:v>
                </c:pt>
                <c:pt idx="270">
                  <c:v>2.919</c:v>
                </c:pt>
                <c:pt idx="271">
                  <c:v>1.9179999999999999</c:v>
                </c:pt>
                <c:pt idx="272">
                  <c:v>-0.505</c:v>
                </c:pt>
                <c:pt idx="273">
                  <c:v>-1.4419999999999999</c:v>
                </c:pt>
                <c:pt idx="274">
                  <c:v>0.57199999999999995</c:v>
                </c:pt>
                <c:pt idx="275">
                  <c:v>0.16800000000000001</c:v>
                </c:pt>
                <c:pt idx="276">
                  <c:v>-0.23599999999999999</c:v>
                </c:pt>
                <c:pt idx="277">
                  <c:v>4.4589999999999996</c:v>
                </c:pt>
                <c:pt idx="278">
                  <c:v>1.774</c:v>
                </c:pt>
                <c:pt idx="279">
                  <c:v>4.9969999999999999</c:v>
                </c:pt>
                <c:pt idx="280">
                  <c:v>4.1230000000000002</c:v>
                </c:pt>
                <c:pt idx="281">
                  <c:v>7.27</c:v>
                </c:pt>
                <c:pt idx="282">
                  <c:v>2.98</c:v>
                </c:pt>
                <c:pt idx="283">
                  <c:v>-1.0429999999999999</c:v>
                </c:pt>
                <c:pt idx="284">
                  <c:v>0.37</c:v>
                </c:pt>
                <c:pt idx="285">
                  <c:v>3.9209999999999998</c:v>
                </c:pt>
                <c:pt idx="286">
                  <c:v>6.9480000000000004</c:v>
                </c:pt>
                <c:pt idx="287">
                  <c:v>7.01</c:v>
                </c:pt>
                <c:pt idx="288">
                  <c:v>5.1989999999999998</c:v>
                </c:pt>
                <c:pt idx="289">
                  <c:v>0.10100000000000001</c:v>
                </c:pt>
                <c:pt idx="290">
                  <c:v>-2.246</c:v>
                </c:pt>
                <c:pt idx="291">
                  <c:v>-2.5110000000000001</c:v>
                </c:pt>
                <c:pt idx="292">
                  <c:v>1.4339999999999999</c:v>
                </c:pt>
                <c:pt idx="293">
                  <c:v>3.45</c:v>
                </c:pt>
                <c:pt idx="294">
                  <c:v>0.23200000000000001</c:v>
                </c:pt>
                <c:pt idx="295">
                  <c:v>-2.645</c:v>
                </c:pt>
                <c:pt idx="296">
                  <c:v>-2.1120000000000001</c:v>
                </c:pt>
                <c:pt idx="297">
                  <c:v>-2.5110000000000001</c:v>
                </c:pt>
                <c:pt idx="298">
                  <c:v>-2.9140000000000001</c:v>
                </c:pt>
                <c:pt idx="299">
                  <c:v>0.55800000000000005</c:v>
                </c:pt>
                <c:pt idx="300">
                  <c:v>2.5089999999999999</c:v>
                </c:pt>
                <c:pt idx="301">
                  <c:v>-1.3120000000000001</c:v>
                </c:pt>
                <c:pt idx="302">
                  <c:v>-4.1929999999999996</c:v>
                </c:pt>
                <c:pt idx="303">
                  <c:v>-1.514</c:v>
                </c:pt>
                <c:pt idx="304">
                  <c:v>-1.514</c:v>
                </c:pt>
                <c:pt idx="305">
                  <c:v>-1.85</c:v>
                </c:pt>
                <c:pt idx="306">
                  <c:v>-2.052</c:v>
                </c:pt>
                <c:pt idx="307">
                  <c:v>-3.9239999999999999</c:v>
                </c:pt>
                <c:pt idx="308">
                  <c:v>-1.9179999999999999</c:v>
                </c:pt>
                <c:pt idx="309">
                  <c:v>-5.5389999999999997</c:v>
                </c:pt>
                <c:pt idx="310">
                  <c:v>-5.2030000000000003</c:v>
                </c:pt>
                <c:pt idx="311">
                  <c:v>-0.57199999999999995</c:v>
                </c:pt>
                <c:pt idx="312">
                  <c:v>-0.37</c:v>
                </c:pt>
                <c:pt idx="313">
                  <c:v>0.42399999999999999</c:v>
                </c:pt>
                <c:pt idx="314">
                  <c:v>0.36399999999999999</c:v>
                </c:pt>
                <c:pt idx="315">
                  <c:v>-0.63900000000000001</c:v>
                </c:pt>
                <c:pt idx="316">
                  <c:v>9.5000000000000001E-2</c:v>
                </c:pt>
                <c:pt idx="317">
                  <c:v>2.5999999999999999E-2</c:v>
                </c:pt>
                <c:pt idx="318">
                  <c:v>-1.9179999999999999</c:v>
                </c:pt>
                <c:pt idx="319">
                  <c:v>-5.3369999999999997</c:v>
                </c:pt>
                <c:pt idx="320">
                  <c:v>-5.4050000000000002</c:v>
                </c:pt>
                <c:pt idx="321">
                  <c:v>-4.3949999999999996</c:v>
                </c:pt>
                <c:pt idx="322">
                  <c:v>-8.9600000000000009</c:v>
                </c:pt>
                <c:pt idx="323">
                  <c:v>-10.24</c:v>
                </c:pt>
                <c:pt idx="324">
                  <c:v>-4.26</c:v>
                </c:pt>
                <c:pt idx="325">
                  <c:v>-3.331</c:v>
                </c:pt>
                <c:pt idx="326">
                  <c:v>-3.657</c:v>
                </c:pt>
                <c:pt idx="327">
                  <c:v>-4.3280000000000003</c:v>
                </c:pt>
                <c:pt idx="328">
                  <c:v>-5.4130000000000003</c:v>
                </c:pt>
                <c:pt idx="329">
                  <c:v>-7.42</c:v>
                </c:pt>
                <c:pt idx="330">
                  <c:v>-9.43</c:v>
                </c:pt>
                <c:pt idx="331">
                  <c:v>-8.49</c:v>
                </c:pt>
                <c:pt idx="332">
                  <c:v>-8.49</c:v>
                </c:pt>
                <c:pt idx="333">
                  <c:v>-8.36</c:v>
                </c:pt>
                <c:pt idx="334">
                  <c:v>-4.1269999999999998</c:v>
                </c:pt>
                <c:pt idx="335">
                  <c:v>-4.7320000000000002</c:v>
                </c:pt>
                <c:pt idx="336">
                  <c:v>-6.6840000000000002</c:v>
                </c:pt>
                <c:pt idx="337">
                  <c:v>-6.6159999999999997</c:v>
                </c:pt>
                <c:pt idx="338">
                  <c:v>-7.96</c:v>
                </c:pt>
                <c:pt idx="339">
                  <c:v>-8.56</c:v>
                </c:pt>
                <c:pt idx="340">
                  <c:v>-3.3959999999999999</c:v>
                </c:pt>
                <c:pt idx="341">
                  <c:v>-2.1869999999999998</c:v>
                </c:pt>
                <c:pt idx="342">
                  <c:v>-4.3949999999999996</c:v>
                </c:pt>
                <c:pt idx="343">
                  <c:v>-7.09</c:v>
                </c:pt>
                <c:pt idx="344">
                  <c:v>-9.16</c:v>
                </c:pt>
                <c:pt idx="345">
                  <c:v>-5.27</c:v>
                </c:pt>
                <c:pt idx="346">
                  <c:v>-5.7409999999999997</c:v>
                </c:pt>
                <c:pt idx="347">
                  <c:v>-3.2629999999999999</c:v>
                </c:pt>
                <c:pt idx="348">
                  <c:v>-1.9179999999999999</c:v>
                </c:pt>
                <c:pt idx="349">
                  <c:v>-7.29</c:v>
                </c:pt>
                <c:pt idx="350">
                  <c:v>-7.76</c:v>
                </c:pt>
                <c:pt idx="351">
                  <c:v>-4.8659999999999997</c:v>
                </c:pt>
                <c:pt idx="352">
                  <c:v>-3.79</c:v>
                </c:pt>
                <c:pt idx="353">
                  <c:v>-4.5970000000000004</c:v>
                </c:pt>
                <c:pt idx="354">
                  <c:v>-0.90800000000000003</c:v>
                </c:pt>
                <c:pt idx="355">
                  <c:v>-0.77400000000000002</c:v>
                </c:pt>
                <c:pt idx="356">
                  <c:v>-3.9910000000000001</c:v>
                </c:pt>
                <c:pt idx="357">
                  <c:v>-1.5820000000000001</c:v>
                </c:pt>
                <c:pt idx="358">
                  <c:v>-2.254</c:v>
                </c:pt>
                <c:pt idx="359">
                  <c:v>-3.1190000000000002</c:v>
                </c:pt>
                <c:pt idx="360">
                  <c:v>-2.86</c:v>
                </c:pt>
                <c:pt idx="361">
                  <c:v>-5.8090000000000002</c:v>
                </c:pt>
                <c:pt idx="362">
                  <c:v>-2.5230000000000001</c:v>
                </c:pt>
                <c:pt idx="363">
                  <c:v>-4.8659999999999997</c:v>
                </c:pt>
                <c:pt idx="364">
                  <c:v>-3.3980000000000001</c:v>
                </c:pt>
                <c:pt idx="365">
                  <c:v>-6.6840000000000002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3.72</c:v>
                </c:pt>
                <c:pt idx="1">
                  <c:v>-0.70599999999999996</c:v>
                </c:pt>
                <c:pt idx="2">
                  <c:v>2.2400000000000002</c:v>
                </c:pt>
                <c:pt idx="3">
                  <c:v>2.4430000000000001</c:v>
                </c:pt>
                <c:pt idx="4">
                  <c:v>-1.044</c:v>
                </c:pt>
                <c:pt idx="5">
                  <c:v>-1.9179999999999999</c:v>
                </c:pt>
                <c:pt idx="6">
                  <c:v>-6.01</c:v>
                </c:pt>
                <c:pt idx="7">
                  <c:v>-5.6740000000000004</c:v>
                </c:pt>
                <c:pt idx="8">
                  <c:v>-1.514</c:v>
                </c:pt>
                <c:pt idx="9">
                  <c:v>-6.6159999999999997</c:v>
                </c:pt>
                <c:pt idx="10">
                  <c:v>-12.92</c:v>
                </c:pt>
                <c:pt idx="11">
                  <c:v>-24.96</c:v>
                </c:pt>
                <c:pt idx="12">
                  <c:v>-18.84</c:v>
                </c:pt>
                <c:pt idx="13">
                  <c:v>-14.82</c:v>
                </c:pt>
                <c:pt idx="14">
                  <c:v>-14.06</c:v>
                </c:pt>
                <c:pt idx="15">
                  <c:v>-11.12</c:v>
                </c:pt>
                <c:pt idx="16">
                  <c:v>-11.86</c:v>
                </c:pt>
                <c:pt idx="17">
                  <c:v>-8.09</c:v>
                </c:pt>
                <c:pt idx="18">
                  <c:v>-3.2629999999999999</c:v>
                </c:pt>
                <c:pt idx="19">
                  <c:v>3.6520000000000001</c:v>
                </c:pt>
                <c:pt idx="20">
                  <c:v>3.7869999999999999</c:v>
                </c:pt>
                <c:pt idx="21">
                  <c:v>2.105</c:v>
                </c:pt>
                <c:pt idx="22">
                  <c:v>4.7949999999999999</c:v>
                </c:pt>
                <c:pt idx="23">
                  <c:v>2.98</c:v>
                </c:pt>
                <c:pt idx="24">
                  <c:v>3.6520000000000001</c:v>
                </c:pt>
                <c:pt idx="25">
                  <c:v>4.6609999999999996</c:v>
                </c:pt>
                <c:pt idx="26">
                  <c:v>4.056</c:v>
                </c:pt>
                <c:pt idx="27">
                  <c:v>7.54</c:v>
                </c:pt>
                <c:pt idx="28">
                  <c:v>9.15</c:v>
                </c:pt>
                <c:pt idx="29">
                  <c:v>10.02</c:v>
                </c:pt>
                <c:pt idx="30">
                  <c:v>7.74</c:v>
                </c:pt>
                <c:pt idx="31">
                  <c:v>5.4669999999999996</c:v>
                </c:pt>
                <c:pt idx="32">
                  <c:v>8.67</c:v>
                </c:pt>
                <c:pt idx="33">
                  <c:v>4.056</c:v>
                </c:pt>
                <c:pt idx="34">
                  <c:v>-3.6</c:v>
                </c:pt>
                <c:pt idx="35">
                  <c:v>3.3250000000000002</c:v>
                </c:pt>
                <c:pt idx="36">
                  <c:v>4.3920000000000003</c:v>
                </c:pt>
                <c:pt idx="37">
                  <c:v>-0.51700000000000002</c:v>
                </c:pt>
                <c:pt idx="38">
                  <c:v>1.9830000000000001</c:v>
                </c:pt>
                <c:pt idx="39">
                  <c:v>1.2310000000000001</c:v>
                </c:pt>
                <c:pt idx="40">
                  <c:v>-0.104</c:v>
                </c:pt>
                <c:pt idx="41">
                  <c:v>-0.38200000000000001</c:v>
                </c:pt>
                <c:pt idx="42">
                  <c:v>3.855</c:v>
                </c:pt>
                <c:pt idx="43">
                  <c:v>1.2989999999999999</c:v>
                </c:pt>
                <c:pt idx="44">
                  <c:v>-0.23899999999999999</c:v>
                </c:pt>
                <c:pt idx="45">
                  <c:v>0.223</c:v>
                </c:pt>
                <c:pt idx="46">
                  <c:v>1.5049999999999999</c:v>
                </c:pt>
                <c:pt idx="47">
                  <c:v>6.2670000000000003</c:v>
                </c:pt>
                <c:pt idx="48">
                  <c:v>4.7960000000000003</c:v>
                </c:pt>
                <c:pt idx="49">
                  <c:v>7.93</c:v>
                </c:pt>
                <c:pt idx="50">
                  <c:v>5.9240000000000004</c:v>
                </c:pt>
                <c:pt idx="51">
                  <c:v>5.1989999999999998</c:v>
                </c:pt>
                <c:pt idx="52">
                  <c:v>6.2720000000000002</c:v>
                </c:pt>
                <c:pt idx="53">
                  <c:v>6.8029999999999999</c:v>
                </c:pt>
                <c:pt idx="54">
                  <c:v>5.1189999999999998</c:v>
                </c:pt>
                <c:pt idx="55">
                  <c:v>7.74</c:v>
                </c:pt>
                <c:pt idx="56">
                  <c:v>-0.37</c:v>
                </c:pt>
                <c:pt idx="57">
                  <c:v>-7.22</c:v>
                </c:pt>
                <c:pt idx="58">
                  <c:v>2.3740000000000001</c:v>
                </c:pt>
                <c:pt idx="59">
                  <c:v>2.98</c:v>
                </c:pt>
                <c:pt idx="60">
                  <c:v>4.5940000000000003</c:v>
                </c:pt>
                <c:pt idx="61">
                  <c:v>1.837</c:v>
                </c:pt>
                <c:pt idx="62">
                  <c:v>2.2410000000000001</c:v>
                </c:pt>
                <c:pt idx="63">
                  <c:v>-4.9450000000000003</c:v>
                </c:pt>
                <c:pt idx="64">
                  <c:v>-4.194</c:v>
                </c:pt>
                <c:pt idx="65">
                  <c:v>0.626</c:v>
                </c:pt>
                <c:pt idx="66">
                  <c:v>3.4369999999999998</c:v>
                </c:pt>
                <c:pt idx="67">
                  <c:v>4.9930000000000003</c:v>
                </c:pt>
                <c:pt idx="68">
                  <c:v>6.41</c:v>
                </c:pt>
                <c:pt idx="69">
                  <c:v>4.5270000000000001</c:v>
                </c:pt>
                <c:pt idx="70">
                  <c:v>6.141</c:v>
                </c:pt>
                <c:pt idx="71">
                  <c:v>8.34</c:v>
                </c:pt>
                <c:pt idx="72">
                  <c:v>8.2799999999999994</c:v>
                </c:pt>
                <c:pt idx="73">
                  <c:v>11.22</c:v>
                </c:pt>
                <c:pt idx="74">
                  <c:v>14.78</c:v>
                </c:pt>
                <c:pt idx="75">
                  <c:v>18.86</c:v>
                </c:pt>
                <c:pt idx="76">
                  <c:v>20.07</c:v>
                </c:pt>
                <c:pt idx="77">
                  <c:v>18.59</c:v>
                </c:pt>
                <c:pt idx="78">
                  <c:v>17.32</c:v>
                </c:pt>
                <c:pt idx="79">
                  <c:v>10.76</c:v>
                </c:pt>
                <c:pt idx="80">
                  <c:v>9.75</c:v>
                </c:pt>
                <c:pt idx="81">
                  <c:v>10.08</c:v>
                </c:pt>
                <c:pt idx="82">
                  <c:v>9.8800000000000008</c:v>
                </c:pt>
                <c:pt idx="83">
                  <c:v>11.22</c:v>
                </c:pt>
                <c:pt idx="84">
                  <c:v>11.35</c:v>
                </c:pt>
                <c:pt idx="85">
                  <c:v>7.62</c:v>
                </c:pt>
                <c:pt idx="86">
                  <c:v>3.0470000000000002</c:v>
                </c:pt>
                <c:pt idx="87">
                  <c:v>9.76</c:v>
                </c:pt>
                <c:pt idx="88">
                  <c:v>8.6199999999999992</c:v>
                </c:pt>
                <c:pt idx="89">
                  <c:v>7.27</c:v>
                </c:pt>
                <c:pt idx="90">
                  <c:v>9.6199999999999992</c:v>
                </c:pt>
                <c:pt idx="91">
                  <c:v>16.04</c:v>
                </c:pt>
                <c:pt idx="92">
                  <c:v>13.51</c:v>
                </c:pt>
                <c:pt idx="93">
                  <c:v>8.34</c:v>
                </c:pt>
                <c:pt idx="94">
                  <c:v>5.9909999999999997</c:v>
                </c:pt>
                <c:pt idx="95">
                  <c:v>7.27</c:v>
                </c:pt>
                <c:pt idx="96">
                  <c:v>9.6199999999999992</c:v>
                </c:pt>
                <c:pt idx="97">
                  <c:v>9.89</c:v>
                </c:pt>
                <c:pt idx="98">
                  <c:v>2.8450000000000002</c:v>
                </c:pt>
                <c:pt idx="99">
                  <c:v>7.4</c:v>
                </c:pt>
                <c:pt idx="100">
                  <c:v>13.44</c:v>
                </c:pt>
                <c:pt idx="101">
                  <c:v>8.81</c:v>
                </c:pt>
                <c:pt idx="102">
                  <c:v>11.37</c:v>
                </c:pt>
                <c:pt idx="103">
                  <c:v>14.83</c:v>
                </c:pt>
                <c:pt idx="104">
                  <c:v>17.38</c:v>
                </c:pt>
                <c:pt idx="105">
                  <c:v>10.56</c:v>
                </c:pt>
                <c:pt idx="106">
                  <c:v>6.9480000000000004</c:v>
                </c:pt>
                <c:pt idx="107">
                  <c:v>8.68</c:v>
                </c:pt>
                <c:pt idx="108">
                  <c:v>8.8000000000000007</c:v>
                </c:pt>
                <c:pt idx="109">
                  <c:v>10.68</c:v>
                </c:pt>
                <c:pt idx="110">
                  <c:v>15.43</c:v>
                </c:pt>
                <c:pt idx="111">
                  <c:v>9.2200000000000006</c:v>
                </c:pt>
                <c:pt idx="112">
                  <c:v>12.56</c:v>
                </c:pt>
                <c:pt idx="113">
                  <c:v>16.170000000000002</c:v>
                </c:pt>
                <c:pt idx="114">
                  <c:v>11.96</c:v>
                </c:pt>
                <c:pt idx="115">
                  <c:v>10.09</c:v>
                </c:pt>
                <c:pt idx="116">
                  <c:v>8.01</c:v>
                </c:pt>
                <c:pt idx="117">
                  <c:v>9.2899999999999991</c:v>
                </c:pt>
                <c:pt idx="118">
                  <c:v>8.34</c:v>
                </c:pt>
                <c:pt idx="119">
                  <c:v>6.1379999999999999</c:v>
                </c:pt>
                <c:pt idx="120">
                  <c:v>9.15</c:v>
                </c:pt>
                <c:pt idx="121">
                  <c:v>11.09</c:v>
                </c:pt>
                <c:pt idx="122">
                  <c:v>15.05</c:v>
                </c:pt>
                <c:pt idx="123">
                  <c:v>16.920000000000002</c:v>
                </c:pt>
                <c:pt idx="124">
                  <c:v>16.98</c:v>
                </c:pt>
                <c:pt idx="125">
                  <c:v>16.579999999999998</c:v>
                </c:pt>
                <c:pt idx="126">
                  <c:v>12.91</c:v>
                </c:pt>
                <c:pt idx="127">
                  <c:v>12.1</c:v>
                </c:pt>
                <c:pt idx="128">
                  <c:v>18.32</c:v>
                </c:pt>
                <c:pt idx="129">
                  <c:v>23.28</c:v>
                </c:pt>
                <c:pt idx="130">
                  <c:v>27.78</c:v>
                </c:pt>
                <c:pt idx="131">
                  <c:v>27.44</c:v>
                </c:pt>
                <c:pt idx="132">
                  <c:v>23.5</c:v>
                </c:pt>
                <c:pt idx="133">
                  <c:v>14.51</c:v>
                </c:pt>
                <c:pt idx="134">
                  <c:v>18.61</c:v>
                </c:pt>
                <c:pt idx="135">
                  <c:v>19.420000000000002</c:v>
                </c:pt>
                <c:pt idx="136">
                  <c:v>14.11</c:v>
                </c:pt>
                <c:pt idx="137">
                  <c:v>7.74</c:v>
                </c:pt>
                <c:pt idx="138">
                  <c:v>12.11</c:v>
                </c:pt>
                <c:pt idx="139">
                  <c:v>13.5</c:v>
                </c:pt>
                <c:pt idx="140">
                  <c:v>17.329999999999998</c:v>
                </c:pt>
                <c:pt idx="141">
                  <c:v>11.02</c:v>
                </c:pt>
                <c:pt idx="142">
                  <c:v>16.46</c:v>
                </c:pt>
                <c:pt idx="143">
                  <c:v>19.28</c:v>
                </c:pt>
                <c:pt idx="144">
                  <c:v>16.600000000000001</c:v>
                </c:pt>
                <c:pt idx="145">
                  <c:v>11.5</c:v>
                </c:pt>
                <c:pt idx="146">
                  <c:v>14.58</c:v>
                </c:pt>
                <c:pt idx="147">
                  <c:v>13.37</c:v>
                </c:pt>
                <c:pt idx="148">
                  <c:v>12.57</c:v>
                </c:pt>
                <c:pt idx="149">
                  <c:v>10.43</c:v>
                </c:pt>
                <c:pt idx="150">
                  <c:v>12.63</c:v>
                </c:pt>
                <c:pt idx="151">
                  <c:v>16.8</c:v>
                </c:pt>
                <c:pt idx="152">
                  <c:v>14.71</c:v>
                </c:pt>
                <c:pt idx="153">
                  <c:v>12.29</c:v>
                </c:pt>
                <c:pt idx="154">
                  <c:v>10.36</c:v>
                </c:pt>
                <c:pt idx="155">
                  <c:v>14.53</c:v>
                </c:pt>
                <c:pt idx="156">
                  <c:v>17.47</c:v>
                </c:pt>
                <c:pt idx="157">
                  <c:v>19.87</c:v>
                </c:pt>
                <c:pt idx="158">
                  <c:v>21.15</c:v>
                </c:pt>
                <c:pt idx="159">
                  <c:v>23.89</c:v>
                </c:pt>
                <c:pt idx="160">
                  <c:v>24.3</c:v>
                </c:pt>
                <c:pt idx="161">
                  <c:v>23.23</c:v>
                </c:pt>
                <c:pt idx="162">
                  <c:v>20.14</c:v>
                </c:pt>
                <c:pt idx="163">
                  <c:v>16.53</c:v>
                </c:pt>
                <c:pt idx="164">
                  <c:v>24.56</c:v>
                </c:pt>
                <c:pt idx="165">
                  <c:v>19.2</c:v>
                </c:pt>
                <c:pt idx="166">
                  <c:v>11.84</c:v>
                </c:pt>
                <c:pt idx="167">
                  <c:v>9.35</c:v>
                </c:pt>
                <c:pt idx="168">
                  <c:v>12.9</c:v>
                </c:pt>
                <c:pt idx="169">
                  <c:v>14.31</c:v>
                </c:pt>
                <c:pt idx="170">
                  <c:v>18.940000000000001</c:v>
                </c:pt>
                <c:pt idx="171">
                  <c:v>23.09</c:v>
                </c:pt>
                <c:pt idx="172">
                  <c:v>26.38</c:v>
                </c:pt>
                <c:pt idx="173">
                  <c:v>24.64</c:v>
                </c:pt>
                <c:pt idx="174">
                  <c:v>19.22</c:v>
                </c:pt>
                <c:pt idx="175">
                  <c:v>18.61</c:v>
                </c:pt>
                <c:pt idx="176">
                  <c:v>24.1</c:v>
                </c:pt>
                <c:pt idx="177">
                  <c:v>24.57</c:v>
                </c:pt>
                <c:pt idx="178">
                  <c:v>17.86</c:v>
                </c:pt>
                <c:pt idx="179">
                  <c:v>22.89</c:v>
                </c:pt>
                <c:pt idx="180">
                  <c:v>22.83</c:v>
                </c:pt>
                <c:pt idx="181">
                  <c:v>17.27</c:v>
                </c:pt>
                <c:pt idx="182">
                  <c:v>20.21</c:v>
                </c:pt>
                <c:pt idx="183">
                  <c:v>19.940000000000001</c:v>
                </c:pt>
                <c:pt idx="184">
                  <c:v>22.56</c:v>
                </c:pt>
                <c:pt idx="185">
                  <c:v>26.12</c:v>
                </c:pt>
                <c:pt idx="186">
                  <c:v>27.51</c:v>
                </c:pt>
                <c:pt idx="187">
                  <c:v>27.51</c:v>
                </c:pt>
                <c:pt idx="188">
                  <c:v>31.81</c:v>
                </c:pt>
                <c:pt idx="189">
                  <c:v>32.950000000000003</c:v>
                </c:pt>
                <c:pt idx="190">
                  <c:v>35.9</c:v>
                </c:pt>
                <c:pt idx="191">
                  <c:v>33.479999999999997</c:v>
                </c:pt>
                <c:pt idx="192">
                  <c:v>27.66</c:v>
                </c:pt>
                <c:pt idx="193">
                  <c:v>28.79</c:v>
                </c:pt>
                <c:pt idx="194">
                  <c:v>30.33</c:v>
                </c:pt>
                <c:pt idx="195">
                  <c:v>30.87</c:v>
                </c:pt>
                <c:pt idx="196">
                  <c:v>32.49</c:v>
                </c:pt>
                <c:pt idx="197">
                  <c:v>31.54</c:v>
                </c:pt>
                <c:pt idx="198">
                  <c:v>33.85</c:v>
                </c:pt>
                <c:pt idx="199">
                  <c:v>33.22</c:v>
                </c:pt>
                <c:pt idx="200">
                  <c:v>32.340000000000003</c:v>
                </c:pt>
                <c:pt idx="201">
                  <c:v>35.03</c:v>
                </c:pt>
                <c:pt idx="202">
                  <c:v>36.71</c:v>
                </c:pt>
                <c:pt idx="203">
                  <c:v>31.69</c:v>
                </c:pt>
                <c:pt idx="204">
                  <c:v>26.25</c:v>
                </c:pt>
                <c:pt idx="205">
                  <c:v>24.64</c:v>
                </c:pt>
                <c:pt idx="206">
                  <c:v>18.61</c:v>
                </c:pt>
                <c:pt idx="207">
                  <c:v>22.7</c:v>
                </c:pt>
                <c:pt idx="208">
                  <c:v>24.91</c:v>
                </c:pt>
                <c:pt idx="209">
                  <c:v>27.8</c:v>
                </c:pt>
                <c:pt idx="210">
                  <c:v>19.96</c:v>
                </c:pt>
                <c:pt idx="211">
                  <c:v>22.31</c:v>
                </c:pt>
                <c:pt idx="212">
                  <c:v>29.21</c:v>
                </c:pt>
                <c:pt idx="213">
                  <c:v>32.880000000000003</c:v>
                </c:pt>
                <c:pt idx="214">
                  <c:v>33.619999999999997</c:v>
                </c:pt>
                <c:pt idx="215">
                  <c:v>33.08</c:v>
                </c:pt>
                <c:pt idx="216">
                  <c:v>32.21</c:v>
                </c:pt>
                <c:pt idx="217">
                  <c:v>29.21</c:v>
                </c:pt>
                <c:pt idx="218">
                  <c:v>25.04</c:v>
                </c:pt>
                <c:pt idx="219">
                  <c:v>26.79</c:v>
                </c:pt>
                <c:pt idx="220">
                  <c:v>28.87</c:v>
                </c:pt>
                <c:pt idx="221">
                  <c:v>27.73</c:v>
                </c:pt>
                <c:pt idx="222">
                  <c:v>28.2</c:v>
                </c:pt>
                <c:pt idx="223">
                  <c:v>29.4</c:v>
                </c:pt>
                <c:pt idx="224">
                  <c:v>26.86</c:v>
                </c:pt>
                <c:pt idx="225">
                  <c:v>27.46</c:v>
                </c:pt>
                <c:pt idx="226">
                  <c:v>27.6</c:v>
                </c:pt>
                <c:pt idx="227">
                  <c:v>28.47</c:v>
                </c:pt>
                <c:pt idx="228">
                  <c:v>15.19</c:v>
                </c:pt>
                <c:pt idx="229">
                  <c:v>24.17</c:v>
                </c:pt>
                <c:pt idx="230">
                  <c:v>27.93</c:v>
                </c:pt>
                <c:pt idx="231">
                  <c:v>25.65</c:v>
                </c:pt>
                <c:pt idx="232">
                  <c:v>22.91</c:v>
                </c:pt>
                <c:pt idx="233">
                  <c:v>18.41</c:v>
                </c:pt>
                <c:pt idx="234">
                  <c:v>23.7</c:v>
                </c:pt>
                <c:pt idx="235">
                  <c:v>28.2</c:v>
                </c:pt>
                <c:pt idx="236">
                  <c:v>10.16</c:v>
                </c:pt>
                <c:pt idx="237">
                  <c:v>16.8</c:v>
                </c:pt>
                <c:pt idx="238">
                  <c:v>19.02</c:v>
                </c:pt>
                <c:pt idx="239">
                  <c:v>11.77</c:v>
                </c:pt>
                <c:pt idx="240">
                  <c:v>17.940000000000001</c:v>
                </c:pt>
                <c:pt idx="241">
                  <c:v>24.24</c:v>
                </c:pt>
                <c:pt idx="242">
                  <c:v>26.85</c:v>
                </c:pt>
                <c:pt idx="243">
                  <c:v>30.39</c:v>
                </c:pt>
                <c:pt idx="244">
                  <c:v>33.01</c:v>
                </c:pt>
                <c:pt idx="245">
                  <c:v>28.2</c:v>
                </c:pt>
                <c:pt idx="246">
                  <c:v>25.58</c:v>
                </c:pt>
                <c:pt idx="247">
                  <c:v>27.06</c:v>
                </c:pt>
                <c:pt idx="248">
                  <c:v>31.27</c:v>
                </c:pt>
                <c:pt idx="249">
                  <c:v>32.22</c:v>
                </c:pt>
                <c:pt idx="250">
                  <c:v>30.86</c:v>
                </c:pt>
                <c:pt idx="251">
                  <c:v>29.14</c:v>
                </c:pt>
                <c:pt idx="252">
                  <c:v>19.350000000000001</c:v>
                </c:pt>
                <c:pt idx="253">
                  <c:v>21.82</c:v>
                </c:pt>
                <c:pt idx="254">
                  <c:v>14.92</c:v>
                </c:pt>
                <c:pt idx="255">
                  <c:v>18.54</c:v>
                </c:pt>
                <c:pt idx="256">
                  <c:v>21.35</c:v>
                </c:pt>
                <c:pt idx="257">
                  <c:v>17.940000000000001</c:v>
                </c:pt>
                <c:pt idx="258">
                  <c:v>17.89</c:v>
                </c:pt>
                <c:pt idx="259">
                  <c:v>19.059999999999999</c:v>
                </c:pt>
                <c:pt idx="260">
                  <c:v>21.82</c:v>
                </c:pt>
                <c:pt idx="261">
                  <c:v>20.83</c:v>
                </c:pt>
                <c:pt idx="262">
                  <c:v>19.350000000000001</c:v>
                </c:pt>
                <c:pt idx="263">
                  <c:v>12.3</c:v>
                </c:pt>
                <c:pt idx="264">
                  <c:v>17.329999999999998</c:v>
                </c:pt>
                <c:pt idx="265">
                  <c:v>14.72</c:v>
                </c:pt>
                <c:pt idx="266">
                  <c:v>22.15</c:v>
                </c:pt>
                <c:pt idx="267">
                  <c:v>24.64</c:v>
                </c:pt>
                <c:pt idx="268">
                  <c:v>18.88</c:v>
                </c:pt>
                <c:pt idx="269">
                  <c:v>13.51</c:v>
                </c:pt>
                <c:pt idx="270">
                  <c:v>16.600000000000001</c:v>
                </c:pt>
                <c:pt idx="271">
                  <c:v>15.59</c:v>
                </c:pt>
                <c:pt idx="272">
                  <c:v>8.76</c:v>
                </c:pt>
                <c:pt idx="273">
                  <c:v>11.89</c:v>
                </c:pt>
                <c:pt idx="274">
                  <c:v>8.15</c:v>
                </c:pt>
                <c:pt idx="275">
                  <c:v>12.83</c:v>
                </c:pt>
                <c:pt idx="276">
                  <c:v>13.77</c:v>
                </c:pt>
                <c:pt idx="277">
                  <c:v>8.43</c:v>
                </c:pt>
                <c:pt idx="278">
                  <c:v>13.84</c:v>
                </c:pt>
                <c:pt idx="279">
                  <c:v>14.06</c:v>
                </c:pt>
                <c:pt idx="280">
                  <c:v>19.399999999999999</c:v>
                </c:pt>
                <c:pt idx="281">
                  <c:v>17.27</c:v>
                </c:pt>
                <c:pt idx="282">
                  <c:v>12.29</c:v>
                </c:pt>
                <c:pt idx="283">
                  <c:v>9.84</c:v>
                </c:pt>
                <c:pt idx="284">
                  <c:v>13.51</c:v>
                </c:pt>
                <c:pt idx="285">
                  <c:v>18.54</c:v>
                </c:pt>
                <c:pt idx="286">
                  <c:v>20.41</c:v>
                </c:pt>
                <c:pt idx="287">
                  <c:v>18.21</c:v>
                </c:pt>
                <c:pt idx="288">
                  <c:v>9.08</c:v>
                </c:pt>
                <c:pt idx="289">
                  <c:v>9.2200000000000006</c:v>
                </c:pt>
                <c:pt idx="290">
                  <c:v>6.8120000000000003</c:v>
                </c:pt>
                <c:pt idx="291">
                  <c:v>1.8480000000000001</c:v>
                </c:pt>
                <c:pt idx="292">
                  <c:v>8.41</c:v>
                </c:pt>
                <c:pt idx="293">
                  <c:v>10.36</c:v>
                </c:pt>
                <c:pt idx="294">
                  <c:v>5.8049999999999997</c:v>
                </c:pt>
                <c:pt idx="295">
                  <c:v>7.67</c:v>
                </c:pt>
                <c:pt idx="296">
                  <c:v>5.806</c:v>
                </c:pt>
                <c:pt idx="297">
                  <c:v>6.7309999999999999</c:v>
                </c:pt>
                <c:pt idx="298">
                  <c:v>4.8630000000000004</c:v>
                </c:pt>
                <c:pt idx="299">
                  <c:v>8.81</c:v>
                </c:pt>
                <c:pt idx="300">
                  <c:v>8.43</c:v>
                </c:pt>
                <c:pt idx="301">
                  <c:v>7.61</c:v>
                </c:pt>
                <c:pt idx="302">
                  <c:v>4.0570000000000004</c:v>
                </c:pt>
                <c:pt idx="303">
                  <c:v>3.0489999999999999</c:v>
                </c:pt>
                <c:pt idx="304">
                  <c:v>2.98</c:v>
                </c:pt>
                <c:pt idx="305">
                  <c:v>0.63400000000000001</c:v>
                </c:pt>
                <c:pt idx="306">
                  <c:v>3.1819999999999999</c:v>
                </c:pt>
                <c:pt idx="307">
                  <c:v>2.98</c:v>
                </c:pt>
                <c:pt idx="308">
                  <c:v>3.254</c:v>
                </c:pt>
                <c:pt idx="309">
                  <c:v>2.59</c:v>
                </c:pt>
                <c:pt idx="310">
                  <c:v>3.5870000000000002</c:v>
                </c:pt>
                <c:pt idx="311">
                  <c:v>6.0739999999999998</c:v>
                </c:pt>
                <c:pt idx="312">
                  <c:v>6.2080000000000002</c:v>
                </c:pt>
                <c:pt idx="313">
                  <c:v>3.1139999999999999</c:v>
                </c:pt>
                <c:pt idx="314">
                  <c:v>5.67</c:v>
                </c:pt>
                <c:pt idx="315">
                  <c:v>4.7960000000000003</c:v>
                </c:pt>
                <c:pt idx="316">
                  <c:v>5.8019999999999996</c:v>
                </c:pt>
                <c:pt idx="317">
                  <c:v>1.972</c:v>
                </c:pt>
                <c:pt idx="318">
                  <c:v>2.98</c:v>
                </c:pt>
                <c:pt idx="319">
                  <c:v>0.83799999999999997</c:v>
                </c:pt>
                <c:pt idx="320">
                  <c:v>-2.048</c:v>
                </c:pt>
                <c:pt idx="321">
                  <c:v>2.3170000000000002</c:v>
                </c:pt>
                <c:pt idx="322">
                  <c:v>0.98899999999999999</c:v>
                </c:pt>
                <c:pt idx="323">
                  <c:v>-2.1070000000000002</c:v>
                </c:pt>
                <c:pt idx="324">
                  <c:v>-1.177</c:v>
                </c:pt>
                <c:pt idx="325">
                  <c:v>3.6549999999999998</c:v>
                </c:pt>
                <c:pt idx="326">
                  <c:v>1.3120000000000001</c:v>
                </c:pt>
                <c:pt idx="327">
                  <c:v>3.2530000000000001</c:v>
                </c:pt>
                <c:pt idx="328">
                  <c:v>0.77400000000000002</c:v>
                </c:pt>
                <c:pt idx="329">
                  <c:v>-3.9910000000000001</c:v>
                </c:pt>
                <c:pt idx="330">
                  <c:v>-3.2509999999999999</c:v>
                </c:pt>
                <c:pt idx="331">
                  <c:v>-3.2509999999999999</c:v>
                </c:pt>
                <c:pt idx="332">
                  <c:v>-2.1179999999999999</c:v>
                </c:pt>
                <c:pt idx="333">
                  <c:v>-0.106</c:v>
                </c:pt>
                <c:pt idx="334">
                  <c:v>0.77400000000000002</c:v>
                </c:pt>
                <c:pt idx="335">
                  <c:v>3.3159999999999998</c:v>
                </c:pt>
                <c:pt idx="336">
                  <c:v>2.5129999999999999</c:v>
                </c:pt>
                <c:pt idx="337">
                  <c:v>-0.82799999999999996</c:v>
                </c:pt>
                <c:pt idx="338">
                  <c:v>-1.3120000000000001</c:v>
                </c:pt>
                <c:pt idx="339">
                  <c:v>-0.97299999999999998</c:v>
                </c:pt>
                <c:pt idx="340">
                  <c:v>1.907</c:v>
                </c:pt>
                <c:pt idx="341">
                  <c:v>1.304</c:v>
                </c:pt>
                <c:pt idx="342">
                  <c:v>1.5780000000000001</c:v>
                </c:pt>
                <c:pt idx="343">
                  <c:v>0.30299999999999999</c:v>
                </c:pt>
                <c:pt idx="344">
                  <c:v>-2.847</c:v>
                </c:pt>
                <c:pt idx="345">
                  <c:v>-0.84099999999999997</c:v>
                </c:pt>
                <c:pt idx="346">
                  <c:v>2.254</c:v>
                </c:pt>
                <c:pt idx="347">
                  <c:v>0.437</c:v>
                </c:pt>
                <c:pt idx="348">
                  <c:v>2.242</c:v>
                </c:pt>
                <c:pt idx="349">
                  <c:v>-0.57199999999999995</c:v>
                </c:pt>
                <c:pt idx="350">
                  <c:v>-3.1840000000000002</c:v>
                </c:pt>
                <c:pt idx="351">
                  <c:v>-1.6479999999999999</c:v>
                </c:pt>
                <c:pt idx="352">
                  <c:v>2.6440000000000001</c:v>
                </c:pt>
                <c:pt idx="353">
                  <c:v>1.772</c:v>
                </c:pt>
                <c:pt idx="354">
                  <c:v>3.2490000000000001</c:v>
                </c:pt>
                <c:pt idx="355">
                  <c:v>2.9809999999999999</c:v>
                </c:pt>
                <c:pt idx="356">
                  <c:v>0.76900000000000002</c:v>
                </c:pt>
                <c:pt idx="357">
                  <c:v>5.1989999999999998</c:v>
                </c:pt>
                <c:pt idx="358">
                  <c:v>3.2490000000000001</c:v>
                </c:pt>
                <c:pt idx="359">
                  <c:v>-0.30299999999999999</c:v>
                </c:pt>
                <c:pt idx="360">
                  <c:v>0.97299999999999998</c:v>
                </c:pt>
                <c:pt idx="361">
                  <c:v>0.97699999999999998</c:v>
                </c:pt>
                <c:pt idx="362">
                  <c:v>0.90700000000000003</c:v>
                </c:pt>
                <c:pt idx="363">
                  <c:v>3.456</c:v>
                </c:pt>
                <c:pt idx="364">
                  <c:v>-0.70599999999999996</c:v>
                </c:pt>
                <c:pt idx="365">
                  <c:v>-0.437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28000"/>
        <c:axId val="207795328"/>
      </c:lineChart>
      <c:catAx>
        <c:axId val="2077280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79532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795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728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71</c:v>
                </c:pt>
                <c:pt idx="1">
                  <c:v>75.400000000000006</c:v>
                </c:pt>
                <c:pt idx="2">
                  <c:v>80.2</c:v>
                </c:pt>
                <c:pt idx="3">
                  <c:v>76.099999999999994</c:v>
                </c:pt>
                <c:pt idx="4">
                  <c:v>75.599999999999994</c:v>
                </c:pt>
                <c:pt idx="5">
                  <c:v>80.3</c:v>
                </c:pt>
                <c:pt idx="6">
                  <c:v>78.400000000000006</c:v>
                </c:pt>
                <c:pt idx="7">
                  <c:v>73.400000000000006</c:v>
                </c:pt>
                <c:pt idx="8">
                  <c:v>87.5</c:v>
                </c:pt>
                <c:pt idx="9">
                  <c:v>67.239999999999995</c:v>
                </c:pt>
                <c:pt idx="10">
                  <c:v>61.53</c:v>
                </c:pt>
                <c:pt idx="11">
                  <c:v>52.26</c:v>
                </c:pt>
                <c:pt idx="12">
                  <c:v>50.08</c:v>
                </c:pt>
                <c:pt idx="13">
                  <c:v>55.45</c:v>
                </c:pt>
                <c:pt idx="14">
                  <c:v>64.34</c:v>
                </c:pt>
                <c:pt idx="15">
                  <c:v>65.11</c:v>
                </c:pt>
                <c:pt idx="16">
                  <c:v>74.7</c:v>
                </c:pt>
                <c:pt idx="17">
                  <c:v>62.75</c:v>
                </c:pt>
                <c:pt idx="18">
                  <c:v>68.2</c:v>
                </c:pt>
                <c:pt idx="19">
                  <c:v>70.8</c:v>
                </c:pt>
                <c:pt idx="20">
                  <c:v>75.5</c:v>
                </c:pt>
                <c:pt idx="21">
                  <c:v>82</c:v>
                </c:pt>
                <c:pt idx="22">
                  <c:v>79.2</c:v>
                </c:pt>
                <c:pt idx="23">
                  <c:v>65.180000000000007</c:v>
                </c:pt>
                <c:pt idx="24">
                  <c:v>75.400000000000006</c:v>
                </c:pt>
                <c:pt idx="25">
                  <c:v>67.87</c:v>
                </c:pt>
                <c:pt idx="26">
                  <c:v>80.7</c:v>
                </c:pt>
                <c:pt idx="27">
                  <c:v>78.7</c:v>
                </c:pt>
                <c:pt idx="28">
                  <c:v>70.099999999999994</c:v>
                </c:pt>
                <c:pt idx="29">
                  <c:v>57.01</c:v>
                </c:pt>
                <c:pt idx="30">
                  <c:v>62.67</c:v>
                </c:pt>
                <c:pt idx="31">
                  <c:v>82.8</c:v>
                </c:pt>
                <c:pt idx="32">
                  <c:v>44.91</c:v>
                </c:pt>
                <c:pt idx="33">
                  <c:v>56.03</c:v>
                </c:pt>
                <c:pt idx="34">
                  <c:v>78.3</c:v>
                </c:pt>
                <c:pt idx="35">
                  <c:v>64.05</c:v>
                </c:pt>
                <c:pt idx="36">
                  <c:v>70.099999999999994</c:v>
                </c:pt>
                <c:pt idx="37">
                  <c:v>82.2</c:v>
                </c:pt>
                <c:pt idx="38">
                  <c:v>59.54</c:v>
                </c:pt>
                <c:pt idx="39">
                  <c:v>49.3</c:v>
                </c:pt>
                <c:pt idx="40">
                  <c:v>60.95</c:v>
                </c:pt>
                <c:pt idx="41">
                  <c:v>81.7</c:v>
                </c:pt>
                <c:pt idx="42">
                  <c:v>58.45</c:v>
                </c:pt>
                <c:pt idx="43">
                  <c:v>53</c:v>
                </c:pt>
                <c:pt idx="44">
                  <c:v>38.14</c:v>
                </c:pt>
                <c:pt idx="45">
                  <c:v>29.46</c:v>
                </c:pt>
                <c:pt idx="46">
                  <c:v>32.89</c:v>
                </c:pt>
                <c:pt idx="47">
                  <c:v>18.02</c:v>
                </c:pt>
                <c:pt idx="48">
                  <c:v>36.75</c:v>
                </c:pt>
                <c:pt idx="49">
                  <c:v>39.659999999999997</c:v>
                </c:pt>
                <c:pt idx="50">
                  <c:v>62.48</c:v>
                </c:pt>
                <c:pt idx="51">
                  <c:v>76.2</c:v>
                </c:pt>
                <c:pt idx="52">
                  <c:v>64.7</c:v>
                </c:pt>
                <c:pt idx="53">
                  <c:v>47.07</c:v>
                </c:pt>
                <c:pt idx="54">
                  <c:v>50.16</c:v>
                </c:pt>
                <c:pt idx="55">
                  <c:v>41.76</c:v>
                </c:pt>
                <c:pt idx="56">
                  <c:v>56.92</c:v>
                </c:pt>
                <c:pt idx="57">
                  <c:v>49.74</c:v>
                </c:pt>
                <c:pt idx="58">
                  <c:v>72.8</c:v>
                </c:pt>
                <c:pt idx="59">
                  <c:v>39.68</c:v>
                </c:pt>
                <c:pt idx="60">
                  <c:v>34.909999999999997</c:v>
                </c:pt>
                <c:pt idx="61">
                  <c:v>47.89</c:v>
                </c:pt>
                <c:pt idx="62">
                  <c:v>55.89</c:v>
                </c:pt>
                <c:pt idx="63">
                  <c:v>60.09</c:v>
                </c:pt>
                <c:pt idx="64">
                  <c:v>50.26</c:v>
                </c:pt>
                <c:pt idx="65">
                  <c:v>45.67</c:v>
                </c:pt>
                <c:pt idx="66">
                  <c:v>39.75</c:v>
                </c:pt>
                <c:pt idx="67">
                  <c:v>55.83</c:v>
                </c:pt>
                <c:pt idx="68">
                  <c:v>39.28</c:v>
                </c:pt>
                <c:pt idx="69">
                  <c:v>57.58</c:v>
                </c:pt>
                <c:pt idx="70">
                  <c:v>36.520000000000003</c:v>
                </c:pt>
                <c:pt idx="71">
                  <c:v>44.98</c:v>
                </c:pt>
                <c:pt idx="72">
                  <c:v>29.85</c:v>
                </c:pt>
                <c:pt idx="73">
                  <c:v>28.91</c:v>
                </c:pt>
                <c:pt idx="74">
                  <c:v>27.49</c:v>
                </c:pt>
                <c:pt idx="75">
                  <c:v>22.85</c:v>
                </c:pt>
                <c:pt idx="76">
                  <c:v>20.76</c:v>
                </c:pt>
                <c:pt idx="77">
                  <c:v>23.19</c:v>
                </c:pt>
                <c:pt idx="78">
                  <c:v>18.14</c:v>
                </c:pt>
                <c:pt idx="79">
                  <c:v>36.78</c:v>
                </c:pt>
                <c:pt idx="80">
                  <c:v>29.65</c:v>
                </c:pt>
                <c:pt idx="81">
                  <c:v>23.26</c:v>
                </c:pt>
                <c:pt idx="82">
                  <c:v>19.23</c:v>
                </c:pt>
                <c:pt idx="83">
                  <c:v>10.35</c:v>
                </c:pt>
                <c:pt idx="84">
                  <c:v>18.489999999999998</c:v>
                </c:pt>
                <c:pt idx="85">
                  <c:v>51.65</c:v>
                </c:pt>
                <c:pt idx="86">
                  <c:v>54.88</c:v>
                </c:pt>
                <c:pt idx="87">
                  <c:v>53.45</c:v>
                </c:pt>
                <c:pt idx="88">
                  <c:v>50.16</c:v>
                </c:pt>
                <c:pt idx="89">
                  <c:v>27.03</c:v>
                </c:pt>
                <c:pt idx="90">
                  <c:v>28.31</c:v>
                </c:pt>
                <c:pt idx="91">
                  <c:v>14.38</c:v>
                </c:pt>
                <c:pt idx="92">
                  <c:v>27.03</c:v>
                </c:pt>
                <c:pt idx="93">
                  <c:v>25.55</c:v>
                </c:pt>
                <c:pt idx="94">
                  <c:v>45.66</c:v>
                </c:pt>
                <c:pt idx="95">
                  <c:v>63.83</c:v>
                </c:pt>
                <c:pt idx="96">
                  <c:v>33.22</c:v>
                </c:pt>
                <c:pt idx="97">
                  <c:v>28.98</c:v>
                </c:pt>
                <c:pt idx="98">
                  <c:v>57.31</c:v>
                </c:pt>
                <c:pt idx="99">
                  <c:v>46.19</c:v>
                </c:pt>
                <c:pt idx="100">
                  <c:v>22.79</c:v>
                </c:pt>
                <c:pt idx="101">
                  <c:v>35.04</c:v>
                </c:pt>
                <c:pt idx="102">
                  <c:v>37.119999999999997</c:v>
                </c:pt>
                <c:pt idx="103">
                  <c:v>25.13</c:v>
                </c:pt>
                <c:pt idx="104">
                  <c:v>20.09</c:v>
                </c:pt>
                <c:pt idx="105">
                  <c:v>32.94</c:v>
                </c:pt>
                <c:pt idx="106">
                  <c:v>55.29</c:v>
                </c:pt>
                <c:pt idx="107">
                  <c:v>29.85</c:v>
                </c:pt>
                <c:pt idx="108">
                  <c:v>18.350000000000001</c:v>
                </c:pt>
                <c:pt idx="109">
                  <c:v>17.14</c:v>
                </c:pt>
                <c:pt idx="110">
                  <c:v>13.91</c:v>
                </c:pt>
                <c:pt idx="111">
                  <c:v>35.229999999999997</c:v>
                </c:pt>
                <c:pt idx="112">
                  <c:v>24.13</c:v>
                </c:pt>
                <c:pt idx="113">
                  <c:v>15.66</c:v>
                </c:pt>
                <c:pt idx="114">
                  <c:v>33.14</c:v>
                </c:pt>
                <c:pt idx="115">
                  <c:v>42.43</c:v>
                </c:pt>
                <c:pt idx="116">
                  <c:v>76</c:v>
                </c:pt>
                <c:pt idx="117">
                  <c:v>59.91</c:v>
                </c:pt>
                <c:pt idx="118">
                  <c:v>37.86</c:v>
                </c:pt>
                <c:pt idx="119">
                  <c:v>49.77</c:v>
                </c:pt>
                <c:pt idx="120">
                  <c:v>27.84</c:v>
                </c:pt>
                <c:pt idx="121">
                  <c:v>25</c:v>
                </c:pt>
                <c:pt idx="122">
                  <c:v>22.25</c:v>
                </c:pt>
                <c:pt idx="123">
                  <c:v>22.18</c:v>
                </c:pt>
                <c:pt idx="124">
                  <c:v>20.76</c:v>
                </c:pt>
                <c:pt idx="125">
                  <c:v>29.83</c:v>
                </c:pt>
                <c:pt idx="126">
                  <c:v>27.23</c:v>
                </c:pt>
                <c:pt idx="127">
                  <c:v>24.14</c:v>
                </c:pt>
                <c:pt idx="128">
                  <c:v>19.62</c:v>
                </c:pt>
                <c:pt idx="129">
                  <c:v>14.78</c:v>
                </c:pt>
                <c:pt idx="130">
                  <c:v>12.36</c:v>
                </c:pt>
                <c:pt idx="131">
                  <c:v>13.57</c:v>
                </c:pt>
                <c:pt idx="132">
                  <c:v>20.29</c:v>
                </c:pt>
                <c:pt idx="133">
                  <c:v>53.57</c:v>
                </c:pt>
                <c:pt idx="134">
                  <c:v>30.38</c:v>
                </c:pt>
                <c:pt idx="135">
                  <c:v>34.880000000000003</c:v>
                </c:pt>
                <c:pt idx="136">
                  <c:v>46.85</c:v>
                </c:pt>
                <c:pt idx="137">
                  <c:v>64.209999999999994</c:v>
                </c:pt>
                <c:pt idx="138">
                  <c:v>43.49</c:v>
                </c:pt>
                <c:pt idx="139">
                  <c:v>37.17</c:v>
                </c:pt>
                <c:pt idx="140">
                  <c:v>23.86</c:v>
                </c:pt>
                <c:pt idx="141">
                  <c:v>57.6</c:v>
                </c:pt>
                <c:pt idx="142">
                  <c:v>41.59</c:v>
                </c:pt>
                <c:pt idx="143">
                  <c:v>28.97</c:v>
                </c:pt>
                <c:pt idx="144">
                  <c:v>41.81</c:v>
                </c:pt>
                <c:pt idx="145">
                  <c:v>55.73</c:v>
                </c:pt>
                <c:pt idx="146">
                  <c:v>40.26</c:v>
                </c:pt>
                <c:pt idx="147">
                  <c:v>44.83</c:v>
                </c:pt>
                <c:pt idx="148">
                  <c:v>56.01</c:v>
                </c:pt>
                <c:pt idx="149">
                  <c:v>41.22</c:v>
                </c:pt>
                <c:pt idx="150">
                  <c:v>36.700000000000003</c:v>
                </c:pt>
                <c:pt idx="151">
                  <c:v>23.93</c:v>
                </c:pt>
                <c:pt idx="152">
                  <c:v>47.27</c:v>
                </c:pt>
                <c:pt idx="153">
                  <c:v>55.33</c:v>
                </c:pt>
                <c:pt idx="154">
                  <c:v>55.34</c:v>
                </c:pt>
                <c:pt idx="155">
                  <c:v>27.69</c:v>
                </c:pt>
                <c:pt idx="156">
                  <c:v>25.34</c:v>
                </c:pt>
                <c:pt idx="157">
                  <c:v>24.66</c:v>
                </c:pt>
                <c:pt idx="158">
                  <c:v>15.59</c:v>
                </c:pt>
                <c:pt idx="159">
                  <c:v>14.04</c:v>
                </c:pt>
                <c:pt idx="160">
                  <c:v>21.5</c:v>
                </c:pt>
                <c:pt idx="161">
                  <c:v>21.43</c:v>
                </c:pt>
                <c:pt idx="162">
                  <c:v>23.25</c:v>
                </c:pt>
                <c:pt idx="163">
                  <c:v>29.84</c:v>
                </c:pt>
                <c:pt idx="164">
                  <c:v>15.25</c:v>
                </c:pt>
                <c:pt idx="165">
                  <c:v>23.25</c:v>
                </c:pt>
                <c:pt idx="166">
                  <c:v>50.16</c:v>
                </c:pt>
                <c:pt idx="167">
                  <c:v>74.8</c:v>
                </c:pt>
                <c:pt idx="168">
                  <c:v>58.61</c:v>
                </c:pt>
                <c:pt idx="169">
                  <c:v>41.14</c:v>
                </c:pt>
                <c:pt idx="170">
                  <c:v>28.23</c:v>
                </c:pt>
                <c:pt idx="171">
                  <c:v>21.7</c:v>
                </c:pt>
                <c:pt idx="172">
                  <c:v>15.18</c:v>
                </c:pt>
                <c:pt idx="173">
                  <c:v>22.85</c:v>
                </c:pt>
                <c:pt idx="174">
                  <c:v>29.17</c:v>
                </c:pt>
                <c:pt idx="175">
                  <c:v>34.880000000000003</c:v>
                </c:pt>
                <c:pt idx="176">
                  <c:v>23.25</c:v>
                </c:pt>
                <c:pt idx="177">
                  <c:v>25.2</c:v>
                </c:pt>
                <c:pt idx="178">
                  <c:v>44.55</c:v>
                </c:pt>
                <c:pt idx="179">
                  <c:v>36.82</c:v>
                </c:pt>
                <c:pt idx="180">
                  <c:v>32.659999999999997</c:v>
                </c:pt>
                <c:pt idx="181">
                  <c:v>61.84</c:v>
                </c:pt>
                <c:pt idx="182">
                  <c:v>44.48</c:v>
                </c:pt>
                <c:pt idx="183">
                  <c:v>40.520000000000003</c:v>
                </c:pt>
                <c:pt idx="184">
                  <c:v>26.74</c:v>
                </c:pt>
                <c:pt idx="185">
                  <c:v>18.14</c:v>
                </c:pt>
                <c:pt idx="186">
                  <c:v>19.41</c:v>
                </c:pt>
                <c:pt idx="187">
                  <c:v>17.8</c:v>
                </c:pt>
                <c:pt idx="188">
                  <c:v>16.93</c:v>
                </c:pt>
                <c:pt idx="189">
                  <c:v>13.23</c:v>
                </c:pt>
                <c:pt idx="190">
                  <c:v>13.97</c:v>
                </c:pt>
                <c:pt idx="191">
                  <c:v>11.62</c:v>
                </c:pt>
                <c:pt idx="192">
                  <c:v>17.670000000000002</c:v>
                </c:pt>
                <c:pt idx="193">
                  <c:v>19.68</c:v>
                </c:pt>
                <c:pt idx="194">
                  <c:v>18.54</c:v>
                </c:pt>
                <c:pt idx="195">
                  <c:v>18.07</c:v>
                </c:pt>
                <c:pt idx="196">
                  <c:v>15.52</c:v>
                </c:pt>
                <c:pt idx="197">
                  <c:v>22.17</c:v>
                </c:pt>
                <c:pt idx="198">
                  <c:v>19.079999999999998</c:v>
                </c:pt>
                <c:pt idx="199">
                  <c:v>15.18</c:v>
                </c:pt>
                <c:pt idx="200">
                  <c:v>15.85</c:v>
                </c:pt>
                <c:pt idx="201">
                  <c:v>13.97</c:v>
                </c:pt>
                <c:pt idx="202">
                  <c:v>14.58</c:v>
                </c:pt>
                <c:pt idx="203">
                  <c:v>24.73</c:v>
                </c:pt>
                <c:pt idx="204">
                  <c:v>18.61</c:v>
                </c:pt>
                <c:pt idx="205">
                  <c:v>24.06</c:v>
                </c:pt>
                <c:pt idx="206">
                  <c:v>37.979999999999997</c:v>
                </c:pt>
                <c:pt idx="207">
                  <c:v>29.09</c:v>
                </c:pt>
                <c:pt idx="208">
                  <c:v>28.69</c:v>
                </c:pt>
                <c:pt idx="209">
                  <c:v>22.85</c:v>
                </c:pt>
                <c:pt idx="210">
                  <c:v>58.01</c:v>
                </c:pt>
                <c:pt idx="211">
                  <c:v>44.09</c:v>
                </c:pt>
                <c:pt idx="212">
                  <c:v>26.41</c:v>
                </c:pt>
                <c:pt idx="213">
                  <c:v>12.43</c:v>
                </c:pt>
                <c:pt idx="214">
                  <c:v>15.25</c:v>
                </c:pt>
                <c:pt idx="215">
                  <c:v>18.27</c:v>
                </c:pt>
                <c:pt idx="216">
                  <c:v>16.32</c:v>
                </c:pt>
                <c:pt idx="217">
                  <c:v>24.79</c:v>
                </c:pt>
                <c:pt idx="218">
                  <c:v>24.53</c:v>
                </c:pt>
                <c:pt idx="219">
                  <c:v>23.05</c:v>
                </c:pt>
                <c:pt idx="220">
                  <c:v>20.49</c:v>
                </c:pt>
                <c:pt idx="221">
                  <c:v>25.94</c:v>
                </c:pt>
                <c:pt idx="222">
                  <c:v>21.9</c:v>
                </c:pt>
                <c:pt idx="223">
                  <c:v>23.85</c:v>
                </c:pt>
                <c:pt idx="224">
                  <c:v>31.24</c:v>
                </c:pt>
                <c:pt idx="225">
                  <c:v>30.24</c:v>
                </c:pt>
                <c:pt idx="226">
                  <c:v>32.39</c:v>
                </c:pt>
                <c:pt idx="227">
                  <c:v>27.28</c:v>
                </c:pt>
                <c:pt idx="228">
                  <c:v>70.900000000000006</c:v>
                </c:pt>
                <c:pt idx="229">
                  <c:v>39.979999999999997</c:v>
                </c:pt>
                <c:pt idx="230">
                  <c:v>25.8</c:v>
                </c:pt>
                <c:pt idx="231">
                  <c:v>20.76</c:v>
                </c:pt>
                <c:pt idx="232">
                  <c:v>30.98</c:v>
                </c:pt>
                <c:pt idx="233">
                  <c:v>49.81</c:v>
                </c:pt>
                <c:pt idx="234">
                  <c:v>30.1</c:v>
                </c:pt>
                <c:pt idx="235">
                  <c:v>22.98</c:v>
                </c:pt>
                <c:pt idx="236">
                  <c:v>82.8</c:v>
                </c:pt>
                <c:pt idx="237">
                  <c:v>59.15</c:v>
                </c:pt>
                <c:pt idx="238">
                  <c:v>42.28</c:v>
                </c:pt>
                <c:pt idx="239">
                  <c:v>56.82</c:v>
                </c:pt>
                <c:pt idx="240">
                  <c:v>38.92</c:v>
                </c:pt>
                <c:pt idx="241">
                  <c:v>30.64</c:v>
                </c:pt>
                <c:pt idx="242">
                  <c:v>24.92</c:v>
                </c:pt>
                <c:pt idx="243">
                  <c:v>20.420000000000002</c:v>
                </c:pt>
                <c:pt idx="244">
                  <c:v>17.329999999999998</c:v>
                </c:pt>
                <c:pt idx="245">
                  <c:v>20.9</c:v>
                </c:pt>
                <c:pt idx="246">
                  <c:v>27.35</c:v>
                </c:pt>
                <c:pt idx="247">
                  <c:v>22.38</c:v>
                </c:pt>
                <c:pt idx="248">
                  <c:v>16.39</c:v>
                </c:pt>
                <c:pt idx="249">
                  <c:v>14.17</c:v>
                </c:pt>
                <c:pt idx="250">
                  <c:v>13.3</c:v>
                </c:pt>
                <c:pt idx="251">
                  <c:v>21.84</c:v>
                </c:pt>
                <c:pt idx="252">
                  <c:v>28.63</c:v>
                </c:pt>
                <c:pt idx="253">
                  <c:v>23.79</c:v>
                </c:pt>
                <c:pt idx="254">
                  <c:v>52.93</c:v>
                </c:pt>
                <c:pt idx="255">
                  <c:v>41.47</c:v>
                </c:pt>
                <c:pt idx="256">
                  <c:v>32.520000000000003</c:v>
                </c:pt>
                <c:pt idx="257">
                  <c:v>41.81</c:v>
                </c:pt>
                <c:pt idx="258">
                  <c:v>36.57</c:v>
                </c:pt>
                <c:pt idx="259">
                  <c:v>31.85</c:v>
                </c:pt>
                <c:pt idx="260">
                  <c:v>35.479999999999997</c:v>
                </c:pt>
                <c:pt idx="261">
                  <c:v>34.28</c:v>
                </c:pt>
                <c:pt idx="262">
                  <c:v>38.99</c:v>
                </c:pt>
                <c:pt idx="263">
                  <c:v>39.39</c:v>
                </c:pt>
                <c:pt idx="264">
                  <c:v>38.58</c:v>
                </c:pt>
                <c:pt idx="265">
                  <c:v>60.91</c:v>
                </c:pt>
                <c:pt idx="266">
                  <c:v>44.62</c:v>
                </c:pt>
                <c:pt idx="267">
                  <c:v>37.840000000000003</c:v>
                </c:pt>
                <c:pt idx="268">
                  <c:v>49.94</c:v>
                </c:pt>
                <c:pt idx="269">
                  <c:v>39.94</c:v>
                </c:pt>
                <c:pt idx="270">
                  <c:v>32.26</c:v>
                </c:pt>
                <c:pt idx="271">
                  <c:v>44.43</c:v>
                </c:pt>
                <c:pt idx="272">
                  <c:v>49.57</c:v>
                </c:pt>
                <c:pt idx="273">
                  <c:v>37.24</c:v>
                </c:pt>
                <c:pt idx="274">
                  <c:v>56.82</c:v>
                </c:pt>
                <c:pt idx="275">
                  <c:v>32.33</c:v>
                </c:pt>
                <c:pt idx="276">
                  <c:v>32.6</c:v>
                </c:pt>
                <c:pt idx="277">
                  <c:v>41.7</c:v>
                </c:pt>
                <c:pt idx="278">
                  <c:v>34.82</c:v>
                </c:pt>
                <c:pt idx="279">
                  <c:v>44.44</c:v>
                </c:pt>
                <c:pt idx="280">
                  <c:v>31.18</c:v>
                </c:pt>
                <c:pt idx="281">
                  <c:v>41.94</c:v>
                </c:pt>
                <c:pt idx="282">
                  <c:v>25.47</c:v>
                </c:pt>
                <c:pt idx="283">
                  <c:v>41.57</c:v>
                </c:pt>
                <c:pt idx="284">
                  <c:v>37.04</c:v>
                </c:pt>
                <c:pt idx="285">
                  <c:v>31.05</c:v>
                </c:pt>
                <c:pt idx="286">
                  <c:v>25.13</c:v>
                </c:pt>
                <c:pt idx="287">
                  <c:v>35.36</c:v>
                </c:pt>
                <c:pt idx="288">
                  <c:v>82.8</c:v>
                </c:pt>
                <c:pt idx="289">
                  <c:v>38.39</c:v>
                </c:pt>
                <c:pt idx="290">
                  <c:v>43.92</c:v>
                </c:pt>
                <c:pt idx="291">
                  <c:v>65.8</c:v>
                </c:pt>
                <c:pt idx="292">
                  <c:v>69.930000000000007</c:v>
                </c:pt>
                <c:pt idx="293">
                  <c:v>71.400000000000006</c:v>
                </c:pt>
                <c:pt idx="294">
                  <c:v>70.5</c:v>
                </c:pt>
                <c:pt idx="295">
                  <c:v>42.02</c:v>
                </c:pt>
                <c:pt idx="296">
                  <c:v>54.41</c:v>
                </c:pt>
                <c:pt idx="297">
                  <c:v>42.23</c:v>
                </c:pt>
                <c:pt idx="298">
                  <c:v>38.340000000000003</c:v>
                </c:pt>
                <c:pt idx="299">
                  <c:v>40.76</c:v>
                </c:pt>
                <c:pt idx="300">
                  <c:v>57.56</c:v>
                </c:pt>
                <c:pt idx="301">
                  <c:v>54.01</c:v>
                </c:pt>
                <c:pt idx="302">
                  <c:v>56.97</c:v>
                </c:pt>
                <c:pt idx="303">
                  <c:v>60.87</c:v>
                </c:pt>
                <c:pt idx="304">
                  <c:v>83.2</c:v>
                </c:pt>
                <c:pt idx="305">
                  <c:v>78.5</c:v>
                </c:pt>
                <c:pt idx="306">
                  <c:v>78.2</c:v>
                </c:pt>
                <c:pt idx="307">
                  <c:v>79.099999999999994</c:v>
                </c:pt>
                <c:pt idx="308">
                  <c:v>76</c:v>
                </c:pt>
                <c:pt idx="309">
                  <c:v>54.1</c:v>
                </c:pt>
                <c:pt idx="310">
                  <c:v>55.42</c:v>
                </c:pt>
                <c:pt idx="311">
                  <c:v>61.21</c:v>
                </c:pt>
                <c:pt idx="312">
                  <c:v>57.71</c:v>
                </c:pt>
                <c:pt idx="313">
                  <c:v>90.3</c:v>
                </c:pt>
                <c:pt idx="314">
                  <c:v>74.5</c:v>
                </c:pt>
                <c:pt idx="315">
                  <c:v>74.8</c:v>
                </c:pt>
                <c:pt idx="316">
                  <c:v>55.29</c:v>
                </c:pt>
                <c:pt idx="317">
                  <c:v>85.7</c:v>
                </c:pt>
                <c:pt idx="318">
                  <c:v>83.3</c:v>
                </c:pt>
                <c:pt idx="319">
                  <c:v>78.8</c:v>
                </c:pt>
                <c:pt idx="320">
                  <c:v>75.5</c:v>
                </c:pt>
                <c:pt idx="321">
                  <c:v>68.34</c:v>
                </c:pt>
                <c:pt idx="322">
                  <c:v>63.46</c:v>
                </c:pt>
                <c:pt idx="323">
                  <c:v>71.3</c:v>
                </c:pt>
                <c:pt idx="324">
                  <c:v>68.92</c:v>
                </c:pt>
                <c:pt idx="325">
                  <c:v>62.09</c:v>
                </c:pt>
                <c:pt idx="326">
                  <c:v>67.95</c:v>
                </c:pt>
                <c:pt idx="327">
                  <c:v>59.93</c:v>
                </c:pt>
                <c:pt idx="328">
                  <c:v>79.3</c:v>
                </c:pt>
                <c:pt idx="329">
                  <c:v>82.3</c:v>
                </c:pt>
                <c:pt idx="330">
                  <c:v>79.3</c:v>
                </c:pt>
                <c:pt idx="331">
                  <c:v>82.6</c:v>
                </c:pt>
                <c:pt idx="332">
                  <c:v>76.8</c:v>
                </c:pt>
                <c:pt idx="333">
                  <c:v>67.209999999999994</c:v>
                </c:pt>
                <c:pt idx="334">
                  <c:v>75.8</c:v>
                </c:pt>
                <c:pt idx="335">
                  <c:v>66.66</c:v>
                </c:pt>
                <c:pt idx="336">
                  <c:v>60.47</c:v>
                </c:pt>
                <c:pt idx="337">
                  <c:v>79.3</c:v>
                </c:pt>
                <c:pt idx="338">
                  <c:v>84.3</c:v>
                </c:pt>
                <c:pt idx="339">
                  <c:v>81.400000000000006</c:v>
                </c:pt>
                <c:pt idx="340">
                  <c:v>75.900000000000006</c:v>
                </c:pt>
                <c:pt idx="341">
                  <c:v>86.3</c:v>
                </c:pt>
                <c:pt idx="342">
                  <c:v>82.3</c:v>
                </c:pt>
                <c:pt idx="343">
                  <c:v>79.8</c:v>
                </c:pt>
                <c:pt idx="344">
                  <c:v>82.2</c:v>
                </c:pt>
                <c:pt idx="345">
                  <c:v>81.400000000000006</c:v>
                </c:pt>
                <c:pt idx="346">
                  <c:v>66.27</c:v>
                </c:pt>
                <c:pt idx="347">
                  <c:v>79.8</c:v>
                </c:pt>
                <c:pt idx="348">
                  <c:v>72.599999999999994</c:v>
                </c:pt>
                <c:pt idx="349">
                  <c:v>73.099999999999994</c:v>
                </c:pt>
                <c:pt idx="350">
                  <c:v>78.8</c:v>
                </c:pt>
                <c:pt idx="351">
                  <c:v>81</c:v>
                </c:pt>
                <c:pt idx="352">
                  <c:v>80.5</c:v>
                </c:pt>
                <c:pt idx="353">
                  <c:v>65.8</c:v>
                </c:pt>
                <c:pt idx="354">
                  <c:v>75.900000000000006</c:v>
                </c:pt>
                <c:pt idx="355">
                  <c:v>76.7</c:v>
                </c:pt>
                <c:pt idx="356">
                  <c:v>76.400000000000006</c:v>
                </c:pt>
                <c:pt idx="357">
                  <c:v>57.1</c:v>
                </c:pt>
                <c:pt idx="358">
                  <c:v>62.01</c:v>
                </c:pt>
                <c:pt idx="359">
                  <c:v>59.41</c:v>
                </c:pt>
                <c:pt idx="360">
                  <c:v>79.900000000000006</c:v>
                </c:pt>
                <c:pt idx="361">
                  <c:v>72.5</c:v>
                </c:pt>
                <c:pt idx="362">
                  <c:v>85.7</c:v>
                </c:pt>
                <c:pt idx="363">
                  <c:v>71.5</c:v>
                </c:pt>
                <c:pt idx="364">
                  <c:v>82.2</c:v>
                </c:pt>
                <c:pt idx="365">
                  <c:v>61.63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93.9</c:v>
                </c:pt>
                <c:pt idx="1">
                  <c:v>91.5</c:v>
                </c:pt>
                <c:pt idx="2">
                  <c:v>93.3</c:v>
                </c:pt>
                <c:pt idx="3">
                  <c:v>93.2</c:v>
                </c:pt>
                <c:pt idx="4">
                  <c:v>92.9</c:v>
                </c:pt>
                <c:pt idx="5">
                  <c:v>90.7</c:v>
                </c:pt>
                <c:pt idx="6">
                  <c:v>89.7</c:v>
                </c:pt>
                <c:pt idx="7">
                  <c:v>90.1</c:v>
                </c:pt>
                <c:pt idx="8">
                  <c:v>92.6</c:v>
                </c:pt>
                <c:pt idx="9">
                  <c:v>89.7</c:v>
                </c:pt>
                <c:pt idx="10">
                  <c:v>84.2</c:v>
                </c:pt>
                <c:pt idx="11">
                  <c:v>68.84</c:v>
                </c:pt>
                <c:pt idx="12">
                  <c:v>73.599999999999994</c:v>
                </c:pt>
                <c:pt idx="13">
                  <c:v>77.8</c:v>
                </c:pt>
                <c:pt idx="14">
                  <c:v>80.7</c:v>
                </c:pt>
                <c:pt idx="15">
                  <c:v>83.6</c:v>
                </c:pt>
                <c:pt idx="16">
                  <c:v>84.7</c:v>
                </c:pt>
                <c:pt idx="17">
                  <c:v>82.8</c:v>
                </c:pt>
                <c:pt idx="18">
                  <c:v>88.5</c:v>
                </c:pt>
                <c:pt idx="19">
                  <c:v>92.8</c:v>
                </c:pt>
                <c:pt idx="20">
                  <c:v>91.9</c:v>
                </c:pt>
                <c:pt idx="21">
                  <c:v>93.4</c:v>
                </c:pt>
                <c:pt idx="22">
                  <c:v>94.3</c:v>
                </c:pt>
                <c:pt idx="23">
                  <c:v>94.5</c:v>
                </c:pt>
                <c:pt idx="24">
                  <c:v>94</c:v>
                </c:pt>
                <c:pt idx="25">
                  <c:v>93.8</c:v>
                </c:pt>
                <c:pt idx="26">
                  <c:v>92</c:v>
                </c:pt>
                <c:pt idx="27">
                  <c:v>93.8</c:v>
                </c:pt>
                <c:pt idx="28">
                  <c:v>90.6</c:v>
                </c:pt>
                <c:pt idx="29">
                  <c:v>86.9</c:v>
                </c:pt>
                <c:pt idx="30">
                  <c:v>91.5</c:v>
                </c:pt>
                <c:pt idx="31">
                  <c:v>93.3</c:v>
                </c:pt>
                <c:pt idx="32">
                  <c:v>93</c:v>
                </c:pt>
                <c:pt idx="33">
                  <c:v>88.7</c:v>
                </c:pt>
                <c:pt idx="34">
                  <c:v>88.8</c:v>
                </c:pt>
                <c:pt idx="35">
                  <c:v>91.5</c:v>
                </c:pt>
                <c:pt idx="36">
                  <c:v>93</c:v>
                </c:pt>
                <c:pt idx="37">
                  <c:v>93.2</c:v>
                </c:pt>
                <c:pt idx="38">
                  <c:v>90.5</c:v>
                </c:pt>
                <c:pt idx="39">
                  <c:v>88.8</c:v>
                </c:pt>
                <c:pt idx="40">
                  <c:v>89.6</c:v>
                </c:pt>
                <c:pt idx="41">
                  <c:v>92.2</c:v>
                </c:pt>
                <c:pt idx="42">
                  <c:v>92.4</c:v>
                </c:pt>
                <c:pt idx="43">
                  <c:v>90.2</c:v>
                </c:pt>
                <c:pt idx="44">
                  <c:v>88.9</c:v>
                </c:pt>
                <c:pt idx="45">
                  <c:v>87.1</c:v>
                </c:pt>
                <c:pt idx="46">
                  <c:v>82.6</c:v>
                </c:pt>
                <c:pt idx="47">
                  <c:v>70.7</c:v>
                </c:pt>
                <c:pt idx="48">
                  <c:v>74.2</c:v>
                </c:pt>
                <c:pt idx="49">
                  <c:v>89.5</c:v>
                </c:pt>
                <c:pt idx="50">
                  <c:v>93.2</c:v>
                </c:pt>
                <c:pt idx="51">
                  <c:v>93.7</c:v>
                </c:pt>
                <c:pt idx="52">
                  <c:v>94.3</c:v>
                </c:pt>
                <c:pt idx="53">
                  <c:v>94</c:v>
                </c:pt>
                <c:pt idx="54">
                  <c:v>80.400000000000006</c:v>
                </c:pt>
                <c:pt idx="55">
                  <c:v>92.3</c:v>
                </c:pt>
                <c:pt idx="56">
                  <c:v>90.8</c:v>
                </c:pt>
                <c:pt idx="57">
                  <c:v>87.3</c:v>
                </c:pt>
                <c:pt idx="58">
                  <c:v>87</c:v>
                </c:pt>
                <c:pt idx="59">
                  <c:v>93.6</c:v>
                </c:pt>
                <c:pt idx="60">
                  <c:v>84.9</c:v>
                </c:pt>
                <c:pt idx="61">
                  <c:v>89.6</c:v>
                </c:pt>
                <c:pt idx="62">
                  <c:v>89.3</c:v>
                </c:pt>
                <c:pt idx="63">
                  <c:v>89.4</c:v>
                </c:pt>
                <c:pt idx="64">
                  <c:v>86</c:v>
                </c:pt>
                <c:pt idx="65">
                  <c:v>88</c:v>
                </c:pt>
                <c:pt idx="66">
                  <c:v>88.7</c:v>
                </c:pt>
                <c:pt idx="67">
                  <c:v>89.8</c:v>
                </c:pt>
                <c:pt idx="68">
                  <c:v>92.9</c:v>
                </c:pt>
                <c:pt idx="69">
                  <c:v>89.1</c:v>
                </c:pt>
                <c:pt idx="70">
                  <c:v>88.2</c:v>
                </c:pt>
                <c:pt idx="71">
                  <c:v>91.9</c:v>
                </c:pt>
                <c:pt idx="72">
                  <c:v>84.8</c:v>
                </c:pt>
                <c:pt idx="73">
                  <c:v>82.2</c:v>
                </c:pt>
                <c:pt idx="74">
                  <c:v>75.3</c:v>
                </c:pt>
                <c:pt idx="75">
                  <c:v>81.400000000000006</c:v>
                </c:pt>
                <c:pt idx="76">
                  <c:v>61.21</c:v>
                </c:pt>
                <c:pt idx="77">
                  <c:v>66.92</c:v>
                </c:pt>
                <c:pt idx="78">
                  <c:v>67.53</c:v>
                </c:pt>
                <c:pt idx="79">
                  <c:v>88</c:v>
                </c:pt>
                <c:pt idx="80">
                  <c:v>93</c:v>
                </c:pt>
                <c:pt idx="81">
                  <c:v>79</c:v>
                </c:pt>
                <c:pt idx="82">
                  <c:v>79.3</c:v>
                </c:pt>
                <c:pt idx="83">
                  <c:v>64.08</c:v>
                </c:pt>
                <c:pt idx="84">
                  <c:v>78</c:v>
                </c:pt>
                <c:pt idx="85">
                  <c:v>91.1</c:v>
                </c:pt>
                <c:pt idx="86">
                  <c:v>93.2</c:v>
                </c:pt>
                <c:pt idx="87">
                  <c:v>93.2</c:v>
                </c:pt>
                <c:pt idx="88">
                  <c:v>92.6</c:v>
                </c:pt>
                <c:pt idx="89">
                  <c:v>88.6</c:v>
                </c:pt>
                <c:pt idx="90">
                  <c:v>87.8</c:v>
                </c:pt>
                <c:pt idx="91">
                  <c:v>79.400000000000006</c:v>
                </c:pt>
                <c:pt idx="92">
                  <c:v>73.099999999999994</c:v>
                </c:pt>
                <c:pt idx="93">
                  <c:v>81.7</c:v>
                </c:pt>
                <c:pt idx="94">
                  <c:v>92.4</c:v>
                </c:pt>
                <c:pt idx="95">
                  <c:v>93.6</c:v>
                </c:pt>
                <c:pt idx="96">
                  <c:v>93.6</c:v>
                </c:pt>
                <c:pt idx="97">
                  <c:v>85.3</c:v>
                </c:pt>
                <c:pt idx="98">
                  <c:v>88.4</c:v>
                </c:pt>
                <c:pt idx="99">
                  <c:v>92.3</c:v>
                </c:pt>
                <c:pt idx="100">
                  <c:v>91.4</c:v>
                </c:pt>
                <c:pt idx="101">
                  <c:v>92.1</c:v>
                </c:pt>
                <c:pt idx="102">
                  <c:v>93.3</c:v>
                </c:pt>
                <c:pt idx="103">
                  <c:v>79.7</c:v>
                </c:pt>
                <c:pt idx="104">
                  <c:v>59.93</c:v>
                </c:pt>
                <c:pt idx="105">
                  <c:v>93</c:v>
                </c:pt>
                <c:pt idx="106">
                  <c:v>91.3</c:v>
                </c:pt>
                <c:pt idx="107">
                  <c:v>90.5</c:v>
                </c:pt>
                <c:pt idx="108">
                  <c:v>81.599999999999994</c:v>
                </c:pt>
                <c:pt idx="109">
                  <c:v>64.34</c:v>
                </c:pt>
                <c:pt idx="110">
                  <c:v>90.5</c:v>
                </c:pt>
                <c:pt idx="111">
                  <c:v>91.3</c:v>
                </c:pt>
                <c:pt idx="112">
                  <c:v>84.6</c:v>
                </c:pt>
                <c:pt idx="113">
                  <c:v>74.900000000000006</c:v>
                </c:pt>
                <c:pt idx="114">
                  <c:v>80.3</c:v>
                </c:pt>
                <c:pt idx="115">
                  <c:v>92.6</c:v>
                </c:pt>
                <c:pt idx="116">
                  <c:v>93.8</c:v>
                </c:pt>
                <c:pt idx="117">
                  <c:v>93.6</c:v>
                </c:pt>
                <c:pt idx="118">
                  <c:v>83.3</c:v>
                </c:pt>
                <c:pt idx="119">
                  <c:v>90.5</c:v>
                </c:pt>
                <c:pt idx="120">
                  <c:v>91.4</c:v>
                </c:pt>
                <c:pt idx="121">
                  <c:v>86.3</c:v>
                </c:pt>
                <c:pt idx="122">
                  <c:v>89.5</c:v>
                </c:pt>
                <c:pt idx="123">
                  <c:v>69.48</c:v>
                </c:pt>
                <c:pt idx="124">
                  <c:v>63.43</c:v>
                </c:pt>
                <c:pt idx="125">
                  <c:v>71.400000000000006</c:v>
                </c:pt>
                <c:pt idx="126">
                  <c:v>74.2</c:v>
                </c:pt>
                <c:pt idx="127">
                  <c:v>89.6</c:v>
                </c:pt>
                <c:pt idx="128">
                  <c:v>70.400000000000006</c:v>
                </c:pt>
                <c:pt idx="129">
                  <c:v>59.19</c:v>
                </c:pt>
                <c:pt idx="130">
                  <c:v>57.02</c:v>
                </c:pt>
                <c:pt idx="131">
                  <c:v>59.71</c:v>
                </c:pt>
                <c:pt idx="132">
                  <c:v>81.7</c:v>
                </c:pt>
                <c:pt idx="133">
                  <c:v>93.6</c:v>
                </c:pt>
                <c:pt idx="134">
                  <c:v>94.1</c:v>
                </c:pt>
                <c:pt idx="135">
                  <c:v>79.5</c:v>
                </c:pt>
                <c:pt idx="136">
                  <c:v>93.6</c:v>
                </c:pt>
                <c:pt idx="137">
                  <c:v>93.6</c:v>
                </c:pt>
                <c:pt idx="138">
                  <c:v>91.8</c:v>
                </c:pt>
                <c:pt idx="139">
                  <c:v>93.6</c:v>
                </c:pt>
                <c:pt idx="140">
                  <c:v>92</c:v>
                </c:pt>
                <c:pt idx="141">
                  <c:v>86.3</c:v>
                </c:pt>
                <c:pt idx="142">
                  <c:v>91.2</c:v>
                </c:pt>
                <c:pt idx="143">
                  <c:v>92.9</c:v>
                </c:pt>
                <c:pt idx="144">
                  <c:v>92</c:v>
                </c:pt>
                <c:pt idx="145">
                  <c:v>87.5</c:v>
                </c:pt>
                <c:pt idx="146">
                  <c:v>81.099999999999994</c:v>
                </c:pt>
                <c:pt idx="147">
                  <c:v>82.9</c:v>
                </c:pt>
                <c:pt idx="148">
                  <c:v>91.4</c:v>
                </c:pt>
                <c:pt idx="149">
                  <c:v>93</c:v>
                </c:pt>
                <c:pt idx="150">
                  <c:v>93.9</c:v>
                </c:pt>
                <c:pt idx="151">
                  <c:v>82.7</c:v>
                </c:pt>
                <c:pt idx="152">
                  <c:v>90.7</c:v>
                </c:pt>
                <c:pt idx="153">
                  <c:v>91.2</c:v>
                </c:pt>
                <c:pt idx="154">
                  <c:v>91.4</c:v>
                </c:pt>
                <c:pt idx="155">
                  <c:v>79.599999999999994</c:v>
                </c:pt>
                <c:pt idx="156">
                  <c:v>83.5</c:v>
                </c:pt>
                <c:pt idx="157">
                  <c:v>78.5</c:v>
                </c:pt>
                <c:pt idx="158">
                  <c:v>71.599999999999994</c:v>
                </c:pt>
                <c:pt idx="159">
                  <c:v>58.05</c:v>
                </c:pt>
                <c:pt idx="160">
                  <c:v>63.19</c:v>
                </c:pt>
                <c:pt idx="161">
                  <c:v>81.400000000000006</c:v>
                </c:pt>
                <c:pt idx="162">
                  <c:v>67.37</c:v>
                </c:pt>
                <c:pt idx="163">
                  <c:v>83.5</c:v>
                </c:pt>
                <c:pt idx="164">
                  <c:v>81.900000000000006</c:v>
                </c:pt>
                <c:pt idx="165">
                  <c:v>66.05</c:v>
                </c:pt>
                <c:pt idx="166">
                  <c:v>92</c:v>
                </c:pt>
                <c:pt idx="167">
                  <c:v>92.7</c:v>
                </c:pt>
                <c:pt idx="168">
                  <c:v>92.3</c:v>
                </c:pt>
                <c:pt idx="169">
                  <c:v>92</c:v>
                </c:pt>
                <c:pt idx="170">
                  <c:v>92.1</c:v>
                </c:pt>
                <c:pt idx="171">
                  <c:v>71</c:v>
                </c:pt>
                <c:pt idx="172">
                  <c:v>66.37</c:v>
                </c:pt>
                <c:pt idx="173">
                  <c:v>89</c:v>
                </c:pt>
                <c:pt idx="174">
                  <c:v>77.400000000000006</c:v>
                </c:pt>
                <c:pt idx="175">
                  <c:v>91.9</c:v>
                </c:pt>
                <c:pt idx="176">
                  <c:v>93.6</c:v>
                </c:pt>
                <c:pt idx="177">
                  <c:v>92</c:v>
                </c:pt>
                <c:pt idx="178">
                  <c:v>91.7</c:v>
                </c:pt>
                <c:pt idx="179">
                  <c:v>88.8</c:v>
                </c:pt>
                <c:pt idx="180">
                  <c:v>77.7</c:v>
                </c:pt>
                <c:pt idx="181">
                  <c:v>92.3</c:v>
                </c:pt>
                <c:pt idx="182">
                  <c:v>92.6</c:v>
                </c:pt>
                <c:pt idx="183">
                  <c:v>92.7</c:v>
                </c:pt>
                <c:pt idx="184">
                  <c:v>89.9</c:v>
                </c:pt>
                <c:pt idx="185">
                  <c:v>76.2</c:v>
                </c:pt>
                <c:pt idx="186">
                  <c:v>76.599999999999994</c:v>
                </c:pt>
                <c:pt idx="187">
                  <c:v>70.7</c:v>
                </c:pt>
                <c:pt idx="188">
                  <c:v>61.39</c:v>
                </c:pt>
                <c:pt idx="189">
                  <c:v>60.23</c:v>
                </c:pt>
                <c:pt idx="190">
                  <c:v>57.74</c:v>
                </c:pt>
                <c:pt idx="191">
                  <c:v>44.9</c:v>
                </c:pt>
                <c:pt idx="192">
                  <c:v>62.53</c:v>
                </c:pt>
                <c:pt idx="193">
                  <c:v>66.77</c:v>
                </c:pt>
                <c:pt idx="194">
                  <c:v>62.6</c:v>
                </c:pt>
                <c:pt idx="195">
                  <c:v>69.73</c:v>
                </c:pt>
                <c:pt idx="196">
                  <c:v>66.150000000000006</c:v>
                </c:pt>
                <c:pt idx="197">
                  <c:v>71.7</c:v>
                </c:pt>
                <c:pt idx="198">
                  <c:v>56.8</c:v>
                </c:pt>
                <c:pt idx="199">
                  <c:v>66.81</c:v>
                </c:pt>
                <c:pt idx="200">
                  <c:v>69.5</c:v>
                </c:pt>
                <c:pt idx="201">
                  <c:v>54.66</c:v>
                </c:pt>
                <c:pt idx="202">
                  <c:v>52.56</c:v>
                </c:pt>
                <c:pt idx="203">
                  <c:v>85.3</c:v>
                </c:pt>
                <c:pt idx="204">
                  <c:v>73.400000000000006</c:v>
                </c:pt>
                <c:pt idx="205">
                  <c:v>72.3</c:v>
                </c:pt>
                <c:pt idx="206">
                  <c:v>91.8</c:v>
                </c:pt>
                <c:pt idx="207">
                  <c:v>91.5</c:v>
                </c:pt>
                <c:pt idx="208">
                  <c:v>84.1</c:v>
                </c:pt>
                <c:pt idx="209">
                  <c:v>78.8</c:v>
                </c:pt>
                <c:pt idx="210">
                  <c:v>90</c:v>
                </c:pt>
                <c:pt idx="211">
                  <c:v>91.9</c:v>
                </c:pt>
                <c:pt idx="212">
                  <c:v>90</c:v>
                </c:pt>
                <c:pt idx="213">
                  <c:v>76.7</c:v>
                </c:pt>
                <c:pt idx="214">
                  <c:v>54.32</c:v>
                </c:pt>
                <c:pt idx="215">
                  <c:v>62.11</c:v>
                </c:pt>
                <c:pt idx="216">
                  <c:v>62.92</c:v>
                </c:pt>
                <c:pt idx="217">
                  <c:v>90.1</c:v>
                </c:pt>
                <c:pt idx="218">
                  <c:v>88.6</c:v>
                </c:pt>
                <c:pt idx="219">
                  <c:v>80.2</c:v>
                </c:pt>
                <c:pt idx="220">
                  <c:v>65.760000000000005</c:v>
                </c:pt>
                <c:pt idx="221">
                  <c:v>85.7</c:v>
                </c:pt>
                <c:pt idx="222">
                  <c:v>72.8</c:v>
                </c:pt>
                <c:pt idx="223">
                  <c:v>72</c:v>
                </c:pt>
                <c:pt idx="224">
                  <c:v>89.1</c:v>
                </c:pt>
                <c:pt idx="225">
                  <c:v>86.3</c:v>
                </c:pt>
                <c:pt idx="226">
                  <c:v>81.5</c:v>
                </c:pt>
                <c:pt idx="227">
                  <c:v>92.3</c:v>
                </c:pt>
                <c:pt idx="228">
                  <c:v>93</c:v>
                </c:pt>
                <c:pt idx="229">
                  <c:v>93.8</c:v>
                </c:pt>
                <c:pt idx="230">
                  <c:v>87.7</c:v>
                </c:pt>
                <c:pt idx="231">
                  <c:v>84.3</c:v>
                </c:pt>
                <c:pt idx="232">
                  <c:v>79.2</c:v>
                </c:pt>
                <c:pt idx="233">
                  <c:v>87.3</c:v>
                </c:pt>
                <c:pt idx="234">
                  <c:v>88.5</c:v>
                </c:pt>
                <c:pt idx="235">
                  <c:v>91.8</c:v>
                </c:pt>
                <c:pt idx="236">
                  <c:v>91.9</c:v>
                </c:pt>
                <c:pt idx="237">
                  <c:v>93.2</c:v>
                </c:pt>
                <c:pt idx="238">
                  <c:v>92</c:v>
                </c:pt>
                <c:pt idx="239">
                  <c:v>91.7</c:v>
                </c:pt>
                <c:pt idx="240">
                  <c:v>92.4</c:v>
                </c:pt>
                <c:pt idx="241">
                  <c:v>84.4</c:v>
                </c:pt>
                <c:pt idx="242">
                  <c:v>74.900000000000006</c:v>
                </c:pt>
                <c:pt idx="243">
                  <c:v>76.7</c:v>
                </c:pt>
                <c:pt idx="244">
                  <c:v>64.55</c:v>
                </c:pt>
                <c:pt idx="245">
                  <c:v>62.17</c:v>
                </c:pt>
                <c:pt idx="246">
                  <c:v>78.900000000000006</c:v>
                </c:pt>
                <c:pt idx="247">
                  <c:v>69.05</c:v>
                </c:pt>
                <c:pt idx="248">
                  <c:v>67.98</c:v>
                </c:pt>
                <c:pt idx="249">
                  <c:v>51.44</c:v>
                </c:pt>
                <c:pt idx="250">
                  <c:v>53.19</c:v>
                </c:pt>
                <c:pt idx="251">
                  <c:v>52.63</c:v>
                </c:pt>
                <c:pt idx="252">
                  <c:v>75.900000000000006</c:v>
                </c:pt>
                <c:pt idx="253">
                  <c:v>77.400000000000006</c:v>
                </c:pt>
                <c:pt idx="254">
                  <c:v>86.1</c:v>
                </c:pt>
                <c:pt idx="255">
                  <c:v>89.4</c:v>
                </c:pt>
                <c:pt idx="256">
                  <c:v>91.7</c:v>
                </c:pt>
                <c:pt idx="257">
                  <c:v>92.2</c:v>
                </c:pt>
                <c:pt idx="258">
                  <c:v>92.6</c:v>
                </c:pt>
                <c:pt idx="259">
                  <c:v>91.5</c:v>
                </c:pt>
                <c:pt idx="260">
                  <c:v>85.4</c:v>
                </c:pt>
                <c:pt idx="261">
                  <c:v>86.8</c:v>
                </c:pt>
                <c:pt idx="262">
                  <c:v>91.9</c:v>
                </c:pt>
                <c:pt idx="263">
                  <c:v>92.1</c:v>
                </c:pt>
                <c:pt idx="264">
                  <c:v>88.6</c:v>
                </c:pt>
                <c:pt idx="265">
                  <c:v>89.8</c:v>
                </c:pt>
                <c:pt idx="266">
                  <c:v>88.3</c:v>
                </c:pt>
                <c:pt idx="267">
                  <c:v>84</c:v>
                </c:pt>
                <c:pt idx="268">
                  <c:v>91.7</c:v>
                </c:pt>
                <c:pt idx="269">
                  <c:v>91.9</c:v>
                </c:pt>
                <c:pt idx="270">
                  <c:v>79.400000000000006</c:v>
                </c:pt>
                <c:pt idx="271">
                  <c:v>83.5</c:v>
                </c:pt>
                <c:pt idx="272">
                  <c:v>91.6</c:v>
                </c:pt>
                <c:pt idx="273">
                  <c:v>93.3</c:v>
                </c:pt>
                <c:pt idx="274">
                  <c:v>92.6</c:v>
                </c:pt>
                <c:pt idx="275">
                  <c:v>93.9</c:v>
                </c:pt>
                <c:pt idx="276">
                  <c:v>90.4</c:v>
                </c:pt>
                <c:pt idx="277">
                  <c:v>86.1</c:v>
                </c:pt>
                <c:pt idx="278">
                  <c:v>85.7</c:v>
                </c:pt>
                <c:pt idx="279">
                  <c:v>87.4</c:v>
                </c:pt>
                <c:pt idx="280">
                  <c:v>74.3</c:v>
                </c:pt>
                <c:pt idx="281">
                  <c:v>91.3</c:v>
                </c:pt>
                <c:pt idx="282">
                  <c:v>91.7</c:v>
                </c:pt>
                <c:pt idx="283">
                  <c:v>92.1</c:v>
                </c:pt>
                <c:pt idx="284">
                  <c:v>82.4</c:v>
                </c:pt>
                <c:pt idx="285">
                  <c:v>69.61</c:v>
                </c:pt>
                <c:pt idx="286">
                  <c:v>59.66</c:v>
                </c:pt>
                <c:pt idx="287">
                  <c:v>92</c:v>
                </c:pt>
                <c:pt idx="288">
                  <c:v>92.7</c:v>
                </c:pt>
                <c:pt idx="289">
                  <c:v>92.8</c:v>
                </c:pt>
                <c:pt idx="290">
                  <c:v>91.6</c:v>
                </c:pt>
                <c:pt idx="291">
                  <c:v>92.4</c:v>
                </c:pt>
                <c:pt idx="292">
                  <c:v>93.4</c:v>
                </c:pt>
                <c:pt idx="293">
                  <c:v>92.4</c:v>
                </c:pt>
                <c:pt idx="294">
                  <c:v>92.9</c:v>
                </c:pt>
                <c:pt idx="295">
                  <c:v>92.8</c:v>
                </c:pt>
                <c:pt idx="296">
                  <c:v>91.5</c:v>
                </c:pt>
                <c:pt idx="297">
                  <c:v>85.7</c:v>
                </c:pt>
                <c:pt idx="298">
                  <c:v>85.5</c:v>
                </c:pt>
                <c:pt idx="299">
                  <c:v>91.7</c:v>
                </c:pt>
                <c:pt idx="300">
                  <c:v>91.4</c:v>
                </c:pt>
                <c:pt idx="301">
                  <c:v>93.3</c:v>
                </c:pt>
                <c:pt idx="302">
                  <c:v>92.2</c:v>
                </c:pt>
                <c:pt idx="303">
                  <c:v>91.8</c:v>
                </c:pt>
                <c:pt idx="304">
                  <c:v>92.6</c:v>
                </c:pt>
                <c:pt idx="305">
                  <c:v>93.1</c:v>
                </c:pt>
                <c:pt idx="306">
                  <c:v>93.7</c:v>
                </c:pt>
                <c:pt idx="307">
                  <c:v>93.7</c:v>
                </c:pt>
                <c:pt idx="308">
                  <c:v>93.4</c:v>
                </c:pt>
                <c:pt idx="309">
                  <c:v>89.7</c:v>
                </c:pt>
                <c:pt idx="310">
                  <c:v>87.6</c:v>
                </c:pt>
                <c:pt idx="311">
                  <c:v>92.1</c:v>
                </c:pt>
                <c:pt idx="312">
                  <c:v>92.3</c:v>
                </c:pt>
                <c:pt idx="313">
                  <c:v>93.5</c:v>
                </c:pt>
                <c:pt idx="314">
                  <c:v>93.8</c:v>
                </c:pt>
                <c:pt idx="315">
                  <c:v>93.1</c:v>
                </c:pt>
                <c:pt idx="316">
                  <c:v>91.2</c:v>
                </c:pt>
                <c:pt idx="317">
                  <c:v>93.4</c:v>
                </c:pt>
                <c:pt idx="318">
                  <c:v>93.2</c:v>
                </c:pt>
                <c:pt idx="319">
                  <c:v>92.3</c:v>
                </c:pt>
                <c:pt idx="320">
                  <c:v>92.2</c:v>
                </c:pt>
                <c:pt idx="321">
                  <c:v>92.3</c:v>
                </c:pt>
                <c:pt idx="322">
                  <c:v>91.5</c:v>
                </c:pt>
                <c:pt idx="323">
                  <c:v>89.6</c:v>
                </c:pt>
                <c:pt idx="324">
                  <c:v>89.3</c:v>
                </c:pt>
                <c:pt idx="325">
                  <c:v>91.6</c:v>
                </c:pt>
                <c:pt idx="326">
                  <c:v>91.8</c:v>
                </c:pt>
                <c:pt idx="327">
                  <c:v>92.9</c:v>
                </c:pt>
                <c:pt idx="328">
                  <c:v>92.5</c:v>
                </c:pt>
                <c:pt idx="329">
                  <c:v>91.1</c:v>
                </c:pt>
                <c:pt idx="330">
                  <c:v>90.7</c:v>
                </c:pt>
                <c:pt idx="331">
                  <c:v>91</c:v>
                </c:pt>
                <c:pt idx="332">
                  <c:v>91</c:v>
                </c:pt>
                <c:pt idx="333">
                  <c:v>92.2</c:v>
                </c:pt>
                <c:pt idx="334">
                  <c:v>92.3</c:v>
                </c:pt>
                <c:pt idx="335">
                  <c:v>92.8</c:v>
                </c:pt>
                <c:pt idx="336">
                  <c:v>91.9</c:v>
                </c:pt>
                <c:pt idx="337">
                  <c:v>92.7</c:v>
                </c:pt>
                <c:pt idx="338">
                  <c:v>93.8</c:v>
                </c:pt>
                <c:pt idx="339">
                  <c:v>93.7</c:v>
                </c:pt>
                <c:pt idx="340">
                  <c:v>93.1</c:v>
                </c:pt>
                <c:pt idx="341">
                  <c:v>92.8</c:v>
                </c:pt>
                <c:pt idx="342">
                  <c:v>92.9</c:v>
                </c:pt>
                <c:pt idx="343">
                  <c:v>92.3</c:v>
                </c:pt>
                <c:pt idx="344">
                  <c:v>91.1</c:v>
                </c:pt>
                <c:pt idx="345">
                  <c:v>91.9</c:v>
                </c:pt>
                <c:pt idx="346">
                  <c:v>91.8</c:v>
                </c:pt>
                <c:pt idx="347">
                  <c:v>91.7</c:v>
                </c:pt>
                <c:pt idx="348">
                  <c:v>91.3</c:v>
                </c:pt>
                <c:pt idx="349">
                  <c:v>90.9</c:v>
                </c:pt>
                <c:pt idx="350">
                  <c:v>91.1</c:v>
                </c:pt>
                <c:pt idx="351">
                  <c:v>91.8</c:v>
                </c:pt>
                <c:pt idx="352">
                  <c:v>92.9</c:v>
                </c:pt>
                <c:pt idx="353">
                  <c:v>92.8</c:v>
                </c:pt>
                <c:pt idx="354">
                  <c:v>94.5</c:v>
                </c:pt>
                <c:pt idx="355">
                  <c:v>94.7</c:v>
                </c:pt>
                <c:pt idx="356">
                  <c:v>93.3</c:v>
                </c:pt>
                <c:pt idx="357">
                  <c:v>91.7</c:v>
                </c:pt>
                <c:pt idx="358">
                  <c:v>92.5</c:v>
                </c:pt>
                <c:pt idx="359">
                  <c:v>84.5</c:v>
                </c:pt>
                <c:pt idx="360">
                  <c:v>92.7</c:v>
                </c:pt>
                <c:pt idx="361">
                  <c:v>92.7</c:v>
                </c:pt>
                <c:pt idx="362">
                  <c:v>91.9</c:v>
                </c:pt>
                <c:pt idx="363">
                  <c:v>93.1</c:v>
                </c:pt>
                <c:pt idx="364">
                  <c:v>91.5</c:v>
                </c:pt>
                <c:pt idx="365">
                  <c:v>91.3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80640"/>
        <c:axId val="209682816"/>
      </c:lineChart>
      <c:catAx>
        <c:axId val="2096806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9682816"/>
        <c:crosses val="autoZero"/>
        <c:auto val="1"/>
        <c:lblAlgn val="ctr"/>
        <c:lblOffset val="100"/>
        <c:tickMarkSkip val="9"/>
        <c:noMultiLvlLbl val="0"/>
      </c:catAx>
      <c:valAx>
        <c:axId val="209682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RH</a:t>
                </a:r>
                <a:r>
                  <a:rPr lang="en-CA" baseline="0"/>
                  <a:t> (%</a:t>
                </a:r>
                <a:r>
                  <a:rPr lang="en-CA"/>
                  <a:t>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9680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Taverage</a:t>
            </a:r>
          </a:p>
        </c:rich>
      </c:tx>
      <c:layout>
        <c:manualLayout>
          <c:xMode val="edge"/>
          <c:yMode val="edge"/>
          <c:x val="0.43859745651468784"/>
          <c:y val="1.21181009122926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Tair</c:v>
          </c:tx>
          <c:marker>
            <c:symbol val="none"/>
          </c:marker>
          <c:val>
            <c:numRef>
              <c:f>Data!$J$6:$J$371</c:f>
              <c:numCache>
                <c:formatCode>General</c:formatCode>
                <c:ptCount val="366"/>
                <c:pt idx="0">
                  <c:v>-1.583</c:v>
                </c:pt>
                <c:pt idx="1">
                  <c:v>-2.778</c:v>
                </c:pt>
                <c:pt idx="2">
                  <c:v>-0.69099999999999995</c:v>
                </c:pt>
                <c:pt idx="3">
                  <c:v>-1.5669999999999999</c:v>
                </c:pt>
                <c:pt idx="4">
                  <c:v>-3.0350000000000001</c:v>
                </c:pt>
                <c:pt idx="5">
                  <c:v>-3.5819999999999999</c:v>
                </c:pt>
                <c:pt idx="6">
                  <c:v>-7.83</c:v>
                </c:pt>
                <c:pt idx="7">
                  <c:v>-8.7100000000000009</c:v>
                </c:pt>
                <c:pt idx="8">
                  <c:v>-3.9860000000000002</c:v>
                </c:pt>
                <c:pt idx="9">
                  <c:v>-10.6</c:v>
                </c:pt>
                <c:pt idx="10">
                  <c:v>-22.51</c:v>
                </c:pt>
                <c:pt idx="11">
                  <c:v>-32.33</c:v>
                </c:pt>
                <c:pt idx="12">
                  <c:v>-25.71</c:v>
                </c:pt>
                <c:pt idx="13">
                  <c:v>-21.08</c:v>
                </c:pt>
                <c:pt idx="14">
                  <c:v>-19.22</c:v>
                </c:pt>
                <c:pt idx="15">
                  <c:v>-13.37</c:v>
                </c:pt>
                <c:pt idx="16">
                  <c:v>-14.2</c:v>
                </c:pt>
                <c:pt idx="17">
                  <c:v>-12.59</c:v>
                </c:pt>
                <c:pt idx="18">
                  <c:v>-6.4969999999999999</c:v>
                </c:pt>
                <c:pt idx="19">
                  <c:v>-1.008</c:v>
                </c:pt>
                <c:pt idx="20">
                  <c:v>0.96499999999999997</c:v>
                </c:pt>
                <c:pt idx="21">
                  <c:v>1.0029999999999999</c:v>
                </c:pt>
                <c:pt idx="22">
                  <c:v>1.1579999999999999</c:v>
                </c:pt>
                <c:pt idx="23">
                  <c:v>-0.18099999999999999</c:v>
                </c:pt>
                <c:pt idx="24">
                  <c:v>-0.499</c:v>
                </c:pt>
                <c:pt idx="25">
                  <c:v>0.378</c:v>
                </c:pt>
                <c:pt idx="26">
                  <c:v>1.865</c:v>
                </c:pt>
                <c:pt idx="27">
                  <c:v>3.8519999999999999</c:v>
                </c:pt>
                <c:pt idx="28">
                  <c:v>6.3810000000000002</c:v>
                </c:pt>
                <c:pt idx="29">
                  <c:v>6.4020000000000001</c:v>
                </c:pt>
                <c:pt idx="30">
                  <c:v>5.048</c:v>
                </c:pt>
                <c:pt idx="31">
                  <c:v>3.851</c:v>
                </c:pt>
                <c:pt idx="32">
                  <c:v>2.8149999999999999</c:v>
                </c:pt>
                <c:pt idx="33">
                  <c:v>9.2999999999999999E-2</c:v>
                </c:pt>
                <c:pt idx="34">
                  <c:v>-5.3579999999999997</c:v>
                </c:pt>
                <c:pt idx="35">
                  <c:v>-1.786</c:v>
                </c:pt>
                <c:pt idx="36">
                  <c:v>-8.9999999999999993E-3</c:v>
                </c:pt>
                <c:pt idx="37">
                  <c:v>-2.4470000000000001</c:v>
                </c:pt>
                <c:pt idx="38">
                  <c:v>-4.4630000000000001</c:v>
                </c:pt>
                <c:pt idx="39">
                  <c:v>-6.8310000000000004</c:v>
                </c:pt>
                <c:pt idx="40">
                  <c:v>-4.1449999999999996</c:v>
                </c:pt>
                <c:pt idx="41">
                  <c:v>-2.097</c:v>
                </c:pt>
                <c:pt idx="42">
                  <c:v>-2.9769999999999999</c:v>
                </c:pt>
                <c:pt idx="43">
                  <c:v>-6.5209999999999999</c:v>
                </c:pt>
                <c:pt idx="44">
                  <c:v>-9.09</c:v>
                </c:pt>
                <c:pt idx="45">
                  <c:v>-9.57</c:v>
                </c:pt>
                <c:pt idx="46">
                  <c:v>-7.34</c:v>
                </c:pt>
                <c:pt idx="47">
                  <c:v>-2.7109999999999999</c:v>
                </c:pt>
                <c:pt idx="48">
                  <c:v>-1.335</c:v>
                </c:pt>
                <c:pt idx="49">
                  <c:v>1.06</c:v>
                </c:pt>
                <c:pt idx="50">
                  <c:v>1.536</c:v>
                </c:pt>
                <c:pt idx="51">
                  <c:v>1.5780000000000001</c:v>
                </c:pt>
                <c:pt idx="52">
                  <c:v>1.004</c:v>
                </c:pt>
                <c:pt idx="53">
                  <c:v>1.0049999999999999</c:v>
                </c:pt>
                <c:pt idx="54">
                  <c:v>1.6359999999999999</c:v>
                </c:pt>
                <c:pt idx="55">
                  <c:v>-2.3E-2</c:v>
                </c:pt>
                <c:pt idx="56">
                  <c:v>-6.9359999999999999</c:v>
                </c:pt>
                <c:pt idx="57">
                  <c:v>-12.85</c:v>
                </c:pt>
                <c:pt idx="58">
                  <c:v>-1.1719999999999999</c:v>
                </c:pt>
                <c:pt idx="59">
                  <c:v>-1.871</c:v>
                </c:pt>
                <c:pt idx="60">
                  <c:v>-2.57</c:v>
                </c:pt>
                <c:pt idx="61">
                  <c:v>-3.3460000000000001</c:v>
                </c:pt>
                <c:pt idx="62">
                  <c:v>-5.73</c:v>
                </c:pt>
                <c:pt idx="63">
                  <c:v>-10.35</c:v>
                </c:pt>
                <c:pt idx="64">
                  <c:v>-11.55</c:v>
                </c:pt>
                <c:pt idx="65">
                  <c:v>-9.82</c:v>
                </c:pt>
                <c:pt idx="66">
                  <c:v>-5.73</c:v>
                </c:pt>
                <c:pt idx="67">
                  <c:v>-1.3440000000000001</c:v>
                </c:pt>
                <c:pt idx="68">
                  <c:v>0.25600000000000001</c:v>
                </c:pt>
                <c:pt idx="69">
                  <c:v>0.13800000000000001</c:v>
                </c:pt>
                <c:pt idx="70">
                  <c:v>0.46700000000000003</c:v>
                </c:pt>
                <c:pt idx="71">
                  <c:v>0.95599999999999996</c:v>
                </c:pt>
                <c:pt idx="72">
                  <c:v>0.14199999999999999</c:v>
                </c:pt>
                <c:pt idx="73">
                  <c:v>1.7090000000000001</c:v>
                </c:pt>
                <c:pt idx="74">
                  <c:v>5.3470000000000004</c:v>
                </c:pt>
                <c:pt idx="75">
                  <c:v>8.27</c:v>
                </c:pt>
                <c:pt idx="76">
                  <c:v>10.57</c:v>
                </c:pt>
                <c:pt idx="77">
                  <c:v>9.16</c:v>
                </c:pt>
                <c:pt idx="78">
                  <c:v>8.26</c:v>
                </c:pt>
                <c:pt idx="79">
                  <c:v>5.5330000000000004</c:v>
                </c:pt>
                <c:pt idx="80">
                  <c:v>2.617</c:v>
                </c:pt>
                <c:pt idx="81">
                  <c:v>2.573</c:v>
                </c:pt>
                <c:pt idx="82">
                  <c:v>2.3559999999999999</c:v>
                </c:pt>
                <c:pt idx="83">
                  <c:v>1.544</c:v>
                </c:pt>
                <c:pt idx="84">
                  <c:v>2.4039999999999999</c:v>
                </c:pt>
                <c:pt idx="85">
                  <c:v>1.403</c:v>
                </c:pt>
                <c:pt idx="86">
                  <c:v>-8.5999999999999993E-2</c:v>
                </c:pt>
                <c:pt idx="87">
                  <c:v>0.59799999999999998</c:v>
                </c:pt>
                <c:pt idx="88">
                  <c:v>0.28499999999999998</c:v>
                </c:pt>
                <c:pt idx="89">
                  <c:v>-0.13600000000000001</c:v>
                </c:pt>
                <c:pt idx="90">
                  <c:v>1.8080000000000001</c:v>
                </c:pt>
                <c:pt idx="91">
                  <c:v>7.26</c:v>
                </c:pt>
                <c:pt idx="92">
                  <c:v>8.84</c:v>
                </c:pt>
                <c:pt idx="93">
                  <c:v>1.518</c:v>
                </c:pt>
                <c:pt idx="94">
                  <c:v>2.5999999999999999E-2</c:v>
                </c:pt>
                <c:pt idx="95">
                  <c:v>1.042</c:v>
                </c:pt>
                <c:pt idx="96">
                  <c:v>2.3420000000000001</c:v>
                </c:pt>
                <c:pt idx="97">
                  <c:v>1.696</c:v>
                </c:pt>
                <c:pt idx="98">
                  <c:v>0.93</c:v>
                </c:pt>
                <c:pt idx="99">
                  <c:v>1.5660000000000001</c:v>
                </c:pt>
                <c:pt idx="100">
                  <c:v>3.49</c:v>
                </c:pt>
                <c:pt idx="101">
                  <c:v>3.762</c:v>
                </c:pt>
                <c:pt idx="102">
                  <c:v>3.714</c:v>
                </c:pt>
                <c:pt idx="103">
                  <c:v>6.2489999999999997</c:v>
                </c:pt>
                <c:pt idx="104">
                  <c:v>8.89</c:v>
                </c:pt>
                <c:pt idx="105">
                  <c:v>3.69</c:v>
                </c:pt>
                <c:pt idx="106">
                  <c:v>-1.6080000000000001</c:v>
                </c:pt>
                <c:pt idx="107">
                  <c:v>-0.72299999999999998</c:v>
                </c:pt>
                <c:pt idx="108">
                  <c:v>1.337</c:v>
                </c:pt>
                <c:pt idx="109">
                  <c:v>2.6080000000000001</c:v>
                </c:pt>
                <c:pt idx="110">
                  <c:v>6.0860000000000003</c:v>
                </c:pt>
                <c:pt idx="111">
                  <c:v>2.0670000000000002</c:v>
                </c:pt>
                <c:pt idx="112">
                  <c:v>3.3410000000000002</c:v>
                </c:pt>
                <c:pt idx="113">
                  <c:v>7.09</c:v>
                </c:pt>
                <c:pt idx="114">
                  <c:v>5.97</c:v>
                </c:pt>
                <c:pt idx="115">
                  <c:v>3.7490000000000001</c:v>
                </c:pt>
                <c:pt idx="116">
                  <c:v>3.9409999999999998</c:v>
                </c:pt>
                <c:pt idx="117">
                  <c:v>4.2619999999999996</c:v>
                </c:pt>
                <c:pt idx="118">
                  <c:v>3.0579999999999998</c:v>
                </c:pt>
                <c:pt idx="119">
                  <c:v>-8.4000000000000005E-2</c:v>
                </c:pt>
                <c:pt idx="120">
                  <c:v>1.131</c:v>
                </c:pt>
                <c:pt idx="121">
                  <c:v>3.4390000000000001</c:v>
                </c:pt>
                <c:pt idx="122">
                  <c:v>5.9119999999999999</c:v>
                </c:pt>
                <c:pt idx="123">
                  <c:v>7.74</c:v>
                </c:pt>
                <c:pt idx="124">
                  <c:v>9.6</c:v>
                </c:pt>
                <c:pt idx="125">
                  <c:v>9.0399999999999991</c:v>
                </c:pt>
                <c:pt idx="126">
                  <c:v>5.2110000000000003</c:v>
                </c:pt>
                <c:pt idx="127">
                  <c:v>4.0359999999999996</c:v>
                </c:pt>
                <c:pt idx="128">
                  <c:v>7.79</c:v>
                </c:pt>
                <c:pt idx="129">
                  <c:v>13.19</c:v>
                </c:pt>
                <c:pt idx="130">
                  <c:v>16.53</c:v>
                </c:pt>
                <c:pt idx="131">
                  <c:v>17.28</c:v>
                </c:pt>
                <c:pt idx="132">
                  <c:v>14.68</c:v>
                </c:pt>
                <c:pt idx="133">
                  <c:v>8.11</c:v>
                </c:pt>
                <c:pt idx="134">
                  <c:v>9.17</c:v>
                </c:pt>
                <c:pt idx="135">
                  <c:v>11.66</c:v>
                </c:pt>
                <c:pt idx="136">
                  <c:v>7.04</c:v>
                </c:pt>
                <c:pt idx="137">
                  <c:v>2.3439999999999999</c:v>
                </c:pt>
                <c:pt idx="138">
                  <c:v>4.0869999999999997</c:v>
                </c:pt>
                <c:pt idx="139">
                  <c:v>5.1859999999999999</c:v>
                </c:pt>
                <c:pt idx="140">
                  <c:v>8.2200000000000006</c:v>
                </c:pt>
                <c:pt idx="141">
                  <c:v>6.2320000000000002</c:v>
                </c:pt>
                <c:pt idx="142">
                  <c:v>7.65</c:v>
                </c:pt>
                <c:pt idx="143">
                  <c:v>9.48</c:v>
                </c:pt>
                <c:pt idx="144">
                  <c:v>8.0500000000000007</c:v>
                </c:pt>
                <c:pt idx="145">
                  <c:v>5.6950000000000003</c:v>
                </c:pt>
                <c:pt idx="146">
                  <c:v>6.2839999999999998</c:v>
                </c:pt>
                <c:pt idx="147">
                  <c:v>8.8000000000000007</c:v>
                </c:pt>
                <c:pt idx="148">
                  <c:v>7.79</c:v>
                </c:pt>
                <c:pt idx="149">
                  <c:v>3.7429999999999999</c:v>
                </c:pt>
                <c:pt idx="150">
                  <c:v>4.9409999999999998</c:v>
                </c:pt>
                <c:pt idx="151">
                  <c:v>9.0399999999999991</c:v>
                </c:pt>
                <c:pt idx="152">
                  <c:v>8.6999999999999993</c:v>
                </c:pt>
                <c:pt idx="153">
                  <c:v>7.86</c:v>
                </c:pt>
                <c:pt idx="154">
                  <c:v>6.0839999999999996</c:v>
                </c:pt>
                <c:pt idx="155">
                  <c:v>7.14</c:v>
                </c:pt>
                <c:pt idx="156">
                  <c:v>7.65</c:v>
                </c:pt>
                <c:pt idx="157">
                  <c:v>10.050000000000001</c:v>
                </c:pt>
                <c:pt idx="158">
                  <c:v>11.96</c:v>
                </c:pt>
                <c:pt idx="159">
                  <c:v>14.2</c:v>
                </c:pt>
                <c:pt idx="160">
                  <c:v>15.31</c:v>
                </c:pt>
                <c:pt idx="161">
                  <c:v>14.68</c:v>
                </c:pt>
                <c:pt idx="162">
                  <c:v>12.23</c:v>
                </c:pt>
                <c:pt idx="163">
                  <c:v>8.75</c:v>
                </c:pt>
                <c:pt idx="164">
                  <c:v>13.71</c:v>
                </c:pt>
                <c:pt idx="165">
                  <c:v>10.66</c:v>
                </c:pt>
                <c:pt idx="166">
                  <c:v>5.1920000000000002</c:v>
                </c:pt>
                <c:pt idx="167">
                  <c:v>4.8280000000000003</c:v>
                </c:pt>
                <c:pt idx="168">
                  <c:v>6.9550000000000001</c:v>
                </c:pt>
                <c:pt idx="169">
                  <c:v>6.9530000000000003</c:v>
                </c:pt>
                <c:pt idx="170">
                  <c:v>9.69</c:v>
                </c:pt>
                <c:pt idx="171">
                  <c:v>13.37</c:v>
                </c:pt>
                <c:pt idx="172">
                  <c:v>16.28</c:v>
                </c:pt>
                <c:pt idx="173">
                  <c:v>15.1</c:v>
                </c:pt>
                <c:pt idx="174">
                  <c:v>11.88</c:v>
                </c:pt>
                <c:pt idx="175">
                  <c:v>9.9700000000000006</c:v>
                </c:pt>
                <c:pt idx="176">
                  <c:v>13.21</c:v>
                </c:pt>
                <c:pt idx="177">
                  <c:v>14.08</c:v>
                </c:pt>
                <c:pt idx="178">
                  <c:v>10.36</c:v>
                </c:pt>
                <c:pt idx="179">
                  <c:v>12.99</c:v>
                </c:pt>
                <c:pt idx="180">
                  <c:v>15.81</c:v>
                </c:pt>
                <c:pt idx="181">
                  <c:v>11.85</c:v>
                </c:pt>
                <c:pt idx="182">
                  <c:v>12.3</c:v>
                </c:pt>
                <c:pt idx="183">
                  <c:v>12.04</c:v>
                </c:pt>
                <c:pt idx="184">
                  <c:v>13.07</c:v>
                </c:pt>
                <c:pt idx="185">
                  <c:v>16.36</c:v>
                </c:pt>
                <c:pt idx="186">
                  <c:v>18.559999999999999</c:v>
                </c:pt>
                <c:pt idx="187">
                  <c:v>18.559999999999999</c:v>
                </c:pt>
                <c:pt idx="188">
                  <c:v>21.75</c:v>
                </c:pt>
                <c:pt idx="189">
                  <c:v>22.95</c:v>
                </c:pt>
                <c:pt idx="190">
                  <c:v>25.03</c:v>
                </c:pt>
                <c:pt idx="191">
                  <c:v>23.8</c:v>
                </c:pt>
                <c:pt idx="192">
                  <c:v>19.37</c:v>
                </c:pt>
                <c:pt idx="193">
                  <c:v>19.5</c:v>
                </c:pt>
                <c:pt idx="194">
                  <c:v>20.79</c:v>
                </c:pt>
                <c:pt idx="195">
                  <c:v>21.15</c:v>
                </c:pt>
                <c:pt idx="196">
                  <c:v>21.68</c:v>
                </c:pt>
                <c:pt idx="197">
                  <c:v>22.13</c:v>
                </c:pt>
                <c:pt idx="198">
                  <c:v>23.76</c:v>
                </c:pt>
                <c:pt idx="199">
                  <c:v>23.89</c:v>
                </c:pt>
                <c:pt idx="200">
                  <c:v>22.96</c:v>
                </c:pt>
                <c:pt idx="201">
                  <c:v>23.47</c:v>
                </c:pt>
                <c:pt idx="202">
                  <c:v>26.21</c:v>
                </c:pt>
                <c:pt idx="203">
                  <c:v>22.33</c:v>
                </c:pt>
                <c:pt idx="204">
                  <c:v>16.170000000000002</c:v>
                </c:pt>
                <c:pt idx="205">
                  <c:v>15.22</c:v>
                </c:pt>
                <c:pt idx="206">
                  <c:v>10.050000000000001</c:v>
                </c:pt>
                <c:pt idx="207">
                  <c:v>12.4</c:v>
                </c:pt>
                <c:pt idx="208">
                  <c:v>15.05</c:v>
                </c:pt>
                <c:pt idx="209">
                  <c:v>17.95</c:v>
                </c:pt>
                <c:pt idx="210">
                  <c:v>13.14</c:v>
                </c:pt>
                <c:pt idx="211">
                  <c:v>15.32</c:v>
                </c:pt>
                <c:pt idx="212">
                  <c:v>18.059999999999999</c:v>
                </c:pt>
                <c:pt idx="213">
                  <c:v>20.93</c:v>
                </c:pt>
                <c:pt idx="214">
                  <c:v>23.37</c:v>
                </c:pt>
                <c:pt idx="215">
                  <c:v>23.36</c:v>
                </c:pt>
                <c:pt idx="216">
                  <c:v>22.69</c:v>
                </c:pt>
                <c:pt idx="217">
                  <c:v>19.38</c:v>
                </c:pt>
                <c:pt idx="218">
                  <c:v>16.239999999999998</c:v>
                </c:pt>
                <c:pt idx="219">
                  <c:v>16.57</c:v>
                </c:pt>
                <c:pt idx="220">
                  <c:v>18.84</c:v>
                </c:pt>
                <c:pt idx="221">
                  <c:v>17.82</c:v>
                </c:pt>
                <c:pt idx="222">
                  <c:v>17.97</c:v>
                </c:pt>
                <c:pt idx="223">
                  <c:v>18.07</c:v>
                </c:pt>
                <c:pt idx="224">
                  <c:v>16.34</c:v>
                </c:pt>
                <c:pt idx="225">
                  <c:v>17.489999999999998</c:v>
                </c:pt>
                <c:pt idx="226">
                  <c:v>18.25</c:v>
                </c:pt>
                <c:pt idx="227">
                  <c:v>17.71</c:v>
                </c:pt>
                <c:pt idx="228">
                  <c:v>13.13</c:v>
                </c:pt>
                <c:pt idx="229">
                  <c:v>15.14</c:v>
                </c:pt>
                <c:pt idx="230">
                  <c:v>17.66</c:v>
                </c:pt>
                <c:pt idx="231">
                  <c:v>15.04</c:v>
                </c:pt>
                <c:pt idx="232">
                  <c:v>13.81</c:v>
                </c:pt>
                <c:pt idx="233">
                  <c:v>12.37</c:v>
                </c:pt>
                <c:pt idx="234">
                  <c:v>15.19</c:v>
                </c:pt>
                <c:pt idx="235">
                  <c:v>16.38</c:v>
                </c:pt>
                <c:pt idx="236">
                  <c:v>8.56</c:v>
                </c:pt>
                <c:pt idx="237">
                  <c:v>10.54</c:v>
                </c:pt>
                <c:pt idx="238">
                  <c:v>11.34</c:v>
                </c:pt>
                <c:pt idx="239">
                  <c:v>6.7389999999999999</c:v>
                </c:pt>
                <c:pt idx="240">
                  <c:v>9.5299999999999994</c:v>
                </c:pt>
                <c:pt idx="241">
                  <c:v>14.03</c:v>
                </c:pt>
                <c:pt idx="242">
                  <c:v>17.07</c:v>
                </c:pt>
                <c:pt idx="243">
                  <c:v>19.88</c:v>
                </c:pt>
                <c:pt idx="244">
                  <c:v>21.86</c:v>
                </c:pt>
                <c:pt idx="245">
                  <c:v>20.21</c:v>
                </c:pt>
                <c:pt idx="246">
                  <c:v>16.68</c:v>
                </c:pt>
                <c:pt idx="247">
                  <c:v>17.170000000000002</c:v>
                </c:pt>
                <c:pt idx="248">
                  <c:v>19.79</c:v>
                </c:pt>
                <c:pt idx="249">
                  <c:v>21.89</c:v>
                </c:pt>
                <c:pt idx="250">
                  <c:v>20.91</c:v>
                </c:pt>
                <c:pt idx="251">
                  <c:v>20.89</c:v>
                </c:pt>
                <c:pt idx="252">
                  <c:v>13.4</c:v>
                </c:pt>
                <c:pt idx="253">
                  <c:v>11.77</c:v>
                </c:pt>
                <c:pt idx="254">
                  <c:v>9.68</c:v>
                </c:pt>
                <c:pt idx="255">
                  <c:v>10.6</c:v>
                </c:pt>
                <c:pt idx="256">
                  <c:v>11.34</c:v>
                </c:pt>
                <c:pt idx="257">
                  <c:v>10.039999999999999</c:v>
                </c:pt>
                <c:pt idx="258">
                  <c:v>7.76</c:v>
                </c:pt>
                <c:pt idx="259">
                  <c:v>10.23</c:v>
                </c:pt>
                <c:pt idx="260">
                  <c:v>12.47</c:v>
                </c:pt>
                <c:pt idx="261">
                  <c:v>11.73</c:v>
                </c:pt>
                <c:pt idx="262">
                  <c:v>10.6</c:v>
                </c:pt>
                <c:pt idx="263">
                  <c:v>5.133</c:v>
                </c:pt>
                <c:pt idx="264">
                  <c:v>8.65</c:v>
                </c:pt>
                <c:pt idx="265">
                  <c:v>10.63</c:v>
                </c:pt>
                <c:pt idx="266">
                  <c:v>13.75</c:v>
                </c:pt>
                <c:pt idx="267">
                  <c:v>16.89</c:v>
                </c:pt>
                <c:pt idx="268">
                  <c:v>12.42</c:v>
                </c:pt>
                <c:pt idx="269">
                  <c:v>7.23</c:v>
                </c:pt>
                <c:pt idx="270">
                  <c:v>9.51</c:v>
                </c:pt>
                <c:pt idx="271">
                  <c:v>7.75</c:v>
                </c:pt>
                <c:pt idx="272">
                  <c:v>3.6179999999999999</c:v>
                </c:pt>
                <c:pt idx="273">
                  <c:v>4.2530000000000001</c:v>
                </c:pt>
                <c:pt idx="274">
                  <c:v>4.524</c:v>
                </c:pt>
                <c:pt idx="275">
                  <c:v>5.3070000000000004</c:v>
                </c:pt>
                <c:pt idx="276">
                  <c:v>6.1630000000000003</c:v>
                </c:pt>
                <c:pt idx="277">
                  <c:v>6.53</c:v>
                </c:pt>
                <c:pt idx="278">
                  <c:v>7.44</c:v>
                </c:pt>
                <c:pt idx="279">
                  <c:v>7.88</c:v>
                </c:pt>
                <c:pt idx="280">
                  <c:v>11.64</c:v>
                </c:pt>
                <c:pt idx="281">
                  <c:v>12.15</c:v>
                </c:pt>
                <c:pt idx="282">
                  <c:v>7.36</c:v>
                </c:pt>
                <c:pt idx="283">
                  <c:v>3.1</c:v>
                </c:pt>
                <c:pt idx="284">
                  <c:v>5.8380000000000001</c:v>
                </c:pt>
                <c:pt idx="285">
                  <c:v>10.050000000000001</c:v>
                </c:pt>
                <c:pt idx="286">
                  <c:v>12.6</c:v>
                </c:pt>
                <c:pt idx="287">
                  <c:v>11.25</c:v>
                </c:pt>
                <c:pt idx="288">
                  <c:v>7.21</c:v>
                </c:pt>
                <c:pt idx="289">
                  <c:v>4.57</c:v>
                </c:pt>
                <c:pt idx="290">
                  <c:v>1.212</c:v>
                </c:pt>
                <c:pt idx="291">
                  <c:v>-0.17599999999999999</c:v>
                </c:pt>
                <c:pt idx="292">
                  <c:v>5.7830000000000004</c:v>
                </c:pt>
                <c:pt idx="293">
                  <c:v>7.79</c:v>
                </c:pt>
                <c:pt idx="294">
                  <c:v>2.5350000000000001</c:v>
                </c:pt>
                <c:pt idx="295">
                  <c:v>1.107</c:v>
                </c:pt>
                <c:pt idx="296">
                  <c:v>0.90600000000000003</c:v>
                </c:pt>
                <c:pt idx="297">
                  <c:v>0.224</c:v>
                </c:pt>
                <c:pt idx="298">
                  <c:v>1.415</c:v>
                </c:pt>
                <c:pt idx="299">
                  <c:v>4.8319999999999999</c:v>
                </c:pt>
                <c:pt idx="300">
                  <c:v>4.8529999999999998</c:v>
                </c:pt>
                <c:pt idx="301">
                  <c:v>2.2309999999999999</c:v>
                </c:pt>
                <c:pt idx="302">
                  <c:v>-0.44400000000000001</c:v>
                </c:pt>
                <c:pt idx="303">
                  <c:v>0.307</c:v>
                </c:pt>
                <c:pt idx="304">
                  <c:v>0.317</c:v>
                </c:pt>
                <c:pt idx="305">
                  <c:v>-0.21199999999999999</c:v>
                </c:pt>
                <c:pt idx="306">
                  <c:v>0.29899999999999999</c:v>
                </c:pt>
                <c:pt idx="307">
                  <c:v>-0.82699999999999996</c:v>
                </c:pt>
                <c:pt idx="308">
                  <c:v>-6.2E-2</c:v>
                </c:pt>
                <c:pt idx="309">
                  <c:v>-2.5289999999999999</c:v>
                </c:pt>
                <c:pt idx="310">
                  <c:v>-1.046</c:v>
                </c:pt>
                <c:pt idx="311">
                  <c:v>1.2809999999999999</c:v>
                </c:pt>
                <c:pt idx="312">
                  <c:v>3.1619999999999999</c:v>
                </c:pt>
                <c:pt idx="313">
                  <c:v>1.524</c:v>
                </c:pt>
                <c:pt idx="314">
                  <c:v>2.266</c:v>
                </c:pt>
                <c:pt idx="315">
                  <c:v>1.633</c:v>
                </c:pt>
                <c:pt idx="316">
                  <c:v>1.7150000000000001</c:v>
                </c:pt>
                <c:pt idx="317">
                  <c:v>1.016</c:v>
                </c:pt>
                <c:pt idx="318">
                  <c:v>1.085</c:v>
                </c:pt>
                <c:pt idx="319">
                  <c:v>-2.202</c:v>
                </c:pt>
                <c:pt idx="320">
                  <c:v>-3.496</c:v>
                </c:pt>
                <c:pt idx="321">
                  <c:v>-1.4139999999999999</c:v>
                </c:pt>
                <c:pt idx="322">
                  <c:v>-4.2279999999999998</c:v>
                </c:pt>
                <c:pt idx="323">
                  <c:v>-5.7110000000000003</c:v>
                </c:pt>
                <c:pt idx="324">
                  <c:v>-2.8490000000000002</c:v>
                </c:pt>
                <c:pt idx="325">
                  <c:v>-1.4330000000000001</c:v>
                </c:pt>
                <c:pt idx="326">
                  <c:v>-0.70699999999999996</c:v>
                </c:pt>
                <c:pt idx="327">
                  <c:v>-1.591</c:v>
                </c:pt>
                <c:pt idx="328">
                  <c:v>-2.4350000000000001</c:v>
                </c:pt>
                <c:pt idx="329">
                  <c:v>-5.5090000000000003</c:v>
                </c:pt>
                <c:pt idx="330">
                  <c:v>-6.4560000000000004</c:v>
                </c:pt>
                <c:pt idx="331">
                  <c:v>-5.274</c:v>
                </c:pt>
                <c:pt idx="332">
                  <c:v>-4.84</c:v>
                </c:pt>
                <c:pt idx="333">
                  <c:v>-3.8780000000000001</c:v>
                </c:pt>
                <c:pt idx="334">
                  <c:v>-1.655</c:v>
                </c:pt>
                <c:pt idx="335">
                  <c:v>-1.5369999999999999</c:v>
                </c:pt>
                <c:pt idx="336">
                  <c:v>-4.0949999999999998</c:v>
                </c:pt>
                <c:pt idx="337">
                  <c:v>-4.3470000000000004</c:v>
                </c:pt>
                <c:pt idx="338">
                  <c:v>-4.9269999999999996</c:v>
                </c:pt>
                <c:pt idx="339">
                  <c:v>-4.7670000000000003</c:v>
                </c:pt>
                <c:pt idx="340">
                  <c:v>-7.4999999999999997E-2</c:v>
                </c:pt>
                <c:pt idx="341">
                  <c:v>-0.30099999999999999</c:v>
                </c:pt>
                <c:pt idx="342">
                  <c:v>-1.7689999999999999</c:v>
                </c:pt>
                <c:pt idx="343">
                  <c:v>-4.4610000000000003</c:v>
                </c:pt>
                <c:pt idx="344">
                  <c:v>-5.61</c:v>
                </c:pt>
                <c:pt idx="345">
                  <c:v>-3.37</c:v>
                </c:pt>
                <c:pt idx="346">
                  <c:v>-2.7069999999999999</c:v>
                </c:pt>
                <c:pt idx="347">
                  <c:v>-1.736</c:v>
                </c:pt>
                <c:pt idx="348">
                  <c:v>-0.35699999999999998</c:v>
                </c:pt>
                <c:pt idx="349">
                  <c:v>-3.41</c:v>
                </c:pt>
                <c:pt idx="350">
                  <c:v>-5.0069999999999997</c:v>
                </c:pt>
                <c:pt idx="351">
                  <c:v>-3.2389999999999999</c:v>
                </c:pt>
                <c:pt idx="352">
                  <c:v>-0.38900000000000001</c:v>
                </c:pt>
                <c:pt idx="353">
                  <c:v>-1.0900000000000001</c:v>
                </c:pt>
                <c:pt idx="354">
                  <c:v>1.0369999999999999</c:v>
                </c:pt>
                <c:pt idx="355">
                  <c:v>0.78800000000000003</c:v>
                </c:pt>
                <c:pt idx="356">
                  <c:v>-1.036</c:v>
                </c:pt>
                <c:pt idx="357">
                  <c:v>0.70899999999999996</c:v>
                </c:pt>
                <c:pt idx="358">
                  <c:v>0.35099999999999998</c:v>
                </c:pt>
                <c:pt idx="359">
                  <c:v>-2.2650000000000001</c:v>
                </c:pt>
                <c:pt idx="360">
                  <c:v>-1.5129999999999999</c:v>
                </c:pt>
                <c:pt idx="361">
                  <c:v>-3.593</c:v>
                </c:pt>
                <c:pt idx="362">
                  <c:v>-1.1619999999999999</c:v>
                </c:pt>
                <c:pt idx="363">
                  <c:v>-2.0430000000000001</c:v>
                </c:pt>
                <c:pt idx="364">
                  <c:v>-2.4860000000000002</c:v>
                </c:pt>
                <c:pt idx="365">
                  <c:v>-3.8559999999999999</c:v>
                </c:pt>
              </c:numCache>
            </c:numRef>
          </c:val>
          <c:smooth val="0"/>
        </c:ser>
        <c:ser>
          <c:idx val="1"/>
          <c:order val="1"/>
          <c:tx>
            <c:v>Ta1.5</c:v>
          </c:tx>
          <c:marker>
            <c:symbol val="none"/>
          </c:marker>
          <c:val>
            <c:numRef>
              <c:f>Data!$L$6:$L$371</c:f>
              <c:numCache>
                <c:formatCode>General</c:formatCode>
                <c:ptCount val="366"/>
                <c:pt idx="285">
                  <c:v>9.5399999999999991</c:v>
                </c:pt>
                <c:pt idx="286">
                  <c:v>12.18</c:v>
                </c:pt>
                <c:pt idx="287">
                  <c:v>10.88</c:v>
                </c:pt>
                <c:pt idx="288">
                  <c:v>6.78</c:v>
                </c:pt>
                <c:pt idx="289">
                  <c:v>4.2140000000000004</c:v>
                </c:pt>
                <c:pt idx="290">
                  <c:v>0.71499999999999997</c:v>
                </c:pt>
                <c:pt idx="291">
                  <c:v>-0.47499999999999998</c:v>
                </c:pt>
                <c:pt idx="292">
                  <c:v>5.4909999999999997</c:v>
                </c:pt>
                <c:pt idx="293">
                  <c:v>7.44</c:v>
                </c:pt>
                <c:pt idx="294">
                  <c:v>2.0310000000000001</c:v>
                </c:pt>
                <c:pt idx="295">
                  <c:v>0.69</c:v>
                </c:pt>
                <c:pt idx="296">
                  <c:v>0.52500000000000002</c:v>
                </c:pt>
                <c:pt idx="297">
                  <c:v>-0.123</c:v>
                </c:pt>
                <c:pt idx="298">
                  <c:v>1.131</c:v>
                </c:pt>
                <c:pt idx="302">
                  <c:v>-1.1919999999999999</c:v>
                </c:pt>
                <c:pt idx="303">
                  <c:v>-8.1000000000000003E-2</c:v>
                </c:pt>
                <c:pt idx="304">
                  <c:v>-0.42799999999999999</c:v>
                </c:pt>
                <c:pt idx="305">
                  <c:v>-0.76</c:v>
                </c:pt>
                <c:pt idx="309">
                  <c:v>-2.9780000000000002</c:v>
                </c:pt>
                <c:pt idx="310">
                  <c:v>-1.5529999999999999</c:v>
                </c:pt>
                <c:pt idx="311">
                  <c:v>0.71599999999999997</c:v>
                </c:pt>
                <c:pt idx="312">
                  <c:v>2.6040000000000001</c:v>
                </c:pt>
                <c:pt idx="313">
                  <c:v>0.99099999999999999</c:v>
                </c:pt>
                <c:pt idx="314">
                  <c:v>1.825</c:v>
                </c:pt>
              </c:numCache>
            </c:numRef>
          </c:val>
          <c:smooth val="0"/>
        </c:ser>
        <c:ser>
          <c:idx val="2"/>
          <c:order val="2"/>
          <c:tx>
            <c:v>Ta0.2</c:v>
          </c:tx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-1.6659999999999999</c:v>
                </c:pt>
                <c:pt idx="1">
                  <c:v>-2.8340000000000001</c:v>
                </c:pt>
                <c:pt idx="2">
                  <c:v>-0.91900000000000004</c:v>
                </c:pt>
                <c:pt idx="3">
                  <c:v>-1.7130000000000001</c:v>
                </c:pt>
                <c:pt idx="4">
                  <c:v>-2.052</c:v>
                </c:pt>
                <c:pt idx="5">
                  <c:v>-1.8640000000000001</c:v>
                </c:pt>
                <c:pt idx="6">
                  <c:v>-2.879</c:v>
                </c:pt>
                <c:pt idx="7">
                  <c:v>-3.8260000000000001</c:v>
                </c:pt>
                <c:pt idx="8">
                  <c:v>-2.2719999999999998</c:v>
                </c:pt>
                <c:pt idx="9">
                  <c:v>-2.8029999999999999</c:v>
                </c:pt>
                <c:pt idx="10">
                  <c:v>-5.4169999999999998</c:v>
                </c:pt>
                <c:pt idx="11">
                  <c:v>-8.52</c:v>
                </c:pt>
                <c:pt idx="12">
                  <c:v>-8.9499999999999993</c:v>
                </c:pt>
                <c:pt idx="13">
                  <c:v>-7.5</c:v>
                </c:pt>
                <c:pt idx="14">
                  <c:v>-7.06</c:v>
                </c:pt>
                <c:pt idx="15">
                  <c:v>-5.69</c:v>
                </c:pt>
                <c:pt idx="16">
                  <c:v>-4.9450000000000003</c:v>
                </c:pt>
                <c:pt idx="17">
                  <c:v>-4.5579999999999998</c:v>
                </c:pt>
                <c:pt idx="18">
                  <c:v>-3.3620000000000001</c:v>
                </c:pt>
                <c:pt idx="19">
                  <c:v>-1.611</c:v>
                </c:pt>
                <c:pt idx="20">
                  <c:v>-0.498</c:v>
                </c:pt>
                <c:pt idx="21">
                  <c:v>-0.129</c:v>
                </c:pt>
                <c:pt idx="22">
                  <c:v>0.02</c:v>
                </c:pt>
                <c:pt idx="23">
                  <c:v>-3.7999999999999999E-2</c:v>
                </c:pt>
                <c:pt idx="24">
                  <c:v>-0.16700000000000001</c:v>
                </c:pt>
                <c:pt idx="25">
                  <c:v>-0.10100000000000001</c:v>
                </c:pt>
                <c:pt idx="26">
                  <c:v>2.1000000000000001E-2</c:v>
                </c:pt>
                <c:pt idx="27">
                  <c:v>8.8999999999999996E-2</c:v>
                </c:pt>
                <c:pt idx="28">
                  <c:v>0.124</c:v>
                </c:pt>
                <c:pt idx="29">
                  <c:v>0.10299999999999999</c:v>
                </c:pt>
                <c:pt idx="30">
                  <c:v>0.61399999999999999</c:v>
                </c:pt>
                <c:pt idx="31">
                  <c:v>1.0469999999999999</c:v>
                </c:pt>
                <c:pt idx="32">
                  <c:v>0.49099999999999999</c:v>
                </c:pt>
                <c:pt idx="33">
                  <c:v>-0.69099999999999995</c:v>
                </c:pt>
                <c:pt idx="34">
                  <c:v>-2.6589999999999998</c:v>
                </c:pt>
                <c:pt idx="35">
                  <c:v>-1.1619999999999999</c:v>
                </c:pt>
                <c:pt idx="36">
                  <c:v>-0.35</c:v>
                </c:pt>
                <c:pt idx="37">
                  <c:v>-1.006</c:v>
                </c:pt>
                <c:pt idx="38">
                  <c:v>-2.58</c:v>
                </c:pt>
                <c:pt idx="39">
                  <c:v>-5.4169999999999998</c:v>
                </c:pt>
                <c:pt idx="40">
                  <c:v>-3.472</c:v>
                </c:pt>
                <c:pt idx="41">
                  <c:v>-1.5629999999999999</c:v>
                </c:pt>
                <c:pt idx="42">
                  <c:v>-1.123</c:v>
                </c:pt>
                <c:pt idx="43">
                  <c:v>-3.4710000000000001</c:v>
                </c:pt>
                <c:pt idx="44">
                  <c:v>-5.74</c:v>
                </c:pt>
                <c:pt idx="45">
                  <c:v>-6.5490000000000004</c:v>
                </c:pt>
                <c:pt idx="46">
                  <c:v>-6.0039999999999996</c:v>
                </c:pt>
                <c:pt idx="47">
                  <c:v>-4.157</c:v>
                </c:pt>
                <c:pt idx="48">
                  <c:v>-2.3130000000000002</c:v>
                </c:pt>
                <c:pt idx="49">
                  <c:v>-1.0369999999999999</c:v>
                </c:pt>
                <c:pt idx="50">
                  <c:v>4.3999999999999997E-2</c:v>
                </c:pt>
                <c:pt idx="51">
                  <c:v>3.3000000000000002E-2</c:v>
                </c:pt>
                <c:pt idx="52">
                  <c:v>-6.0000000000000001E-3</c:v>
                </c:pt>
                <c:pt idx="53">
                  <c:v>-0.755</c:v>
                </c:pt>
                <c:pt idx="54">
                  <c:v>-0.374</c:v>
                </c:pt>
                <c:pt idx="55">
                  <c:v>-0.309</c:v>
                </c:pt>
                <c:pt idx="56">
                  <c:v>-1.5389999999999999</c:v>
                </c:pt>
                <c:pt idx="57">
                  <c:v>-3.9060000000000001</c:v>
                </c:pt>
                <c:pt idx="58">
                  <c:v>-1.4</c:v>
                </c:pt>
                <c:pt idx="59">
                  <c:v>-0.41099999999999998</c:v>
                </c:pt>
                <c:pt idx="60">
                  <c:v>-1.379</c:v>
                </c:pt>
                <c:pt idx="61">
                  <c:v>-1.554</c:v>
                </c:pt>
                <c:pt idx="62">
                  <c:v>-1.593</c:v>
                </c:pt>
                <c:pt idx="63">
                  <c:v>-2.4910000000000001</c:v>
                </c:pt>
                <c:pt idx="64">
                  <c:v>-3.5619999999999998</c:v>
                </c:pt>
                <c:pt idx="65">
                  <c:v>-4.0430000000000001</c:v>
                </c:pt>
                <c:pt idx="66">
                  <c:v>-3.0459999999999998</c:v>
                </c:pt>
                <c:pt idx="67">
                  <c:v>-1.214</c:v>
                </c:pt>
                <c:pt idx="68">
                  <c:v>-0.63600000000000001</c:v>
                </c:pt>
                <c:pt idx="69">
                  <c:v>-0.42399999999999999</c:v>
                </c:pt>
                <c:pt idx="70">
                  <c:v>-0.39100000000000001</c:v>
                </c:pt>
                <c:pt idx="71">
                  <c:v>-0.25</c:v>
                </c:pt>
                <c:pt idx="72">
                  <c:v>-0.30299999999999999</c:v>
                </c:pt>
                <c:pt idx="73">
                  <c:v>-0.46500000000000002</c:v>
                </c:pt>
                <c:pt idx="74">
                  <c:v>6.4000000000000001E-2</c:v>
                </c:pt>
                <c:pt idx="75">
                  <c:v>0.154</c:v>
                </c:pt>
                <c:pt idx="76">
                  <c:v>0.41399999999999998</c:v>
                </c:pt>
                <c:pt idx="77">
                  <c:v>0.71399999999999997</c:v>
                </c:pt>
                <c:pt idx="78">
                  <c:v>1.357</c:v>
                </c:pt>
                <c:pt idx="79">
                  <c:v>2.1469999999999998</c:v>
                </c:pt>
                <c:pt idx="80">
                  <c:v>1.004</c:v>
                </c:pt>
                <c:pt idx="81">
                  <c:v>0.80100000000000005</c:v>
                </c:pt>
                <c:pt idx="82">
                  <c:v>1.181</c:v>
                </c:pt>
                <c:pt idx="83">
                  <c:v>-0.28000000000000003</c:v>
                </c:pt>
                <c:pt idx="84">
                  <c:v>0.56399999999999995</c:v>
                </c:pt>
                <c:pt idx="85">
                  <c:v>0.40100000000000002</c:v>
                </c:pt>
                <c:pt idx="86">
                  <c:v>-0.78700000000000003</c:v>
                </c:pt>
                <c:pt idx="87">
                  <c:v>-0.54900000000000004</c:v>
                </c:pt>
                <c:pt idx="88">
                  <c:v>-0.40799999999999997</c:v>
                </c:pt>
                <c:pt idx="89">
                  <c:v>-1.177</c:v>
                </c:pt>
                <c:pt idx="90">
                  <c:v>0.42899999999999999</c:v>
                </c:pt>
                <c:pt idx="91">
                  <c:v>5.492</c:v>
                </c:pt>
                <c:pt idx="92">
                  <c:v>6.577</c:v>
                </c:pt>
                <c:pt idx="93">
                  <c:v>1.4379999999999999</c:v>
                </c:pt>
                <c:pt idx="94">
                  <c:v>2.1999999999999999E-2</c:v>
                </c:pt>
                <c:pt idx="95">
                  <c:v>0.86099999999999999</c:v>
                </c:pt>
                <c:pt idx="96">
                  <c:v>1.992</c:v>
                </c:pt>
                <c:pt idx="97">
                  <c:v>0.98199999999999998</c:v>
                </c:pt>
                <c:pt idx="98">
                  <c:v>-2.9000000000000001E-2</c:v>
                </c:pt>
                <c:pt idx="99">
                  <c:v>0.877</c:v>
                </c:pt>
                <c:pt idx="100">
                  <c:v>3.2360000000000002</c:v>
                </c:pt>
                <c:pt idx="101">
                  <c:v>3.08</c:v>
                </c:pt>
                <c:pt idx="102">
                  <c:v>2.8180000000000001</c:v>
                </c:pt>
                <c:pt idx="103">
                  <c:v>5.5229999999999997</c:v>
                </c:pt>
                <c:pt idx="104">
                  <c:v>7.91</c:v>
                </c:pt>
                <c:pt idx="105">
                  <c:v>3.7170000000000001</c:v>
                </c:pt>
                <c:pt idx="106">
                  <c:v>-0.748</c:v>
                </c:pt>
                <c:pt idx="107">
                  <c:v>-0.45200000000000001</c:v>
                </c:pt>
                <c:pt idx="108">
                  <c:v>1.5509999999999999</c:v>
                </c:pt>
                <c:pt idx="109">
                  <c:v>2.8639999999999999</c:v>
                </c:pt>
                <c:pt idx="110">
                  <c:v>6.6760000000000002</c:v>
                </c:pt>
                <c:pt idx="111">
                  <c:v>2.004</c:v>
                </c:pt>
                <c:pt idx="112">
                  <c:v>3.758</c:v>
                </c:pt>
                <c:pt idx="113">
                  <c:v>7.31</c:v>
                </c:pt>
                <c:pt idx="114">
                  <c:v>5.9989999999999997</c:v>
                </c:pt>
                <c:pt idx="115">
                  <c:v>3.7360000000000002</c:v>
                </c:pt>
                <c:pt idx="116">
                  <c:v>3.9980000000000002</c:v>
                </c:pt>
                <c:pt idx="117">
                  <c:v>3.9820000000000002</c:v>
                </c:pt>
                <c:pt idx="118">
                  <c:v>2.7109999999999999</c:v>
                </c:pt>
                <c:pt idx="119">
                  <c:v>0.14099999999999999</c:v>
                </c:pt>
                <c:pt idx="120">
                  <c:v>0.91100000000000003</c:v>
                </c:pt>
                <c:pt idx="121">
                  <c:v>3.51</c:v>
                </c:pt>
                <c:pt idx="122">
                  <c:v>6.33</c:v>
                </c:pt>
                <c:pt idx="123">
                  <c:v>7.65</c:v>
                </c:pt>
                <c:pt idx="124">
                  <c:v>10.02</c:v>
                </c:pt>
                <c:pt idx="125">
                  <c:v>9.4499999999999993</c:v>
                </c:pt>
                <c:pt idx="126">
                  <c:v>5.3230000000000004</c:v>
                </c:pt>
                <c:pt idx="127">
                  <c:v>4.4880000000000004</c:v>
                </c:pt>
                <c:pt idx="128">
                  <c:v>8.52</c:v>
                </c:pt>
                <c:pt idx="129">
                  <c:v>13.59</c:v>
                </c:pt>
                <c:pt idx="130">
                  <c:v>16.37</c:v>
                </c:pt>
                <c:pt idx="131">
                  <c:v>17.55</c:v>
                </c:pt>
                <c:pt idx="132">
                  <c:v>14.54</c:v>
                </c:pt>
                <c:pt idx="133">
                  <c:v>8.39</c:v>
                </c:pt>
                <c:pt idx="134">
                  <c:v>8.9700000000000006</c:v>
                </c:pt>
                <c:pt idx="135">
                  <c:v>12.13</c:v>
                </c:pt>
                <c:pt idx="136">
                  <c:v>7.24</c:v>
                </c:pt>
                <c:pt idx="137">
                  <c:v>2.3330000000000002</c:v>
                </c:pt>
                <c:pt idx="138">
                  <c:v>4.625</c:v>
                </c:pt>
                <c:pt idx="139">
                  <c:v>6.21</c:v>
                </c:pt>
                <c:pt idx="140">
                  <c:v>8.76</c:v>
                </c:pt>
                <c:pt idx="141">
                  <c:v>7.28</c:v>
                </c:pt>
                <c:pt idx="142">
                  <c:v>9.0399999999999991</c:v>
                </c:pt>
                <c:pt idx="143">
                  <c:v>9.89</c:v>
                </c:pt>
                <c:pt idx="144">
                  <c:v>8.92</c:v>
                </c:pt>
                <c:pt idx="145">
                  <c:v>6.6349999999999998</c:v>
                </c:pt>
                <c:pt idx="146">
                  <c:v>7.37</c:v>
                </c:pt>
                <c:pt idx="147">
                  <c:v>9.14</c:v>
                </c:pt>
                <c:pt idx="148">
                  <c:v>7.4</c:v>
                </c:pt>
                <c:pt idx="149">
                  <c:v>4.2939999999999996</c:v>
                </c:pt>
                <c:pt idx="150">
                  <c:v>5.4630000000000001</c:v>
                </c:pt>
                <c:pt idx="151">
                  <c:v>9.59</c:v>
                </c:pt>
                <c:pt idx="152">
                  <c:v>9.01</c:v>
                </c:pt>
                <c:pt idx="153">
                  <c:v>7.79</c:v>
                </c:pt>
                <c:pt idx="154">
                  <c:v>5.8979999999999997</c:v>
                </c:pt>
                <c:pt idx="155">
                  <c:v>7.66</c:v>
                </c:pt>
                <c:pt idx="156">
                  <c:v>8.09</c:v>
                </c:pt>
                <c:pt idx="157">
                  <c:v>10.73</c:v>
                </c:pt>
                <c:pt idx="158">
                  <c:v>13</c:v>
                </c:pt>
                <c:pt idx="159">
                  <c:v>14.77</c:v>
                </c:pt>
                <c:pt idx="160">
                  <c:v>15.33</c:v>
                </c:pt>
                <c:pt idx="161">
                  <c:v>14.89</c:v>
                </c:pt>
                <c:pt idx="162">
                  <c:v>13.58</c:v>
                </c:pt>
                <c:pt idx="163">
                  <c:v>9.14</c:v>
                </c:pt>
                <c:pt idx="164">
                  <c:v>14.55</c:v>
                </c:pt>
                <c:pt idx="165">
                  <c:v>12.17</c:v>
                </c:pt>
                <c:pt idx="166">
                  <c:v>6.0890000000000004</c:v>
                </c:pt>
                <c:pt idx="167">
                  <c:v>5.5810000000000004</c:v>
                </c:pt>
                <c:pt idx="168">
                  <c:v>7.7</c:v>
                </c:pt>
                <c:pt idx="169">
                  <c:v>7.68</c:v>
                </c:pt>
                <c:pt idx="170">
                  <c:v>9.6</c:v>
                </c:pt>
                <c:pt idx="171">
                  <c:v>12.72</c:v>
                </c:pt>
                <c:pt idx="172">
                  <c:v>15.57</c:v>
                </c:pt>
                <c:pt idx="173">
                  <c:v>14.91</c:v>
                </c:pt>
                <c:pt idx="174">
                  <c:v>13.06</c:v>
                </c:pt>
                <c:pt idx="175">
                  <c:v>10.8</c:v>
                </c:pt>
                <c:pt idx="176">
                  <c:v>13.77</c:v>
                </c:pt>
                <c:pt idx="177">
                  <c:v>12.68</c:v>
                </c:pt>
                <c:pt idx="178">
                  <c:v>12.05</c:v>
                </c:pt>
                <c:pt idx="179">
                  <c:v>14.13</c:v>
                </c:pt>
                <c:pt idx="180">
                  <c:v>16.34</c:v>
                </c:pt>
                <c:pt idx="181">
                  <c:v>12.55</c:v>
                </c:pt>
                <c:pt idx="182">
                  <c:v>13.23</c:v>
                </c:pt>
                <c:pt idx="183">
                  <c:v>13.04</c:v>
                </c:pt>
                <c:pt idx="184">
                  <c:v>14.11</c:v>
                </c:pt>
                <c:pt idx="185">
                  <c:v>17.07</c:v>
                </c:pt>
                <c:pt idx="186">
                  <c:v>19.5</c:v>
                </c:pt>
                <c:pt idx="187">
                  <c:v>19.350000000000001</c:v>
                </c:pt>
                <c:pt idx="188">
                  <c:v>21.53</c:v>
                </c:pt>
                <c:pt idx="189">
                  <c:v>22.87</c:v>
                </c:pt>
                <c:pt idx="190">
                  <c:v>24.47</c:v>
                </c:pt>
                <c:pt idx="191">
                  <c:v>23.57</c:v>
                </c:pt>
                <c:pt idx="192">
                  <c:v>20.03</c:v>
                </c:pt>
                <c:pt idx="193">
                  <c:v>20.49</c:v>
                </c:pt>
                <c:pt idx="194">
                  <c:v>21.36</c:v>
                </c:pt>
                <c:pt idx="195">
                  <c:v>21.34</c:v>
                </c:pt>
                <c:pt idx="196">
                  <c:v>21.55</c:v>
                </c:pt>
                <c:pt idx="197">
                  <c:v>22.14</c:v>
                </c:pt>
                <c:pt idx="198">
                  <c:v>22.34</c:v>
                </c:pt>
                <c:pt idx="199">
                  <c:v>24.83</c:v>
                </c:pt>
                <c:pt idx="200">
                  <c:v>23.63</c:v>
                </c:pt>
                <c:pt idx="201">
                  <c:v>23.57</c:v>
                </c:pt>
                <c:pt idx="202">
                  <c:v>26.2</c:v>
                </c:pt>
                <c:pt idx="203">
                  <c:v>22.68</c:v>
                </c:pt>
                <c:pt idx="204">
                  <c:v>17.61</c:v>
                </c:pt>
                <c:pt idx="205">
                  <c:v>15.58</c:v>
                </c:pt>
                <c:pt idx="206">
                  <c:v>10.77</c:v>
                </c:pt>
                <c:pt idx="207">
                  <c:v>13.5</c:v>
                </c:pt>
                <c:pt idx="208">
                  <c:v>15.69</c:v>
                </c:pt>
                <c:pt idx="209">
                  <c:v>18.78</c:v>
                </c:pt>
                <c:pt idx="210">
                  <c:v>13.38</c:v>
                </c:pt>
                <c:pt idx="211">
                  <c:v>15.45</c:v>
                </c:pt>
                <c:pt idx="212">
                  <c:v>19.43</c:v>
                </c:pt>
                <c:pt idx="213">
                  <c:v>21.73</c:v>
                </c:pt>
                <c:pt idx="214">
                  <c:v>22.65</c:v>
                </c:pt>
                <c:pt idx="215">
                  <c:v>23.8</c:v>
                </c:pt>
                <c:pt idx="216">
                  <c:v>22.45</c:v>
                </c:pt>
                <c:pt idx="217">
                  <c:v>20.13</c:v>
                </c:pt>
                <c:pt idx="218">
                  <c:v>17.920000000000002</c:v>
                </c:pt>
                <c:pt idx="219">
                  <c:v>16.899999999999999</c:v>
                </c:pt>
                <c:pt idx="220">
                  <c:v>18.670000000000002</c:v>
                </c:pt>
                <c:pt idx="221">
                  <c:v>17.5</c:v>
                </c:pt>
                <c:pt idx="222">
                  <c:v>18.09</c:v>
                </c:pt>
                <c:pt idx="223">
                  <c:v>18.36</c:v>
                </c:pt>
                <c:pt idx="224">
                  <c:v>16.350000000000001</c:v>
                </c:pt>
                <c:pt idx="225">
                  <c:v>17.91</c:v>
                </c:pt>
                <c:pt idx="226">
                  <c:v>19.079999999999998</c:v>
                </c:pt>
                <c:pt idx="227">
                  <c:v>17.66</c:v>
                </c:pt>
                <c:pt idx="228">
                  <c:v>13.28</c:v>
                </c:pt>
                <c:pt idx="229">
                  <c:v>15.17</c:v>
                </c:pt>
                <c:pt idx="230">
                  <c:v>18.309999999999999</c:v>
                </c:pt>
                <c:pt idx="231">
                  <c:v>15.13</c:v>
                </c:pt>
                <c:pt idx="232">
                  <c:v>13.85</c:v>
                </c:pt>
                <c:pt idx="233">
                  <c:v>13.18</c:v>
                </c:pt>
                <c:pt idx="234">
                  <c:v>15.46</c:v>
                </c:pt>
                <c:pt idx="235">
                  <c:v>16.809999999999999</c:v>
                </c:pt>
                <c:pt idx="236">
                  <c:v>9.07</c:v>
                </c:pt>
                <c:pt idx="237">
                  <c:v>10.52</c:v>
                </c:pt>
                <c:pt idx="238">
                  <c:v>11.31</c:v>
                </c:pt>
                <c:pt idx="239">
                  <c:v>6.5430000000000001</c:v>
                </c:pt>
                <c:pt idx="240">
                  <c:v>10.01</c:v>
                </c:pt>
                <c:pt idx="241">
                  <c:v>14.31</c:v>
                </c:pt>
                <c:pt idx="242">
                  <c:v>17.07</c:v>
                </c:pt>
                <c:pt idx="243">
                  <c:v>19.68</c:v>
                </c:pt>
                <c:pt idx="244">
                  <c:v>20.9</c:v>
                </c:pt>
                <c:pt idx="245">
                  <c:v>19.27</c:v>
                </c:pt>
                <c:pt idx="246">
                  <c:v>16.739999999999998</c:v>
                </c:pt>
                <c:pt idx="247">
                  <c:v>16.809999999999999</c:v>
                </c:pt>
                <c:pt idx="248">
                  <c:v>18.850000000000001</c:v>
                </c:pt>
                <c:pt idx="249">
                  <c:v>20.78</c:v>
                </c:pt>
                <c:pt idx="250">
                  <c:v>19.760000000000002</c:v>
                </c:pt>
                <c:pt idx="251">
                  <c:v>19.54</c:v>
                </c:pt>
                <c:pt idx="252">
                  <c:v>13.76</c:v>
                </c:pt>
                <c:pt idx="253">
                  <c:v>11.59</c:v>
                </c:pt>
                <c:pt idx="254">
                  <c:v>9.7799999999999994</c:v>
                </c:pt>
                <c:pt idx="255">
                  <c:v>11.26</c:v>
                </c:pt>
                <c:pt idx="256">
                  <c:v>11.64</c:v>
                </c:pt>
                <c:pt idx="257">
                  <c:v>10.61</c:v>
                </c:pt>
                <c:pt idx="258">
                  <c:v>7.35</c:v>
                </c:pt>
                <c:pt idx="259">
                  <c:v>9.8000000000000007</c:v>
                </c:pt>
                <c:pt idx="260">
                  <c:v>11.81</c:v>
                </c:pt>
                <c:pt idx="261">
                  <c:v>11.38</c:v>
                </c:pt>
                <c:pt idx="262">
                  <c:v>10.62</c:v>
                </c:pt>
                <c:pt idx="263">
                  <c:v>4.5629999999999997</c:v>
                </c:pt>
                <c:pt idx="264">
                  <c:v>8.25</c:v>
                </c:pt>
                <c:pt idx="265">
                  <c:v>10.050000000000001</c:v>
                </c:pt>
                <c:pt idx="266">
                  <c:v>13.24</c:v>
                </c:pt>
                <c:pt idx="267">
                  <c:v>16.02</c:v>
                </c:pt>
                <c:pt idx="268">
                  <c:v>11.9</c:v>
                </c:pt>
                <c:pt idx="269">
                  <c:v>6.859</c:v>
                </c:pt>
                <c:pt idx="270">
                  <c:v>9.1300000000000008</c:v>
                </c:pt>
                <c:pt idx="271">
                  <c:v>7.27</c:v>
                </c:pt>
                <c:pt idx="272">
                  <c:v>3.0190000000000001</c:v>
                </c:pt>
                <c:pt idx="273">
                  <c:v>3.9039999999999999</c:v>
                </c:pt>
                <c:pt idx="274">
                  <c:v>3.9449999999999998</c:v>
                </c:pt>
                <c:pt idx="275">
                  <c:v>4.5529999999999999</c:v>
                </c:pt>
                <c:pt idx="276">
                  <c:v>5.77</c:v>
                </c:pt>
                <c:pt idx="277">
                  <c:v>5.5449999999999999</c:v>
                </c:pt>
                <c:pt idx="278">
                  <c:v>6.8220000000000001</c:v>
                </c:pt>
                <c:pt idx="279">
                  <c:v>7.19</c:v>
                </c:pt>
                <c:pt idx="280">
                  <c:v>10.09</c:v>
                </c:pt>
                <c:pt idx="281">
                  <c:v>11.07</c:v>
                </c:pt>
                <c:pt idx="282">
                  <c:v>6.5350000000000001</c:v>
                </c:pt>
                <c:pt idx="283">
                  <c:v>1.92</c:v>
                </c:pt>
                <c:pt idx="284">
                  <c:v>4.9539999999999997</c:v>
                </c:pt>
                <c:pt idx="285">
                  <c:v>8.57</c:v>
                </c:pt>
                <c:pt idx="286">
                  <c:v>10.81</c:v>
                </c:pt>
                <c:pt idx="287">
                  <c:v>10.07</c:v>
                </c:pt>
                <c:pt idx="288">
                  <c:v>6.9160000000000004</c:v>
                </c:pt>
                <c:pt idx="289">
                  <c:v>3.766</c:v>
                </c:pt>
                <c:pt idx="290">
                  <c:v>0.70699999999999996</c:v>
                </c:pt>
                <c:pt idx="291">
                  <c:v>-0.92100000000000004</c:v>
                </c:pt>
                <c:pt idx="292">
                  <c:v>4.6390000000000002</c:v>
                </c:pt>
                <c:pt idx="293">
                  <c:v>6.9459999999999997</c:v>
                </c:pt>
                <c:pt idx="294">
                  <c:v>2.4329999999999998</c:v>
                </c:pt>
                <c:pt idx="295">
                  <c:v>0.68799999999999994</c:v>
                </c:pt>
                <c:pt idx="296">
                  <c:v>0.20799999999999999</c:v>
                </c:pt>
                <c:pt idx="297">
                  <c:v>-0.73599999999999999</c:v>
                </c:pt>
                <c:pt idx="298">
                  <c:v>0.182</c:v>
                </c:pt>
                <c:pt idx="299">
                  <c:v>3.99</c:v>
                </c:pt>
                <c:pt idx="300">
                  <c:v>3.9510000000000001</c:v>
                </c:pt>
                <c:pt idx="301">
                  <c:v>1.865</c:v>
                </c:pt>
                <c:pt idx="302">
                  <c:v>-1.9690000000000001</c:v>
                </c:pt>
                <c:pt idx="303">
                  <c:v>-0.45800000000000002</c:v>
                </c:pt>
                <c:pt idx="304">
                  <c:v>-0.28799999999999998</c:v>
                </c:pt>
                <c:pt idx="305">
                  <c:v>-0.56899999999999995</c:v>
                </c:pt>
                <c:pt idx="306">
                  <c:v>-0.2</c:v>
                </c:pt>
                <c:pt idx="307">
                  <c:v>-1.89</c:v>
                </c:pt>
                <c:pt idx="308">
                  <c:v>-0.64</c:v>
                </c:pt>
                <c:pt idx="309">
                  <c:v>-2.8769999999999998</c:v>
                </c:pt>
                <c:pt idx="310">
                  <c:v>-2.0070000000000001</c:v>
                </c:pt>
                <c:pt idx="311">
                  <c:v>1.7999999999999999E-2</c:v>
                </c:pt>
                <c:pt idx="312">
                  <c:v>0.83499999999999996</c:v>
                </c:pt>
                <c:pt idx="313">
                  <c:v>0.98099999999999998</c:v>
                </c:pt>
                <c:pt idx="314">
                  <c:v>1.5489999999999999</c:v>
                </c:pt>
                <c:pt idx="315">
                  <c:v>0.79600000000000004</c:v>
                </c:pt>
                <c:pt idx="316">
                  <c:v>0.39800000000000002</c:v>
                </c:pt>
                <c:pt idx="317">
                  <c:v>9.4E-2</c:v>
                </c:pt>
                <c:pt idx="318">
                  <c:v>0.30399999999999999</c:v>
                </c:pt>
                <c:pt idx="319">
                  <c:v>-2.9430000000000001</c:v>
                </c:pt>
                <c:pt idx="320">
                  <c:v>-3.6360000000000001</c:v>
                </c:pt>
                <c:pt idx="321">
                  <c:v>-1.194</c:v>
                </c:pt>
                <c:pt idx="322">
                  <c:v>-2.6720000000000002</c:v>
                </c:pt>
                <c:pt idx="323">
                  <c:v>-3.75</c:v>
                </c:pt>
                <c:pt idx="324">
                  <c:v>-2.2170000000000001</c:v>
                </c:pt>
                <c:pt idx="325">
                  <c:v>-1.409</c:v>
                </c:pt>
                <c:pt idx="326">
                  <c:v>-1.0860000000000001</c:v>
                </c:pt>
                <c:pt idx="327">
                  <c:v>-1.649</c:v>
                </c:pt>
                <c:pt idx="328">
                  <c:v>-1.7170000000000001</c:v>
                </c:pt>
                <c:pt idx="329">
                  <c:v>-2.609</c:v>
                </c:pt>
                <c:pt idx="330">
                  <c:v>-3.5379999999999998</c:v>
                </c:pt>
                <c:pt idx="331">
                  <c:v>-3.161</c:v>
                </c:pt>
                <c:pt idx="332">
                  <c:v>-2.9820000000000002</c:v>
                </c:pt>
                <c:pt idx="333">
                  <c:v>-2.9329999999999998</c:v>
                </c:pt>
                <c:pt idx="334">
                  <c:v>-1.6559999999999999</c:v>
                </c:pt>
                <c:pt idx="335">
                  <c:v>-1.5</c:v>
                </c:pt>
                <c:pt idx="336">
                  <c:v>-3.0209999999999999</c:v>
                </c:pt>
                <c:pt idx="337">
                  <c:v>-3.2690000000000001</c:v>
                </c:pt>
                <c:pt idx="338">
                  <c:v>-3.4830000000000001</c:v>
                </c:pt>
                <c:pt idx="339">
                  <c:v>-3.403</c:v>
                </c:pt>
                <c:pt idx="340">
                  <c:v>-0.96799999999999997</c:v>
                </c:pt>
                <c:pt idx="341">
                  <c:v>-0.13200000000000001</c:v>
                </c:pt>
                <c:pt idx="342">
                  <c:v>-0.52300000000000002</c:v>
                </c:pt>
                <c:pt idx="343">
                  <c:v>-1.986</c:v>
                </c:pt>
                <c:pt idx="344">
                  <c:v>-2.8620000000000001</c:v>
                </c:pt>
                <c:pt idx="345">
                  <c:v>-1.94</c:v>
                </c:pt>
                <c:pt idx="346">
                  <c:v>-1.7729999999999999</c:v>
                </c:pt>
                <c:pt idx="347">
                  <c:v>-1.2290000000000001</c:v>
                </c:pt>
                <c:pt idx="348">
                  <c:v>-0.56999999999999995</c:v>
                </c:pt>
                <c:pt idx="349">
                  <c:v>-1.4810000000000001</c:v>
                </c:pt>
                <c:pt idx="350">
                  <c:v>-2.5049999999999999</c:v>
                </c:pt>
                <c:pt idx="351">
                  <c:v>-1.659</c:v>
                </c:pt>
                <c:pt idx="352">
                  <c:v>-0.57599999999999996</c:v>
                </c:pt>
                <c:pt idx="353">
                  <c:v>-0.84099999999999997</c:v>
                </c:pt>
                <c:pt idx="354">
                  <c:v>-0.314</c:v>
                </c:pt>
                <c:pt idx="355">
                  <c:v>-0.19400000000000001</c:v>
                </c:pt>
                <c:pt idx="356">
                  <c:v>-0.32600000000000001</c:v>
                </c:pt>
                <c:pt idx="357">
                  <c:v>-0.29799999999999999</c:v>
                </c:pt>
                <c:pt idx="358">
                  <c:v>-0.28100000000000003</c:v>
                </c:pt>
                <c:pt idx="359">
                  <c:v>-1.008</c:v>
                </c:pt>
                <c:pt idx="360">
                  <c:v>-0.878</c:v>
                </c:pt>
                <c:pt idx="361">
                  <c:v>-1.363</c:v>
                </c:pt>
                <c:pt idx="362">
                  <c:v>-1.0589999999999999</c:v>
                </c:pt>
                <c:pt idx="363">
                  <c:v>-0.68</c:v>
                </c:pt>
                <c:pt idx="364">
                  <c:v>-0.90400000000000003</c:v>
                </c:pt>
                <c:pt idx="365">
                  <c:v>-1.1479999999999999</c:v>
                </c:pt>
              </c:numCache>
            </c:numRef>
          </c:val>
          <c:smooth val="0"/>
        </c:ser>
        <c:ser>
          <c:idx val="3"/>
          <c:order val="3"/>
          <c:tx>
            <c:v>Tsoil</c:v>
          </c:tx>
          <c:marker>
            <c:symbol val="none"/>
          </c:marker>
          <c:val>
            <c:numRef>
              <c:f>Data!$N$6:$N$371</c:f>
              <c:numCache>
                <c:formatCode>General</c:formatCode>
                <c:ptCount val="366"/>
                <c:pt idx="0">
                  <c:v>0.14699999999999999</c:v>
                </c:pt>
                <c:pt idx="1">
                  <c:v>0.19500000000000001</c:v>
                </c:pt>
                <c:pt idx="2">
                  <c:v>0.221</c:v>
                </c:pt>
                <c:pt idx="3">
                  <c:v>0.20100000000000001</c:v>
                </c:pt>
                <c:pt idx="4">
                  <c:v>0.22900000000000001</c:v>
                </c:pt>
                <c:pt idx="5">
                  <c:v>0.20499999999999999</c:v>
                </c:pt>
                <c:pt idx="6">
                  <c:v>0.17799999999999999</c:v>
                </c:pt>
                <c:pt idx="7">
                  <c:v>0.27100000000000002</c:v>
                </c:pt>
                <c:pt idx="8">
                  <c:v>0.23799999999999999</c:v>
                </c:pt>
                <c:pt idx="9">
                  <c:v>0.16500000000000001</c:v>
                </c:pt>
                <c:pt idx="10">
                  <c:v>-0.11600000000000001</c:v>
                </c:pt>
                <c:pt idx="11">
                  <c:v>4.5999999999999999E-2</c:v>
                </c:pt>
                <c:pt idx="12">
                  <c:v>7.5999999999999998E-2</c:v>
                </c:pt>
                <c:pt idx="13">
                  <c:v>-8.0000000000000002E-3</c:v>
                </c:pt>
                <c:pt idx="14">
                  <c:v>7.5999999999999998E-2</c:v>
                </c:pt>
                <c:pt idx="15">
                  <c:v>0.17899999999999999</c:v>
                </c:pt>
                <c:pt idx="16">
                  <c:v>0.10199999999999999</c:v>
                </c:pt>
                <c:pt idx="17">
                  <c:v>0.156</c:v>
                </c:pt>
                <c:pt idx="18">
                  <c:v>0.193</c:v>
                </c:pt>
                <c:pt idx="19">
                  <c:v>0.24399999999999999</c:v>
                </c:pt>
                <c:pt idx="20">
                  <c:v>0.27200000000000002</c:v>
                </c:pt>
                <c:pt idx="21">
                  <c:v>0.27800000000000002</c:v>
                </c:pt>
                <c:pt idx="22">
                  <c:v>0.27500000000000002</c:v>
                </c:pt>
                <c:pt idx="23">
                  <c:v>0.26400000000000001</c:v>
                </c:pt>
                <c:pt idx="24">
                  <c:v>0.29799999999999999</c:v>
                </c:pt>
                <c:pt idx="25">
                  <c:v>0.32900000000000001</c:v>
                </c:pt>
                <c:pt idx="26">
                  <c:v>0.374</c:v>
                </c:pt>
                <c:pt idx="27">
                  <c:v>0.34399999999999997</c:v>
                </c:pt>
                <c:pt idx="28">
                  <c:v>0.35499999999999998</c:v>
                </c:pt>
                <c:pt idx="29">
                  <c:v>0.318</c:v>
                </c:pt>
                <c:pt idx="30">
                  <c:v>0.32800000000000001</c:v>
                </c:pt>
                <c:pt idx="31">
                  <c:v>0.26900000000000002</c:v>
                </c:pt>
                <c:pt idx="32">
                  <c:v>0.246</c:v>
                </c:pt>
                <c:pt idx="33">
                  <c:v>0.251</c:v>
                </c:pt>
                <c:pt idx="34">
                  <c:v>0.183</c:v>
                </c:pt>
                <c:pt idx="35">
                  <c:v>0.27300000000000002</c:v>
                </c:pt>
                <c:pt idx="36">
                  <c:v>0.27200000000000002</c:v>
                </c:pt>
                <c:pt idx="37">
                  <c:v>0.20799999999999999</c:v>
                </c:pt>
                <c:pt idx="38">
                  <c:v>0.248</c:v>
                </c:pt>
                <c:pt idx="39">
                  <c:v>0.27400000000000002</c:v>
                </c:pt>
                <c:pt idx="40">
                  <c:v>0.40500000000000003</c:v>
                </c:pt>
                <c:pt idx="41">
                  <c:v>0.34</c:v>
                </c:pt>
                <c:pt idx="42">
                  <c:v>0.23300000000000001</c:v>
                </c:pt>
                <c:pt idx="43">
                  <c:v>0.216</c:v>
                </c:pt>
                <c:pt idx="44">
                  <c:v>0.216</c:v>
                </c:pt>
                <c:pt idx="45">
                  <c:v>0.26600000000000001</c:v>
                </c:pt>
                <c:pt idx="46">
                  <c:v>0.34799999999999998</c:v>
                </c:pt>
                <c:pt idx="47">
                  <c:v>0.32500000000000001</c:v>
                </c:pt>
                <c:pt idx="48">
                  <c:v>0.35599999999999998</c:v>
                </c:pt>
                <c:pt idx="49">
                  <c:v>0.35699999999999998</c:v>
                </c:pt>
                <c:pt idx="50">
                  <c:v>0.36</c:v>
                </c:pt>
                <c:pt idx="51">
                  <c:v>0.35399999999999998</c:v>
                </c:pt>
                <c:pt idx="52">
                  <c:v>0.38300000000000001</c:v>
                </c:pt>
                <c:pt idx="53">
                  <c:v>0.39200000000000002</c:v>
                </c:pt>
                <c:pt idx="54">
                  <c:v>0.42499999999999999</c:v>
                </c:pt>
                <c:pt idx="55">
                  <c:v>0.38100000000000001</c:v>
                </c:pt>
                <c:pt idx="56">
                  <c:v>0.26900000000000002</c:v>
                </c:pt>
                <c:pt idx="57">
                  <c:v>0.29699999999999999</c:v>
                </c:pt>
                <c:pt idx="58">
                  <c:v>0.42499999999999999</c:v>
                </c:pt>
                <c:pt idx="59">
                  <c:v>0.28399999999999997</c:v>
                </c:pt>
                <c:pt idx="60">
                  <c:v>0.33300000000000002</c:v>
                </c:pt>
                <c:pt idx="61">
                  <c:v>0.33700000000000002</c:v>
                </c:pt>
                <c:pt idx="62">
                  <c:v>0.318</c:v>
                </c:pt>
                <c:pt idx="63">
                  <c:v>0.253</c:v>
                </c:pt>
                <c:pt idx="64">
                  <c:v>0.30299999999999999</c:v>
                </c:pt>
                <c:pt idx="65">
                  <c:v>0.3</c:v>
                </c:pt>
                <c:pt idx="66">
                  <c:v>0.29899999999999999</c:v>
                </c:pt>
                <c:pt idx="67">
                  <c:v>0.37</c:v>
                </c:pt>
                <c:pt idx="68">
                  <c:v>0.33900000000000002</c:v>
                </c:pt>
                <c:pt idx="69">
                  <c:v>0.38600000000000001</c:v>
                </c:pt>
                <c:pt idx="70">
                  <c:v>0.4</c:v>
                </c:pt>
                <c:pt idx="71">
                  <c:v>0.41299999999999998</c:v>
                </c:pt>
                <c:pt idx="72">
                  <c:v>0.41699999999999998</c:v>
                </c:pt>
                <c:pt idx="73">
                  <c:v>0.45500000000000002</c:v>
                </c:pt>
                <c:pt idx="74">
                  <c:v>0.51500000000000001</c:v>
                </c:pt>
                <c:pt idx="75">
                  <c:v>0.52400000000000002</c:v>
                </c:pt>
                <c:pt idx="76">
                  <c:v>0.53700000000000003</c:v>
                </c:pt>
                <c:pt idx="77">
                  <c:v>0.52200000000000002</c:v>
                </c:pt>
                <c:pt idx="78">
                  <c:v>0.501</c:v>
                </c:pt>
                <c:pt idx="79">
                  <c:v>0.54200000000000004</c:v>
                </c:pt>
                <c:pt idx="80">
                  <c:v>0.434</c:v>
                </c:pt>
                <c:pt idx="81">
                  <c:v>0.49299999999999999</c:v>
                </c:pt>
                <c:pt idx="82">
                  <c:v>0.46200000000000002</c:v>
                </c:pt>
                <c:pt idx="83">
                  <c:v>0.438</c:v>
                </c:pt>
                <c:pt idx="84">
                  <c:v>0.47499999999999998</c:v>
                </c:pt>
                <c:pt idx="85">
                  <c:v>0.503</c:v>
                </c:pt>
                <c:pt idx="86">
                  <c:v>0.48799999999999999</c:v>
                </c:pt>
                <c:pt idx="87">
                  <c:v>0.434</c:v>
                </c:pt>
                <c:pt idx="88">
                  <c:v>0.46500000000000002</c:v>
                </c:pt>
                <c:pt idx="89">
                  <c:v>0.48</c:v>
                </c:pt>
                <c:pt idx="90">
                  <c:v>0.53900000000000003</c:v>
                </c:pt>
                <c:pt idx="91">
                  <c:v>0.56399999999999995</c:v>
                </c:pt>
                <c:pt idx="92">
                  <c:v>0.628</c:v>
                </c:pt>
                <c:pt idx="93">
                  <c:v>0.44400000000000001</c:v>
                </c:pt>
                <c:pt idx="94">
                  <c:v>0.48399999999999999</c:v>
                </c:pt>
                <c:pt idx="95">
                  <c:v>0.497</c:v>
                </c:pt>
                <c:pt idx="96">
                  <c:v>0.48499999999999999</c:v>
                </c:pt>
                <c:pt idx="97">
                  <c:v>0.50700000000000001</c:v>
                </c:pt>
                <c:pt idx="98">
                  <c:v>0.48599999999999999</c:v>
                </c:pt>
                <c:pt idx="99">
                  <c:v>0.46700000000000003</c:v>
                </c:pt>
                <c:pt idx="100">
                  <c:v>0.52900000000000003</c:v>
                </c:pt>
                <c:pt idx="101">
                  <c:v>0.52600000000000002</c:v>
                </c:pt>
                <c:pt idx="102">
                  <c:v>0.497</c:v>
                </c:pt>
                <c:pt idx="103">
                  <c:v>0.48599999999999999</c:v>
                </c:pt>
                <c:pt idx="104">
                  <c:v>0.51100000000000001</c:v>
                </c:pt>
                <c:pt idx="105">
                  <c:v>0.39700000000000002</c:v>
                </c:pt>
                <c:pt idx="106">
                  <c:v>0.33</c:v>
                </c:pt>
                <c:pt idx="107">
                  <c:v>0.38700000000000001</c:v>
                </c:pt>
                <c:pt idx="108">
                  <c:v>0.42</c:v>
                </c:pt>
                <c:pt idx="109">
                  <c:v>0.42299999999999999</c:v>
                </c:pt>
                <c:pt idx="110">
                  <c:v>0.438</c:v>
                </c:pt>
                <c:pt idx="111">
                  <c:v>0.45900000000000002</c:v>
                </c:pt>
                <c:pt idx="112">
                  <c:v>0.80400000000000005</c:v>
                </c:pt>
                <c:pt idx="113">
                  <c:v>1.5780000000000001</c:v>
                </c:pt>
                <c:pt idx="114">
                  <c:v>2.1970000000000001</c:v>
                </c:pt>
                <c:pt idx="115">
                  <c:v>2.3420000000000001</c:v>
                </c:pt>
                <c:pt idx="116">
                  <c:v>3.0270000000000001</c:v>
                </c:pt>
                <c:pt idx="117">
                  <c:v>3.532</c:v>
                </c:pt>
                <c:pt idx="118">
                  <c:v>3.2349999999999999</c:v>
                </c:pt>
                <c:pt idx="119">
                  <c:v>2.911</c:v>
                </c:pt>
                <c:pt idx="120">
                  <c:v>2.629</c:v>
                </c:pt>
                <c:pt idx="121">
                  <c:v>2.823</c:v>
                </c:pt>
                <c:pt idx="122">
                  <c:v>3.8069999999999999</c:v>
                </c:pt>
                <c:pt idx="123">
                  <c:v>4.4779999999999998</c:v>
                </c:pt>
                <c:pt idx="124">
                  <c:v>5.4539999999999997</c:v>
                </c:pt>
                <c:pt idx="125">
                  <c:v>6.08</c:v>
                </c:pt>
                <c:pt idx="126">
                  <c:v>5.44</c:v>
                </c:pt>
                <c:pt idx="127">
                  <c:v>4.8940000000000001</c:v>
                </c:pt>
                <c:pt idx="128">
                  <c:v>5.4820000000000002</c:v>
                </c:pt>
                <c:pt idx="129">
                  <c:v>7.22</c:v>
                </c:pt>
                <c:pt idx="130">
                  <c:v>8.5</c:v>
                </c:pt>
                <c:pt idx="131">
                  <c:v>9.3800000000000008</c:v>
                </c:pt>
                <c:pt idx="132">
                  <c:v>9.31</c:v>
                </c:pt>
                <c:pt idx="133">
                  <c:v>8.66</c:v>
                </c:pt>
                <c:pt idx="134">
                  <c:v>7.75</c:v>
                </c:pt>
                <c:pt idx="135">
                  <c:v>8.51</c:v>
                </c:pt>
                <c:pt idx="136">
                  <c:v>8.0399999999999991</c:v>
                </c:pt>
                <c:pt idx="137">
                  <c:v>6.48</c:v>
                </c:pt>
                <c:pt idx="138">
                  <c:v>6.6029999999999998</c:v>
                </c:pt>
                <c:pt idx="139">
                  <c:v>7.31</c:v>
                </c:pt>
                <c:pt idx="140">
                  <c:v>7.62</c:v>
                </c:pt>
                <c:pt idx="141">
                  <c:v>8</c:v>
                </c:pt>
                <c:pt idx="142">
                  <c:v>8.4600000000000009</c:v>
                </c:pt>
                <c:pt idx="143">
                  <c:v>8.68</c:v>
                </c:pt>
                <c:pt idx="144">
                  <c:v>8.76</c:v>
                </c:pt>
                <c:pt idx="145">
                  <c:v>8.5500000000000007</c:v>
                </c:pt>
                <c:pt idx="146">
                  <c:v>8.2799999999999994</c:v>
                </c:pt>
                <c:pt idx="147">
                  <c:v>8.1199999999999992</c:v>
                </c:pt>
                <c:pt idx="148">
                  <c:v>8.4600000000000009</c:v>
                </c:pt>
                <c:pt idx="149">
                  <c:v>7.64</c:v>
                </c:pt>
                <c:pt idx="150">
                  <c:v>7.58</c:v>
                </c:pt>
                <c:pt idx="151">
                  <c:v>8.31</c:v>
                </c:pt>
                <c:pt idx="152">
                  <c:v>8.77</c:v>
                </c:pt>
                <c:pt idx="153">
                  <c:v>8.41</c:v>
                </c:pt>
                <c:pt idx="154">
                  <c:v>8.14</c:v>
                </c:pt>
                <c:pt idx="155">
                  <c:v>7.95</c:v>
                </c:pt>
                <c:pt idx="156">
                  <c:v>8</c:v>
                </c:pt>
                <c:pt idx="157">
                  <c:v>8.6</c:v>
                </c:pt>
                <c:pt idx="158">
                  <c:v>9.7200000000000006</c:v>
                </c:pt>
                <c:pt idx="159">
                  <c:v>10.41</c:v>
                </c:pt>
                <c:pt idx="160">
                  <c:v>10.98</c:v>
                </c:pt>
                <c:pt idx="161">
                  <c:v>10.96</c:v>
                </c:pt>
                <c:pt idx="162">
                  <c:v>11.19</c:v>
                </c:pt>
                <c:pt idx="163">
                  <c:v>10.1</c:v>
                </c:pt>
                <c:pt idx="164">
                  <c:v>10.199999999999999</c:v>
                </c:pt>
                <c:pt idx="165">
                  <c:v>10.92</c:v>
                </c:pt>
                <c:pt idx="166">
                  <c:v>9.56</c:v>
                </c:pt>
                <c:pt idx="167">
                  <c:v>8.65</c:v>
                </c:pt>
                <c:pt idx="168">
                  <c:v>9.25</c:v>
                </c:pt>
                <c:pt idx="169">
                  <c:v>9.3699999999999992</c:v>
                </c:pt>
                <c:pt idx="170">
                  <c:v>9.15</c:v>
                </c:pt>
                <c:pt idx="171">
                  <c:v>9.8000000000000007</c:v>
                </c:pt>
                <c:pt idx="172">
                  <c:v>10.49</c:v>
                </c:pt>
                <c:pt idx="173">
                  <c:v>11.21</c:v>
                </c:pt>
                <c:pt idx="174">
                  <c:v>11.25</c:v>
                </c:pt>
                <c:pt idx="175">
                  <c:v>10.74</c:v>
                </c:pt>
                <c:pt idx="176">
                  <c:v>10.9</c:v>
                </c:pt>
                <c:pt idx="177">
                  <c:v>11.47</c:v>
                </c:pt>
                <c:pt idx="178">
                  <c:v>11.4</c:v>
                </c:pt>
                <c:pt idx="179">
                  <c:v>11.81</c:v>
                </c:pt>
                <c:pt idx="180">
                  <c:v>12.33</c:v>
                </c:pt>
                <c:pt idx="181">
                  <c:v>12.22</c:v>
                </c:pt>
                <c:pt idx="182">
                  <c:v>12.56</c:v>
                </c:pt>
                <c:pt idx="183">
                  <c:v>12.81</c:v>
                </c:pt>
                <c:pt idx="184">
                  <c:v>12.43</c:v>
                </c:pt>
                <c:pt idx="185">
                  <c:v>12.68</c:v>
                </c:pt>
                <c:pt idx="186">
                  <c:v>13.53</c:v>
                </c:pt>
                <c:pt idx="187">
                  <c:v>13.98</c:v>
                </c:pt>
                <c:pt idx="188">
                  <c:v>14.26</c:v>
                </c:pt>
                <c:pt idx="189">
                  <c:v>14.86</c:v>
                </c:pt>
                <c:pt idx="190">
                  <c:v>15.36</c:v>
                </c:pt>
                <c:pt idx="191">
                  <c:v>15.55</c:v>
                </c:pt>
                <c:pt idx="192">
                  <c:v>15.02</c:v>
                </c:pt>
                <c:pt idx="193">
                  <c:v>14.88</c:v>
                </c:pt>
                <c:pt idx="194">
                  <c:v>15.07</c:v>
                </c:pt>
                <c:pt idx="195">
                  <c:v>15.15</c:v>
                </c:pt>
                <c:pt idx="196">
                  <c:v>15.16</c:v>
                </c:pt>
                <c:pt idx="197">
                  <c:v>15.35</c:v>
                </c:pt>
                <c:pt idx="198">
                  <c:v>15.41</c:v>
                </c:pt>
                <c:pt idx="199">
                  <c:v>16.13</c:v>
                </c:pt>
                <c:pt idx="200">
                  <c:v>16.07</c:v>
                </c:pt>
                <c:pt idx="201">
                  <c:v>15.72</c:v>
                </c:pt>
                <c:pt idx="202">
                  <c:v>16.260000000000002</c:v>
                </c:pt>
                <c:pt idx="203">
                  <c:v>16.53</c:v>
                </c:pt>
                <c:pt idx="204">
                  <c:v>15.02</c:v>
                </c:pt>
                <c:pt idx="205">
                  <c:v>14.26</c:v>
                </c:pt>
                <c:pt idx="206">
                  <c:v>13.56</c:v>
                </c:pt>
                <c:pt idx="207">
                  <c:v>13.21</c:v>
                </c:pt>
                <c:pt idx="208">
                  <c:v>13.44</c:v>
                </c:pt>
                <c:pt idx="209">
                  <c:v>13.98</c:v>
                </c:pt>
                <c:pt idx="210">
                  <c:v>13.87</c:v>
                </c:pt>
                <c:pt idx="211">
                  <c:v>13.99</c:v>
                </c:pt>
                <c:pt idx="212">
                  <c:v>14.38</c:v>
                </c:pt>
                <c:pt idx="213">
                  <c:v>14.86</c:v>
                </c:pt>
                <c:pt idx="214">
                  <c:v>15.19</c:v>
                </c:pt>
                <c:pt idx="215">
                  <c:v>15.74</c:v>
                </c:pt>
                <c:pt idx="216">
                  <c:v>15.57</c:v>
                </c:pt>
                <c:pt idx="217">
                  <c:v>15.52</c:v>
                </c:pt>
                <c:pt idx="218">
                  <c:v>14.7</c:v>
                </c:pt>
                <c:pt idx="219">
                  <c:v>13.98</c:v>
                </c:pt>
                <c:pt idx="220">
                  <c:v>14</c:v>
                </c:pt>
                <c:pt idx="221">
                  <c:v>14.19</c:v>
                </c:pt>
                <c:pt idx="222">
                  <c:v>13.79</c:v>
                </c:pt>
                <c:pt idx="223">
                  <c:v>14</c:v>
                </c:pt>
                <c:pt idx="224">
                  <c:v>14.18</c:v>
                </c:pt>
                <c:pt idx="225">
                  <c:v>13.81</c:v>
                </c:pt>
                <c:pt idx="226">
                  <c:v>14.37</c:v>
                </c:pt>
                <c:pt idx="227">
                  <c:v>14.21</c:v>
                </c:pt>
                <c:pt idx="228">
                  <c:v>14.04</c:v>
                </c:pt>
                <c:pt idx="229">
                  <c:v>13.6</c:v>
                </c:pt>
                <c:pt idx="230">
                  <c:v>14</c:v>
                </c:pt>
                <c:pt idx="231">
                  <c:v>13.38</c:v>
                </c:pt>
                <c:pt idx="232">
                  <c:v>12.8</c:v>
                </c:pt>
                <c:pt idx="233">
                  <c:v>12.93</c:v>
                </c:pt>
                <c:pt idx="234">
                  <c:v>12.85</c:v>
                </c:pt>
                <c:pt idx="235">
                  <c:v>13.25</c:v>
                </c:pt>
                <c:pt idx="236">
                  <c:v>11.98</c:v>
                </c:pt>
                <c:pt idx="237">
                  <c:v>11.79</c:v>
                </c:pt>
                <c:pt idx="238">
                  <c:v>11.95</c:v>
                </c:pt>
                <c:pt idx="239">
                  <c:v>11.11</c:v>
                </c:pt>
                <c:pt idx="240">
                  <c:v>10.59</c:v>
                </c:pt>
                <c:pt idx="241">
                  <c:v>11.2</c:v>
                </c:pt>
                <c:pt idx="242">
                  <c:v>12.15</c:v>
                </c:pt>
                <c:pt idx="243">
                  <c:v>12.86</c:v>
                </c:pt>
                <c:pt idx="244">
                  <c:v>13.44</c:v>
                </c:pt>
                <c:pt idx="245">
                  <c:v>13.97</c:v>
                </c:pt>
                <c:pt idx="246">
                  <c:v>13.28</c:v>
                </c:pt>
                <c:pt idx="247">
                  <c:v>12.72</c:v>
                </c:pt>
                <c:pt idx="248">
                  <c:v>12.89</c:v>
                </c:pt>
                <c:pt idx="249">
                  <c:v>13.22</c:v>
                </c:pt>
                <c:pt idx="250">
                  <c:v>13.17</c:v>
                </c:pt>
                <c:pt idx="251">
                  <c:v>13.47</c:v>
                </c:pt>
                <c:pt idx="252">
                  <c:v>12.92</c:v>
                </c:pt>
                <c:pt idx="253">
                  <c:v>11.46</c:v>
                </c:pt>
                <c:pt idx="254">
                  <c:v>11.4</c:v>
                </c:pt>
                <c:pt idx="255">
                  <c:v>11.48</c:v>
                </c:pt>
                <c:pt idx="256">
                  <c:v>11.09</c:v>
                </c:pt>
                <c:pt idx="257">
                  <c:v>11.39</c:v>
                </c:pt>
                <c:pt idx="258">
                  <c:v>10.1</c:v>
                </c:pt>
                <c:pt idx="259">
                  <c:v>9.51</c:v>
                </c:pt>
                <c:pt idx="260">
                  <c:v>10.18</c:v>
                </c:pt>
                <c:pt idx="261">
                  <c:v>10.56</c:v>
                </c:pt>
                <c:pt idx="262">
                  <c:v>10.34</c:v>
                </c:pt>
                <c:pt idx="263">
                  <c:v>9.06</c:v>
                </c:pt>
                <c:pt idx="264">
                  <c:v>8.7899999999999991</c:v>
                </c:pt>
                <c:pt idx="265">
                  <c:v>10.01</c:v>
                </c:pt>
                <c:pt idx="266">
                  <c:v>10.5</c:v>
                </c:pt>
                <c:pt idx="267">
                  <c:v>11.48</c:v>
                </c:pt>
                <c:pt idx="268">
                  <c:v>11.99</c:v>
                </c:pt>
                <c:pt idx="269">
                  <c:v>10.3</c:v>
                </c:pt>
                <c:pt idx="270">
                  <c:v>9.8699999999999992</c:v>
                </c:pt>
                <c:pt idx="271">
                  <c:v>9.11</c:v>
                </c:pt>
                <c:pt idx="272">
                  <c:v>8.5</c:v>
                </c:pt>
                <c:pt idx="273">
                  <c:v>7.43</c:v>
                </c:pt>
                <c:pt idx="274">
                  <c:v>7.9</c:v>
                </c:pt>
                <c:pt idx="275">
                  <c:v>7.33</c:v>
                </c:pt>
                <c:pt idx="276">
                  <c:v>7.28</c:v>
                </c:pt>
                <c:pt idx="277">
                  <c:v>7.6</c:v>
                </c:pt>
                <c:pt idx="278">
                  <c:v>7.22</c:v>
                </c:pt>
                <c:pt idx="279">
                  <c:v>8.06</c:v>
                </c:pt>
                <c:pt idx="280">
                  <c:v>7.8</c:v>
                </c:pt>
                <c:pt idx="281">
                  <c:v>8.59</c:v>
                </c:pt>
                <c:pt idx="282">
                  <c:v>8.1999999999999993</c:v>
                </c:pt>
                <c:pt idx="283">
                  <c:v>6.58</c:v>
                </c:pt>
                <c:pt idx="284">
                  <c:v>5.9989999999999997</c:v>
                </c:pt>
                <c:pt idx="285">
                  <c:v>6.7309999999999999</c:v>
                </c:pt>
                <c:pt idx="286">
                  <c:v>7.21</c:v>
                </c:pt>
                <c:pt idx="287">
                  <c:v>7.78</c:v>
                </c:pt>
                <c:pt idx="288">
                  <c:v>7.89</c:v>
                </c:pt>
                <c:pt idx="289">
                  <c:v>7.24</c:v>
                </c:pt>
                <c:pt idx="290">
                  <c:v>5.8760000000000003</c:v>
                </c:pt>
                <c:pt idx="291">
                  <c:v>4.6820000000000004</c:v>
                </c:pt>
                <c:pt idx="292">
                  <c:v>4.7770000000000001</c:v>
                </c:pt>
                <c:pt idx="293">
                  <c:v>6.3810000000000002</c:v>
                </c:pt>
                <c:pt idx="294">
                  <c:v>6.2450000000000001</c:v>
                </c:pt>
                <c:pt idx="295">
                  <c:v>5.2409999999999997</c:v>
                </c:pt>
                <c:pt idx="296">
                  <c:v>4.45</c:v>
                </c:pt>
                <c:pt idx="297">
                  <c:v>3.91</c:v>
                </c:pt>
                <c:pt idx="298">
                  <c:v>3.411</c:v>
                </c:pt>
                <c:pt idx="299">
                  <c:v>4.069</c:v>
                </c:pt>
                <c:pt idx="300">
                  <c:v>5.04</c:v>
                </c:pt>
                <c:pt idx="301">
                  <c:v>4.625</c:v>
                </c:pt>
                <c:pt idx="302">
                  <c:v>3.8149999999999999</c:v>
                </c:pt>
                <c:pt idx="303">
                  <c:v>3.36</c:v>
                </c:pt>
                <c:pt idx="304">
                  <c:v>3.4529999999999998</c:v>
                </c:pt>
                <c:pt idx="305">
                  <c:v>3.1190000000000002</c:v>
                </c:pt>
                <c:pt idx="306">
                  <c:v>3.1230000000000002</c:v>
                </c:pt>
                <c:pt idx="307">
                  <c:v>3.0049999999999999</c:v>
                </c:pt>
                <c:pt idx="308">
                  <c:v>2.9289999999999998</c:v>
                </c:pt>
                <c:pt idx="309">
                  <c:v>2.802</c:v>
                </c:pt>
                <c:pt idx="310">
                  <c:v>2.7080000000000002</c:v>
                </c:pt>
                <c:pt idx="311">
                  <c:v>2.742</c:v>
                </c:pt>
                <c:pt idx="312">
                  <c:v>2.8029999999999999</c:v>
                </c:pt>
                <c:pt idx="313">
                  <c:v>2.5979999999999999</c:v>
                </c:pt>
                <c:pt idx="314">
                  <c:v>2.5870000000000002</c:v>
                </c:pt>
                <c:pt idx="315">
                  <c:v>2.4279999999999999</c:v>
                </c:pt>
                <c:pt idx="316">
                  <c:v>2.278</c:v>
                </c:pt>
                <c:pt idx="317">
                  <c:v>2.2490000000000001</c:v>
                </c:pt>
                <c:pt idx="318">
                  <c:v>2.319</c:v>
                </c:pt>
                <c:pt idx="319">
                  <c:v>1.95</c:v>
                </c:pt>
                <c:pt idx="320">
                  <c:v>1.641</c:v>
                </c:pt>
                <c:pt idx="321">
                  <c:v>1.5820000000000001</c:v>
                </c:pt>
                <c:pt idx="322">
                  <c:v>1.64</c:v>
                </c:pt>
                <c:pt idx="323">
                  <c:v>1.71</c:v>
                </c:pt>
                <c:pt idx="324">
                  <c:v>1.708</c:v>
                </c:pt>
                <c:pt idx="325">
                  <c:v>1.714</c:v>
                </c:pt>
                <c:pt idx="326">
                  <c:v>1.794</c:v>
                </c:pt>
                <c:pt idx="327">
                  <c:v>1.756</c:v>
                </c:pt>
                <c:pt idx="328">
                  <c:v>1.7390000000000001</c:v>
                </c:pt>
                <c:pt idx="329">
                  <c:v>1.734</c:v>
                </c:pt>
                <c:pt idx="330">
                  <c:v>1.7130000000000001</c:v>
                </c:pt>
                <c:pt idx="331">
                  <c:v>1.663</c:v>
                </c:pt>
                <c:pt idx="332">
                  <c:v>1.5660000000000001</c:v>
                </c:pt>
                <c:pt idx="333">
                  <c:v>1.5249999999999999</c:v>
                </c:pt>
                <c:pt idx="334">
                  <c:v>1.482</c:v>
                </c:pt>
                <c:pt idx="335">
                  <c:v>1.504</c:v>
                </c:pt>
                <c:pt idx="336">
                  <c:v>1.4430000000000001</c:v>
                </c:pt>
                <c:pt idx="337">
                  <c:v>1.3140000000000001</c:v>
                </c:pt>
                <c:pt idx="338">
                  <c:v>1.2330000000000001</c:v>
                </c:pt>
                <c:pt idx="339">
                  <c:v>1.1639999999999999</c:v>
                </c:pt>
                <c:pt idx="340">
                  <c:v>1.2110000000000001</c:v>
                </c:pt>
                <c:pt idx="341">
                  <c:v>1.252</c:v>
                </c:pt>
                <c:pt idx="342">
                  <c:v>1.3169999999999999</c:v>
                </c:pt>
                <c:pt idx="343">
                  <c:v>1.34</c:v>
                </c:pt>
                <c:pt idx="344">
                  <c:v>1.391</c:v>
                </c:pt>
                <c:pt idx="345">
                  <c:v>1.367</c:v>
                </c:pt>
                <c:pt idx="346">
                  <c:v>1.383</c:v>
                </c:pt>
                <c:pt idx="347">
                  <c:v>1.3939999999999999</c:v>
                </c:pt>
                <c:pt idx="348">
                  <c:v>1.415</c:v>
                </c:pt>
                <c:pt idx="349">
                  <c:v>1.365</c:v>
                </c:pt>
                <c:pt idx="350">
                  <c:v>1.401</c:v>
                </c:pt>
                <c:pt idx="351">
                  <c:v>1.3879999999999999</c:v>
                </c:pt>
                <c:pt idx="352">
                  <c:v>1.383</c:v>
                </c:pt>
                <c:pt idx="353">
                  <c:v>1.43</c:v>
                </c:pt>
                <c:pt idx="354">
                  <c:v>1.3859999999999999</c:v>
                </c:pt>
                <c:pt idx="355">
                  <c:v>1.3680000000000001</c:v>
                </c:pt>
                <c:pt idx="356">
                  <c:v>1.3049999999999999</c:v>
                </c:pt>
                <c:pt idx="357">
                  <c:v>1.3049999999999999</c:v>
                </c:pt>
                <c:pt idx="358">
                  <c:v>1.323</c:v>
                </c:pt>
                <c:pt idx="359">
                  <c:v>1.3009999999999999</c:v>
                </c:pt>
                <c:pt idx="360">
                  <c:v>1.2829999999999999</c:v>
                </c:pt>
                <c:pt idx="361">
                  <c:v>1.2549999999999999</c:v>
                </c:pt>
                <c:pt idx="362">
                  <c:v>1.2569999999999999</c:v>
                </c:pt>
                <c:pt idx="363">
                  <c:v>1.198</c:v>
                </c:pt>
                <c:pt idx="364">
                  <c:v>1.214</c:v>
                </c:pt>
                <c:pt idx="365">
                  <c:v>1.1439999999999999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666944"/>
        <c:axId val="235556864"/>
      </c:lineChart>
      <c:catAx>
        <c:axId val="227666944"/>
        <c:scaling>
          <c:orientation val="minMax"/>
        </c:scaling>
        <c:delete val="0"/>
        <c:axPos val="b"/>
        <c:majorTickMark val="none"/>
        <c:minorTickMark val="none"/>
        <c:tickLblPos val="nextTo"/>
        <c:crossAx val="235556864"/>
        <c:crosses val="autoZero"/>
        <c:auto val="1"/>
        <c:lblAlgn val="ctr"/>
        <c:lblOffset val="100"/>
        <c:noMultiLvlLbl val="0"/>
      </c:catAx>
      <c:valAx>
        <c:axId val="235556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7666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1.5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285">
                  <c:v>3.2570000000000001</c:v>
                </c:pt>
                <c:pt idx="286">
                  <c:v>6.6689999999999996</c:v>
                </c:pt>
                <c:pt idx="287">
                  <c:v>6.7450000000000001</c:v>
                </c:pt>
                <c:pt idx="288">
                  <c:v>4.9290000000000003</c:v>
                </c:pt>
                <c:pt idx="289">
                  <c:v>-0.505</c:v>
                </c:pt>
                <c:pt idx="290">
                  <c:v>-2.6709999999999998</c:v>
                </c:pt>
                <c:pt idx="291">
                  <c:v>-2.8330000000000002</c:v>
                </c:pt>
                <c:pt idx="292">
                  <c:v>0.66600000000000004</c:v>
                </c:pt>
                <c:pt idx="293">
                  <c:v>2.8919999999999999</c:v>
                </c:pt>
                <c:pt idx="294">
                  <c:v>-0.26400000000000001</c:v>
                </c:pt>
                <c:pt idx="295">
                  <c:v>-3.0670000000000002</c:v>
                </c:pt>
                <c:pt idx="296">
                  <c:v>-2.448</c:v>
                </c:pt>
                <c:pt idx="297">
                  <c:v>-2.9409999999999998</c:v>
                </c:pt>
                <c:pt idx="298">
                  <c:v>-3.1749999999999998</c:v>
                </c:pt>
                <c:pt idx="302">
                  <c:v>-4.7939999999999996</c:v>
                </c:pt>
                <c:pt idx="303">
                  <c:v>-2.13</c:v>
                </c:pt>
                <c:pt idx="304">
                  <c:v>-2.2639999999999998</c:v>
                </c:pt>
                <c:pt idx="305">
                  <c:v>-2.5859999999999999</c:v>
                </c:pt>
                <c:pt idx="309">
                  <c:v>-6.048</c:v>
                </c:pt>
                <c:pt idx="310">
                  <c:v>-5.4859999999999998</c:v>
                </c:pt>
                <c:pt idx="311">
                  <c:v>-1.149</c:v>
                </c:pt>
                <c:pt idx="312">
                  <c:v>-0.86099999999999999</c:v>
                </c:pt>
                <c:pt idx="313">
                  <c:v>-6.6000000000000003E-2</c:v>
                </c:pt>
                <c:pt idx="314">
                  <c:v>-0.17299999999999999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285">
                  <c:v>9.5399999999999991</c:v>
                </c:pt>
                <c:pt idx="286">
                  <c:v>12.18</c:v>
                </c:pt>
                <c:pt idx="287">
                  <c:v>10.88</c:v>
                </c:pt>
                <c:pt idx="288">
                  <c:v>6.78</c:v>
                </c:pt>
                <c:pt idx="289">
                  <c:v>4.2140000000000004</c:v>
                </c:pt>
                <c:pt idx="290">
                  <c:v>0.71499999999999997</c:v>
                </c:pt>
                <c:pt idx="291">
                  <c:v>-0.47499999999999998</c:v>
                </c:pt>
                <c:pt idx="292">
                  <c:v>5.4909999999999997</c:v>
                </c:pt>
                <c:pt idx="293">
                  <c:v>7.44</c:v>
                </c:pt>
                <c:pt idx="294">
                  <c:v>2.0310000000000001</c:v>
                </c:pt>
                <c:pt idx="295">
                  <c:v>0.69</c:v>
                </c:pt>
                <c:pt idx="296">
                  <c:v>0.52500000000000002</c:v>
                </c:pt>
                <c:pt idx="297">
                  <c:v>-0.123</c:v>
                </c:pt>
                <c:pt idx="298">
                  <c:v>1.131</c:v>
                </c:pt>
                <c:pt idx="302">
                  <c:v>-1.1919999999999999</c:v>
                </c:pt>
                <c:pt idx="303">
                  <c:v>-8.1000000000000003E-2</c:v>
                </c:pt>
                <c:pt idx="304">
                  <c:v>-0.42799999999999999</c:v>
                </c:pt>
                <c:pt idx="305">
                  <c:v>-0.76</c:v>
                </c:pt>
                <c:pt idx="309">
                  <c:v>-2.9780000000000002</c:v>
                </c:pt>
                <c:pt idx="310">
                  <c:v>-1.5529999999999999</c:v>
                </c:pt>
                <c:pt idx="311">
                  <c:v>0.71599999999999997</c:v>
                </c:pt>
                <c:pt idx="312">
                  <c:v>2.6040000000000001</c:v>
                </c:pt>
                <c:pt idx="313">
                  <c:v>0.99099999999999999</c:v>
                </c:pt>
                <c:pt idx="314">
                  <c:v>1.825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97184"/>
        <c:axId val="235808256"/>
      </c:lineChart>
      <c:catAx>
        <c:axId val="235597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580825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5808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5597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0.2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-4.319</c:v>
                </c:pt>
                <c:pt idx="1">
                  <c:v>-5.5579999999999998</c:v>
                </c:pt>
                <c:pt idx="2">
                  <c:v>-1.9</c:v>
                </c:pt>
                <c:pt idx="3">
                  <c:v>-3.4449999999999998</c:v>
                </c:pt>
                <c:pt idx="4">
                  <c:v>-2.6890000000000001</c:v>
                </c:pt>
                <c:pt idx="5">
                  <c:v>-2.306</c:v>
                </c:pt>
                <c:pt idx="6">
                  <c:v>-4.2350000000000003</c:v>
                </c:pt>
                <c:pt idx="7">
                  <c:v>-4.5350000000000001</c:v>
                </c:pt>
                <c:pt idx="8">
                  <c:v>-3.1280000000000001</c:v>
                </c:pt>
                <c:pt idx="9">
                  <c:v>-3.5270000000000001</c:v>
                </c:pt>
                <c:pt idx="10">
                  <c:v>-7.7</c:v>
                </c:pt>
                <c:pt idx="11">
                  <c:v>-9.4</c:v>
                </c:pt>
                <c:pt idx="12">
                  <c:v>-9.76</c:v>
                </c:pt>
                <c:pt idx="13">
                  <c:v>-8.2100000000000009</c:v>
                </c:pt>
                <c:pt idx="14">
                  <c:v>-7.89</c:v>
                </c:pt>
                <c:pt idx="15">
                  <c:v>-6.6680000000000001</c:v>
                </c:pt>
                <c:pt idx="16">
                  <c:v>-5.3570000000000002</c:v>
                </c:pt>
                <c:pt idx="17">
                  <c:v>-5.0629999999999997</c:v>
                </c:pt>
                <c:pt idx="18">
                  <c:v>-4.2919999999999998</c:v>
                </c:pt>
                <c:pt idx="19">
                  <c:v>-2.6019999999999999</c:v>
                </c:pt>
                <c:pt idx="20">
                  <c:v>-0.91300000000000003</c:v>
                </c:pt>
                <c:pt idx="21">
                  <c:v>-0.42099999999999999</c:v>
                </c:pt>
                <c:pt idx="22">
                  <c:v>-0.20200000000000001</c:v>
                </c:pt>
                <c:pt idx="23">
                  <c:v>-0.45500000000000002</c:v>
                </c:pt>
                <c:pt idx="24">
                  <c:v>-0.55800000000000005</c:v>
                </c:pt>
                <c:pt idx="25">
                  <c:v>-0.36699999999999999</c:v>
                </c:pt>
                <c:pt idx="26">
                  <c:v>-0.14000000000000001</c:v>
                </c:pt>
                <c:pt idx="27">
                  <c:v>-0.189</c:v>
                </c:pt>
                <c:pt idx="28">
                  <c:v>-0.13700000000000001</c:v>
                </c:pt>
                <c:pt idx="29">
                  <c:v>-0.13800000000000001</c:v>
                </c:pt>
                <c:pt idx="30">
                  <c:v>-1.0999999999999999E-2</c:v>
                </c:pt>
                <c:pt idx="31">
                  <c:v>0.54400000000000004</c:v>
                </c:pt>
                <c:pt idx="32">
                  <c:v>-2.2770000000000001</c:v>
                </c:pt>
                <c:pt idx="33">
                  <c:v>-3.177</c:v>
                </c:pt>
                <c:pt idx="34">
                  <c:v>-3.532</c:v>
                </c:pt>
                <c:pt idx="35">
                  <c:v>-2.7949999999999999</c:v>
                </c:pt>
                <c:pt idx="36">
                  <c:v>-1.141</c:v>
                </c:pt>
                <c:pt idx="37">
                  <c:v>-2.5190000000000001</c:v>
                </c:pt>
                <c:pt idx="38">
                  <c:v>-4.7240000000000002</c:v>
                </c:pt>
                <c:pt idx="39">
                  <c:v>-7.78</c:v>
                </c:pt>
                <c:pt idx="40">
                  <c:v>-7.73</c:v>
                </c:pt>
                <c:pt idx="41">
                  <c:v>-2.3119999999999998</c:v>
                </c:pt>
                <c:pt idx="42">
                  <c:v>-3.2090000000000001</c:v>
                </c:pt>
                <c:pt idx="43">
                  <c:v>-5.9820000000000002</c:v>
                </c:pt>
                <c:pt idx="44">
                  <c:v>-7.48</c:v>
                </c:pt>
                <c:pt idx="45">
                  <c:v>-8.6</c:v>
                </c:pt>
                <c:pt idx="46">
                  <c:v>-8.57</c:v>
                </c:pt>
                <c:pt idx="47">
                  <c:v>-6.3150000000000004</c:v>
                </c:pt>
                <c:pt idx="48">
                  <c:v>-4.2350000000000003</c:v>
                </c:pt>
                <c:pt idx="49">
                  <c:v>-2.6269999999999998</c:v>
                </c:pt>
                <c:pt idx="50">
                  <c:v>-0.26200000000000001</c:v>
                </c:pt>
                <c:pt idx="51">
                  <c:v>-0.13800000000000001</c:v>
                </c:pt>
                <c:pt idx="52">
                  <c:v>-0.55900000000000005</c:v>
                </c:pt>
                <c:pt idx="53">
                  <c:v>-2.6659999999999999</c:v>
                </c:pt>
                <c:pt idx="54">
                  <c:v>-1.556</c:v>
                </c:pt>
                <c:pt idx="55">
                  <c:v>-1.399</c:v>
                </c:pt>
                <c:pt idx="56">
                  <c:v>-3.4049999999999998</c:v>
                </c:pt>
                <c:pt idx="57">
                  <c:v>-5.4930000000000003</c:v>
                </c:pt>
                <c:pt idx="58">
                  <c:v>-3.077</c:v>
                </c:pt>
                <c:pt idx="59">
                  <c:v>-1.6359999999999999</c:v>
                </c:pt>
                <c:pt idx="60">
                  <c:v>-2.0009999999999999</c:v>
                </c:pt>
                <c:pt idx="61">
                  <c:v>-2.2050000000000001</c:v>
                </c:pt>
                <c:pt idx="62">
                  <c:v>-2.6869999999999998</c:v>
                </c:pt>
                <c:pt idx="63">
                  <c:v>-3.956</c:v>
                </c:pt>
                <c:pt idx="64">
                  <c:v>-4.7560000000000002</c:v>
                </c:pt>
                <c:pt idx="65">
                  <c:v>-5.6239999999999997</c:v>
                </c:pt>
                <c:pt idx="66">
                  <c:v>-4.8920000000000003</c:v>
                </c:pt>
                <c:pt idx="67">
                  <c:v>-2.347</c:v>
                </c:pt>
                <c:pt idx="68">
                  <c:v>-1.34</c:v>
                </c:pt>
                <c:pt idx="69">
                  <c:v>-1.008</c:v>
                </c:pt>
                <c:pt idx="70">
                  <c:v>-0.98299999999999998</c:v>
                </c:pt>
                <c:pt idx="71">
                  <c:v>-0.89100000000000001</c:v>
                </c:pt>
                <c:pt idx="72">
                  <c:v>-1.079</c:v>
                </c:pt>
                <c:pt idx="73">
                  <c:v>-1.518</c:v>
                </c:pt>
                <c:pt idx="74">
                  <c:v>-0.53700000000000003</c:v>
                </c:pt>
                <c:pt idx="75">
                  <c:v>-0.54900000000000004</c:v>
                </c:pt>
                <c:pt idx="76">
                  <c:v>-7.6999999999999999E-2</c:v>
                </c:pt>
                <c:pt idx="77">
                  <c:v>-0.17699999999999999</c:v>
                </c:pt>
                <c:pt idx="78">
                  <c:v>-1.379</c:v>
                </c:pt>
                <c:pt idx="79">
                  <c:v>-0.184</c:v>
                </c:pt>
                <c:pt idx="80">
                  <c:v>-3.657</c:v>
                </c:pt>
                <c:pt idx="81">
                  <c:v>-4.8250000000000002</c:v>
                </c:pt>
                <c:pt idx="82">
                  <c:v>-4.5990000000000002</c:v>
                </c:pt>
                <c:pt idx="83">
                  <c:v>-7.98</c:v>
                </c:pt>
                <c:pt idx="84">
                  <c:v>-5.2130000000000001</c:v>
                </c:pt>
                <c:pt idx="85">
                  <c:v>-3.117</c:v>
                </c:pt>
                <c:pt idx="86">
                  <c:v>-5.306</c:v>
                </c:pt>
                <c:pt idx="87">
                  <c:v>-3.625</c:v>
                </c:pt>
                <c:pt idx="88">
                  <c:v>-4.9710000000000001</c:v>
                </c:pt>
                <c:pt idx="89">
                  <c:v>-7.53</c:v>
                </c:pt>
                <c:pt idx="90">
                  <c:v>-6.3120000000000003</c:v>
                </c:pt>
                <c:pt idx="91">
                  <c:v>-2.2919999999999998</c:v>
                </c:pt>
                <c:pt idx="92">
                  <c:v>2.3239999999999998</c:v>
                </c:pt>
                <c:pt idx="93">
                  <c:v>-3.3210000000000002</c:v>
                </c:pt>
                <c:pt idx="94">
                  <c:v>-4.1319999999999997</c:v>
                </c:pt>
                <c:pt idx="95">
                  <c:v>-0.97899999999999998</c:v>
                </c:pt>
                <c:pt idx="96">
                  <c:v>-3.2890000000000001</c:v>
                </c:pt>
                <c:pt idx="97">
                  <c:v>-4.9249999999999998</c:v>
                </c:pt>
                <c:pt idx="98">
                  <c:v>-2.2850000000000001</c:v>
                </c:pt>
                <c:pt idx="99">
                  <c:v>-3.7639999999999998</c:v>
                </c:pt>
                <c:pt idx="100">
                  <c:v>-5.1429999999999998</c:v>
                </c:pt>
                <c:pt idx="101">
                  <c:v>-1.722</c:v>
                </c:pt>
                <c:pt idx="102">
                  <c:v>-2.0710000000000002</c:v>
                </c:pt>
                <c:pt idx="103">
                  <c:v>-2.5499999999999998</c:v>
                </c:pt>
                <c:pt idx="104">
                  <c:v>-1.5289999999999999</c:v>
                </c:pt>
                <c:pt idx="105">
                  <c:v>-1.625</c:v>
                </c:pt>
                <c:pt idx="106">
                  <c:v>-2.4079999999999999</c:v>
                </c:pt>
                <c:pt idx="107">
                  <c:v>-4.8259999999999996</c:v>
                </c:pt>
                <c:pt idx="108">
                  <c:v>-5.2560000000000002</c:v>
                </c:pt>
                <c:pt idx="109">
                  <c:v>-5.6769999999999996</c:v>
                </c:pt>
                <c:pt idx="110">
                  <c:v>-3.923</c:v>
                </c:pt>
                <c:pt idx="111">
                  <c:v>-3.2490000000000001</c:v>
                </c:pt>
                <c:pt idx="112">
                  <c:v>-4.6470000000000002</c:v>
                </c:pt>
                <c:pt idx="113">
                  <c:v>-2.5259999999999998</c:v>
                </c:pt>
                <c:pt idx="114">
                  <c:v>1.071</c:v>
                </c:pt>
                <c:pt idx="115">
                  <c:v>-1.0069999999999999</c:v>
                </c:pt>
                <c:pt idx="116">
                  <c:v>0.47699999999999998</c:v>
                </c:pt>
                <c:pt idx="117">
                  <c:v>-0.74</c:v>
                </c:pt>
                <c:pt idx="118">
                  <c:v>-2.7469999999999999</c:v>
                </c:pt>
                <c:pt idx="119">
                  <c:v>-4.4640000000000004</c:v>
                </c:pt>
                <c:pt idx="120">
                  <c:v>-5.4820000000000002</c:v>
                </c:pt>
                <c:pt idx="121">
                  <c:v>-3.8090000000000002</c:v>
                </c:pt>
                <c:pt idx="122">
                  <c:v>-3.0790000000000002</c:v>
                </c:pt>
                <c:pt idx="123">
                  <c:v>-0.82899999999999996</c:v>
                </c:pt>
                <c:pt idx="124">
                  <c:v>2.3650000000000002</c:v>
                </c:pt>
                <c:pt idx="125">
                  <c:v>3.5249999999999999</c:v>
                </c:pt>
                <c:pt idx="126">
                  <c:v>-1.794</c:v>
                </c:pt>
                <c:pt idx="127">
                  <c:v>-3.0310000000000001</c:v>
                </c:pt>
                <c:pt idx="128">
                  <c:v>-4.1790000000000003</c:v>
                </c:pt>
                <c:pt idx="129">
                  <c:v>1.36</c:v>
                </c:pt>
                <c:pt idx="130">
                  <c:v>4.5720000000000001</c:v>
                </c:pt>
                <c:pt idx="131">
                  <c:v>5.33</c:v>
                </c:pt>
                <c:pt idx="132">
                  <c:v>5.4690000000000003</c:v>
                </c:pt>
                <c:pt idx="133">
                  <c:v>1.349</c:v>
                </c:pt>
                <c:pt idx="134">
                  <c:v>-7.9000000000000001E-2</c:v>
                </c:pt>
                <c:pt idx="135">
                  <c:v>5.2430000000000003</c:v>
                </c:pt>
                <c:pt idx="136">
                  <c:v>-0.14199999999999999</c:v>
                </c:pt>
                <c:pt idx="137">
                  <c:v>-0.71099999999999997</c:v>
                </c:pt>
                <c:pt idx="138">
                  <c:v>-1.3959999999999999</c:v>
                </c:pt>
                <c:pt idx="139">
                  <c:v>-2.1779999999999999</c:v>
                </c:pt>
                <c:pt idx="140">
                  <c:v>-1.891</c:v>
                </c:pt>
                <c:pt idx="141">
                  <c:v>3.577</c:v>
                </c:pt>
                <c:pt idx="142">
                  <c:v>2.3980000000000001</c:v>
                </c:pt>
                <c:pt idx="143">
                  <c:v>1.2569999999999999</c:v>
                </c:pt>
                <c:pt idx="144">
                  <c:v>4.093</c:v>
                </c:pt>
                <c:pt idx="145">
                  <c:v>1.319</c:v>
                </c:pt>
                <c:pt idx="146">
                  <c:v>-0.113</c:v>
                </c:pt>
                <c:pt idx="147">
                  <c:v>1.6879999999999999</c:v>
                </c:pt>
                <c:pt idx="148">
                  <c:v>-0.57399999999999995</c:v>
                </c:pt>
                <c:pt idx="149">
                  <c:v>-0.98299999999999998</c:v>
                </c:pt>
                <c:pt idx="150">
                  <c:v>-1.5980000000000001</c:v>
                </c:pt>
                <c:pt idx="151">
                  <c:v>0.97799999999999998</c:v>
                </c:pt>
                <c:pt idx="152">
                  <c:v>4.5419999999999998</c:v>
                </c:pt>
                <c:pt idx="153">
                  <c:v>1.823</c:v>
                </c:pt>
                <c:pt idx="154">
                  <c:v>0.52200000000000002</c:v>
                </c:pt>
                <c:pt idx="155">
                  <c:v>0.108</c:v>
                </c:pt>
                <c:pt idx="156">
                  <c:v>-1.194</c:v>
                </c:pt>
                <c:pt idx="157">
                  <c:v>-0.56699999999999995</c:v>
                </c:pt>
                <c:pt idx="158">
                  <c:v>1.236</c:v>
                </c:pt>
                <c:pt idx="159">
                  <c:v>2.754</c:v>
                </c:pt>
                <c:pt idx="160">
                  <c:v>6.1790000000000003</c:v>
                </c:pt>
                <c:pt idx="161">
                  <c:v>5.226</c:v>
                </c:pt>
                <c:pt idx="162">
                  <c:v>4.726</c:v>
                </c:pt>
                <c:pt idx="163">
                  <c:v>0.57099999999999995</c:v>
                </c:pt>
                <c:pt idx="164">
                  <c:v>0.434</c:v>
                </c:pt>
                <c:pt idx="165">
                  <c:v>1.6080000000000001</c:v>
                </c:pt>
                <c:pt idx="166">
                  <c:v>2.2229999999999999</c:v>
                </c:pt>
                <c:pt idx="167">
                  <c:v>1.952</c:v>
                </c:pt>
                <c:pt idx="168">
                  <c:v>3.7010000000000001</c:v>
                </c:pt>
                <c:pt idx="169">
                  <c:v>1.6180000000000001</c:v>
                </c:pt>
                <c:pt idx="170">
                  <c:v>0.85499999999999998</c:v>
                </c:pt>
                <c:pt idx="171">
                  <c:v>3.2789999999999999</c:v>
                </c:pt>
                <c:pt idx="172">
                  <c:v>5.032</c:v>
                </c:pt>
                <c:pt idx="173">
                  <c:v>7.7</c:v>
                </c:pt>
                <c:pt idx="174">
                  <c:v>5.0949999999999998</c:v>
                </c:pt>
                <c:pt idx="175">
                  <c:v>4.2610000000000001</c:v>
                </c:pt>
                <c:pt idx="176">
                  <c:v>2.1779999999999999</c:v>
                </c:pt>
                <c:pt idx="177">
                  <c:v>5.5010000000000003</c:v>
                </c:pt>
                <c:pt idx="178">
                  <c:v>4.4790000000000001</c:v>
                </c:pt>
                <c:pt idx="179">
                  <c:v>3.8769999999999998</c:v>
                </c:pt>
                <c:pt idx="180">
                  <c:v>8.5</c:v>
                </c:pt>
                <c:pt idx="181">
                  <c:v>9.75</c:v>
                </c:pt>
                <c:pt idx="182">
                  <c:v>8.93</c:v>
                </c:pt>
                <c:pt idx="183">
                  <c:v>5.056</c:v>
                </c:pt>
                <c:pt idx="184">
                  <c:v>3.7290000000000001</c:v>
                </c:pt>
                <c:pt idx="185">
                  <c:v>5.4989999999999997</c:v>
                </c:pt>
                <c:pt idx="186">
                  <c:v>7.91</c:v>
                </c:pt>
                <c:pt idx="187">
                  <c:v>8.4700000000000006</c:v>
                </c:pt>
                <c:pt idx="188">
                  <c:v>9.57</c:v>
                </c:pt>
                <c:pt idx="189">
                  <c:v>11.37</c:v>
                </c:pt>
                <c:pt idx="190">
                  <c:v>12.94</c:v>
                </c:pt>
                <c:pt idx="191">
                  <c:v>11.56</c:v>
                </c:pt>
                <c:pt idx="192">
                  <c:v>9.25</c:v>
                </c:pt>
                <c:pt idx="193">
                  <c:v>9.64</c:v>
                </c:pt>
                <c:pt idx="194">
                  <c:v>10.57</c:v>
                </c:pt>
                <c:pt idx="195">
                  <c:v>11.1</c:v>
                </c:pt>
                <c:pt idx="196">
                  <c:v>11.1</c:v>
                </c:pt>
                <c:pt idx="197">
                  <c:v>11.7</c:v>
                </c:pt>
                <c:pt idx="198">
                  <c:v>14.17</c:v>
                </c:pt>
                <c:pt idx="199">
                  <c:v>15.08</c:v>
                </c:pt>
                <c:pt idx="200">
                  <c:v>13.15</c:v>
                </c:pt>
                <c:pt idx="201">
                  <c:v>10.83</c:v>
                </c:pt>
                <c:pt idx="202">
                  <c:v>14.6</c:v>
                </c:pt>
                <c:pt idx="203">
                  <c:v>10.87</c:v>
                </c:pt>
                <c:pt idx="204">
                  <c:v>4.5199999999999996</c:v>
                </c:pt>
                <c:pt idx="205">
                  <c:v>6.92</c:v>
                </c:pt>
                <c:pt idx="206">
                  <c:v>5.0209999999999999</c:v>
                </c:pt>
                <c:pt idx="207">
                  <c:v>4.0289999999999999</c:v>
                </c:pt>
                <c:pt idx="208">
                  <c:v>5.3869999999999996</c:v>
                </c:pt>
                <c:pt idx="209">
                  <c:v>7.6</c:v>
                </c:pt>
                <c:pt idx="210">
                  <c:v>10.6</c:v>
                </c:pt>
                <c:pt idx="211">
                  <c:v>9</c:v>
                </c:pt>
                <c:pt idx="212">
                  <c:v>7.33</c:v>
                </c:pt>
                <c:pt idx="213">
                  <c:v>8.9600000000000009</c:v>
                </c:pt>
                <c:pt idx="214">
                  <c:v>12.84</c:v>
                </c:pt>
                <c:pt idx="215">
                  <c:v>14.26</c:v>
                </c:pt>
                <c:pt idx="216">
                  <c:v>13.11</c:v>
                </c:pt>
                <c:pt idx="217">
                  <c:v>11.79</c:v>
                </c:pt>
                <c:pt idx="218">
                  <c:v>7.39</c:v>
                </c:pt>
                <c:pt idx="219">
                  <c:v>6.601</c:v>
                </c:pt>
                <c:pt idx="220">
                  <c:v>9.1199999999999992</c:v>
                </c:pt>
                <c:pt idx="221">
                  <c:v>9.6300000000000008</c:v>
                </c:pt>
                <c:pt idx="222">
                  <c:v>8.34</c:v>
                </c:pt>
                <c:pt idx="223">
                  <c:v>9.1199999999999992</c:v>
                </c:pt>
                <c:pt idx="224">
                  <c:v>9.65</c:v>
                </c:pt>
                <c:pt idx="225">
                  <c:v>7.84</c:v>
                </c:pt>
                <c:pt idx="226">
                  <c:v>9.3000000000000007</c:v>
                </c:pt>
                <c:pt idx="227">
                  <c:v>10.1</c:v>
                </c:pt>
                <c:pt idx="228">
                  <c:v>10.34</c:v>
                </c:pt>
                <c:pt idx="229">
                  <c:v>8.8000000000000007</c:v>
                </c:pt>
                <c:pt idx="230">
                  <c:v>7.89</c:v>
                </c:pt>
                <c:pt idx="231">
                  <c:v>5.2229999999999999</c:v>
                </c:pt>
                <c:pt idx="232">
                  <c:v>4.3120000000000003</c:v>
                </c:pt>
                <c:pt idx="233">
                  <c:v>7.55</c:v>
                </c:pt>
                <c:pt idx="234">
                  <c:v>6.14</c:v>
                </c:pt>
                <c:pt idx="235">
                  <c:v>8.31</c:v>
                </c:pt>
                <c:pt idx="236">
                  <c:v>6.7690000000000001</c:v>
                </c:pt>
                <c:pt idx="237">
                  <c:v>4.0979999999999999</c:v>
                </c:pt>
                <c:pt idx="238">
                  <c:v>5.3879999999999999</c:v>
                </c:pt>
                <c:pt idx="239">
                  <c:v>4.3120000000000003</c:v>
                </c:pt>
                <c:pt idx="240">
                  <c:v>3.242</c:v>
                </c:pt>
                <c:pt idx="241">
                  <c:v>3.8740000000000001</c:v>
                </c:pt>
                <c:pt idx="242">
                  <c:v>8.01</c:v>
                </c:pt>
                <c:pt idx="243">
                  <c:v>9.8000000000000007</c:v>
                </c:pt>
                <c:pt idx="244">
                  <c:v>11</c:v>
                </c:pt>
                <c:pt idx="245">
                  <c:v>11.44</c:v>
                </c:pt>
                <c:pt idx="246">
                  <c:v>8.32</c:v>
                </c:pt>
                <c:pt idx="247">
                  <c:v>7.54</c:v>
                </c:pt>
                <c:pt idx="248">
                  <c:v>8.9499999999999993</c:v>
                </c:pt>
                <c:pt idx="249">
                  <c:v>11.22</c:v>
                </c:pt>
                <c:pt idx="250">
                  <c:v>10.62</c:v>
                </c:pt>
                <c:pt idx="251">
                  <c:v>12.99</c:v>
                </c:pt>
                <c:pt idx="252">
                  <c:v>4.5880000000000001</c:v>
                </c:pt>
                <c:pt idx="253">
                  <c:v>2.6739999999999999</c:v>
                </c:pt>
                <c:pt idx="254">
                  <c:v>6.1619999999999999</c:v>
                </c:pt>
                <c:pt idx="255">
                  <c:v>4.7889999999999997</c:v>
                </c:pt>
                <c:pt idx="256">
                  <c:v>3.2160000000000002</c:v>
                </c:pt>
                <c:pt idx="257">
                  <c:v>3.5329999999999999</c:v>
                </c:pt>
                <c:pt idx="258">
                  <c:v>0.81799999999999995</c:v>
                </c:pt>
                <c:pt idx="259">
                  <c:v>1.405</c:v>
                </c:pt>
                <c:pt idx="260">
                  <c:v>4.202</c:v>
                </c:pt>
                <c:pt idx="261">
                  <c:v>5.5069999999999997</c:v>
                </c:pt>
                <c:pt idx="262">
                  <c:v>4.4029999999999996</c:v>
                </c:pt>
                <c:pt idx="263">
                  <c:v>0.14299999999999999</c:v>
                </c:pt>
                <c:pt idx="264">
                  <c:v>-0.39900000000000002</c:v>
                </c:pt>
                <c:pt idx="265">
                  <c:v>6.58</c:v>
                </c:pt>
                <c:pt idx="266">
                  <c:v>6.4340000000000002</c:v>
                </c:pt>
                <c:pt idx="267">
                  <c:v>8.5500000000000007</c:v>
                </c:pt>
                <c:pt idx="268">
                  <c:v>6.173</c:v>
                </c:pt>
                <c:pt idx="269">
                  <c:v>3.262</c:v>
                </c:pt>
                <c:pt idx="270">
                  <c:v>1.4750000000000001</c:v>
                </c:pt>
                <c:pt idx="271">
                  <c:v>-0.17399999999999999</c:v>
                </c:pt>
                <c:pt idx="272">
                  <c:v>-1.2569999999999999</c:v>
                </c:pt>
                <c:pt idx="273">
                  <c:v>-3.23</c:v>
                </c:pt>
                <c:pt idx="274">
                  <c:v>-0.61399999999999999</c:v>
                </c:pt>
                <c:pt idx="275">
                  <c:v>-0.91800000000000004</c:v>
                </c:pt>
                <c:pt idx="276">
                  <c:v>-1.9319999999999999</c:v>
                </c:pt>
                <c:pt idx="277">
                  <c:v>2.5619999999999998</c:v>
                </c:pt>
                <c:pt idx="278">
                  <c:v>-0.17699999999999999</c:v>
                </c:pt>
                <c:pt idx="279">
                  <c:v>2.2589999999999999</c:v>
                </c:pt>
                <c:pt idx="280">
                  <c:v>1.736</c:v>
                </c:pt>
                <c:pt idx="281">
                  <c:v>7.18</c:v>
                </c:pt>
                <c:pt idx="282">
                  <c:v>0.97099999999999997</c:v>
                </c:pt>
                <c:pt idx="283">
                  <c:v>-2.3570000000000002</c:v>
                </c:pt>
                <c:pt idx="284">
                  <c:v>-1.7230000000000001</c:v>
                </c:pt>
                <c:pt idx="285">
                  <c:v>1.895</c:v>
                </c:pt>
                <c:pt idx="286">
                  <c:v>3.9009999999999998</c:v>
                </c:pt>
                <c:pt idx="287">
                  <c:v>5.5129999999999999</c:v>
                </c:pt>
                <c:pt idx="288">
                  <c:v>4.5309999999999997</c:v>
                </c:pt>
                <c:pt idx="289">
                  <c:v>-1.5509999999999999</c:v>
                </c:pt>
                <c:pt idx="290">
                  <c:v>-3.7189999999999999</c:v>
                </c:pt>
                <c:pt idx="291">
                  <c:v>-4.2</c:v>
                </c:pt>
                <c:pt idx="292">
                  <c:v>2.8000000000000001E-2</c:v>
                </c:pt>
                <c:pt idx="293">
                  <c:v>2.6560000000000001</c:v>
                </c:pt>
                <c:pt idx="294">
                  <c:v>7.9000000000000001E-2</c:v>
                </c:pt>
                <c:pt idx="295">
                  <c:v>-3.79</c:v>
                </c:pt>
                <c:pt idx="296">
                  <c:v>-3.6150000000000002</c:v>
                </c:pt>
                <c:pt idx="297">
                  <c:v>-4.5810000000000004</c:v>
                </c:pt>
                <c:pt idx="298">
                  <c:v>-4.8440000000000003</c:v>
                </c:pt>
                <c:pt idx="299">
                  <c:v>-0.26400000000000001</c:v>
                </c:pt>
                <c:pt idx="300">
                  <c:v>0.89900000000000002</c:v>
                </c:pt>
                <c:pt idx="301">
                  <c:v>-2.4660000000000002</c:v>
                </c:pt>
                <c:pt idx="302">
                  <c:v>-5.6340000000000003</c:v>
                </c:pt>
                <c:pt idx="303">
                  <c:v>-3.5449999999999999</c:v>
                </c:pt>
                <c:pt idx="304">
                  <c:v>-2.641</c:v>
                </c:pt>
                <c:pt idx="305">
                  <c:v>-2.7370000000000001</c:v>
                </c:pt>
                <c:pt idx="306">
                  <c:v>-2.4980000000000002</c:v>
                </c:pt>
                <c:pt idx="307">
                  <c:v>-4.6929999999999996</c:v>
                </c:pt>
                <c:pt idx="308">
                  <c:v>-2.492</c:v>
                </c:pt>
                <c:pt idx="309">
                  <c:v>-5.0659999999999998</c:v>
                </c:pt>
                <c:pt idx="310">
                  <c:v>-5.1210000000000004</c:v>
                </c:pt>
                <c:pt idx="311">
                  <c:v>-1.304</c:v>
                </c:pt>
                <c:pt idx="312">
                  <c:v>-2.1880000000000002</c:v>
                </c:pt>
                <c:pt idx="313">
                  <c:v>0.16700000000000001</c:v>
                </c:pt>
                <c:pt idx="314">
                  <c:v>-0.318</c:v>
                </c:pt>
                <c:pt idx="315">
                  <c:v>-1.903</c:v>
                </c:pt>
                <c:pt idx="316">
                  <c:v>-1.212</c:v>
                </c:pt>
                <c:pt idx="317">
                  <c:v>-0.35</c:v>
                </c:pt>
                <c:pt idx="318">
                  <c:v>-2.8940000000000001</c:v>
                </c:pt>
                <c:pt idx="319">
                  <c:v>-7.11</c:v>
                </c:pt>
                <c:pt idx="320">
                  <c:v>-7.17</c:v>
                </c:pt>
                <c:pt idx="321">
                  <c:v>-2.4569999999999999</c:v>
                </c:pt>
                <c:pt idx="322">
                  <c:v>-4.5590000000000002</c:v>
                </c:pt>
                <c:pt idx="323">
                  <c:v>-5.468</c:v>
                </c:pt>
                <c:pt idx="324">
                  <c:v>-3.0419999999999998</c:v>
                </c:pt>
                <c:pt idx="325">
                  <c:v>-2.077</c:v>
                </c:pt>
                <c:pt idx="326">
                  <c:v>-2.2709999999999999</c:v>
                </c:pt>
                <c:pt idx="327">
                  <c:v>-2.5960000000000001</c:v>
                </c:pt>
                <c:pt idx="328">
                  <c:v>-2.8079999999999998</c:v>
                </c:pt>
                <c:pt idx="329">
                  <c:v>-3.641</c:v>
                </c:pt>
                <c:pt idx="330">
                  <c:v>-4.8499999999999996</c:v>
                </c:pt>
                <c:pt idx="331">
                  <c:v>-4.0659999999999998</c:v>
                </c:pt>
                <c:pt idx="332">
                  <c:v>-4.49</c:v>
                </c:pt>
                <c:pt idx="333">
                  <c:v>-4.6909999999999998</c:v>
                </c:pt>
                <c:pt idx="334">
                  <c:v>-2.56</c:v>
                </c:pt>
                <c:pt idx="335">
                  <c:v>-2.6909999999999998</c:v>
                </c:pt>
                <c:pt idx="336">
                  <c:v>-4.048</c:v>
                </c:pt>
                <c:pt idx="337">
                  <c:v>-4.1079999999999997</c:v>
                </c:pt>
                <c:pt idx="338">
                  <c:v>-4.5839999999999996</c:v>
                </c:pt>
                <c:pt idx="339">
                  <c:v>-4.7370000000000001</c:v>
                </c:pt>
                <c:pt idx="340">
                  <c:v>-2.8410000000000002</c:v>
                </c:pt>
                <c:pt idx="341">
                  <c:v>-0.504</c:v>
                </c:pt>
                <c:pt idx="342">
                  <c:v>-1.1879999999999999</c:v>
                </c:pt>
                <c:pt idx="343">
                  <c:v>-3.0630000000000002</c:v>
                </c:pt>
                <c:pt idx="344">
                  <c:v>-3.8220000000000001</c:v>
                </c:pt>
                <c:pt idx="345">
                  <c:v>-2.4940000000000002</c:v>
                </c:pt>
                <c:pt idx="346">
                  <c:v>-2.7080000000000002</c:v>
                </c:pt>
                <c:pt idx="347">
                  <c:v>-1.7190000000000001</c:v>
                </c:pt>
                <c:pt idx="348">
                  <c:v>-1.119</c:v>
                </c:pt>
                <c:pt idx="349">
                  <c:v>-2.4740000000000002</c:v>
                </c:pt>
                <c:pt idx="350">
                  <c:v>-3.1619999999999999</c:v>
                </c:pt>
                <c:pt idx="351">
                  <c:v>-2.2450000000000001</c:v>
                </c:pt>
                <c:pt idx="352">
                  <c:v>-1.1719999999999999</c:v>
                </c:pt>
                <c:pt idx="353">
                  <c:v>-1.2569999999999999</c:v>
                </c:pt>
                <c:pt idx="354">
                  <c:v>-0.71</c:v>
                </c:pt>
                <c:pt idx="355">
                  <c:v>-0.59199999999999997</c:v>
                </c:pt>
                <c:pt idx="356">
                  <c:v>-0.47899999999999998</c:v>
                </c:pt>
                <c:pt idx="357">
                  <c:v>-0.54600000000000004</c:v>
                </c:pt>
                <c:pt idx="358">
                  <c:v>-0.68400000000000005</c:v>
                </c:pt>
                <c:pt idx="359">
                  <c:v>-1.218</c:v>
                </c:pt>
                <c:pt idx="360">
                  <c:v>-1.2</c:v>
                </c:pt>
                <c:pt idx="361">
                  <c:v>-1.6830000000000001</c:v>
                </c:pt>
                <c:pt idx="362">
                  <c:v>-1.492</c:v>
                </c:pt>
                <c:pt idx="363">
                  <c:v>-1.202</c:v>
                </c:pt>
                <c:pt idx="364">
                  <c:v>-1.0529999999999999</c:v>
                </c:pt>
                <c:pt idx="365">
                  <c:v>-1.5960000000000001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-1.6659999999999999</c:v>
                </c:pt>
                <c:pt idx="1">
                  <c:v>-2.8340000000000001</c:v>
                </c:pt>
                <c:pt idx="2">
                  <c:v>-0.91900000000000004</c:v>
                </c:pt>
                <c:pt idx="3">
                  <c:v>-1.7130000000000001</c:v>
                </c:pt>
                <c:pt idx="4">
                  <c:v>-2.052</c:v>
                </c:pt>
                <c:pt idx="5">
                  <c:v>-1.8640000000000001</c:v>
                </c:pt>
                <c:pt idx="6">
                  <c:v>-2.879</c:v>
                </c:pt>
                <c:pt idx="7">
                  <c:v>-3.8260000000000001</c:v>
                </c:pt>
                <c:pt idx="8">
                  <c:v>-2.2719999999999998</c:v>
                </c:pt>
                <c:pt idx="9">
                  <c:v>-2.8029999999999999</c:v>
                </c:pt>
                <c:pt idx="10">
                  <c:v>-5.4169999999999998</c:v>
                </c:pt>
                <c:pt idx="11">
                  <c:v>-8.52</c:v>
                </c:pt>
                <c:pt idx="12">
                  <c:v>-8.9499999999999993</c:v>
                </c:pt>
                <c:pt idx="13">
                  <c:v>-7.5</c:v>
                </c:pt>
                <c:pt idx="14">
                  <c:v>-7.06</c:v>
                </c:pt>
                <c:pt idx="15">
                  <c:v>-5.69</c:v>
                </c:pt>
                <c:pt idx="16">
                  <c:v>-4.9450000000000003</c:v>
                </c:pt>
                <c:pt idx="17">
                  <c:v>-4.5579999999999998</c:v>
                </c:pt>
                <c:pt idx="18">
                  <c:v>-3.3620000000000001</c:v>
                </c:pt>
                <c:pt idx="19">
                  <c:v>-1.611</c:v>
                </c:pt>
                <c:pt idx="20">
                  <c:v>-0.498</c:v>
                </c:pt>
                <c:pt idx="21">
                  <c:v>-0.129</c:v>
                </c:pt>
                <c:pt idx="22">
                  <c:v>0.02</c:v>
                </c:pt>
                <c:pt idx="23">
                  <c:v>-3.7999999999999999E-2</c:v>
                </c:pt>
                <c:pt idx="24">
                  <c:v>-0.16700000000000001</c:v>
                </c:pt>
                <c:pt idx="25">
                  <c:v>-0.10100000000000001</c:v>
                </c:pt>
                <c:pt idx="26">
                  <c:v>2.1000000000000001E-2</c:v>
                </c:pt>
                <c:pt idx="27">
                  <c:v>8.8999999999999996E-2</c:v>
                </c:pt>
                <c:pt idx="28">
                  <c:v>0.124</c:v>
                </c:pt>
                <c:pt idx="29">
                  <c:v>0.10299999999999999</c:v>
                </c:pt>
                <c:pt idx="30">
                  <c:v>0.61399999999999999</c:v>
                </c:pt>
                <c:pt idx="31">
                  <c:v>1.0469999999999999</c:v>
                </c:pt>
                <c:pt idx="32">
                  <c:v>0.49099999999999999</c:v>
                </c:pt>
                <c:pt idx="33">
                  <c:v>-0.69099999999999995</c:v>
                </c:pt>
                <c:pt idx="34">
                  <c:v>-2.6589999999999998</c:v>
                </c:pt>
                <c:pt idx="35">
                  <c:v>-1.1619999999999999</c:v>
                </c:pt>
                <c:pt idx="36">
                  <c:v>-0.35</c:v>
                </c:pt>
                <c:pt idx="37">
                  <c:v>-1.006</c:v>
                </c:pt>
                <c:pt idx="38">
                  <c:v>-2.58</c:v>
                </c:pt>
                <c:pt idx="39">
                  <c:v>-5.4169999999999998</c:v>
                </c:pt>
                <c:pt idx="40">
                  <c:v>-3.472</c:v>
                </c:pt>
                <c:pt idx="41">
                  <c:v>-1.5629999999999999</c:v>
                </c:pt>
                <c:pt idx="42">
                  <c:v>-1.123</c:v>
                </c:pt>
                <c:pt idx="43">
                  <c:v>-3.4710000000000001</c:v>
                </c:pt>
                <c:pt idx="44">
                  <c:v>-5.74</c:v>
                </c:pt>
                <c:pt idx="45">
                  <c:v>-6.5490000000000004</c:v>
                </c:pt>
                <c:pt idx="46">
                  <c:v>-6.0039999999999996</c:v>
                </c:pt>
                <c:pt idx="47">
                  <c:v>-4.157</c:v>
                </c:pt>
                <c:pt idx="48">
                  <c:v>-2.3130000000000002</c:v>
                </c:pt>
                <c:pt idx="49">
                  <c:v>-1.0369999999999999</c:v>
                </c:pt>
                <c:pt idx="50">
                  <c:v>4.3999999999999997E-2</c:v>
                </c:pt>
                <c:pt idx="51">
                  <c:v>3.3000000000000002E-2</c:v>
                </c:pt>
                <c:pt idx="52">
                  <c:v>-6.0000000000000001E-3</c:v>
                </c:pt>
                <c:pt idx="53">
                  <c:v>-0.755</c:v>
                </c:pt>
                <c:pt idx="54">
                  <c:v>-0.374</c:v>
                </c:pt>
                <c:pt idx="55">
                  <c:v>-0.309</c:v>
                </c:pt>
                <c:pt idx="56">
                  <c:v>-1.5389999999999999</c:v>
                </c:pt>
                <c:pt idx="57">
                  <c:v>-3.9060000000000001</c:v>
                </c:pt>
                <c:pt idx="58">
                  <c:v>-1.4</c:v>
                </c:pt>
                <c:pt idx="59">
                  <c:v>-0.41099999999999998</c:v>
                </c:pt>
                <c:pt idx="60">
                  <c:v>-1.379</c:v>
                </c:pt>
                <c:pt idx="61">
                  <c:v>-1.554</c:v>
                </c:pt>
                <c:pt idx="62">
                  <c:v>-1.593</c:v>
                </c:pt>
                <c:pt idx="63">
                  <c:v>-2.4910000000000001</c:v>
                </c:pt>
                <c:pt idx="64">
                  <c:v>-3.5619999999999998</c:v>
                </c:pt>
                <c:pt idx="65">
                  <c:v>-4.0430000000000001</c:v>
                </c:pt>
                <c:pt idx="66">
                  <c:v>-3.0459999999999998</c:v>
                </c:pt>
                <c:pt idx="67">
                  <c:v>-1.214</c:v>
                </c:pt>
                <c:pt idx="68">
                  <c:v>-0.63600000000000001</c:v>
                </c:pt>
                <c:pt idx="69">
                  <c:v>-0.42399999999999999</c:v>
                </c:pt>
                <c:pt idx="70">
                  <c:v>-0.39100000000000001</c:v>
                </c:pt>
                <c:pt idx="71">
                  <c:v>-0.25</c:v>
                </c:pt>
                <c:pt idx="72">
                  <c:v>-0.30299999999999999</c:v>
                </c:pt>
                <c:pt idx="73">
                  <c:v>-0.46500000000000002</c:v>
                </c:pt>
                <c:pt idx="74">
                  <c:v>6.4000000000000001E-2</c:v>
                </c:pt>
                <c:pt idx="75">
                  <c:v>0.154</c:v>
                </c:pt>
                <c:pt idx="76">
                  <c:v>0.41399999999999998</c:v>
                </c:pt>
                <c:pt idx="77">
                  <c:v>0.71399999999999997</c:v>
                </c:pt>
                <c:pt idx="78">
                  <c:v>1.357</c:v>
                </c:pt>
                <c:pt idx="79">
                  <c:v>2.1469999999999998</c:v>
                </c:pt>
                <c:pt idx="80">
                  <c:v>1.004</c:v>
                </c:pt>
                <c:pt idx="81">
                  <c:v>0.80100000000000005</c:v>
                </c:pt>
                <c:pt idx="82">
                  <c:v>1.181</c:v>
                </c:pt>
                <c:pt idx="83">
                  <c:v>-0.28000000000000003</c:v>
                </c:pt>
                <c:pt idx="84">
                  <c:v>0.56399999999999995</c:v>
                </c:pt>
                <c:pt idx="85">
                  <c:v>0.40100000000000002</c:v>
                </c:pt>
                <c:pt idx="86">
                  <c:v>-0.78700000000000003</c:v>
                </c:pt>
                <c:pt idx="87">
                  <c:v>-0.54900000000000004</c:v>
                </c:pt>
                <c:pt idx="88">
                  <c:v>-0.40799999999999997</c:v>
                </c:pt>
                <c:pt idx="89">
                  <c:v>-1.177</c:v>
                </c:pt>
                <c:pt idx="90">
                  <c:v>0.42899999999999999</c:v>
                </c:pt>
                <c:pt idx="91">
                  <c:v>5.492</c:v>
                </c:pt>
                <c:pt idx="92">
                  <c:v>6.577</c:v>
                </c:pt>
                <c:pt idx="93">
                  <c:v>1.4379999999999999</c:v>
                </c:pt>
                <c:pt idx="94">
                  <c:v>2.1999999999999999E-2</c:v>
                </c:pt>
                <c:pt idx="95">
                  <c:v>0.86099999999999999</c:v>
                </c:pt>
                <c:pt idx="96">
                  <c:v>1.992</c:v>
                </c:pt>
                <c:pt idx="97">
                  <c:v>0.98199999999999998</c:v>
                </c:pt>
                <c:pt idx="98">
                  <c:v>-2.9000000000000001E-2</c:v>
                </c:pt>
                <c:pt idx="99">
                  <c:v>0.877</c:v>
                </c:pt>
                <c:pt idx="100">
                  <c:v>3.2360000000000002</c:v>
                </c:pt>
                <c:pt idx="101">
                  <c:v>3.08</c:v>
                </c:pt>
                <c:pt idx="102">
                  <c:v>2.8180000000000001</c:v>
                </c:pt>
                <c:pt idx="103">
                  <c:v>5.5229999999999997</c:v>
                </c:pt>
                <c:pt idx="104">
                  <c:v>7.91</c:v>
                </c:pt>
                <c:pt idx="105">
                  <c:v>3.7170000000000001</c:v>
                </c:pt>
                <c:pt idx="106">
                  <c:v>-0.748</c:v>
                </c:pt>
                <c:pt idx="107">
                  <c:v>-0.45200000000000001</c:v>
                </c:pt>
                <c:pt idx="108">
                  <c:v>1.5509999999999999</c:v>
                </c:pt>
                <c:pt idx="109">
                  <c:v>2.8639999999999999</c:v>
                </c:pt>
                <c:pt idx="110">
                  <c:v>6.6760000000000002</c:v>
                </c:pt>
                <c:pt idx="111">
                  <c:v>2.004</c:v>
                </c:pt>
                <c:pt idx="112">
                  <c:v>3.758</c:v>
                </c:pt>
                <c:pt idx="113">
                  <c:v>7.31</c:v>
                </c:pt>
                <c:pt idx="114">
                  <c:v>5.9989999999999997</c:v>
                </c:pt>
                <c:pt idx="115">
                  <c:v>3.7360000000000002</c:v>
                </c:pt>
                <c:pt idx="116">
                  <c:v>3.9980000000000002</c:v>
                </c:pt>
                <c:pt idx="117">
                  <c:v>3.9820000000000002</c:v>
                </c:pt>
                <c:pt idx="118">
                  <c:v>2.7109999999999999</c:v>
                </c:pt>
                <c:pt idx="119">
                  <c:v>0.14099999999999999</c:v>
                </c:pt>
                <c:pt idx="120">
                  <c:v>0.91100000000000003</c:v>
                </c:pt>
                <c:pt idx="121">
                  <c:v>3.51</c:v>
                </c:pt>
                <c:pt idx="122">
                  <c:v>6.33</c:v>
                </c:pt>
                <c:pt idx="123">
                  <c:v>7.65</c:v>
                </c:pt>
                <c:pt idx="124">
                  <c:v>10.02</c:v>
                </c:pt>
                <c:pt idx="125">
                  <c:v>9.4499999999999993</c:v>
                </c:pt>
                <c:pt idx="126">
                  <c:v>5.3230000000000004</c:v>
                </c:pt>
                <c:pt idx="127">
                  <c:v>4.4880000000000004</c:v>
                </c:pt>
                <c:pt idx="128">
                  <c:v>8.52</c:v>
                </c:pt>
                <c:pt idx="129">
                  <c:v>13.59</c:v>
                </c:pt>
                <c:pt idx="130">
                  <c:v>16.37</c:v>
                </c:pt>
                <c:pt idx="131">
                  <c:v>17.55</c:v>
                </c:pt>
                <c:pt idx="132">
                  <c:v>14.54</c:v>
                </c:pt>
                <c:pt idx="133">
                  <c:v>8.39</c:v>
                </c:pt>
                <c:pt idx="134">
                  <c:v>8.9700000000000006</c:v>
                </c:pt>
                <c:pt idx="135">
                  <c:v>12.13</c:v>
                </c:pt>
                <c:pt idx="136">
                  <c:v>7.24</c:v>
                </c:pt>
                <c:pt idx="137">
                  <c:v>2.3330000000000002</c:v>
                </c:pt>
                <c:pt idx="138">
                  <c:v>4.625</c:v>
                </c:pt>
                <c:pt idx="139">
                  <c:v>6.21</c:v>
                </c:pt>
                <c:pt idx="140">
                  <c:v>8.76</c:v>
                </c:pt>
                <c:pt idx="141">
                  <c:v>7.28</c:v>
                </c:pt>
                <c:pt idx="142">
                  <c:v>9.0399999999999991</c:v>
                </c:pt>
                <c:pt idx="143">
                  <c:v>9.89</c:v>
                </c:pt>
                <c:pt idx="144">
                  <c:v>8.92</c:v>
                </c:pt>
                <c:pt idx="145">
                  <c:v>6.6349999999999998</c:v>
                </c:pt>
                <c:pt idx="146">
                  <c:v>7.37</c:v>
                </c:pt>
                <c:pt idx="147">
                  <c:v>9.14</c:v>
                </c:pt>
                <c:pt idx="148">
                  <c:v>7.4</c:v>
                </c:pt>
                <c:pt idx="149">
                  <c:v>4.2939999999999996</c:v>
                </c:pt>
                <c:pt idx="150">
                  <c:v>5.4630000000000001</c:v>
                </c:pt>
                <c:pt idx="151">
                  <c:v>9.59</c:v>
                </c:pt>
                <c:pt idx="152">
                  <c:v>9.01</c:v>
                </c:pt>
                <c:pt idx="153">
                  <c:v>7.79</c:v>
                </c:pt>
                <c:pt idx="154">
                  <c:v>5.8979999999999997</c:v>
                </c:pt>
                <c:pt idx="155">
                  <c:v>7.66</c:v>
                </c:pt>
                <c:pt idx="156">
                  <c:v>8.09</c:v>
                </c:pt>
                <c:pt idx="157">
                  <c:v>10.73</c:v>
                </c:pt>
                <c:pt idx="158">
                  <c:v>13</c:v>
                </c:pt>
                <c:pt idx="159">
                  <c:v>14.77</c:v>
                </c:pt>
                <c:pt idx="160">
                  <c:v>15.33</c:v>
                </c:pt>
                <c:pt idx="161">
                  <c:v>14.89</c:v>
                </c:pt>
                <c:pt idx="162">
                  <c:v>13.58</c:v>
                </c:pt>
                <c:pt idx="163">
                  <c:v>9.14</c:v>
                </c:pt>
                <c:pt idx="164">
                  <c:v>14.55</c:v>
                </c:pt>
                <c:pt idx="165">
                  <c:v>12.17</c:v>
                </c:pt>
                <c:pt idx="166">
                  <c:v>6.0890000000000004</c:v>
                </c:pt>
                <c:pt idx="167">
                  <c:v>5.5810000000000004</c:v>
                </c:pt>
                <c:pt idx="168">
                  <c:v>7.7</c:v>
                </c:pt>
                <c:pt idx="169">
                  <c:v>7.68</c:v>
                </c:pt>
                <c:pt idx="170">
                  <c:v>9.6</c:v>
                </c:pt>
                <c:pt idx="171">
                  <c:v>12.72</c:v>
                </c:pt>
                <c:pt idx="172">
                  <c:v>15.57</c:v>
                </c:pt>
                <c:pt idx="173">
                  <c:v>14.91</c:v>
                </c:pt>
                <c:pt idx="174">
                  <c:v>13.06</c:v>
                </c:pt>
                <c:pt idx="175">
                  <c:v>10.8</c:v>
                </c:pt>
                <c:pt idx="176">
                  <c:v>13.77</c:v>
                </c:pt>
                <c:pt idx="177">
                  <c:v>12.68</c:v>
                </c:pt>
                <c:pt idx="178">
                  <c:v>12.05</c:v>
                </c:pt>
                <c:pt idx="179">
                  <c:v>14.13</c:v>
                </c:pt>
                <c:pt idx="180">
                  <c:v>16.34</c:v>
                </c:pt>
                <c:pt idx="181">
                  <c:v>12.55</c:v>
                </c:pt>
                <c:pt idx="182">
                  <c:v>13.23</c:v>
                </c:pt>
                <c:pt idx="183">
                  <c:v>13.04</c:v>
                </c:pt>
                <c:pt idx="184">
                  <c:v>14.11</c:v>
                </c:pt>
                <c:pt idx="185">
                  <c:v>17.07</c:v>
                </c:pt>
                <c:pt idx="186">
                  <c:v>19.5</c:v>
                </c:pt>
                <c:pt idx="187">
                  <c:v>19.350000000000001</c:v>
                </c:pt>
                <c:pt idx="188">
                  <c:v>21.53</c:v>
                </c:pt>
                <c:pt idx="189">
                  <c:v>22.87</c:v>
                </c:pt>
                <c:pt idx="190">
                  <c:v>24.47</c:v>
                </c:pt>
                <c:pt idx="191">
                  <c:v>23.57</c:v>
                </c:pt>
                <c:pt idx="192">
                  <c:v>20.03</c:v>
                </c:pt>
                <c:pt idx="193">
                  <c:v>20.49</c:v>
                </c:pt>
                <c:pt idx="194">
                  <c:v>21.36</c:v>
                </c:pt>
                <c:pt idx="195">
                  <c:v>21.34</c:v>
                </c:pt>
                <c:pt idx="196">
                  <c:v>21.55</c:v>
                </c:pt>
                <c:pt idx="197">
                  <c:v>22.14</c:v>
                </c:pt>
                <c:pt idx="198">
                  <c:v>22.34</c:v>
                </c:pt>
                <c:pt idx="199">
                  <c:v>24.83</c:v>
                </c:pt>
                <c:pt idx="200">
                  <c:v>23.63</c:v>
                </c:pt>
                <c:pt idx="201">
                  <c:v>23.57</c:v>
                </c:pt>
                <c:pt idx="202">
                  <c:v>26.2</c:v>
                </c:pt>
                <c:pt idx="203">
                  <c:v>22.68</c:v>
                </c:pt>
                <c:pt idx="204">
                  <c:v>17.61</c:v>
                </c:pt>
                <c:pt idx="205">
                  <c:v>15.58</c:v>
                </c:pt>
                <c:pt idx="206">
                  <c:v>10.77</c:v>
                </c:pt>
                <c:pt idx="207">
                  <c:v>13.5</c:v>
                </c:pt>
                <c:pt idx="208">
                  <c:v>15.69</c:v>
                </c:pt>
                <c:pt idx="209">
                  <c:v>18.78</c:v>
                </c:pt>
                <c:pt idx="210">
                  <c:v>13.38</c:v>
                </c:pt>
                <c:pt idx="211">
                  <c:v>15.45</c:v>
                </c:pt>
                <c:pt idx="212">
                  <c:v>19.43</c:v>
                </c:pt>
                <c:pt idx="213">
                  <c:v>21.73</c:v>
                </c:pt>
                <c:pt idx="214">
                  <c:v>22.65</c:v>
                </c:pt>
                <c:pt idx="215">
                  <c:v>23.8</c:v>
                </c:pt>
                <c:pt idx="216">
                  <c:v>22.45</c:v>
                </c:pt>
                <c:pt idx="217">
                  <c:v>20.13</c:v>
                </c:pt>
                <c:pt idx="218">
                  <c:v>17.920000000000002</c:v>
                </c:pt>
                <c:pt idx="219">
                  <c:v>16.899999999999999</c:v>
                </c:pt>
                <c:pt idx="220">
                  <c:v>18.670000000000002</c:v>
                </c:pt>
                <c:pt idx="221">
                  <c:v>17.5</c:v>
                </c:pt>
                <c:pt idx="222">
                  <c:v>18.09</c:v>
                </c:pt>
                <c:pt idx="223">
                  <c:v>18.36</c:v>
                </c:pt>
                <c:pt idx="224">
                  <c:v>16.350000000000001</c:v>
                </c:pt>
                <c:pt idx="225">
                  <c:v>17.91</c:v>
                </c:pt>
                <c:pt idx="226">
                  <c:v>19.079999999999998</c:v>
                </c:pt>
                <c:pt idx="227">
                  <c:v>17.66</c:v>
                </c:pt>
                <c:pt idx="228">
                  <c:v>13.28</c:v>
                </c:pt>
                <c:pt idx="229">
                  <c:v>15.17</c:v>
                </c:pt>
                <c:pt idx="230">
                  <c:v>18.309999999999999</c:v>
                </c:pt>
                <c:pt idx="231">
                  <c:v>15.13</c:v>
                </c:pt>
                <c:pt idx="232">
                  <c:v>13.85</c:v>
                </c:pt>
                <c:pt idx="233">
                  <c:v>13.18</c:v>
                </c:pt>
                <c:pt idx="234">
                  <c:v>15.46</c:v>
                </c:pt>
                <c:pt idx="235">
                  <c:v>16.809999999999999</c:v>
                </c:pt>
                <c:pt idx="236">
                  <c:v>9.07</c:v>
                </c:pt>
                <c:pt idx="237">
                  <c:v>10.52</c:v>
                </c:pt>
                <c:pt idx="238">
                  <c:v>11.31</c:v>
                </c:pt>
                <c:pt idx="239">
                  <c:v>6.5430000000000001</c:v>
                </c:pt>
                <c:pt idx="240">
                  <c:v>10.01</c:v>
                </c:pt>
                <c:pt idx="241">
                  <c:v>14.31</c:v>
                </c:pt>
                <c:pt idx="242">
                  <c:v>17.07</c:v>
                </c:pt>
                <c:pt idx="243">
                  <c:v>19.68</c:v>
                </c:pt>
                <c:pt idx="244">
                  <c:v>20.9</c:v>
                </c:pt>
                <c:pt idx="245">
                  <c:v>19.27</c:v>
                </c:pt>
                <c:pt idx="246">
                  <c:v>16.739999999999998</c:v>
                </c:pt>
                <c:pt idx="247">
                  <c:v>16.809999999999999</c:v>
                </c:pt>
                <c:pt idx="248">
                  <c:v>18.850000000000001</c:v>
                </c:pt>
                <c:pt idx="249">
                  <c:v>20.78</c:v>
                </c:pt>
                <c:pt idx="250">
                  <c:v>19.760000000000002</c:v>
                </c:pt>
                <c:pt idx="251">
                  <c:v>19.54</c:v>
                </c:pt>
                <c:pt idx="252">
                  <c:v>13.76</c:v>
                </c:pt>
                <c:pt idx="253">
                  <c:v>11.59</c:v>
                </c:pt>
                <c:pt idx="254">
                  <c:v>9.7799999999999994</c:v>
                </c:pt>
                <c:pt idx="255">
                  <c:v>11.26</c:v>
                </c:pt>
                <c:pt idx="256">
                  <c:v>11.64</c:v>
                </c:pt>
                <c:pt idx="257">
                  <c:v>10.61</c:v>
                </c:pt>
                <c:pt idx="258">
                  <c:v>7.35</c:v>
                </c:pt>
                <c:pt idx="259">
                  <c:v>9.8000000000000007</c:v>
                </c:pt>
                <c:pt idx="260">
                  <c:v>11.81</c:v>
                </c:pt>
                <c:pt idx="261">
                  <c:v>11.38</c:v>
                </c:pt>
                <c:pt idx="262">
                  <c:v>10.62</c:v>
                </c:pt>
                <c:pt idx="263">
                  <c:v>4.5629999999999997</c:v>
                </c:pt>
                <c:pt idx="264">
                  <c:v>8.25</c:v>
                </c:pt>
                <c:pt idx="265">
                  <c:v>10.050000000000001</c:v>
                </c:pt>
                <c:pt idx="266">
                  <c:v>13.24</c:v>
                </c:pt>
                <c:pt idx="267">
                  <c:v>16.02</c:v>
                </c:pt>
                <c:pt idx="268">
                  <c:v>11.9</c:v>
                </c:pt>
                <c:pt idx="269">
                  <c:v>6.859</c:v>
                </c:pt>
                <c:pt idx="270">
                  <c:v>9.1300000000000008</c:v>
                </c:pt>
                <c:pt idx="271">
                  <c:v>7.27</c:v>
                </c:pt>
                <c:pt idx="272">
                  <c:v>3.0190000000000001</c:v>
                </c:pt>
                <c:pt idx="273">
                  <c:v>3.9039999999999999</c:v>
                </c:pt>
                <c:pt idx="274">
                  <c:v>3.9449999999999998</c:v>
                </c:pt>
                <c:pt idx="275">
                  <c:v>4.5529999999999999</c:v>
                </c:pt>
                <c:pt idx="276">
                  <c:v>5.77</c:v>
                </c:pt>
                <c:pt idx="277">
                  <c:v>5.5449999999999999</c:v>
                </c:pt>
                <c:pt idx="278">
                  <c:v>6.8220000000000001</c:v>
                </c:pt>
                <c:pt idx="279">
                  <c:v>7.19</c:v>
                </c:pt>
                <c:pt idx="280">
                  <c:v>10.09</c:v>
                </c:pt>
                <c:pt idx="281">
                  <c:v>11.07</c:v>
                </c:pt>
                <c:pt idx="282">
                  <c:v>6.5350000000000001</c:v>
                </c:pt>
                <c:pt idx="283">
                  <c:v>1.92</c:v>
                </c:pt>
                <c:pt idx="284">
                  <c:v>4.9539999999999997</c:v>
                </c:pt>
                <c:pt idx="285">
                  <c:v>8.57</c:v>
                </c:pt>
                <c:pt idx="286">
                  <c:v>10.81</c:v>
                </c:pt>
                <c:pt idx="287">
                  <c:v>10.07</c:v>
                </c:pt>
                <c:pt idx="288">
                  <c:v>6.9160000000000004</c:v>
                </c:pt>
                <c:pt idx="289">
                  <c:v>3.766</c:v>
                </c:pt>
                <c:pt idx="290">
                  <c:v>0.70699999999999996</c:v>
                </c:pt>
                <c:pt idx="291">
                  <c:v>-0.92100000000000004</c:v>
                </c:pt>
                <c:pt idx="292">
                  <c:v>4.6390000000000002</c:v>
                </c:pt>
                <c:pt idx="293">
                  <c:v>6.9459999999999997</c:v>
                </c:pt>
                <c:pt idx="294">
                  <c:v>2.4329999999999998</c:v>
                </c:pt>
                <c:pt idx="295">
                  <c:v>0.68799999999999994</c:v>
                </c:pt>
                <c:pt idx="296">
                  <c:v>0.20799999999999999</c:v>
                </c:pt>
                <c:pt idx="297">
                  <c:v>-0.73599999999999999</c:v>
                </c:pt>
                <c:pt idx="298">
                  <c:v>0.182</c:v>
                </c:pt>
                <c:pt idx="299">
                  <c:v>3.99</c:v>
                </c:pt>
                <c:pt idx="300">
                  <c:v>3.9510000000000001</c:v>
                </c:pt>
                <c:pt idx="301">
                  <c:v>1.865</c:v>
                </c:pt>
                <c:pt idx="302">
                  <c:v>-1.9690000000000001</c:v>
                </c:pt>
                <c:pt idx="303">
                  <c:v>-0.45800000000000002</c:v>
                </c:pt>
                <c:pt idx="304">
                  <c:v>-0.28799999999999998</c:v>
                </c:pt>
                <c:pt idx="305">
                  <c:v>-0.56899999999999995</c:v>
                </c:pt>
                <c:pt idx="306">
                  <c:v>-0.2</c:v>
                </c:pt>
                <c:pt idx="307">
                  <c:v>-1.89</c:v>
                </c:pt>
                <c:pt idx="308">
                  <c:v>-0.64</c:v>
                </c:pt>
                <c:pt idx="309">
                  <c:v>-2.8769999999999998</c:v>
                </c:pt>
                <c:pt idx="310">
                  <c:v>-2.0070000000000001</c:v>
                </c:pt>
                <c:pt idx="311">
                  <c:v>1.7999999999999999E-2</c:v>
                </c:pt>
                <c:pt idx="312">
                  <c:v>0.83499999999999996</c:v>
                </c:pt>
                <c:pt idx="313">
                  <c:v>0.98099999999999998</c:v>
                </c:pt>
                <c:pt idx="314">
                  <c:v>1.5489999999999999</c:v>
                </c:pt>
                <c:pt idx="315">
                  <c:v>0.79600000000000004</c:v>
                </c:pt>
                <c:pt idx="316">
                  <c:v>0.39800000000000002</c:v>
                </c:pt>
                <c:pt idx="317">
                  <c:v>9.4E-2</c:v>
                </c:pt>
                <c:pt idx="318">
                  <c:v>0.30399999999999999</c:v>
                </c:pt>
                <c:pt idx="319">
                  <c:v>-2.9430000000000001</c:v>
                </c:pt>
                <c:pt idx="320">
                  <c:v>-3.6360000000000001</c:v>
                </c:pt>
                <c:pt idx="321">
                  <c:v>-1.194</c:v>
                </c:pt>
                <c:pt idx="322">
                  <c:v>-2.6720000000000002</c:v>
                </c:pt>
                <c:pt idx="323">
                  <c:v>-3.75</c:v>
                </c:pt>
                <c:pt idx="324">
                  <c:v>-2.2170000000000001</c:v>
                </c:pt>
                <c:pt idx="325">
                  <c:v>-1.409</c:v>
                </c:pt>
                <c:pt idx="326">
                  <c:v>-1.0860000000000001</c:v>
                </c:pt>
                <c:pt idx="327">
                  <c:v>-1.649</c:v>
                </c:pt>
                <c:pt idx="328">
                  <c:v>-1.7170000000000001</c:v>
                </c:pt>
                <c:pt idx="329">
                  <c:v>-2.609</c:v>
                </c:pt>
                <c:pt idx="330">
                  <c:v>-3.5379999999999998</c:v>
                </c:pt>
                <c:pt idx="331">
                  <c:v>-3.161</c:v>
                </c:pt>
                <c:pt idx="332">
                  <c:v>-2.9820000000000002</c:v>
                </c:pt>
                <c:pt idx="333">
                  <c:v>-2.9329999999999998</c:v>
                </c:pt>
                <c:pt idx="334">
                  <c:v>-1.6559999999999999</c:v>
                </c:pt>
                <c:pt idx="335">
                  <c:v>-1.5</c:v>
                </c:pt>
                <c:pt idx="336">
                  <c:v>-3.0209999999999999</c:v>
                </c:pt>
                <c:pt idx="337">
                  <c:v>-3.2690000000000001</c:v>
                </c:pt>
                <c:pt idx="338">
                  <c:v>-3.4830000000000001</c:v>
                </c:pt>
                <c:pt idx="339">
                  <c:v>-3.403</c:v>
                </c:pt>
                <c:pt idx="340">
                  <c:v>-0.96799999999999997</c:v>
                </c:pt>
                <c:pt idx="341">
                  <c:v>-0.13200000000000001</c:v>
                </c:pt>
                <c:pt idx="342">
                  <c:v>-0.52300000000000002</c:v>
                </c:pt>
                <c:pt idx="343">
                  <c:v>-1.986</c:v>
                </c:pt>
                <c:pt idx="344">
                  <c:v>-2.8620000000000001</c:v>
                </c:pt>
                <c:pt idx="345">
                  <c:v>-1.94</c:v>
                </c:pt>
                <c:pt idx="346">
                  <c:v>-1.7729999999999999</c:v>
                </c:pt>
                <c:pt idx="347">
                  <c:v>-1.2290000000000001</c:v>
                </c:pt>
                <c:pt idx="348">
                  <c:v>-0.56999999999999995</c:v>
                </c:pt>
                <c:pt idx="349">
                  <c:v>-1.4810000000000001</c:v>
                </c:pt>
                <c:pt idx="350">
                  <c:v>-2.5049999999999999</c:v>
                </c:pt>
                <c:pt idx="351">
                  <c:v>-1.659</c:v>
                </c:pt>
                <c:pt idx="352">
                  <c:v>-0.57599999999999996</c:v>
                </c:pt>
                <c:pt idx="353">
                  <c:v>-0.84099999999999997</c:v>
                </c:pt>
                <c:pt idx="354">
                  <c:v>-0.314</c:v>
                </c:pt>
                <c:pt idx="355">
                  <c:v>-0.19400000000000001</c:v>
                </c:pt>
                <c:pt idx="356">
                  <c:v>-0.32600000000000001</c:v>
                </c:pt>
                <c:pt idx="357">
                  <c:v>-0.29799999999999999</c:v>
                </c:pt>
                <c:pt idx="358">
                  <c:v>-0.28100000000000003</c:v>
                </c:pt>
                <c:pt idx="359">
                  <c:v>-1.008</c:v>
                </c:pt>
                <c:pt idx="360">
                  <c:v>-0.878</c:v>
                </c:pt>
                <c:pt idx="361">
                  <c:v>-1.363</c:v>
                </c:pt>
                <c:pt idx="362">
                  <c:v>-1.0589999999999999</c:v>
                </c:pt>
                <c:pt idx="363">
                  <c:v>-0.68</c:v>
                </c:pt>
                <c:pt idx="364">
                  <c:v>-0.90400000000000003</c:v>
                </c:pt>
                <c:pt idx="365">
                  <c:v>-1.1479999999999999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557632"/>
        <c:axId val="237559168"/>
      </c:lineChart>
      <c:catAx>
        <c:axId val="237557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755916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755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7557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Tsoil Thermocouple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-0.39900000000000002</c:v>
                </c:pt>
                <c:pt idx="1">
                  <c:v>-9.1999999999999998E-2</c:v>
                </c:pt>
                <c:pt idx="2">
                  <c:v>-4.2000000000000003E-2</c:v>
                </c:pt>
                <c:pt idx="3">
                  <c:v>-0.126</c:v>
                </c:pt>
                <c:pt idx="4">
                  <c:v>6.6000000000000003E-2</c:v>
                </c:pt>
                <c:pt idx="5">
                  <c:v>7.5999999999999998E-2</c:v>
                </c:pt>
                <c:pt idx="6">
                  <c:v>2.4E-2</c:v>
                </c:pt>
                <c:pt idx="7">
                  <c:v>5.1999999999999998E-2</c:v>
                </c:pt>
                <c:pt idx="8">
                  <c:v>8.0000000000000002E-3</c:v>
                </c:pt>
                <c:pt idx="9">
                  <c:v>-0.27300000000000002</c:v>
                </c:pt>
                <c:pt idx="10">
                  <c:v>-0.64100000000000001</c:v>
                </c:pt>
                <c:pt idx="11">
                  <c:v>-0.70099999999999996</c:v>
                </c:pt>
                <c:pt idx="12">
                  <c:v>-0.36</c:v>
                </c:pt>
                <c:pt idx="13">
                  <c:v>-0.625</c:v>
                </c:pt>
                <c:pt idx="14">
                  <c:v>-0.33600000000000002</c:v>
                </c:pt>
                <c:pt idx="15">
                  <c:v>-0.01</c:v>
                </c:pt>
                <c:pt idx="16">
                  <c:v>-0.20399999999999999</c:v>
                </c:pt>
                <c:pt idx="17">
                  <c:v>-0.19500000000000001</c:v>
                </c:pt>
                <c:pt idx="18">
                  <c:v>-2E-3</c:v>
                </c:pt>
                <c:pt idx="19">
                  <c:v>1.4E-2</c:v>
                </c:pt>
                <c:pt idx="20">
                  <c:v>0.14399999999999999</c:v>
                </c:pt>
                <c:pt idx="21">
                  <c:v>0.16200000000000001</c:v>
                </c:pt>
                <c:pt idx="22">
                  <c:v>6.6000000000000003E-2</c:v>
                </c:pt>
                <c:pt idx="23">
                  <c:v>-1.7000000000000001E-2</c:v>
                </c:pt>
                <c:pt idx="24">
                  <c:v>-7.0000000000000001E-3</c:v>
                </c:pt>
                <c:pt idx="25">
                  <c:v>0.13300000000000001</c:v>
                </c:pt>
                <c:pt idx="26">
                  <c:v>0.252</c:v>
                </c:pt>
                <c:pt idx="27">
                  <c:v>6.2E-2</c:v>
                </c:pt>
                <c:pt idx="28">
                  <c:v>9.0999999999999998E-2</c:v>
                </c:pt>
                <c:pt idx="29">
                  <c:v>6.0999999999999999E-2</c:v>
                </c:pt>
                <c:pt idx="30">
                  <c:v>1.6E-2</c:v>
                </c:pt>
                <c:pt idx="31">
                  <c:v>0.184</c:v>
                </c:pt>
                <c:pt idx="32">
                  <c:v>-0.189</c:v>
                </c:pt>
                <c:pt idx="33">
                  <c:v>-1.6E-2</c:v>
                </c:pt>
                <c:pt idx="34">
                  <c:v>3.9E-2</c:v>
                </c:pt>
                <c:pt idx="35">
                  <c:v>0.122</c:v>
                </c:pt>
                <c:pt idx="36">
                  <c:v>0.14899999999999999</c:v>
                </c:pt>
                <c:pt idx="37">
                  <c:v>1.4E-2</c:v>
                </c:pt>
                <c:pt idx="38">
                  <c:v>-0.23499999999999999</c:v>
                </c:pt>
                <c:pt idx="39">
                  <c:v>-0.35799999999999998</c:v>
                </c:pt>
                <c:pt idx="40">
                  <c:v>0.13300000000000001</c:v>
                </c:pt>
                <c:pt idx="41">
                  <c:v>0.217</c:v>
                </c:pt>
                <c:pt idx="42">
                  <c:v>-0.28899999999999998</c:v>
                </c:pt>
                <c:pt idx="43">
                  <c:v>-0.51600000000000001</c:v>
                </c:pt>
                <c:pt idx="44">
                  <c:v>-0.70899999999999996</c:v>
                </c:pt>
                <c:pt idx="45">
                  <c:v>-0.41</c:v>
                </c:pt>
                <c:pt idx="46">
                  <c:v>-0.38700000000000001</c:v>
                </c:pt>
                <c:pt idx="47">
                  <c:v>-0.38600000000000001</c:v>
                </c:pt>
                <c:pt idx="48">
                  <c:v>-0.02</c:v>
                </c:pt>
                <c:pt idx="49">
                  <c:v>-0.23699999999999999</c:v>
                </c:pt>
                <c:pt idx="50">
                  <c:v>7.4999999999999997E-2</c:v>
                </c:pt>
                <c:pt idx="51">
                  <c:v>0.19900000000000001</c:v>
                </c:pt>
                <c:pt idx="52">
                  <c:v>9.8000000000000004E-2</c:v>
                </c:pt>
                <c:pt idx="53">
                  <c:v>0.19</c:v>
                </c:pt>
                <c:pt idx="54">
                  <c:v>0.221</c:v>
                </c:pt>
                <c:pt idx="55">
                  <c:v>-0.158</c:v>
                </c:pt>
                <c:pt idx="56">
                  <c:v>-0.223</c:v>
                </c:pt>
                <c:pt idx="57">
                  <c:v>-0.11899999999999999</c:v>
                </c:pt>
                <c:pt idx="58">
                  <c:v>0.32200000000000001</c:v>
                </c:pt>
                <c:pt idx="59">
                  <c:v>-0.13300000000000001</c:v>
                </c:pt>
                <c:pt idx="60">
                  <c:v>-0.32400000000000001</c:v>
                </c:pt>
                <c:pt idx="61">
                  <c:v>0.124</c:v>
                </c:pt>
                <c:pt idx="62">
                  <c:v>-0.05</c:v>
                </c:pt>
                <c:pt idx="63">
                  <c:v>-0.39600000000000002</c:v>
                </c:pt>
                <c:pt idx="64">
                  <c:v>-0.40300000000000002</c:v>
                </c:pt>
                <c:pt idx="65">
                  <c:v>-0.433</c:v>
                </c:pt>
                <c:pt idx="66">
                  <c:v>-0.40600000000000003</c:v>
                </c:pt>
                <c:pt idx="67">
                  <c:v>1.2999999999999999E-2</c:v>
                </c:pt>
                <c:pt idx="68">
                  <c:v>5.5E-2</c:v>
                </c:pt>
                <c:pt idx="69">
                  <c:v>0.11600000000000001</c:v>
                </c:pt>
                <c:pt idx="70">
                  <c:v>9.2999999999999999E-2</c:v>
                </c:pt>
                <c:pt idx="71">
                  <c:v>-0.28699999999999998</c:v>
                </c:pt>
                <c:pt idx="72">
                  <c:v>-1.9E-2</c:v>
                </c:pt>
                <c:pt idx="73">
                  <c:v>2.3E-2</c:v>
                </c:pt>
                <c:pt idx="74">
                  <c:v>-0.14699999999999999</c:v>
                </c:pt>
                <c:pt idx="75">
                  <c:v>-0.45300000000000001</c:v>
                </c:pt>
                <c:pt idx="76">
                  <c:v>-0.40300000000000002</c:v>
                </c:pt>
                <c:pt idx="77">
                  <c:v>-0.35099999999999998</c:v>
                </c:pt>
                <c:pt idx="78">
                  <c:v>-0.308</c:v>
                </c:pt>
                <c:pt idx="79">
                  <c:v>0.219</c:v>
                </c:pt>
                <c:pt idx="80">
                  <c:v>-0.124</c:v>
                </c:pt>
                <c:pt idx="81">
                  <c:v>8.5000000000000006E-2</c:v>
                </c:pt>
                <c:pt idx="82">
                  <c:v>-7.0000000000000007E-2</c:v>
                </c:pt>
                <c:pt idx="83">
                  <c:v>-0.309</c:v>
                </c:pt>
                <c:pt idx="84">
                  <c:v>-0.34100000000000003</c:v>
                </c:pt>
                <c:pt idx="85">
                  <c:v>0.12</c:v>
                </c:pt>
                <c:pt idx="86">
                  <c:v>0.22900000000000001</c:v>
                </c:pt>
                <c:pt idx="87">
                  <c:v>-0.127</c:v>
                </c:pt>
                <c:pt idx="88">
                  <c:v>-0.29799999999999999</c:v>
                </c:pt>
                <c:pt idx="89">
                  <c:v>0.151</c:v>
                </c:pt>
                <c:pt idx="90">
                  <c:v>0.26900000000000002</c:v>
                </c:pt>
                <c:pt idx="91">
                  <c:v>-0.11899999999999999</c:v>
                </c:pt>
                <c:pt idx="92">
                  <c:v>0.184</c:v>
                </c:pt>
                <c:pt idx="93">
                  <c:v>-0.109</c:v>
                </c:pt>
                <c:pt idx="94">
                  <c:v>9.2999999999999999E-2</c:v>
                </c:pt>
                <c:pt idx="95">
                  <c:v>0.25</c:v>
                </c:pt>
                <c:pt idx="96">
                  <c:v>8.4000000000000005E-2</c:v>
                </c:pt>
                <c:pt idx="97">
                  <c:v>-0.17499999999999999</c:v>
                </c:pt>
                <c:pt idx="98">
                  <c:v>0.245</c:v>
                </c:pt>
                <c:pt idx="99">
                  <c:v>-0.50700000000000001</c:v>
                </c:pt>
                <c:pt idx="100">
                  <c:v>-0.20399999999999999</c:v>
                </c:pt>
                <c:pt idx="101">
                  <c:v>9.1999999999999998E-2</c:v>
                </c:pt>
                <c:pt idx="102">
                  <c:v>3.3000000000000002E-2</c:v>
                </c:pt>
                <c:pt idx="103">
                  <c:v>-0.06</c:v>
                </c:pt>
                <c:pt idx="104">
                  <c:v>-6.0999999999999999E-2</c:v>
                </c:pt>
                <c:pt idx="105">
                  <c:v>-6.6000000000000003E-2</c:v>
                </c:pt>
                <c:pt idx="106">
                  <c:v>-0.185</c:v>
                </c:pt>
                <c:pt idx="107">
                  <c:v>-4.2999999999999997E-2</c:v>
                </c:pt>
                <c:pt idx="108">
                  <c:v>-0.39300000000000002</c:v>
                </c:pt>
                <c:pt idx="109">
                  <c:v>-0.255</c:v>
                </c:pt>
                <c:pt idx="110">
                  <c:v>-0.53600000000000003</c:v>
                </c:pt>
                <c:pt idx="111">
                  <c:v>-4.1000000000000002E-2</c:v>
                </c:pt>
                <c:pt idx="112">
                  <c:v>-1.7999999999999999E-2</c:v>
                </c:pt>
                <c:pt idx="113">
                  <c:v>0.71399999999999997</c:v>
                </c:pt>
                <c:pt idx="114">
                  <c:v>1.294</c:v>
                </c:pt>
                <c:pt idx="115">
                  <c:v>1.5149999999999999</c:v>
                </c:pt>
                <c:pt idx="116">
                  <c:v>2.1339999999999999</c:v>
                </c:pt>
                <c:pt idx="117">
                  <c:v>2.5739999999999998</c:v>
                </c:pt>
                <c:pt idx="118">
                  <c:v>2.5630000000000002</c:v>
                </c:pt>
                <c:pt idx="119">
                  <c:v>1.669</c:v>
                </c:pt>
                <c:pt idx="120">
                  <c:v>1.728</c:v>
                </c:pt>
                <c:pt idx="121">
                  <c:v>1.518</c:v>
                </c:pt>
                <c:pt idx="122">
                  <c:v>2.1779999999999999</c:v>
                </c:pt>
                <c:pt idx="123">
                  <c:v>3.0990000000000002</c:v>
                </c:pt>
                <c:pt idx="124">
                  <c:v>3.9830000000000001</c:v>
                </c:pt>
                <c:pt idx="125">
                  <c:v>4.9690000000000003</c:v>
                </c:pt>
                <c:pt idx="126">
                  <c:v>4.6399999999999997</c:v>
                </c:pt>
                <c:pt idx="127">
                  <c:v>3.7290000000000001</c:v>
                </c:pt>
                <c:pt idx="128">
                  <c:v>3.3769999999999998</c:v>
                </c:pt>
                <c:pt idx="129">
                  <c:v>5.09</c:v>
                </c:pt>
                <c:pt idx="130">
                  <c:v>6.5620000000000003</c:v>
                </c:pt>
                <c:pt idx="131">
                  <c:v>7.45</c:v>
                </c:pt>
                <c:pt idx="132">
                  <c:v>7.77</c:v>
                </c:pt>
                <c:pt idx="133">
                  <c:v>7.67</c:v>
                </c:pt>
                <c:pt idx="134">
                  <c:v>6.3570000000000002</c:v>
                </c:pt>
                <c:pt idx="135">
                  <c:v>7.42</c:v>
                </c:pt>
                <c:pt idx="136">
                  <c:v>6.23</c:v>
                </c:pt>
                <c:pt idx="137">
                  <c:v>5.1849999999999996</c:v>
                </c:pt>
                <c:pt idx="138">
                  <c:v>5.5869999999999997</c:v>
                </c:pt>
                <c:pt idx="139">
                  <c:v>4.9450000000000003</c:v>
                </c:pt>
                <c:pt idx="140">
                  <c:v>5.8410000000000002</c:v>
                </c:pt>
                <c:pt idx="141">
                  <c:v>6.8860000000000001</c:v>
                </c:pt>
                <c:pt idx="142">
                  <c:v>7.08</c:v>
                </c:pt>
                <c:pt idx="143">
                  <c:v>7.37</c:v>
                </c:pt>
                <c:pt idx="144">
                  <c:v>7.61</c:v>
                </c:pt>
                <c:pt idx="145">
                  <c:v>7.54</c:v>
                </c:pt>
                <c:pt idx="146">
                  <c:v>7.07</c:v>
                </c:pt>
                <c:pt idx="147">
                  <c:v>7.23</c:v>
                </c:pt>
                <c:pt idx="148">
                  <c:v>7.63</c:v>
                </c:pt>
                <c:pt idx="149">
                  <c:v>5.7789999999999999</c:v>
                </c:pt>
                <c:pt idx="150">
                  <c:v>6.2249999999999996</c:v>
                </c:pt>
                <c:pt idx="151">
                  <c:v>6.9850000000000003</c:v>
                </c:pt>
                <c:pt idx="152">
                  <c:v>7.82</c:v>
                </c:pt>
                <c:pt idx="153">
                  <c:v>7.73</c:v>
                </c:pt>
                <c:pt idx="154">
                  <c:v>7.21</c:v>
                </c:pt>
                <c:pt idx="155">
                  <c:v>6.47</c:v>
                </c:pt>
                <c:pt idx="156">
                  <c:v>6.444</c:v>
                </c:pt>
                <c:pt idx="157">
                  <c:v>7.16</c:v>
                </c:pt>
                <c:pt idx="158">
                  <c:v>7.84</c:v>
                </c:pt>
                <c:pt idx="159">
                  <c:v>8.4499999999999993</c:v>
                </c:pt>
                <c:pt idx="160">
                  <c:v>9.82</c:v>
                </c:pt>
                <c:pt idx="161">
                  <c:v>9.64</c:v>
                </c:pt>
                <c:pt idx="162">
                  <c:v>9.5500000000000007</c:v>
                </c:pt>
                <c:pt idx="163">
                  <c:v>9.06</c:v>
                </c:pt>
                <c:pt idx="164">
                  <c:v>8.44</c:v>
                </c:pt>
                <c:pt idx="165">
                  <c:v>9.44</c:v>
                </c:pt>
                <c:pt idx="166">
                  <c:v>8.7899999999999991</c:v>
                </c:pt>
                <c:pt idx="167">
                  <c:v>8.0299999999999994</c:v>
                </c:pt>
                <c:pt idx="168">
                  <c:v>8.16</c:v>
                </c:pt>
                <c:pt idx="169">
                  <c:v>8.49</c:v>
                </c:pt>
                <c:pt idx="170">
                  <c:v>7.76</c:v>
                </c:pt>
                <c:pt idx="171">
                  <c:v>7.83</c:v>
                </c:pt>
                <c:pt idx="172">
                  <c:v>8.0399999999999991</c:v>
                </c:pt>
                <c:pt idx="173">
                  <c:v>10.18</c:v>
                </c:pt>
                <c:pt idx="174">
                  <c:v>10.039999999999999</c:v>
                </c:pt>
                <c:pt idx="175">
                  <c:v>10.06</c:v>
                </c:pt>
                <c:pt idx="176">
                  <c:v>9.25</c:v>
                </c:pt>
                <c:pt idx="177">
                  <c:v>10.210000000000001</c:v>
                </c:pt>
                <c:pt idx="178">
                  <c:v>10.199999999999999</c:v>
                </c:pt>
                <c:pt idx="179">
                  <c:v>10.67</c:v>
                </c:pt>
                <c:pt idx="180">
                  <c:v>11.26</c:v>
                </c:pt>
                <c:pt idx="181">
                  <c:v>11.59</c:v>
                </c:pt>
                <c:pt idx="182">
                  <c:v>11.1</c:v>
                </c:pt>
                <c:pt idx="183">
                  <c:v>11.63</c:v>
                </c:pt>
                <c:pt idx="184">
                  <c:v>10.89</c:v>
                </c:pt>
                <c:pt idx="185">
                  <c:v>10.78</c:v>
                </c:pt>
                <c:pt idx="186">
                  <c:v>11.99</c:v>
                </c:pt>
                <c:pt idx="187">
                  <c:v>12.58</c:v>
                </c:pt>
                <c:pt idx="188">
                  <c:v>12.8</c:v>
                </c:pt>
                <c:pt idx="189">
                  <c:v>13.08</c:v>
                </c:pt>
                <c:pt idx="190">
                  <c:v>13.9</c:v>
                </c:pt>
                <c:pt idx="191">
                  <c:v>14.3</c:v>
                </c:pt>
                <c:pt idx="192">
                  <c:v>13.68</c:v>
                </c:pt>
                <c:pt idx="193">
                  <c:v>13.47</c:v>
                </c:pt>
                <c:pt idx="194">
                  <c:v>13.64</c:v>
                </c:pt>
                <c:pt idx="195">
                  <c:v>13.09</c:v>
                </c:pt>
                <c:pt idx="196">
                  <c:v>13.15</c:v>
                </c:pt>
                <c:pt idx="197">
                  <c:v>14.17</c:v>
                </c:pt>
                <c:pt idx="198">
                  <c:v>14.1</c:v>
                </c:pt>
                <c:pt idx="199">
                  <c:v>14.71</c:v>
                </c:pt>
                <c:pt idx="200">
                  <c:v>14.98</c:v>
                </c:pt>
                <c:pt idx="201">
                  <c:v>14.35</c:v>
                </c:pt>
                <c:pt idx="202">
                  <c:v>14.86</c:v>
                </c:pt>
                <c:pt idx="203">
                  <c:v>14.64</c:v>
                </c:pt>
                <c:pt idx="204">
                  <c:v>13.62</c:v>
                </c:pt>
                <c:pt idx="205">
                  <c:v>13.04</c:v>
                </c:pt>
                <c:pt idx="206">
                  <c:v>11.49</c:v>
                </c:pt>
                <c:pt idx="207">
                  <c:v>11.71</c:v>
                </c:pt>
                <c:pt idx="208">
                  <c:v>11.77</c:v>
                </c:pt>
                <c:pt idx="209">
                  <c:v>12.5</c:v>
                </c:pt>
                <c:pt idx="210">
                  <c:v>13.17</c:v>
                </c:pt>
                <c:pt idx="211">
                  <c:v>12.94</c:v>
                </c:pt>
                <c:pt idx="212">
                  <c:v>12.48</c:v>
                </c:pt>
                <c:pt idx="213">
                  <c:v>13.23</c:v>
                </c:pt>
                <c:pt idx="214">
                  <c:v>13.35</c:v>
                </c:pt>
                <c:pt idx="215">
                  <c:v>14.36</c:v>
                </c:pt>
                <c:pt idx="216">
                  <c:v>14.3</c:v>
                </c:pt>
                <c:pt idx="217">
                  <c:v>13.87</c:v>
                </c:pt>
                <c:pt idx="218">
                  <c:v>13.03</c:v>
                </c:pt>
                <c:pt idx="219">
                  <c:v>12.47</c:v>
                </c:pt>
                <c:pt idx="220">
                  <c:v>12.13</c:v>
                </c:pt>
                <c:pt idx="221">
                  <c:v>12.85</c:v>
                </c:pt>
                <c:pt idx="222">
                  <c:v>11.82</c:v>
                </c:pt>
                <c:pt idx="223">
                  <c:v>12.66</c:v>
                </c:pt>
                <c:pt idx="224">
                  <c:v>13.21</c:v>
                </c:pt>
                <c:pt idx="225">
                  <c:v>12.32</c:v>
                </c:pt>
                <c:pt idx="226">
                  <c:v>13.13</c:v>
                </c:pt>
                <c:pt idx="227">
                  <c:v>12.89</c:v>
                </c:pt>
                <c:pt idx="228">
                  <c:v>13.44</c:v>
                </c:pt>
                <c:pt idx="229">
                  <c:v>12.37</c:v>
                </c:pt>
                <c:pt idx="230">
                  <c:v>12.42</c:v>
                </c:pt>
                <c:pt idx="231">
                  <c:v>12</c:v>
                </c:pt>
                <c:pt idx="232">
                  <c:v>11.18</c:v>
                </c:pt>
                <c:pt idx="233">
                  <c:v>12.14</c:v>
                </c:pt>
                <c:pt idx="234">
                  <c:v>11.52</c:v>
                </c:pt>
                <c:pt idx="235">
                  <c:v>12.17</c:v>
                </c:pt>
                <c:pt idx="236">
                  <c:v>11.55</c:v>
                </c:pt>
                <c:pt idx="237">
                  <c:v>10.75</c:v>
                </c:pt>
                <c:pt idx="238">
                  <c:v>11.25</c:v>
                </c:pt>
                <c:pt idx="239">
                  <c:v>10.14</c:v>
                </c:pt>
                <c:pt idx="240">
                  <c:v>9.3699999999999992</c:v>
                </c:pt>
                <c:pt idx="241">
                  <c:v>10.029999999999999</c:v>
                </c:pt>
                <c:pt idx="242">
                  <c:v>10.89</c:v>
                </c:pt>
                <c:pt idx="243">
                  <c:v>11.65</c:v>
                </c:pt>
                <c:pt idx="244">
                  <c:v>12.3</c:v>
                </c:pt>
                <c:pt idx="245">
                  <c:v>13.05</c:v>
                </c:pt>
                <c:pt idx="246">
                  <c:v>12.39</c:v>
                </c:pt>
                <c:pt idx="247">
                  <c:v>11.7</c:v>
                </c:pt>
                <c:pt idx="248">
                  <c:v>11.8</c:v>
                </c:pt>
                <c:pt idx="249">
                  <c:v>12.19</c:v>
                </c:pt>
                <c:pt idx="250">
                  <c:v>12.21</c:v>
                </c:pt>
                <c:pt idx="251">
                  <c:v>12.43</c:v>
                </c:pt>
                <c:pt idx="252">
                  <c:v>11.71</c:v>
                </c:pt>
                <c:pt idx="253">
                  <c:v>10.4</c:v>
                </c:pt>
                <c:pt idx="254">
                  <c:v>10.61</c:v>
                </c:pt>
                <c:pt idx="255">
                  <c:v>10.71</c:v>
                </c:pt>
                <c:pt idx="256">
                  <c:v>9.92</c:v>
                </c:pt>
                <c:pt idx="257">
                  <c:v>10.29</c:v>
                </c:pt>
                <c:pt idx="258">
                  <c:v>9.27</c:v>
                </c:pt>
                <c:pt idx="259">
                  <c:v>8.39</c:v>
                </c:pt>
                <c:pt idx="260">
                  <c:v>8.9600000000000009</c:v>
                </c:pt>
                <c:pt idx="261">
                  <c:v>9.6300000000000008</c:v>
                </c:pt>
                <c:pt idx="262">
                  <c:v>9.3699999999999992</c:v>
                </c:pt>
                <c:pt idx="263">
                  <c:v>8.39</c:v>
                </c:pt>
                <c:pt idx="264">
                  <c:v>7.51</c:v>
                </c:pt>
                <c:pt idx="265">
                  <c:v>9.3800000000000008</c:v>
                </c:pt>
                <c:pt idx="266">
                  <c:v>9.49</c:v>
                </c:pt>
                <c:pt idx="267">
                  <c:v>10.44</c:v>
                </c:pt>
                <c:pt idx="268">
                  <c:v>10.97</c:v>
                </c:pt>
                <c:pt idx="269">
                  <c:v>9.68</c:v>
                </c:pt>
                <c:pt idx="270">
                  <c:v>8.9600000000000009</c:v>
                </c:pt>
                <c:pt idx="271">
                  <c:v>8.18</c:v>
                </c:pt>
                <c:pt idx="272">
                  <c:v>7.69</c:v>
                </c:pt>
                <c:pt idx="273">
                  <c:v>6.1669999999999998</c:v>
                </c:pt>
                <c:pt idx="274">
                  <c:v>7.26</c:v>
                </c:pt>
                <c:pt idx="275">
                  <c:v>6.5270000000000001</c:v>
                </c:pt>
                <c:pt idx="276">
                  <c:v>6.4729999999999999</c:v>
                </c:pt>
                <c:pt idx="277">
                  <c:v>7.18</c:v>
                </c:pt>
                <c:pt idx="278">
                  <c:v>6.3490000000000002</c:v>
                </c:pt>
                <c:pt idx="279">
                  <c:v>7.54</c:v>
                </c:pt>
                <c:pt idx="280">
                  <c:v>6.6970000000000001</c:v>
                </c:pt>
                <c:pt idx="281">
                  <c:v>8.11</c:v>
                </c:pt>
                <c:pt idx="282">
                  <c:v>7.22</c:v>
                </c:pt>
                <c:pt idx="283">
                  <c:v>5.8630000000000004</c:v>
                </c:pt>
                <c:pt idx="284">
                  <c:v>3.3220000000000001</c:v>
                </c:pt>
                <c:pt idx="285">
                  <c:v>5.8289999999999997</c:v>
                </c:pt>
                <c:pt idx="286">
                  <c:v>6.3410000000000002</c:v>
                </c:pt>
                <c:pt idx="287">
                  <c:v>7.16</c:v>
                </c:pt>
                <c:pt idx="288">
                  <c:v>7.54</c:v>
                </c:pt>
                <c:pt idx="289">
                  <c:v>6.3730000000000002</c:v>
                </c:pt>
                <c:pt idx="290">
                  <c:v>5.2969999999999997</c:v>
                </c:pt>
                <c:pt idx="291">
                  <c:v>4.3739999999999997</c:v>
                </c:pt>
                <c:pt idx="292">
                  <c:v>3.7839999999999998</c:v>
                </c:pt>
                <c:pt idx="293">
                  <c:v>5.6340000000000003</c:v>
                </c:pt>
                <c:pt idx="294">
                  <c:v>5.9020000000000001</c:v>
                </c:pt>
                <c:pt idx="295">
                  <c:v>4.2960000000000003</c:v>
                </c:pt>
                <c:pt idx="296">
                  <c:v>3.6989999999999998</c:v>
                </c:pt>
                <c:pt idx="297">
                  <c:v>3.1349999999999998</c:v>
                </c:pt>
                <c:pt idx="298">
                  <c:v>3.1219999999999999</c:v>
                </c:pt>
                <c:pt idx="299">
                  <c:v>3.194</c:v>
                </c:pt>
                <c:pt idx="300">
                  <c:v>4.6440000000000001</c:v>
                </c:pt>
                <c:pt idx="301">
                  <c:v>4.1879999999999997</c:v>
                </c:pt>
                <c:pt idx="302">
                  <c:v>3.0819999999999999</c:v>
                </c:pt>
                <c:pt idx="303">
                  <c:v>3.093</c:v>
                </c:pt>
                <c:pt idx="304">
                  <c:v>3.274</c:v>
                </c:pt>
                <c:pt idx="305">
                  <c:v>3.0259999999999998</c:v>
                </c:pt>
                <c:pt idx="306">
                  <c:v>2.8969999999999998</c:v>
                </c:pt>
                <c:pt idx="307">
                  <c:v>2.75</c:v>
                </c:pt>
                <c:pt idx="308">
                  <c:v>2.7309999999999999</c:v>
                </c:pt>
                <c:pt idx="309">
                  <c:v>2.4060000000000001</c:v>
                </c:pt>
                <c:pt idx="310">
                  <c:v>2.23</c:v>
                </c:pt>
                <c:pt idx="311">
                  <c:v>2.5270000000000001</c:v>
                </c:pt>
                <c:pt idx="312">
                  <c:v>2.569</c:v>
                </c:pt>
                <c:pt idx="313">
                  <c:v>2.4820000000000002</c:v>
                </c:pt>
                <c:pt idx="314">
                  <c:v>2.44</c:v>
                </c:pt>
                <c:pt idx="315">
                  <c:v>1.871</c:v>
                </c:pt>
                <c:pt idx="316">
                  <c:v>1.887</c:v>
                </c:pt>
                <c:pt idx="317">
                  <c:v>2.1640000000000001</c:v>
                </c:pt>
                <c:pt idx="318">
                  <c:v>2.17</c:v>
                </c:pt>
                <c:pt idx="319">
                  <c:v>1.522</c:v>
                </c:pt>
                <c:pt idx="320">
                  <c:v>1.478</c:v>
                </c:pt>
                <c:pt idx="321">
                  <c:v>1.23</c:v>
                </c:pt>
                <c:pt idx="322">
                  <c:v>1.276</c:v>
                </c:pt>
                <c:pt idx="323">
                  <c:v>1.4690000000000001</c:v>
                </c:pt>
                <c:pt idx="324">
                  <c:v>1.4930000000000001</c:v>
                </c:pt>
                <c:pt idx="325">
                  <c:v>1.331</c:v>
                </c:pt>
                <c:pt idx="326">
                  <c:v>1.54</c:v>
                </c:pt>
                <c:pt idx="327">
                  <c:v>1.4430000000000001</c:v>
                </c:pt>
                <c:pt idx="328">
                  <c:v>1.417</c:v>
                </c:pt>
                <c:pt idx="329">
                  <c:v>1.427</c:v>
                </c:pt>
                <c:pt idx="330">
                  <c:v>1.534</c:v>
                </c:pt>
                <c:pt idx="331">
                  <c:v>1.202</c:v>
                </c:pt>
                <c:pt idx="332">
                  <c:v>1.28</c:v>
                </c:pt>
                <c:pt idx="333">
                  <c:v>1.125</c:v>
                </c:pt>
                <c:pt idx="334">
                  <c:v>1.331</c:v>
                </c:pt>
                <c:pt idx="335">
                  <c:v>1.212</c:v>
                </c:pt>
                <c:pt idx="336">
                  <c:v>0.91500000000000004</c:v>
                </c:pt>
                <c:pt idx="337">
                  <c:v>1.026</c:v>
                </c:pt>
                <c:pt idx="338">
                  <c:v>0.88300000000000001</c:v>
                </c:pt>
                <c:pt idx="339">
                  <c:v>0.86799999999999999</c:v>
                </c:pt>
                <c:pt idx="340">
                  <c:v>1.0209999999999999</c:v>
                </c:pt>
                <c:pt idx="341">
                  <c:v>1.0229999999999999</c:v>
                </c:pt>
                <c:pt idx="342">
                  <c:v>1.1240000000000001</c:v>
                </c:pt>
                <c:pt idx="343">
                  <c:v>1.03</c:v>
                </c:pt>
                <c:pt idx="344">
                  <c:v>1.1879999999999999</c:v>
                </c:pt>
                <c:pt idx="345">
                  <c:v>1.0860000000000001</c:v>
                </c:pt>
                <c:pt idx="346">
                  <c:v>1.137</c:v>
                </c:pt>
                <c:pt idx="347">
                  <c:v>1.28</c:v>
                </c:pt>
                <c:pt idx="348">
                  <c:v>1.2769999999999999</c:v>
                </c:pt>
                <c:pt idx="349">
                  <c:v>1.0489999999999999</c:v>
                </c:pt>
                <c:pt idx="350">
                  <c:v>1.1919999999999999</c:v>
                </c:pt>
                <c:pt idx="351">
                  <c:v>1.276</c:v>
                </c:pt>
                <c:pt idx="352">
                  <c:v>1.159</c:v>
                </c:pt>
                <c:pt idx="353">
                  <c:v>1.2210000000000001</c:v>
                </c:pt>
                <c:pt idx="354">
                  <c:v>1.2030000000000001</c:v>
                </c:pt>
                <c:pt idx="355">
                  <c:v>1.1910000000000001</c:v>
                </c:pt>
                <c:pt idx="356">
                  <c:v>1.113</c:v>
                </c:pt>
                <c:pt idx="357">
                  <c:v>0.92400000000000004</c:v>
                </c:pt>
                <c:pt idx="358">
                  <c:v>1.121</c:v>
                </c:pt>
                <c:pt idx="359">
                  <c:v>1.1579999999999999</c:v>
                </c:pt>
                <c:pt idx="360">
                  <c:v>1.0649999999999999</c:v>
                </c:pt>
                <c:pt idx="361">
                  <c:v>1.006</c:v>
                </c:pt>
                <c:pt idx="362">
                  <c:v>1.1080000000000001</c:v>
                </c:pt>
                <c:pt idx="363">
                  <c:v>0.753</c:v>
                </c:pt>
                <c:pt idx="364">
                  <c:v>1.1160000000000001</c:v>
                </c:pt>
                <c:pt idx="365">
                  <c:v>0.79700000000000004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0.14699999999999999</c:v>
                </c:pt>
                <c:pt idx="1">
                  <c:v>0.19500000000000001</c:v>
                </c:pt>
                <c:pt idx="2">
                  <c:v>0.221</c:v>
                </c:pt>
                <c:pt idx="3">
                  <c:v>0.20100000000000001</c:v>
                </c:pt>
                <c:pt idx="4">
                  <c:v>0.22900000000000001</c:v>
                </c:pt>
                <c:pt idx="5">
                  <c:v>0.20499999999999999</c:v>
                </c:pt>
                <c:pt idx="6">
                  <c:v>0.17799999999999999</c:v>
                </c:pt>
                <c:pt idx="7">
                  <c:v>0.27100000000000002</c:v>
                </c:pt>
                <c:pt idx="8">
                  <c:v>0.23799999999999999</c:v>
                </c:pt>
                <c:pt idx="9">
                  <c:v>0.16500000000000001</c:v>
                </c:pt>
                <c:pt idx="10">
                  <c:v>-0.11600000000000001</c:v>
                </c:pt>
                <c:pt idx="11">
                  <c:v>4.5999999999999999E-2</c:v>
                </c:pt>
                <c:pt idx="12">
                  <c:v>7.5999999999999998E-2</c:v>
                </c:pt>
                <c:pt idx="13">
                  <c:v>-8.0000000000000002E-3</c:v>
                </c:pt>
                <c:pt idx="14">
                  <c:v>7.5999999999999998E-2</c:v>
                </c:pt>
                <c:pt idx="15">
                  <c:v>0.17899999999999999</c:v>
                </c:pt>
                <c:pt idx="16">
                  <c:v>0.10199999999999999</c:v>
                </c:pt>
                <c:pt idx="17">
                  <c:v>0.156</c:v>
                </c:pt>
                <c:pt idx="18">
                  <c:v>0.193</c:v>
                </c:pt>
                <c:pt idx="19">
                  <c:v>0.24399999999999999</c:v>
                </c:pt>
                <c:pt idx="20">
                  <c:v>0.27200000000000002</c:v>
                </c:pt>
                <c:pt idx="21">
                  <c:v>0.27800000000000002</c:v>
                </c:pt>
                <c:pt idx="22">
                  <c:v>0.27500000000000002</c:v>
                </c:pt>
                <c:pt idx="23">
                  <c:v>0.26400000000000001</c:v>
                </c:pt>
                <c:pt idx="24">
                  <c:v>0.29799999999999999</c:v>
                </c:pt>
                <c:pt idx="25">
                  <c:v>0.32900000000000001</c:v>
                </c:pt>
                <c:pt idx="26">
                  <c:v>0.374</c:v>
                </c:pt>
                <c:pt idx="27">
                  <c:v>0.34399999999999997</c:v>
                </c:pt>
                <c:pt idx="28">
                  <c:v>0.35499999999999998</c:v>
                </c:pt>
                <c:pt idx="29">
                  <c:v>0.318</c:v>
                </c:pt>
                <c:pt idx="30">
                  <c:v>0.32800000000000001</c:v>
                </c:pt>
                <c:pt idx="31">
                  <c:v>0.26900000000000002</c:v>
                </c:pt>
                <c:pt idx="32">
                  <c:v>0.246</c:v>
                </c:pt>
                <c:pt idx="33">
                  <c:v>0.251</c:v>
                </c:pt>
                <c:pt idx="34">
                  <c:v>0.183</c:v>
                </c:pt>
                <c:pt idx="35">
                  <c:v>0.27300000000000002</c:v>
                </c:pt>
                <c:pt idx="36">
                  <c:v>0.27200000000000002</c:v>
                </c:pt>
                <c:pt idx="37">
                  <c:v>0.20799999999999999</c:v>
                </c:pt>
                <c:pt idx="38">
                  <c:v>0.248</c:v>
                </c:pt>
                <c:pt idx="39">
                  <c:v>0.27400000000000002</c:v>
                </c:pt>
                <c:pt idx="40">
                  <c:v>0.40500000000000003</c:v>
                </c:pt>
                <c:pt idx="41">
                  <c:v>0.34</c:v>
                </c:pt>
                <c:pt idx="42">
                  <c:v>0.23300000000000001</c:v>
                </c:pt>
                <c:pt idx="43">
                  <c:v>0.216</c:v>
                </c:pt>
                <c:pt idx="44">
                  <c:v>0.216</c:v>
                </c:pt>
                <c:pt idx="45">
                  <c:v>0.26600000000000001</c:v>
                </c:pt>
                <c:pt idx="46">
                  <c:v>0.34799999999999998</c:v>
                </c:pt>
                <c:pt idx="47">
                  <c:v>0.32500000000000001</c:v>
                </c:pt>
                <c:pt idx="48">
                  <c:v>0.35599999999999998</c:v>
                </c:pt>
                <c:pt idx="49">
                  <c:v>0.35699999999999998</c:v>
                </c:pt>
                <c:pt idx="50">
                  <c:v>0.36</c:v>
                </c:pt>
                <c:pt idx="51">
                  <c:v>0.35399999999999998</c:v>
                </c:pt>
                <c:pt idx="52">
                  <c:v>0.38300000000000001</c:v>
                </c:pt>
                <c:pt idx="53">
                  <c:v>0.39200000000000002</c:v>
                </c:pt>
                <c:pt idx="54">
                  <c:v>0.42499999999999999</c:v>
                </c:pt>
                <c:pt idx="55">
                  <c:v>0.38100000000000001</c:v>
                </c:pt>
                <c:pt idx="56">
                  <c:v>0.26900000000000002</c:v>
                </c:pt>
                <c:pt idx="57">
                  <c:v>0.29699999999999999</c:v>
                </c:pt>
                <c:pt idx="58">
                  <c:v>0.42499999999999999</c:v>
                </c:pt>
                <c:pt idx="59">
                  <c:v>0.28399999999999997</c:v>
                </c:pt>
                <c:pt idx="60">
                  <c:v>0.33300000000000002</c:v>
                </c:pt>
                <c:pt idx="61">
                  <c:v>0.33700000000000002</c:v>
                </c:pt>
                <c:pt idx="62">
                  <c:v>0.318</c:v>
                </c:pt>
                <c:pt idx="63">
                  <c:v>0.253</c:v>
                </c:pt>
                <c:pt idx="64">
                  <c:v>0.30299999999999999</c:v>
                </c:pt>
                <c:pt idx="65">
                  <c:v>0.3</c:v>
                </c:pt>
                <c:pt idx="66">
                  <c:v>0.29899999999999999</c:v>
                </c:pt>
                <c:pt idx="67">
                  <c:v>0.37</c:v>
                </c:pt>
                <c:pt idx="68">
                  <c:v>0.33900000000000002</c:v>
                </c:pt>
                <c:pt idx="69">
                  <c:v>0.38600000000000001</c:v>
                </c:pt>
                <c:pt idx="70">
                  <c:v>0.4</c:v>
                </c:pt>
                <c:pt idx="71">
                  <c:v>0.41299999999999998</c:v>
                </c:pt>
                <c:pt idx="72">
                  <c:v>0.41699999999999998</c:v>
                </c:pt>
                <c:pt idx="73">
                  <c:v>0.45500000000000002</c:v>
                </c:pt>
                <c:pt idx="74">
                  <c:v>0.51500000000000001</c:v>
                </c:pt>
                <c:pt idx="75">
                  <c:v>0.52400000000000002</c:v>
                </c:pt>
                <c:pt idx="76">
                  <c:v>0.53700000000000003</c:v>
                </c:pt>
                <c:pt idx="77">
                  <c:v>0.52200000000000002</c:v>
                </c:pt>
                <c:pt idx="78">
                  <c:v>0.501</c:v>
                </c:pt>
                <c:pt idx="79">
                  <c:v>0.54200000000000004</c:v>
                </c:pt>
                <c:pt idx="80">
                  <c:v>0.434</c:v>
                </c:pt>
                <c:pt idx="81">
                  <c:v>0.49299999999999999</c:v>
                </c:pt>
                <c:pt idx="82">
                  <c:v>0.46200000000000002</c:v>
                </c:pt>
                <c:pt idx="83">
                  <c:v>0.438</c:v>
                </c:pt>
                <c:pt idx="84">
                  <c:v>0.47499999999999998</c:v>
                </c:pt>
                <c:pt idx="85">
                  <c:v>0.503</c:v>
                </c:pt>
                <c:pt idx="86">
                  <c:v>0.48799999999999999</c:v>
                </c:pt>
                <c:pt idx="87">
                  <c:v>0.434</c:v>
                </c:pt>
                <c:pt idx="88">
                  <c:v>0.46500000000000002</c:v>
                </c:pt>
                <c:pt idx="89">
                  <c:v>0.48</c:v>
                </c:pt>
                <c:pt idx="90">
                  <c:v>0.53900000000000003</c:v>
                </c:pt>
                <c:pt idx="91">
                  <c:v>0.56399999999999995</c:v>
                </c:pt>
                <c:pt idx="92">
                  <c:v>0.628</c:v>
                </c:pt>
                <c:pt idx="93">
                  <c:v>0.44400000000000001</c:v>
                </c:pt>
                <c:pt idx="94">
                  <c:v>0.48399999999999999</c:v>
                </c:pt>
                <c:pt idx="95">
                  <c:v>0.497</c:v>
                </c:pt>
                <c:pt idx="96">
                  <c:v>0.48499999999999999</c:v>
                </c:pt>
                <c:pt idx="97">
                  <c:v>0.50700000000000001</c:v>
                </c:pt>
                <c:pt idx="98">
                  <c:v>0.48599999999999999</c:v>
                </c:pt>
                <c:pt idx="99">
                  <c:v>0.46700000000000003</c:v>
                </c:pt>
                <c:pt idx="100">
                  <c:v>0.52900000000000003</c:v>
                </c:pt>
                <c:pt idx="101">
                  <c:v>0.52600000000000002</c:v>
                </c:pt>
                <c:pt idx="102">
                  <c:v>0.497</c:v>
                </c:pt>
                <c:pt idx="103">
                  <c:v>0.48599999999999999</c:v>
                </c:pt>
                <c:pt idx="104">
                  <c:v>0.51100000000000001</c:v>
                </c:pt>
                <c:pt idx="105">
                  <c:v>0.39700000000000002</c:v>
                </c:pt>
                <c:pt idx="106">
                  <c:v>0.33</c:v>
                </c:pt>
                <c:pt idx="107">
                  <c:v>0.38700000000000001</c:v>
                </c:pt>
                <c:pt idx="108">
                  <c:v>0.42</c:v>
                </c:pt>
                <c:pt idx="109">
                  <c:v>0.42299999999999999</c:v>
                </c:pt>
                <c:pt idx="110">
                  <c:v>0.438</c:v>
                </c:pt>
                <c:pt idx="111">
                  <c:v>0.45900000000000002</c:v>
                </c:pt>
                <c:pt idx="112">
                  <c:v>0.80400000000000005</c:v>
                </c:pt>
                <c:pt idx="113">
                  <c:v>1.5780000000000001</c:v>
                </c:pt>
                <c:pt idx="114">
                  <c:v>2.1970000000000001</c:v>
                </c:pt>
                <c:pt idx="115">
                  <c:v>2.3420000000000001</c:v>
                </c:pt>
                <c:pt idx="116">
                  <c:v>3.0270000000000001</c:v>
                </c:pt>
                <c:pt idx="117">
                  <c:v>3.532</c:v>
                </c:pt>
                <c:pt idx="118">
                  <c:v>3.2349999999999999</c:v>
                </c:pt>
                <c:pt idx="119">
                  <c:v>2.911</c:v>
                </c:pt>
                <c:pt idx="120">
                  <c:v>2.629</c:v>
                </c:pt>
                <c:pt idx="121">
                  <c:v>2.823</c:v>
                </c:pt>
                <c:pt idx="122">
                  <c:v>3.8069999999999999</c:v>
                </c:pt>
                <c:pt idx="123">
                  <c:v>4.4779999999999998</c:v>
                </c:pt>
                <c:pt idx="124">
                  <c:v>5.4539999999999997</c:v>
                </c:pt>
                <c:pt idx="125">
                  <c:v>6.08</c:v>
                </c:pt>
                <c:pt idx="126">
                  <c:v>5.44</c:v>
                </c:pt>
                <c:pt idx="127">
                  <c:v>4.8940000000000001</c:v>
                </c:pt>
                <c:pt idx="128">
                  <c:v>5.4820000000000002</c:v>
                </c:pt>
                <c:pt idx="129">
                  <c:v>7.22</c:v>
                </c:pt>
                <c:pt idx="130">
                  <c:v>8.5</c:v>
                </c:pt>
                <c:pt idx="131">
                  <c:v>9.3800000000000008</c:v>
                </c:pt>
                <c:pt idx="132">
                  <c:v>9.31</c:v>
                </c:pt>
                <c:pt idx="133">
                  <c:v>8.66</c:v>
                </c:pt>
                <c:pt idx="134">
                  <c:v>7.75</c:v>
                </c:pt>
                <c:pt idx="135">
                  <c:v>8.51</c:v>
                </c:pt>
                <c:pt idx="136">
                  <c:v>8.0399999999999991</c:v>
                </c:pt>
                <c:pt idx="137">
                  <c:v>6.48</c:v>
                </c:pt>
                <c:pt idx="138">
                  <c:v>6.6029999999999998</c:v>
                </c:pt>
                <c:pt idx="139">
                  <c:v>7.31</c:v>
                </c:pt>
                <c:pt idx="140">
                  <c:v>7.62</c:v>
                </c:pt>
                <c:pt idx="141">
                  <c:v>8</c:v>
                </c:pt>
                <c:pt idx="142">
                  <c:v>8.4600000000000009</c:v>
                </c:pt>
                <c:pt idx="143">
                  <c:v>8.68</c:v>
                </c:pt>
                <c:pt idx="144">
                  <c:v>8.76</c:v>
                </c:pt>
                <c:pt idx="145">
                  <c:v>8.5500000000000007</c:v>
                </c:pt>
                <c:pt idx="146">
                  <c:v>8.2799999999999994</c:v>
                </c:pt>
                <c:pt idx="147">
                  <c:v>8.1199999999999992</c:v>
                </c:pt>
                <c:pt idx="148">
                  <c:v>8.4600000000000009</c:v>
                </c:pt>
                <c:pt idx="149">
                  <c:v>7.64</c:v>
                </c:pt>
                <c:pt idx="150">
                  <c:v>7.58</c:v>
                </c:pt>
                <c:pt idx="151">
                  <c:v>8.31</c:v>
                </c:pt>
                <c:pt idx="152">
                  <c:v>8.77</c:v>
                </c:pt>
                <c:pt idx="153">
                  <c:v>8.41</c:v>
                </c:pt>
                <c:pt idx="154">
                  <c:v>8.14</c:v>
                </c:pt>
                <c:pt idx="155">
                  <c:v>7.95</c:v>
                </c:pt>
                <c:pt idx="156">
                  <c:v>8</c:v>
                </c:pt>
                <c:pt idx="157">
                  <c:v>8.6</c:v>
                </c:pt>
                <c:pt idx="158">
                  <c:v>9.7200000000000006</c:v>
                </c:pt>
                <c:pt idx="159">
                  <c:v>10.41</c:v>
                </c:pt>
                <c:pt idx="160">
                  <c:v>10.98</c:v>
                </c:pt>
                <c:pt idx="161">
                  <c:v>10.96</c:v>
                </c:pt>
                <c:pt idx="162">
                  <c:v>11.19</c:v>
                </c:pt>
                <c:pt idx="163">
                  <c:v>10.1</c:v>
                </c:pt>
                <c:pt idx="164">
                  <c:v>10.199999999999999</c:v>
                </c:pt>
                <c:pt idx="165">
                  <c:v>10.92</c:v>
                </c:pt>
                <c:pt idx="166">
                  <c:v>9.56</c:v>
                </c:pt>
                <c:pt idx="167">
                  <c:v>8.65</c:v>
                </c:pt>
                <c:pt idx="168">
                  <c:v>9.25</c:v>
                </c:pt>
                <c:pt idx="169">
                  <c:v>9.3699999999999992</c:v>
                </c:pt>
                <c:pt idx="170">
                  <c:v>9.15</c:v>
                </c:pt>
                <c:pt idx="171">
                  <c:v>9.8000000000000007</c:v>
                </c:pt>
                <c:pt idx="172">
                  <c:v>10.49</c:v>
                </c:pt>
                <c:pt idx="173">
                  <c:v>11.21</c:v>
                </c:pt>
                <c:pt idx="174">
                  <c:v>11.25</c:v>
                </c:pt>
                <c:pt idx="175">
                  <c:v>10.74</c:v>
                </c:pt>
                <c:pt idx="176">
                  <c:v>10.9</c:v>
                </c:pt>
                <c:pt idx="177">
                  <c:v>11.47</c:v>
                </c:pt>
                <c:pt idx="178">
                  <c:v>11.4</c:v>
                </c:pt>
                <c:pt idx="179">
                  <c:v>11.81</c:v>
                </c:pt>
                <c:pt idx="180">
                  <c:v>12.33</c:v>
                </c:pt>
                <c:pt idx="181">
                  <c:v>12.22</c:v>
                </c:pt>
                <c:pt idx="182">
                  <c:v>12.56</c:v>
                </c:pt>
                <c:pt idx="183">
                  <c:v>12.81</c:v>
                </c:pt>
                <c:pt idx="184">
                  <c:v>12.43</c:v>
                </c:pt>
                <c:pt idx="185">
                  <c:v>12.68</c:v>
                </c:pt>
                <c:pt idx="186">
                  <c:v>13.53</c:v>
                </c:pt>
                <c:pt idx="187">
                  <c:v>13.98</c:v>
                </c:pt>
                <c:pt idx="188">
                  <c:v>14.26</c:v>
                </c:pt>
                <c:pt idx="189">
                  <c:v>14.86</c:v>
                </c:pt>
                <c:pt idx="190">
                  <c:v>15.36</c:v>
                </c:pt>
                <c:pt idx="191">
                  <c:v>15.55</c:v>
                </c:pt>
                <c:pt idx="192">
                  <c:v>15.02</c:v>
                </c:pt>
                <c:pt idx="193">
                  <c:v>14.88</c:v>
                </c:pt>
                <c:pt idx="194">
                  <c:v>15.07</c:v>
                </c:pt>
                <c:pt idx="195">
                  <c:v>15.15</c:v>
                </c:pt>
                <c:pt idx="196">
                  <c:v>15.16</c:v>
                </c:pt>
                <c:pt idx="197">
                  <c:v>15.35</c:v>
                </c:pt>
                <c:pt idx="198">
                  <c:v>15.41</c:v>
                </c:pt>
                <c:pt idx="199">
                  <c:v>16.13</c:v>
                </c:pt>
                <c:pt idx="200">
                  <c:v>16.07</c:v>
                </c:pt>
                <c:pt idx="201">
                  <c:v>15.72</c:v>
                </c:pt>
                <c:pt idx="202">
                  <c:v>16.260000000000002</c:v>
                </c:pt>
                <c:pt idx="203">
                  <c:v>16.53</c:v>
                </c:pt>
                <c:pt idx="204">
                  <c:v>15.02</c:v>
                </c:pt>
                <c:pt idx="205">
                  <c:v>14.26</c:v>
                </c:pt>
                <c:pt idx="206">
                  <c:v>13.56</c:v>
                </c:pt>
                <c:pt idx="207">
                  <c:v>13.21</c:v>
                </c:pt>
                <c:pt idx="208">
                  <c:v>13.44</c:v>
                </c:pt>
                <c:pt idx="209">
                  <c:v>13.98</c:v>
                </c:pt>
                <c:pt idx="210">
                  <c:v>13.87</c:v>
                </c:pt>
                <c:pt idx="211">
                  <c:v>13.99</c:v>
                </c:pt>
                <c:pt idx="212">
                  <c:v>14.38</c:v>
                </c:pt>
                <c:pt idx="213">
                  <c:v>14.86</c:v>
                </c:pt>
                <c:pt idx="214">
                  <c:v>15.19</c:v>
                </c:pt>
                <c:pt idx="215">
                  <c:v>15.74</c:v>
                </c:pt>
                <c:pt idx="216">
                  <c:v>15.57</c:v>
                </c:pt>
                <c:pt idx="217">
                  <c:v>15.52</c:v>
                </c:pt>
                <c:pt idx="218">
                  <c:v>14.7</c:v>
                </c:pt>
                <c:pt idx="219">
                  <c:v>13.98</c:v>
                </c:pt>
                <c:pt idx="220">
                  <c:v>14</c:v>
                </c:pt>
                <c:pt idx="221">
                  <c:v>14.19</c:v>
                </c:pt>
                <c:pt idx="222">
                  <c:v>13.79</c:v>
                </c:pt>
                <c:pt idx="223">
                  <c:v>14</c:v>
                </c:pt>
                <c:pt idx="224">
                  <c:v>14.18</c:v>
                </c:pt>
                <c:pt idx="225">
                  <c:v>13.81</c:v>
                </c:pt>
                <c:pt idx="226">
                  <c:v>14.37</c:v>
                </c:pt>
                <c:pt idx="227">
                  <c:v>14.21</c:v>
                </c:pt>
                <c:pt idx="228">
                  <c:v>14.04</c:v>
                </c:pt>
                <c:pt idx="229">
                  <c:v>13.6</c:v>
                </c:pt>
                <c:pt idx="230">
                  <c:v>14</c:v>
                </c:pt>
                <c:pt idx="231">
                  <c:v>13.38</c:v>
                </c:pt>
                <c:pt idx="232">
                  <c:v>12.8</c:v>
                </c:pt>
                <c:pt idx="233">
                  <c:v>12.93</c:v>
                </c:pt>
                <c:pt idx="234">
                  <c:v>12.85</c:v>
                </c:pt>
                <c:pt idx="235">
                  <c:v>13.25</c:v>
                </c:pt>
                <c:pt idx="236">
                  <c:v>11.98</c:v>
                </c:pt>
                <c:pt idx="237">
                  <c:v>11.79</c:v>
                </c:pt>
                <c:pt idx="238">
                  <c:v>11.95</c:v>
                </c:pt>
                <c:pt idx="239">
                  <c:v>11.11</c:v>
                </c:pt>
                <c:pt idx="240">
                  <c:v>10.59</c:v>
                </c:pt>
                <c:pt idx="241">
                  <c:v>11.2</c:v>
                </c:pt>
                <c:pt idx="242">
                  <c:v>12.15</c:v>
                </c:pt>
                <c:pt idx="243">
                  <c:v>12.86</c:v>
                </c:pt>
                <c:pt idx="244">
                  <c:v>13.44</c:v>
                </c:pt>
                <c:pt idx="245">
                  <c:v>13.97</c:v>
                </c:pt>
                <c:pt idx="246">
                  <c:v>13.28</c:v>
                </c:pt>
                <c:pt idx="247">
                  <c:v>12.72</c:v>
                </c:pt>
                <c:pt idx="248">
                  <c:v>12.89</c:v>
                </c:pt>
                <c:pt idx="249">
                  <c:v>13.22</c:v>
                </c:pt>
                <c:pt idx="250">
                  <c:v>13.17</c:v>
                </c:pt>
                <c:pt idx="251">
                  <c:v>13.47</c:v>
                </c:pt>
                <c:pt idx="252">
                  <c:v>12.92</c:v>
                </c:pt>
                <c:pt idx="253">
                  <c:v>11.46</c:v>
                </c:pt>
                <c:pt idx="254">
                  <c:v>11.4</c:v>
                </c:pt>
                <c:pt idx="255">
                  <c:v>11.48</c:v>
                </c:pt>
                <c:pt idx="256">
                  <c:v>11.09</c:v>
                </c:pt>
                <c:pt idx="257">
                  <c:v>11.39</c:v>
                </c:pt>
                <c:pt idx="258">
                  <c:v>10.1</c:v>
                </c:pt>
                <c:pt idx="259">
                  <c:v>9.51</c:v>
                </c:pt>
                <c:pt idx="260">
                  <c:v>10.18</c:v>
                </c:pt>
                <c:pt idx="261">
                  <c:v>10.56</c:v>
                </c:pt>
                <c:pt idx="262">
                  <c:v>10.34</c:v>
                </c:pt>
                <c:pt idx="263">
                  <c:v>9.06</c:v>
                </c:pt>
                <c:pt idx="264">
                  <c:v>8.7899999999999991</c:v>
                </c:pt>
                <c:pt idx="265">
                  <c:v>10.01</c:v>
                </c:pt>
                <c:pt idx="266">
                  <c:v>10.5</c:v>
                </c:pt>
                <c:pt idx="267">
                  <c:v>11.48</c:v>
                </c:pt>
                <c:pt idx="268">
                  <c:v>11.99</c:v>
                </c:pt>
                <c:pt idx="269">
                  <c:v>10.3</c:v>
                </c:pt>
                <c:pt idx="270">
                  <c:v>9.8699999999999992</c:v>
                </c:pt>
                <c:pt idx="271">
                  <c:v>9.11</c:v>
                </c:pt>
                <c:pt idx="272">
                  <c:v>8.5</c:v>
                </c:pt>
                <c:pt idx="273">
                  <c:v>7.43</c:v>
                </c:pt>
                <c:pt idx="274">
                  <c:v>7.9</c:v>
                </c:pt>
                <c:pt idx="275">
                  <c:v>7.33</c:v>
                </c:pt>
                <c:pt idx="276">
                  <c:v>7.28</c:v>
                </c:pt>
                <c:pt idx="277">
                  <c:v>7.6</c:v>
                </c:pt>
                <c:pt idx="278">
                  <c:v>7.22</c:v>
                </c:pt>
                <c:pt idx="279">
                  <c:v>8.06</c:v>
                </c:pt>
                <c:pt idx="280">
                  <c:v>7.8</c:v>
                </c:pt>
                <c:pt idx="281">
                  <c:v>8.59</c:v>
                </c:pt>
                <c:pt idx="282">
                  <c:v>8.1999999999999993</c:v>
                </c:pt>
                <c:pt idx="283">
                  <c:v>6.58</c:v>
                </c:pt>
                <c:pt idx="284">
                  <c:v>5.9989999999999997</c:v>
                </c:pt>
                <c:pt idx="285">
                  <c:v>6.7309999999999999</c:v>
                </c:pt>
                <c:pt idx="286">
                  <c:v>7.21</c:v>
                </c:pt>
                <c:pt idx="287">
                  <c:v>7.78</c:v>
                </c:pt>
                <c:pt idx="288">
                  <c:v>7.89</c:v>
                </c:pt>
                <c:pt idx="289">
                  <c:v>7.24</c:v>
                </c:pt>
                <c:pt idx="290">
                  <c:v>5.8760000000000003</c:v>
                </c:pt>
                <c:pt idx="291">
                  <c:v>4.6820000000000004</c:v>
                </c:pt>
                <c:pt idx="292">
                  <c:v>4.7770000000000001</c:v>
                </c:pt>
                <c:pt idx="293">
                  <c:v>6.3810000000000002</c:v>
                </c:pt>
                <c:pt idx="294">
                  <c:v>6.2450000000000001</c:v>
                </c:pt>
                <c:pt idx="295">
                  <c:v>5.2409999999999997</c:v>
                </c:pt>
                <c:pt idx="296">
                  <c:v>4.45</c:v>
                </c:pt>
                <c:pt idx="297">
                  <c:v>3.91</c:v>
                </c:pt>
                <c:pt idx="298">
                  <c:v>3.411</c:v>
                </c:pt>
                <c:pt idx="299">
                  <c:v>4.069</c:v>
                </c:pt>
                <c:pt idx="300">
                  <c:v>5.04</c:v>
                </c:pt>
                <c:pt idx="301">
                  <c:v>4.625</c:v>
                </c:pt>
                <c:pt idx="302">
                  <c:v>3.8149999999999999</c:v>
                </c:pt>
                <c:pt idx="303">
                  <c:v>3.36</c:v>
                </c:pt>
                <c:pt idx="304">
                  <c:v>3.4529999999999998</c:v>
                </c:pt>
                <c:pt idx="305">
                  <c:v>3.1190000000000002</c:v>
                </c:pt>
                <c:pt idx="306">
                  <c:v>3.1230000000000002</c:v>
                </c:pt>
                <c:pt idx="307">
                  <c:v>3.0049999999999999</c:v>
                </c:pt>
                <c:pt idx="308">
                  <c:v>2.9289999999999998</c:v>
                </c:pt>
                <c:pt idx="309">
                  <c:v>2.802</c:v>
                </c:pt>
                <c:pt idx="310">
                  <c:v>2.7080000000000002</c:v>
                </c:pt>
                <c:pt idx="311">
                  <c:v>2.742</c:v>
                </c:pt>
                <c:pt idx="312">
                  <c:v>2.8029999999999999</c:v>
                </c:pt>
                <c:pt idx="313">
                  <c:v>2.5979999999999999</c:v>
                </c:pt>
                <c:pt idx="314">
                  <c:v>2.5870000000000002</c:v>
                </c:pt>
                <c:pt idx="315">
                  <c:v>2.4279999999999999</c:v>
                </c:pt>
                <c:pt idx="316">
                  <c:v>2.278</c:v>
                </c:pt>
                <c:pt idx="317">
                  <c:v>2.2490000000000001</c:v>
                </c:pt>
                <c:pt idx="318">
                  <c:v>2.319</c:v>
                </c:pt>
                <c:pt idx="319">
                  <c:v>1.95</c:v>
                </c:pt>
                <c:pt idx="320">
                  <c:v>1.641</c:v>
                </c:pt>
                <c:pt idx="321">
                  <c:v>1.5820000000000001</c:v>
                </c:pt>
                <c:pt idx="322">
                  <c:v>1.64</c:v>
                </c:pt>
                <c:pt idx="323">
                  <c:v>1.71</c:v>
                </c:pt>
                <c:pt idx="324">
                  <c:v>1.708</c:v>
                </c:pt>
                <c:pt idx="325">
                  <c:v>1.714</c:v>
                </c:pt>
                <c:pt idx="326">
                  <c:v>1.794</c:v>
                </c:pt>
                <c:pt idx="327">
                  <c:v>1.756</c:v>
                </c:pt>
                <c:pt idx="328">
                  <c:v>1.7390000000000001</c:v>
                </c:pt>
                <c:pt idx="329">
                  <c:v>1.734</c:v>
                </c:pt>
                <c:pt idx="330">
                  <c:v>1.7130000000000001</c:v>
                </c:pt>
                <c:pt idx="331">
                  <c:v>1.663</c:v>
                </c:pt>
                <c:pt idx="332">
                  <c:v>1.5660000000000001</c:v>
                </c:pt>
                <c:pt idx="333">
                  <c:v>1.5249999999999999</c:v>
                </c:pt>
                <c:pt idx="334">
                  <c:v>1.482</c:v>
                </c:pt>
                <c:pt idx="335">
                  <c:v>1.504</c:v>
                </c:pt>
                <c:pt idx="336">
                  <c:v>1.4430000000000001</c:v>
                </c:pt>
                <c:pt idx="337">
                  <c:v>1.3140000000000001</c:v>
                </c:pt>
                <c:pt idx="338">
                  <c:v>1.2330000000000001</c:v>
                </c:pt>
                <c:pt idx="339">
                  <c:v>1.1639999999999999</c:v>
                </c:pt>
                <c:pt idx="340">
                  <c:v>1.2110000000000001</c:v>
                </c:pt>
                <c:pt idx="341">
                  <c:v>1.252</c:v>
                </c:pt>
                <c:pt idx="342">
                  <c:v>1.3169999999999999</c:v>
                </c:pt>
                <c:pt idx="343">
                  <c:v>1.34</c:v>
                </c:pt>
                <c:pt idx="344">
                  <c:v>1.391</c:v>
                </c:pt>
                <c:pt idx="345">
                  <c:v>1.367</c:v>
                </c:pt>
                <c:pt idx="346">
                  <c:v>1.383</c:v>
                </c:pt>
                <c:pt idx="347">
                  <c:v>1.3939999999999999</c:v>
                </c:pt>
                <c:pt idx="348">
                  <c:v>1.415</c:v>
                </c:pt>
                <c:pt idx="349">
                  <c:v>1.365</c:v>
                </c:pt>
                <c:pt idx="350">
                  <c:v>1.401</c:v>
                </c:pt>
                <c:pt idx="351">
                  <c:v>1.3879999999999999</c:v>
                </c:pt>
                <c:pt idx="352">
                  <c:v>1.383</c:v>
                </c:pt>
                <c:pt idx="353">
                  <c:v>1.43</c:v>
                </c:pt>
                <c:pt idx="354">
                  <c:v>1.3859999999999999</c:v>
                </c:pt>
                <c:pt idx="355">
                  <c:v>1.3680000000000001</c:v>
                </c:pt>
                <c:pt idx="356">
                  <c:v>1.3049999999999999</c:v>
                </c:pt>
                <c:pt idx="357">
                  <c:v>1.3049999999999999</c:v>
                </c:pt>
                <c:pt idx="358">
                  <c:v>1.323</c:v>
                </c:pt>
                <c:pt idx="359">
                  <c:v>1.3009999999999999</c:v>
                </c:pt>
                <c:pt idx="360">
                  <c:v>1.2829999999999999</c:v>
                </c:pt>
                <c:pt idx="361">
                  <c:v>1.2549999999999999</c:v>
                </c:pt>
                <c:pt idx="362">
                  <c:v>1.2569999999999999</c:v>
                </c:pt>
                <c:pt idx="363">
                  <c:v>1.198</c:v>
                </c:pt>
                <c:pt idx="364">
                  <c:v>1.214</c:v>
                </c:pt>
                <c:pt idx="365">
                  <c:v>1.1439999999999999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98784"/>
        <c:axId val="185400320"/>
      </c:lineChart>
      <c:catAx>
        <c:axId val="1853987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40032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5400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5398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Data!$Y$6:$Y$371</c:f>
              <c:numCache>
                <c:formatCode>General</c:formatCode>
                <c:ptCount val="366"/>
                <c:pt idx="0">
                  <c:v>8.7999999999999995E-2</c:v>
                </c:pt>
                <c:pt idx="1">
                  <c:v>0.54500000000000004</c:v>
                </c:pt>
                <c:pt idx="2">
                  <c:v>0.21</c:v>
                </c:pt>
                <c:pt idx="3">
                  <c:v>0.48799999999999999</c:v>
                </c:pt>
                <c:pt idx="4">
                  <c:v>0.80800000000000005</c:v>
                </c:pt>
                <c:pt idx="5">
                  <c:v>0.53400000000000003</c:v>
                </c:pt>
                <c:pt idx="6">
                  <c:v>0.45600000000000002</c:v>
                </c:pt>
                <c:pt idx="7">
                  <c:v>0.54500000000000004</c:v>
                </c:pt>
                <c:pt idx="8">
                  <c:v>0.86599999999999999</c:v>
                </c:pt>
                <c:pt idx="9">
                  <c:v>0.58099999999999996</c:v>
                </c:pt>
                <c:pt idx="10">
                  <c:v>0.6</c:v>
                </c:pt>
                <c:pt idx="11">
                  <c:v>0.35399999999999998</c:v>
                </c:pt>
                <c:pt idx="12">
                  <c:v>0.69399999999999995</c:v>
                </c:pt>
                <c:pt idx="13">
                  <c:v>0.34</c:v>
                </c:pt>
                <c:pt idx="14">
                  <c:v>0.223</c:v>
                </c:pt>
                <c:pt idx="15">
                  <c:v>0.66700000000000004</c:v>
                </c:pt>
                <c:pt idx="16">
                  <c:v>0.24199999999999999</c:v>
                </c:pt>
                <c:pt idx="17">
                  <c:v>0.48899999999999999</c:v>
                </c:pt>
                <c:pt idx="18">
                  <c:v>0.80400000000000005</c:v>
                </c:pt>
                <c:pt idx="19">
                  <c:v>0.54700000000000004</c:v>
                </c:pt>
                <c:pt idx="20">
                  <c:v>0.68100000000000005</c:v>
                </c:pt>
                <c:pt idx="21">
                  <c:v>0.69499999999999995</c:v>
                </c:pt>
                <c:pt idx="22">
                  <c:v>0.52600000000000002</c:v>
                </c:pt>
                <c:pt idx="23">
                  <c:v>0.53600000000000003</c:v>
                </c:pt>
                <c:pt idx="24">
                  <c:v>0.123</c:v>
                </c:pt>
                <c:pt idx="25">
                  <c:v>0.66500000000000004</c:v>
                </c:pt>
                <c:pt idx="26">
                  <c:v>0.81699999999999995</c:v>
                </c:pt>
                <c:pt idx="27">
                  <c:v>0.49299999999999999</c:v>
                </c:pt>
                <c:pt idx="28">
                  <c:v>1.1639999999999999</c:v>
                </c:pt>
                <c:pt idx="29">
                  <c:v>0.89400000000000002</c:v>
                </c:pt>
                <c:pt idx="30">
                  <c:v>1.1459999999999999</c:v>
                </c:pt>
                <c:pt idx="31">
                  <c:v>0.57399999999999995</c:v>
                </c:pt>
                <c:pt idx="32">
                  <c:v>0.46100000000000002</c:v>
                </c:pt>
                <c:pt idx="33">
                  <c:v>0.38500000000000001</c:v>
                </c:pt>
                <c:pt idx="34">
                  <c:v>0.312</c:v>
                </c:pt>
                <c:pt idx="35">
                  <c:v>0.27900000000000003</c:v>
                </c:pt>
                <c:pt idx="36">
                  <c:v>0.183</c:v>
                </c:pt>
                <c:pt idx="37">
                  <c:v>0.13300000000000001</c:v>
                </c:pt>
                <c:pt idx="38">
                  <c:v>0.216</c:v>
                </c:pt>
                <c:pt idx="39">
                  <c:v>0.41099999999999998</c:v>
                </c:pt>
                <c:pt idx="40">
                  <c:v>0.254</c:v>
                </c:pt>
                <c:pt idx="41">
                  <c:v>0.43</c:v>
                </c:pt>
                <c:pt idx="42">
                  <c:v>0.45400000000000001</c:v>
                </c:pt>
                <c:pt idx="43">
                  <c:v>0.60399999999999998</c:v>
                </c:pt>
                <c:pt idx="44">
                  <c:v>0.45</c:v>
                </c:pt>
                <c:pt idx="45">
                  <c:v>0.46800000000000003</c:v>
                </c:pt>
                <c:pt idx="46">
                  <c:v>0.745</c:v>
                </c:pt>
                <c:pt idx="47">
                  <c:v>0.98199999999999998</c:v>
                </c:pt>
                <c:pt idx="48">
                  <c:v>0.45200000000000001</c:v>
                </c:pt>
                <c:pt idx="49">
                  <c:v>0.77800000000000002</c:v>
                </c:pt>
                <c:pt idx="50">
                  <c:v>0.73</c:v>
                </c:pt>
                <c:pt idx="51">
                  <c:v>0.186</c:v>
                </c:pt>
                <c:pt idx="52">
                  <c:v>0.38300000000000001</c:v>
                </c:pt>
                <c:pt idx="53">
                  <c:v>1.024</c:v>
                </c:pt>
                <c:pt idx="54">
                  <c:v>1.387</c:v>
                </c:pt>
                <c:pt idx="55">
                  <c:v>1.6459999999999999</c:v>
                </c:pt>
                <c:pt idx="56">
                  <c:v>0.72199999999999998</c:v>
                </c:pt>
                <c:pt idx="57">
                  <c:v>0.71199999999999997</c:v>
                </c:pt>
                <c:pt idx="58">
                  <c:v>1.429</c:v>
                </c:pt>
                <c:pt idx="59">
                  <c:v>1.214</c:v>
                </c:pt>
                <c:pt idx="60">
                  <c:v>1.0049999999999999</c:v>
                </c:pt>
                <c:pt idx="61">
                  <c:v>0.74</c:v>
                </c:pt>
                <c:pt idx="62">
                  <c:v>0.46800000000000003</c:v>
                </c:pt>
                <c:pt idx="63">
                  <c:v>0.54700000000000004</c:v>
                </c:pt>
                <c:pt idx="64">
                  <c:v>0.60799999999999998</c:v>
                </c:pt>
                <c:pt idx="65">
                  <c:v>0.33300000000000002</c:v>
                </c:pt>
                <c:pt idx="66">
                  <c:v>0.68899999999999995</c:v>
                </c:pt>
                <c:pt idx="67">
                  <c:v>0.92200000000000004</c:v>
                </c:pt>
                <c:pt idx="68">
                  <c:v>1.2210000000000001</c:v>
                </c:pt>
                <c:pt idx="69">
                  <c:v>0.99</c:v>
                </c:pt>
                <c:pt idx="70">
                  <c:v>0.95699999999999996</c:v>
                </c:pt>
                <c:pt idx="71">
                  <c:v>0.97599999999999998</c:v>
                </c:pt>
                <c:pt idx="72">
                  <c:v>0.80100000000000005</c:v>
                </c:pt>
                <c:pt idx="73">
                  <c:v>0.443</c:v>
                </c:pt>
                <c:pt idx="74">
                  <c:v>0.31900000000000001</c:v>
                </c:pt>
                <c:pt idx="75">
                  <c:v>0.56899999999999995</c:v>
                </c:pt>
                <c:pt idx="76">
                  <c:v>0.747</c:v>
                </c:pt>
                <c:pt idx="77">
                  <c:v>0.56100000000000005</c:v>
                </c:pt>
                <c:pt idx="78">
                  <c:v>0.63100000000000001</c:v>
                </c:pt>
                <c:pt idx="79">
                  <c:v>0.51900000000000002</c:v>
                </c:pt>
                <c:pt idx="80">
                  <c:v>0.78300000000000003</c:v>
                </c:pt>
                <c:pt idx="81">
                  <c:v>0.42099999999999999</c:v>
                </c:pt>
                <c:pt idx="82">
                  <c:v>0.57799999999999996</c:v>
                </c:pt>
                <c:pt idx="83">
                  <c:v>0.52200000000000002</c:v>
                </c:pt>
                <c:pt idx="84">
                  <c:v>0.63400000000000001</c:v>
                </c:pt>
                <c:pt idx="85">
                  <c:v>0.49099999999999999</c:v>
                </c:pt>
                <c:pt idx="86">
                  <c:v>0.67700000000000005</c:v>
                </c:pt>
                <c:pt idx="87">
                  <c:v>0.47399999999999998</c:v>
                </c:pt>
                <c:pt idx="88">
                  <c:v>0.51900000000000002</c:v>
                </c:pt>
                <c:pt idx="89">
                  <c:v>0.65600000000000003</c:v>
                </c:pt>
                <c:pt idx="90">
                  <c:v>0.54200000000000004</c:v>
                </c:pt>
                <c:pt idx="91">
                  <c:v>0.89</c:v>
                </c:pt>
                <c:pt idx="92">
                  <c:v>1.282</c:v>
                </c:pt>
                <c:pt idx="93">
                  <c:v>1.05</c:v>
                </c:pt>
                <c:pt idx="94">
                  <c:v>0.38700000000000001</c:v>
                </c:pt>
                <c:pt idx="95">
                  <c:v>0.214</c:v>
                </c:pt>
                <c:pt idx="96">
                  <c:v>0.872</c:v>
                </c:pt>
                <c:pt idx="97">
                  <c:v>0.89800000000000002</c:v>
                </c:pt>
                <c:pt idx="98">
                  <c:v>1.073</c:v>
                </c:pt>
                <c:pt idx="99">
                  <c:v>1.1479999999999999</c:v>
                </c:pt>
                <c:pt idx="100">
                  <c:v>0.67100000000000004</c:v>
                </c:pt>
                <c:pt idx="101">
                  <c:v>0.70499999999999996</c:v>
                </c:pt>
                <c:pt idx="102">
                  <c:v>0.45100000000000001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1.2729999999999999</c:v>
                </c:pt>
                <c:pt idx="106">
                  <c:v>0.84599999999999997</c:v>
                </c:pt>
                <c:pt idx="107">
                  <c:v>0.36599999999999999</c:v>
                </c:pt>
                <c:pt idx="108">
                  <c:v>0.71299999999999997</c:v>
                </c:pt>
                <c:pt idx="109">
                  <c:v>0.67100000000000004</c:v>
                </c:pt>
                <c:pt idx="110">
                  <c:v>1.071</c:v>
                </c:pt>
                <c:pt idx="111">
                  <c:v>1.274</c:v>
                </c:pt>
                <c:pt idx="112">
                  <c:v>0.753</c:v>
                </c:pt>
                <c:pt idx="113">
                  <c:v>0.78400000000000003</c:v>
                </c:pt>
                <c:pt idx="114">
                  <c:v>1.0569999999999999</c:v>
                </c:pt>
                <c:pt idx="115">
                  <c:v>0.503</c:v>
                </c:pt>
                <c:pt idx="116">
                  <c:v>0.188</c:v>
                </c:pt>
                <c:pt idx="117">
                  <c:v>0.68899999999999995</c:v>
                </c:pt>
                <c:pt idx="118">
                  <c:v>1.1579999999999999</c:v>
                </c:pt>
                <c:pt idx="119">
                  <c:v>0.83099999999999996</c:v>
                </c:pt>
                <c:pt idx="120">
                  <c:v>0.69099999999999995</c:v>
                </c:pt>
                <c:pt idx="121">
                  <c:v>0.871</c:v>
                </c:pt>
                <c:pt idx="122">
                  <c:v>0.625</c:v>
                </c:pt>
                <c:pt idx="123">
                  <c:v>0.60499999999999998</c:v>
                </c:pt>
                <c:pt idx="124">
                  <c:v>0.68799999999999994</c:v>
                </c:pt>
                <c:pt idx="125">
                  <c:v>0.873</c:v>
                </c:pt>
                <c:pt idx="126">
                  <c:v>1.1870000000000001</c:v>
                </c:pt>
                <c:pt idx="127">
                  <c:v>1.179</c:v>
                </c:pt>
                <c:pt idx="128">
                  <c:v>0.84299999999999997</c:v>
                </c:pt>
                <c:pt idx="129">
                  <c:v>0.70399999999999996</c:v>
                </c:pt>
                <c:pt idx="130">
                  <c:v>0.61399999999999999</c:v>
                </c:pt>
                <c:pt idx="131">
                  <c:v>0.97699999999999998</c:v>
                </c:pt>
                <c:pt idx="132">
                  <c:v>0.95799999999999996</c:v>
                </c:pt>
                <c:pt idx="133">
                  <c:v>0.55100000000000005</c:v>
                </c:pt>
                <c:pt idx="134">
                  <c:v>0.59299999999999997</c:v>
                </c:pt>
                <c:pt idx="135">
                  <c:v>0.89300000000000002</c:v>
                </c:pt>
                <c:pt idx="136">
                  <c:v>1.0409999999999999</c:v>
                </c:pt>
                <c:pt idx="137">
                  <c:v>1.1399999999999999</c:v>
                </c:pt>
                <c:pt idx="138">
                  <c:v>0.72399999999999998</c:v>
                </c:pt>
                <c:pt idx="139">
                  <c:v>0.85</c:v>
                </c:pt>
                <c:pt idx="140">
                  <c:v>0.99199999999999999</c:v>
                </c:pt>
                <c:pt idx="141">
                  <c:v>0.88500000000000001</c:v>
                </c:pt>
                <c:pt idx="142">
                  <c:v>0.53100000000000003</c:v>
                </c:pt>
                <c:pt idx="143">
                  <c:v>0.94</c:v>
                </c:pt>
                <c:pt idx="144">
                  <c:v>0.41799999999999998</c:v>
                </c:pt>
                <c:pt idx="145">
                  <c:v>0.98799999999999999</c:v>
                </c:pt>
                <c:pt idx="146">
                  <c:v>1.089</c:v>
                </c:pt>
                <c:pt idx="147">
                  <c:v>0.622</c:v>
                </c:pt>
                <c:pt idx="148">
                  <c:v>0.83</c:v>
                </c:pt>
                <c:pt idx="149">
                  <c:v>0.94199999999999995</c:v>
                </c:pt>
                <c:pt idx="150">
                  <c:v>0.74399999999999999</c:v>
                </c:pt>
                <c:pt idx="151">
                  <c:v>0.52700000000000002</c:v>
                </c:pt>
                <c:pt idx="152">
                  <c:v>0.58599999999999997</c:v>
                </c:pt>
                <c:pt idx="153">
                  <c:v>0.67500000000000004</c:v>
                </c:pt>
                <c:pt idx="154">
                  <c:v>1.0620000000000001</c:v>
                </c:pt>
                <c:pt idx="155">
                  <c:v>1.5669999999999999</c:v>
                </c:pt>
                <c:pt idx="156">
                  <c:v>0.80300000000000005</c:v>
                </c:pt>
                <c:pt idx="157">
                  <c:v>0.52700000000000002</c:v>
                </c:pt>
                <c:pt idx="158">
                  <c:v>0.91300000000000003</c:v>
                </c:pt>
                <c:pt idx="159">
                  <c:v>0.79700000000000004</c:v>
                </c:pt>
                <c:pt idx="160">
                  <c:v>0.38400000000000001</c:v>
                </c:pt>
                <c:pt idx="161">
                  <c:v>1.02</c:v>
                </c:pt>
                <c:pt idx="162">
                  <c:v>1.611</c:v>
                </c:pt>
                <c:pt idx="163">
                  <c:v>0.57299999999999995</c:v>
                </c:pt>
                <c:pt idx="164">
                  <c:v>0.84</c:v>
                </c:pt>
                <c:pt idx="165">
                  <c:v>1.421</c:v>
                </c:pt>
                <c:pt idx="166">
                  <c:v>0.70299999999999996</c:v>
                </c:pt>
                <c:pt idx="167">
                  <c:v>0.48399999999999999</c:v>
                </c:pt>
                <c:pt idx="168">
                  <c:v>0.55800000000000005</c:v>
                </c:pt>
                <c:pt idx="169">
                  <c:v>0.58399999999999996</c:v>
                </c:pt>
                <c:pt idx="170">
                  <c:v>0.49199999999999999</c:v>
                </c:pt>
                <c:pt idx="171">
                  <c:v>0.372</c:v>
                </c:pt>
                <c:pt idx="172">
                  <c:v>0.56299999999999994</c:v>
                </c:pt>
                <c:pt idx="173">
                  <c:v>0.623</c:v>
                </c:pt>
                <c:pt idx="174">
                  <c:v>1.141</c:v>
                </c:pt>
                <c:pt idx="175">
                  <c:v>0.57899999999999996</c:v>
                </c:pt>
                <c:pt idx="176">
                  <c:v>0.56499999999999995</c:v>
                </c:pt>
                <c:pt idx="177">
                  <c:v>0.84099999999999997</c:v>
                </c:pt>
                <c:pt idx="178">
                  <c:v>0.89100000000000001</c:v>
                </c:pt>
                <c:pt idx="179">
                  <c:v>0.56100000000000005</c:v>
                </c:pt>
                <c:pt idx="180">
                  <c:v>0.437</c:v>
                </c:pt>
                <c:pt idx="181">
                  <c:v>0.44900000000000001</c:v>
                </c:pt>
                <c:pt idx="182">
                  <c:v>0.623</c:v>
                </c:pt>
                <c:pt idx="183">
                  <c:v>0.70899999999999996</c:v>
                </c:pt>
                <c:pt idx="184">
                  <c:v>0.90100000000000002</c:v>
                </c:pt>
                <c:pt idx="185">
                  <c:v>0.57799999999999996</c:v>
                </c:pt>
                <c:pt idx="186">
                  <c:v>0.77900000000000003</c:v>
                </c:pt>
                <c:pt idx="187">
                  <c:v>0.76300000000000001</c:v>
                </c:pt>
                <c:pt idx="188">
                  <c:v>0.49099999999999999</c:v>
                </c:pt>
                <c:pt idx="189">
                  <c:v>0.48399999999999999</c:v>
                </c:pt>
                <c:pt idx="190">
                  <c:v>0.47</c:v>
                </c:pt>
                <c:pt idx="191">
                  <c:v>0.86799999999999999</c:v>
                </c:pt>
                <c:pt idx="192">
                  <c:v>0.753</c:v>
                </c:pt>
                <c:pt idx="193">
                  <c:v>0.56699999999999995</c:v>
                </c:pt>
                <c:pt idx="194">
                  <c:v>0.59299999999999997</c:v>
                </c:pt>
                <c:pt idx="195">
                  <c:v>0.505</c:v>
                </c:pt>
                <c:pt idx="196">
                  <c:v>0.59599999999999997</c:v>
                </c:pt>
                <c:pt idx="197">
                  <c:v>0.63700000000000001</c:v>
                </c:pt>
                <c:pt idx="198">
                  <c:v>0.28899999999999998</c:v>
                </c:pt>
                <c:pt idx="199">
                  <c:v>0.41099999999999998</c:v>
                </c:pt>
                <c:pt idx="200">
                  <c:v>0.69099999999999995</c:v>
                </c:pt>
                <c:pt idx="201">
                  <c:v>0.35499999999999998</c:v>
                </c:pt>
                <c:pt idx="202">
                  <c:v>0.61299999999999999</c:v>
                </c:pt>
                <c:pt idx="203">
                  <c:v>0.94299999999999995</c:v>
                </c:pt>
                <c:pt idx="204">
                  <c:v>0.95299999999999996</c:v>
                </c:pt>
                <c:pt idx="205">
                  <c:v>0.96399999999999997</c:v>
                </c:pt>
                <c:pt idx="206">
                  <c:v>0.76200000000000001</c:v>
                </c:pt>
                <c:pt idx="207">
                  <c:v>0.52800000000000002</c:v>
                </c:pt>
                <c:pt idx="208">
                  <c:v>0.376</c:v>
                </c:pt>
                <c:pt idx="209">
                  <c:v>0.76300000000000001</c:v>
                </c:pt>
                <c:pt idx="210">
                  <c:v>0.72199999999999998</c:v>
                </c:pt>
                <c:pt idx="211">
                  <c:v>0.56299999999999994</c:v>
                </c:pt>
                <c:pt idx="212">
                  <c:v>0.752</c:v>
                </c:pt>
                <c:pt idx="213">
                  <c:v>0.51100000000000001</c:v>
                </c:pt>
                <c:pt idx="214">
                  <c:v>0.42899999999999999</c:v>
                </c:pt>
                <c:pt idx="215">
                  <c:v>0.55100000000000005</c:v>
                </c:pt>
                <c:pt idx="216">
                  <c:v>0.49</c:v>
                </c:pt>
                <c:pt idx="217">
                  <c:v>0.81</c:v>
                </c:pt>
                <c:pt idx="218">
                  <c:v>0.78100000000000003</c:v>
                </c:pt>
                <c:pt idx="219">
                  <c:v>0.46200000000000002</c:v>
                </c:pt>
                <c:pt idx="220">
                  <c:v>0.41799999999999998</c:v>
                </c:pt>
                <c:pt idx="221">
                  <c:v>0.45100000000000001</c:v>
                </c:pt>
                <c:pt idx="222">
                  <c:v>0.46100000000000002</c:v>
                </c:pt>
                <c:pt idx="223">
                  <c:v>0.51600000000000001</c:v>
                </c:pt>
                <c:pt idx="224">
                  <c:v>0.216</c:v>
                </c:pt>
                <c:pt idx="225">
                  <c:v>0.51800000000000002</c:v>
                </c:pt>
                <c:pt idx="226">
                  <c:v>0.46</c:v>
                </c:pt>
                <c:pt idx="227">
                  <c:v>0.60499999999999998</c:v>
                </c:pt>
                <c:pt idx="228">
                  <c:v>0.19400000000000001</c:v>
                </c:pt>
                <c:pt idx="229">
                  <c:v>0.38500000000000001</c:v>
                </c:pt>
                <c:pt idx="230">
                  <c:v>0.85699999999999998</c:v>
                </c:pt>
                <c:pt idx="231">
                  <c:v>0.70099999999999996</c:v>
                </c:pt>
                <c:pt idx="232">
                  <c:v>0.627</c:v>
                </c:pt>
                <c:pt idx="233">
                  <c:v>0.48499999999999999</c:v>
                </c:pt>
                <c:pt idx="234">
                  <c:v>0.44600000000000001</c:v>
                </c:pt>
                <c:pt idx="235">
                  <c:v>0.52600000000000002</c:v>
                </c:pt>
                <c:pt idx="236">
                  <c:v>0.57199999999999995</c:v>
                </c:pt>
                <c:pt idx="237">
                  <c:v>0.47299999999999998</c:v>
                </c:pt>
                <c:pt idx="238">
                  <c:v>0.58099999999999996</c:v>
                </c:pt>
                <c:pt idx="239">
                  <c:v>0.999</c:v>
                </c:pt>
                <c:pt idx="240">
                  <c:v>0.76400000000000001</c:v>
                </c:pt>
                <c:pt idx="241">
                  <c:v>0.46800000000000003</c:v>
                </c:pt>
                <c:pt idx="242">
                  <c:v>0.39</c:v>
                </c:pt>
                <c:pt idx="243">
                  <c:v>0.35699999999999998</c:v>
                </c:pt>
                <c:pt idx="244">
                  <c:v>0.61599999999999999</c:v>
                </c:pt>
                <c:pt idx="245">
                  <c:v>0.54900000000000004</c:v>
                </c:pt>
                <c:pt idx="246">
                  <c:v>0.72299999999999998</c:v>
                </c:pt>
                <c:pt idx="247">
                  <c:v>0.433</c:v>
                </c:pt>
                <c:pt idx="248">
                  <c:v>0.33100000000000002</c:v>
                </c:pt>
                <c:pt idx="249">
                  <c:v>0.5</c:v>
                </c:pt>
                <c:pt idx="250">
                  <c:v>0.36</c:v>
                </c:pt>
                <c:pt idx="251">
                  <c:v>0.52500000000000002</c:v>
                </c:pt>
                <c:pt idx="252">
                  <c:v>0.74299999999999999</c:v>
                </c:pt>
                <c:pt idx="253">
                  <c:v>0.40699999999999997</c:v>
                </c:pt>
                <c:pt idx="254">
                  <c:v>0.14199999999999999</c:v>
                </c:pt>
                <c:pt idx="255">
                  <c:v>0.68600000000000005</c:v>
                </c:pt>
                <c:pt idx="256">
                  <c:v>0.69299999999999995</c:v>
                </c:pt>
                <c:pt idx="257">
                  <c:v>0.54400000000000004</c:v>
                </c:pt>
                <c:pt idx="258">
                  <c:v>0.50700000000000001</c:v>
                </c:pt>
                <c:pt idx="259">
                  <c:v>0.33500000000000002</c:v>
                </c:pt>
                <c:pt idx="260">
                  <c:v>0.22500000000000001</c:v>
                </c:pt>
                <c:pt idx="261">
                  <c:v>0.55700000000000005</c:v>
                </c:pt>
                <c:pt idx="262">
                  <c:v>0.51400000000000001</c:v>
                </c:pt>
                <c:pt idx="263">
                  <c:v>0.73499999999999999</c:v>
                </c:pt>
                <c:pt idx="264">
                  <c:v>0.69399999999999995</c:v>
                </c:pt>
                <c:pt idx="265">
                  <c:v>0.92</c:v>
                </c:pt>
                <c:pt idx="266">
                  <c:v>0.95299999999999996</c:v>
                </c:pt>
                <c:pt idx="267">
                  <c:v>0.58599999999999997</c:v>
                </c:pt>
                <c:pt idx="268">
                  <c:v>0.74199999999999999</c:v>
                </c:pt>
                <c:pt idx="269">
                  <c:v>0.84499999999999997</c:v>
                </c:pt>
                <c:pt idx="270">
                  <c:v>0.98599999999999999</c:v>
                </c:pt>
                <c:pt idx="271">
                  <c:v>8.4000000000000005E-2</c:v>
                </c:pt>
                <c:pt idx="272">
                  <c:v>0.83299999999999996</c:v>
                </c:pt>
                <c:pt idx="273">
                  <c:v>0.377</c:v>
                </c:pt>
                <c:pt idx="274">
                  <c:v>0.433</c:v>
                </c:pt>
                <c:pt idx="275">
                  <c:v>0.72099999999999997</c:v>
                </c:pt>
                <c:pt idx="276">
                  <c:v>0.64400000000000002</c:v>
                </c:pt>
                <c:pt idx="277">
                  <c:v>1.1779999999999999</c:v>
                </c:pt>
                <c:pt idx="278">
                  <c:v>0.55800000000000005</c:v>
                </c:pt>
                <c:pt idx="279">
                  <c:v>0.36599999999999999</c:v>
                </c:pt>
                <c:pt idx="280">
                  <c:v>0.76600000000000001</c:v>
                </c:pt>
                <c:pt idx="281">
                  <c:v>1.2090000000000001</c:v>
                </c:pt>
                <c:pt idx="282">
                  <c:v>1.002</c:v>
                </c:pt>
                <c:pt idx="283">
                  <c:v>0.36499999999999999</c:v>
                </c:pt>
                <c:pt idx="284">
                  <c:v>0.317</c:v>
                </c:pt>
                <c:pt idx="285">
                  <c:v>0.623</c:v>
                </c:pt>
                <c:pt idx="286">
                  <c:v>0.46100000000000002</c:v>
                </c:pt>
                <c:pt idx="287">
                  <c:v>0.58699999999999997</c:v>
                </c:pt>
                <c:pt idx="288">
                  <c:v>0.18</c:v>
                </c:pt>
                <c:pt idx="289">
                  <c:v>0.89700000000000002</c:v>
                </c:pt>
                <c:pt idx="290">
                  <c:v>0.44700000000000001</c:v>
                </c:pt>
                <c:pt idx="291">
                  <c:v>0.54700000000000004</c:v>
                </c:pt>
                <c:pt idx="292">
                  <c:v>0.71</c:v>
                </c:pt>
                <c:pt idx="293">
                  <c:v>0.97099999999999997</c:v>
                </c:pt>
                <c:pt idx="294">
                  <c:v>0.41799999999999998</c:v>
                </c:pt>
                <c:pt idx="295">
                  <c:v>0.316</c:v>
                </c:pt>
                <c:pt idx="296">
                  <c:v>0.55200000000000005</c:v>
                </c:pt>
                <c:pt idx="297">
                  <c:v>0.56499999999999995</c:v>
                </c:pt>
                <c:pt idx="298">
                  <c:v>0.96</c:v>
                </c:pt>
                <c:pt idx="299">
                  <c:v>0.78600000000000003</c:v>
                </c:pt>
                <c:pt idx="300">
                  <c:v>0.995</c:v>
                </c:pt>
                <c:pt idx="301">
                  <c:v>0.79300000000000004</c:v>
                </c:pt>
                <c:pt idx="302">
                  <c:v>0.247</c:v>
                </c:pt>
                <c:pt idx="303">
                  <c:v>0.48899999999999999</c:v>
                </c:pt>
                <c:pt idx="304">
                  <c:v>0.13300000000000001</c:v>
                </c:pt>
                <c:pt idx="305">
                  <c:v>0.505</c:v>
                </c:pt>
                <c:pt idx="306">
                  <c:v>6.5000000000000002E-2</c:v>
                </c:pt>
                <c:pt idx="307">
                  <c:v>6.7000000000000004E-2</c:v>
                </c:pt>
                <c:pt idx="308">
                  <c:v>0.53200000000000003</c:v>
                </c:pt>
                <c:pt idx="309">
                  <c:v>0.26500000000000001</c:v>
                </c:pt>
                <c:pt idx="310">
                  <c:v>0.17799999999999999</c:v>
                </c:pt>
                <c:pt idx="311">
                  <c:v>0.309</c:v>
                </c:pt>
                <c:pt idx="312">
                  <c:v>0.38400000000000001</c:v>
                </c:pt>
                <c:pt idx="313">
                  <c:v>2.3E-2</c:v>
                </c:pt>
                <c:pt idx="314">
                  <c:v>0.47599999999999998</c:v>
                </c:pt>
                <c:pt idx="315">
                  <c:v>0.81</c:v>
                </c:pt>
                <c:pt idx="316">
                  <c:v>0.876</c:v>
                </c:pt>
                <c:pt idx="317">
                  <c:v>0.873</c:v>
                </c:pt>
                <c:pt idx="318">
                  <c:v>0.70799999999999996</c:v>
                </c:pt>
                <c:pt idx="319">
                  <c:v>0.246</c:v>
                </c:pt>
                <c:pt idx="320">
                  <c:v>0.69799999999999995</c:v>
                </c:pt>
                <c:pt idx="321">
                  <c:v>0.70399999999999996</c:v>
                </c:pt>
                <c:pt idx="322">
                  <c:v>0.56399999999999995</c:v>
                </c:pt>
                <c:pt idx="323">
                  <c:v>0.84899999999999998</c:v>
                </c:pt>
                <c:pt idx="324">
                  <c:v>1.044</c:v>
                </c:pt>
                <c:pt idx="325">
                  <c:v>0.17</c:v>
                </c:pt>
                <c:pt idx="326">
                  <c:v>0.29199999999999998</c:v>
                </c:pt>
                <c:pt idx="327">
                  <c:v>8.5000000000000006E-2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8.3000000000000004E-2</c:v>
                </c:pt>
                <c:pt idx="336">
                  <c:v>8.7999999999999995E-2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0.20100000000000001</c:v>
                </c:pt>
                <c:pt idx="341">
                  <c:v>0.156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2E-3</c:v>
                </c:pt>
                <c:pt idx="347">
                  <c:v>0</c:v>
                </c:pt>
                <c:pt idx="348">
                  <c:v>0.24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0.156</c:v>
                </c:pt>
                <c:pt idx="353">
                  <c:v>0.185</c:v>
                </c:pt>
                <c:pt idx="354">
                  <c:v>0.439</c:v>
                </c:pt>
                <c:pt idx="355">
                  <c:v>0.51200000000000001</c:v>
                </c:pt>
                <c:pt idx="356">
                  <c:v>3.0000000000000001E-3</c:v>
                </c:pt>
                <c:pt idx="357">
                  <c:v>0.33700000000000002</c:v>
                </c:pt>
                <c:pt idx="358">
                  <c:v>0.58499999999999996</c:v>
                </c:pt>
                <c:pt idx="359">
                  <c:v>0</c:v>
                </c:pt>
                <c:pt idx="360">
                  <c:v>0.30199999999999999</c:v>
                </c:pt>
                <c:pt idx="361">
                  <c:v>2E-3</c:v>
                </c:pt>
                <c:pt idx="362">
                  <c:v>0</c:v>
                </c:pt>
                <c:pt idx="363">
                  <c:v>5.0000000000000001E-3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1.1539999999999999</c:v>
                </c:pt>
                <c:pt idx="1">
                  <c:v>1.847</c:v>
                </c:pt>
                <c:pt idx="2">
                  <c:v>1.86</c:v>
                </c:pt>
                <c:pt idx="3">
                  <c:v>2.6070000000000002</c:v>
                </c:pt>
                <c:pt idx="4">
                  <c:v>2.0870000000000002</c:v>
                </c:pt>
                <c:pt idx="5">
                  <c:v>2.234</c:v>
                </c:pt>
                <c:pt idx="6">
                  <c:v>1.3</c:v>
                </c:pt>
                <c:pt idx="7">
                  <c:v>2.9140000000000001</c:v>
                </c:pt>
                <c:pt idx="8">
                  <c:v>2.74</c:v>
                </c:pt>
                <c:pt idx="9">
                  <c:v>2.327</c:v>
                </c:pt>
                <c:pt idx="10">
                  <c:v>2.54</c:v>
                </c:pt>
                <c:pt idx="11">
                  <c:v>1.4470000000000001</c:v>
                </c:pt>
                <c:pt idx="12">
                  <c:v>1.8340000000000001</c:v>
                </c:pt>
                <c:pt idx="13">
                  <c:v>1.514</c:v>
                </c:pt>
                <c:pt idx="14">
                  <c:v>1.2070000000000001</c:v>
                </c:pt>
                <c:pt idx="15">
                  <c:v>1.754</c:v>
                </c:pt>
                <c:pt idx="16">
                  <c:v>1.2470000000000001</c:v>
                </c:pt>
                <c:pt idx="17">
                  <c:v>1.78</c:v>
                </c:pt>
                <c:pt idx="18">
                  <c:v>2.3540000000000001</c:v>
                </c:pt>
                <c:pt idx="19">
                  <c:v>2.2069999999999999</c:v>
                </c:pt>
                <c:pt idx="20">
                  <c:v>2.0339999999999998</c:v>
                </c:pt>
                <c:pt idx="21">
                  <c:v>1.994</c:v>
                </c:pt>
                <c:pt idx="22">
                  <c:v>1.98</c:v>
                </c:pt>
                <c:pt idx="23">
                  <c:v>2.6469999999999998</c:v>
                </c:pt>
                <c:pt idx="24">
                  <c:v>0.95399999999999996</c:v>
                </c:pt>
                <c:pt idx="25">
                  <c:v>2.7669999999999999</c:v>
                </c:pt>
                <c:pt idx="26">
                  <c:v>2.5</c:v>
                </c:pt>
                <c:pt idx="27">
                  <c:v>2.1800000000000002</c:v>
                </c:pt>
                <c:pt idx="28">
                  <c:v>3.34</c:v>
                </c:pt>
                <c:pt idx="29">
                  <c:v>2.98</c:v>
                </c:pt>
                <c:pt idx="30">
                  <c:v>2.8340000000000001</c:v>
                </c:pt>
                <c:pt idx="31">
                  <c:v>1.9</c:v>
                </c:pt>
                <c:pt idx="32">
                  <c:v>1.887</c:v>
                </c:pt>
                <c:pt idx="33">
                  <c:v>1.82</c:v>
                </c:pt>
                <c:pt idx="34">
                  <c:v>1.3</c:v>
                </c:pt>
                <c:pt idx="35">
                  <c:v>1.62</c:v>
                </c:pt>
                <c:pt idx="36">
                  <c:v>1.194</c:v>
                </c:pt>
                <c:pt idx="37">
                  <c:v>1.1000000000000001</c:v>
                </c:pt>
                <c:pt idx="38">
                  <c:v>1.5</c:v>
                </c:pt>
                <c:pt idx="39">
                  <c:v>1.607</c:v>
                </c:pt>
                <c:pt idx="40">
                  <c:v>1.3540000000000001</c:v>
                </c:pt>
                <c:pt idx="41">
                  <c:v>1.3939999999999999</c:v>
                </c:pt>
                <c:pt idx="42">
                  <c:v>1.954</c:v>
                </c:pt>
                <c:pt idx="43">
                  <c:v>2.2069999999999999</c:v>
                </c:pt>
                <c:pt idx="44">
                  <c:v>1.714</c:v>
                </c:pt>
                <c:pt idx="45">
                  <c:v>1.9670000000000001</c:v>
                </c:pt>
                <c:pt idx="46">
                  <c:v>1.794</c:v>
                </c:pt>
                <c:pt idx="47">
                  <c:v>2.0470000000000002</c:v>
                </c:pt>
                <c:pt idx="48">
                  <c:v>1.887</c:v>
                </c:pt>
                <c:pt idx="49">
                  <c:v>1.847</c:v>
                </c:pt>
                <c:pt idx="50">
                  <c:v>2.367</c:v>
                </c:pt>
                <c:pt idx="51">
                  <c:v>1.58</c:v>
                </c:pt>
                <c:pt idx="52">
                  <c:v>1.46</c:v>
                </c:pt>
                <c:pt idx="53">
                  <c:v>2.887</c:v>
                </c:pt>
                <c:pt idx="54">
                  <c:v>3.0070000000000001</c:v>
                </c:pt>
                <c:pt idx="55">
                  <c:v>3.66</c:v>
                </c:pt>
                <c:pt idx="56">
                  <c:v>2.06</c:v>
                </c:pt>
                <c:pt idx="57">
                  <c:v>2.3540000000000001</c:v>
                </c:pt>
                <c:pt idx="58">
                  <c:v>3.1269999999999998</c:v>
                </c:pt>
                <c:pt idx="59">
                  <c:v>3.8340000000000001</c:v>
                </c:pt>
                <c:pt idx="60">
                  <c:v>3.0870000000000002</c:v>
                </c:pt>
                <c:pt idx="61">
                  <c:v>1.9139999999999999</c:v>
                </c:pt>
                <c:pt idx="62">
                  <c:v>1.54</c:v>
                </c:pt>
                <c:pt idx="63">
                  <c:v>2.1269999999999998</c:v>
                </c:pt>
                <c:pt idx="64">
                  <c:v>2.82</c:v>
                </c:pt>
                <c:pt idx="65">
                  <c:v>1.86</c:v>
                </c:pt>
                <c:pt idx="66">
                  <c:v>1.607</c:v>
                </c:pt>
                <c:pt idx="67">
                  <c:v>2.9140000000000001</c:v>
                </c:pt>
                <c:pt idx="68">
                  <c:v>2.9670000000000001</c:v>
                </c:pt>
                <c:pt idx="69">
                  <c:v>2.6070000000000002</c:v>
                </c:pt>
                <c:pt idx="70">
                  <c:v>2.367</c:v>
                </c:pt>
                <c:pt idx="71">
                  <c:v>3.02</c:v>
                </c:pt>
                <c:pt idx="72">
                  <c:v>2.1669999999999998</c:v>
                </c:pt>
                <c:pt idx="73">
                  <c:v>1.8340000000000001</c:v>
                </c:pt>
                <c:pt idx="74">
                  <c:v>1.8740000000000001</c:v>
                </c:pt>
                <c:pt idx="75">
                  <c:v>1.754</c:v>
                </c:pt>
                <c:pt idx="76">
                  <c:v>2.0470000000000002</c:v>
                </c:pt>
                <c:pt idx="77">
                  <c:v>2.0339999999999998</c:v>
                </c:pt>
                <c:pt idx="78">
                  <c:v>2.4870000000000001</c:v>
                </c:pt>
                <c:pt idx="79">
                  <c:v>2.0739999999999998</c:v>
                </c:pt>
                <c:pt idx="80">
                  <c:v>2.5</c:v>
                </c:pt>
                <c:pt idx="81">
                  <c:v>2.1</c:v>
                </c:pt>
                <c:pt idx="82">
                  <c:v>2.2200000000000002</c:v>
                </c:pt>
                <c:pt idx="83">
                  <c:v>2.234</c:v>
                </c:pt>
                <c:pt idx="84">
                  <c:v>2.234</c:v>
                </c:pt>
                <c:pt idx="85">
                  <c:v>1.9</c:v>
                </c:pt>
                <c:pt idx="86">
                  <c:v>2.6869999999999998</c:v>
                </c:pt>
                <c:pt idx="87">
                  <c:v>1.6739999999999999</c:v>
                </c:pt>
                <c:pt idx="88">
                  <c:v>2.1269999999999998</c:v>
                </c:pt>
                <c:pt idx="89">
                  <c:v>2.0070000000000001</c:v>
                </c:pt>
                <c:pt idx="90">
                  <c:v>2.6739999999999999</c:v>
                </c:pt>
                <c:pt idx="91">
                  <c:v>2.34</c:v>
                </c:pt>
                <c:pt idx="92">
                  <c:v>3.6739999999999999</c:v>
                </c:pt>
                <c:pt idx="93">
                  <c:v>3.3540000000000001</c:v>
                </c:pt>
                <c:pt idx="94">
                  <c:v>1.9670000000000001</c:v>
                </c:pt>
                <c:pt idx="95">
                  <c:v>1.66</c:v>
                </c:pt>
                <c:pt idx="96">
                  <c:v>2.3140000000000001</c:v>
                </c:pt>
                <c:pt idx="97">
                  <c:v>2.46</c:v>
                </c:pt>
                <c:pt idx="98">
                  <c:v>2.4340000000000002</c:v>
                </c:pt>
                <c:pt idx="99">
                  <c:v>3.1539999999999999</c:v>
                </c:pt>
                <c:pt idx="100">
                  <c:v>2.1139999999999999</c:v>
                </c:pt>
                <c:pt idx="101">
                  <c:v>2.1800000000000002</c:v>
                </c:pt>
                <c:pt idx="102">
                  <c:v>1.794</c:v>
                </c:pt>
                <c:pt idx="103">
                  <c:v>2.4340000000000002</c:v>
                </c:pt>
                <c:pt idx="104">
                  <c:v>2.34</c:v>
                </c:pt>
                <c:pt idx="105">
                  <c:v>3.234</c:v>
                </c:pt>
                <c:pt idx="106">
                  <c:v>2.54</c:v>
                </c:pt>
                <c:pt idx="107">
                  <c:v>1.6739999999999999</c:v>
                </c:pt>
                <c:pt idx="108">
                  <c:v>2.42</c:v>
                </c:pt>
                <c:pt idx="109">
                  <c:v>2.1</c:v>
                </c:pt>
                <c:pt idx="110">
                  <c:v>3.0070000000000001</c:v>
                </c:pt>
                <c:pt idx="111">
                  <c:v>3.18</c:v>
                </c:pt>
                <c:pt idx="112">
                  <c:v>2.42</c:v>
                </c:pt>
                <c:pt idx="113">
                  <c:v>2.66</c:v>
                </c:pt>
                <c:pt idx="114">
                  <c:v>2.66</c:v>
                </c:pt>
                <c:pt idx="115">
                  <c:v>2.2200000000000002</c:v>
                </c:pt>
                <c:pt idx="116">
                  <c:v>1.4870000000000001</c:v>
                </c:pt>
                <c:pt idx="117">
                  <c:v>2.274</c:v>
                </c:pt>
                <c:pt idx="118">
                  <c:v>3.2469999999999999</c:v>
                </c:pt>
                <c:pt idx="119">
                  <c:v>2.327</c:v>
                </c:pt>
                <c:pt idx="120">
                  <c:v>2.407</c:v>
                </c:pt>
                <c:pt idx="121">
                  <c:v>2.8340000000000001</c:v>
                </c:pt>
                <c:pt idx="122">
                  <c:v>2.1269999999999998</c:v>
                </c:pt>
                <c:pt idx="123">
                  <c:v>2.4470000000000001</c:v>
                </c:pt>
                <c:pt idx="124">
                  <c:v>2.06</c:v>
                </c:pt>
                <c:pt idx="125">
                  <c:v>2.5939999999999999</c:v>
                </c:pt>
                <c:pt idx="126">
                  <c:v>2.7</c:v>
                </c:pt>
                <c:pt idx="127">
                  <c:v>3.5670000000000002</c:v>
                </c:pt>
                <c:pt idx="128">
                  <c:v>2.5270000000000001</c:v>
                </c:pt>
                <c:pt idx="129">
                  <c:v>2.3940000000000001</c:v>
                </c:pt>
                <c:pt idx="130">
                  <c:v>2.2069999999999999</c:v>
                </c:pt>
                <c:pt idx="131">
                  <c:v>2.5270000000000001</c:v>
                </c:pt>
                <c:pt idx="132">
                  <c:v>3.367</c:v>
                </c:pt>
                <c:pt idx="133">
                  <c:v>2.4870000000000001</c:v>
                </c:pt>
                <c:pt idx="134">
                  <c:v>2.5139999999999998</c:v>
                </c:pt>
                <c:pt idx="135">
                  <c:v>2.46</c:v>
                </c:pt>
                <c:pt idx="136">
                  <c:v>3.1</c:v>
                </c:pt>
                <c:pt idx="137">
                  <c:v>3.234</c:v>
                </c:pt>
                <c:pt idx="138">
                  <c:v>2.0470000000000002</c:v>
                </c:pt>
                <c:pt idx="139">
                  <c:v>2.9940000000000002</c:v>
                </c:pt>
                <c:pt idx="140">
                  <c:v>2.754</c:v>
                </c:pt>
                <c:pt idx="141">
                  <c:v>2.2200000000000002</c:v>
                </c:pt>
                <c:pt idx="142">
                  <c:v>2.74</c:v>
                </c:pt>
                <c:pt idx="143">
                  <c:v>2.887</c:v>
                </c:pt>
                <c:pt idx="144">
                  <c:v>2.1</c:v>
                </c:pt>
                <c:pt idx="145">
                  <c:v>2.754</c:v>
                </c:pt>
                <c:pt idx="146">
                  <c:v>2.34</c:v>
                </c:pt>
                <c:pt idx="147">
                  <c:v>2.1269999999999998</c:v>
                </c:pt>
                <c:pt idx="148">
                  <c:v>3.3540000000000001</c:v>
                </c:pt>
                <c:pt idx="149">
                  <c:v>2.4870000000000001</c:v>
                </c:pt>
                <c:pt idx="150">
                  <c:v>2.8069999999999999</c:v>
                </c:pt>
                <c:pt idx="151">
                  <c:v>2.1139999999999999</c:v>
                </c:pt>
                <c:pt idx="152">
                  <c:v>1.8340000000000001</c:v>
                </c:pt>
                <c:pt idx="153">
                  <c:v>1.927</c:v>
                </c:pt>
                <c:pt idx="154">
                  <c:v>2.5670000000000002</c:v>
                </c:pt>
                <c:pt idx="155">
                  <c:v>4.5140000000000002</c:v>
                </c:pt>
                <c:pt idx="156">
                  <c:v>2.1539999999999999</c:v>
                </c:pt>
                <c:pt idx="157">
                  <c:v>2.0870000000000002</c:v>
                </c:pt>
                <c:pt idx="158">
                  <c:v>2.46</c:v>
                </c:pt>
                <c:pt idx="159">
                  <c:v>2.194</c:v>
                </c:pt>
                <c:pt idx="160">
                  <c:v>2.194</c:v>
                </c:pt>
                <c:pt idx="161">
                  <c:v>2.6070000000000002</c:v>
                </c:pt>
                <c:pt idx="162">
                  <c:v>4.5540000000000003</c:v>
                </c:pt>
                <c:pt idx="163">
                  <c:v>2.3140000000000001</c:v>
                </c:pt>
                <c:pt idx="164">
                  <c:v>2.5539999999999998</c:v>
                </c:pt>
                <c:pt idx="165">
                  <c:v>3.4340000000000002</c:v>
                </c:pt>
                <c:pt idx="166">
                  <c:v>2.7</c:v>
                </c:pt>
                <c:pt idx="167">
                  <c:v>1.514</c:v>
                </c:pt>
                <c:pt idx="168">
                  <c:v>2.234</c:v>
                </c:pt>
                <c:pt idx="169">
                  <c:v>2.234</c:v>
                </c:pt>
                <c:pt idx="170">
                  <c:v>1.754</c:v>
                </c:pt>
                <c:pt idx="171">
                  <c:v>2.0339999999999998</c:v>
                </c:pt>
                <c:pt idx="172">
                  <c:v>2.2869999999999999</c:v>
                </c:pt>
                <c:pt idx="173">
                  <c:v>1.9670000000000001</c:v>
                </c:pt>
                <c:pt idx="174">
                  <c:v>3.06</c:v>
                </c:pt>
                <c:pt idx="175">
                  <c:v>1.8069999999999999</c:v>
                </c:pt>
                <c:pt idx="176">
                  <c:v>2.2069999999999999</c:v>
                </c:pt>
                <c:pt idx="177">
                  <c:v>2.9670000000000001</c:v>
                </c:pt>
                <c:pt idx="178">
                  <c:v>3.0070000000000001</c:v>
                </c:pt>
                <c:pt idx="179">
                  <c:v>3.34</c:v>
                </c:pt>
                <c:pt idx="180">
                  <c:v>1.98</c:v>
                </c:pt>
                <c:pt idx="181">
                  <c:v>1.58</c:v>
                </c:pt>
                <c:pt idx="182">
                  <c:v>2.38</c:v>
                </c:pt>
                <c:pt idx="183">
                  <c:v>2.42</c:v>
                </c:pt>
                <c:pt idx="184">
                  <c:v>2.9140000000000001</c:v>
                </c:pt>
                <c:pt idx="185">
                  <c:v>2.5270000000000001</c:v>
                </c:pt>
                <c:pt idx="186">
                  <c:v>2.4870000000000001</c:v>
                </c:pt>
                <c:pt idx="187">
                  <c:v>2.327</c:v>
                </c:pt>
                <c:pt idx="188">
                  <c:v>2.194</c:v>
                </c:pt>
                <c:pt idx="189">
                  <c:v>1.794</c:v>
                </c:pt>
                <c:pt idx="190">
                  <c:v>1.78</c:v>
                </c:pt>
                <c:pt idx="191">
                  <c:v>2.2999999999999998</c:v>
                </c:pt>
                <c:pt idx="192">
                  <c:v>2.5270000000000001</c:v>
                </c:pt>
                <c:pt idx="193">
                  <c:v>2.367</c:v>
                </c:pt>
                <c:pt idx="194">
                  <c:v>2.3140000000000001</c:v>
                </c:pt>
                <c:pt idx="195">
                  <c:v>1.9139999999999999</c:v>
                </c:pt>
                <c:pt idx="196">
                  <c:v>1.954</c:v>
                </c:pt>
                <c:pt idx="197">
                  <c:v>3.18</c:v>
                </c:pt>
                <c:pt idx="198">
                  <c:v>1.4470000000000001</c:v>
                </c:pt>
                <c:pt idx="199">
                  <c:v>2.6469999999999998</c:v>
                </c:pt>
                <c:pt idx="200">
                  <c:v>2.1669999999999998</c:v>
                </c:pt>
                <c:pt idx="201">
                  <c:v>1.794</c:v>
                </c:pt>
                <c:pt idx="202">
                  <c:v>1.94</c:v>
                </c:pt>
                <c:pt idx="203">
                  <c:v>2.7269999999999999</c:v>
                </c:pt>
                <c:pt idx="204">
                  <c:v>2.367</c:v>
                </c:pt>
                <c:pt idx="205">
                  <c:v>2.407</c:v>
                </c:pt>
                <c:pt idx="206">
                  <c:v>2.58</c:v>
                </c:pt>
                <c:pt idx="207">
                  <c:v>2.1539999999999999</c:v>
                </c:pt>
                <c:pt idx="208">
                  <c:v>1.794</c:v>
                </c:pt>
                <c:pt idx="209">
                  <c:v>1.994</c:v>
                </c:pt>
                <c:pt idx="210">
                  <c:v>2.14</c:v>
                </c:pt>
                <c:pt idx="211">
                  <c:v>2.4340000000000002</c:v>
                </c:pt>
                <c:pt idx="212">
                  <c:v>2.2069999999999999</c:v>
                </c:pt>
                <c:pt idx="213">
                  <c:v>2.5139999999999998</c:v>
                </c:pt>
                <c:pt idx="214">
                  <c:v>1.86</c:v>
                </c:pt>
                <c:pt idx="215">
                  <c:v>1.994</c:v>
                </c:pt>
                <c:pt idx="216">
                  <c:v>2.3940000000000001</c:v>
                </c:pt>
                <c:pt idx="217">
                  <c:v>2.54</c:v>
                </c:pt>
                <c:pt idx="218">
                  <c:v>2.54</c:v>
                </c:pt>
                <c:pt idx="219">
                  <c:v>2.2599999999999998</c:v>
                </c:pt>
                <c:pt idx="220">
                  <c:v>1.78</c:v>
                </c:pt>
                <c:pt idx="221">
                  <c:v>2.0739999999999998</c:v>
                </c:pt>
                <c:pt idx="222">
                  <c:v>2.327</c:v>
                </c:pt>
                <c:pt idx="223">
                  <c:v>2.3140000000000001</c:v>
                </c:pt>
                <c:pt idx="224">
                  <c:v>1.74</c:v>
                </c:pt>
                <c:pt idx="225">
                  <c:v>2.7269999999999999</c:v>
                </c:pt>
                <c:pt idx="226">
                  <c:v>1.8740000000000001</c:v>
                </c:pt>
                <c:pt idx="227">
                  <c:v>2.5539999999999998</c:v>
                </c:pt>
                <c:pt idx="228">
                  <c:v>1.2470000000000001</c:v>
                </c:pt>
                <c:pt idx="229">
                  <c:v>2.06</c:v>
                </c:pt>
                <c:pt idx="230">
                  <c:v>2.7269999999999999</c:v>
                </c:pt>
                <c:pt idx="231">
                  <c:v>2.62</c:v>
                </c:pt>
                <c:pt idx="232">
                  <c:v>3.34</c:v>
                </c:pt>
                <c:pt idx="233">
                  <c:v>1.66</c:v>
                </c:pt>
                <c:pt idx="234">
                  <c:v>1.7</c:v>
                </c:pt>
                <c:pt idx="235">
                  <c:v>2.9140000000000001</c:v>
                </c:pt>
                <c:pt idx="236">
                  <c:v>1.954</c:v>
                </c:pt>
                <c:pt idx="237">
                  <c:v>1.474</c:v>
                </c:pt>
                <c:pt idx="238">
                  <c:v>2.0739999999999998</c:v>
                </c:pt>
                <c:pt idx="239">
                  <c:v>2.8740000000000001</c:v>
                </c:pt>
                <c:pt idx="240">
                  <c:v>2.42</c:v>
                </c:pt>
                <c:pt idx="241">
                  <c:v>1.78</c:v>
                </c:pt>
                <c:pt idx="242">
                  <c:v>1.994</c:v>
                </c:pt>
                <c:pt idx="243">
                  <c:v>2.0870000000000002</c:v>
                </c:pt>
                <c:pt idx="244">
                  <c:v>1.647</c:v>
                </c:pt>
                <c:pt idx="245">
                  <c:v>2.9540000000000002</c:v>
                </c:pt>
                <c:pt idx="246">
                  <c:v>2.1</c:v>
                </c:pt>
                <c:pt idx="247">
                  <c:v>2.14</c:v>
                </c:pt>
                <c:pt idx="248">
                  <c:v>1.6339999999999999</c:v>
                </c:pt>
                <c:pt idx="249">
                  <c:v>1.8340000000000001</c:v>
                </c:pt>
                <c:pt idx="250">
                  <c:v>2.887</c:v>
                </c:pt>
                <c:pt idx="251">
                  <c:v>2.38</c:v>
                </c:pt>
                <c:pt idx="252">
                  <c:v>2.5270000000000001</c:v>
                </c:pt>
                <c:pt idx="253">
                  <c:v>1.887</c:v>
                </c:pt>
                <c:pt idx="254">
                  <c:v>1.4470000000000001</c:v>
                </c:pt>
                <c:pt idx="255">
                  <c:v>2.407</c:v>
                </c:pt>
                <c:pt idx="256">
                  <c:v>2.14</c:v>
                </c:pt>
                <c:pt idx="257">
                  <c:v>2.1539999999999999</c:v>
                </c:pt>
                <c:pt idx="258">
                  <c:v>2.274</c:v>
                </c:pt>
                <c:pt idx="259">
                  <c:v>1.8740000000000001</c:v>
                </c:pt>
                <c:pt idx="260">
                  <c:v>1.9139999999999999</c:v>
                </c:pt>
                <c:pt idx="261">
                  <c:v>2.234</c:v>
                </c:pt>
                <c:pt idx="262">
                  <c:v>2.234</c:v>
                </c:pt>
                <c:pt idx="263">
                  <c:v>2.4470000000000001</c:v>
                </c:pt>
                <c:pt idx="264">
                  <c:v>1.6739999999999999</c:v>
                </c:pt>
                <c:pt idx="265">
                  <c:v>2.3540000000000001</c:v>
                </c:pt>
                <c:pt idx="266">
                  <c:v>2.74</c:v>
                </c:pt>
                <c:pt idx="267">
                  <c:v>2.02</c:v>
                </c:pt>
                <c:pt idx="268">
                  <c:v>2.54</c:v>
                </c:pt>
                <c:pt idx="269">
                  <c:v>2.5</c:v>
                </c:pt>
                <c:pt idx="270">
                  <c:v>3.0070000000000001</c:v>
                </c:pt>
                <c:pt idx="271">
                  <c:v>1.1000000000000001</c:v>
                </c:pt>
                <c:pt idx="272">
                  <c:v>3.2069999999999999</c:v>
                </c:pt>
                <c:pt idx="273">
                  <c:v>1.8740000000000001</c:v>
                </c:pt>
                <c:pt idx="274">
                  <c:v>1.7</c:v>
                </c:pt>
                <c:pt idx="275">
                  <c:v>2.367</c:v>
                </c:pt>
                <c:pt idx="276">
                  <c:v>2.0470000000000002</c:v>
                </c:pt>
                <c:pt idx="277">
                  <c:v>2.6869999999999998</c:v>
                </c:pt>
                <c:pt idx="278">
                  <c:v>1.847</c:v>
                </c:pt>
                <c:pt idx="279">
                  <c:v>1.9</c:v>
                </c:pt>
                <c:pt idx="280">
                  <c:v>2.0070000000000001</c:v>
                </c:pt>
                <c:pt idx="281">
                  <c:v>3.0070000000000001</c:v>
                </c:pt>
                <c:pt idx="282">
                  <c:v>2.54</c:v>
                </c:pt>
                <c:pt idx="283">
                  <c:v>1.714</c:v>
                </c:pt>
                <c:pt idx="284">
                  <c:v>1.5269999999999999</c:v>
                </c:pt>
                <c:pt idx="285">
                  <c:v>1.7</c:v>
                </c:pt>
                <c:pt idx="286">
                  <c:v>2.02</c:v>
                </c:pt>
                <c:pt idx="287">
                  <c:v>1.954</c:v>
                </c:pt>
                <c:pt idx="288">
                  <c:v>1.3</c:v>
                </c:pt>
                <c:pt idx="289">
                  <c:v>2.6339999999999999</c:v>
                </c:pt>
                <c:pt idx="290">
                  <c:v>2.06</c:v>
                </c:pt>
                <c:pt idx="291">
                  <c:v>1.86</c:v>
                </c:pt>
                <c:pt idx="292">
                  <c:v>2.66</c:v>
                </c:pt>
                <c:pt idx="293">
                  <c:v>3.06</c:v>
                </c:pt>
                <c:pt idx="294">
                  <c:v>1.4470000000000001</c:v>
                </c:pt>
                <c:pt idx="295">
                  <c:v>1.74</c:v>
                </c:pt>
                <c:pt idx="296">
                  <c:v>2.274</c:v>
                </c:pt>
                <c:pt idx="297">
                  <c:v>1.8740000000000001</c:v>
                </c:pt>
                <c:pt idx="298">
                  <c:v>2.98</c:v>
                </c:pt>
                <c:pt idx="299">
                  <c:v>2.86</c:v>
                </c:pt>
                <c:pt idx="300">
                  <c:v>2.6869999999999998</c:v>
                </c:pt>
                <c:pt idx="301">
                  <c:v>2.6869999999999998</c:v>
                </c:pt>
                <c:pt idx="302">
                  <c:v>1.6870000000000001</c:v>
                </c:pt>
                <c:pt idx="303">
                  <c:v>2.8740000000000001</c:v>
                </c:pt>
                <c:pt idx="304">
                  <c:v>1.78</c:v>
                </c:pt>
                <c:pt idx="305">
                  <c:v>1.62</c:v>
                </c:pt>
                <c:pt idx="306">
                  <c:v>1.0469999999999999</c:v>
                </c:pt>
                <c:pt idx="307">
                  <c:v>1.26</c:v>
                </c:pt>
                <c:pt idx="308">
                  <c:v>3.1669999999999998</c:v>
                </c:pt>
                <c:pt idx="309">
                  <c:v>1.9670000000000001</c:v>
                </c:pt>
                <c:pt idx="310">
                  <c:v>1.42</c:v>
                </c:pt>
                <c:pt idx="311">
                  <c:v>1.367</c:v>
                </c:pt>
                <c:pt idx="312">
                  <c:v>1.794</c:v>
                </c:pt>
                <c:pt idx="313">
                  <c:v>0.71399999999999997</c:v>
                </c:pt>
                <c:pt idx="314">
                  <c:v>2.0070000000000001</c:v>
                </c:pt>
                <c:pt idx="315">
                  <c:v>2.5939999999999999</c:v>
                </c:pt>
                <c:pt idx="316">
                  <c:v>2.5</c:v>
                </c:pt>
                <c:pt idx="317">
                  <c:v>2.367</c:v>
                </c:pt>
                <c:pt idx="318">
                  <c:v>1.794</c:v>
                </c:pt>
                <c:pt idx="319">
                  <c:v>1.46</c:v>
                </c:pt>
                <c:pt idx="320">
                  <c:v>2.38</c:v>
                </c:pt>
                <c:pt idx="321">
                  <c:v>2.2869999999999999</c:v>
                </c:pt>
                <c:pt idx="322">
                  <c:v>1.607</c:v>
                </c:pt>
                <c:pt idx="323">
                  <c:v>2.5670000000000002</c:v>
                </c:pt>
                <c:pt idx="324">
                  <c:v>2.714</c:v>
                </c:pt>
                <c:pt idx="325">
                  <c:v>1.26</c:v>
                </c:pt>
                <c:pt idx="326">
                  <c:v>1.5940000000000001</c:v>
                </c:pt>
                <c:pt idx="327">
                  <c:v>1.34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1.26</c:v>
                </c:pt>
                <c:pt idx="336">
                  <c:v>1.327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1.18</c:v>
                </c:pt>
                <c:pt idx="341">
                  <c:v>1.887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0.57999999999999996</c:v>
                </c:pt>
                <c:pt idx="347">
                  <c:v>0</c:v>
                </c:pt>
                <c:pt idx="348">
                  <c:v>2.6339999999999999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1.647</c:v>
                </c:pt>
                <c:pt idx="353">
                  <c:v>2.2069999999999999</c:v>
                </c:pt>
                <c:pt idx="354">
                  <c:v>2.2599999999999998</c:v>
                </c:pt>
                <c:pt idx="355">
                  <c:v>2.2599999999999998</c:v>
                </c:pt>
                <c:pt idx="356">
                  <c:v>1.607</c:v>
                </c:pt>
                <c:pt idx="357">
                  <c:v>2.4740000000000002</c:v>
                </c:pt>
                <c:pt idx="358">
                  <c:v>2.6070000000000002</c:v>
                </c:pt>
                <c:pt idx="359">
                  <c:v>0</c:v>
                </c:pt>
                <c:pt idx="360">
                  <c:v>1.4870000000000001</c:v>
                </c:pt>
                <c:pt idx="361">
                  <c:v>0.66</c:v>
                </c:pt>
                <c:pt idx="362">
                  <c:v>0.46</c:v>
                </c:pt>
                <c:pt idx="363">
                  <c:v>0.68700000000000006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82592"/>
        <c:axId val="206384128"/>
      </c:lineChart>
      <c:catAx>
        <c:axId val="206382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384128"/>
        <c:crosses val="autoZero"/>
        <c:auto val="1"/>
        <c:lblAlgn val="ctr"/>
        <c:lblOffset val="100"/>
        <c:tickMarkSkip val="9"/>
        <c:noMultiLvlLbl val="0"/>
      </c:catAx>
      <c:valAx>
        <c:axId val="206384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m/s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38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SnowDepth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0.2799999999999998</c:v>
                </c:pt>
                <c:pt idx="1">
                  <c:v>0.28899999999999992</c:v>
                </c:pt>
                <c:pt idx="2">
                  <c:v>0.31399999999999983</c:v>
                </c:pt>
                <c:pt idx="3">
                  <c:v>0.36899999999999977</c:v>
                </c:pt>
                <c:pt idx="4">
                  <c:v>0.35599999999999987</c:v>
                </c:pt>
                <c:pt idx="5">
                  <c:v>0.43699999999999983</c:v>
                </c:pt>
                <c:pt idx="6">
                  <c:v>0.4049999999999998</c:v>
                </c:pt>
                <c:pt idx="7">
                  <c:v>0.47199999999999975</c:v>
                </c:pt>
                <c:pt idx="8">
                  <c:v>0.58499999999999974</c:v>
                </c:pt>
                <c:pt idx="9">
                  <c:v>0.55099999999999971</c:v>
                </c:pt>
                <c:pt idx="10">
                  <c:v>0.53599999999999981</c:v>
                </c:pt>
                <c:pt idx="11">
                  <c:v>0.5219999999999998</c:v>
                </c:pt>
                <c:pt idx="12">
                  <c:v>0.5109999999999999</c:v>
                </c:pt>
                <c:pt idx="13">
                  <c:v>0.49999999999999978</c:v>
                </c:pt>
                <c:pt idx="14">
                  <c:v>0.49299999999999988</c:v>
                </c:pt>
                <c:pt idx="15">
                  <c:v>0.52299999999999991</c:v>
                </c:pt>
                <c:pt idx="16">
                  <c:v>0.60499999999999976</c:v>
                </c:pt>
                <c:pt idx="17">
                  <c:v>0.58699999999999974</c:v>
                </c:pt>
                <c:pt idx="18">
                  <c:v>0.64399999999999991</c:v>
                </c:pt>
                <c:pt idx="19">
                  <c:v>0.62299999999999978</c:v>
                </c:pt>
                <c:pt idx="20">
                  <c:v>0.59899999999999975</c:v>
                </c:pt>
                <c:pt idx="21">
                  <c:v>0.60599999999999987</c:v>
                </c:pt>
                <c:pt idx="22">
                  <c:v>0.58499999999999974</c:v>
                </c:pt>
                <c:pt idx="23">
                  <c:v>0.62799999999999989</c:v>
                </c:pt>
                <c:pt idx="24">
                  <c:v>0.61599999999999988</c:v>
                </c:pt>
                <c:pt idx="25">
                  <c:v>0.61799999999999988</c:v>
                </c:pt>
                <c:pt idx="26">
                  <c:v>0.59899999999999975</c:v>
                </c:pt>
                <c:pt idx="27">
                  <c:v>0.54199999999999982</c:v>
                </c:pt>
                <c:pt idx="28">
                  <c:v>0.47799999999999976</c:v>
                </c:pt>
                <c:pt idx="29">
                  <c:v>0.43999999999999972</c:v>
                </c:pt>
                <c:pt idx="30">
                  <c:v>0.3969999999999998</c:v>
                </c:pt>
                <c:pt idx="31">
                  <c:v>0.37099999999999977</c:v>
                </c:pt>
                <c:pt idx="32">
                  <c:v>0.36199999999999988</c:v>
                </c:pt>
                <c:pt idx="33">
                  <c:v>0.35799999999999987</c:v>
                </c:pt>
                <c:pt idx="34">
                  <c:v>0.42499999999999982</c:v>
                </c:pt>
                <c:pt idx="35">
                  <c:v>0.42299999999999982</c:v>
                </c:pt>
                <c:pt idx="36">
                  <c:v>0.42399999999999993</c:v>
                </c:pt>
                <c:pt idx="37">
                  <c:v>0.42799999999999971</c:v>
                </c:pt>
                <c:pt idx="38">
                  <c:v>0.40399999999999991</c:v>
                </c:pt>
                <c:pt idx="39">
                  <c:v>0.3989999999999998</c:v>
                </c:pt>
                <c:pt idx="40">
                  <c:v>0.45199999999999974</c:v>
                </c:pt>
                <c:pt idx="41">
                  <c:v>0.56199999999999983</c:v>
                </c:pt>
                <c:pt idx="42">
                  <c:v>0.54699999999999993</c:v>
                </c:pt>
                <c:pt idx="43">
                  <c:v>0.53899999999999992</c:v>
                </c:pt>
                <c:pt idx="44">
                  <c:v>0.5279999999999998</c:v>
                </c:pt>
                <c:pt idx="45">
                  <c:v>0.5279999999999998</c:v>
                </c:pt>
                <c:pt idx="46">
                  <c:v>0.51799999999999979</c:v>
                </c:pt>
                <c:pt idx="47">
                  <c:v>0.5169999999999999</c:v>
                </c:pt>
                <c:pt idx="48">
                  <c:v>0.51199999999999979</c:v>
                </c:pt>
                <c:pt idx="49">
                  <c:v>0.48699999999999988</c:v>
                </c:pt>
                <c:pt idx="50">
                  <c:v>0.48299999999999987</c:v>
                </c:pt>
                <c:pt idx="51">
                  <c:v>0.46799999999999975</c:v>
                </c:pt>
                <c:pt idx="52">
                  <c:v>0.45299999999999985</c:v>
                </c:pt>
                <c:pt idx="53">
                  <c:v>0.45299999999999985</c:v>
                </c:pt>
                <c:pt idx="54">
                  <c:v>0.45499999999999985</c:v>
                </c:pt>
                <c:pt idx="55">
                  <c:v>0.49699999999999989</c:v>
                </c:pt>
                <c:pt idx="56">
                  <c:v>0.52099999999999991</c:v>
                </c:pt>
                <c:pt idx="57">
                  <c:v>0.57799999999999985</c:v>
                </c:pt>
                <c:pt idx="58">
                  <c:v>0.55899999999999972</c:v>
                </c:pt>
                <c:pt idx="59">
                  <c:v>0.57299999999999973</c:v>
                </c:pt>
                <c:pt idx="60">
                  <c:v>0.55799999999999983</c:v>
                </c:pt>
                <c:pt idx="61">
                  <c:v>0.63299999999999979</c:v>
                </c:pt>
                <c:pt idx="62">
                  <c:v>0.65199999999999991</c:v>
                </c:pt>
                <c:pt idx="63">
                  <c:v>0.65399999999999991</c:v>
                </c:pt>
                <c:pt idx="64">
                  <c:v>0.62699999999999978</c:v>
                </c:pt>
                <c:pt idx="65">
                  <c:v>0.62199999999999989</c:v>
                </c:pt>
                <c:pt idx="66">
                  <c:v>0.61699999999999977</c:v>
                </c:pt>
                <c:pt idx="67">
                  <c:v>0.64399999999999991</c:v>
                </c:pt>
                <c:pt idx="68">
                  <c:v>0.63699999999999979</c:v>
                </c:pt>
                <c:pt idx="69">
                  <c:v>0.64399999999999991</c:v>
                </c:pt>
                <c:pt idx="70">
                  <c:v>0.63499999999999979</c:v>
                </c:pt>
                <c:pt idx="71">
                  <c:v>0.63099999999999978</c:v>
                </c:pt>
                <c:pt idx="72">
                  <c:v>0.63299999999999979</c:v>
                </c:pt>
                <c:pt idx="73">
                  <c:v>0.61499999999999977</c:v>
                </c:pt>
                <c:pt idx="74">
                  <c:v>0.58599999999999985</c:v>
                </c:pt>
                <c:pt idx="75">
                  <c:v>0.55199999999999982</c:v>
                </c:pt>
                <c:pt idx="76">
                  <c:v>0.50599999999999978</c:v>
                </c:pt>
                <c:pt idx="77">
                  <c:v>0.47499999999999987</c:v>
                </c:pt>
                <c:pt idx="78">
                  <c:v>0.44599999999999973</c:v>
                </c:pt>
                <c:pt idx="79">
                  <c:v>0.42599999999999971</c:v>
                </c:pt>
                <c:pt idx="80">
                  <c:v>0.4029999999999998</c:v>
                </c:pt>
                <c:pt idx="81">
                  <c:v>0.39099999999999979</c:v>
                </c:pt>
                <c:pt idx="82">
                  <c:v>0.38699999999999979</c:v>
                </c:pt>
                <c:pt idx="83">
                  <c:v>0.36999999999999988</c:v>
                </c:pt>
                <c:pt idx="84">
                  <c:v>0.36399999999999988</c:v>
                </c:pt>
                <c:pt idx="85">
                  <c:v>0.35699999999999976</c:v>
                </c:pt>
                <c:pt idx="86">
                  <c:v>0.43099999999999983</c:v>
                </c:pt>
                <c:pt idx="87">
                  <c:v>0.37499999999999978</c:v>
                </c:pt>
                <c:pt idx="88">
                  <c:v>0.39399999999999991</c:v>
                </c:pt>
                <c:pt idx="89">
                  <c:v>0.3919999999999999</c:v>
                </c:pt>
                <c:pt idx="90">
                  <c:v>0.38099999999999978</c:v>
                </c:pt>
                <c:pt idx="91">
                  <c:v>0.34199999999999986</c:v>
                </c:pt>
                <c:pt idx="92">
                  <c:v>0.31599999999999984</c:v>
                </c:pt>
                <c:pt idx="93">
                  <c:v>0.30699999999999972</c:v>
                </c:pt>
                <c:pt idx="94">
                  <c:v>0.42099999999999982</c:v>
                </c:pt>
                <c:pt idx="95">
                  <c:v>0.34599999999999986</c:v>
                </c:pt>
                <c:pt idx="96">
                  <c:v>0.31099999999999972</c:v>
                </c:pt>
                <c:pt idx="97">
                  <c:v>0.30499999999999972</c:v>
                </c:pt>
                <c:pt idx="98">
                  <c:v>0.32699999999999974</c:v>
                </c:pt>
                <c:pt idx="99">
                  <c:v>0.32199999999999984</c:v>
                </c:pt>
                <c:pt idx="100">
                  <c:v>0.29599999999999982</c:v>
                </c:pt>
                <c:pt idx="101">
                  <c:v>0.2699999999999998</c:v>
                </c:pt>
                <c:pt idx="102">
                  <c:v>0.25499999999999989</c:v>
                </c:pt>
                <c:pt idx="103">
                  <c:v>0.21799999999999975</c:v>
                </c:pt>
                <c:pt idx="104">
                  <c:v>0.18099999999999983</c:v>
                </c:pt>
                <c:pt idx="105">
                  <c:v>0.21999999999999975</c:v>
                </c:pt>
                <c:pt idx="106">
                  <c:v>0.23199999999999976</c:v>
                </c:pt>
                <c:pt idx="107">
                  <c:v>0.19799999999999973</c:v>
                </c:pt>
                <c:pt idx="108">
                  <c:v>0.15999999999999992</c:v>
                </c:pt>
                <c:pt idx="109">
                  <c:v>0.1359999999999999</c:v>
                </c:pt>
                <c:pt idx="110">
                  <c:v>9.9999999999999867E-2</c:v>
                </c:pt>
                <c:pt idx="111">
                  <c:v>8.1999999999999851E-2</c:v>
                </c:pt>
                <c:pt idx="112">
                  <c:v>0</c:v>
                </c:pt>
                <c:pt idx="316">
                  <c:v>0</c:v>
                </c:pt>
                <c:pt idx="317">
                  <c:v>0.1379999999999999</c:v>
                </c:pt>
                <c:pt idx="318">
                  <c:v>0.12799999999999989</c:v>
                </c:pt>
                <c:pt idx="319">
                  <c:v>5.9999999999999831E-2</c:v>
                </c:pt>
                <c:pt idx="320">
                  <c:v>0.14099999999999979</c:v>
                </c:pt>
                <c:pt idx="321">
                  <c:v>0.1399999999999999</c:v>
                </c:pt>
                <c:pt idx="322">
                  <c:v>0.13099999999999978</c:v>
                </c:pt>
                <c:pt idx="323">
                  <c:v>0.13299999999999979</c:v>
                </c:pt>
                <c:pt idx="324">
                  <c:v>0.12499999999999978</c:v>
                </c:pt>
                <c:pt idx="325">
                  <c:v>0.12099999999999977</c:v>
                </c:pt>
                <c:pt idx="326">
                  <c:v>0.11899999999999977</c:v>
                </c:pt>
                <c:pt idx="327">
                  <c:v>0.12999999999999989</c:v>
                </c:pt>
                <c:pt idx="328">
                  <c:v>0.12799999999999989</c:v>
                </c:pt>
                <c:pt idx="329">
                  <c:v>0.11199999999999988</c:v>
                </c:pt>
                <c:pt idx="330">
                  <c:v>0.11099999999999977</c:v>
                </c:pt>
                <c:pt idx="331">
                  <c:v>0.10199999999999987</c:v>
                </c:pt>
                <c:pt idx="332">
                  <c:v>9.6999999999999753E-2</c:v>
                </c:pt>
                <c:pt idx="333">
                  <c:v>0.12199999999999989</c:v>
                </c:pt>
                <c:pt idx="334">
                  <c:v>0.12599999999999989</c:v>
                </c:pt>
                <c:pt idx="335">
                  <c:v>0.1339999999999999</c:v>
                </c:pt>
                <c:pt idx="336">
                  <c:v>0.1339999999999999</c:v>
                </c:pt>
                <c:pt idx="337">
                  <c:v>0.11999999999999988</c:v>
                </c:pt>
                <c:pt idx="338">
                  <c:v>0.13299999999999979</c:v>
                </c:pt>
                <c:pt idx="339">
                  <c:v>0.14399999999999991</c:v>
                </c:pt>
                <c:pt idx="340">
                  <c:v>0.12199999999999989</c:v>
                </c:pt>
                <c:pt idx="341">
                  <c:v>0.20799999999999974</c:v>
                </c:pt>
                <c:pt idx="342">
                  <c:v>0.19599999999999973</c:v>
                </c:pt>
                <c:pt idx="343">
                  <c:v>0.21299999999999986</c:v>
                </c:pt>
                <c:pt idx="344">
                  <c:v>0.17999999999999972</c:v>
                </c:pt>
                <c:pt idx="345">
                  <c:v>0.18699999999999983</c:v>
                </c:pt>
                <c:pt idx="346">
                  <c:v>0.18399999999999972</c:v>
                </c:pt>
                <c:pt idx="347">
                  <c:v>0.19499999999999984</c:v>
                </c:pt>
                <c:pt idx="348">
                  <c:v>0.18699999999999983</c:v>
                </c:pt>
                <c:pt idx="349">
                  <c:v>0.20299999999999985</c:v>
                </c:pt>
                <c:pt idx="350">
                  <c:v>0.23399999999999976</c:v>
                </c:pt>
                <c:pt idx="351">
                  <c:v>0.2759999999999998</c:v>
                </c:pt>
                <c:pt idx="352">
                  <c:v>0.31899999999999973</c:v>
                </c:pt>
                <c:pt idx="353">
                  <c:v>0.30499999999999972</c:v>
                </c:pt>
                <c:pt idx="354">
                  <c:v>0.29599999999999982</c:v>
                </c:pt>
                <c:pt idx="355">
                  <c:v>0.28599999999999981</c:v>
                </c:pt>
                <c:pt idx="356">
                  <c:v>0.27499999999999991</c:v>
                </c:pt>
                <c:pt idx="357">
                  <c:v>0.26199999999999979</c:v>
                </c:pt>
                <c:pt idx="358">
                  <c:v>0.28099999999999969</c:v>
                </c:pt>
                <c:pt idx="359">
                  <c:v>0.28099999999999969</c:v>
                </c:pt>
                <c:pt idx="360">
                  <c:v>0.33499999999999974</c:v>
                </c:pt>
                <c:pt idx="361">
                  <c:v>0.34099999999999975</c:v>
                </c:pt>
                <c:pt idx="362">
                  <c:v>0.3899999999999999</c:v>
                </c:pt>
                <c:pt idx="363">
                  <c:v>0.36199999999999988</c:v>
                </c:pt>
                <c:pt idx="364">
                  <c:v>0.35099999999999976</c:v>
                </c:pt>
                <c:pt idx="365">
                  <c:v>0.33399999999999985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06016"/>
        <c:axId val="206407552"/>
      </c:lineChart>
      <c:catAx>
        <c:axId val="206406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407552"/>
        <c:crosses val="autoZero"/>
        <c:auto val="1"/>
        <c:lblAlgn val="ctr"/>
        <c:lblOffset val="100"/>
        <c:tickMarkSkip val="9"/>
        <c:noMultiLvlLbl val="0"/>
      </c:catAx>
      <c:valAx>
        <c:axId val="206407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406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Rain</c:v>
          </c:tx>
          <c:invertIfNegative val="0"/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</c:v>
                </c:pt>
                <c:pt idx="20">
                  <c:v>0.7</c:v>
                </c:pt>
                <c:pt idx="21">
                  <c:v>3.9</c:v>
                </c:pt>
                <c:pt idx="22">
                  <c:v>4.8</c:v>
                </c:pt>
                <c:pt idx="23">
                  <c:v>0.5</c:v>
                </c:pt>
                <c:pt idx="24">
                  <c:v>0.9</c:v>
                </c:pt>
                <c:pt idx="25">
                  <c:v>0.5</c:v>
                </c:pt>
                <c:pt idx="26">
                  <c:v>7</c:v>
                </c:pt>
                <c:pt idx="27">
                  <c:v>15.4</c:v>
                </c:pt>
                <c:pt idx="28">
                  <c:v>0</c:v>
                </c:pt>
                <c:pt idx="29">
                  <c:v>0</c:v>
                </c:pt>
                <c:pt idx="30">
                  <c:v>1.4</c:v>
                </c:pt>
                <c:pt idx="31">
                  <c:v>1.7</c:v>
                </c:pt>
                <c:pt idx="32">
                  <c:v>1.7</c:v>
                </c:pt>
                <c:pt idx="33">
                  <c:v>0</c:v>
                </c:pt>
                <c:pt idx="34">
                  <c:v>0</c:v>
                </c:pt>
                <c:pt idx="35">
                  <c:v>3.4</c:v>
                </c:pt>
                <c:pt idx="36">
                  <c:v>2.7</c:v>
                </c:pt>
                <c:pt idx="37">
                  <c:v>0</c:v>
                </c:pt>
                <c:pt idx="38">
                  <c:v>0.1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0.3</c:v>
                </c:pt>
                <c:pt idx="48">
                  <c:v>1.4</c:v>
                </c:pt>
                <c:pt idx="49">
                  <c:v>3.5</c:v>
                </c:pt>
                <c:pt idx="50">
                  <c:v>6.8</c:v>
                </c:pt>
                <c:pt idx="51">
                  <c:v>6.3</c:v>
                </c:pt>
                <c:pt idx="52">
                  <c:v>0.6</c:v>
                </c:pt>
                <c:pt idx="53">
                  <c:v>0.1</c:v>
                </c:pt>
                <c:pt idx="54">
                  <c:v>0</c:v>
                </c:pt>
                <c:pt idx="55">
                  <c:v>0.6</c:v>
                </c:pt>
                <c:pt idx="56">
                  <c:v>0</c:v>
                </c:pt>
                <c:pt idx="57">
                  <c:v>0.1</c:v>
                </c:pt>
                <c:pt idx="58">
                  <c:v>0</c:v>
                </c:pt>
                <c:pt idx="59">
                  <c:v>1.8</c:v>
                </c:pt>
                <c:pt idx="60">
                  <c:v>1.1000000000000001</c:v>
                </c:pt>
                <c:pt idx="61">
                  <c:v>0.4</c:v>
                </c:pt>
                <c:pt idx="62">
                  <c:v>1.4</c:v>
                </c:pt>
                <c:pt idx="63">
                  <c:v>0</c:v>
                </c:pt>
                <c:pt idx="64">
                  <c:v>0</c:v>
                </c:pt>
                <c:pt idx="65">
                  <c:v>1.4</c:v>
                </c:pt>
                <c:pt idx="66">
                  <c:v>3</c:v>
                </c:pt>
                <c:pt idx="67">
                  <c:v>2.5</c:v>
                </c:pt>
                <c:pt idx="68">
                  <c:v>1.7</c:v>
                </c:pt>
                <c:pt idx="69">
                  <c:v>3.3</c:v>
                </c:pt>
                <c:pt idx="70">
                  <c:v>1.1000000000000001</c:v>
                </c:pt>
                <c:pt idx="71">
                  <c:v>5.4</c:v>
                </c:pt>
                <c:pt idx="72">
                  <c:v>3</c:v>
                </c:pt>
                <c:pt idx="73">
                  <c:v>0.1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1.1000000000000001</c:v>
                </c:pt>
                <c:pt idx="86">
                  <c:v>0.8</c:v>
                </c:pt>
                <c:pt idx="87">
                  <c:v>4.2</c:v>
                </c:pt>
                <c:pt idx="88">
                  <c:v>5.8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0.3</c:v>
                </c:pt>
                <c:pt idx="95">
                  <c:v>8.6</c:v>
                </c:pt>
                <c:pt idx="96">
                  <c:v>0</c:v>
                </c:pt>
                <c:pt idx="97">
                  <c:v>0</c:v>
                </c:pt>
                <c:pt idx="98">
                  <c:v>1.9</c:v>
                </c:pt>
                <c:pt idx="99">
                  <c:v>3.6</c:v>
                </c:pt>
                <c:pt idx="100">
                  <c:v>0</c:v>
                </c:pt>
                <c:pt idx="101">
                  <c:v>1</c:v>
                </c:pt>
                <c:pt idx="102">
                  <c:v>0.1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6.5</c:v>
                </c:pt>
                <c:pt idx="107">
                  <c:v>2.5</c:v>
                </c:pt>
                <c:pt idx="108">
                  <c:v>0</c:v>
                </c:pt>
                <c:pt idx="109">
                  <c:v>0</c:v>
                </c:pt>
                <c:pt idx="110">
                  <c:v>0.8</c:v>
                </c:pt>
                <c:pt idx="111">
                  <c:v>0.1</c:v>
                </c:pt>
                <c:pt idx="112">
                  <c:v>0.6</c:v>
                </c:pt>
                <c:pt idx="113">
                  <c:v>0</c:v>
                </c:pt>
                <c:pt idx="114">
                  <c:v>0.1</c:v>
                </c:pt>
                <c:pt idx="115">
                  <c:v>5.0999999999999996</c:v>
                </c:pt>
                <c:pt idx="116">
                  <c:v>5.2</c:v>
                </c:pt>
                <c:pt idx="117">
                  <c:v>2.7</c:v>
                </c:pt>
                <c:pt idx="118">
                  <c:v>0.4</c:v>
                </c:pt>
                <c:pt idx="119">
                  <c:v>1.5</c:v>
                </c:pt>
                <c:pt idx="120">
                  <c:v>0.2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0.2</c:v>
                </c:pt>
                <c:pt idx="133">
                  <c:v>6.8</c:v>
                </c:pt>
                <c:pt idx="134">
                  <c:v>0.1</c:v>
                </c:pt>
                <c:pt idx="135">
                  <c:v>0</c:v>
                </c:pt>
                <c:pt idx="136">
                  <c:v>13.9</c:v>
                </c:pt>
                <c:pt idx="137">
                  <c:v>8.5</c:v>
                </c:pt>
                <c:pt idx="138">
                  <c:v>0.1</c:v>
                </c:pt>
                <c:pt idx="139">
                  <c:v>1.4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0.6</c:v>
                </c:pt>
                <c:pt idx="144">
                  <c:v>5</c:v>
                </c:pt>
                <c:pt idx="145">
                  <c:v>0.8</c:v>
                </c:pt>
                <c:pt idx="146">
                  <c:v>0</c:v>
                </c:pt>
                <c:pt idx="147">
                  <c:v>0</c:v>
                </c:pt>
                <c:pt idx="148">
                  <c:v>6.7</c:v>
                </c:pt>
                <c:pt idx="149">
                  <c:v>2.5</c:v>
                </c:pt>
                <c:pt idx="150">
                  <c:v>0.6</c:v>
                </c:pt>
                <c:pt idx="151">
                  <c:v>0</c:v>
                </c:pt>
                <c:pt idx="152">
                  <c:v>3.6</c:v>
                </c:pt>
                <c:pt idx="153">
                  <c:v>8.5</c:v>
                </c:pt>
                <c:pt idx="154">
                  <c:v>6.6</c:v>
                </c:pt>
                <c:pt idx="155">
                  <c:v>0.4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9.3000000000000007</c:v>
                </c:pt>
                <c:pt idx="167">
                  <c:v>8.5</c:v>
                </c:pt>
                <c:pt idx="168">
                  <c:v>2.7</c:v>
                </c:pt>
                <c:pt idx="169">
                  <c:v>2.1</c:v>
                </c:pt>
                <c:pt idx="170">
                  <c:v>0.1</c:v>
                </c:pt>
                <c:pt idx="171">
                  <c:v>0</c:v>
                </c:pt>
                <c:pt idx="172">
                  <c:v>0</c:v>
                </c:pt>
                <c:pt idx="173">
                  <c:v>0.8</c:v>
                </c:pt>
                <c:pt idx="174">
                  <c:v>0</c:v>
                </c:pt>
                <c:pt idx="175">
                  <c:v>4.7</c:v>
                </c:pt>
                <c:pt idx="176">
                  <c:v>0.1</c:v>
                </c:pt>
                <c:pt idx="177">
                  <c:v>13.1</c:v>
                </c:pt>
                <c:pt idx="178">
                  <c:v>0.1</c:v>
                </c:pt>
                <c:pt idx="179">
                  <c:v>0</c:v>
                </c:pt>
                <c:pt idx="180">
                  <c:v>0</c:v>
                </c:pt>
                <c:pt idx="181">
                  <c:v>19.399999999999999</c:v>
                </c:pt>
                <c:pt idx="182">
                  <c:v>3.7</c:v>
                </c:pt>
                <c:pt idx="183">
                  <c:v>3.3</c:v>
                </c:pt>
                <c:pt idx="184">
                  <c:v>0</c:v>
                </c:pt>
                <c:pt idx="185">
                  <c:v>0</c:v>
                </c:pt>
                <c:pt idx="186">
                  <c:v>0.1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0.5</c:v>
                </c:pt>
                <c:pt idx="204">
                  <c:v>0</c:v>
                </c:pt>
                <c:pt idx="205">
                  <c:v>0.1</c:v>
                </c:pt>
                <c:pt idx="206">
                  <c:v>1.9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</c:v>
                </c:pt>
                <c:pt idx="211">
                  <c:v>0.1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0.4</c:v>
                </c:pt>
                <c:pt idx="222">
                  <c:v>0</c:v>
                </c:pt>
                <c:pt idx="223">
                  <c:v>0.1</c:v>
                </c:pt>
                <c:pt idx="224">
                  <c:v>1.1000000000000001</c:v>
                </c:pt>
                <c:pt idx="225">
                  <c:v>0</c:v>
                </c:pt>
                <c:pt idx="226">
                  <c:v>0</c:v>
                </c:pt>
                <c:pt idx="227">
                  <c:v>2.9</c:v>
                </c:pt>
                <c:pt idx="228">
                  <c:v>2.5</c:v>
                </c:pt>
                <c:pt idx="229">
                  <c:v>0.2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0.1</c:v>
                </c:pt>
                <c:pt idx="234">
                  <c:v>0</c:v>
                </c:pt>
                <c:pt idx="235">
                  <c:v>3.3</c:v>
                </c:pt>
                <c:pt idx="236">
                  <c:v>8.5</c:v>
                </c:pt>
                <c:pt idx="237">
                  <c:v>1.5</c:v>
                </c:pt>
                <c:pt idx="238">
                  <c:v>0.8</c:v>
                </c:pt>
                <c:pt idx="239">
                  <c:v>0.9</c:v>
                </c:pt>
                <c:pt idx="240">
                  <c:v>1</c:v>
                </c:pt>
                <c:pt idx="241">
                  <c:v>1</c:v>
                </c:pt>
                <c:pt idx="242">
                  <c:v>0.8</c:v>
                </c:pt>
                <c:pt idx="243">
                  <c:v>0.7</c:v>
                </c:pt>
                <c:pt idx="244">
                  <c:v>0.5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0.1</c:v>
                </c:pt>
                <c:pt idx="249">
                  <c:v>0.1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3.6</c:v>
                </c:pt>
                <c:pt idx="257">
                  <c:v>2.6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6.2</c:v>
                </c:pt>
                <c:pt idx="263">
                  <c:v>4.5999999999999996</c:v>
                </c:pt>
                <c:pt idx="264">
                  <c:v>0.2</c:v>
                </c:pt>
                <c:pt idx="265">
                  <c:v>1.3</c:v>
                </c:pt>
                <c:pt idx="266">
                  <c:v>0.2</c:v>
                </c:pt>
                <c:pt idx="267">
                  <c:v>0</c:v>
                </c:pt>
                <c:pt idx="268">
                  <c:v>2.7</c:v>
                </c:pt>
                <c:pt idx="269">
                  <c:v>0.3</c:v>
                </c:pt>
                <c:pt idx="270">
                  <c:v>0.2</c:v>
                </c:pt>
                <c:pt idx="271">
                  <c:v>0.1</c:v>
                </c:pt>
                <c:pt idx="272">
                  <c:v>0.1</c:v>
                </c:pt>
                <c:pt idx="273">
                  <c:v>1.5</c:v>
                </c:pt>
                <c:pt idx="274">
                  <c:v>0.1</c:v>
                </c:pt>
                <c:pt idx="275">
                  <c:v>0.1</c:v>
                </c:pt>
                <c:pt idx="276">
                  <c:v>0.2</c:v>
                </c:pt>
                <c:pt idx="277">
                  <c:v>0</c:v>
                </c:pt>
                <c:pt idx="278">
                  <c:v>0.2</c:v>
                </c:pt>
                <c:pt idx="279">
                  <c:v>0</c:v>
                </c:pt>
                <c:pt idx="280">
                  <c:v>0.2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0.2</c:v>
                </c:pt>
                <c:pt idx="285">
                  <c:v>0</c:v>
                </c:pt>
                <c:pt idx="286">
                  <c:v>0</c:v>
                </c:pt>
                <c:pt idx="287">
                  <c:v>1.3</c:v>
                </c:pt>
                <c:pt idx="288">
                  <c:v>5.9</c:v>
                </c:pt>
                <c:pt idx="289">
                  <c:v>0.3</c:v>
                </c:pt>
                <c:pt idx="290">
                  <c:v>0.3</c:v>
                </c:pt>
                <c:pt idx="291">
                  <c:v>0.4</c:v>
                </c:pt>
                <c:pt idx="292">
                  <c:v>13.9</c:v>
                </c:pt>
                <c:pt idx="293">
                  <c:v>4.8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3.9</c:v>
                </c:pt>
                <c:pt idx="300">
                  <c:v>4</c:v>
                </c:pt>
                <c:pt idx="301">
                  <c:v>0.1</c:v>
                </c:pt>
                <c:pt idx="302">
                  <c:v>2.4</c:v>
                </c:pt>
                <c:pt idx="303">
                  <c:v>0</c:v>
                </c:pt>
                <c:pt idx="304">
                  <c:v>3.8</c:v>
                </c:pt>
                <c:pt idx="305">
                  <c:v>0</c:v>
                </c:pt>
                <c:pt idx="306">
                  <c:v>4</c:v>
                </c:pt>
                <c:pt idx="307">
                  <c:v>1.6</c:v>
                </c:pt>
                <c:pt idx="308">
                  <c:v>1.8</c:v>
                </c:pt>
                <c:pt idx="309">
                  <c:v>0.5</c:v>
                </c:pt>
                <c:pt idx="310">
                  <c:v>1.1000000000000001</c:v>
                </c:pt>
                <c:pt idx="311">
                  <c:v>3.3</c:v>
                </c:pt>
                <c:pt idx="312">
                  <c:v>1.6</c:v>
                </c:pt>
                <c:pt idx="313">
                  <c:v>4.5</c:v>
                </c:pt>
                <c:pt idx="314">
                  <c:v>0.1</c:v>
                </c:pt>
                <c:pt idx="315">
                  <c:v>9.6999999999999993</c:v>
                </c:pt>
                <c:pt idx="316">
                  <c:v>0.6</c:v>
                </c:pt>
                <c:pt idx="317">
                  <c:v>2.9</c:v>
                </c:pt>
                <c:pt idx="318">
                  <c:v>3.3</c:v>
                </c:pt>
                <c:pt idx="319">
                  <c:v>0.3</c:v>
                </c:pt>
                <c:pt idx="320">
                  <c:v>0</c:v>
                </c:pt>
                <c:pt idx="321">
                  <c:v>0.5</c:v>
                </c:pt>
                <c:pt idx="322">
                  <c:v>0.1</c:v>
                </c:pt>
                <c:pt idx="323">
                  <c:v>0</c:v>
                </c:pt>
                <c:pt idx="324">
                  <c:v>0</c:v>
                </c:pt>
                <c:pt idx="325">
                  <c:v>0.6</c:v>
                </c:pt>
                <c:pt idx="326">
                  <c:v>0.3</c:v>
                </c:pt>
                <c:pt idx="327">
                  <c:v>0.2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0.1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4.5999999999999996</c:v>
                </c:pt>
                <c:pt idx="355">
                  <c:v>9.1999999999999993</c:v>
                </c:pt>
                <c:pt idx="356">
                  <c:v>0</c:v>
                </c:pt>
                <c:pt idx="357">
                  <c:v>1.3</c:v>
                </c:pt>
                <c:pt idx="358">
                  <c:v>1.4</c:v>
                </c:pt>
                <c:pt idx="359">
                  <c:v>0</c:v>
                </c:pt>
                <c:pt idx="360">
                  <c:v>0.1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20992"/>
        <c:axId val="206770944"/>
      </c:barChart>
      <c:catAx>
        <c:axId val="2064209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770944"/>
        <c:crosses val="autoZero"/>
        <c:auto val="1"/>
        <c:lblAlgn val="ctr"/>
        <c:lblOffset val="100"/>
        <c:tickMarkSkip val="9"/>
        <c:noMultiLvlLbl val="0"/>
      </c:catAx>
      <c:valAx>
        <c:axId val="206770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42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Data!$AL$6:$AL$371</c:f>
              <c:numCache>
                <c:formatCode>General</c:formatCode>
                <c:ptCount val="366"/>
                <c:pt idx="0">
                  <c:v>0</c:v>
                </c:pt>
                <c:pt idx="1">
                  <c:v>1.2</c:v>
                </c:pt>
                <c:pt idx="2">
                  <c:v>4.4000000000000004</c:v>
                </c:pt>
                <c:pt idx="3">
                  <c:v>11.5</c:v>
                </c:pt>
                <c:pt idx="4">
                  <c:v>11.5</c:v>
                </c:pt>
                <c:pt idx="5">
                  <c:v>22</c:v>
                </c:pt>
                <c:pt idx="6">
                  <c:v>22</c:v>
                </c:pt>
                <c:pt idx="7">
                  <c:v>30.7</c:v>
                </c:pt>
                <c:pt idx="8">
                  <c:v>45.4</c:v>
                </c:pt>
                <c:pt idx="9">
                  <c:v>45.4</c:v>
                </c:pt>
                <c:pt idx="10">
                  <c:v>45.4</c:v>
                </c:pt>
                <c:pt idx="11">
                  <c:v>45.4</c:v>
                </c:pt>
                <c:pt idx="12">
                  <c:v>45.4</c:v>
                </c:pt>
                <c:pt idx="13">
                  <c:v>45.4</c:v>
                </c:pt>
                <c:pt idx="14">
                  <c:v>45.4</c:v>
                </c:pt>
                <c:pt idx="15">
                  <c:v>49.3</c:v>
                </c:pt>
                <c:pt idx="16">
                  <c:v>60</c:v>
                </c:pt>
                <c:pt idx="17">
                  <c:v>60</c:v>
                </c:pt>
                <c:pt idx="18">
                  <c:v>67.400000000000006</c:v>
                </c:pt>
                <c:pt idx="19">
                  <c:v>67.400000000000006</c:v>
                </c:pt>
                <c:pt idx="20">
                  <c:v>67.400000000000006</c:v>
                </c:pt>
                <c:pt idx="21">
                  <c:v>68.300000000000011</c:v>
                </c:pt>
                <c:pt idx="22">
                  <c:v>68.300000000000011</c:v>
                </c:pt>
                <c:pt idx="23">
                  <c:v>73.900000000000006</c:v>
                </c:pt>
                <c:pt idx="24">
                  <c:v>73.900000000000006</c:v>
                </c:pt>
                <c:pt idx="25">
                  <c:v>74.2</c:v>
                </c:pt>
                <c:pt idx="26">
                  <c:v>81.2</c:v>
                </c:pt>
                <c:pt idx="27">
                  <c:v>96.600000000000009</c:v>
                </c:pt>
                <c:pt idx="28">
                  <c:v>96.600000000000009</c:v>
                </c:pt>
                <c:pt idx="29">
                  <c:v>96.600000000000009</c:v>
                </c:pt>
                <c:pt idx="30">
                  <c:v>98.000000000000014</c:v>
                </c:pt>
                <c:pt idx="31">
                  <c:v>99.700000000000017</c:v>
                </c:pt>
                <c:pt idx="32">
                  <c:v>101.40000000000002</c:v>
                </c:pt>
                <c:pt idx="33">
                  <c:v>101.40000000000002</c:v>
                </c:pt>
                <c:pt idx="34">
                  <c:v>110.10000000000002</c:v>
                </c:pt>
                <c:pt idx="35">
                  <c:v>110.10000000000002</c:v>
                </c:pt>
                <c:pt idx="36">
                  <c:v>110.20000000000002</c:v>
                </c:pt>
                <c:pt idx="37">
                  <c:v>110.70000000000002</c:v>
                </c:pt>
                <c:pt idx="38">
                  <c:v>110.70000000000002</c:v>
                </c:pt>
                <c:pt idx="39">
                  <c:v>110.70000000000002</c:v>
                </c:pt>
                <c:pt idx="40">
                  <c:v>117.60000000000002</c:v>
                </c:pt>
                <c:pt idx="41">
                  <c:v>131.90000000000003</c:v>
                </c:pt>
                <c:pt idx="42">
                  <c:v>131.90000000000003</c:v>
                </c:pt>
                <c:pt idx="43">
                  <c:v>131.90000000000003</c:v>
                </c:pt>
                <c:pt idx="44">
                  <c:v>131.90000000000003</c:v>
                </c:pt>
                <c:pt idx="45">
                  <c:v>131.90000000000003</c:v>
                </c:pt>
                <c:pt idx="46">
                  <c:v>131.90000000000003</c:v>
                </c:pt>
                <c:pt idx="47">
                  <c:v>131.90000000000003</c:v>
                </c:pt>
                <c:pt idx="48">
                  <c:v>131.90000000000003</c:v>
                </c:pt>
                <c:pt idx="49">
                  <c:v>131.90000000000003</c:v>
                </c:pt>
                <c:pt idx="50">
                  <c:v>131.90000000000003</c:v>
                </c:pt>
                <c:pt idx="51">
                  <c:v>131.90000000000003</c:v>
                </c:pt>
                <c:pt idx="52">
                  <c:v>131.90000000000003</c:v>
                </c:pt>
                <c:pt idx="53">
                  <c:v>131.90000000000003</c:v>
                </c:pt>
                <c:pt idx="54">
                  <c:v>132.20000000000005</c:v>
                </c:pt>
                <c:pt idx="55">
                  <c:v>137.70000000000005</c:v>
                </c:pt>
                <c:pt idx="56">
                  <c:v>140.80000000000004</c:v>
                </c:pt>
                <c:pt idx="57">
                  <c:v>148.20000000000005</c:v>
                </c:pt>
                <c:pt idx="58">
                  <c:v>148.20000000000005</c:v>
                </c:pt>
                <c:pt idx="59">
                  <c:v>150.00000000000006</c:v>
                </c:pt>
                <c:pt idx="60">
                  <c:v>150.00000000000006</c:v>
                </c:pt>
                <c:pt idx="61">
                  <c:v>159.70000000000005</c:v>
                </c:pt>
                <c:pt idx="62">
                  <c:v>162.20000000000005</c:v>
                </c:pt>
                <c:pt idx="63">
                  <c:v>162.50000000000006</c:v>
                </c:pt>
                <c:pt idx="64">
                  <c:v>162.50000000000006</c:v>
                </c:pt>
                <c:pt idx="65">
                  <c:v>162.50000000000006</c:v>
                </c:pt>
                <c:pt idx="66">
                  <c:v>162.50000000000006</c:v>
                </c:pt>
                <c:pt idx="67">
                  <c:v>166.00000000000006</c:v>
                </c:pt>
                <c:pt idx="68">
                  <c:v>166.00000000000006</c:v>
                </c:pt>
                <c:pt idx="69">
                  <c:v>166.90000000000006</c:v>
                </c:pt>
                <c:pt idx="70">
                  <c:v>166.90000000000006</c:v>
                </c:pt>
                <c:pt idx="71">
                  <c:v>166.90000000000006</c:v>
                </c:pt>
                <c:pt idx="72">
                  <c:v>167.20000000000007</c:v>
                </c:pt>
                <c:pt idx="73">
                  <c:v>167.20000000000007</c:v>
                </c:pt>
                <c:pt idx="74">
                  <c:v>167.20000000000007</c:v>
                </c:pt>
                <c:pt idx="75">
                  <c:v>167.20000000000007</c:v>
                </c:pt>
                <c:pt idx="76">
                  <c:v>167.20000000000007</c:v>
                </c:pt>
                <c:pt idx="77">
                  <c:v>167.20000000000007</c:v>
                </c:pt>
                <c:pt idx="78">
                  <c:v>167.20000000000007</c:v>
                </c:pt>
                <c:pt idx="79">
                  <c:v>167.20000000000007</c:v>
                </c:pt>
                <c:pt idx="80">
                  <c:v>167.20000000000007</c:v>
                </c:pt>
                <c:pt idx="81">
                  <c:v>167.20000000000007</c:v>
                </c:pt>
                <c:pt idx="82">
                  <c:v>167.20000000000007</c:v>
                </c:pt>
                <c:pt idx="83">
                  <c:v>167.20000000000007</c:v>
                </c:pt>
                <c:pt idx="84">
                  <c:v>167.20000000000007</c:v>
                </c:pt>
                <c:pt idx="85">
                  <c:v>167.20000000000007</c:v>
                </c:pt>
                <c:pt idx="86">
                  <c:v>176.80000000000007</c:v>
                </c:pt>
                <c:pt idx="87">
                  <c:v>176.80000000000007</c:v>
                </c:pt>
                <c:pt idx="88">
                  <c:v>179.30000000000007</c:v>
                </c:pt>
                <c:pt idx="89">
                  <c:v>179.30000000000007</c:v>
                </c:pt>
                <c:pt idx="90">
                  <c:v>179.30000000000007</c:v>
                </c:pt>
                <c:pt idx="91">
                  <c:v>179.30000000000007</c:v>
                </c:pt>
                <c:pt idx="92">
                  <c:v>179.30000000000007</c:v>
                </c:pt>
                <c:pt idx="93">
                  <c:v>179.30000000000007</c:v>
                </c:pt>
                <c:pt idx="94">
                  <c:v>194.10000000000008</c:v>
                </c:pt>
                <c:pt idx="95">
                  <c:v>194.10000000000008</c:v>
                </c:pt>
                <c:pt idx="96">
                  <c:v>194.10000000000008</c:v>
                </c:pt>
                <c:pt idx="97">
                  <c:v>194.10000000000008</c:v>
                </c:pt>
                <c:pt idx="98">
                  <c:v>197.00000000000009</c:v>
                </c:pt>
                <c:pt idx="99">
                  <c:v>197.00000000000009</c:v>
                </c:pt>
                <c:pt idx="100">
                  <c:v>197.00000000000009</c:v>
                </c:pt>
                <c:pt idx="101">
                  <c:v>197.00000000000009</c:v>
                </c:pt>
                <c:pt idx="102">
                  <c:v>197.00000000000009</c:v>
                </c:pt>
                <c:pt idx="103">
                  <c:v>197.00000000000009</c:v>
                </c:pt>
                <c:pt idx="104">
                  <c:v>197.00000000000009</c:v>
                </c:pt>
                <c:pt idx="105">
                  <c:v>202.10000000000008</c:v>
                </c:pt>
                <c:pt idx="106">
                  <c:v>203.70000000000007</c:v>
                </c:pt>
                <c:pt idx="107">
                  <c:v>203.70000000000007</c:v>
                </c:pt>
                <c:pt idx="108">
                  <c:v>203.70000000000007</c:v>
                </c:pt>
                <c:pt idx="109">
                  <c:v>203.70000000000007</c:v>
                </c:pt>
                <c:pt idx="110">
                  <c:v>204.50000000000009</c:v>
                </c:pt>
                <c:pt idx="111">
                  <c:v>204.60000000000008</c:v>
                </c:pt>
                <c:pt idx="112">
                  <c:v>205.20000000000007</c:v>
                </c:pt>
                <c:pt idx="113">
                  <c:v>205.20000000000007</c:v>
                </c:pt>
                <c:pt idx="114">
                  <c:v>205.30000000000007</c:v>
                </c:pt>
                <c:pt idx="115">
                  <c:v>210.40000000000006</c:v>
                </c:pt>
                <c:pt idx="116">
                  <c:v>215.60000000000005</c:v>
                </c:pt>
                <c:pt idx="117">
                  <c:v>218.30000000000004</c:v>
                </c:pt>
                <c:pt idx="118">
                  <c:v>218.70000000000005</c:v>
                </c:pt>
                <c:pt idx="119">
                  <c:v>220.20000000000005</c:v>
                </c:pt>
                <c:pt idx="120">
                  <c:v>220.40000000000003</c:v>
                </c:pt>
                <c:pt idx="121">
                  <c:v>220.40000000000003</c:v>
                </c:pt>
                <c:pt idx="122">
                  <c:v>220.40000000000003</c:v>
                </c:pt>
                <c:pt idx="123">
                  <c:v>220.40000000000003</c:v>
                </c:pt>
                <c:pt idx="124">
                  <c:v>220.40000000000003</c:v>
                </c:pt>
                <c:pt idx="125">
                  <c:v>220.40000000000003</c:v>
                </c:pt>
                <c:pt idx="126">
                  <c:v>220.60000000000002</c:v>
                </c:pt>
                <c:pt idx="127">
                  <c:v>220.60000000000002</c:v>
                </c:pt>
                <c:pt idx="128">
                  <c:v>220.60000000000002</c:v>
                </c:pt>
                <c:pt idx="129">
                  <c:v>220.60000000000002</c:v>
                </c:pt>
                <c:pt idx="130">
                  <c:v>220.60000000000002</c:v>
                </c:pt>
                <c:pt idx="131">
                  <c:v>220.60000000000002</c:v>
                </c:pt>
                <c:pt idx="132">
                  <c:v>220.8</c:v>
                </c:pt>
                <c:pt idx="133">
                  <c:v>227.60000000000002</c:v>
                </c:pt>
                <c:pt idx="134">
                  <c:v>227.70000000000002</c:v>
                </c:pt>
                <c:pt idx="135">
                  <c:v>227.70000000000002</c:v>
                </c:pt>
                <c:pt idx="136">
                  <c:v>241.60000000000002</c:v>
                </c:pt>
                <c:pt idx="137">
                  <c:v>250.10000000000002</c:v>
                </c:pt>
                <c:pt idx="138">
                  <c:v>250.20000000000002</c:v>
                </c:pt>
                <c:pt idx="139">
                  <c:v>251.60000000000002</c:v>
                </c:pt>
                <c:pt idx="140">
                  <c:v>251.60000000000002</c:v>
                </c:pt>
                <c:pt idx="141">
                  <c:v>252.60000000000002</c:v>
                </c:pt>
                <c:pt idx="142">
                  <c:v>253.60000000000002</c:v>
                </c:pt>
                <c:pt idx="143">
                  <c:v>254.20000000000002</c:v>
                </c:pt>
                <c:pt idx="144">
                  <c:v>259.20000000000005</c:v>
                </c:pt>
                <c:pt idx="145">
                  <c:v>260.00000000000006</c:v>
                </c:pt>
                <c:pt idx="146">
                  <c:v>260.00000000000006</c:v>
                </c:pt>
                <c:pt idx="147">
                  <c:v>260.00000000000006</c:v>
                </c:pt>
                <c:pt idx="148">
                  <c:v>266.70000000000005</c:v>
                </c:pt>
                <c:pt idx="149">
                  <c:v>269.20000000000005</c:v>
                </c:pt>
                <c:pt idx="150">
                  <c:v>269.80000000000007</c:v>
                </c:pt>
                <c:pt idx="151">
                  <c:v>269.80000000000007</c:v>
                </c:pt>
                <c:pt idx="152">
                  <c:v>273.40000000000009</c:v>
                </c:pt>
                <c:pt idx="153">
                  <c:v>281.90000000000009</c:v>
                </c:pt>
                <c:pt idx="154">
                  <c:v>288.50000000000011</c:v>
                </c:pt>
                <c:pt idx="155">
                  <c:v>288.90000000000009</c:v>
                </c:pt>
                <c:pt idx="156">
                  <c:v>288.90000000000009</c:v>
                </c:pt>
                <c:pt idx="157">
                  <c:v>288.90000000000009</c:v>
                </c:pt>
                <c:pt idx="158">
                  <c:v>288.90000000000009</c:v>
                </c:pt>
                <c:pt idx="159">
                  <c:v>288.90000000000009</c:v>
                </c:pt>
                <c:pt idx="160">
                  <c:v>288.90000000000009</c:v>
                </c:pt>
                <c:pt idx="161">
                  <c:v>288.90000000000009</c:v>
                </c:pt>
                <c:pt idx="162">
                  <c:v>288.90000000000009</c:v>
                </c:pt>
                <c:pt idx="163">
                  <c:v>288.90000000000009</c:v>
                </c:pt>
                <c:pt idx="164">
                  <c:v>288.90000000000009</c:v>
                </c:pt>
                <c:pt idx="165">
                  <c:v>288.90000000000009</c:v>
                </c:pt>
                <c:pt idx="166">
                  <c:v>298.2000000000001</c:v>
                </c:pt>
                <c:pt idx="167">
                  <c:v>306.7000000000001</c:v>
                </c:pt>
                <c:pt idx="168">
                  <c:v>309.40000000000009</c:v>
                </c:pt>
                <c:pt idx="169">
                  <c:v>311.50000000000011</c:v>
                </c:pt>
                <c:pt idx="170">
                  <c:v>311.60000000000014</c:v>
                </c:pt>
                <c:pt idx="171">
                  <c:v>311.60000000000014</c:v>
                </c:pt>
                <c:pt idx="172">
                  <c:v>311.60000000000014</c:v>
                </c:pt>
                <c:pt idx="173">
                  <c:v>312.40000000000015</c:v>
                </c:pt>
                <c:pt idx="174">
                  <c:v>312.40000000000015</c:v>
                </c:pt>
                <c:pt idx="175">
                  <c:v>317.10000000000014</c:v>
                </c:pt>
                <c:pt idx="176">
                  <c:v>317.20000000000016</c:v>
                </c:pt>
                <c:pt idx="177">
                  <c:v>330.30000000000018</c:v>
                </c:pt>
                <c:pt idx="178">
                  <c:v>330.4000000000002</c:v>
                </c:pt>
                <c:pt idx="179">
                  <c:v>330.4000000000002</c:v>
                </c:pt>
                <c:pt idx="180">
                  <c:v>330.4000000000002</c:v>
                </c:pt>
                <c:pt idx="181">
                  <c:v>349.80000000000018</c:v>
                </c:pt>
                <c:pt idx="182">
                  <c:v>353.50000000000017</c:v>
                </c:pt>
                <c:pt idx="183">
                  <c:v>356.80000000000018</c:v>
                </c:pt>
                <c:pt idx="184">
                  <c:v>356.80000000000018</c:v>
                </c:pt>
                <c:pt idx="185">
                  <c:v>356.80000000000018</c:v>
                </c:pt>
                <c:pt idx="186">
                  <c:v>356.9000000000002</c:v>
                </c:pt>
                <c:pt idx="187">
                  <c:v>356.9000000000002</c:v>
                </c:pt>
                <c:pt idx="188">
                  <c:v>356.9000000000002</c:v>
                </c:pt>
                <c:pt idx="189">
                  <c:v>356.9000000000002</c:v>
                </c:pt>
                <c:pt idx="190">
                  <c:v>356.9000000000002</c:v>
                </c:pt>
                <c:pt idx="191">
                  <c:v>356.9000000000002</c:v>
                </c:pt>
                <c:pt idx="192">
                  <c:v>356.9000000000002</c:v>
                </c:pt>
                <c:pt idx="193">
                  <c:v>356.9000000000002</c:v>
                </c:pt>
                <c:pt idx="194">
                  <c:v>356.9000000000002</c:v>
                </c:pt>
                <c:pt idx="195">
                  <c:v>356.9000000000002</c:v>
                </c:pt>
                <c:pt idx="196">
                  <c:v>356.9000000000002</c:v>
                </c:pt>
                <c:pt idx="197">
                  <c:v>356.9000000000002</c:v>
                </c:pt>
                <c:pt idx="198">
                  <c:v>356.9000000000002</c:v>
                </c:pt>
                <c:pt idx="199">
                  <c:v>356.9000000000002</c:v>
                </c:pt>
                <c:pt idx="200">
                  <c:v>356.9000000000002</c:v>
                </c:pt>
                <c:pt idx="201">
                  <c:v>356.9000000000002</c:v>
                </c:pt>
                <c:pt idx="202">
                  <c:v>356.9000000000002</c:v>
                </c:pt>
                <c:pt idx="203">
                  <c:v>357.4000000000002</c:v>
                </c:pt>
                <c:pt idx="204">
                  <c:v>357.4000000000002</c:v>
                </c:pt>
                <c:pt idx="205">
                  <c:v>357.50000000000023</c:v>
                </c:pt>
                <c:pt idx="206">
                  <c:v>359.4000000000002</c:v>
                </c:pt>
                <c:pt idx="207">
                  <c:v>359.4000000000002</c:v>
                </c:pt>
                <c:pt idx="208">
                  <c:v>359.4000000000002</c:v>
                </c:pt>
                <c:pt idx="209">
                  <c:v>359.4000000000002</c:v>
                </c:pt>
                <c:pt idx="210">
                  <c:v>363.4000000000002</c:v>
                </c:pt>
                <c:pt idx="211">
                  <c:v>363.50000000000023</c:v>
                </c:pt>
                <c:pt idx="212">
                  <c:v>363.50000000000023</c:v>
                </c:pt>
                <c:pt idx="213">
                  <c:v>363.50000000000023</c:v>
                </c:pt>
                <c:pt idx="214">
                  <c:v>363.50000000000023</c:v>
                </c:pt>
                <c:pt idx="215">
                  <c:v>363.50000000000023</c:v>
                </c:pt>
                <c:pt idx="216">
                  <c:v>363.50000000000023</c:v>
                </c:pt>
                <c:pt idx="217">
                  <c:v>364.20000000000022</c:v>
                </c:pt>
                <c:pt idx="218">
                  <c:v>364.20000000000022</c:v>
                </c:pt>
                <c:pt idx="219">
                  <c:v>364.20000000000022</c:v>
                </c:pt>
                <c:pt idx="220">
                  <c:v>364.20000000000022</c:v>
                </c:pt>
                <c:pt idx="221">
                  <c:v>364.60000000000019</c:v>
                </c:pt>
                <c:pt idx="222">
                  <c:v>364.60000000000019</c:v>
                </c:pt>
                <c:pt idx="223">
                  <c:v>364.70000000000022</c:v>
                </c:pt>
                <c:pt idx="224">
                  <c:v>365.80000000000024</c:v>
                </c:pt>
                <c:pt idx="225">
                  <c:v>365.80000000000024</c:v>
                </c:pt>
                <c:pt idx="226">
                  <c:v>365.80000000000024</c:v>
                </c:pt>
                <c:pt idx="227">
                  <c:v>368.70000000000022</c:v>
                </c:pt>
                <c:pt idx="228">
                  <c:v>371.20000000000022</c:v>
                </c:pt>
                <c:pt idx="229">
                  <c:v>371.4000000000002</c:v>
                </c:pt>
                <c:pt idx="230">
                  <c:v>371.4000000000002</c:v>
                </c:pt>
                <c:pt idx="231">
                  <c:v>371.4000000000002</c:v>
                </c:pt>
                <c:pt idx="232">
                  <c:v>371.4000000000002</c:v>
                </c:pt>
                <c:pt idx="233">
                  <c:v>371.50000000000023</c:v>
                </c:pt>
                <c:pt idx="234">
                  <c:v>371.50000000000023</c:v>
                </c:pt>
                <c:pt idx="235">
                  <c:v>374.80000000000024</c:v>
                </c:pt>
                <c:pt idx="236">
                  <c:v>383.30000000000024</c:v>
                </c:pt>
                <c:pt idx="237">
                  <c:v>384.80000000000024</c:v>
                </c:pt>
                <c:pt idx="238">
                  <c:v>385.60000000000025</c:v>
                </c:pt>
                <c:pt idx="239">
                  <c:v>386.50000000000023</c:v>
                </c:pt>
                <c:pt idx="240">
                  <c:v>387.50000000000023</c:v>
                </c:pt>
                <c:pt idx="241">
                  <c:v>388.50000000000023</c:v>
                </c:pt>
                <c:pt idx="242">
                  <c:v>389.30000000000024</c:v>
                </c:pt>
                <c:pt idx="243">
                  <c:v>390.00000000000023</c:v>
                </c:pt>
                <c:pt idx="244">
                  <c:v>390.50000000000023</c:v>
                </c:pt>
                <c:pt idx="245">
                  <c:v>390.80000000000024</c:v>
                </c:pt>
                <c:pt idx="246">
                  <c:v>391.10000000000025</c:v>
                </c:pt>
                <c:pt idx="247">
                  <c:v>391.40000000000026</c:v>
                </c:pt>
                <c:pt idx="248">
                  <c:v>391.50000000000028</c:v>
                </c:pt>
                <c:pt idx="249">
                  <c:v>391.60000000000031</c:v>
                </c:pt>
                <c:pt idx="250">
                  <c:v>391.60000000000031</c:v>
                </c:pt>
                <c:pt idx="251">
                  <c:v>391.60000000000031</c:v>
                </c:pt>
                <c:pt idx="252">
                  <c:v>391.60000000000031</c:v>
                </c:pt>
                <c:pt idx="253">
                  <c:v>391.60000000000031</c:v>
                </c:pt>
                <c:pt idx="254">
                  <c:v>392.60000000000031</c:v>
                </c:pt>
                <c:pt idx="255">
                  <c:v>392.60000000000031</c:v>
                </c:pt>
                <c:pt idx="256">
                  <c:v>396.20000000000033</c:v>
                </c:pt>
                <c:pt idx="257">
                  <c:v>398.80000000000035</c:v>
                </c:pt>
                <c:pt idx="258">
                  <c:v>398.80000000000035</c:v>
                </c:pt>
                <c:pt idx="259">
                  <c:v>398.80000000000035</c:v>
                </c:pt>
                <c:pt idx="260">
                  <c:v>398.80000000000035</c:v>
                </c:pt>
                <c:pt idx="261">
                  <c:v>398.80000000000035</c:v>
                </c:pt>
                <c:pt idx="262">
                  <c:v>405.00000000000034</c:v>
                </c:pt>
                <c:pt idx="263">
                  <c:v>409.60000000000036</c:v>
                </c:pt>
                <c:pt idx="264">
                  <c:v>409.80000000000035</c:v>
                </c:pt>
                <c:pt idx="265">
                  <c:v>411.10000000000036</c:v>
                </c:pt>
                <c:pt idx="266">
                  <c:v>411.30000000000035</c:v>
                </c:pt>
                <c:pt idx="267">
                  <c:v>411.30000000000035</c:v>
                </c:pt>
                <c:pt idx="268">
                  <c:v>414.00000000000034</c:v>
                </c:pt>
                <c:pt idx="269">
                  <c:v>414.30000000000035</c:v>
                </c:pt>
                <c:pt idx="270">
                  <c:v>414.50000000000034</c:v>
                </c:pt>
                <c:pt idx="271">
                  <c:v>414.60000000000036</c:v>
                </c:pt>
                <c:pt idx="272">
                  <c:v>414.70000000000039</c:v>
                </c:pt>
                <c:pt idx="273">
                  <c:v>416.20000000000039</c:v>
                </c:pt>
                <c:pt idx="274">
                  <c:v>416.30000000000041</c:v>
                </c:pt>
                <c:pt idx="275">
                  <c:v>416.40000000000043</c:v>
                </c:pt>
                <c:pt idx="276">
                  <c:v>416.60000000000042</c:v>
                </c:pt>
                <c:pt idx="277">
                  <c:v>416.60000000000042</c:v>
                </c:pt>
                <c:pt idx="278">
                  <c:v>416.80000000000041</c:v>
                </c:pt>
                <c:pt idx="279">
                  <c:v>416.80000000000041</c:v>
                </c:pt>
                <c:pt idx="280">
                  <c:v>417.0000000000004</c:v>
                </c:pt>
                <c:pt idx="281">
                  <c:v>417.10000000000042</c:v>
                </c:pt>
                <c:pt idx="282">
                  <c:v>417.20000000000044</c:v>
                </c:pt>
                <c:pt idx="283">
                  <c:v>417.30000000000047</c:v>
                </c:pt>
                <c:pt idx="284">
                  <c:v>417.50000000000045</c:v>
                </c:pt>
                <c:pt idx="285">
                  <c:v>417.50000000000045</c:v>
                </c:pt>
                <c:pt idx="286">
                  <c:v>417.50000000000045</c:v>
                </c:pt>
                <c:pt idx="287">
                  <c:v>418.80000000000047</c:v>
                </c:pt>
                <c:pt idx="288">
                  <c:v>424.70000000000044</c:v>
                </c:pt>
                <c:pt idx="289">
                  <c:v>425.00000000000045</c:v>
                </c:pt>
                <c:pt idx="290">
                  <c:v>425.30000000000047</c:v>
                </c:pt>
                <c:pt idx="291">
                  <c:v>425.70000000000044</c:v>
                </c:pt>
                <c:pt idx="292">
                  <c:v>439.60000000000042</c:v>
                </c:pt>
                <c:pt idx="293">
                  <c:v>444.40000000000043</c:v>
                </c:pt>
                <c:pt idx="294">
                  <c:v>444.40000000000043</c:v>
                </c:pt>
                <c:pt idx="295">
                  <c:v>444.40000000000043</c:v>
                </c:pt>
                <c:pt idx="296">
                  <c:v>444.40000000000043</c:v>
                </c:pt>
                <c:pt idx="297">
                  <c:v>444.40000000000043</c:v>
                </c:pt>
                <c:pt idx="298">
                  <c:v>444.40000000000043</c:v>
                </c:pt>
                <c:pt idx="299">
                  <c:v>448.30000000000041</c:v>
                </c:pt>
                <c:pt idx="300">
                  <c:v>452.30000000000041</c:v>
                </c:pt>
                <c:pt idx="301">
                  <c:v>452.40000000000043</c:v>
                </c:pt>
                <c:pt idx="302">
                  <c:v>454.80000000000041</c:v>
                </c:pt>
                <c:pt idx="303">
                  <c:v>454.80000000000041</c:v>
                </c:pt>
                <c:pt idx="304">
                  <c:v>458.60000000000042</c:v>
                </c:pt>
                <c:pt idx="305">
                  <c:v>458.60000000000042</c:v>
                </c:pt>
                <c:pt idx="306">
                  <c:v>462.60000000000042</c:v>
                </c:pt>
                <c:pt idx="307">
                  <c:v>464.20000000000044</c:v>
                </c:pt>
                <c:pt idx="308">
                  <c:v>466.00000000000045</c:v>
                </c:pt>
                <c:pt idx="309">
                  <c:v>466.50000000000045</c:v>
                </c:pt>
                <c:pt idx="310">
                  <c:v>467.60000000000048</c:v>
                </c:pt>
                <c:pt idx="311">
                  <c:v>470.90000000000049</c:v>
                </c:pt>
                <c:pt idx="312">
                  <c:v>472.50000000000051</c:v>
                </c:pt>
                <c:pt idx="313">
                  <c:v>477.00000000000051</c:v>
                </c:pt>
                <c:pt idx="314">
                  <c:v>477.10000000000053</c:v>
                </c:pt>
                <c:pt idx="315">
                  <c:v>486.80000000000052</c:v>
                </c:pt>
                <c:pt idx="316">
                  <c:v>487.40000000000055</c:v>
                </c:pt>
                <c:pt idx="317">
                  <c:v>505.30000000000052</c:v>
                </c:pt>
                <c:pt idx="318">
                  <c:v>505.30000000000052</c:v>
                </c:pt>
                <c:pt idx="319">
                  <c:v>505.30000000000052</c:v>
                </c:pt>
                <c:pt idx="320">
                  <c:v>515.80000000000052</c:v>
                </c:pt>
                <c:pt idx="321">
                  <c:v>515.80000000000052</c:v>
                </c:pt>
                <c:pt idx="322">
                  <c:v>515.80000000000052</c:v>
                </c:pt>
                <c:pt idx="323">
                  <c:v>516.10000000000048</c:v>
                </c:pt>
                <c:pt idx="324">
                  <c:v>516.10000000000048</c:v>
                </c:pt>
                <c:pt idx="325">
                  <c:v>516.10000000000048</c:v>
                </c:pt>
                <c:pt idx="326">
                  <c:v>516.10000000000048</c:v>
                </c:pt>
                <c:pt idx="327">
                  <c:v>517.50000000000045</c:v>
                </c:pt>
                <c:pt idx="328">
                  <c:v>517.50000000000045</c:v>
                </c:pt>
                <c:pt idx="329">
                  <c:v>517.50000000000045</c:v>
                </c:pt>
                <c:pt idx="330">
                  <c:v>517.50000000000045</c:v>
                </c:pt>
                <c:pt idx="331">
                  <c:v>517.50000000000045</c:v>
                </c:pt>
                <c:pt idx="332">
                  <c:v>517.50000000000045</c:v>
                </c:pt>
                <c:pt idx="333">
                  <c:v>520.80000000000041</c:v>
                </c:pt>
                <c:pt idx="334">
                  <c:v>521.30000000000041</c:v>
                </c:pt>
                <c:pt idx="335">
                  <c:v>522.30000000000041</c:v>
                </c:pt>
                <c:pt idx="336">
                  <c:v>522.30000000000041</c:v>
                </c:pt>
                <c:pt idx="337">
                  <c:v>522.30000000000041</c:v>
                </c:pt>
                <c:pt idx="338">
                  <c:v>524.00000000000045</c:v>
                </c:pt>
                <c:pt idx="339">
                  <c:v>525.40000000000043</c:v>
                </c:pt>
                <c:pt idx="340">
                  <c:v>525.40000000000043</c:v>
                </c:pt>
                <c:pt idx="341">
                  <c:v>536.60000000000048</c:v>
                </c:pt>
                <c:pt idx="342">
                  <c:v>536.60000000000048</c:v>
                </c:pt>
                <c:pt idx="343">
                  <c:v>538.80000000000052</c:v>
                </c:pt>
                <c:pt idx="344">
                  <c:v>538.80000000000052</c:v>
                </c:pt>
                <c:pt idx="345">
                  <c:v>539.7000000000005</c:v>
                </c:pt>
                <c:pt idx="346">
                  <c:v>539.7000000000005</c:v>
                </c:pt>
                <c:pt idx="347">
                  <c:v>541.10000000000048</c:v>
                </c:pt>
                <c:pt idx="348">
                  <c:v>541.10000000000048</c:v>
                </c:pt>
                <c:pt idx="349">
                  <c:v>543.2000000000005</c:v>
                </c:pt>
                <c:pt idx="350">
                  <c:v>547.2000000000005</c:v>
                </c:pt>
                <c:pt idx="351">
                  <c:v>552.7000000000005</c:v>
                </c:pt>
                <c:pt idx="352">
                  <c:v>558.30000000000052</c:v>
                </c:pt>
                <c:pt idx="353">
                  <c:v>558.30000000000052</c:v>
                </c:pt>
                <c:pt idx="354">
                  <c:v>558.30000000000052</c:v>
                </c:pt>
                <c:pt idx="355">
                  <c:v>558.30000000000052</c:v>
                </c:pt>
                <c:pt idx="356">
                  <c:v>558.30000000000052</c:v>
                </c:pt>
                <c:pt idx="357">
                  <c:v>558.30000000000052</c:v>
                </c:pt>
                <c:pt idx="358">
                  <c:v>560.80000000000052</c:v>
                </c:pt>
                <c:pt idx="359">
                  <c:v>560.80000000000052</c:v>
                </c:pt>
                <c:pt idx="360">
                  <c:v>567.80000000000052</c:v>
                </c:pt>
                <c:pt idx="361">
                  <c:v>568.60000000000048</c:v>
                </c:pt>
                <c:pt idx="362">
                  <c:v>575.00000000000045</c:v>
                </c:pt>
                <c:pt idx="363">
                  <c:v>575.00000000000045</c:v>
                </c:pt>
                <c:pt idx="364">
                  <c:v>575.00000000000045</c:v>
                </c:pt>
                <c:pt idx="365">
                  <c:v>575.00000000000045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92192"/>
        <c:axId val="206793728"/>
      </c:lineChart>
      <c:catAx>
        <c:axId val="206792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793728"/>
        <c:crosses val="autoZero"/>
        <c:auto val="1"/>
        <c:lblAlgn val="ctr"/>
        <c:lblOffset val="100"/>
        <c:tickMarkSkip val="9"/>
        <c:noMultiLvlLbl val="0"/>
      </c:catAx>
      <c:valAx>
        <c:axId val="206793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792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</a:t>
            </a:r>
            <a:r>
              <a:rPr lang="en-US" baseline="0"/>
              <a:t> pressure and max vpd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vapres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Data!$AP$6:$AP$371</c:f>
              <c:numCache>
                <c:formatCode>General</c:formatCode>
                <c:ptCount val="366"/>
                <c:pt idx="0">
                  <c:v>0.56599999999999995</c:v>
                </c:pt>
                <c:pt idx="1">
                  <c:v>0.437</c:v>
                </c:pt>
                <c:pt idx="2">
                  <c:v>0.57499999999999996</c:v>
                </c:pt>
                <c:pt idx="3">
                  <c:v>0.55400000000000005</c:v>
                </c:pt>
                <c:pt idx="4">
                  <c:v>0.42799999999999999</c:v>
                </c:pt>
                <c:pt idx="5">
                  <c:v>0.42599999999999999</c:v>
                </c:pt>
                <c:pt idx="6">
                  <c:v>0.30599999999999999</c:v>
                </c:pt>
                <c:pt idx="7">
                  <c:v>0.29399999999999998</c:v>
                </c:pt>
                <c:pt idx="8">
                  <c:v>0.47799999999999998</c:v>
                </c:pt>
                <c:pt idx="9">
                  <c:v>0.25</c:v>
                </c:pt>
                <c:pt idx="10">
                  <c:v>0.13900000000000001</c:v>
                </c:pt>
                <c:pt idx="11">
                  <c:v>4.2000000000000003E-2</c:v>
                </c:pt>
                <c:pt idx="12">
                  <c:v>6.9000000000000006E-2</c:v>
                </c:pt>
                <c:pt idx="13">
                  <c:v>0.107</c:v>
                </c:pt>
                <c:pt idx="14">
                  <c:v>0.13200000000000001</c:v>
                </c:pt>
                <c:pt idx="15">
                  <c:v>0.17</c:v>
                </c:pt>
                <c:pt idx="16">
                  <c:v>0.184</c:v>
                </c:pt>
                <c:pt idx="17">
                  <c:v>0.20799999999999999</c:v>
                </c:pt>
                <c:pt idx="18">
                  <c:v>0.32700000000000001</c:v>
                </c:pt>
                <c:pt idx="19">
                  <c:v>0.56200000000000006</c:v>
                </c:pt>
                <c:pt idx="20">
                  <c:v>0.60499999999999998</c:v>
                </c:pt>
                <c:pt idx="21">
                  <c:v>0.58299999999999996</c:v>
                </c:pt>
                <c:pt idx="22">
                  <c:v>0.68100000000000005</c:v>
                </c:pt>
                <c:pt idx="23">
                  <c:v>0.49299999999999999</c:v>
                </c:pt>
                <c:pt idx="24">
                  <c:v>0.59799999999999998</c:v>
                </c:pt>
                <c:pt idx="25">
                  <c:v>0.57799999999999996</c:v>
                </c:pt>
                <c:pt idx="26">
                  <c:v>0.65900000000000003</c:v>
                </c:pt>
                <c:pt idx="27">
                  <c:v>0.81799999999999995</c:v>
                </c:pt>
                <c:pt idx="28">
                  <c:v>0.81299999999999994</c:v>
                </c:pt>
                <c:pt idx="29">
                  <c:v>0.70099999999999996</c:v>
                </c:pt>
                <c:pt idx="30">
                  <c:v>0.66</c:v>
                </c:pt>
                <c:pt idx="31">
                  <c:v>0.746</c:v>
                </c:pt>
                <c:pt idx="32">
                  <c:v>0.504</c:v>
                </c:pt>
                <c:pt idx="33">
                  <c:v>0.45700000000000002</c:v>
                </c:pt>
                <c:pt idx="34">
                  <c:v>0.36599999999999999</c:v>
                </c:pt>
                <c:pt idx="35">
                  <c:v>0.496</c:v>
                </c:pt>
                <c:pt idx="36">
                  <c:v>0.58599999999999997</c:v>
                </c:pt>
                <c:pt idx="37">
                  <c:v>0.48299999999999998</c:v>
                </c:pt>
                <c:pt idx="38">
                  <c:v>0.41899999999999998</c:v>
                </c:pt>
                <c:pt idx="39">
                  <c:v>0.32900000000000001</c:v>
                </c:pt>
                <c:pt idx="40">
                  <c:v>0.36899999999999999</c:v>
                </c:pt>
                <c:pt idx="41">
                  <c:v>0.48499999999999999</c:v>
                </c:pt>
                <c:pt idx="42">
                  <c:v>0.47</c:v>
                </c:pt>
                <c:pt idx="43">
                  <c:v>0.35499999999999998</c:v>
                </c:pt>
                <c:pt idx="44">
                  <c:v>0.22900000000000001</c:v>
                </c:pt>
                <c:pt idx="45">
                  <c:v>0.183</c:v>
                </c:pt>
                <c:pt idx="46">
                  <c:v>0.224</c:v>
                </c:pt>
                <c:pt idx="47">
                  <c:v>0.17199999999999999</c:v>
                </c:pt>
                <c:pt idx="48">
                  <c:v>0.316</c:v>
                </c:pt>
                <c:pt idx="49">
                  <c:v>0.42299999999999999</c:v>
                </c:pt>
                <c:pt idx="50">
                  <c:v>0.58099999999999996</c:v>
                </c:pt>
                <c:pt idx="51">
                  <c:v>0.67400000000000004</c:v>
                </c:pt>
                <c:pt idx="52">
                  <c:v>0.61599999999999999</c:v>
                </c:pt>
                <c:pt idx="53">
                  <c:v>0.46500000000000002</c:v>
                </c:pt>
                <c:pt idx="54">
                  <c:v>0.441</c:v>
                </c:pt>
                <c:pt idx="55">
                  <c:v>0.44</c:v>
                </c:pt>
                <c:pt idx="56">
                  <c:v>0.33800000000000002</c:v>
                </c:pt>
                <c:pt idx="57">
                  <c:v>0.17699999999999999</c:v>
                </c:pt>
                <c:pt idx="58">
                  <c:v>0.52700000000000002</c:v>
                </c:pt>
                <c:pt idx="59">
                  <c:v>0.3</c:v>
                </c:pt>
                <c:pt idx="60">
                  <c:v>0.29599999999999999</c:v>
                </c:pt>
                <c:pt idx="61">
                  <c:v>0.33400000000000002</c:v>
                </c:pt>
                <c:pt idx="62">
                  <c:v>0.40100000000000002</c:v>
                </c:pt>
                <c:pt idx="63">
                  <c:v>0.254</c:v>
                </c:pt>
                <c:pt idx="64">
                  <c:v>0.22500000000000001</c:v>
                </c:pt>
                <c:pt idx="65">
                  <c:v>0.29199999999999998</c:v>
                </c:pt>
                <c:pt idx="66">
                  <c:v>0.311</c:v>
                </c:pt>
                <c:pt idx="67">
                  <c:v>0.48699999999999999</c:v>
                </c:pt>
                <c:pt idx="68">
                  <c:v>0.378</c:v>
                </c:pt>
                <c:pt idx="69">
                  <c:v>0.48599999999999999</c:v>
                </c:pt>
                <c:pt idx="70">
                  <c:v>0.34499999999999997</c:v>
                </c:pt>
                <c:pt idx="71">
                  <c:v>0.49399999999999999</c:v>
                </c:pt>
                <c:pt idx="72">
                  <c:v>0.32600000000000001</c:v>
                </c:pt>
                <c:pt idx="73">
                  <c:v>0.38500000000000001</c:v>
                </c:pt>
                <c:pt idx="74">
                  <c:v>0.46200000000000002</c:v>
                </c:pt>
                <c:pt idx="75">
                  <c:v>0.498</c:v>
                </c:pt>
                <c:pt idx="76">
                  <c:v>0.48699999999999999</c:v>
                </c:pt>
                <c:pt idx="77">
                  <c:v>0.497</c:v>
                </c:pt>
                <c:pt idx="78">
                  <c:v>0.35899999999999999</c:v>
                </c:pt>
                <c:pt idx="79">
                  <c:v>0.47499999999999998</c:v>
                </c:pt>
                <c:pt idx="80">
                  <c:v>0.35799999999999998</c:v>
                </c:pt>
                <c:pt idx="81">
                  <c:v>0.28699999999999998</c:v>
                </c:pt>
                <c:pt idx="82">
                  <c:v>0.23400000000000001</c:v>
                </c:pt>
                <c:pt idx="83">
                  <c:v>0.13800000000000001</c:v>
                </c:pt>
                <c:pt idx="84">
                  <c:v>0.248</c:v>
                </c:pt>
                <c:pt idx="85">
                  <c:v>0.54</c:v>
                </c:pt>
                <c:pt idx="86">
                  <c:v>0.41699999999999998</c:v>
                </c:pt>
                <c:pt idx="87">
                  <c:v>0.64600000000000002</c:v>
                </c:pt>
                <c:pt idx="88">
                  <c:v>0.56100000000000005</c:v>
                </c:pt>
                <c:pt idx="89">
                  <c:v>0.27600000000000002</c:v>
                </c:pt>
                <c:pt idx="90">
                  <c:v>0.33900000000000002</c:v>
                </c:pt>
                <c:pt idx="91">
                  <c:v>0.26200000000000001</c:v>
                </c:pt>
                <c:pt idx="92">
                  <c:v>0.41799999999999998</c:v>
                </c:pt>
                <c:pt idx="93">
                  <c:v>0.28000000000000003</c:v>
                </c:pt>
                <c:pt idx="94">
                  <c:v>0.42699999999999999</c:v>
                </c:pt>
                <c:pt idx="95">
                  <c:v>0.65100000000000002</c:v>
                </c:pt>
                <c:pt idx="96">
                  <c:v>0.39800000000000002</c:v>
                </c:pt>
                <c:pt idx="97">
                  <c:v>0.35299999999999998</c:v>
                </c:pt>
                <c:pt idx="98">
                  <c:v>0.42899999999999999</c:v>
                </c:pt>
                <c:pt idx="99">
                  <c:v>0.47499999999999998</c:v>
                </c:pt>
                <c:pt idx="100">
                  <c:v>0.35099999999999998</c:v>
                </c:pt>
                <c:pt idx="101">
                  <c:v>0.39700000000000002</c:v>
                </c:pt>
                <c:pt idx="102">
                  <c:v>0.499</c:v>
                </c:pt>
                <c:pt idx="103">
                  <c:v>0.42399999999999999</c:v>
                </c:pt>
                <c:pt idx="104">
                  <c:v>0.39900000000000002</c:v>
                </c:pt>
                <c:pt idx="105">
                  <c:v>0.42</c:v>
                </c:pt>
                <c:pt idx="106">
                  <c:v>0.55200000000000005</c:v>
                </c:pt>
                <c:pt idx="107">
                  <c:v>0.33500000000000002</c:v>
                </c:pt>
                <c:pt idx="108">
                  <c:v>0.20799999999999999</c:v>
                </c:pt>
                <c:pt idx="109">
                  <c:v>0.22</c:v>
                </c:pt>
                <c:pt idx="110">
                  <c:v>0.24399999999999999</c:v>
                </c:pt>
                <c:pt idx="111">
                  <c:v>0.41</c:v>
                </c:pt>
                <c:pt idx="112">
                  <c:v>0.35099999999999998</c:v>
                </c:pt>
                <c:pt idx="113">
                  <c:v>0.28799999999999998</c:v>
                </c:pt>
                <c:pt idx="114">
                  <c:v>0.46300000000000002</c:v>
                </c:pt>
                <c:pt idx="115">
                  <c:v>0.52400000000000002</c:v>
                </c:pt>
                <c:pt idx="116">
                  <c:v>0.81599999999999995</c:v>
                </c:pt>
                <c:pt idx="117">
                  <c:v>0.70099999999999996</c:v>
                </c:pt>
                <c:pt idx="118">
                  <c:v>0.41499999999999998</c:v>
                </c:pt>
                <c:pt idx="119">
                  <c:v>0.47</c:v>
                </c:pt>
                <c:pt idx="120">
                  <c:v>0.32300000000000001</c:v>
                </c:pt>
                <c:pt idx="121">
                  <c:v>0.33</c:v>
                </c:pt>
                <c:pt idx="122">
                  <c:v>0.38100000000000001</c:v>
                </c:pt>
                <c:pt idx="123">
                  <c:v>0.42699999999999999</c:v>
                </c:pt>
                <c:pt idx="124">
                  <c:v>0.40200000000000002</c:v>
                </c:pt>
                <c:pt idx="125">
                  <c:v>0.56299999999999994</c:v>
                </c:pt>
                <c:pt idx="126">
                  <c:v>0.40500000000000003</c:v>
                </c:pt>
                <c:pt idx="127">
                  <c:v>0.34100000000000003</c:v>
                </c:pt>
                <c:pt idx="128">
                  <c:v>0.41299999999999998</c:v>
                </c:pt>
                <c:pt idx="129">
                  <c:v>0.42199999999999999</c:v>
                </c:pt>
                <c:pt idx="130">
                  <c:v>0.46100000000000002</c:v>
                </c:pt>
                <c:pt idx="131">
                  <c:v>0.496</c:v>
                </c:pt>
                <c:pt idx="132">
                  <c:v>0.58699999999999997</c:v>
                </c:pt>
                <c:pt idx="133">
                  <c:v>0.88500000000000001</c:v>
                </c:pt>
                <c:pt idx="134">
                  <c:v>0.65100000000000002</c:v>
                </c:pt>
                <c:pt idx="135">
                  <c:v>0.78700000000000003</c:v>
                </c:pt>
                <c:pt idx="136">
                  <c:v>0.754</c:v>
                </c:pt>
                <c:pt idx="137">
                  <c:v>0.67600000000000005</c:v>
                </c:pt>
                <c:pt idx="138">
                  <c:v>0.61399999999999999</c:v>
                </c:pt>
                <c:pt idx="139">
                  <c:v>0.57499999999999996</c:v>
                </c:pt>
                <c:pt idx="140">
                  <c:v>0.47199999999999998</c:v>
                </c:pt>
                <c:pt idx="141">
                  <c:v>0.75700000000000001</c:v>
                </c:pt>
                <c:pt idx="142">
                  <c:v>0.77900000000000003</c:v>
                </c:pt>
                <c:pt idx="143">
                  <c:v>0.64800000000000002</c:v>
                </c:pt>
                <c:pt idx="144">
                  <c:v>0.79</c:v>
                </c:pt>
                <c:pt idx="145">
                  <c:v>0.75600000000000001</c:v>
                </c:pt>
                <c:pt idx="146">
                  <c:v>0.66800000000000004</c:v>
                </c:pt>
                <c:pt idx="147">
                  <c:v>0.68799999999999994</c:v>
                </c:pt>
                <c:pt idx="148">
                  <c:v>0.81499999999999995</c:v>
                </c:pt>
                <c:pt idx="149">
                  <c:v>0.52100000000000002</c:v>
                </c:pt>
                <c:pt idx="150">
                  <c:v>0.53600000000000003</c:v>
                </c:pt>
                <c:pt idx="151">
                  <c:v>0.45800000000000002</c:v>
                </c:pt>
                <c:pt idx="152">
                  <c:v>0.79100000000000004</c:v>
                </c:pt>
                <c:pt idx="153">
                  <c:v>0.79100000000000004</c:v>
                </c:pt>
                <c:pt idx="154">
                  <c:v>0.69599999999999995</c:v>
                </c:pt>
                <c:pt idx="155">
                  <c:v>0.45800000000000002</c:v>
                </c:pt>
                <c:pt idx="156">
                  <c:v>0.50600000000000001</c:v>
                </c:pt>
                <c:pt idx="157">
                  <c:v>0.57199999999999995</c:v>
                </c:pt>
                <c:pt idx="158">
                  <c:v>0.39100000000000001</c:v>
                </c:pt>
                <c:pt idx="159">
                  <c:v>0.41599999999999998</c:v>
                </c:pt>
                <c:pt idx="160">
                  <c:v>0.65300000000000002</c:v>
                </c:pt>
                <c:pt idx="161">
                  <c:v>0.61</c:v>
                </c:pt>
                <c:pt idx="162">
                  <c:v>0.54800000000000004</c:v>
                </c:pt>
                <c:pt idx="163">
                  <c:v>0.56100000000000005</c:v>
                </c:pt>
                <c:pt idx="164">
                  <c:v>0.47</c:v>
                </c:pt>
                <c:pt idx="165">
                  <c:v>0.51700000000000002</c:v>
                </c:pt>
                <c:pt idx="166">
                  <c:v>0.69599999999999995</c:v>
                </c:pt>
                <c:pt idx="167">
                  <c:v>0.879</c:v>
                </c:pt>
                <c:pt idx="168">
                  <c:v>0.872</c:v>
                </c:pt>
                <c:pt idx="169">
                  <c:v>0.67100000000000004</c:v>
                </c:pt>
                <c:pt idx="170">
                  <c:v>0.61799999999999999</c:v>
                </c:pt>
                <c:pt idx="171">
                  <c:v>0.61299999999999999</c:v>
                </c:pt>
                <c:pt idx="172">
                  <c:v>0.52200000000000002</c:v>
                </c:pt>
                <c:pt idx="173">
                  <c:v>0.70799999999999996</c:v>
                </c:pt>
                <c:pt idx="174">
                  <c:v>0.65</c:v>
                </c:pt>
                <c:pt idx="175">
                  <c:v>0.748</c:v>
                </c:pt>
                <c:pt idx="176">
                  <c:v>0.69799999999999995</c:v>
                </c:pt>
                <c:pt idx="177">
                  <c:v>0.77800000000000002</c:v>
                </c:pt>
                <c:pt idx="178">
                  <c:v>0.91100000000000003</c:v>
                </c:pt>
                <c:pt idx="179">
                  <c:v>1.0269999999999999</c:v>
                </c:pt>
                <c:pt idx="180">
                  <c:v>0.90800000000000003</c:v>
                </c:pt>
                <c:pt idx="181">
                  <c:v>1.2190000000000001</c:v>
                </c:pt>
                <c:pt idx="182">
                  <c:v>1.0529999999999999</c:v>
                </c:pt>
                <c:pt idx="183">
                  <c:v>0.94399999999999995</c:v>
                </c:pt>
                <c:pt idx="184">
                  <c:v>0.73099999999999998</c:v>
                </c:pt>
                <c:pt idx="185">
                  <c:v>0.61399999999999999</c:v>
                </c:pt>
                <c:pt idx="186">
                  <c:v>0.71299999999999997</c:v>
                </c:pt>
                <c:pt idx="187">
                  <c:v>0.65400000000000003</c:v>
                </c:pt>
                <c:pt idx="188">
                  <c:v>0.79600000000000004</c:v>
                </c:pt>
                <c:pt idx="189">
                  <c:v>0.66400000000000003</c:v>
                </c:pt>
                <c:pt idx="190">
                  <c:v>0.82499999999999996</c:v>
                </c:pt>
                <c:pt idx="191">
                  <c:v>0.6</c:v>
                </c:pt>
                <c:pt idx="192">
                  <c:v>0.65500000000000003</c:v>
                </c:pt>
                <c:pt idx="193">
                  <c:v>0.77900000000000003</c:v>
                </c:pt>
                <c:pt idx="194">
                  <c:v>0.80200000000000005</c:v>
                </c:pt>
                <c:pt idx="195">
                  <c:v>0.80600000000000005</c:v>
                </c:pt>
                <c:pt idx="196">
                  <c:v>0.75900000000000001</c:v>
                </c:pt>
                <c:pt idx="197">
                  <c:v>1.0269999999999999</c:v>
                </c:pt>
                <c:pt idx="198">
                  <c:v>1.006</c:v>
                </c:pt>
                <c:pt idx="199">
                  <c:v>0.77300000000000002</c:v>
                </c:pt>
                <c:pt idx="200">
                  <c:v>0.76800000000000002</c:v>
                </c:pt>
                <c:pt idx="201">
                  <c:v>0.78700000000000003</c:v>
                </c:pt>
                <c:pt idx="202">
                  <c:v>0.9</c:v>
                </c:pt>
                <c:pt idx="203">
                  <c:v>1.155</c:v>
                </c:pt>
                <c:pt idx="204">
                  <c:v>0.63500000000000001</c:v>
                </c:pt>
                <c:pt idx="205">
                  <c:v>0.746</c:v>
                </c:pt>
                <c:pt idx="206">
                  <c:v>0.81399999999999995</c:v>
                </c:pt>
                <c:pt idx="207">
                  <c:v>0.80200000000000005</c:v>
                </c:pt>
                <c:pt idx="208">
                  <c:v>0.90400000000000003</c:v>
                </c:pt>
                <c:pt idx="209">
                  <c:v>0.85399999999999998</c:v>
                </c:pt>
                <c:pt idx="210">
                  <c:v>1.353</c:v>
                </c:pt>
                <c:pt idx="211">
                  <c:v>1.1879999999999999</c:v>
                </c:pt>
                <c:pt idx="212">
                  <c:v>1.071</c:v>
                </c:pt>
                <c:pt idx="213">
                  <c:v>0.621</c:v>
                </c:pt>
                <c:pt idx="214">
                  <c:v>0.79400000000000004</c:v>
                </c:pt>
                <c:pt idx="215">
                  <c:v>0.92300000000000004</c:v>
                </c:pt>
                <c:pt idx="216">
                  <c:v>0.78500000000000003</c:v>
                </c:pt>
                <c:pt idx="217">
                  <c:v>1.0049999999999999</c:v>
                </c:pt>
                <c:pt idx="218">
                  <c:v>0.77900000000000003</c:v>
                </c:pt>
                <c:pt idx="219">
                  <c:v>0.81200000000000006</c:v>
                </c:pt>
                <c:pt idx="220">
                  <c:v>0.81399999999999995</c:v>
                </c:pt>
                <c:pt idx="221">
                  <c:v>0.96499999999999997</c:v>
                </c:pt>
                <c:pt idx="222">
                  <c:v>0.83699999999999997</c:v>
                </c:pt>
                <c:pt idx="223">
                  <c:v>0.97799999999999998</c:v>
                </c:pt>
                <c:pt idx="224">
                  <c:v>1.1040000000000001</c:v>
                </c:pt>
                <c:pt idx="225">
                  <c:v>1.107</c:v>
                </c:pt>
                <c:pt idx="226">
                  <c:v>1.196</c:v>
                </c:pt>
                <c:pt idx="227">
                  <c:v>1.06</c:v>
                </c:pt>
                <c:pt idx="228">
                  <c:v>1.224</c:v>
                </c:pt>
                <c:pt idx="229">
                  <c:v>1.2050000000000001</c:v>
                </c:pt>
                <c:pt idx="230">
                  <c:v>0.97099999999999997</c:v>
                </c:pt>
                <c:pt idx="231">
                  <c:v>0.68300000000000005</c:v>
                </c:pt>
                <c:pt idx="232">
                  <c:v>0.86499999999999999</c:v>
                </c:pt>
                <c:pt idx="233">
                  <c:v>1.0549999999999999</c:v>
                </c:pt>
                <c:pt idx="234">
                  <c:v>0.88200000000000001</c:v>
                </c:pt>
                <c:pt idx="235">
                  <c:v>0.879</c:v>
                </c:pt>
                <c:pt idx="236">
                  <c:v>1.0269999999999999</c:v>
                </c:pt>
                <c:pt idx="237">
                  <c:v>1.131</c:v>
                </c:pt>
                <c:pt idx="238">
                  <c:v>0.93</c:v>
                </c:pt>
                <c:pt idx="239">
                  <c:v>0.78500000000000003</c:v>
                </c:pt>
                <c:pt idx="240">
                  <c:v>0.8</c:v>
                </c:pt>
                <c:pt idx="241">
                  <c:v>0.92700000000000005</c:v>
                </c:pt>
                <c:pt idx="242">
                  <c:v>0.88100000000000001</c:v>
                </c:pt>
                <c:pt idx="243">
                  <c:v>0.88600000000000001</c:v>
                </c:pt>
                <c:pt idx="244">
                  <c:v>0.872</c:v>
                </c:pt>
                <c:pt idx="245">
                  <c:v>0.79900000000000004</c:v>
                </c:pt>
                <c:pt idx="246">
                  <c:v>0.89700000000000002</c:v>
                </c:pt>
                <c:pt idx="247">
                  <c:v>0.80100000000000005</c:v>
                </c:pt>
                <c:pt idx="248">
                  <c:v>0.748</c:v>
                </c:pt>
                <c:pt idx="249">
                  <c:v>0.68200000000000005</c:v>
                </c:pt>
                <c:pt idx="250">
                  <c:v>0.59299999999999997</c:v>
                </c:pt>
                <c:pt idx="251">
                  <c:v>0.88200000000000001</c:v>
                </c:pt>
                <c:pt idx="252">
                  <c:v>0.64300000000000002</c:v>
                </c:pt>
                <c:pt idx="253">
                  <c:v>0.622</c:v>
                </c:pt>
                <c:pt idx="254">
                  <c:v>0.89800000000000002</c:v>
                </c:pt>
                <c:pt idx="255">
                  <c:v>0.88500000000000001</c:v>
                </c:pt>
                <c:pt idx="256">
                  <c:v>0.82599999999999996</c:v>
                </c:pt>
                <c:pt idx="257">
                  <c:v>0.85899999999999999</c:v>
                </c:pt>
                <c:pt idx="258">
                  <c:v>0.749</c:v>
                </c:pt>
                <c:pt idx="259">
                  <c:v>0.70199999999999996</c:v>
                </c:pt>
                <c:pt idx="260">
                  <c:v>0.92800000000000005</c:v>
                </c:pt>
                <c:pt idx="261">
                  <c:v>0.84299999999999997</c:v>
                </c:pt>
                <c:pt idx="262">
                  <c:v>0.875</c:v>
                </c:pt>
                <c:pt idx="263">
                  <c:v>0.56299999999999994</c:v>
                </c:pt>
                <c:pt idx="264">
                  <c:v>0.76300000000000001</c:v>
                </c:pt>
                <c:pt idx="265">
                  <c:v>1.02</c:v>
                </c:pt>
                <c:pt idx="266">
                  <c:v>1.19</c:v>
                </c:pt>
                <c:pt idx="267">
                  <c:v>1.173</c:v>
                </c:pt>
                <c:pt idx="268">
                  <c:v>1.089</c:v>
                </c:pt>
                <c:pt idx="269">
                  <c:v>0.61799999999999999</c:v>
                </c:pt>
                <c:pt idx="270">
                  <c:v>0.60899999999999999</c:v>
                </c:pt>
                <c:pt idx="271">
                  <c:v>0.78700000000000003</c:v>
                </c:pt>
                <c:pt idx="272">
                  <c:v>0.56000000000000005</c:v>
                </c:pt>
                <c:pt idx="273">
                  <c:v>0.51800000000000002</c:v>
                </c:pt>
                <c:pt idx="274">
                  <c:v>0.61599999999999999</c:v>
                </c:pt>
                <c:pt idx="275">
                  <c:v>0.47899999999999998</c:v>
                </c:pt>
                <c:pt idx="276">
                  <c:v>0.51300000000000001</c:v>
                </c:pt>
                <c:pt idx="277">
                  <c:v>0.46</c:v>
                </c:pt>
                <c:pt idx="278">
                  <c:v>0.55100000000000005</c:v>
                </c:pt>
                <c:pt idx="279">
                  <c:v>0.71299999999999997</c:v>
                </c:pt>
                <c:pt idx="280">
                  <c:v>0.70199999999999996</c:v>
                </c:pt>
                <c:pt idx="281">
                  <c:v>0.82599999999999996</c:v>
                </c:pt>
                <c:pt idx="282">
                  <c:v>0.36399999999999999</c:v>
                </c:pt>
                <c:pt idx="283">
                  <c:v>0.505</c:v>
                </c:pt>
                <c:pt idx="284">
                  <c:v>0.57299999999999995</c:v>
                </c:pt>
                <c:pt idx="285">
                  <c:v>0.66300000000000003</c:v>
                </c:pt>
                <c:pt idx="286">
                  <c:v>0.60299999999999998</c:v>
                </c:pt>
                <c:pt idx="287">
                  <c:v>0.73899999999999999</c:v>
                </c:pt>
                <c:pt idx="288">
                  <c:v>0.95499999999999996</c:v>
                </c:pt>
                <c:pt idx="289">
                  <c:v>0.44700000000000001</c:v>
                </c:pt>
                <c:pt idx="290">
                  <c:v>0.434</c:v>
                </c:pt>
                <c:pt idx="291">
                  <c:v>0.45900000000000002</c:v>
                </c:pt>
                <c:pt idx="292">
                  <c:v>0.77100000000000002</c:v>
                </c:pt>
                <c:pt idx="293">
                  <c:v>0.89800000000000002</c:v>
                </c:pt>
                <c:pt idx="294">
                  <c:v>0.65</c:v>
                </c:pt>
                <c:pt idx="295">
                  <c:v>0.441</c:v>
                </c:pt>
                <c:pt idx="296">
                  <c:v>0.502</c:v>
                </c:pt>
                <c:pt idx="297">
                  <c:v>0.41499999999999998</c:v>
                </c:pt>
                <c:pt idx="298">
                  <c:v>0.33100000000000002</c:v>
                </c:pt>
                <c:pt idx="299">
                  <c:v>0.46200000000000002</c:v>
                </c:pt>
                <c:pt idx="300">
                  <c:v>0.63600000000000001</c:v>
                </c:pt>
                <c:pt idx="301">
                  <c:v>0.56399999999999995</c:v>
                </c:pt>
                <c:pt idx="302">
                  <c:v>0.46500000000000002</c:v>
                </c:pt>
                <c:pt idx="303">
                  <c:v>0.46300000000000002</c:v>
                </c:pt>
                <c:pt idx="304">
                  <c:v>0.629</c:v>
                </c:pt>
                <c:pt idx="305">
                  <c:v>0.502</c:v>
                </c:pt>
                <c:pt idx="306">
                  <c:v>0.6</c:v>
                </c:pt>
                <c:pt idx="307">
                  <c:v>0.59799999999999998</c:v>
                </c:pt>
                <c:pt idx="308">
                  <c:v>0.58599999999999997</c:v>
                </c:pt>
                <c:pt idx="309">
                  <c:v>0.39800000000000002</c:v>
                </c:pt>
                <c:pt idx="310">
                  <c:v>0.438</c:v>
                </c:pt>
                <c:pt idx="311">
                  <c:v>0.57499999999999996</c:v>
                </c:pt>
                <c:pt idx="312">
                  <c:v>0.54700000000000004</c:v>
                </c:pt>
                <c:pt idx="313">
                  <c:v>0.69</c:v>
                </c:pt>
                <c:pt idx="314">
                  <c:v>0.68100000000000005</c:v>
                </c:pt>
                <c:pt idx="315">
                  <c:v>0.64300000000000002</c:v>
                </c:pt>
                <c:pt idx="316">
                  <c:v>0.51</c:v>
                </c:pt>
                <c:pt idx="317">
                  <c:v>0.60299999999999998</c:v>
                </c:pt>
                <c:pt idx="318">
                  <c:v>0.63</c:v>
                </c:pt>
                <c:pt idx="319">
                  <c:v>0.51100000000000001</c:v>
                </c:pt>
                <c:pt idx="320">
                  <c:v>0.39700000000000002</c:v>
                </c:pt>
                <c:pt idx="321">
                  <c:v>0.49299999999999999</c:v>
                </c:pt>
                <c:pt idx="322">
                  <c:v>0.41599999999999998</c:v>
                </c:pt>
                <c:pt idx="323">
                  <c:v>0.373</c:v>
                </c:pt>
                <c:pt idx="324">
                  <c:v>0.38600000000000001</c:v>
                </c:pt>
                <c:pt idx="325">
                  <c:v>0.49299999999999999</c:v>
                </c:pt>
                <c:pt idx="326">
                  <c:v>0.45600000000000002</c:v>
                </c:pt>
                <c:pt idx="327">
                  <c:v>0.46200000000000002</c:v>
                </c:pt>
                <c:pt idx="328">
                  <c:v>0.51200000000000001</c:v>
                </c:pt>
                <c:pt idx="329">
                  <c:v>0.374</c:v>
                </c:pt>
                <c:pt idx="330">
                  <c:v>0.38100000000000001</c:v>
                </c:pt>
                <c:pt idx="331">
                  <c:v>0.39700000000000002</c:v>
                </c:pt>
                <c:pt idx="332">
                  <c:v>0.40100000000000002</c:v>
                </c:pt>
                <c:pt idx="333">
                  <c:v>0.40699999999999997</c:v>
                </c:pt>
                <c:pt idx="334">
                  <c:v>0.48899999999999999</c:v>
                </c:pt>
                <c:pt idx="335">
                  <c:v>0.51600000000000001</c:v>
                </c:pt>
                <c:pt idx="336">
                  <c:v>0.442</c:v>
                </c:pt>
                <c:pt idx="337">
                  <c:v>0.45600000000000002</c:v>
                </c:pt>
                <c:pt idx="338">
                  <c:v>0.46800000000000003</c:v>
                </c:pt>
                <c:pt idx="339">
                  <c:v>0.46300000000000002</c:v>
                </c:pt>
                <c:pt idx="340">
                  <c:v>0.53200000000000003</c:v>
                </c:pt>
                <c:pt idx="341">
                  <c:v>0.57899999999999996</c:v>
                </c:pt>
                <c:pt idx="342">
                  <c:v>0.56299999999999994</c:v>
                </c:pt>
                <c:pt idx="343">
                  <c:v>0.498</c:v>
                </c:pt>
                <c:pt idx="344">
                  <c:v>0.40699999999999997</c:v>
                </c:pt>
                <c:pt idx="345">
                  <c:v>0.46700000000000003</c:v>
                </c:pt>
                <c:pt idx="346">
                  <c:v>0.47599999999999998</c:v>
                </c:pt>
                <c:pt idx="347">
                  <c:v>0.503</c:v>
                </c:pt>
                <c:pt idx="348">
                  <c:v>0.52100000000000002</c:v>
                </c:pt>
                <c:pt idx="349">
                  <c:v>0.42799999999999999</c:v>
                </c:pt>
                <c:pt idx="350">
                  <c:v>0.38</c:v>
                </c:pt>
                <c:pt idx="351">
                  <c:v>0.438</c:v>
                </c:pt>
                <c:pt idx="352">
                  <c:v>0.59399999999999997</c:v>
                </c:pt>
                <c:pt idx="353">
                  <c:v>0.45700000000000002</c:v>
                </c:pt>
                <c:pt idx="354">
                  <c:v>0.58499999999999996</c:v>
                </c:pt>
                <c:pt idx="355">
                  <c:v>0.57999999999999996</c:v>
                </c:pt>
                <c:pt idx="356">
                  <c:v>0.49299999999999999</c:v>
                </c:pt>
                <c:pt idx="357">
                  <c:v>0.505</c:v>
                </c:pt>
                <c:pt idx="358">
                  <c:v>0.47799999999999998</c:v>
                </c:pt>
                <c:pt idx="359">
                  <c:v>0.35499999999999998</c:v>
                </c:pt>
                <c:pt idx="360">
                  <c:v>0.52300000000000002</c:v>
                </c:pt>
                <c:pt idx="361">
                  <c:v>0.47499999999999998</c:v>
                </c:pt>
                <c:pt idx="362">
                  <c:v>0.55900000000000005</c:v>
                </c:pt>
                <c:pt idx="363">
                  <c:v>0.55900000000000005</c:v>
                </c:pt>
                <c:pt idx="364">
                  <c:v>0.47699999999999998</c:v>
                </c:pt>
                <c:pt idx="365">
                  <c:v>0.36399999999999999</c:v>
                </c:pt>
              </c:numCache>
            </c:numRef>
          </c:val>
          <c:smooth val="0"/>
        </c:ser>
        <c:ser>
          <c:idx val="1"/>
          <c:order val="1"/>
          <c:tx>
            <c:v>vpdMax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Data!$AQ$6:$AQ$371</c:f>
              <c:numCache>
                <c:formatCode>General</c:formatCode>
                <c:ptCount val="366"/>
                <c:pt idx="0">
                  <c:v>0.23100000000000001</c:v>
                </c:pt>
                <c:pt idx="1">
                  <c:v>0.14299999999999999</c:v>
                </c:pt>
                <c:pt idx="2">
                  <c:v>0.14199999999999999</c:v>
                </c:pt>
                <c:pt idx="3">
                  <c:v>0.17399999999999999</c:v>
                </c:pt>
                <c:pt idx="4">
                  <c:v>0.13800000000000001</c:v>
                </c:pt>
                <c:pt idx="5">
                  <c:v>0.105</c:v>
                </c:pt>
                <c:pt idx="6">
                  <c:v>8.4000000000000005E-2</c:v>
                </c:pt>
                <c:pt idx="7">
                  <c:v>0.107</c:v>
                </c:pt>
                <c:pt idx="8">
                  <c:v>6.8000000000000005E-2</c:v>
                </c:pt>
                <c:pt idx="9">
                  <c:v>0.122</c:v>
                </c:pt>
                <c:pt idx="10">
                  <c:v>8.6999999999999994E-2</c:v>
                </c:pt>
                <c:pt idx="11">
                  <c:v>3.7999999999999999E-2</c:v>
                </c:pt>
                <c:pt idx="12">
                  <c:v>6.9000000000000006E-2</c:v>
                </c:pt>
                <c:pt idx="13">
                  <c:v>8.5999999999999993E-2</c:v>
                </c:pt>
                <c:pt idx="14">
                  <c:v>7.2999999999999995E-2</c:v>
                </c:pt>
                <c:pt idx="15">
                  <c:v>9.0999999999999998E-2</c:v>
                </c:pt>
                <c:pt idx="16">
                  <c:v>6.2E-2</c:v>
                </c:pt>
                <c:pt idx="17">
                  <c:v>0.123</c:v>
                </c:pt>
                <c:pt idx="18">
                  <c:v>0.152</c:v>
                </c:pt>
                <c:pt idx="19">
                  <c:v>0.23200000000000001</c:v>
                </c:pt>
                <c:pt idx="20">
                  <c:v>0.19600000000000001</c:v>
                </c:pt>
                <c:pt idx="21">
                  <c:v>0.128</c:v>
                </c:pt>
                <c:pt idx="22">
                  <c:v>0.17899999999999999</c:v>
                </c:pt>
                <c:pt idx="23">
                  <c:v>0.26300000000000001</c:v>
                </c:pt>
                <c:pt idx="24">
                  <c:v>0.19500000000000001</c:v>
                </c:pt>
                <c:pt idx="25">
                  <c:v>0.27400000000000002</c:v>
                </c:pt>
                <c:pt idx="26">
                  <c:v>0.158</c:v>
                </c:pt>
                <c:pt idx="27">
                  <c:v>0.221</c:v>
                </c:pt>
                <c:pt idx="28">
                  <c:v>0.34699999999999998</c:v>
                </c:pt>
                <c:pt idx="29">
                  <c:v>0.52900000000000003</c:v>
                </c:pt>
                <c:pt idx="30">
                  <c:v>0.39300000000000002</c:v>
                </c:pt>
                <c:pt idx="31">
                  <c:v>0.155</c:v>
                </c:pt>
                <c:pt idx="32">
                  <c:v>0.61799999999999999</c:v>
                </c:pt>
                <c:pt idx="33">
                  <c:v>0.35899999999999999</c:v>
                </c:pt>
                <c:pt idx="34">
                  <c:v>0.10100000000000001</c:v>
                </c:pt>
                <c:pt idx="35">
                  <c:v>0.27800000000000002</c:v>
                </c:pt>
                <c:pt idx="36">
                  <c:v>0.25</c:v>
                </c:pt>
                <c:pt idx="37">
                  <c:v>0.105</c:v>
                </c:pt>
                <c:pt idx="38">
                  <c:v>0.28499999999999998</c:v>
                </c:pt>
                <c:pt idx="39">
                  <c:v>0.33800000000000002</c:v>
                </c:pt>
                <c:pt idx="40">
                  <c:v>0.23599999999999999</c:v>
                </c:pt>
                <c:pt idx="41">
                  <c:v>0.109</c:v>
                </c:pt>
                <c:pt idx="42">
                  <c:v>0.33400000000000002</c:v>
                </c:pt>
                <c:pt idx="43">
                  <c:v>0.315</c:v>
                </c:pt>
                <c:pt idx="44">
                  <c:v>0.371</c:v>
                </c:pt>
                <c:pt idx="45">
                  <c:v>0.438</c:v>
                </c:pt>
                <c:pt idx="46">
                  <c:v>0.45700000000000002</c:v>
                </c:pt>
                <c:pt idx="47">
                  <c:v>0.78200000000000003</c:v>
                </c:pt>
                <c:pt idx="48">
                  <c:v>0.54400000000000004</c:v>
                </c:pt>
                <c:pt idx="49">
                  <c:v>0.64400000000000002</c:v>
                </c:pt>
                <c:pt idx="50">
                  <c:v>0.34899999999999998</c:v>
                </c:pt>
                <c:pt idx="51">
                  <c:v>0.21099999999999999</c:v>
                </c:pt>
                <c:pt idx="52">
                  <c:v>0.33600000000000002</c:v>
                </c:pt>
                <c:pt idx="53">
                  <c:v>0.52300000000000002</c:v>
                </c:pt>
                <c:pt idx="54">
                  <c:v>0.438</c:v>
                </c:pt>
                <c:pt idx="55">
                  <c:v>0.61399999999999999</c:v>
                </c:pt>
                <c:pt idx="56">
                  <c:v>0.25600000000000001</c:v>
                </c:pt>
                <c:pt idx="57">
                  <c:v>0.17899999999999999</c:v>
                </c:pt>
                <c:pt idx="58">
                  <c:v>0.19700000000000001</c:v>
                </c:pt>
                <c:pt idx="59">
                  <c:v>0.45600000000000002</c:v>
                </c:pt>
                <c:pt idx="60">
                  <c:v>0.55200000000000005</c:v>
                </c:pt>
                <c:pt idx="61">
                  <c:v>0.36299999999999999</c:v>
                </c:pt>
                <c:pt idx="62">
                  <c:v>0.316</c:v>
                </c:pt>
                <c:pt idx="63">
                  <c:v>0.16900000000000001</c:v>
                </c:pt>
                <c:pt idx="64">
                  <c:v>0.223</c:v>
                </c:pt>
                <c:pt idx="65">
                  <c:v>0.34699999999999998</c:v>
                </c:pt>
                <c:pt idx="66">
                  <c:v>0.47099999999999997</c:v>
                </c:pt>
                <c:pt idx="67">
                  <c:v>0.38500000000000001</c:v>
                </c:pt>
                <c:pt idx="68">
                  <c:v>0.58399999999999996</c:v>
                </c:pt>
                <c:pt idx="69">
                  <c:v>0.35799999999999998</c:v>
                </c:pt>
                <c:pt idx="70">
                  <c:v>0.6</c:v>
                </c:pt>
                <c:pt idx="71">
                  <c:v>0.60399999999999998</c:v>
                </c:pt>
                <c:pt idx="72">
                  <c:v>0.76600000000000001</c:v>
                </c:pt>
                <c:pt idx="73">
                  <c:v>0.94699999999999995</c:v>
                </c:pt>
                <c:pt idx="74">
                  <c:v>1.2190000000000001</c:v>
                </c:pt>
                <c:pt idx="75">
                  <c:v>1.681</c:v>
                </c:pt>
                <c:pt idx="76">
                  <c:v>1.859</c:v>
                </c:pt>
                <c:pt idx="77">
                  <c:v>1.6459999999999999</c:v>
                </c:pt>
                <c:pt idx="78">
                  <c:v>1.62</c:v>
                </c:pt>
                <c:pt idx="79">
                  <c:v>0.81599999999999995</c:v>
                </c:pt>
                <c:pt idx="80">
                  <c:v>0.84899999999999998</c:v>
                </c:pt>
                <c:pt idx="81">
                  <c:v>0.94699999999999995</c:v>
                </c:pt>
                <c:pt idx="82">
                  <c:v>0.98299999999999998</c:v>
                </c:pt>
                <c:pt idx="83">
                  <c:v>1.1950000000000001</c:v>
                </c:pt>
                <c:pt idx="84">
                  <c:v>1.093</c:v>
                </c:pt>
                <c:pt idx="85">
                  <c:v>0.505</c:v>
                </c:pt>
                <c:pt idx="86">
                  <c:v>0.34300000000000003</c:v>
                </c:pt>
                <c:pt idx="87">
                  <c:v>0.56299999999999994</c:v>
                </c:pt>
                <c:pt idx="88">
                  <c:v>0.55700000000000005</c:v>
                </c:pt>
                <c:pt idx="89">
                  <c:v>0.745</c:v>
                </c:pt>
                <c:pt idx="90">
                  <c:v>0.85799999999999998</c:v>
                </c:pt>
                <c:pt idx="91">
                  <c:v>1.56</c:v>
                </c:pt>
                <c:pt idx="92">
                  <c:v>1.1279999999999999</c:v>
                </c:pt>
                <c:pt idx="93">
                  <c:v>0.81599999999999995</c:v>
                </c:pt>
                <c:pt idx="94">
                  <c:v>0.50800000000000001</c:v>
                </c:pt>
                <c:pt idx="95">
                  <c:v>0.36899999999999999</c:v>
                </c:pt>
                <c:pt idx="96">
                  <c:v>0.8</c:v>
                </c:pt>
                <c:pt idx="97">
                  <c:v>0.86499999999999999</c:v>
                </c:pt>
                <c:pt idx="98">
                  <c:v>0.32</c:v>
                </c:pt>
                <c:pt idx="99">
                  <c:v>0.55300000000000005</c:v>
                </c:pt>
                <c:pt idx="100">
                  <c:v>1.1890000000000001</c:v>
                </c:pt>
                <c:pt idx="101">
                  <c:v>0.73599999999999999</c:v>
                </c:pt>
                <c:pt idx="102">
                  <c:v>0.84499999999999997</c:v>
                </c:pt>
                <c:pt idx="103">
                  <c:v>1.2629999999999999</c:v>
                </c:pt>
                <c:pt idx="104">
                  <c:v>1.587</c:v>
                </c:pt>
                <c:pt idx="105">
                  <c:v>0.85499999999999998</c:v>
                </c:pt>
                <c:pt idx="106">
                  <c:v>0.44600000000000001</c:v>
                </c:pt>
                <c:pt idx="107">
                  <c:v>0.78700000000000003</c:v>
                </c:pt>
                <c:pt idx="108">
                  <c:v>0.92600000000000005</c:v>
                </c:pt>
                <c:pt idx="109">
                  <c:v>1.0640000000000001</c:v>
                </c:pt>
                <c:pt idx="110">
                  <c:v>1.51</c:v>
                </c:pt>
                <c:pt idx="111">
                  <c:v>0.754</c:v>
                </c:pt>
                <c:pt idx="112">
                  <c:v>1.1040000000000001</c:v>
                </c:pt>
                <c:pt idx="113">
                  <c:v>1.5509999999999999</c:v>
                </c:pt>
                <c:pt idx="114">
                  <c:v>0.93400000000000005</c:v>
                </c:pt>
                <c:pt idx="115">
                  <c:v>0.71099999999999997</c:v>
                </c:pt>
                <c:pt idx="116">
                  <c:v>0.25800000000000001</c:v>
                </c:pt>
                <c:pt idx="117">
                  <c:v>0.46899999999999997</c:v>
                </c:pt>
                <c:pt idx="118">
                  <c:v>0.68100000000000005</c:v>
                </c:pt>
                <c:pt idx="119">
                  <c:v>0.47399999999999998</c:v>
                </c:pt>
                <c:pt idx="120">
                  <c:v>0.83699999999999997</c:v>
                </c:pt>
                <c:pt idx="121">
                  <c:v>0.99</c:v>
                </c:pt>
                <c:pt idx="122">
                  <c:v>1.331</c:v>
                </c:pt>
                <c:pt idx="123">
                  <c:v>1.498</c:v>
                </c:pt>
                <c:pt idx="124">
                  <c:v>1.534</c:v>
                </c:pt>
                <c:pt idx="125">
                  <c:v>1.3240000000000001</c:v>
                </c:pt>
                <c:pt idx="126">
                  <c:v>1.0820000000000001</c:v>
                </c:pt>
                <c:pt idx="127">
                  <c:v>1.0720000000000001</c:v>
                </c:pt>
                <c:pt idx="128">
                  <c:v>1.6919999999999999</c:v>
                </c:pt>
                <c:pt idx="129">
                  <c:v>2.4329999999999998</c:v>
                </c:pt>
                <c:pt idx="130">
                  <c:v>3.2690000000000001</c:v>
                </c:pt>
                <c:pt idx="131">
                  <c:v>3.1589999999999998</c:v>
                </c:pt>
                <c:pt idx="132">
                  <c:v>2.306</c:v>
                </c:pt>
                <c:pt idx="133">
                  <c:v>0.76700000000000002</c:v>
                </c:pt>
                <c:pt idx="134">
                  <c:v>1.492</c:v>
                </c:pt>
                <c:pt idx="135">
                  <c:v>1.4690000000000001</c:v>
                </c:pt>
                <c:pt idx="136">
                  <c:v>0.85499999999999998</c:v>
                </c:pt>
                <c:pt idx="137">
                  <c:v>0.377</c:v>
                </c:pt>
                <c:pt idx="138">
                  <c:v>0.79800000000000004</c:v>
                </c:pt>
                <c:pt idx="139">
                  <c:v>0.97199999999999998</c:v>
                </c:pt>
                <c:pt idx="140">
                  <c:v>1.506</c:v>
                </c:pt>
                <c:pt idx="141">
                  <c:v>0.55700000000000005</c:v>
                </c:pt>
                <c:pt idx="142">
                  <c:v>1.0940000000000001</c:v>
                </c:pt>
                <c:pt idx="143">
                  <c:v>1.589</c:v>
                </c:pt>
                <c:pt idx="144">
                  <c:v>1.1000000000000001</c:v>
                </c:pt>
                <c:pt idx="145">
                  <c:v>0.60099999999999998</c:v>
                </c:pt>
                <c:pt idx="146">
                  <c:v>0.99099999999999999</c:v>
                </c:pt>
                <c:pt idx="147">
                  <c:v>0.84699999999999998</c:v>
                </c:pt>
                <c:pt idx="148">
                  <c:v>0.64</c:v>
                </c:pt>
                <c:pt idx="149">
                  <c:v>0.74299999999999999</c:v>
                </c:pt>
                <c:pt idx="150">
                  <c:v>0.92400000000000004</c:v>
                </c:pt>
                <c:pt idx="151">
                  <c:v>1.456</c:v>
                </c:pt>
                <c:pt idx="152">
                  <c:v>0.88200000000000001</c:v>
                </c:pt>
                <c:pt idx="153">
                  <c:v>0.63900000000000001</c:v>
                </c:pt>
                <c:pt idx="154">
                  <c:v>0.56200000000000006</c:v>
                </c:pt>
                <c:pt idx="155">
                  <c:v>1.196</c:v>
                </c:pt>
                <c:pt idx="156">
                  <c:v>1.4910000000000001</c:v>
                </c:pt>
                <c:pt idx="157">
                  <c:v>1.748</c:v>
                </c:pt>
                <c:pt idx="158">
                  <c:v>2.117</c:v>
                </c:pt>
                <c:pt idx="159">
                  <c:v>2.5470000000000002</c:v>
                </c:pt>
                <c:pt idx="160">
                  <c:v>2.3839999999999999</c:v>
                </c:pt>
                <c:pt idx="161">
                  <c:v>2.2360000000000002</c:v>
                </c:pt>
                <c:pt idx="162">
                  <c:v>1.8089999999999999</c:v>
                </c:pt>
                <c:pt idx="163">
                  <c:v>1.319</c:v>
                </c:pt>
                <c:pt idx="164">
                  <c:v>2.6120000000000001</c:v>
                </c:pt>
                <c:pt idx="165">
                  <c:v>1.7070000000000001</c:v>
                </c:pt>
                <c:pt idx="166">
                  <c:v>0.69199999999999995</c:v>
                </c:pt>
                <c:pt idx="167">
                  <c:v>0.29599999999999999</c:v>
                </c:pt>
                <c:pt idx="168">
                  <c:v>0.61599999999999999</c:v>
                </c:pt>
                <c:pt idx="169">
                  <c:v>0.96</c:v>
                </c:pt>
                <c:pt idx="170">
                  <c:v>1.571</c:v>
                </c:pt>
                <c:pt idx="171">
                  <c:v>2.2120000000000002</c:v>
                </c:pt>
                <c:pt idx="172">
                  <c:v>2.9169999999999998</c:v>
                </c:pt>
                <c:pt idx="173">
                  <c:v>2.39</c:v>
                </c:pt>
                <c:pt idx="174">
                  <c:v>1.5780000000000001</c:v>
                </c:pt>
                <c:pt idx="175">
                  <c:v>1.3959999999999999</c:v>
                </c:pt>
                <c:pt idx="176">
                  <c:v>2.3039999999999998</c:v>
                </c:pt>
                <c:pt idx="177">
                  <c:v>2.3090000000000002</c:v>
                </c:pt>
                <c:pt idx="178">
                  <c:v>1.1339999999999999</c:v>
                </c:pt>
                <c:pt idx="179">
                  <c:v>1.762</c:v>
                </c:pt>
                <c:pt idx="180">
                  <c:v>1.8720000000000001</c:v>
                </c:pt>
                <c:pt idx="181">
                  <c:v>0.752</c:v>
                </c:pt>
                <c:pt idx="182">
                  <c:v>1.3140000000000001</c:v>
                </c:pt>
                <c:pt idx="183">
                  <c:v>1.3859999999999999</c:v>
                </c:pt>
                <c:pt idx="184">
                  <c:v>2.0030000000000001</c:v>
                </c:pt>
                <c:pt idx="185">
                  <c:v>2.7709999999999999</c:v>
                </c:pt>
                <c:pt idx="186">
                  <c:v>2.96</c:v>
                </c:pt>
                <c:pt idx="187">
                  <c:v>3.02</c:v>
                </c:pt>
                <c:pt idx="188">
                  <c:v>3.9060000000000001</c:v>
                </c:pt>
                <c:pt idx="189">
                  <c:v>4.3550000000000004</c:v>
                </c:pt>
                <c:pt idx="190">
                  <c:v>5.0810000000000004</c:v>
                </c:pt>
                <c:pt idx="191">
                  <c:v>4.5640000000000001</c:v>
                </c:pt>
                <c:pt idx="192">
                  <c:v>3.052</c:v>
                </c:pt>
                <c:pt idx="193">
                  <c:v>3.1789999999999998</c:v>
                </c:pt>
                <c:pt idx="194">
                  <c:v>3.524</c:v>
                </c:pt>
                <c:pt idx="195">
                  <c:v>3.6539999999999999</c:v>
                </c:pt>
                <c:pt idx="196">
                  <c:v>4.1310000000000002</c:v>
                </c:pt>
                <c:pt idx="197">
                  <c:v>3.605</c:v>
                </c:pt>
                <c:pt idx="198">
                  <c:v>4.2670000000000003</c:v>
                </c:pt>
                <c:pt idx="199">
                  <c:v>4.319</c:v>
                </c:pt>
                <c:pt idx="200">
                  <c:v>4.077</c:v>
                </c:pt>
                <c:pt idx="201">
                  <c:v>4.8470000000000004</c:v>
                </c:pt>
                <c:pt idx="202">
                  <c:v>5.2729999999999997</c:v>
                </c:pt>
                <c:pt idx="203">
                  <c:v>3.5150000000000001</c:v>
                </c:pt>
                <c:pt idx="204">
                  <c:v>2.7770000000000001</c:v>
                </c:pt>
                <c:pt idx="205">
                  <c:v>2.355</c:v>
                </c:pt>
                <c:pt idx="206">
                  <c:v>1.329</c:v>
                </c:pt>
                <c:pt idx="207">
                  <c:v>1.9550000000000001</c:v>
                </c:pt>
                <c:pt idx="208">
                  <c:v>2.2469999999999999</c:v>
                </c:pt>
                <c:pt idx="209">
                  <c:v>2.883</c:v>
                </c:pt>
                <c:pt idx="210">
                  <c:v>0.97899999999999998</c:v>
                </c:pt>
                <c:pt idx="211">
                  <c:v>1.506</c:v>
                </c:pt>
                <c:pt idx="212">
                  <c:v>2.984</c:v>
                </c:pt>
                <c:pt idx="213">
                  <c:v>4.375</c:v>
                </c:pt>
                <c:pt idx="214">
                  <c:v>4.4130000000000003</c:v>
                </c:pt>
                <c:pt idx="215">
                  <c:v>4.1289999999999996</c:v>
                </c:pt>
                <c:pt idx="216">
                  <c:v>4.0250000000000004</c:v>
                </c:pt>
                <c:pt idx="217">
                  <c:v>3.0489999999999999</c:v>
                </c:pt>
                <c:pt idx="218">
                  <c:v>2.3969999999999998</c:v>
                </c:pt>
                <c:pt idx="219">
                  <c:v>2.7109999999999999</c:v>
                </c:pt>
                <c:pt idx="220">
                  <c:v>3.1589999999999998</c:v>
                </c:pt>
                <c:pt idx="221">
                  <c:v>2.7549999999999999</c:v>
                </c:pt>
                <c:pt idx="222">
                  <c:v>2.9849999999999999</c:v>
                </c:pt>
                <c:pt idx="223">
                  <c:v>3.1230000000000002</c:v>
                </c:pt>
                <c:pt idx="224">
                  <c:v>2.4300000000000002</c:v>
                </c:pt>
                <c:pt idx="225">
                  <c:v>2.5539999999999998</c:v>
                </c:pt>
                <c:pt idx="226">
                  <c:v>2.496</c:v>
                </c:pt>
                <c:pt idx="227">
                  <c:v>2.8260000000000001</c:v>
                </c:pt>
                <c:pt idx="228">
                  <c:v>0.502</c:v>
                </c:pt>
                <c:pt idx="229">
                  <c:v>1.8089999999999999</c:v>
                </c:pt>
                <c:pt idx="230">
                  <c:v>2.7930000000000001</c:v>
                </c:pt>
                <c:pt idx="231">
                  <c:v>2.6070000000000002</c:v>
                </c:pt>
                <c:pt idx="232">
                  <c:v>1.927</c:v>
                </c:pt>
                <c:pt idx="233">
                  <c:v>1.0629999999999999</c:v>
                </c:pt>
                <c:pt idx="234">
                  <c:v>2.048</c:v>
                </c:pt>
                <c:pt idx="235">
                  <c:v>2.9460000000000002</c:v>
                </c:pt>
                <c:pt idx="236">
                  <c:v>0.21299999999999999</c:v>
                </c:pt>
                <c:pt idx="237">
                  <c:v>0.78100000000000003</c:v>
                </c:pt>
                <c:pt idx="238">
                  <c:v>1.27</c:v>
                </c:pt>
                <c:pt idx="239">
                  <c:v>0.59699999999999998</c:v>
                </c:pt>
                <c:pt idx="240">
                  <c:v>1.2549999999999999</c:v>
                </c:pt>
                <c:pt idx="241">
                  <c:v>2.0979999999999999</c:v>
                </c:pt>
                <c:pt idx="242">
                  <c:v>2.6539999999999999</c:v>
                </c:pt>
                <c:pt idx="243">
                  <c:v>3.4529999999999998</c:v>
                </c:pt>
                <c:pt idx="244">
                  <c:v>4.16</c:v>
                </c:pt>
                <c:pt idx="245">
                  <c:v>3.024</c:v>
                </c:pt>
                <c:pt idx="246">
                  <c:v>2.383</c:v>
                </c:pt>
                <c:pt idx="247">
                  <c:v>2.778</c:v>
                </c:pt>
                <c:pt idx="248">
                  <c:v>3.8159999999999998</c:v>
                </c:pt>
                <c:pt idx="249">
                  <c:v>4.1310000000000002</c:v>
                </c:pt>
                <c:pt idx="250">
                  <c:v>3.8660000000000001</c:v>
                </c:pt>
                <c:pt idx="251">
                  <c:v>3.1560000000000001</c:v>
                </c:pt>
                <c:pt idx="252">
                  <c:v>1.603</c:v>
                </c:pt>
                <c:pt idx="253">
                  <c:v>1.9930000000000001</c:v>
                </c:pt>
                <c:pt idx="254">
                  <c:v>0.79900000000000004</c:v>
                </c:pt>
                <c:pt idx="255">
                  <c:v>1.2490000000000001</c:v>
                </c:pt>
                <c:pt idx="256">
                  <c:v>1.714</c:v>
                </c:pt>
                <c:pt idx="257">
                  <c:v>1.196</c:v>
                </c:pt>
                <c:pt idx="258">
                  <c:v>1.2989999999999999</c:v>
                </c:pt>
                <c:pt idx="259">
                  <c:v>1.502</c:v>
                </c:pt>
                <c:pt idx="260">
                  <c:v>1.6879999999999999</c:v>
                </c:pt>
                <c:pt idx="261">
                  <c:v>1.6160000000000001</c:v>
                </c:pt>
                <c:pt idx="262">
                  <c:v>1.369</c:v>
                </c:pt>
                <c:pt idx="263">
                  <c:v>0.86599999999999999</c:v>
                </c:pt>
                <c:pt idx="264">
                  <c:v>1.2150000000000001</c:v>
                </c:pt>
                <c:pt idx="265">
                  <c:v>0.65500000000000003</c:v>
                </c:pt>
                <c:pt idx="266">
                  <c:v>1.4770000000000001</c:v>
                </c:pt>
                <c:pt idx="267">
                  <c:v>1.927</c:v>
                </c:pt>
                <c:pt idx="268">
                  <c:v>1.0920000000000001</c:v>
                </c:pt>
                <c:pt idx="269">
                  <c:v>0.92900000000000005</c:v>
                </c:pt>
                <c:pt idx="270">
                  <c:v>1.2789999999999999</c:v>
                </c:pt>
                <c:pt idx="271">
                  <c:v>0.98399999999999999</c:v>
                </c:pt>
                <c:pt idx="272">
                  <c:v>0.56999999999999995</c:v>
                </c:pt>
                <c:pt idx="273">
                  <c:v>0.873</c:v>
                </c:pt>
                <c:pt idx="274">
                  <c:v>0.46800000000000003</c:v>
                </c:pt>
                <c:pt idx="275">
                  <c:v>1.0029999999999999</c:v>
                </c:pt>
                <c:pt idx="276">
                  <c:v>1.0609999999999999</c:v>
                </c:pt>
                <c:pt idx="277">
                  <c:v>0.64300000000000002</c:v>
                </c:pt>
                <c:pt idx="278">
                  <c:v>1.0309999999999999</c:v>
                </c:pt>
                <c:pt idx="279">
                  <c:v>0.89100000000000001</c:v>
                </c:pt>
                <c:pt idx="280">
                  <c:v>1.5489999999999999</c:v>
                </c:pt>
                <c:pt idx="281">
                  <c:v>1.143</c:v>
                </c:pt>
                <c:pt idx="282">
                  <c:v>1.0649999999999999</c:v>
                </c:pt>
                <c:pt idx="283">
                  <c:v>0.71</c:v>
                </c:pt>
                <c:pt idx="284">
                  <c:v>0.97399999999999998</c:v>
                </c:pt>
                <c:pt idx="285">
                  <c:v>1.472</c:v>
                </c:pt>
                <c:pt idx="286">
                  <c:v>1.7969999999999999</c:v>
                </c:pt>
                <c:pt idx="287">
                  <c:v>1.351</c:v>
                </c:pt>
                <c:pt idx="288">
                  <c:v>0.19800000000000001</c:v>
                </c:pt>
                <c:pt idx="289">
                  <c:v>0.71699999999999997</c:v>
                </c:pt>
                <c:pt idx="290">
                  <c:v>0.55400000000000005</c:v>
                </c:pt>
                <c:pt idx="291">
                  <c:v>0.23899999999999999</c:v>
                </c:pt>
                <c:pt idx="292">
                  <c:v>0.33200000000000002</c:v>
                </c:pt>
                <c:pt idx="293">
                  <c:v>0.36</c:v>
                </c:pt>
                <c:pt idx="294">
                  <c:v>0.27200000000000002</c:v>
                </c:pt>
                <c:pt idx="295">
                  <c:v>0.60899999999999999</c:v>
                </c:pt>
                <c:pt idx="296">
                  <c:v>0.42099999999999999</c:v>
                </c:pt>
                <c:pt idx="297">
                  <c:v>0.56799999999999995</c:v>
                </c:pt>
                <c:pt idx="298">
                  <c:v>0.53200000000000003</c:v>
                </c:pt>
                <c:pt idx="299">
                  <c:v>0.67100000000000004</c:v>
                </c:pt>
                <c:pt idx="300">
                  <c:v>0.46899999999999997</c:v>
                </c:pt>
                <c:pt idx="301">
                  <c:v>0.48</c:v>
                </c:pt>
                <c:pt idx="302">
                  <c:v>0.35099999999999998</c:v>
                </c:pt>
                <c:pt idx="303">
                  <c:v>0.29799999999999999</c:v>
                </c:pt>
                <c:pt idx="304">
                  <c:v>0.127</c:v>
                </c:pt>
                <c:pt idx="305">
                  <c:v>0.13700000000000001</c:v>
                </c:pt>
                <c:pt idx="306">
                  <c:v>0.16700000000000001</c:v>
                </c:pt>
                <c:pt idx="307">
                  <c:v>0.158</c:v>
                </c:pt>
                <c:pt idx="308">
                  <c:v>0.185</c:v>
                </c:pt>
                <c:pt idx="309">
                  <c:v>0.33800000000000002</c:v>
                </c:pt>
                <c:pt idx="310">
                  <c:v>0.35199999999999998</c:v>
                </c:pt>
                <c:pt idx="311">
                  <c:v>0.36399999999999999</c:v>
                </c:pt>
                <c:pt idx="312">
                  <c:v>0.40100000000000002</c:v>
                </c:pt>
                <c:pt idx="313">
                  <c:v>7.3999999999999996E-2</c:v>
                </c:pt>
                <c:pt idx="314">
                  <c:v>0.23300000000000001</c:v>
                </c:pt>
                <c:pt idx="315">
                  <c:v>0.217</c:v>
                </c:pt>
                <c:pt idx="316">
                  <c:v>0.41199999999999998</c:v>
                </c:pt>
                <c:pt idx="317">
                  <c:v>0.10100000000000001</c:v>
                </c:pt>
                <c:pt idx="318">
                  <c:v>0.126</c:v>
                </c:pt>
                <c:pt idx="319">
                  <c:v>0.13700000000000001</c:v>
                </c:pt>
                <c:pt idx="320">
                  <c:v>0.129</c:v>
                </c:pt>
                <c:pt idx="321">
                  <c:v>0.22800000000000001</c:v>
                </c:pt>
                <c:pt idx="322">
                  <c:v>0.24</c:v>
                </c:pt>
                <c:pt idx="323">
                  <c:v>0.15</c:v>
                </c:pt>
                <c:pt idx="324">
                  <c:v>0.17399999999999999</c:v>
                </c:pt>
                <c:pt idx="325">
                  <c:v>0.30099999999999999</c:v>
                </c:pt>
                <c:pt idx="326">
                  <c:v>0.215</c:v>
                </c:pt>
                <c:pt idx="327">
                  <c:v>0.309</c:v>
                </c:pt>
                <c:pt idx="328">
                  <c:v>0.13400000000000001</c:v>
                </c:pt>
                <c:pt idx="329">
                  <c:v>0.08</c:v>
                </c:pt>
                <c:pt idx="330">
                  <c:v>9.9000000000000005E-2</c:v>
                </c:pt>
                <c:pt idx="331">
                  <c:v>8.4000000000000005E-2</c:v>
                </c:pt>
                <c:pt idx="332">
                  <c:v>0.121</c:v>
                </c:pt>
                <c:pt idx="333">
                  <c:v>0.19900000000000001</c:v>
                </c:pt>
                <c:pt idx="334">
                  <c:v>0.156</c:v>
                </c:pt>
                <c:pt idx="335">
                  <c:v>0.25800000000000001</c:v>
                </c:pt>
                <c:pt idx="336">
                  <c:v>0.28899999999999998</c:v>
                </c:pt>
                <c:pt idx="337">
                  <c:v>0.11899999999999999</c:v>
                </c:pt>
                <c:pt idx="338">
                  <c:v>8.6999999999999994E-2</c:v>
                </c:pt>
                <c:pt idx="339">
                  <c:v>0.106</c:v>
                </c:pt>
                <c:pt idx="340">
                  <c:v>0.16900000000000001</c:v>
                </c:pt>
                <c:pt idx="341">
                  <c:v>9.1999999999999998E-2</c:v>
                </c:pt>
                <c:pt idx="342">
                  <c:v>0.121</c:v>
                </c:pt>
                <c:pt idx="343">
                  <c:v>0.126</c:v>
                </c:pt>
                <c:pt idx="344">
                  <c:v>8.7999999999999995E-2</c:v>
                </c:pt>
                <c:pt idx="345">
                  <c:v>0.107</c:v>
                </c:pt>
                <c:pt idx="346">
                  <c:v>0.24199999999999999</c:v>
                </c:pt>
                <c:pt idx="347">
                  <c:v>0.127</c:v>
                </c:pt>
                <c:pt idx="348">
                  <c:v>0.19700000000000001</c:v>
                </c:pt>
                <c:pt idx="349">
                  <c:v>0.157</c:v>
                </c:pt>
                <c:pt idx="350">
                  <c:v>0.10199999999999999</c:v>
                </c:pt>
                <c:pt idx="351">
                  <c:v>0.10299999999999999</c:v>
                </c:pt>
                <c:pt idx="352">
                  <c:v>0.14399999999999999</c:v>
                </c:pt>
                <c:pt idx="353">
                  <c:v>0.23799999999999999</c:v>
                </c:pt>
                <c:pt idx="354">
                  <c:v>0.186</c:v>
                </c:pt>
                <c:pt idx="355">
                  <c:v>0.17599999999999999</c:v>
                </c:pt>
                <c:pt idx="356">
                  <c:v>0.152</c:v>
                </c:pt>
                <c:pt idx="357">
                  <c:v>0.379</c:v>
                </c:pt>
                <c:pt idx="358">
                  <c:v>0.29299999999999998</c:v>
                </c:pt>
                <c:pt idx="359">
                  <c:v>0.24299999999999999</c:v>
                </c:pt>
                <c:pt idx="360">
                  <c:v>0.13200000000000001</c:v>
                </c:pt>
                <c:pt idx="361">
                  <c:v>0.18</c:v>
                </c:pt>
                <c:pt idx="362">
                  <c:v>9.2999999999999999E-2</c:v>
                </c:pt>
                <c:pt idx="363">
                  <c:v>0.223</c:v>
                </c:pt>
                <c:pt idx="364">
                  <c:v>0.10299999999999999</c:v>
                </c:pt>
                <c:pt idx="365">
                  <c:v>0.22700000000000001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53568"/>
        <c:axId val="207055104"/>
      </c:lineChart>
      <c:catAx>
        <c:axId val="2070535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055104"/>
        <c:crosses val="autoZero"/>
        <c:auto val="1"/>
        <c:lblAlgn val="ctr"/>
        <c:lblOffset val="100"/>
        <c:tickMarkSkip val="20"/>
        <c:noMultiLvlLbl val="0"/>
      </c:catAx>
      <c:valAx>
        <c:axId val="20705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053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Battery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BatV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12.97</c:v>
                </c:pt>
                <c:pt idx="1">
                  <c:v>12.77</c:v>
                </c:pt>
                <c:pt idx="2">
                  <c:v>12.69</c:v>
                </c:pt>
                <c:pt idx="3">
                  <c:v>12.71</c:v>
                </c:pt>
                <c:pt idx="4">
                  <c:v>12.68</c:v>
                </c:pt>
                <c:pt idx="5">
                  <c:v>12.67</c:v>
                </c:pt>
                <c:pt idx="6">
                  <c:v>12.67</c:v>
                </c:pt>
                <c:pt idx="7">
                  <c:v>12.67</c:v>
                </c:pt>
                <c:pt idx="8">
                  <c:v>12.69</c:v>
                </c:pt>
                <c:pt idx="9">
                  <c:v>12.87</c:v>
                </c:pt>
                <c:pt idx="10">
                  <c:v>12.99</c:v>
                </c:pt>
                <c:pt idx="11">
                  <c:v>12.99</c:v>
                </c:pt>
                <c:pt idx="12">
                  <c:v>13.02</c:v>
                </c:pt>
                <c:pt idx="13">
                  <c:v>13.03</c:v>
                </c:pt>
                <c:pt idx="14">
                  <c:v>13.02</c:v>
                </c:pt>
                <c:pt idx="15">
                  <c:v>12.92</c:v>
                </c:pt>
                <c:pt idx="16">
                  <c:v>12.85</c:v>
                </c:pt>
                <c:pt idx="17">
                  <c:v>13.02</c:v>
                </c:pt>
                <c:pt idx="18">
                  <c:v>12.84</c:v>
                </c:pt>
                <c:pt idx="19">
                  <c:v>12.97</c:v>
                </c:pt>
                <c:pt idx="20">
                  <c:v>12.83</c:v>
                </c:pt>
                <c:pt idx="21">
                  <c:v>12.79</c:v>
                </c:pt>
                <c:pt idx="22">
                  <c:v>12.8</c:v>
                </c:pt>
                <c:pt idx="23">
                  <c:v>12.75</c:v>
                </c:pt>
                <c:pt idx="24">
                  <c:v>12.77</c:v>
                </c:pt>
                <c:pt idx="25">
                  <c:v>12.82</c:v>
                </c:pt>
                <c:pt idx="26">
                  <c:v>12.73</c:v>
                </c:pt>
                <c:pt idx="27">
                  <c:v>12.77</c:v>
                </c:pt>
                <c:pt idx="28">
                  <c:v>12.71</c:v>
                </c:pt>
                <c:pt idx="29">
                  <c:v>12.77</c:v>
                </c:pt>
                <c:pt idx="30">
                  <c:v>12.65</c:v>
                </c:pt>
                <c:pt idx="31">
                  <c:v>12.63</c:v>
                </c:pt>
                <c:pt idx="32">
                  <c:v>12.96</c:v>
                </c:pt>
                <c:pt idx="33">
                  <c:v>12.86</c:v>
                </c:pt>
                <c:pt idx="34">
                  <c:v>12.74</c:v>
                </c:pt>
                <c:pt idx="35">
                  <c:v>12.77</c:v>
                </c:pt>
                <c:pt idx="36">
                  <c:v>12.81</c:v>
                </c:pt>
                <c:pt idx="37">
                  <c:v>12.69</c:v>
                </c:pt>
                <c:pt idx="38">
                  <c:v>12.84</c:v>
                </c:pt>
                <c:pt idx="39">
                  <c:v>12.99</c:v>
                </c:pt>
                <c:pt idx="40">
                  <c:v>12.92</c:v>
                </c:pt>
                <c:pt idx="41">
                  <c:v>12.78</c:v>
                </c:pt>
                <c:pt idx="42">
                  <c:v>12.96</c:v>
                </c:pt>
                <c:pt idx="43">
                  <c:v>13.01</c:v>
                </c:pt>
                <c:pt idx="44">
                  <c:v>13.02</c:v>
                </c:pt>
                <c:pt idx="45">
                  <c:v>13.03</c:v>
                </c:pt>
                <c:pt idx="46">
                  <c:v>13.01</c:v>
                </c:pt>
                <c:pt idx="47">
                  <c:v>13.05</c:v>
                </c:pt>
                <c:pt idx="48">
                  <c:v>12.98</c:v>
                </c:pt>
                <c:pt idx="49">
                  <c:v>13.04</c:v>
                </c:pt>
                <c:pt idx="50">
                  <c:v>12.99</c:v>
                </c:pt>
                <c:pt idx="51">
                  <c:v>12.97</c:v>
                </c:pt>
                <c:pt idx="52">
                  <c:v>12.92</c:v>
                </c:pt>
                <c:pt idx="53">
                  <c:v>12.99</c:v>
                </c:pt>
                <c:pt idx="54">
                  <c:v>12.95</c:v>
                </c:pt>
                <c:pt idx="55">
                  <c:v>12.98</c:v>
                </c:pt>
                <c:pt idx="56">
                  <c:v>12.97</c:v>
                </c:pt>
                <c:pt idx="57">
                  <c:v>13</c:v>
                </c:pt>
                <c:pt idx="58">
                  <c:v>12.93</c:v>
                </c:pt>
                <c:pt idx="59">
                  <c:v>13</c:v>
                </c:pt>
                <c:pt idx="60">
                  <c:v>12.99</c:v>
                </c:pt>
                <c:pt idx="61">
                  <c:v>12.92</c:v>
                </c:pt>
                <c:pt idx="62">
                  <c:v>13.02</c:v>
                </c:pt>
                <c:pt idx="63">
                  <c:v>13.03</c:v>
                </c:pt>
                <c:pt idx="64">
                  <c:v>13.02</c:v>
                </c:pt>
                <c:pt idx="65">
                  <c:v>13.01</c:v>
                </c:pt>
                <c:pt idx="66">
                  <c:v>13.04</c:v>
                </c:pt>
                <c:pt idx="67">
                  <c:v>13.04</c:v>
                </c:pt>
                <c:pt idx="68">
                  <c:v>13.02</c:v>
                </c:pt>
                <c:pt idx="69">
                  <c:v>12.99</c:v>
                </c:pt>
                <c:pt idx="70">
                  <c:v>12.97</c:v>
                </c:pt>
                <c:pt idx="71">
                  <c:v>13.01</c:v>
                </c:pt>
                <c:pt idx="72">
                  <c:v>13.04</c:v>
                </c:pt>
                <c:pt idx="73">
                  <c:v>13.07</c:v>
                </c:pt>
                <c:pt idx="74">
                  <c:v>13.09</c:v>
                </c:pt>
                <c:pt idx="75">
                  <c:v>13.08</c:v>
                </c:pt>
                <c:pt idx="76">
                  <c:v>13.06</c:v>
                </c:pt>
                <c:pt idx="77">
                  <c:v>13.07</c:v>
                </c:pt>
                <c:pt idx="78">
                  <c:v>13.08</c:v>
                </c:pt>
                <c:pt idx="79">
                  <c:v>13.03</c:v>
                </c:pt>
                <c:pt idx="80">
                  <c:v>13.08</c:v>
                </c:pt>
                <c:pt idx="81">
                  <c:v>13.05</c:v>
                </c:pt>
                <c:pt idx="82">
                  <c:v>13.12</c:v>
                </c:pt>
                <c:pt idx="83">
                  <c:v>13.12</c:v>
                </c:pt>
                <c:pt idx="84">
                  <c:v>13.06</c:v>
                </c:pt>
                <c:pt idx="85">
                  <c:v>13.12</c:v>
                </c:pt>
                <c:pt idx="86">
                  <c:v>12.92</c:v>
                </c:pt>
                <c:pt idx="87">
                  <c:v>13.08</c:v>
                </c:pt>
                <c:pt idx="88">
                  <c:v>13.12</c:v>
                </c:pt>
                <c:pt idx="89">
                  <c:v>13.12</c:v>
                </c:pt>
                <c:pt idx="90">
                  <c:v>13.07</c:v>
                </c:pt>
                <c:pt idx="91">
                  <c:v>13.08</c:v>
                </c:pt>
                <c:pt idx="92">
                  <c:v>12.92</c:v>
                </c:pt>
                <c:pt idx="93">
                  <c:v>13.05</c:v>
                </c:pt>
                <c:pt idx="94">
                  <c:v>13.01</c:v>
                </c:pt>
                <c:pt idx="95">
                  <c:v>13.06</c:v>
                </c:pt>
                <c:pt idx="96">
                  <c:v>13.09</c:v>
                </c:pt>
                <c:pt idx="97">
                  <c:v>13.1</c:v>
                </c:pt>
                <c:pt idx="98">
                  <c:v>12.82</c:v>
                </c:pt>
                <c:pt idx="99">
                  <c:v>13.11</c:v>
                </c:pt>
                <c:pt idx="100">
                  <c:v>13.09</c:v>
                </c:pt>
                <c:pt idx="101">
                  <c:v>12.99</c:v>
                </c:pt>
                <c:pt idx="102">
                  <c:v>13.05</c:v>
                </c:pt>
                <c:pt idx="103">
                  <c:v>13.05</c:v>
                </c:pt>
                <c:pt idx="104">
                  <c:v>13.02</c:v>
                </c:pt>
                <c:pt idx="105">
                  <c:v>13</c:v>
                </c:pt>
                <c:pt idx="106">
                  <c:v>13.05</c:v>
                </c:pt>
                <c:pt idx="107">
                  <c:v>13.09</c:v>
                </c:pt>
                <c:pt idx="108">
                  <c:v>13.08</c:v>
                </c:pt>
                <c:pt idx="109">
                  <c:v>13.08</c:v>
                </c:pt>
                <c:pt idx="110">
                  <c:v>12.99</c:v>
                </c:pt>
                <c:pt idx="111">
                  <c:v>12.98</c:v>
                </c:pt>
                <c:pt idx="112">
                  <c:v>12.99</c:v>
                </c:pt>
                <c:pt idx="113">
                  <c:v>12.96</c:v>
                </c:pt>
                <c:pt idx="114">
                  <c:v>12.86</c:v>
                </c:pt>
                <c:pt idx="115">
                  <c:v>12.81</c:v>
                </c:pt>
                <c:pt idx="116">
                  <c:v>12.78</c:v>
                </c:pt>
                <c:pt idx="117">
                  <c:v>12.77</c:v>
                </c:pt>
                <c:pt idx="118">
                  <c:v>12.82</c:v>
                </c:pt>
                <c:pt idx="119">
                  <c:v>12.93</c:v>
                </c:pt>
                <c:pt idx="120">
                  <c:v>12.92</c:v>
                </c:pt>
                <c:pt idx="121">
                  <c:v>12.98</c:v>
                </c:pt>
                <c:pt idx="122">
                  <c:v>12.99</c:v>
                </c:pt>
                <c:pt idx="123">
                  <c:v>12.93</c:v>
                </c:pt>
                <c:pt idx="124">
                  <c:v>12.9</c:v>
                </c:pt>
                <c:pt idx="125">
                  <c:v>12.84</c:v>
                </c:pt>
                <c:pt idx="126">
                  <c:v>12.86</c:v>
                </c:pt>
                <c:pt idx="127">
                  <c:v>12.94</c:v>
                </c:pt>
                <c:pt idx="128">
                  <c:v>12.92</c:v>
                </c:pt>
                <c:pt idx="129">
                  <c:v>12.94</c:v>
                </c:pt>
                <c:pt idx="130">
                  <c:v>12.92</c:v>
                </c:pt>
                <c:pt idx="131">
                  <c:v>12.92</c:v>
                </c:pt>
                <c:pt idx="132">
                  <c:v>12.9</c:v>
                </c:pt>
                <c:pt idx="133">
                  <c:v>12.79</c:v>
                </c:pt>
                <c:pt idx="134">
                  <c:v>12.92</c:v>
                </c:pt>
                <c:pt idx="135">
                  <c:v>12.9</c:v>
                </c:pt>
                <c:pt idx="136">
                  <c:v>12.77</c:v>
                </c:pt>
                <c:pt idx="137">
                  <c:v>12.92</c:v>
                </c:pt>
                <c:pt idx="138">
                  <c:v>12.93</c:v>
                </c:pt>
                <c:pt idx="139">
                  <c:v>12.93</c:v>
                </c:pt>
                <c:pt idx="140">
                  <c:v>12.94</c:v>
                </c:pt>
                <c:pt idx="141">
                  <c:v>12.94</c:v>
                </c:pt>
                <c:pt idx="142">
                  <c:v>12.92</c:v>
                </c:pt>
                <c:pt idx="143">
                  <c:v>12.92</c:v>
                </c:pt>
                <c:pt idx="144">
                  <c:v>12.88</c:v>
                </c:pt>
                <c:pt idx="145">
                  <c:v>12.9</c:v>
                </c:pt>
                <c:pt idx="146">
                  <c:v>12.94</c:v>
                </c:pt>
                <c:pt idx="147">
                  <c:v>12.79</c:v>
                </c:pt>
                <c:pt idx="148">
                  <c:v>12.73</c:v>
                </c:pt>
                <c:pt idx="149">
                  <c:v>12.9</c:v>
                </c:pt>
                <c:pt idx="150">
                  <c:v>12.92</c:v>
                </c:pt>
                <c:pt idx="151">
                  <c:v>12.93</c:v>
                </c:pt>
                <c:pt idx="152">
                  <c:v>12.82</c:v>
                </c:pt>
                <c:pt idx="153">
                  <c:v>12.68</c:v>
                </c:pt>
                <c:pt idx="154">
                  <c:v>12.72</c:v>
                </c:pt>
                <c:pt idx="155">
                  <c:v>12.97</c:v>
                </c:pt>
                <c:pt idx="156">
                  <c:v>12.92</c:v>
                </c:pt>
                <c:pt idx="157">
                  <c:v>12.9</c:v>
                </c:pt>
                <c:pt idx="158">
                  <c:v>12.91</c:v>
                </c:pt>
                <c:pt idx="159">
                  <c:v>12.92</c:v>
                </c:pt>
                <c:pt idx="160">
                  <c:v>12.88</c:v>
                </c:pt>
                <c:pt idx="161">
                  <c:v>12.93</c:v>
                </c:pt>
                <c:pt idx="162">
                  <c:v>12.89</c:v>
                </c:pt>
                <c:pt idx="163">
                  <c:v>12.89</c:v>
                </c:pt>
                <c:pt idx="164">
                  <c:v>12.94</c:v>
                </c:pt>
                <c:pt idx="165">
                  <c:v>12.87</c:v>
                </c:pt>
                <c:pt idx="166">
                  <c:v>12.87</c:v>
                </c:pt>
                <c:pt idx="167">
                  <c:v>12.8</c:v>
                </c:pt>
                <c:pt idx="168">
                  <c:v>12.93</c:v>
                </c:pt>
                <c:pt idx="169">
                  <c:v>12.91</c:v>
                </c:pt>
                <c:pt idx="170">
                  <c:v>12.94</c:v>
                </c:pt>
                <c:pt idx="171">
                  <c:v>12.94</c:v>
                </c:pt>
                <c:pt idx="172">
                  <c:v>12.95</c:v>
                </c:pt>
                <c:pt idx="173">
                  <c:v>12.89</c:v>
                </c:pt>
                <c:pt idx="174">
                  <c:v>12.93</c:v>
                </c:pt>
                <c:pt idx="175">
                  <c:v>12.9</c:v>
                </c:pt>
                <c:pt idx="176">
                  <c:v>12.97</c:v>
                </c:pt>
                <c:pt idx="177">
                  <c:v>12.8</c:v>
                </c:pt>
                <c:pt idx="178">
                  <c:v>12.93</c:v>
                </c:pt>
                <c:pt idx="179">
                  <c:v>12.94</c:v>
                </c:pt>
                <c:pt idx="180">
                  <c:v>12.91</c:v>
                </c:pt>
                <c:pt idx="181">
                  <c:v>12.93</c:v>
                </c:pt>
                <c:pt idx="182">
                  <c:v>12.97</c:v>
                </c:pt>
                <c:pt idx="183">
                  <c:v>12.94</c:v>
                </c:pt>
                <c:pt idx="184">
                  <c:v>12.95</c:v>
                </c:pt>
                <c:pt idx="185">
                  <c:v>12.93</c:v>
                </c:pt>
                <c:pt idx="186">
                  <c:v>12.9</c:v>
                </c:pt>
                <c:pt idx="187">
                  <c:v>12.88</c:v>
                </c:pt>
                <c:pt idx="188">
                  <c:v>12.88</c:v>
                </c:pt>
                <c:pt idx="189">
                  <c:v>12.84</c:v>
                </c:pt>
                <c:pt idx="190">
                  <c:v>12.83</c:v>
                </c:pt>
                <c:pt idx="191">
                  <c:v>12.84</c:v>
                </c:pt>
                <c:pt idx="192">
                  <c:v>12.86</c:v>
                </c:pt>
                <c:pt idx="193">
                  <c:v>12.86</c:v>
                </c:pt>
                <c:pt idx="194">
                  <c:v>12.86</c:v>
                </c:pt>
                <c:pt idx="195">
                  <c:v>12.9</c:v>
                </c:pt>
                <c:pt idx="196">
                  <c:v>12.9</c:v>
                </c:pt>
                <c:pt idx="197">
                  <c:v>12.9</c:v>
                </c:pt>
                <c:pt idx="198">
                  <c:v>12.87</c:v>
                </c:pt>
                <c:pt idx="199">
                  <c:v>12.88</c:v>
                </c:pt>
                <c:pt idx="200">
                  <c:v>12.87</c:v>
                </c:pt>
                <c:pt idx="201">
                  <c:v>12.85</c:v>
                </c:pt>
                <c:pt idx="202">
                  <c:v>12.86</c:v>
                </c:pt>
                <c:pt idx="203">
                  <c:v>12.84</c:v>
                </c:pt>
                <c:pt idx="204">
                  <c:v>12.87</c:v>
                </c:pt>
                <c:pt idx="205">
                  <c:v>12.87</c:v>
                </c:pt>
                <c:pt idx="206">
                  <c:v>12.85</c:v>
                </c:pt>
                <c:pt idx="207">
                  <c:v>12.88</c:v>
                </c:pt>
                <c:pt idx="208">
                  <c:v>12.91</c:v>
                </c:pt>
                <c:pt idx="209">
                  <c:v>12.9</c:v>
                </c:pt>
                <c:pt idx="210">
                  <c:v>12.8</c:v>
                </c:pt>
                <c:pt idx="211">
                  <c:v>12.87</c:v>
                </c:pt>
                <c:pt idx="212">
                  <c:v>12.92</c:v>
                </c:pt>
                <c:pt idx="213">
                  <c:v>12.9</c:v>
                </c:pt>
                <c:pt idx="214">
                  <c:v>12.9</c:v>
                </c:pt>
                <c:pt idx="215">
                  <c:v>12.9</c:v>
                </c:pt>
                <c:pt idx="216">
                  <c:v>12.91</c:v>
                </c:pt>
                <c:pt idx="217">
                  <c:v>12.92</c:v>
                </c:pt>
                <c:pt idx="218">
                  <c:v>12.87</c:v>
                </c:pt>
                <c:pt idx="219">
                  <c:v>12.91</c:v>
                </c:pt>
                <c:pt idx="220">
                  <c:v>12.93</c:v>
                </c:pt>
                <c:pt idx="221">
                  <c:v>12.83</c:v>
                </c:pt>
                <c:pt idx="222">
                  <c:v>12.92</c:v>
                </c:pt>
                <c:pt idx="223">
                  <c:v>12.92</c:v>
                </c:pt>
                <c:pt idx="224">
                  <c:v>12.91</c:v>
                </c:pt>
                <c:pt idx="225">
                  <c:v>12.95</c:v>
                </c:pt>
                <c:pt idx="226">
                  <c:v>12.92</c:v>
                </c:pt>
                <c:pt idx="227">
                  <c:v>12.92</c:v>
                </c:pt>
                <c:pt idx="228">
                  <c:v>12.75</c:v>
                </c:pt>
                <c:pt idx="229">
                  <c:v>12.97</c:v>
                </c:pt>
                <c:pt idx="230">
                  <c:v>12.94</c:v>
                </c:pt>
                <c:pt idx="231">
                  <c:v>12.96</c:v>
                </c:pt>
                <c:pt idx="232">
                  <c:v>12.94</c:v>
                </c:pt>
                <c:pt idx="233">
                  <c:v>12.9</c:v>
                </c:pt>
                <c:pt idx="234">
                  <c:v>12.97</c:v>
                </c:pt>
                <c:pt idx="235">
                  <c:v>12.92</c:v>
                </c:pt>
                <c:pt idx="236">
                  <c:v>12.73</c:v>
                </c:pt>
                <c:pt idx="237">
                  <c:v>12.9</c:v>
                </c:pt>
                <c:pt idx="238">
                  <c:v>12.78</c:v>
                </c:pt>
                <c:pt idx="239">
                  <c:v>12.76</c:v>
                </c:pt>
                <c:pt idx="240">
                  <c:v>12.98</c:v>
                </c:pt>
                <c:pt idx="241">
                  <c:v>12.96</c:v>
                </c:pt>
                <c:pt idx="242">
                  <c:v>12.96</c:v>
                </c:pt>
                <c:pt idx="243">
                  <c:v>12.95</c:v>
                </c:pt>
                <c:pt idx="244">
                  <c:v>12.94</c:v>
                </c:pt>
                <c:pt idx="245">
                  <c:v>12.9</c:v>
                </c:pt>
                <c:pt idx="246">
                  <c:v>12.95</c:v>
                </c:pt>
                <c:pt idx="247">
                  <c:v>12.96</c:v>
                </c:pt>
                <c:pt idx="248">
                  <c:v>12.96</c:v>
                </c:pt>
                <c:pt idx="249">
                  <c:v>12.96</c:v>
                </c:pt>
                <c:pt idx="250">
                  <c:v>12.95</c:v>
                </c:pt>
                <c:pt idx="251">
                  <c:v>12.94</c:v>
                </c:pt>
                <c:pt idx="252">
                  <c:v>12.95</c:v>
                </c:pt>
                <c:pt idx="253">
                  <c:v>12.97</c:v>
                </c:pt>
                <c:pt idx="254">
                  <c:v>12.81</c:v>
                </c:pt>
                <c:pt idx="255">
                  <c:v>12.95</c:v>
                </c:pt>
                <c:pt idx="256">
                  <c:v>12.95</c:v>
                </c:pt>
                <c:pt idx="257">
                  <c:v>12.95</c:v>
                </c:pt>
                <c:pt idx="258">
                  <c:v>13.01</c:v>
                </c:pt>
                <c:pt idx="259">
                  <c:v>12.97</c:v>
                </c:pt>
                <c:pt idx="260">
                  <c:v>12.95</c:v>
                </c:pt>
                <c:pt idx="261">
                  <c:v>12.98</c:v>
                </c:pt>
                <c:pt idx="262">
                  <c:v>12.99</c:v>
                </c:pt>
                <c:pt idx="263">
                  <c:v>12.97</c:v>
                </c:pt>
                <c:pt idx="264">
                  <c:v>12.97</c:v>
                </c:pt>
                <c:pt idx="265">
                  <c:v>12.76</c:v>
                </c:pt>
                <c:pt idx="266">
                  <c:v>13</c:v>
                </c:pt>
                <c:pt idx="267">
                  <c:v>12.94</c:v>
                </c:pt>
                <c:pt idx="268">
                  <c:v>12.81</c:v>
                </c:pt>
                <c:pt idx="269">
                  <c:v>12.87</c:v>
                </c:pt>
                <c:pt idx="270">
                  <c:v>12.96</c:v>
                </c:pt>
                <c:pt idx="271">
                  <c:v>12.9</c:v>
                </c:pt>
                <c:pt idx="272">
                  <c:v>12.78</c:v>
                </c:pt>
                <c:pt idx="273">
                  <c:v>12.96</c:v>
                </c:pt>
                <c:pt idx="274">
                  <c:v>12.66</c:v>
                </c:pt>
                <c:pt idx="275">
                  <c:v>12.99</c:v>
                </c:pt>
                <c:pt idx="276">
                  <c:v>12.95</c:v>
                </c:pt>
                <c:pt idx="277">
                  <c:v>12.75</c:v>
                </c:pt>
                <c:pt idx="278">
                  <c:v>12.98</c:v>
                </c:pt>
                <c:pt idx="279">
                  <c:v>12.87</c:v>
                </c:pt>
                <c:pt idx="280">
                  <c:v>13.02</c:v>
                </c:pt>
                <c:pt idx="281">
                  <c:v>12.89</c:v>
                </c:pt>
                <c:pt idx="282">
                  <c:v>12.95</c:v>
                </c:pt>
                <c:pt idx="283">
                  <c:v>13.01</c:v>
                </c:pt>
                <c:pt idx="284">
                  <c:v>13.13</c:v>
                </c:pt>
                <c:pt idx="285">
                  <c:v>13.08</c:v>
                </c:pt>
                <c:pt idx="286">
                  <c:v>13.12</c:v>
                </c:pt>
                <c:pt idx="287">
                  <c:v>13.02</c:v>
                </c:pt>
                <c:pt idx="288">
                  <c:v>12.83</c:v>
                </c:pt>
                <c:pt idx="289">
                  <c:v>13.08</c:v>
                </c:pt>
                <c:pt idx="290">
                  <c:v>13.07</c:v>
                </c:pt>
                <c:pt idx="291">
                  <c:v>12.79</c:v>
                </c:pt>
                <c:pt idx="292">
                  <c:v>12.81</c:v>
                </c:pt>
                <c:pt idx="293">
                  <c:v>12.83</c:v>
                </c:pt>
                <c:pt idx="294">
                  <c:v>12.95</c:v>
                </c:pt>
                <c:pt idx="295">
                  <c:v>13.07</c:v>
                </c:pt>
                <c:pt idx="296">
                  <c:v>13.07</c:v>
                </c:pt>
                <c:pt idx="297">
                  <c:v>13.02</c:v>
                </c:pt>
                <c:pt idx="298">
                  <c:v>13.02</c:v>
                </c:pt>
                <c:pt idx="299">
                  <c:v>12.91</c:v>
                </c:pt>
                <c:pt idx="300">
                  <c:v>13.02</c:v>
                </c:pt>
                <c:pt idx="301">
                  <c:v>13.03</c:v>
                </c:pt>
                <c:pt idx="302">
                  <c:v>13.06</c:v>
                </c:pt>
                <c:pt idx="303">
                  <c:v>12.9</c:v>
                </c:pt>
                <c:pt idx="304">
                  <c:v>12.86</c:v>
                </c:pt>
                <c:pt idx="305">
                  <c:v>12.79</c:v>
                </c:pt>
                <c:pt idx="306">
                  <c:v>12.87</c:v>
                </c:pt>
                <c:pt idx="307">
                  <c:v>12.97</c:v>
                </c:pt>
                <c:pt idx="308">
                  <c:v>12.8</c:v>
                </c:pt>
                <c:pt idx="309">
                  <c:v>13.02</c:v>
                </c:pt>
                <c:pt idx="310">
                  <c:v>13.05</c:v>
                </c:pt>
                <c:pt idx="311">
                  <c:v>12.93</c:v>
                </c:pt>
                <c:pt idx="312">
                  <c:v>12.85</c:v>
                </c:pt>
                <c:pt idx="313">
                  <c:v>12.79</c:v>
                </c:pt>
                <c:pt idx="314">
                  <c:v>12.98</c:v>
                </c:pt>
                <c:pt idx="315">
                  <c:v>12.8</c:v>
                </c:pt>
                <c:pt idx="316">
                  <c:v>12.96</c:v>
                </c:pt>
                <c:pt idx="317">
                  <c:v>12.79</c:v>
                </c:pt>
                <c:pt idx="318">
                  <c:v>12.78</c:v>
                </c:pt>
                <c:pt idx="319">
                  <c:v>12.84</c:v>
                </c:pt>
                <c:pt idx="320">
                  <c:v>12.77</c:v>
                </c:pt>
                <c:pt idx="321">
                  <c:v>12.8</c:v>
                </c:pt>
                <c:pt idx="322">
                  <c:v>12.97</c:v>
                </c:pt>
                <c:pt idx="323">
                  <c:v>12.77</c:v>
                </c:pt>
                <c:pt idx="324">
                  <c:v>12.76</c:v>
                </c:pt>
                <c:pt idx="325">
                  <c:v>13</c:v>
                </c:pt>
                <c:pt idx="326">
                  <c:v>12.78</c:v>
                </c:pt>
                <c:pt idx="327">
                  <c:v>13.04</c:v>
                </c:pt>
                <c:pt idx="328">
                  <c:v>12.86</c:v>
                </c:pt>
                <c:pt idx="329">
                  <c:v>12.76</c:v>
                </c:pt>
                <c:pt idx="330">
                  <c:v>12.79</c:v>
                </c:pt>
                <c:pt idx="331">
                  <c:v>12.76</c:v>
                </c:pt>
                <c:pt idx="332">
                  <c:v>12.75</c:v>
                </c:pt>
                <c:pt idx="333">
                  <c:v>13.04</c:v>
                </c:pt>
                <c:pt idx="334">
                  <c:v>12.8</c:v>
                </c:pt>
                <c:pt idx="335">
                  <c:v>12.94</c:v>
                </c:pt>
                <c:pt idx="336">
                  <c:v>13.04</c:v>
                </c:pt>
                <c:pt idx="337">
                  <c:v>13.04</c:v>
                </c:pt>
                <c:pt idx="338">
                  <c:v>13.01</c:v>
                </c:pt>
                <c:pt idx="339">
                  <c:v>13</c:v>
                </c:pt>
                <c:pt idx="340">
                  <c:v>12.81</c:v>
                </c:pt>
                <c:pt idx="341">
                  <c:v>12.77</c:v>
                </c:pt>
                <c:pt idx="342">
                  <c:v>12.76</c:v>
                </c:pt>
                <c:pt idx="343">
                  <c:v>12.84</c:v>
                </c:pt>
                <c:pt idx="344">
                  <c:v>12.77</c:v>
                </c:pt>
                <c:pt idx="345">
                  <c:v>12.75</c:v>
                </c:pt>
                <c:pt idx="346">
                  <c:v>12.96</c:v>
                </c:pt>
                <c:pt idx="347">
                  <c:v>12.76</c:v>
                </c:pt>
                <c:pt idx="348">
                  <c:v>12.85</c:v>
                </c:pt>
                <c:pt idx="349">
                  <c:v>12.87</c:v>
                </c:pt>
                <c:pt idx="350">
                  <c:v>12.74</c:v>
                </c:pt>
                <c:pt idx="351">
                  <c:v>12.74</c:v>
                </c:pt>
                <c:pt idx="352">
                  <c:v>12.8</c:v>
                </c:pt>
                <c:pt idx="353">
                  <c:v>12.74</c:v>
                </c:pt>
                <c:pt idx="354">
                  <c:v>12.75</c:v>
                </c:pt>
                <c:pt idx="355">
                  <c:v>12.74</c:v>
                </c:pt>
                <c:pt idx="356">
                  <c:v>12.74</c:v>
                </c:pt>
                <c:pt idx="357">
                  <c:v>12.92</c:v>
                </c:pt>
                <c:pt idx="358">
                  <c:v>12.74</c:v>
                </c:pt>
                <c:pt idx="359">
                  <c:v>12.73</c:v>
                </c:pt>
                <c:pt idx="360">
                  <c:v>12.73</c:v>
                </c:pt>
                <c:pt idx="361">
                  <c:v>12.74</c:v>
                </c:pt>
                <c:pt idx="362">
                  <c:v>12.72</c:v>
                </c:pt>
                <c:pt idx="363">
                  <c:v>12.98</c:v>
                </c:pt>
                <c:pt idx="364">
                  <c:v>12.76</c:v>
                </c:pt>
                <c:pt idx="365">
                  <c:v>12.77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84544"/>
        <c:axId val="207123200"/>
      </c:lineChart>
      <c:catAx>
        <c:axId val="207084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123200"/>
        <c:crosses val="autoZero"/>
        <c:auto val="1"/>
        <c:lblAlgn val="ctr"/>
        <c:lblOffset val="100"/>
        <c:tickMarkSkip val="9"/>
        <c:noMultiLvlLbl val="0"/>
      </c:catAx>
      <c:valAx>
        <c:axId val="207123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V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084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TReference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Data!$H$6:$H$371</c:f>
              <c:numCache>
                <c:formatCode>General</c:formatCode>
                <c:ptCount val="366"/>
                <c:pt idx="0">
                  <c:v>-6.1230000000000002</c:v>
                </c:pt>
                <c:pt idx="1">
                  <c:v>-7.08</c:v>
                </c:pt>
                <c:pt idx="2">
                  <c:v>-2.8980000000000001</c:v>
                </c:pt>
                <c:pt idx="3">
                  <c:v>-5.7380000000000004</c:v>
                </c:pt>
                <c:pt idx="4">
                  <c:v>-6.7190000000000003</c:v>
                </c:pt>
                <c:pt idx="5">
                  <c:v>-6.4210000000000003</c:v>
                </c:pt>
                <c:pt idx="6">
                  <c:v>-13.26</c:v>
                </c:pt>
                <c:pt idx="7">
                  <c:v>-14.4</c:v>
                </c:pt>
                <c:pt idx="8">
                  <c:v>-7.11</c:v>
                </c:pt>
                <c:pt idx="9">
                  <c:v>-14.69</c:v>
                </c:pt>
                <c:pt idx="10">
                  <c:v>-34.159999999999997</c:v>
                </c:pt>
                <c:pt idx="11">
                  <c:v>-37.42</c:v>
                </c:pt>
                <c:pt idx="12">
                  <c:v>-35.049999999999997</c:v>
                </c:pt>
                <c:pt idx="13">
                  <c:v>-25.34</c:v>
                </c:pt>
                <c:pt idx="14">
                  <c:v>-25.44</c:v>
                </c:pt>
                <c:pt idx="15">
                  <c:v>-18.63</c:v>
                </c:pt>
                <c:pt idx="16">
                  <c:v>-19.14</c:v>
                </c:pt>
                <c:pt idx="17">
                  <c:v>-17.52</c:v>
                </c:pt>
                <c:pt idx="18">
                  <c:v>-11.8</c:v>
                </c:pt>
                <c:pt idx="19">
                  <c:v>-4.5620000000000003</c:v>
                </c:pt>
                <c:pt idx="20">
                  <c:v>-0.78800000000000003</c:v>
                </c:pt>
                <c:pt idx="21">
                  <c:v>-1.01</c:v>
                </c:pt>
                <c:pt idx="22">
                  <c:v>-2.6190000000000002</c:v>
                </c:pt>
                <c:pt idx="23">
                  <c:v>-3.7610000000000001</c:v>
                </c:pt>
                <c:pt idx="24">
                  <c:v>-4.843</c:v>
                </c:pt>
                <c:pt idx="25">
                  <c:v>-3.2469999999999999</c:v>
                </c:pt>
                <c:pt idx="26">
                  <c:v>-0.42299999999999999</c:v>
                </c:pt>
                <c:pt idx="27">
                  <c:v>1.2030000000000001</c:v>
                </c:pt>
                <c:pt idx="28">
                  <c:v>2.7930000000000001</c:v>
                </c:pt>
                <c:pt idx="29">
                  <c:v>2.8220000000000001</c:v>
                </c:pt>
                <c:pt idx="30">
                  <c:v>2.464</c:v>
                </c:pt>
                <c:pt idx="31">
                  <c:v>2.2909999999999999</c:v>
                </c:pt>
                <c:pt idx="32">
                  <c:v>-2.2599999999999998</c:v>
                </c:pt>
                <c:pt idx="33">
                  <c:v>-4.0229999999999997</c:v>
                </c:pt>
                <c:pt idx="34">
                  <c:v>-6.9379999999999997</c:v>
                </c:pt>
                <c:pt idx="35">
                  <c:v>-6.7779999999999996</c:v>
                </c:pt>
                <c:pt idx="36">
                  <c:v>-2.4260000000000002</c:v>
                </c:pt>
                <c:pt idx="37">
                  <c:v>-5.55</c:v>
                </c:pt>
                <c:pt idx="38">
                  <c:v>-8.83</c:v>
                </c:pt>
                <c:pt idx="39">
                  <c:v>-12.98</c:v>
                </c:pt>
                <c:pt idx="40">
                  <c:v>-11.54</c:v>
                </c:pt>
                <c:pt idx="41">
                  <c:v>-4.0430000000000001</c:v>
                </c:pt>
                <c:pt idx="42">
                  <c:v>-10</c:v>
                </c:pt>
                <c:pt idx="43">
                  <c:v>-13.48</c:v>
                </c:pt>
                <c:pt idx="44">
                  <c:v>-15.66</c:v>
                </c:pt>
                <c:pt idx="45">
                  <c:v>-17.05</c:v>
                </c:pt>
                <c:pt idx="46">
                  <c:v>-15.69</c:v>
                </c:pt>
                <c:pt idx="47">
                  <c:v>-10.65</c:v>
                </c:pt>
                <c:pt idx="48">
                  <c:v>-7.37</c:v>
                </c:pt>
                <c:pt idx="49">
                  <c:v>-5.1470000000000002</c:v>
                </c:pt>
                <c:pt idx="50">
                  <c:v>-0.72099999999999997</c:v>
                </c:pt>
                <c:pt idx="51">
                  <c:v>-0.442</c:v>
                </c:pt>
                <c:pt idx="52">
                  <c:v>-2.83</c:v>
                </c:pt>
                <c:pt idx="53">
                  <c:v>-4.4820000000000002</c:v>
                </c:pt>
                <c:pt idx="54">
                  <c:v>-1.9419999999999999</c:v>
                </c:pt>
                <c:pt idx="55">
                  <c:v>-6.609</c:v>
                </c:pt>
                <c:pt idx="56">
                  <c:v>-15.72</c:v>
                </c:pt>
                <c:pt idx="57">
                  <c:v>-22.86</c:v>
                </c:pt>
                <c:pt idx="58">
                  <c:v>-8.1</c:v>
                </c:pt>
                <c:pt idx="59">
                  <c:v>-8.69</c:v>
                </c:pt>
                <c:pt idx="60">
                  <c:v>-7.14</c:v>
                </c:pt>
                <c:pt idx="61">
                  <c:v>-6.2309999999999999</c:v>
                </c:pt>
                <c:pt idx="62">
                  <c:v>-12.33</c:v>
                </c:pt>
                <c:pt idx="63">
                  <c:v>-17.2</c:v>
                </c:pt>
                <c:pt idx="64">
                  <c:v>-17.11</c:v>
                </c:pt>
                <c:pt idx="65">
                  <c:v>-18.27</c:v>
                </c:pt>
                <c:pt idx="66">
                  <c:v>-14.86</c:v>
                </c:pt>
                <c:pt idx="67">
                  <c:v>-6.39</c:v>
                </c:pt>
                <c:pt idx="68">
                  <c:v>-4.6189999999999998</c:v>
                </c:pt>
                <c:pt idx="69">
                  <c:v>-4.883</c:v>
                </c:pt>
                <c:pt idx="70">
                  <c:v>-3.5670000000000002</c:v>
                </c:pt>
                <c:pt idx="71">
                  <c:v>-3.1789999999999998</c:v>
                </c:pt>
                <c:pt idx="72">
                  <c:v>-7.7</c:v>
                </c:pt>
                <c:pt idx="73">
                  <c:v>-7.09</c:v>
                </c:pt>
                <c:pt idx="74">
                  <c:v>-2.7719999999999998</c:v>
                </c:pt>
                <c:pt idx="75">
                  <c:v>-1.45</c:v>
                </c:pt>
                <c:pt idx="76">
                  <c:v>1.637</c:v>
                </c:pt>
                <c:pt idx="77">
                  <c:v>0.54200000000000004</c:v>
                </c:pt>
                <c:pt idx="78">
                  <c:v>7.0000000000000007E-2</c:v>
                </c:pt>
                <c:pt idx="79">
                  <c:v>1.1279999999999999</c:v>
                </c:pt>
                <c:pt idx="80">
                  <c:v>-4.1989999999999998</c:v>
                </c:pt>
                <c:pt idx="81">
                  <c:v>-4.9219999999999997</c:v>
                </c:pt>
                <c:pt idx="82">
                  <c:v>-5.3540000000000001</c:v>
                </c:pt>
                <c:pt idx="83">
                  <c:v>-8.3699999999999992</c:v>
                </c:pt>
                <c:pt idx="84">
                  <c:v>-5.3739999999999997</c:v>
                </c:pt>
                <c:pt idx="85">
                  <c:v>-3.8490000000000002</c:v>
                </c:pt>
                <c:pt idx="86">
                  <c:v>-5.7869999999999999</c:v>
                </c:pt>
                <c:pt idx="87">
                  <c:v>-5.2649999999999997</c:v>
                </c:pt>
                <c:pt idx="88">
                  <c:v>-6.3410000000000002</c:v>
                </c:pt>
                <c:pt idx="89">
                  <c:v>-8.32</c:v>
                </c:pt>
                <c:pt idx="90">
                  <c:v>-7.25</c:v>
                </c:pt>
                <c:pt idx="91">
                  <c:v>-2.8210000000000002</c:v>
                </c:pt>
                <c:pt idx="92">
                  <c:v>3.9220000000000002</c:v>
                </c:pt>
                <c:pt idx="93">
                  <c:v>-4.8150000000000004</c:v>
                </c:pt>
                <c:pt idx="94">
                  <c:v>-5.2560000000000002</c:v>
                </c:pt>
                <c:pt idx="95">
                  <c:v>-2.5790000000000002</c:v>
                </c:pt>
                <c:pt idx="96">
                  <c:v>-4.2089999999999996</c:v>
                </c:pt>
                <c:pt idx="97">
                  <c:v>-5.9349999999999996</c:v>
                </c:pt>
                <c:pt idx="98">
                  <c:v>-2.8889999999999998</c:v>
                </c:pt>
                <c:pt idx="99">
                  <c:v>-4.7370000000000001</c:v>
                </c:pt>
                <c:pt idx="100">
                  <c:v>-5.8170000000000002</c:v>
                </c:pt>
                <c:pt idx="101">
                  <c:v>-1.835</c:v>
                </c:pt>
                <c:pt idx="102">
                  <c:v>-2.7429999999999999</c:v>
                </c:pt>
                <c:pt idx="103">
                  <c:v>-2.347</c:v>
                </c:pt>
                <c:pt idx="104">
                  <c:v>-0.75700000000000001</c:v>
                </c:pt>
                <c:pt idx="105">
                  <c:v>-2.83</c:v>
                </c:pt>
                <c:pt idx="106">
                  <c:v>-5.9649999999999999</c:v>
                </c:pt>
                <c:pt idx="107">
                  <c:v>-9.1</c:v>
                </c:pt>
                <c:pt idx="108">
                  <c:v>-6.7279999999999998</c:v>
                </c:pt>
                <c:pt idx="109">
                  <c:v>-7.23</c:v>
                </c:pt>
                <c:pt idx="110">
                  <c:v>-4.7169999999999996</c:v>
                </c:pt>
                <c:pt idx="111">
                  <c:v>-2.7530000000000001</c:v>
                </c:pt>
                <c:pt idx="112">
                  <c:v>-5.4029999999999996</c:v>
                </c:pt>
                <c:pt idx="113">
                  <c:v>-2.8210000000000002</c:v>
                </c:pt>
                <c:pt idx="114">
                  <c:v>1.6839999999999999</c:v>
                </c:pt>
                <c:pt idx="115">
                  <c:v>-0.80600000000000005</c:v>
                </c:pt>
                <c:pt idx="116">
                  <c:v>0.04</c:v>
                </c:pt>
                <c:pt idx="117">
                  <c:v>-0.96799999999999997</c:v>
                </c:pt>
                <c:pt idx="118">
                  <c:v>-3.2949999999999999</c:v>
                </c:pt>
                <c:pt idx="119">
                  <c:v>-5.3440000000000003</c:v>
                </c:pt>
                <c:pt idx="120">
                  <c:v>-6.0640000000000001</c:v>
                </c:pt>
                <c:pt idx="121">
                  <c:v>-4.58</c:v>
                </c:pt>
                <c:pt idx="122">
                  <c:v>-3.3250000000000002</c:v>
                </c:pt>
                <c:pt idx="123">
                  <c:v>-0.81399999999999995</c:v>
                </c:pt>
                <c:pt idx="124">
                  <c:v>2.5990000000000002</c:v>
                </c:pt>
                <c:pt idx="125">
                  <c:v>3.4860000000000002</c:v>
                </c:pt>
                <c:pt idx="126">
                  <c:v>-1.546</c:v>
                </c:pt>
                <c:pt idx="127">
                  <c:v>-2.7530000000000001</c:v>
                </c:pt>
                <c:pt idx="128">
                  <c:v>-4.3159999999999998</c:v>
                </c:pt>
                <c:pt idx="129">
                  <c:v>1.837</c:v>
                </c:pt>
                <c:pt idx="130">
                  <c:v>5.7560000000000002</c:v>
                </c:pt>
                <c:pt idx="131">
                  <c:v>6.5369999999999999</c:v>
                </c:pt>
                <c:pt idx="132">
                  <c:v>5.9720000000000004</c:v>
                </c:pt>
                <c:pt idx="133">
                  <c:v>1.264</c:v>
                </c:pt>
                <c:pt idx="134">
                  <c:v>1.4E-2</c:v>
                </c:pt>
                <c:pt idx="135">
                  <c:v>6.2430000000000003</c:v>
                </c:pt>
                <c:pt idx="136">
                  <c:v>-1.4999999999999999E-2</c:v>
                </c:pt>
                <c:pt idx="137">
                  <c:v>-0.32300000000000001</c:v>
                </c:pt>
                <c:pt idx="138">
                  <c:v>-1.1319999999999999</c:v>
                </c:pt>
                <c:pt idx="139">
                  <c:v>-2.0579999999999998</c:v>
                </c:pt>
                <c:pt idx="140">
                  <c:v>-1.5369999999999999</c:v>
                </c:pt>
                <c:pt idx="141">
                  <c:v>3.3460000000000001</c:v>
                </c:pt>
                <c:pt idx="142">
                  <c:v>2.5350000000000001</c:v>
                </c:pt>
                <c:pt idx="143">
                  <c:v>1.679</c:v>
                </c:pt>
                <c:pt idx="144">
                  <c:v>3.577</c:v>
                </c:pt>
                <c:pt idx="145">
                  <c:v>1.2170000000000001</c:v>
                </c:pt>
                <c:pt idx="146">
                  <c:v>-0.217</c:v>
                </c:pt>
                <c:pt idx="147">
                  <c:v>1.9</c:v>
                </c:pt>
                <c:pt idx="148">
                  <c:v>-0.314</c:v>
                </c:pt>
                <c:pt idx="149">
                  <c:v>-1.0649999999999999</c:v>
                </c:pt>
                <c:pt idx="150">
                  <c:v>-2</c:v>
                </c:pt>
                <c:pt idx="151">
                  <c:v>1.014</c:v>
                </c:pt>
                <c:pt idx="152">
                  <c:v>4.7649999999999997</c:v>
                </c:pt>
                <c:pt idx="153">
                  <c:v>1.7849999999999999</c:v>
                </c:pt>
                <c:pt idx="154">
                  <c:v>0.88900000000000001</c:v>
                </c:pt>
                <c:pt idx="155">
                  <c:v>0.47599999999999998</c:v>
                </c:pt>
                <c:pt idx="156">
                  <c:v>-1.026</c:v>
                </c:pt>
                <c:pt idx="157">
                  <c:v>-0.13100000000000001</c:v>
                </c:pt>
                <c:pt idx="158">
                  <c:v>1.1679999999999999</c:v>
                </c:pt>
                <c:pt idx="159">
                  <c:v>2.9590000000000001</c:v>
                </c:pt>
                <c:pt idx="160">
                  <c:v>7.19</c:v>
                </c:pt>
                <c:pt idx="161">
                  <c:v>6.08</c:v>
                </c:pt>
                <c:pt idx="162">
                  <c:v>4.5679999999999996</c:v>
                </c:pt>
                <c:pt idx="163">
                  <c:v>0.40799999999999997</c:v>
                </c:pt>
                <c:pt idx="164">
                  <c:v>0.72599999999999998</c:v>
                </c:pt>
                <c:pt idx="165">
                  <c:v>1.526</c:v>
                </c:pt>
                <c:pt idx="166">
                  <c:v>1.929</c:v>
                </c:pt>
                <c:pt idx="167">
                  <c:v>1.486</c:v>
                </c:pt>
                <c:pt idx="168">
                  <c:v>3.335</c:v>
                </c:pt>
                <c:pt idx="169">
                  <c:v>1.2929999999999999</c:v>
                </c:pt>
                <c:pt idx="170">
                  <c:v>0.87</c:v>
                </c:pt>
                <c:pt idx="171">
                  <c:v>3.508</c:v>
                </c:pt>
                <c:pt idx="172">
                  <c:v>5.931</c:v>
                </c:pt>
                <c:pt idx="173">
                  <c:v>9.18</c:v>
                </c:pt>
                <c:pt idx="174">
                  <c:v>5.827</c:v>
                </c:pt>
                <c:pt idx="175">
                  <c:v>3.9649999999999999</c:v>
                </c:pt>
                <c:pt idx="176">
                  <c:v>1.978</c:v>
                </c:pt>
                <c:pt idx="177">
                  <c:v>5.4269999999999996</c:v>
                </c:pt>
                <c:pt idx="178">
                  <c:v>4.1680000000000001</c:v>
                </c:pt>
                <c:pt idx="179">
                  <c:v>4.0519999999999996</c:v>
                </c:pt>
                <c:pt idx="180">
                  <c:v>8.5500000000000007</c:v>
                </c:pt>
                <c:pt idx="181">
                  <c:v>9.1</c:v>
                </c:pt>
                <c:pt idx="182">
                  <c:v>8.83</c:v>
                </c:pt>
                <c:pt idx="183">
                  <c:v>4.3609999999999998</c:v>
                </c:pt>
                <c:pt idx="184">
                  <c:v>4.016</c:v>
                </c:pt>
                <c:pt idx="185">
                  <c:v>5.4660000000000002</c:v>
                </c:pt>
                <c:pt idx="186">
                  <c:v>8.26</c:v>
                </c:pt>
                <c:pt idx="187">
                  <c:v>8.86</c:v>
                </c:pt>
                <c:pt idx="188">
                  <c:v>10.52</c:v>
                </c:pt>
                <c:pt idx="189">
                  <c:v>12.86</c:v>
                </c:pt>
                <c:pt idx="190">
                  <c:v>14.27</c:v>
                </c:pt>
                <c:pt idx="191">
                  <c:v>13.08</c:v>
                </c:pt>
                <c:pt idx="192">
                  <c:v>9.9</c:v>
                </c:pt>
                <c:pt idx="193">
                  <c:v>10.119999999999999</c:v>
                </c:pt>
                <c:pt idx="194">
                  <c:v>11.05</c:v>
                </c:pt>
                <c:pt idx="195">
                  <c:v>11.57</c:v>
                </c:pt>
                <c:pt idx="196">
                  <c:v>12.61</c:v>
                </c:pt>
                <c:pt idx="197">
                  <c:v>12.35</c:v>
                </c:pt>
                <c:pt idx="198">
                  <c:v>15.54</c:v>
                </c:pt>
                <c:pt idx="199">
                  <c:v>15.63</c:v>
                </c:pt>
                <c:pt idx="200">
                  <c:v>14.16</c:v>
                </c:pt>
                <c:pt idx="201">
                  <c:v>11.79</c:v>
                </c:pt>
                <c:pt idx="202">
                  <c:v>15.95</c:v>
                </c:pt>
                <c:pt idx="203">
                  <c:v>12</c:v>
                </c:pt>
                <c:pt idx="204">
                  <c:v>4.2030000000000003</c:v>
                </c:pt>
                <c:pt idx="205">
                  <c:v>7.5</c:v>
                </c:pt>
                <c:pt idx="206">
                  <c:v>5.2210000000000001</c:v>
                </c:pt>
                <c:pt idx="207">
                  <c:v>4.4059999999999997</c:v>
                </c:pt>
                <c:pt idx="208">
                  <c:v>5.6390000000000002</c:v>
                </c:pt>
                <c:pt idx="209">
                  <c:v>8.5</c:v>
                </c:pt>
                <c:pt idx="210">
                  <c:v>10.46</c:v>
                </c:pt>
                <c:pt idx="211">
                  <c:v>9.07</c:v>
                </c:pt>
                <c:pt idx="212">
                  <c:v>7.93</c:v>
                </c:pt>
                <c:pt idx="213">
                  <c:v>9.57</c:v>
                </c:pt>
                <c:pt idx="214">
                  <c:v>13.84</c:v>
                </c:pt>
                <c:pt idx="215">
                  <c:v>15.39</c:v>
                </c:pt>
                <c:pt idx="216">
                  <c:v>13.82</c:v>
                </c:pt>
                <c:pt idx="217">
                  <c:v>11.75</c:v>
                </c:pt>
                <c:pt idx="218">
                  <c:v>7.12</c:v>
                </c:pt>
                <c:pt idx="219">
                  <c:v>6.5960000000000001</c:v>
                </c:pt>
                <c:pt idx="220">
                  <c:v>9.7100000000000009</c:v>
                </c:pt>
                <c:pt idx="221">
                  <c:v>9.73</c:v>
                </c:pt>
                <c:pt idx="222">
                  <c:v>8.7799999999999994</c:v>
                </c:pt>
                <c:pt idx="223">
                  <c:v>9.33</c:v>
                </c:pt>
                <c:pt idx="224">
                  <c:v>10.19</c:v>
                </c:pt>
                <c:pt idx="225">
                  <c:v>8.3000000000000007</c:v>
                </c:pt>
                <c:pt idx="226">
                  <c:v>9.27</c:v>
                </c:pt>
                <c:pt idx="227">
                  <c:v>10.42</c:v>
                </c:pt>
                <c:pt idx="228">
                  <c:v>10.1</c:v>
                </c:pt>
                <c:pt idx="229">
                  <c:v>8.7799999999999994</c:v>
                </c:pt>
                <c:pt idx="230">
                  <c:v>7.79</c:v>
                </c:pt>
                <c:pt idx="231">
                  <c:v>5.008</c:v>
                </c:pt>
                <c:pt idx="232">
                  <c:v>5.2119999999999997</c:v>
                </c:pt>
                <c:pt idx="233">
                  <c:v>7.52</c:v>
                </c:pt>
                <c:pt idx="234">
                  <c:v>6.0880000000000001</c:v>
                </c:pt>
                <c:pt idx="235">
                  <c:v>8.75</c:v>
                </c:pt>
                <c:pt idx="236">
                  <c:v>6.87</c:v>
                </c:pt>
                <c:pt idx="237">
                  <c:v>4.0970000000000004</c:v>
                </c:pt>
                <c:pt idx="238">
                  <c:v>4.9400000000000004</c:v>
                </c:pt>
                <c:pt idx="239">
                  <c:v>3.911</c:v>
                </c:pt>
                <c:pt idx="240">
                  <c:v>3.399</c:v>
                </c:pt>
                <c:pt idx="241">
                  <c:v>4.0570000000000004</c:v>
                </c:pt>
                <c:pt idx="242">
                  <c:v>8.69</c:v>
                </c:pt>
                <c:pt idx="243">
                  <c:v>10.220000000000001</c:v>
                </c:pt>
                <c:pt idx="244">
                  <c:v>12.04</c:v>
                </c:pt>
                <c:pt idx="245">
                  <c:v>12.18</c:v>
                </c:pt>
                <c:pt idx="246">
                  <c:v>9.0299999999999994</c:v>
                </c:pt>
                <c:pt idx="247">
                  <c:v>8.2100000000000009</c:v>
                </c:pt>
                <c:pt idx="248">
                  <c:v>9.6300000000000008</c:v>
                </c:pt>
                <c:pt idx="249">
                  <c:v>12.36</c:v>
                </c:pt>
                <c:pt idx="250">
                  <c:v>11.73</c:v>
                </c:pt>
                <c:pt idx="251">
                  <c:v>14.31</c:v>
                </c:pt>
                <c:pt idx="252">
                  <c:v>4.3680000000000003</c:v>
                </c:pt>
                <c:pt idx="253">
                  <c:v>2.714</c:v>
                </c:pt>
                <c:pt idx="254">
                  <c:v>6.3520000000000003</c:v>
                </c:pt>
                <c:pt idx="255">
                  <c:v>4.92</c:v>
                </c:pt>
                <c:pt idx="256">
                  <c:v>3.863</c:v>
                </c:pt>
                <c:pt idx="257">
                  <c:v>3.5259999999999998</c:v>
                </c:pt>
                <c:pt idx="258">
                  <c:v>0.90300000000000002</c:v>
                </c:pt>
                <c:pt idx="259">
                  <c:v>1.7989999999999999</c:v>
                </c:pt>
                <c:pt idx="260">
                  <c:v>4.4930000000000003</c:v>
                </c:pt>
                <c:pt idx="261">
                  <c:v>5.2220000000000004</c:v>
                </c:pt>
                <c:pt idx="262">
                  <c:v>5.3769999999999998</c:v>
                </c:pt>
                <c:pt idx="263">
                  <c:v>-2.1999999999999999E-2</c:v>
                </c:pt>
                <c:pt idx="264">
                  <c:v>-7.9000000000000001E-2</c:v>
                </c:pt>
                <c:pt idx="265">
                  <c:v>7.03</c:v>
                </c:pt>
                <c:pt idx="266">
                  <c:v>6.9870000000000001</c:v>
                </c:pt>
                <c:pt idx="267">
                  <c:v>9.01</c:v>
                </c:pt>
                <c:pt idx="268">
                  <c:v>5.66</c:v>
                </c:pt>
                <c:pt idx="269">
                  <c:v>2.9369999999999998</c:v>
                </c:pt>
                <c:pt idx="270">
                  <c:v>0.95199999999999996</c:v>
                </c:pt>
                <c:pt idx="271">
                  <c:v>-0.17499999999999999</c:v>
                </c:pt>
                <c:pt idx="272">
                  <c:v>-1.601</c:v>
                </c:pt>
                <c:pt idx="273">
                  <c:v>-2.9529999999999998</c:v>
                </c:pt>
                <c:pt idx="274">
                  <c:v>-0.65700000000000003</c:v>
                </c:pt>
                <c:pt idx="275">
                  <c:v>-1.2150000000000001</c:v>
                </c:pt>
                <c:pt idx="276">
                  <c:v>-1.8220000000000001</c:v>
                </c:pt>
                <c:pt idx="277">
                  <c:v>3.206</c:v>
                </c:pt>
                <c:pt idx="278">
                  <c:v>0.48</c:v>
                </c:pt>
                <c:pt idx="279">
                  <c:v>2.9359999999999999</c:v>
                </c:pt>
                <c:pt idx="280">
                  <c:v>2.2519999999999998</c:v>
                </c:pt>
                <c:pt idx="281">
                  <c:v>7.01</c:v>
                </c:pt>
                <c:pt idx="282">
                  <c:v>1.9139999999999999</c:v>
                </c:pt>
                <c:pt idx="283">
                  <c:v>-2.4009999999999998</c:v>
                </c:pt>
                <c:pt idx="284">
                  <c:v>-1.5029999999999999</c:v>
                </c:pt>
                <c:pt idx="285">
                  <c:v>2.3450000000000002</c:v>
                </c:pt>
                <c:pt idx="286">
                  <c:v>4.8440000000000003</c:v>
                </c:pt>
                <c:pt idx="287">
                  <c:v>6.0780000000000003</c:v>
                </c:pt>
                <c:pt idx="288">
                  <c:v>4.5019999999999998</c:v>
                </c:pt>
                <c:pt idx="289">
                  <c:v>-1.4259999999999999</c:v>
                </c:pt>
                <c:pt idx="290">
                  <c:v>-3.9129999999999998</c:v>
                </c:pt>
                <c:pt idx="291">
                  <c:v>-4.3129999999999997</c:v>
                </c:pt>
                <c:pt idx="292">
                  <c:v>0.623</c:v>
                </c:pt>
                <c:pt idx="293">
                  <c:v>3.0510000000000002</c:v>
                </c:pt>
                <c:pt idx="294">
                  <c:v>-4.3999999999999997E-2</c:v>
                </c:pt>
                <c:pt idx="295">
                  <c:v>-4.3129999999999997</c:v>
                </c:pt>
                <c:pt idx="296">
                  <c:v>-3.798</c:v>
                </c:pt>
                <c:pt idx="297">
                  <c:v>-4.7720000000000002</c:v>
                </c:pt>
                <c:pt idx="298">
                  <c:v>-4.9390000000000001</c:v>
                </c:pt>
                <c:pt idx="299">
                  <c:v>0.47599999999999998</c:v>
                </c:pt>
                <c:pt idx="300">
                  <c:v>1.3129999999999999</c:v>
                </c:pt>
                <c:pt idx="301">
                  <c:v>-2.036</c:v>
                </c:pt>
                <c:pt idx="302">
                  <c:v>-5.7839999999999998</c:v>
                </c:pt>
                <c:pt idx="303">
                  <c:v>-3.343</c:v>
                </c:pt>
                <c:pt idx="304">
                  <c:v>-2.714</c:v>
                </c:pt>
                <c:pt idx="305">
                  <c:v>-2.8980000000000001</c:v>
                </c:pt>
                <c:pt idx="306">
                  <c:v>-3.2759999999999998</c:v>
                </c:pt>
                <c:pt idx="307">
                  <c:v>-5.4809999999999999</c:v>
                </c:pt>
                <c:pt idx="308">
                  <c:v>-2.5590000000000002</c:v>
                </c:pt>
                <c:pt idx="309">
                  <c:v>-6.6970000000000001</c:v>
                </c:pt>
                <c:pt idx="310">
                  <c:v>-6.5780000000000003</c:v>
                </c:pt>
                <c:pt idx="311">
                  <c:v>-1.2669999999999999</c:v>
                </c:pt>
                <c:pt idx="312">
                  <c:v>-1.5169999999999999</c:v>
                </c:pt>
                <c:pt idx="313">
                  <c:v>9.0999999999999998E-2</c:v>
                </c:pt>
                <c:pt idx="314">
                  <c:v>-0.22700000000000001</c:v>
                </c:pt>
                <c:pt idx="315">
                  <c:v>-2.1930000000000001</c:v>
                </c:pt>
                <c:pt idx="316">
                  <c:v>-0.997</c:v>
                </c:pt>
                <c:pt idx="317">
                  <c:v>-0.246</c:v>
                </c:pt>
                <c:pt idx="318">
                  <c:v>-3.2469999999999999</c:v>
                </c:pt>
                <c:pt idx="319">
                  <c:v>-7.16</c:v>
                </c:pt>
                <c:pt idx="320">
                  <c:v>-7.18</c:v>
                </c:pt>
                <c:pt idx="321">
                  <c:v>-5.3339999999999996</c:v>
                </c:pt>
                <c:pt idx="322">
                  <c:v>-10.29</c:v>
                </c:pt>
                <c:pt idx="323">
                  <c:v>-11.75</c:v>
                </c:pt>
                <c:pt idx="324">
                  <c:v>-5.0789999999999997</c:v>
                </c:pt>
                <c:pt idx="325">
                  <c:v>-3.956</c:v>
                </c:pt>
                <c:pt idx="326">
                  <c:v>-4.5019999999999998</c:v>
                </c:pt>
                <c:pt idx="327">
                  <c:v>-5.9450000000000003</c:v>
                </c:pt>
                <c:pt idx="328">
                  <c:v>-6.0039999999999996</c:v>
                </c:pt>
                <c:pt idx="329">
                  <c:v>-8.0399999999999991</c:v>
                </c:pt>
                <c:pt idx="330">
                  <c:v>-10.82</c:v>
                </c:pt>
                <c:pt idx="331">
                  <c:v>-9.5500000000000007</c:v>
                </c:pt>
                <c:pt idx="332">
                  <c:v>-9.9499999999999993</c:v>
                </c:pt>
                <c:pt idx="333">
                  <c:v>-9.09</c:v>
                </c:pt>
                <c:pt idx="334">
                  <c:v>-5.0789999999999997</c:v>
                </c:pt>
                <c:pt idx="335">
                  <c:v>-6.3410000000000002</c:v>
                </c:pt>
                <c:pt idx="336">
                  <c:v>-8.33</c:v>
                </c:pt>
                <c:pt idx="337">
                  <c:v>-7.85</c:v>
                </c:pt>
                <c:pt idx="338">
                  <c:v>-8.81</c:v>
                </c:pt>
                <c:pt idx="339">
                  <c:v>-9.61</c:v>
                </c:pt>
                <c:pt idx="340">
                  <c:v>-4.3840000000000003</c:v>
                </c:pt>
                <c:pt idx="341">
                  <c:v>-2.4820000000000002</c:v>
                </c:pt>
                <c:pt idx="342">
                  <c:v>-5.2949999999999999</c:v>
                </c:pt>
                <c:pt idx="343">
                  <c:v>-8.23</c:v>
                </c:pt>
                <c:pt idx="344">
                  <c:v>-10.48</c:v>
                </c:pt>
                <c:pt idx="345">
                  <c:v>-6.0339999999999998</c:v>
                </c:pt>
                <c:pt idx="346">
                  <c:v>-7.06</c:v>
                </c:pt>
                <c:pt idx="347">
                  <c:v>-3.8679999999999999</c:v>
                </c:pt>
                <c:pt idx="348">
                  <c:v>-2.6269999999999998</c:v>
                </c:pt>
                <c:pt idx="349">
                  <c:v>-8.49</c:v>
                </c:pt>
                <c:pt idx="350">
                  <c:v>-8.98</c:v>
                </c:pt>
                <c:pt idx="351">
                  <c:v>-5.3239999999999998</c:v>
                </c:pt>
                <c:pt idx="352">
                  <c:v>-5.0789999999999997</c:v>
                </c:pt>
                <c:pt idx="353">
                  <c:v>-6.1130000000000004</c:v>
                </c:pt>
                <c:pt idx="354">
                  <c:v>-2.492</c:v>
                </c:pt>
                <c:pt idx="355">
                  <c:v>-2.0670000000000002</c:v>
                </c:pt>
                <c:pt idx="356">
                  <c:v>-5.5209999999999999</c:v>
                </c:pt>
                <c:pt idx="357">
                  <c:v>-2.6080000000000001</c:v>
                </c:pt>
                <c:pt idx="358">
                  <c:v>-3.9460000000000002</c:v>
                </c:pt>
                <c:pt idx="359">
                  <c:v>-4.8730000000000002</c:v>
                </c:pt>
                <c:pt idx="360">
                  <c:v>-4.141</c:v>
                </c:pt>
                <c:pt idx="361">
                  <c:v>-7.59</c:v>
                </c:pt>
                <c:pt idx="362">
                  <c:v>-3.169</c:v>
                </c:pt>
                <c:pt idx="363">
                  <c:v>-5.6879999999999997</c:v>
                </c:pt>
                <c:pt idx="364">
                  <c:v>-3.8879999999999999</c:v>
                </c:pt>
                <c:pt idx="365">
                  <c:v>-7.94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Data!$G$6:$G$371</c:f>
              <c:numCache>
                <c:formatCode>General</c:formatCode>
                <c:ptCount val="366"/>
                <c:pt idx="0">
                  <c:v>3.2610000000000001</c:v>
                </c:pt>
                <c:pt idx="1">
                  <c:v>-1.806</c:v>
                </c:pt>
                <c:pt idx="2">
                  <c:v>0.621</c:v>
                </c:pt>
                <c:pt idx="3">
                  <c:v>0.14000000000000001</c:v>
                </c:pt>
                <c:pt idx="4">
                  <c:v>-2.0179999999999998</c:v>
                </c:pt>
                <c:pt idx="5">
                  <c:v>-2.4529999999999998</c:v>
                </c:pt>
                <c:pt idx="6">
                  <c:v>-6.4109999999999996</c:v>
                </c:pt>
                <c:pt idx="7">
                  <c:v>-6.9480000000000004</c:v>
                </c:pt>
                <c:pt idx="8">
                  <c:v>-2.1339999999999999</c:v>
                </c:pt>
                <c:pt idx="9">
                  <c:v>-6.7489999999999997</c:v>
                </c:pt>
                <c:pt idx="10">
                  <c:v>-13.93</c:v>
                </c:pt>
                <c:pt idx="11">
                  <c:v>-23.67</c:v>
                </c:pt>
                <c:pt idx="12">
                  <c:v>-18.34</c:v>
                </c:pt>
                <c:pt idx="13">
                  <c:v>-11.95</c:v>
                </c:pt>
                <c:pt idx="14">
                  <c:v>-14.76</c:v>
                </c:pt>
                <c:pt idx="15">
                  <c:v>-11.29</c:v>
                </c:pt>
                <c:pt idx="16">
                  <c:v>-12.25</c:v>
                </c:pt>
                <c:pt idx="17">
                  <c:v>-8.9600000000000009</c:v>
                </c:pt>
                <c:pt idx="18">
                  <c:v>-4.0819999999999999</c:v>
                </c:pt>
                <c:pt idx="19">
                  <c:v>2.6190000000000002</c:v>
                </c:pt>
                <c:pt idx="20">
                  <c:v>1.925</c:v>
                </c:pt>
                <c:pt idx="21">
                  <c:v>0.93400000000000005</c:v>
                </c:pt>
                <c:pt idx="22">
                  <c:v>3.3620000000000001</c:v>
                </c:pt>
                <c:pt idx="23">
                  <c:v>0.221</c:v>
                </c:pt>
                <c:pt idx="24">
                  <c:v>1.597</c:v>
                </c:pt>
                <c:pt idx="25">
                  <c:v>1.79</c:v>
                </c:pt>
                <c:pt idx="26">
                  <c:v>2.0990000000000002</c:v>
                </c:pt>
                <c:pt idx="27">
                  <c:v>6.1959999999999997</c:v>
                </c:pt>
                <c:pt idx="28">
                  <c:v>7.76</c:v>
                </c:pt>
                <c:pt idx="29">
                  <c:v>8.0299999999999994</c:v>
                </c:pt>
                <c:pt idx="30">
                  <c:v>6.7629999999999999</c:v>
                </c:pt>
                <c:pt idx="31">
                  <c:v>4.0289999999999999</c:v>
                </c:pt>
                <c:pt idx="32">
                  <c:v>8.5299999999999994</c:v>
                </c:pt>
                <c:pt idx="33">
                  <c:v>3.121</c:v>
                </c:pt>
                <c:pt idx="34">
                  <c:v>-3.7029999999999998</c:v>
                </c:pt>
                <c:pt idx="35">
                  <c:v>1.331</c:v>
                </c:pt>
                <c:pt idx="36">
                  <c:v>2.6669999999999998</c:v>
                </c:pt>
                <c:pt idx="37">
                  <c:v>-1.2669999999999999</c:v>
                </c:pt>
                <c:pt idx="38">
                  <c:v>0.96599999999999997</c:v>
                </c:pt>
                <c:pt idx="39">
                  <c:v>1.9350000000000001</c:v>
                </c:pt>
                <c:pt idx="40">
                  <c:v>-0.51800000000000002</c:v>
                </c:pt>
                <c:pt idx="41">
                  <c:v>-0.94099999999999995</c:v>
                </c:pt>
                <c:pt idx="42">
                  <c:v>2.831</c:v>
                </c:pt>
                <c:pt idx="43">
                  <c:v>1.28</c:v>
                </c:pt>
                <c:pt idx="44">
                  <c:v>0.86799999999999999</c:v>
                </c:pt>
                <c:pt idx="45">
                  <c:v>1.377</c:v>
                </c:pt>
                <c:pt idx="46">
                  <c:v>3.218</c:v>
                </c:pt>
                <c:pt idx="47">
                  <c:v>6.7229999999999999</c:v>
                </c:pt>
                <c:pt idx="48">
                  <c:v>2.9279999999999999</c:v>
                </c:pt>
                <c:pt idx="49">
                  <c:v>8.1199999999999992</c:v>
                </c:pt>
                <c:pt idx="50">
                  <c:v>4.5330000000000004</c:v>
                </c:pt>
                <c:pt idx="51">
                  <c:v>3.8359999999999999</c:v>
                </c:pt>
                <c:pt idx="52">
                  <c:v>4.0970000000000004</c:v>
                </c:pt>
                <c:pt idx="53">
                  <c:v>7.25</c:v>
                </c:pt>
                <c:pt idx="54">
                  <c:v>4.7169999999999996</c:v>
                </c:pt>
                <c:pt idx="55">
                  <c:v>7.9</c:v>
                </c:pt>
                <c:pt idx="56">
                  <c:v>-1.133</c:v>
                </c:pt>
                <c:pt idx="57">
                  <c:v>-6.9370000000000003</c:v>
                </c:pt>
                <c:pt idx="58">
                  <c:v>1.4530000000000001</c:v>
                </c:pt>
                <c:pt idx="59">
                  <c:v>1.617</c:v>
                </c:pt>
                <c:pt idx="60">
                  <c:v>4.2910000000000004</c:v>
                </c:pt>
                <c:pt idx="61">
                  <c:v>0.95299999999999996</c:v>
                </c:pt>
                <c:pt idx="62">
                  <c:v>1.6559999999999999</c:v>
                </c:pt>
                <c:pt idx="63">
                  <c:v>-3.9950000000000001</c:v>
                </c:pt>
                <c:pt idx="64">
                  <c:v>-4.17</c:v>
                </c:pt>
                <c:pt idx="65">
                  <c:v>0.59799999999999998</c:v>
                </c:pt>
                <c:pt idx="66">
                  <c:v>4.5330000000000004</c:v>
                </c:pt>
                <c:pt idx="67">
                  <c:v>3.2949999999999999</c:v>
                </c:pt>
                <c:pt idx="68">
                  <c:v>4.2809999999999997</c:v>
                </c:pt>
                <c:pt idx="69">
                  <c:v>2.976</c:v>
                </c:pt>
                <c:pt idx="70">
                  <c:v>3.246</c:v>
                </c:pt>
                <c:pt idx="71">
                  <c:v>6.1849999999999996</c:v>
                </c:pt>
                <c:pt idx="72">
                  <c:v>6.069</c:v>
                </c:pt>
                <c:pt idx="73">
                  <c:v>10.130000000000001</c:v>
                </c:pt>
                <c:pt idx="74">
                  <c:v>15.37</c:v>
                </c:pt>
                <c:pt idx="75">
                  <c:v>20.260000000000002</c:v>
                </c:pt>
                <c:pt idx="76">
                  <c:v>21.5</c:v>
                </c:pt>
                <c:pt idx="77">
                  <c:v>20</c:v>
                </c:pt>
                <c:pt idx="78">
                  <c:v>18.8</c:v>
                </c:pt>
                <c:pt idx="79">
                  <c:v>10.199999999999999</c:v>
                </c:pt>
                <c:pt idx="80">
                  <c:v>12.2</c:v>
                </c:pt>
                <c:pt idx="81">
                  <c:v>11.72</c:v>
                </c:pt>
                <c:pt idx="82">
                  <c:v>10.48</c:v>
                </c:pt>
                <c:pt idx="83">
                  <c:v>13.32</c:v>
                </c:pt>
                <c:pt idx="84">
                  <c:v>12.28</c:v>
                </c:pt>
                <c:pt idx="85">
                  <c:v>5.9119999999999999</c:v>
                </c:pt>
                <c:pt idx="86">
                  <c:v>2.7250000000000001</c:v>
                </c:pt>
                <c:pt idx="87">
                  <c:v>10.09</c:v>
                </c:pt>
                <c:pt idx="88">
                  <c:v>8.08</c:v>
                </c:pt>
                <c:pt idx="89">
                  <c:v>7.55</c:v>
                </c:pt>
                <c:pt idx="90">
                  <c:v>9.6999999999999993</c:v>
                </c:pt>
                <c:pt idx="91">
                  <c:v>17.84</c:v>
                </c:pt>
                <c:pt idx="92">
                  <c:v>12.78</c:v>
                </c:pt>
                <c:pt idx="93">
                  <c:v>8.94</c:v>
                </c:pt>
                <c:pt idx="94">
                  <c:v>6.1669999999999998</c:v>
                </c:pt>
                <c:pt idx="95">
                  <c:v>5.2119999999999997</c:v>
                </c:pt>
                <c:pt idx="96">
                  <c:v>9.5399999999999991</c:v>
                </c:pt>
                <c:pt idx="97">
                  <c:v>10</c:v>
                </c:pt>
                <c:pt idx="98">
                  <c:v>1.484</c:v>
                </c:pt>
                <c:pt idx="99">
                  <c:v>7.59</c:v>
                </c:pt>
                <c:pt idx="100">
                  <c:v>14.04</c:v>
                </c:pt>
                <c:pt idx="101">
                  <c:v>8.94</c:v>
                </c:pt>
                <c:pt idx="102">
                  <c:v>11.09</c:v>
                </c:pt>
                <c:pt idx="103">
                  <c:v>17.02</c:v>
                </c:pt>
                <c:pt idx="104">
                  <c:v>18.649999999999999</c:v>
                </c:pt>
                <c:pt idx="105">
                  <c:v>12.73</c:v>
                </c:pt>
                <c:pt idx="106">
                  <c:v>4.4160000000000004</c:v>
                </c:pt>
                <c:pt idx="107">
                  <c:v>6.4189999999999996</c:v>
                </c:pt>
                <c:pt idx="108">
                  <c:v>11.3</c:v>
                </c:pt>
                <c:pt idx="109">
                  <c:v>13.74</c:v>
                </c:pt>
                <c:pt idx="110">
                  <c:v>17.84</c:v>
                </c:pt>
                <c:pt idx="111">
                  <c:v>10.01</c:v>
                </c:pt>
                <c:pt idx="112">
                  <c:v>15.59</c:v>
                </c:pt>
                <c:pt idx="113">
                  <c:v>18.71</c:v>
                </c:pt>
                <c:pt idx="114">
                  <c:v>13.13</c:v>
                </c:pt>
                <c:pt idx="115">
                  <c:v>10.84</c:v>
                </c:pt>
                <c:pt idx="116">
                  <c:v>7.65</c:v>
                </c:pt>
                <c:pt idx="117">
                  <c:v>9.8000000000000007</c:v>
                </c:pt>
                <c:pt idx="118">
                  <c:v>7.96</c:v>
                </c:pt>
                <c:pt idx="119">
                  <c:v>7.13</c:v>
                </c:pt>
                <c:pt idx="120">
                  <c:v>9.3699999999999992</c:v>
                </c:pt>
                <c:pt idx="121">
                  <c:v>11.61</c:v>
                </c:pt>
                <c:pt idx="122">
                  <c:v>17.47</c:v>
                </c:pt>
                <c:pt idx="123">
                  <c:v>17.87</c:v>
                </c:pt>
                <c:pt idx="124">
                  <c:v>19.16</c:v>
                </c:pt>
                <c:pt idx="125">
                  <c:v>18.04</c:v>
                </c:pt>
                <c:pt idx="126">
                  <c:v>12.43</c:v>
                </c:pt>
                <c:pt idx="127">
                  <c:v>13.35</c:v>
                </c:pt>
                <c:pt idx="128">
                  <c:v>20.39</c:v>
                </c:pt>
                <c:pt idx="129">
                  <c:v>25.48</c:v>
                </c:pt>
                <c:pt idx="130">
                  <c:v>28.73</c:v>
                </c:pt>
                <c:pt idx="131">
                  <c:v>29.31</c:v>
                </c:pt>
                <c:pt idx="132">
                  <c:v>25.92</c:v>
                </c:pt>
                <c:pt idx="133">
                  <c:v>13.94</c:v>
                </c:pt>
                <c:pt idx="134">
                  <c:v>19.239999999999998</c:v>
                </c:pt>
                <c:pt idx="135">
                  <c:v>19.82</c:v>
                </c:pt>
                <c:pt idx="136">
                  <c:v>13.61</c:v>
                </c:pt>
                <c:pt idx="137">
                  <c:v>8.42</c:v>
                </c:pt>
                <c:pt idx="138">
                  <c:v>13.74</c:v>
                </c:pt>
                <c:pt idx="139">
                  <c:v>15.58</c:v>
                </c:pt>
                <c:pt idx="140">
                  <c:v>19.100000000000001</c:v>
                </c:pt>
                <c:pt idx="141">
                  <c:v>12.37</c:v>
                </c:pt>
                <c:pt idx="142">
                  <c:v>18.77</c:v>
                </c:pt>
                <c:pt idx="143">
                  <c:v>19.75</c:v>
                </c:pt>
                <c:pt idx="144">
                  <c:v>17.329999999999998</c:v>
                </c:pt>
                <c:pt idx="145">
                  <c:v>12.52</c:v>
                </c:pt>
                <c:pt idx="146">
                  <c:v>14.17</c:v>
                </c:pt>
                <c:pt idx="147">
                  <c:v>13.3</c:v>
                </c:pt>
                <c:pt idx="148">
                  <c:v>11.89</c:v>
                </c:pt>
                <c:pt idx="149">
                  <c:v>11.82</c:v>
                </c:pt>
                <c:pt idx="150">
                  <c:v>14.1</c:v>
                </c:pt>
                <c:pt idx="151">
                  <c:v>17.18</c:v>
                </c:pt>
                <c:pt idx="152">
                  <c:v>14.61</c:v>
                </c:pt>
                <c:pt idx="153">
                  <c:v>12.01</c:v>
                </c:pt>
                <c:pt idx="154">
                  <c:v>10.55</c:v>
                </c:pt>
                <c:pt idx="155">
                  <c:v>15.72</c:v>
                </c:pt>
                <c:pt idx="156">
                  <c:v>18.73</c:v>
                </c:pt>
                <c:pt idx="157">
                  <c:v>20.99</c:v>
                </c:pt>
                <c:pt idx="158">
                  <c:v>23.34</c:v>
                </c:pt>
                <c:pt idx="159">
                  <c:v>25.81</c:v>
                </c:pt>
                <c:pt idx="160">
                  <c:v>25.77</c:v>
                </c:pt>
                <c:pt idx="161">
                  <c:v>23.7</c:v>
                </c:pt>
                <c:pt idx="162">
                  <c:v>22.32</c:v>
                </c:pt>
                <c:pt idx="163">
                  <c:v>18.14</c:v>
                </c:pt>
                <c:pt idx="164">
                  <c:v>26.39</c:v>
                </c:pt>
                <c:pt idx="165">
                  <c:v>20.93</c:v>
                </c:pt>
                <c:pt idx="166">
                  <c:v>12.22</c:v>
                </c:pt>
                <c:pt idx="167">
                  <c:v>9.6300000000000008</c:v>
                </c:pt>
                <c:pt idx="168">
                  <c:v>13.89</c:v>
                </c:pt>
                <c:pt idx="169">
                  <c:v>16.21</c:v>
                </c:pt>
                <c:pt idx="170">
                  <c:v>20.059999999999999</c:v>
                </c:pt>
                <c:pt idx="171">
                  <c:v>24.56</c:v>
                </c:pt>
                <c:pt idx="172">
                  <c:v>27.7</c:v>
                </c:pt>
                <c:pt idx="173">
                  <c:v>24.86</c:v>
                </c:pt>
                <c:pt idx="174">
                  <c:v>20.37</c:v>
                </c:pt>
                <c:pt idx="175">
                  <c:v>17.59</c:v>
                </c:pt>
                <c:pt idx="176">
                  <c:v>25.41</c:v>
                </c:pt>
                <c:pt idx="177">
                  <c:v>24.33</c:v>
                </c:pt>
                <c:pt idx="178">
                  <c:v>20.149999999999999</c:v>
                </c:pt>
                <c:pt idx="179">
                  <c:v>23.65</c:v>
                </c:pt>
                <c:pt idx="180">
                  <c:v>23.54</c:v>
                </c:pt>
                <c:pt idx="181">
                  <c:v>18.149999999999999</c:v>
                </c:pt>
                <c:pt idx="182">
                  <c:v>21.42</c:v>
                </c:pt>
                <c:pt idx="183">
                  <c:v>21.34</c:v>
                </c:pt>
                <c:pt idx="184">
                  <c:v>24.61</c:v>
                </c:pt>
                <c:pt idx="185">
                  <c:v>28.12</c:v>
                </c:pt>
                <c:pt idx="186">
                  <c:v>29.37</c:v>
                </c:pt>
                <c:pt idx="187">
                  <c:v>29.31</c:v>
                </c:pt>
                <c:pt idx="188">
                  <c:v>33.42</c:v>
                </c:pt>
                <c:pt idx="189">
                  <c:v>34.799999999999997</c:v>
                </c:pt>
                <c:pt idx="190">
                  <c:v>37.520000000000003</c:v>
                </c:pt>
                <c:pt idx="191">
                  <c:v>35.08</c:v>
                </c:pt>
                <c:pt idx="192">
                  <c:v>29.6</c:v>
                </c:pt>
                <c:pt idx="193">
                  <c:v>30.8</c:v>
                </c:pt>
                <c:pt idx="194">
                  <c:v>32.29</c:v>
                </c:pt>
                <c:pt idx="195">
                  <c:v>33.119999999999997</c:v>
                </c:pt>
                <c:pt idx="196">
                  <c:v>33.520000000000003</c:v>
                </c:pt>
                <c:pt idx="197">
                  <c:v>34.06</c:v>
                </c:pt>
                <c:pt idx="198">
                  <c:v>32.33</c:v>
                </c:pt>
                <c:pt idx="199">
                  <c:v>35.369999999999997</c:v>
                </c:pt>
                <c:pt idx="200">
                  <c:v>34.32</c:v>
                </c:pt>
                <c:pt idx="201">
                  <c:v>36.549999999999997</c:v>
                </c:pt>
                <c:pt idx="202">
                  <c:v>38.51</c:v>
                </c:pt>
                <c:pt idx="203">
                  <c:v>32.6</c:v>
                </c:pt>
                <c:pt idx="204">
                  <c:v>28.26</c:v>
                </c:pt>
                <c:pt idx="205">
                  <c:v>26.19</c:v>
                </c:pt>
                <c:pt idx="206">
                  <c:v>18.850000000000001</c:v>
                </c:pt>
                <c:pt idx="207">
                  <c:v>24.74</c:v>
                </c:pt>
                <c:pt idx="208">
                  <c:v>26.46</c:v>
                </c:pt>
                <c:pt idx="209">
                  <c:v>30.03</c:v>
                </c:pt>
                <c:pt idx="210">
                  <c:v>18.64</c:v>
                </c:pt>
                <c:pt idx="211">
                  <c:v>22.32</c:v>
                </c:pt>
                <c:pt idx="212">
                  <c:v>30.52</c:v>
                </c:pt>
                <c:pt idx="213">
                  <c:v>33.909999999999997</c:v>
                </c:pt>
                <c:pt idx="214">
                  <c:v>34.520000000000003</c:v>
                </c:pt>
                <c:pt idx="215">
                  <c:v>35.770000000000003</c:v>
                </c:pt>
                <c:pt idx="216">
                  <c:v>33.74</c:v>
                </c:pt>
                <c:pt idx="217">
                  <c:v>29.83</c:v>
                </c:pt>
                <c:pt idx="218">
                  <c:v>27.6</c:v>
                </c:pt>
                <c:pt idx="219">
                  <c:v>28.5</c:v>
                </c:pt>
                <c:pt idx="220">
                  <c:v>29.37</c:v>
                </c:pt>
                <c:pt idx="221">
                  <c:v>29.42</c:v>
                </c:pt>
                <c:pt idx="222">
                  <c:v>30.18</c:v>
                </c:pt>
                <c:pt idx="223">
                  <c:v>31.91</c:v>
                </c:pt>
                <c:pt idx="224">
                  <c:v>27.16</c:v>
                </c:pt>
                <c:pt idx="225">
                  <c:v>28.27</c:v>
                </c:pt>
                <c:pt idx="226">
                  <c:v>29.79</c:v>
                </c:pt>
                <c:pt idx="227">
                  <c:v>29.14</c:v>
                </c:pt>
                <c:pt idx="228">
                  <c:v>14.52</c:v>
                </c:pt>
                <c:pt idx="229">
                  <c:v>24.04</c:v>
                </c:pt>
                <c:pt idx="230">
                  <c:v>29.73</c:v>
                </c:pt>
                <c:pt idx="231">
                  <c:v>26.92</c:v>
                </c:pt>
                <c:pt idx="232">
                  <c:v>23.62</c:v>
                </c:pt>
                <c:pt idx="233">
                  <c:v>19.39</c:v>
                </c:pt>
                <c:pt idx="234">
                  <c:v>25.53</c:v>
                </c:pt>
                <c:pt idx="235">
                  <c:v>30.6</c:v>
                </c:pt>
                <c:pt idx="236">
                  <c:v>9.5</c:v>
                </c:pt>
                <c:pt idx="237">
                  <c:v>17.25</c:v>
                </c:pt>
                <c:pt idx="238">
                  <c:v>18.940000000000001</c:v>
                </c:pt>
                <c:pt idx="239">
                  <c:v>13.04</c:v>
                </c:pt>
                <c:pt idx="240">
                  <c:v>19.690000000000001</c:v>
                </c:pt>
                <c:pt idx="241">
                  <c:v>27.18</c:v>
                </c:pt>
                <c:pt idx="242">
                  <c:v>29.88</c:v>
                </c:pt>
                <c:pt idx="243">
                  <c:v>32.97</c:v>
                </c:pt>
                <c:pt idx="244">
                  <c:v>34.6</c:v>
                </c:pt>
                <c:pt idx="245">
                  <c:v>27.81</c:v>
                </c:pt>
                <c:pt idx="246">
                  <c:v>28.16</c:v>
                </c:pt>
                <c:pt idx="247">
                  <c:v>29.21</c:v>
                </c:pt>
                <c:pt idx="248">
                  <c:v>33.01</c:v>
                </c:pt>
                <c:pt idx="249">
                  <c:v>34.46</c:v>
                </c:pt>
                <c:pt idx="250">
                  <c:v>33.549999999999997</c:v>
                </c:pt>
                <c:pt idx="251">
                  <c:v>29.74</c:v>
                </c:pt>
                <c:pt idx="252">
                  <c:v>20.83</c:v>
                </c:pt>
                <c:pt idx="253">
                  <c:v>24.47</c:v>
                </c:pt>
                <c:pt idx="254">
                  <c:v>14.81</c:v>
                </c:pt>
                <c:pt idx="255">
                  <c:v>21.02</c:v>
                </c:pt>
                <c:pt idx="256">
                  <c:v>22.91</c:v>
                </c:pt>
                <c:pt idx="257">
                  <c:v>20.49</c:v>
                </c:pt>
                <c:pt idx="258">
                  <c:v>16.37</c:v>
                </c:pt>
                <c:pt idx="259">
                  <c:v>22.42</c:v>
                </c:pt>
                <c:pt idx="260">
                  <c:v>24.89</c:v>
                </c:pt>
                <c:pt idx="261">
                  <c:v>23.44</c:v>
                </c:pt>
                <c:pt idx="262">
                  <c:v>21.49</c:v>
                </c:pt>
                <c:pt idx="263">
                  <c:v>14.51</c:v>
                </c:pt>
                <c:pt idx="264">
                  <c:v>19.940000000000001</c:v>
                </c:pt>
                <c:pt idx="265">
                  <c:v>14.31</c:v>
                </c:pt>
                <c:pt idx="266">
                  <c:v>24.66</c:v>
                </c:pt>
                <c:pt idx="267">
                  <c:v>26.12</c:v>
                </c:pt>
                <c:pt idx="268">
                  <c:v>19.91</c:v>
                </c:pt>
                <c:pt idx="269">
                  <c:v>15.06</c:v>
                </c:pt>
                <c:pt idx="270">
                  <c:v>19.28</c:v>
                </c:pt>
                <c:pt idx="271">
                  <c:v>15.88</c:v>
                </c:pt>
                <c:pt idx="272">
                  <c:v>6.7130000000000001</c:v>
                </c:pt>
                <c:pt idx="273">
                  <c:v>15.54</c:v>
                </c:pt>
                <c:pt idx="274">
                  <c:v>7.57</c:v>
                </c:pt>
                <c:pt idx="275">
                  <c:v>14.87</c:v>
                </c:pt>
                <c:pt idx="276">
                  <c:v>16.059999999999999</c:v>
                </c:pt>
                <c:pt idx="277">
                  <c:v>7.55</c:v>
                </c:pt>
                <c:pt idx="278">
                  <c:v>16.37</c:v>
                </c:pt>
                <c:pt idx="279">
                  <c:v>12.29</c:v>
                </c:pt>
                <c:pt idx="280">
                  <c:v>21.77</c:v>
                </c:pt>
                <c:pt idx="281">
                  <c:v>16.72</c:v>
                </c:pt>
                <c:pt idx="282">
                  <c:v>14.01</c:v>
                </c:pt>
                <c:pt idx="283">
                  <c:v>9.74</c:v>
                </c:pt>
                <c:pt idx="284">
                  <c:v>15.88</c:v>
                </c:pt>
                <c:pt idx="285">
                  <c:v>20.43</c:v>
                </c:pt>
                <c:pt idx="286">
                  <c:v>22.56</c:v>
                </c:pt>
                <c:pt idx="287">
                  <c:v>16.87</c:v>
                </c:pt>
                <c:pt idx="288">
                  <c:v>8.39</c:v>
                </c:pt>
                <c:pt idx="289">
                  <c:v>9.66</c:v>
                </c:pt>
                <c:pt idx="290">
                  <c:v>6.8940000000000001</c:v>
                </c:pt>
                <c:pt idx="291">
                  <c:v>0.76800000000000002</c:v>
                </c:pt>
                <c:pt idx="292">
                  <c:v>7.58</c:v>
                </c:pt>
                <c:pt idx="293">
                  <c:v>9.56</c:v>
                </c:pt>
                <c:pt idx="294">
                  <c:v>5.8090000000000002</c:v>
                </c:pt>
                <c:pt idx="295">
                  <c:v>10.35</c:v>
                </c:pt>
                <c:pt idx="296">
                  <c:v>6.3440000000000003</c:v>
                </c:pt>
                <c:pt idx="297">
                  <c:v>8.89</c:v>
                </c:pt>
                <c:pt idx="298">
                  <c:v>3.7719999999999998</c:v>
                </c:pt>
                <c:pt idx="299">
                  <c:v>8.08</c:v>
                </c:pt>
                <c:pt idx="300">
                  <c:v>9.23</c:v>
                </c:pt>
                <c:pt idx="301">
                  <c:v>8.06</c:v>
                </c:pt>
                <c:pt idx="302">
                  <c:v>4.3029999999999999</c:v>
                </c:pt>
                <c:pt idx="303">
                  <c:v>2.6520000000000001</c:v>
                </c:pt>
                <c:pt idx="304">
                  <c:v>1.5429999999999999</c:v>
                </c:pt>
                <c:pt idx="305">
                  <c:v>0.187</c:v>
                </c:pt>
                <c:pt idx="306">
                  <c:v>1.881</c:v>
                </c:pt>
                <c:pt idx="307">
                  <c:v>1.7070000000000001</c:v>
                </c:pt>
                <c:pt idx="308">
                  <c:v>1.41</c:v>
                </c:pt>
                <c:pt idx="309">
                  <c:v>2.7869999999999999</c:v>
                </c:pt>
                <c:pt idx="310">
                  <c:v>4.5839999999999996</c:v>
                </c:pt>
                <c:pt idx="311">
                  <c:v>3.8780000000000001</c:v>
                </c:pt>
                <c:pt idx="312">
                  <c:v>3.6440000000000001</c:v>
                </c:pt>
                <c:pt idx="313">
                  <c:v>2.1190000000000002</c:v>
                </c:pt>
                <c:pt idx="314">
                  <c:v>5.1539999999999999</c:v>
                </c:pt>
                <c:pt idx="315">
                  <c:v>4.1269999999999998</c:v>
                </c:pt>
                <c:pt idx="316">
                  <c:v>5.7169999999999996</c:v>
                </c:pt>
                <c:pt idx="317">
                  <c:v>0.68799999999999994</c:v>
                </c:pt>
                <c:pt idx="318">
                  <c:v>1.9370000000000001</c:v>
                </c:pt>
                <c:pt idx="319">
                  <c:v>1.4E-2</c:v>
                </c:pt>
                <c:pt idx="320">
                  <c:v>-2.8210000000000002</c:v>
                </c:pt>
                <c:pt idx="321">
                  <c:v>0.59199999999999997</c:v>
                </c:pt>
                <c:pt idx="322">
                  <c:v>-1.4590000000000001</c:v>
                </c:pt>
                <c:pt idx="323">
                  <c:v>-3.3540000000000001</c:v>
                </c:pt>
                <c:pt idx="324">
                  <c:v>-2.4820000000000002</c:v>
                </c:pt>
                <c:pt idx="325">
                  <c:v>3.2269999999999999</c:v>
                </c:pt>
                <c:pt idx="326">
                  <c:v>0.12</c:v>
                </c:pt>
                <c:pt idx="327">
                  <c:v>1.466</c:v>
                </c:pt>
                <c:pt idx="328">
                  <c:v>-0.81399999999999995</c:v>
                </c:pt>
                <c:pt idx="329">
                  <c:v>-4.3849999999999998</c:v>
                </c:pt>
                <c:pt idx="330">
                  <c:v>-4.1790000000000003</c:v>
                </c:pt>
                <c:pt idx="331">
                  <c:v>-3.9169999999999998</c:v>
                </c:pt>
                <c:pt idx="332">
                  <c:v>-3.3919999999999999</c:v>
                </c:pt>
                <c:pt idx="333">
                  <c:v>-0.79400000000000004</c:v>
                </c:pt>
                <c:pt idx="334">
                  <c:v>-0.53400000000000003</c:v>
                </c:pt>
                <c:pt idx="335">
                  <c:v>1.361</c:v>
                </c:pt>
                <c:pt idx="336">
                  <c:v>2.0070000000000001</c:v>
                </c:pt>
                <c:pt idx="337">
                  <c:v>-1.96</c:v>
                </c:pt>
                <c:pt idx="338">
                  <c:v>-2.4239999999999999</c:v>
                </c:pt>
                <c:pt idx="339">
                  <c:v>-2.153</c:v>
                </c:pt>
                <c:pt idx="340">
                  <c:v>0.48499999999999999</c:v>
                </c:pt>
                <c:pt idx="341">
                  <c:v>0.253</c:v>
                </c:pt>
                <c:pt idx="342">
                  <c:v>-9.2999999999999999E-2</c:v>
                </c:pt>
                <c:pt idx="343">
                  <c:v>-1.613</c:v>
                </c:pt>
                <c:pt idx="344">
                  <c:v>-3.78</c:v>
                </c:pt>
                <c:pt idx="345">
                  <c:v>-1.9990000000000001</c:v>
                </c:pt>
                <c:pt idx="346">
                  <c:v>-0.60199999999999998</c:v>
                </c:pt>
                <c:pt idx="347">
                  <c:v>-1.006</c:v>
                </c:pt>
                <c:pt idx="348">
                  <c:v>0.59099999999999997</c:v>
                </c:pt>
                <c:pt idx="349">
                  <c:v>-1.2470000000000001</c:v>
                </c:pt>
                <c:pt idx="350">
                  <c:v>-4.2969999999999997</c:v>
                </c:pt>
                <c:pt idx="351">
                  <c:v>-2.472</c:v>
                </c:pt>
                <c:pt idx="352">
                  <c:v>1.4750000000000001</c:v>
                </c:pt>
                <c:pt idx="353">
                  <c:v>0.30099999999999999</c:v>
                </c:pt>
                <c:pt idx="354">
                  <c:v>1.3879999999999999</c:v>
                </c:pt>
                <c:pt idx="355">
                  <c:v>0.96599999999999997</c:v>
                </c:pt>
                <c:pt idx="356">
                  <c:v>-0.35099999999999998</c:v>
                </c:pt>
                <c:pt idx="357">
                  <c:v>3.613</c:v>
                </c:pt>
                <c:pt idx="358">
                  <c:v>1.2150000000000001</c:v>
                </c:pt>
                <c:pt idx="359">
                  <c:v>-1.845</c:v>
                </c:pt>
                <c:pt idx="360">
                  <c:v>-0.10100000000000001</c:v>
                </c:pt>
                <c:pt idx="361">
                  <c:v>-2.3180000000000001</c:v>
                </c:pt>
                <c:pt idx="362">
                  <c:v>-0.54400000000000004</c:v>
                </c:pt>
                <c:pt idx="363">
                  <c:v>1.476</c:v>
                </c:pt>
                <c:pt idx="364">
                  <c:v>-1.5840000000000001</c:v>
                </c:pt>
                <c:pt idx="365">
                  <c:v>-1.806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3424"/>
        <c:axId val="207303040"/>
      </c:lineChart>
      <c:catAx>
        <c:axId val="207223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30304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303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223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Panel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-5.9560000000000004</c:v>
                </c:pt>
                <c:pt idx="1">
                  <c:v>-6.9139999999999997</c:v>
                </c:pt>
                <c:pt idx="2">
                  <c:v>-2.7559999999999998</c:v>
                </c:pt>
                <c:pt idx="3">
                  <c:v>-5.2850000000000001</c:v>
                </c:pt>
                <c:pt idx="4">
                  <c:v>-6.6139999999999999</c:v>
                </c:pt>
                <c:pt idx="5">
                  <c:v>-6.274</c:v>
                </c:pt>
                <c:pt idx="6">
                  <c:v>-12.8</c:v>
                </c:pt>
                <c:pt idx="7">
                  <c:v>-14.26</c:v>
                </c:pt>
                <c:pt idx="8">
                  <c:v>-7.15</c:v>
                </c:pt>
                <c:pt idx="9">
                  <c:v>-14.56</c:v>
                </c:pt>
                <c:pt idx="10">
                  <c:v>-33.909999999999997</c:v>
                </c:pt>
                <c:pt idx="11">
                  <c:v>-37.54</c:v>
                </c:pt>
                <c:pt idx="12">
                  <c:v>-35.369999999999997</c:v>
                </c:pt>
                <c:pt idx="13">
                  <c:v>-25.28</c:v>
                </c:pt>
                <c:pt idx="14">
                  <c:v>-25.39</c:v>
                </c:pt>
                <c:pt idx="15">
                  <c:v>-18.41</c:v>
                </c:pt>
                <c:pt idx="16">
                  <c:v>-18.93</c:v>
                </c:pt>
                <c:pt idx="17">
                  <c:v>-17.899999999999999</c:v>
                </c:pt>
                <c:pt idx="18">
                  <c:v>-11.72</c:v>
                </c:pt>
                <c:pt idx="19">
                  <c:v>-4.468</c:v>
                </c:pt>
                <c:pt idx="20">
                  <c:v>-0.60699999999999998</c:v>
                </c:pt>
                <c:pt idx="21">
                  <c:v>-0.85599999999999998</c:v>
                </c:pt>
                <c:pt idx="22">
                  <c:v>-2.3620000000000001</c:v>
                </c:pt>
                <c:pt idx="23">
                  <c:v>-3.548</c:v>
                </c:pt>
                <c:pt idx="24">
                  <c:v>-4.72</c:v>
                </c:pt>
                <c:pt idx="25">
                  <c:v>-3.1309999999999998</c:v>
                </c:pt>
                <c:pt idx="26">
                  <c:v>-0.29599999999999999</c:v>
                </c:pt>
                <c:pt idx="27">
                  <c:v>1.488</c:v>
                </c:pt>
                <c:pt idx="28">
                  <c:v>2.7360000000000002</c:v>
                </c:pt>
                <c:pt idx="29">
                  <c:v>2.984</c:v>
                </c:pt>
                <c:pt idx="30">
                  <c:v>2.673</c:v>
                </c:pt>
                <c:pt idx="31">
                  <c:v>2.4649999999999999</c:v>
                </c:pt>
                <c:pt idx="32">
                  <c:v>-2.0539999999999998</c:v>
                </c:pt>
                <c:pt idx="33">
                  <c:v>-3.6520000000000001</c:v>
                </c:pt>
                <c:pt idx="34">
                  <c:v>-6.8070000000000004</c:v>
                </c:pt>
                <c:pt idx="35">
                  <c:v>-6.7430000000000003</c:v>
                </c:pt>
                <c:pt idx="36">
                  <c:v>-2.2589999999999999</c:v>
                </c:pt>
                <c:pt idx="37">
                  <c:v>-5.3070000000000004</c:v>
                </c:pt>
                <c:pt idx="38">
                  <c:v>-8.4499999999999993</c:v>
                </c:pt>
                <c:pt idx="39">
                  <c:v>-12.8</c:v>
                </c:pt>
                <c:pt idx="40">
                  <c:v>-11.46</c:v>
                </c:pt>
                <c:pt idx="41">
                  <c:v>-3.9239999999999999</c:v>
                </c:pt>
                <c:pt idx="42">
                  <c:v>-9.86</c:v>
                </c:pt>
                <c:pt idx="43">
                  <c:v>-13.23</c:v>
                </c:pt>
                <c:pt idx="44">
                  <c:v>-15.52</c:v>
                </c:pt>
                <c:pt idx="45">
                  <c:v>-16.89</c:v>
                </c:pt>
                <c:pt idx="46">
                  <c:v>-15.57</c:v>
                </c:pt>
                <c:pt idx="47">
                  <c:v>-10.51</c:v>
                </c:pt>
                <c:pt idx="48">
                  <c:v>-7.19</c:v>
                </c:pt>
                <c:pt idx="49">
                  <c:v>-4.9720000000000004</c:v>
                </c:pt>
                <c:pt idx="50">
                  <c:v>-0.503</c:v>
                </c:pt>
                <c:pt idx="51">
                  <c:v>-0.29599999999999999</c:v>
                </c:pt>
                <c:pt idx="52">
                  <c:v>-2.714</c:v>
                </c:pt>
                <c:pt idx="53">
                  <c:v>-4.3209999999999997</c:v>
                </c:pt>
                <c:pt idx="54">
                  <c:v>-1.764</c:v>
                </c:pt>
                <c:pt idx="55">
                  <c:v>-6.444</c:v>
                </c:pt>
                <c:pt idx="56">
                  <c:v>-14.68</c:v>
                </c:pt>
                <c:pt idx="57">
                  <c:v>-22.67</c:v>
                </c:pt>
                <c:pt idx="58">
                  <c:v>-8.19</c:v>
                </c:pt>
                <c:pt idx="59">
                  <c:v>-8.51</c:v>
                </c:pt>
                <c:pt idx="60">
                  <c:v>-7.15</c:v>
                </c:pt>
                <c:pt idx="61">
                  <c:v>-6</c:v>
                </c:pt>
                <c:pt idx="62">
                  <c:v>-12.12</c:v>
                </c:pt>
                <c:pt idx="63">
                  <c:v>-16.95</c:v>
                </c:pt>
                <c:pt idx="64">
                  <c:v>-17</c:v>
                </c:pt>
                <c:pt idx="65">
                  <c:v>-18.13</c:v>
                </c:pt>
                <c:pt idx="66">
                  <c:v>-14.76</c:v>
                </c:pt>
                <c:pt idx="67">
                  <c:v>-6.7850000000000001</c:v>
                </c:pt>
                <c:pt idx="68">
                  <c:v>-4.3209999999999997</c:v>
                </c:pt>
                <c:pt idx="69">
                  <c:v>-4.72</c:v>
                </c:pt>
                <c:pt idx="70">
                  <c:v>-3.2770000000000001</c:v>
                </c:pt>
                <c:pt idx="71">
                  <c:v>-2.964</c:v>
                </c:pt>
                <c:pt idx="72">
                  <c:v>-7.56</c:v>
                </c:pt>
                <c:pt idx="73">
                  <c:v>-6.9349999999999996</c:v>
                </c:pt>
                <c:pt idx="74">
                  <c:v>-2.61</c:v>
                </c:pt>
                <c:pt idx="75">
                  <c:v>-1.329</c:v>
                </c:pt>
                <c:pt idx="76">
                  <c:v>1.8</c:v>
                </c:pt>
                <c:pt idx="77">
                  <c:v>0.67900000000000005</c:v>
                </c:pt>
                <c:pt idx="78">
                  <c:v>0.20200000000000001</c:v>
                </c:pt>
                <c:pt idx="79">
                  <c:v>1.3640000000000001</c:v>
                </c:pt>
                <c:pt idx="80">
                  <c:v>-4.0910000000000002</c:v>
                </c:pt>
                <c:pt idx="81">
                  <c:v>-4.8239999999999998</c:v>
                </c:pt>
                <c:pt idx="82">
                  <c:v>-5.1349999999999998</c:v>
                </c:pt>
                <c:pt idx="83">
                  <c:v>-8.23</c:v>
                </c:pt>
                <c:pt idx="84">
                  <c:v>-5.2619999999999996</c:v>
                </c:pt>
                <c:pt idx="85">
                  <c:v>-3.694</c:v>
                </c:pt>
                <c:pt idx="86">
                  <c:v>-5.6589999999999998</c:v>
                </c:pt>
                <c:pt idx="87">
                  <c:v>-5.117</c:v>
                </c:pt>
                <c:pt idx="88">
                  <c:v>-6.0190000000000001</c:v>
                </c:pt>
                <c:pt idx="89">
                  <c:v>-8.2100000000000009</c:v>
                </c:pt>
                <c:pt idx="90">
                  <c:v>-7.17</c:v>
                </c:pt>
                <c:pt idx="91">
                  <c:v>-2.6520000000000001</c:v>
                </c:pt>
                <c:pt idx="92">
                  <c:v>4.5209999999999999</c:v>
                </c:pt>
                <c:pt idx="93">
                  <c:v>-4.6769999999999996</c:v>
                </c:pt>
                <c:pt idx="94">
                  <c:v>-5.0540000000000003</c:v>
                </c:pt>
                <c:pt idx="95">
                  <c:v>-2.4649999999999999</c:v>
                </c:pt>
                <c:pt idx="96">
                  <c:v>-3.84</c:v>
                </c:pt>
                <c:pt idx="97">
                  <c:v>-5.8280000000000003</c:v>
                </c:pt>
                <c:pt idx="98">
                  <c:v>-2.714</c:v>
                </c:pt>
                <c:pt idx="99">
                  <c:v>-4.6139999999999999</c:v>
                </c:pt>
                <c:pt idx="100">
                  <c:v>-5.7220000000000004</c:v>
                </c:pt>
                <c:pt idx="101">
                  <c:v>-1.6579999999999999</c:v>
                </c:pt>
                <c:pt idx="102">
                  <c:v>-2.61</c:v>
                </c:pt>
                <c:pt idx="103">
                  <c:v>-2.194</c:v>
                </c:pt>
                <c:pt idx="104">
                  <c:v>-0.66700000000000004</c:v>
                </c:pt>
                <c:pt idx="105">
                  <c:v>-2.5270000000000001</c:v>
                </c:pt>
                <c:pt idx="106">
                  <c:v>-5.7649999999999997</c:v>
                </c:pt>
                <c:pt idx="107">
                  <c:v>-8.9499999999999993</c:v>
                </c:pt>
                <c:pt idx="108">
                  <c:v>-6.6360000000000001</c:v>
                </c:pt>
                <c:pt idx="109">
                  <c:v>-7.13</c:v>
                </c:pt>
                <c:pt idx="110">
                  <c:v>-4.6349999999999998</c:v>
                </c:pt>
                <c:pt idx="111">
                  <c:v>-2.61</c:v>
                </c:pt>
                <c:pt idx="112">
                  <c:v>-5.2809999999999997</c:v>
                </c:pt>
                <c:pt idx="113">
                  <c:v>-2.714</c:v>
                </c:pt>
                <c:pt idx="114">
                  <c:v>1.883</c:v>
                </c:pt>
                <c:pt idx="115">
                  <c:v>-0.54400000000000004</c:v>
                </c:pt>
                <c:pt idx="116">
                  <c:v>0.20200000000000001</c:v>
                </c:pt>
                <c:pt idx="117">
                  <c:v>-0.752</c:v>
                </c:pt>
                <c:pt idx="118">
                  <c:v>-3.089</c:v>
                </c:pt>
                <c:pt idx="119">
                  <c:v>-5.1769999999999996</c:v>
                </c:pt>
                <c:pt idx="120">
                  <c:v>-5.9550000000000001</c:v>
                </c:pt>
                <c:pt idx="121">
                  <c:v>-4.468</c:v>
                </c:pt>
                <c:pt idx="122">
                  <c:v>-3.2349999999999999</c:v>
                </c:pt>
                <c:pt idx="123">
                  <c:v>-0.64800000000000002</c:v>
                </c:pt>
                <c:pt idx="124">
                  <c:v>2.819</c:v>
                </c:pt>
                <c:pt idx="125">
                  <c:v>3.673</c:v>
                </c:pt>
                <c:pt idx="126">
                  <c:v>-1.325</c:v>
                </c:pt>
                <c:pt idx="127">
                  <c:v>-2.2570000000000001</c:v>
                </c:pt>
                <c:pt idx="128">
                  <c:v>-4.2169999999999996</c:v>
                </c:pt>
                <c:pt idx="129">
                  <c:v>1.9870000000000001</c:v>
                </c:pt>
                <c:pt idx="130">
                  <c:v>5.923</c:v>
                </c:pt>
                <c:pt idx="131">
                  <c:v>6.7859999999999996</c:v>
                </c:pt>
                <c:pt idx="132">
                  <c:v>6.1340000000000003</c:v>
                </c:pt>
                <c:pt idx="133">
                  <c:v>1.655</c:v>
                </c:pt>
                <c:pt idx="134">
                  <c:v>0.182</c:v>
                </c:pt>
                <c:pt idx="135">
                  <c:v>6.47</c:v>
                </c:pt>
                <c:pt idx="136">
                  <c:v>9.9000000000000005E-2</c:v>
                </c:pt>
                <c:pt idx="137">
                  <c:v>-0.127</c:v>
                </c:pt>
                <c:pt idx="138">
                  <c:v>-0.499</c:v>
                </c:pt>
                <c:pt idx="139">
                  <c:v>-1.8620000000000001</c:v>
                </c:pt>
                <c:pt idx="140">
                  <c:v>-1.4259999999999999</c:v>
                </c:pt>
                <c:pt idx="141">
                  <c:v>3.528</c:v>
                </c:pt>
                <c:pt idx="142">
                  <c:v>2.673</c:v>
                </c:pt>
                <c:pt idx="143">
                  <c:v>1.8420000000000001</c:v>
                </c:pt>
                <c:pt idx="144">
                  <c:v>3.7360000000000002</c:v>
                </c:pt>
                <c:pt idx="145">
                  <c:v>1.4259999999999999</c:v>
                </c:pt>
                <c:pt idx="146">
                  <c:v>-6.6000000000000003E-2</c:v>
                </c:pt>
                <c:pt idx="147">
                  <c:v>2.1120000000000001</c:v>
                </c:pt>
                <c:pt idx="148">
                  <c:v>7.8E-2</c:v>
                </c:pt>
                <c:pt idx="149">
                  <c:v>-0.93</c:v>
                </c:pt>
                <c:pt idx="150">
                  <c:v>-1.82</c:v>
                </c:pt>
                <c:pt idx="151">
                  <c:v>1.2190000000000001</c:v>
                </c:pt>
                <c:pt idx="152">
                  <c:v>4.944</c:v>
                </c:pt>
                <c:pt idx="153">
                  <c:v>1.9870000000000001</c:v>
                </c:pt>
                <c:pt idx="154">
                  <c:v>1.177</c:v>
                </c:pt>
                <c:pt idx="155">
                  <c:v>0.67900000000000005</c:v>
                </c:pt>
                <c:pt idx="156">
                  <c:v>-0.82799999999999996</c:v>
                </c:pt>
                <c:pt idx="157">
                  <c:v>-4.0000000000000001E-3</c:v>
                </c:pt>
                <c:pt idx="158">
                  <c:v>1.302</c:v>
                </c:pt>
                <c:pt idx="159">
                  <c:v>3.09</c:v>
                </c:pt>
                <c:pt idx="160">
                  <c:v>7.42</c:v>
                </c:pt>
                <c:pt idx="161">
                  <c:v>6.3220000000000001</c:v>
                </c:pt>
                <c:pt idx="162">
                  <c:v>4.8019999999999996</c:v>
                </c:pt>
                <c:pt idx="163">
                  <c:v>0.65800000000000003</c:v>
                </c:pt>
                <c:pt idx="164">
                  <c:v>0.82399999999999995</c:v>
                </c:pt>
                <c:pt idx="165">
                  <c:v>1.738</c:v>
                </c:pt>
                <c:pt idx="166">
                  <c:v>1.946</c:v>
                </c:pt>
                <c:pt idx="167">
                  <c:v>1.613</c:v>
                </c:pt>
                <c:pt idx="168">
                  <c:v>3.5070000000000001</c:v>
                </c:pt>
                <c:pt idx="169">
                  <c:v>1.405</c:v>
                </c:pt>
                <c:pt idx="170">
                  <c:v>0.97</c:v>
                </c:pt>
                <c:pt idx="171">
                  <c:v>3.653</c:v>
                </c:pt>
                <c:pt idx="172">
                  <c:v>6.0919999999999996</c:v>
                </c:pt>
                <c:pt idx="173">
                  <c:v>9.42</c:v>
                </c:pt>
                <c:pt idx="174">
                  <c:v>6.133</c:v>
                </c:pt>
                <c:pt idx="175">
                  <c:v>4.4669999999999996</c:v>
                </c:pt>
                <c:pt idx="176">
                  <c:v>2.0910000000000002</c:v>
                </c:pt>
                <c:pt idx="177">
                  <c:v>5.7610000000000001</c:v>
                </c:pt>
                <c:pt idx="178">
                  <c:v>4.4880000000000004</c:v>
                </c:pt>
                <c:pt idx="179">
                  <c:v>4.2370000000000001</c:v>
                </c:pt>
                <c:pt idx="180">
                  <c:v>8.8699999999999992</c:v>
                </c:pt>
                <c:pt idx="181">
                  <c:v>9.34</c:v>
                </c:pt>
                <c:pt idx="182">
                  <c:v>9.06</c:v>
                </c:pt>
                <c:pt idx="183">
                  <c:v>4.5720000000000001</c:v>
                </c:pt>
                <c:pt idx="184">
                  <c:v>4.258</c:v>
                </c:pt>
                <c:pt idx="185">
                  <c:v>5.6740000000000004</c:v>
                </c:pt>
                <c:pt idx="186">
                  <c:v>8.4600000000000009</c:v>
                </c:pt>
                <c:pt idx="187">
                  <c:v>9.1199999999999992</c:v>
                </c:pt>
                <c:pt idx="188">
                  <c:v>10.73</c:v>
                </c:pt>
                <c:pt idx="189">
                  <c:v>13.12</c:v>
                </c:pt>
                <c:pt idx="190">
                  <c:v>14.47</c:v>
                </c:pt>
                <c:pt idx="191">
                  <c:v>13.61</c:v>
                </c:pt>
                <c:pt idx="192">
                  <c:v>10.130000000000001</c:v>
                </c:pt>
                <c:pt idx="193">
                  <c:v>10.32</c:v>
                </c:pt>
                <c:pt idx="194">
                  <c:v>11.27</c:v>
                </c:pt>
                <c:pt idx="195">
                  <c:v>11.8</c:v>
                </c:pt>
                <c:pt idx="196">
                  <c:v>12.89</c:v>
                </c:pt>
                <c:pt idx="197">
                  <c:v>12.6</c:v>
                </c:pt>
                <c:pt idx="198">
                  <c:v>15.81</c:v>
                </c:pt>
                <c:pt idx="199">
                  <c:v>15.99</c:v>
                </c:pt>
                <c:pt idx="200">
                  <c:v>14.5</c:v>
                </c:pt>
                <c:pt idx="201">
                  <c:v>12.04</c:v>
                </c:pt>
                <c:pt idx="202">
                  <c:v>16.190000000000001</c:v>
                </c:pt>
                <c:pt idx="203">
                  <c:v>12.82</c:v>
                </c:pt>
                <c:pt idx="204">
                  <c:v>4.4260000000000002</c:v>
                </c:pt>
                <c:pt idx="205">
                  <c:v>7.77</c:v>
                </c:pt>
                <c:pt idx="206">
                  <c:v>5.5149999999999997</c:v>
                </c:pt>
                <c:pt idx="207">
                  <c:v>4.6559999999999997</c:v>
                </c:pt>
                <c:pt idx="208">
                  <c:v>5.83</c:v>
                </c:pt>
                <c:pt idx="209">
                  <c:v>8.74</c:v>
                </c:pt>
                <c:pt idx="210">
                  <c:v>10.73</c:v>
                </c:pt>
                <c:pt idx="211">
                  <c:v>9.31</c:v>
                </c:pt>
                <c:pt idx="212">
                  <c:v>8.1199999999999992</c:v>
                </c:pt>
                <c:pt idx="213">
                  <c:v>9.76</c:v>
                </c:pt>
                <c:pt idx="214">
                  <c:v>14.1</c:v>
                </c:pt>
                <c:pt idx="215">
                  <c:v>15.81</c:v>
                </c:pt>
                <c:pt idx="216">
                  <c:v>14.1</c:v>
                </c:pt>
                <c:pt idx="217">
                  <c:v>11.97</c:v>
                </c:pt>
                <c:pt idx="218">
                  <c:v>7.35</c:v>
                </c:pt>
                <c:pt idx="219">
                  <c:v>6.82</c:v>
                </c:pt>
                <c:pt idx="220">
                  <c:v>9.94</c:v>
                </c:pt>
                <c:pt idx="221">
                  <c:v>10</c:v>
                </c:pt>
                <c:pt idx="222">
                  <c:v>8.99</c:v>
                </c:pt>
                <c:pt idx="223">
                  <c:v>9.5500000000000007</c:v>
                </c:pt>
                <c:pt idx="224">
                  <c:v>10.62</c:v>
                </c:pt>
                <c:pt idx="225">
                  <c:v>8.5</c:v>
                </c:pt>
                <c:pt idx="226">
                  <c:v>9.51</c:v>
                </c:pt>
                <c:pt idx="227">
                  <c:v>10.67</c:v>
                </c:pt>
                <c:pt idx="228">
                  <c:v>10.47</c:v>
                </c:pt>
                <c:pt idx="229">
                  <c:v>9.01</c:v>
                </c:pt>
                <c:pt idx="230">
                  <c:v>8.35</c:v>
                </c:pt>
                <c:pt idx="231">
                  <c:v>5.18</c:v>
                </c:pt>
                <c:pt idx="232">
                  <c:v>5.452</c:v>
                </c:pt>
                <c:pt idx="233">
                  <c:v>7.74</c:v>
                </c:pt>
                <c:pt idx="234">
                  <c:v>6.3140000000000001</c:v>
                </c:pt>
                <c:pt idx="235">
                  <c:v>9.0399999999999991</c:v>
                </c:pt>
                <c:pt idx="236">
                  <c:v>7.14</c:v>
                </c:pt>
                <c:pt idx="237">
                  <c:v>4.2789999999999999</c:v>
                </c:pt>
                <c:pt idx="238">
                  <c:v>5.1379999999999999</c:v>
                </c:pt>
                <c:pt idx="239">
                  <c:v>4.1120000000000001</c:v>
                </c:pt>
                <c:pt idx="240">
                  <c:v>3.6110000000000002</c:v>
                </c:pt>
                <c:pt idx="241">
                  <c:v>4.1959999999999997</c:v>
                </c:pt>
                <c:pt idx="242">
                  <c:v>8.93</c:v>
                </c:pt>
                <c:pt idx="243">
                  <c:v>10.49</c:v>
                </c:pt>
                <c:pt idx="244">
                  <c:v>12.28</c:v>
                </c:pt>
                <c:pt idx="245">
                  <c:v>12.78</c:v>
                </c:pt>
                <c:pt idx="246">
                  <c:v>9.36</c:v>
                </c:pt>
                <c:pt idx="247">
                  <c:v>8.4</c:v>
                </c:pt>
                <c:pt idx="248">
                  <c:v>9.8699999999999992</c:v>
                </c:pt>
                <c:pt idx="249">
                  <c:v>12.63</c:v>
                </c:pt>
                <c:pt idx="250">
                  <c:v>11.97</c:v>
                </c:pt>
                <c:pt idx="251">
                  <c:v>14.54</c:v>
                </c:pt>
                <c:pt idx="252">
                  <c:v>4.8440000000000003</c:v>
                </c:pt>
                <c:pt idx="253">
                  <c:v>2.84</c:v>
                </c:pt>
                <c:pt idx="254">
                  <c:v>6.5880000000000001</c:v>
                </c:pt>
                <c:pt idx="255">
                  <c:v>5.1589999999999998</c:v>
                </c:pt>
                <c:pt idx="256">
                  <c:v>4.0490000000000004</c:v>
                </c:pt>
                <c:pt idx="257">
                  <c:v>3.82</c:v>
                </c:pt>
                <c:pt idx="258">
                  <c:v>1.0389999999999999</c:v>
                </c:pt>
                <c:pt idx="259">
                  <c:v>1.946</c:v>
                </c:pt>
                <c:pt idx="260">
                  <c:v>4.6559999999999997</c:v>
                </c:pt>
                <c:pt idx="261">
                  <c:v>5.41</c:v>
                </c:pt>
                <c:pt idx="262">
                  <c:v>5.5780000000000003</c:v>
                </c:pt>
                <c:pt idx="263">
                  <c:v>8.7999999999999995E-2</c:v>
                </c:pt>
                <c:pt idx="264">
                  <c:v>4.7E-2</c:v>
                </c:pt>
                <c:pt idx="265">
                  <c:v>7.21</c:v>
                </c:pt>
                <c:pt idx="266">
                  <c:v>7.21</c:v>
                </c:pt>
                <c:pt idx="267">
                  <c:v>9.2100000000000009</c:v>
                </c:pt>
                <c:pt idx="268">
                  <c:v>5.851</c:v>
                </c:pt>
                <c:pt idx="269">
                  <c:v>3.1309999999999998</c:v>
                </c:pt>
                <c:pt idx="270">
                  <c:v>1.1200000000000001</c:v>
                </c:pt>
                <c:pt idx="271">
                  <c:v>-5.7000000000000002E-2</c:v>
                </c:pt>
                <c:pt idx="272">
                  <c:v>-1.4259999999999999</c:v>
                </c:pt>
                <c:pt idx="273">
                  <c:v>-2.8370000000000002</c:v>
                </c:pt>
                <c:pt idx="274">
                  <c:v>-0.36799999999999999</c:v>
                </c:pt>
                <c:pt idx="275">
                  <c:v>-1.115</c:v>
                </c:pt>
                <c:pt idx="276">
                  <c:v>-1.696</c:v>
                </c:pt>
                <c:pt idx="277">
                  <c:v>3.7149999999999999</c:v>
                </c:pt>
                <c:pt idx="278">
                  <c:v>0.747</c:v>
                </c:pt>
                <c:pt idx="279">
                  <c:v>3.069</c:v>
                </c:pt>
                <c:pt idx="280">
                  <c:v>2.4449999999999998</c:v>
                </c:pt>
                <c:pt idx="281">
                  <c:v>7.26</c:v>
                </c:pt>
                <c:pt idx="282">
                  <c:v>2.5070000000000001</c:v>
                </c:pt>
                <c:pt idx="283">
                  <c:v>-2.298</c:v>
                </c:pt>
                <c:pt idx="284">
                  <c:v>-1.3640000000000001</c:v>
                </c:pt>
                <c:pt idx="285">
                  <c:v>2.569</c:v>
                </c:pt>
                <c:pt idx="286">
                  <c:v>4.9909999999999997</c:v>
                </c:pt>
                <c:pt idx="287">
                  <c:v>6.2919999999999998</c:v>
                </c:pt>
                <c:pt idx="288">
                  <c:v>4.6980000000000004</c:v>
                </c:pt>
                <c:pt idx="289">
                  <c:v>-1.3009999999999999</c:v>
                </c:pt>
                <c:pt idx="290">
                  <c:v>-3.706</c:v>
                </c:pt>
                <c:pt idx="291">
                  <c:v>-4.2279999999999998</c:v>
                </c:pt>
                <c:pt idx="292">
                  <c:v>0.70599999999999996</c:v>
                </c:pt>
                <c:pt idx="293">
                  <c:v>3.3820000000000001</c:v>
                </c:pt>
                <c:pt idx="294">
                  <c:v>0.19</c:v>
                </c:pt>
                <c:pt idx="295">
                  <c:v>-4.1440000000000001</c:v>
                </c:pt>
                <c:pt idx="296">
                  <c:v>-3.7080000000000002</c:v>
                </c:pt>
                <c:pt idx="297">
                  <c:v>-4.7110000000000003</c:v>
                </c:pt>
                <c:pt idx="298">
                  <c:v>-4.8579999999999997</c:v>
                </c:pt>
                <c:pt idx="299">
                  <c:v>0.70199999999999996</c:v>
                </c:pt>
                <c:pt idx="300">
                  <c:v>1.4890000000000001</c:v>
                </c:pt>
                <c:pt idx="301">
                  <c:v>-1.4259999999999999</c:v>
                </c:pt>
                <c:pt idx="302">
                  <c:v>-5.6589999999999998</c:v>
                </c:pt>
                <c:pt idx="303">
                  <c:v>-3.214</c:v>
                </c:pt>
                <c:pt idx="304">
                  <c:v>-2.423</c:v>
                </c:pt>
                <c:pt idx="305">
                  <c:v>-2.6930000000000001</c:v>
                </c:pt>
                <c:pt idx="306">
                  <c:v>-3.0270000000000001</c:v>
                </c:pt>
                <c:pt idx="307">
                  <c:v>-5.3840000000000003</c:v>
                </c:pt>
                <c:pt idx="308">
                  <c:v>-2.4020000000000001</c:v>
                </c:pt>
                <c:pt idx="309">
                  <c:v>-6.5720000000000001</c:v>
                </c:pt>
                <c:pt idx="310">
                  <c:v>-6.4649999999999999</c:v>
                </c:pt>
                <c:pt idx="311">
                  <c:v>-1.3839999999999999</c:v>
                </c:pt>
                <c:pt idx="312">
                  <c:v>-1.405</c:v>
                </c:pt>
                <c:pt idx="313">
                  <c:v>0.22600000000000001</c:v>
                </c:pt>
                <c:pt idx="314">
                  <c:v>-6.0999999999999999E-2</c:v>
                </c:pt>
                <c:pt idx="315">
                  <c:v>-2.0489999999999999</c:v>
                </c:pt>
                <c:pt idx="316">
                  <c:v>-0.80400000000000005</c:v>
                </c:pt>
                <c:pt idx="317">
                  <c:v>-8.2000000000000003E-2</c:v>
                </c:pt>
                <c:pt idx="318">
                  <c:v>-3.0270000000000001</c:v>
                </c:pt>
                <c:pt idx="319">
                  <c:v>-7.02</c:v>
                </c:pt>
                <c:pt idx="320">
                  <c:v>-7.06</c:v>
                </c:pt>
                <c:pt idx="321">
                  <c:v>-5.1100000000000003</c:v>
                </c:pt>
                <c:pt idx="322">
                  <c:v>-9.9</c:v>
                </c:pt>
                <c:pt idx="323">
                  <c:v>-11.58</c:v>
                </c:pt>
                <c:pt idx="324">
                  <c:v>-5.0259999999999998</c:v>
                </c:pt>
                <c:pt idx="325">
                  <c:v>-3.714</c:v>
                </c:pt>
                <c:pt idx="326">
                  <c:v>-4.3570000000000002</c:v>
                </c:pt>
                <c:pt idx="327">
                  <c:v>-5.7859999999999996</c:v>
                </c:pt>
                <c:pt idx="328">
                  <c:v>-5.7859999999999996</c:v>
                </c:pt>
                <c:pt idx="329">
                  <c:v>-7.77</c:v>
                </c:pt>
                <c:pt idx="330">
                  <c:v>-10.62</c:v>
                </c:pt>
                <c:pt idx="331">
                  <c:v>-9.43</c:v>
                </c:pt>
                <c:pt idx="332">
                  <c:v>-9.81</c:v>
                </c:pt>
                <c:pt idx="333">
                  <c:v>-9.16</c:v>
                </c:pt>
                <c:pt idx="334">
                  <c:v>-4.9000000000000004</c:v>
                </c:pt>
                <c:pt idx="335">
                  <c:v>-6.1459999999999999</c:v>
                </c:pt>
                <c:pt idx="336">
                  <c:v>-8.19</c:v>
                </c:pt>
                <c:pt idx="337">
                  <c:v>-7.73</c:v>
                </c:pt>
                <c:pt idx="338">
                  <c:v>-8.64</c:v>
                </c:pt>
                <c:pt idx="339">
                  <c:v>-9.41</c:v>
                </c:pt>
                <c:pt idx="340">
                  <c:v>-4.173</c:v>
                </c:pt>
                <c:pt idx="341">
                  <c:v>-2.028</c:v>
                </c:pt>
                <c:pt idx="342">
                  <c:v>-5.0679999999999996</c:v>
                </c:pt>
                <c:pt idx="343">
                  <c:v>-7.77</c:v>
                </c:pt>
                <c:pt idx="344">
                  <c:v>-10.23</c:v>
                </c:pt>
                <c:pt idx="345">
                  <c:v>-5.8070000000000004</c:v>
                </c:pt>
                <c:pt idx="346">
                  <c:v>-6.8710000000000004</c:v>
                </c:pt>
                <c:pt idx="347">
                  <c:v>-3.7349999999999999</c:v>
                </c:pt>
                <c:pt idx="348">
                  <c:v>-2.4020000000000001</c:v>
                </c:pt>
                <c:pt idx="349">
                  <c:v>-8.32</c:v>
                </c:pt>
                <c:pt idx="350">
                  <c:v>-8.77</c:v>
                </c:pt>
                <c:pt idx="351">
                  <c:v>-5.194</c:v>
                </c:pt>
                <c:pt idx="352">
                  <c:v>-4.6689999999999996</c:v>
                </c:pt>
                <c:pt idx="353">
                  <c:v>-6.0190000000000001</c:v>
                </c:pt>
                <c:pt idx="354">
                  <c:v>-2.34</c:v>
                </c:pt>
                <c:pt idx="355">
                  <c:v>-1.9450000000000001</c:v>
                </c:pt>
                <c:pt idx="356">
                  <c:v>-5.3630000000000004</c:v>
                </c:pt>
                <c:pt idx="357">
                  <c:v>-2.3610000000000002</c:v>
                </c:pt>
                <c:pt idx="358">
                  <c:v>-3.798</c:v>
                </c:pt>
                <c:pt idx="359">
                  <c:v>-4.6689999999999996</c:v>
                </c:pt>
                <c:pt idx="360">
                  <c:v>-3.7149999999999999</c:v>
                </c:pt>
                <c:pt idx="361">
                  <c:v>-7.47</c:v>
                </c:pt>
                <c:pt idx="362">
                  <c:v>-3.0270000000000001</c:v>
                </c:pt>
                <c:pt idx="363">
                  <c:v>-5.4470000000000001</c:v>
                </c:pt>
                <c:pt idx="364">
                  <c:v>-3.7360000000000002</c:v>
                </c:pt>
                <c:pt idx="365">
                  <c:v>-7.75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4.0039999999999996</c:v>
                </c:pt>
                <c:pt idx="1">
                  <c:v>-1.7809999999999999</c:v>
                </c:pt>
                <c:pt idx="2">
                  <c:v>0.7</c:v>
                </c:pt>
                <c:pt idx="3">
                  <c:v>0.26400000000000001</c:v>
                </c:pt>
                <c:pt idx="4">
                  <c:v>-1.9259999999999999</c:v>
                </c:pt>
                <c:pt idx="5">
                  <c:v>-2.4020000000000001</c:v>
                </c:pt>
                <c:pt idx="6">
                  <c:v>-6.274</c:v>
                </c:pt>
                <c:pt idx="7">
                  <c:v>-6.9349999999999996</c:v>
                </c:pt>
                <c:pt idx="8">
                  <c:v>-2.0489999999999999</c:v>
                </c:pt>
                <c:pt idx="9">
                  <c:v>-6.4649999999999999</c:v>
                </c:pt>
                <c:pt idx="10">
                  <c:v>-13.84</c:v>
                </c:pt>
                <c:pt idx="11">
                  <c:v>-23.62</c:v>
                </c:pt>
                <c:pt idx="12">
                  <c:v>-18.16</c:v>
                </c:pt>
                <c:pt idx="13">
                  <c:v>-11.7</c:v>
                </c:pt>
                <c:pt idx="14">
                  <c:v>-14.56</c:v>
                </c:pt>
                <c:pt idx="15">
                  <c:v>-11.28</c:v>
                </c:pt>
                <c:pt idx="16">
                  <c:v>-12.16</c:v>
                </c:pt>
                <c:pt idx="17">
                  <c:v>-8.67</c:v>
                </c:pt>
                <c:pt idx="18">
                  <c:v>-4.0279999999999996</c:v>
                </c:pt>
                <c:pt idx="19">
                  <c:v>3.0670000000000002</c:v>
                </c:pt>
                <c:pt idx="20">
                  <c:v>2.133</c:v>
                </c:pt>
                <c:pt idx="21">
                  <c:v>1.0529999999999999</c:v>
                </c:pt>
                <c:pt idx="22">
                  <c:v>3.5</c:v>
                </c:pt>
                <c:pt idx="23">
                  <c:v>0.30599999999999999</c:v>
                </c:pt>
                <c:pt idx="24">
                  <c:v>1.7170000000000001</c:v>
                </c:pt>
                <c:pt idx="25">
                  <c:v>2.0699999999999998</c:v>
                </c:pt>
                <c:pt idx="26">
                  <c:v>2.2160000000000002</c:v>
                </c:pt>
                <c:pt idx="27">
                  <c:v>6.2590000000000003</c:v>
                </c:pt>
                <c:pt idx="28">
                  <c:v>7.97</c:v>
                </c:pt>
                <c:pt idx="29">
                  <c:v>8.39</c:v>
                </c:pt>
                <c:pt idx="30">
                  <c:v>6.8920000000000003</c:v>
                </c:pt>
                <c:pt idx="31">
                  <c:v>4.1630000000000003</c:v>
                </c:pt>
                <c:pt idx="32">
                  <c:v>9.0299999999999994</c:v>
                </c:pt>
                <c:pt idx="33">
                  <c:v>3.2949999999999999</c:v>
                </c:pt>
                <c:pt idx="34">
                  <c:v>-3.673</c:v>
                </c:pt>
                <c:pt idx="35">
                  <c:v>1.4470000000000001</c:v>
                </c:pt>
                <c:pt idx="36">
                  <c:v>2.819</c:v>
                </c:pt>
                <c:pt idx="37">
                  <c:v>-1.206</c:v>
                </c:pt>
                <c:pt idx="38">
                  <c:v>1.24</c:v>
                </c:pt>
                <c:pt idx="39">
                  <c:v>2.7360000000000002</c:v>
                </c:pt>
                <c:pt idx="40">
                  <c:v>-0.48199999999999998</c:v>
                </c:pt>
                <c:pt idx="41">
                  <c:v>-0.83499999999999996</c:v>
                </c:pt>
                <c:pt idx="42">
                  <c:v>3.1909999999999998</c:v>
                </c:pt>
                <c:pt idx="43">
                  <c:v>1.7789999999999999</c:v>
                </c:pt>
                <c:pt idx="44">
                  <c:v>1.9039999999999999</c:v>
                </c:pt>
                <c:pt idx="45">
                  <c:v>2.258</c:v>
                </c:pt>
                <c:pt idx="46">
                  <c:v>4</c:v>
                </c:pt>
                <c:pt idx="47">
                  <c:v>8.18</c:v>
                </c:pt>
                <c:pt idx="48">
                  <c:v>3.1070000000000002</c:v>
                </c:pt>
                <c:pt idx="49">
                  <c:v>9.58</c:v>
                </c:pt>
                <c:pt idx="50">
                  <c:v>4.8949999999999996</c:v>
                </c:pt>
                <c:pt idx="51">
                  <c:v>4.0199999999999996</c:v>
                </c:pt>
                <c:pt idx="52">
                  <c:v>3.9980000000000002</c:v>
                </c:pt>
                <c:pt idx="53">
                  <c:v>7.63</c:v>
                </c:pt>
                <c:pt idx="54">
                  <c:v>4.8319999999999999</c:v>
                </c:pt>
                <c:pt idx="55">
                  <c:v>7.57</c:v>
                </c:pt>
                <c:pt idx="56">
                  <c:v>-1.3089999999999999</c:v>
                </c:pt>
                <c:pt idx="57">
                  <c:v>-6.8280000000000003</c:v>
                </c:pt>
                <c:pt idx="58">
                  <c:v>1.5720000000000001</c:v>
                </c:pt>
                <c:pt idx="59">
                  <c:v>1.7589999999999999</c:v>
                </c:pt>
                <c:pt idx="60">
                  <c:v>4.6660000000000004</c:v>
                </c:pt>
                <c:pt idx="61">
                  <c:v>1.073</c:v>
                </c:pt>
                <c:pt idx="62">
                  <c:v>1.696</c:v>
                </c:pt>
                <c:pt idx="63">
                  <c:v>-3.9660000000000002</c:v>
                </c:pt>
                <c:pt idx="64">
                  <c:v>-4.0910000000000002</c:v>
                </c:pt>
                <c:pt idx="65">
                  <c:v>0.88700000000000001</c:v>
                </c:pt>
                <c:pt idx="66">
                  <c:v>5.6920000000000002</c:v>
                </c:pt>
                <c:pt idx="67">
                  <c:v>3.4390000000000001</c:v>
                </c:pt>
                <c:pt idx="68">
                  <c:v>4.375</c:v>
                </c:pt>
                <c:pt idx="69">
                  <c:v>3.109</c:v>
                </c:pt>
                <c:pt idx="70">
                  <c:v>3.42</c:v>
                </c:pt>
                <c:pt idx="71">
                  <c:v>6.5330000000000004</c:v>
                </c:pt>
                <c:pt idx="72">
                  <c:v>6.702</c:v>
                </c:pt>
                <c:pt idx="73">
                  <c:v>11.13</c:v>
                </c:pt>
                <c:pt idx="74">
                  <c:v>15.82</c:v>
                </c:pt>
                <c:pt idx="75">
                  <c:v>21.08</c:v>
                </c:pt>
                <c:pt idx="76">
                  <c:v>22.36</c:v>
                </c:pt>
                <c:pt idx="77">
                  <c:v>20.83</c:v>
                </c:pt>
                <c:pt idx="78">
                  <c:v>19.57</c:v>
                </c:pt>
                <c:pt idx="79">
                  <c:v>10.16</c:v>
                </c:pt>
                <c:pt idx="80">
                  <c:v>12.94</c:v>
                </c:pt>
                <c:pt idx="81">
                  <c:v>12.17</c:v>
                </c:pt>
                <c:pt idx="82">
                  <c:v>10.48</c:v>
                </c:pt>
                <c:pt idx="83">
                  <c:v>13.98</c:v>
                </c:pt>
                <c:pt idx="84">
                  <c:v>12.37</c:v>
                </c:pt>
                <c:pt idx="85">
                  <c:v>5.8390000000000004</c:v>
                </c:pt>
                <c:pt idx="86">
                  <c:v>2.7570000000000001</c:v>
                </c:pt>
                <c:pt idx="87">
                  <c:v>9.9700000000000006</c:v>
                </c:pt>
                <c:pt idx="88">
                  <c:v>7.74</c:v>
                </c:pt>
                <c:pt idx="89">
                  <c:v>7.89</c:v>
                </c:pt>
                <c:pt idx="90">
                  <c:v>9.76</c:v>
                </c:pt>
                <c:pt idx="91">
                  <c:v>18.46</c:v>
                </c:pt>
                <c:pt idx="92">
                  <c:v>12.83</c:v>
                </c:pt>
                <c:pt idx="93">
                  <c:v>8.33</c:v>
                </c:pt>
                <c:pt idx="94">
                  <c:v>6.2169999999999996</c:v>
                </c:pt>
                <c:pt idx="95">
                  <c:v>5.3979999999999997</c:v>
                </c:pt>
                <c:pt idx="96">
                  <c:v>9.42</c:v>
                </c:pt>
                <c:pt idx="97">
                  <c:v>9.9700000000000006</c:v>
                </c:pt>
                <c:pt idx="98">
                  <c:v>1.4890000000000001</c:v>
                </c:pt>
                <c:pt idx="99">
                  <c:v>7.29</c:v>
                </c:pt>
                <c:pt idx="100">
                  <c:v>14.29</c:v>
                </c:pt>
                <c:pt idx="101">
                  <c:v>9.1</c:v>
                </c:pt>
                <c:pt idx="102">
                  <c:v>10.63</c:v>
                </c:pt>
                <c:pt idx="103">
                  <c:v>17.38</c:v>
                </c:pt>
                <c:pt idx="104">
                  <c:v>19.23</c:v>
                </c:pt>
                <c:pt idx="105">
                  <c:v>13.01</c:v>
                </c:pt>
                <c:pt idx="106">
                  <c:v>3.819</c:v>
                </c:pt>
                <c:pt idx="107">
                  <c:v>6.4489999999999998</c:v>
                </c:pt>
                <c:pt idx="108">
                  <c:v>11.61</c:v>
                </c:pt>
                <c:pt idx="109">
                  <c:v>14.18</c:v>
                </c:pt>
                <c:pt idx="110">
                  <c:v>18.11</c:v>
                </c:pt>
                <c:pt idx="111">
                  <c:v>9.82</c:v>
                </c:pt>
                <c:pt idx="112">
                  <c:v>15.74</c:v>
                </c:pt>
                <c:pt idx="113">
                  <c:v>18.940000000000001</c:v>
                </c:pt>
                <c:pt idx="114">
                  <c:v>12.68</c:v>
                </c:pt>
                <c:pt idx="115">
                  <c:v>10.59</c:v>
                </c:pt>
                <c:pt idx="116">
                  <c:v>7.55</c:v>
                </c:pt>
                <c:pt idx="117">
                  <c:v>9.59</c:v>
                </c:pt>
                <c:pt idx="118">
                  <c:v>7.65</c:v>
                </c:pt>
                <c:pt idx="119">
                  <c:v>6.1130000000000004</c:v>
                </c:pt>
                <c:pt idx="120">
                  <c:v>9.2899999999999991</c:v>
                </c:pt>
                <c:pt idx="121">
                  <c:v>11.78</c:v>
                </c:pt>
                <c:pt idx="122">
                  <c:v>17.66</c:v>
                </c:pt>
                <c:pt idx="123">
                  <c:v>17.45</c:v>
                </c:pt>
                <c:pt idx="124">
                  <c:v>19.52</c:v>
                </c:pt>
                <c:pt idx="125">
                  <c:v>18.27</c:v>
                </c:pt>
                <c:pt idx="126">
                  <c:v>11.69</c:v>
                </c:pt>
                <c:pt idx="127">
                  <c:v>13.25</c:v>
                </c:pt>
                <c:pt idx="128">
                  <c:v>20.56</c:v>
                </c:pt>
                <c:pt idx="129">
                  <c:v>25.68</c:v>
                </c:pt>
                <c:pt idx="130">
                  <c:v>29.22</c:v>
                </c:pt>
                <c:pt idx="131">
                  <c:v>29.38</c:v>
                </c:pt>
                <c:pt idx="132">
                  <c:v>26.18</c:v>
                </c:pt>
                <c:pt idx="133">
                  <c:v>13.83</c:v>
                </c:pt>
                <c:pt idx="134">
                  <c:v>18.38</c:v>
                </c:pt>
                <c:pt idx="135">
                  <c:v>19.07</c:v>
                </c:pt>
                <c:pt idx="136">
                  <c:v>13.47</c:v>
                </c:pt>
                <c:pt idx="137">
                  <c:v>7.57</c:v>
                </c:pt>
                <c:pt idx="138">
                  <c:v>12.83</c:v>
                </c:pt>
                <c:pt idx="139">
                  <c:v>14.92</c:v>
                </c:pt>
                <c:pt idx="140">
                  <c:v>18.399999999999999</c:v>
                </c:pt>
                <c:pt idx="141">
                  <c:v>12.33</c:v>
                </c:pt>
                <c:pt idx="142">
                  <c:v>18.420000000000002</c:v>
                </c:pt>
                <c:pt idx="143">
                  <c:v>18.850000000000001</c:v>
                </c:pt>
                <c:pt idx="144">
                  <c:v>16.649999999999999</c:v>
                </c:pt>
                <c:pt idx="145">
                  <c:v>12.04</c:v>
                </c:pt>
                <c:pt idx="146">
                  <c:v>13.98</c:v>
                </c:pt>
                <c:pt idx="147">
                  <c:v>13.32</c:v>
                </c:pt>
                <c:pt idx="148">
                  <c:v>11.95</c:v>
                </c:pt>
                <c:pt idx="149">
                  <c:v>11.18</c:v>
                </c:pt>
                <c:pt idx="150">
                  <c:v>13.4</c:v>
                </c:pt>
                <c:pt idx="151">
                  <c:v>16.77</c:v>
                </c:pt>
                <c:pt idx="152">
                  <c:v>14.54</c:v>
                </c:pt>
                <c:pt idx="153">
                  <c:v>12.13</c:v>
                </c:pt>
                <c:pt idx="154">
                  <c:v>10.210000000000001</c:v>
                </c:pt>
                <c:pt idx="155">
                  <c:v>15.65</c:v>
                </c:pt>
                <c:pt idx="156">
                  <c:v>18.09</c:v>
                </c:pt>
                <c:pt idx="157">
                  <c:v>20.23</c:v>
                </c:pt>
                <c:pt idx="158">
                  <c:v>23.28</c:v>
                </c:pt>
                <c:pt idx="159">
                  <c:v>25.84</c:v>
                </c:pt>
                <c:pt idx="160">
                  <c:v>26.06</c:v>
                </c:pt>
                <c:pt idx="161">
                  <c:v>22.91</c:v>
                </c:pt>
                <c:pt idx="162">
                  <c:v>22.33</c:v>
                </c:pt>
                <c:pt idx="163">
                  <c:v>17.75</c:v>
                </c:pt>
                <c:pt idx="164">
                  <c:v>26.52</c:v>
                </c:pt>
                <c:pt idx="165">
                  <c:v>21.01</c:v>
                </c:pt>
                <c:pt idx="166">
                  <c:v>11.35</c:v>
                </c:pt>
                <c:pt idx="167">
                  <c:v>9.66</c:v>
                </c:pt>
                <c:pt idx="168">
                  <c:v>12.96</c:v>
                </c:pt>
                <c:pt idx="169">
                  <c:v>16.190000000000001</c:v>
                </c:pt>
                <c:pt idx="170">
                  <c:v>19.48</c:v>
                </c:pt>
                <c:pt idx="171">
                  <c:v>24.14</c:v>
                </c:pt>
                <c:pt idx="172">
                  <c:v>27.25</c:v>
                </c:pt>
                <c:pt idx="173">
                  <c:v>24.61</c:v>
                </c:pt>
                <c:pt idx="174">
                  <c:v>20.260000000000002</c:v>
                </c:pt>
                <c:pt idx="175">
                  <c:v>17.07</c:v>
                </c:pt>
                <c:pt idx="176">
                  <c:v>25.44</c:v>
                </c:pt>
                <c:pt idx="177">
                  <c:v>24.44</c:v>
                </c:pt>
                <c:pt idx="178">
                  <c:v>19.670000000000002</c:v>
                </c:pt>
                <c:pt idx="179">
                  <c:v>23.07</c:v>
                </c:pt>
                <c:pt idx="180">
                  <c:v>23.49</c:v>
                </c:pt>
                <c:pt idx="181">
                  <c:v>18.05</c:v>
                </c:pt>
                <c:pt idx="182">
                  <c:v>20.63</c:v>
                </c:pt>
                <c:pt idx="183">
                  <c:v>20.78</c:v>
                </c:pt>
                <c:pt idx="184">
                  <c:v>24.01</c:v>
                </c:pt>
                <c:pt idx="185">
                  <c:v>28.12</c:v>
                </c:pt>
                <c:pt idx="186">
                  <c:v>29.5</c:v>
                </c:pt>
                <c:pt idx="187">
                  <c:v>29.5</c:v>
                </c:pt>
                <c:pt idx="188">
                  <c:v>33.76</c:v>
                </c:pt>
                <c:pt idx="189">
                  <c:v>35.07</c:v>
                </c:pt>
                <c:pt idx="190">
                  <c:v>37.840000000000003</c:v>
                </c:pt>
                <c:pt idx="191">
                  <c:v>35.46</c:v>
                </c:pt>
                <c:pt idx="192">
                  <c:v>29.85</c:v>
                </c:pt>
                <c:pt idx="193">
                  <c:v>30.92</c:v>
                </c:pt>
                <c:pt idx="194">
                  <c:v>32.53</c:v>
                </c:pt>
                <c:pt idx="195">
                  <c:v>32.89</c:v>
                </c:pt>
                <c:pt idx="196">
                  <c:v>33.5</c:v>
                </c:pt>
                <c:pt idx="197">
                  <c:v>34.31</c:v>
                </c:pt>
                <c:pt idx="198">
                  <c:v>31.33</c:v>
                </c:pt>
                <c:pt idx="199">
                  <c:v>35.61</c:v>
                </c:pt>
                <c:pt idx="200">
                  <c:v>34.65</c:v>
                </c:pt>
                <c:pt idx="201">
                  <c:v>36.97</c:v>
                </c:pt>
                <c:pt idx="202">
                  <c:v>38.950000000000003</c:v>
                </c:pt>
                <c:pt idx="203">
                  <c:v>32.76</c:v>
                </c:pt>
                <c:pt idx="204">
                  <c:v>28.4</c:v>
                </c:pt>
                <c:pt idx="205">
                  <c:v>26.39</c:v>
                </c:pt>
                <c:pt idx="206">
                  <c:v>18.2</c:v>
                </c:pt>
                <c:pt idx="207">
                  <c:v>24.14</c:v>
                </c:pt>
                <c:pt idx="208">
                  <c:v>26.36</c:v>
                </c:pt>
                <c:pt idx="209">
                  <c:v>30.27</c:v>
                </c:pt>
                <c:pt idx="210">
                  <c:v>18.149999999999999</c:v>
                </c:pt>
                <c:pt idx="211">
                  <c:v>22.21</c:v>
                </c:pt>
                <c:pt idx="212">
                  <c:v>30.47</c:v>
                </c:pt>
                <c:pt idx="213">
                  <c:v>34.24</c:v>
                </c:pt>
                <c:pt idx="214">
                  <c:v>34.46</c:v>
                </c:pt>
                <c:pt idx="215">
                  <c:v>35.89</c:v>
                </c:pt>
                <c:pt idx="216">
                  <c:v>33.94</c:v>
                </c:pt>
                <c:pt idx="217">
                  <c:v>29.89</c:v>
                </c:pt>
                <c:pt idx="218">
                  <c:v>27.88</c:v>
                </c:pt>
                <c:pt idx="219">
                  <c:v>28.28</c:v>
                </c:pt>
                <c:pt idx="220">
                  <c:v>29.18</c:v>
                </c:pt>
                <c:pt idx="221">
                  <c:v>29.44</c:v>
                </c:pt>
                <c:pt idx="222">
                  <c:v>29.92</c:v>
                </c:pt>
                <c:pt idx="223">
                  <c:v>32.32</c:v>
                </c:pt>
                <c:pt idx="224">
                  <c:v>26.62</c:v>
                </c:pt>
                <c:pt idx="225">
                  <c:v>28.4</c:v>
                </c:pt>
                <c:pt idx="226">
                  <c:v>29.98</c:v>
                </c:pt>
                <c:pt idx="227">
                  <c:v>28.9</c:v>
                </c:pt>
                <c:pt idx="228">
                  <c:v>14.5</c:v>
                </c:pt>
                <c:pt idx="229">
                  <c:v>23.98</c:v>
                </c:pt>
                <c:pt idx="230">
                  <c:v>29.85</c:v>
                </c:pt>
                <c:pt idx="231">
                  <c:v>26.77</c:v>
                </c:pt>
                <c:pt idx="232">
                  <c:v>23.02</c:v>
                </c:pt>
                <c:pt idx="233">
                  <c:v>19.47</c:v>
                </c:pt>
                <c:pt idx="234">
                  <c:v>25.76</c:v>
                </c:pt>
                <c:pt idx="235">
                  <c:v>31.25</c:v>
                </c:pt>
                <c:pt idx="236">
                  <c:v>9.91</c:v>
                </c:pt>
                <c:pt idx="237">
                  <c:v>17.28</c:v>
                </c:pt>
                <c:pt idx="238">
                  <c:v>18.940000000000001</c:v>
                </c:pt>
                <c:pt idx="239">
                  <c:v>13.26</c:v>
                </c:pt>
                <c:pt idx="240">
                  <c:v>19.91</c:v>
                </c:pt>
                <c:pt idx="241">
                  <c:v>27.76</c:v>
                </c:pt>
                <c:pt idx="242">
                  <c:v>30.46</c:v>
                </c:pt>
                <c:pt idx="243">
                  <c:v>33.57</c:v>
                </c:pt>
                <c:pt idx="244">
                  <c:v>35.03</c:v>
                </c:pt>
                <c:pt idx="245">
                  <c:v>27.76</c:v>
                </c:pt>
                <c:pt idx="246">
                  <c:v>28.49</c:v>
                </c:pt>
                <c:pt idx="247">
                  <c:v>30.08</c:v>
                </c:pt>
                <c:pt idx="248">
                  <c:v>33.46</c:v>
                </c:pt>
                <c:pt idx="249">
                  <c:v>35.340000000000003</c:v>
                </c:pt>
                <c:pt idx="250">
                  <c:v>34.200000000000003</c:v>
                </c:pt>
                <c:pt idx="251">
                  <c:v>29.92</c:v>
                </c:pt>
                <c:pt idx="252">
                  <c:v>20.88</c:v>
                </c:pt>
                <c:pt idx="253">
                  <c:v>25.11</c:v>
                </c:pt>
                <c:pt idx="254">
                  <c:v>14.56</c:v>
                </c:pt>
                <c:pt idx="255">
                  <c:v>21.37</c:v>
                </c:pt>
                <c:pt idx="256">
                  <c:v>22.67</c:v>
                </c:pt>
                <c:pt idx="257">
                  <c:v>21.02</c:v>
                </c:pt>
                <c:pt idx="258">
                  <c:v>15.51</c:v>
                </c:pt>
                <c:pt idx="259">
                  <c:v>22.99</c:v>
                </c:pt>
                <c:pt idx="260">
                  <c:v>25.59</c:v>
                </c:pt>
                <c:pt idx="261">
                  <c:v>22.91</c:v>
                </c:pt>
                <c:pt idx="262">
                  <c:v>20.99</c:v>
                </c:pt>
                <c:pt idx="263">
                  <c:v>14.27</c:v>
                </c:pt>
                <c:pt idx="264">
                  <c:v>20.64</c:v>
                </c:pt>
                <c:pt idx="265">
                  <c:v>14.29</c:v>
                </c:pt>
                <c:pt idx="266">
                  <c:v>25.14</c:v>
                </c:pt>
                <c:pt idx="267">
                  <c:v>26.33</c:v>
                </c:pt>
                <c:pt idx="268">
                  <c:v>19.739999999999998</c:v>
                </c:pt>
                <c:pt idx="269">
                  <c:v>15.26</c:v>
                </c:pt>
                <c:pt idx="270">
                  <c:v>19.79</c:v>
                </c:pt>
                <c:pt idx="271">
                  <c:v>16.010000000000002</c:v>
                </c:pt>
                <c:pt idx="272">
                  <c:v>6.7770000000000001</c:v>
                </c:pt>
                <c:pt idx="273">
                  <c:v>16.149999999999999</c:v>
                </c:pt>
                <c:pt idx="274">
                  <c:v>7.61</c:v>
                </c:pt>
                <c:pt idx="275">
                  <c:v>15.28</c:v>
                </c:pt>
                <c:pt idx="276">
                  <c:v>16.91</c:v>
                </c:pt>
                <c:pt idx="277">
                  <c:v>7.55</c:v>
                </c:pt>
                <c:pt idx="278">
                  <c:v>17.21</c:v>
                </c:pt>
                <c:pt idx="279">
                  <c:v>12.34</c:v>
                </c:pt>
                <c:pt idx="280">
                  <c:v>22.73</c:v>
                </c:pt>
                <c:pt idx="281">
                  <c:v>16.79</c:v>
                </c:pt>
                <c:pt idx="282">
                  <c:v>14.41</c:v>
                </c:pt>
                <c:pt idx="283">
                  <c:v>9.4</c:v>
                </c:pt>
                <c:pt idx="284">
                  <c:v>17.28</c:v>
                </c:pt>
                <c:pt idx="285">
                  <c:v>21.31</c:v>
                </c:pt>
                <c:pt idx="286">
                  <c:v>23.55</c:v>
                </c:pt>
                <c:pt idx="287">
                  <c:v>16.91</c:v>
                </c:pt>
                <c:pt idx="288">
                  <c:v>8.44</c:v>
                </c:pt>
                <c:pt idx="289">
                  <c:v>9.7200000000000006</c:v>
                </c:pt>
                <c:pt idx="290">
                  <c:v>6.9809999999999999</c:v>
                </c:pt>
                <c:pt idx="291">
                  <c:v>0.85</c:v>
                </c:pt>
                <c:pt idx="292">
                  <c:v>7.59</c:v>
                </c:pt>
                <c:pt idx="293">
                  <c:v>9.66</c:v>
                </c:pt>
                <c:pt idx="294">
                  <c:v>5.8710000000000004</c:v>
                </c:pt>
                <c:pt idx="295">
                  <c:v>10.86</c:v>
                </c:pt>
                <c:pt idx="296">
                  <c:v>6.4130000000000003</c:v>
                </c:pt>
                <c:pt idx="297">
                  <c:v>9.64</c:v>
                </c:pt>
                <c:pt idx="298">
                  <c:v>3.8410000000000002</c:v>
                </c:pt>
                <c:pt idx="299">
                  <c:v>8.16</c:v>
                </c:pt>
                <c:pt idx="300">
                  <c:v>9.7899999999999991</c:v>
                </c:pt>
                <c:pt idx="301">
                  <c:v>8.25</c:v>
                </c:pt>
                <c:pt idx="302">
                  <c:v>5.0119999999999996</c:v>
                </c:pt>
                <c:pt idx="303">
                  <c:v>2.7570000000000001</c:v>
                </c:pt>
                <c:pt idx="304">
                  <c:v>1.5920000000000001</c:v>
                </c:pt>
                <c:pt idx="305">
                  <c:v>0.27200000000000002</c:v>
                </c:pt>
                <c:pt idx="306">
                  <c:v>2.0289999999999999</c:v>
                </c:pt>
                <c:pt idx="307">
                  <c:v>1.925</c:v>
                </c:pt>
                <c:pt idx="308">
                  <c:v>1.4470000000000001</c:v>
                </c:pt>
                <c:pt idx="309">
                  <c:v>3.6320000000000001</c:v>
                </c:pt>
                <c:pt idx="310">
                  <c:v>5.431</c:v>
                </c:pt>
                <c:pt idx="311">
                  <c:v>4.1120000000000001</c:v>
                </c:pt>
                <c:pt idx="312">
                  <c:v>3.778</c:v>
                </c:pt>
                <c:pt idx="313">
                  <c:v>2.278</c:v>
                </c:pt>
                <c:pt idx="314">
                  <c:v>5.3049999999999997</c:v>
                </c:pt>
                <c:pt idx="315">
                  <c:v>4.1120000000000001</c:v>
                </c:pt>
                <c:pt idx="316">
                  <c:v>5.7629999999999999</c:v>
                </c:pt>
                <c:pt idx="317">
                  <c:v>0.78300000000000003</c:v>
                </c:pt>
                <c:pt idx="318">
                  <c:v>2.0289999999999999</c:v>
                </c:pt>
                <c:pt idx="319">
                  <c:v>0.14399999999999999</c:v>
                </c:pt>
                <c:pt idx="320">
                  <c:v>-2.7770000000000001</c:v>
                </c:pt>
                <c:pt idx="321">
                  <c:v>0.76200000000000001</c:v>
                </c:pt>
                <c:pt idx="322">
                  <c:v>-1.343</c:v>
                </c:pt>
                <c:pt idx="323">
                  <c:v>-3.3170000000000002</c:v>
                </c:pt>
                <c:pt idx="324">
                  <c:v>-2.4020000000000001</c:v>
                </c:pt>
                <c:pt idx="325">
                  <c:v>3.7570000000000001</c:v>
                </c:pt>
                <c:pt idx="326">
                  <c:v>0.22700000000000001</c:v>
                </c:pt>
                <c:pt idx="327">
                  <c:v>2.1120000000000001</c:v>
                </c:pt>
                <c:pt idx="328">
                  <c:v>-0.7</c:v>
                </c:pt>
                <c:pt idx="329">
                  <c:v>-4.2329999999999997</c:v>
                </c:pt>
                <c:pt idx="330">
                  <c:v>-4.1050000000000004</c:v>
                </c:pt>
                <c:pt idx="331">
                  <c:v>-3.8170000000000002</c:v>
                </c:pt>
                <c:pt idx="332">
                  <c:v>-3.2770000000000001</c:v>
                </c:pt>
                <c:pt idx="333">
                  <c:v>-0.246</c:v>
                </c:pt>
                <c:pt idx="334">
                  <c:v>-0.41199999999999998</c:v>
                </c:pt>
                <c:pt idx="335">
                  <c:v>1.4890000000000001</c:v>
                </c:pt>
                <c:pt idx="336">
                  <c:v>2.633</c:v>
                </c:pt>
                <c:pt idx="337">
                  <c:v>-1.6539999999999999</c:v>
                </c:pt>
                <c:pt idx="338">
                  <c:v>-2.298</c:v>
                </c:pt>
                <c:pt idx="339">
                  <c:v>-1.9239999999999999</c:v>
                </c:pt>
                <c:pt idx="340">
                  <c:v>0.57699999999999996</c:v>
                </c:pt>
                <c:pt idx="341">
                  <c:v>0.34799999999999998</c:v>
                </c:pt>
                <c:pt idx="342">
                  <c:v>0.02</c:v>
                </c:pt>
                <c:pt idx="343">
                  <c:v>-1.3640000000000001</c:v>
                </c:pt>
                <c:pt idx="344">
                  <c:v>-3.7130000000000001</c:v>
                </c:pt>
                <c:pt idx="345">
                  <c:v>-1.9239999999999999</c:v>
                </c:pt>
                <c:pt idx="346">
                  <c:v>-0.35</c:v>
                </c:pt>
                <c:pt idx="347">
                  <c:v>-0.86599999999999999</c:v>
                </c:pt>
                <c:pt idx="348">
                  <c:v>0.78300000000000003</c:v>
                </c:pt>
                <c:pt idx="349">
                  <c:v>-1.0940000000000001</c:v>
                </c:pt>
                <c:pt idx="350">
                  <c:v>-4.2309999999999999</c:v>
                </c:pt>
                <c:pt idx="351">
                  <c:v>-2.4849999999999999</c:v>
                </c:pt>
                <c:pt idx="352">
                  <c:v>1.7789999999999999</c:v>
                </c:pt>
                <c:pt idx="353">
                  <c:v>0.39100000000000001</c:v>
                </c:pt>
                <c:pt idx="354">
                  <c:v>1.4470000000000001</c:v>
                </c:pt>
                <c:pt idx="355">
                  <c:v>1.0940000000000001</c:v>
                </c:pt>
                <c:pt idx="356">
                  <c:v>-0.26900000000000002</c:v>
                </c:pt>
                <c:pt idx="357">
                  <c:v>4.1749999999999998</c:v>
                </c:pt>
                <c:pt idx="358">
                  <c:v>1.2809999999999999</c:v>
                </c:pt>
                <c:pt idx="359">
                  <c:v>-1.758</c:v>
                </c:pt>
                <c:pt idx="360">
                  <c:v>-4.2999999999999997E-2</c:v>
                </c:pt>
                <c:pt idx="361">
                  <c:v>-2.194</c:v>
                </c:pt>
                <c:pt idx="362">
                  <c:v>-0.51500000000000001</c:v>
                </c:pt>
                <c:pt idx="363">
                  <c:v>1.9670000000000001</c:v>
                </c:pt>
                <c:pt idx="364">
                  <c:v>-1.488</c:v>
                </c:pt>
                <c:pt idx="365">
                  <c:v>-1.5920000000000001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33632"/>
        <c:axId val="207355904"/>
      </c:lineChart>
      <c:catAx>
        <c:axId val="207333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3559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355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333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Short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7.0000000000000001E-3</c:v>
                </c:pt>
                <c:pt idx="1">
                  <c:v>6.0000000000000001E-3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6.0000000000000001E-3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6.0000000000000001E-3</c:v>
                </c:pt>
                <c:pt idx="10">
                  <c:v>6.0000000000000001E-3</c:v>
                </c:pt>
                <c:pt idx="11">
                  <c:v>6.0000000000000001E-3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6.0000000000000001E-3</c:v>
                </c:pt>
                <c:pt idx="20">
                  <c:v>7.0000000000000001E-3</c:v>
                </c:pt>
                <c:pt idx="21">
                  <c:v>7.0000000000000001E-3</c:v>
                </c:pt>
                <c:pt idx="22">
                  <c:v>7.0000000000000001E-3</c:v>
                </c:pt>
                <c:pt idx="23">
                  <c:v>7.0000000000000001E-3</c:v>
                </c:pt>
                <c:pt idx="24">
                  <c:v>7.0000000000000001E-3</c:v>
                </c:pt>
                <c:pt idx="25">
                  <c:v>7.0000000000000001E-3</c:v>
                </c:pt>
                <c:pt idx="26">
                  <c:v>7.0000000000000001E-3</c:v>
                </c:pt>
                <c:pt idx="27">
                  <c:v>7.0000000000000001E-3</c:v>
                </c:pt>
                <c:pt idx="28">
                  <c:v>7.0000000000000001E-3</c:v>
                </c:pt>
                <c:pt idx="29">
                  <c:v>7.0000000000000001E-3</c:v>
                </c:pt>
                <c:pt idx="30">
                  <c:v>7.0000000000000001E-3</c:v>
                </c:pt>
                <c:pt idx="31">
                  <c:v>7.0000000000000001E-3</c:v>
                </c:pt>
                <c:pt idx="32">
                  <c:v>7.0000000000000001E-3</c:v>
                </c:pt>
                <c:pt idx="33">
                  <c:v>7.0000000000000001E-3</c:v>
                </c:pt>
                <c:pt idx="34">
                  <c:v>6.0000000000000001E-3</c:v>
                </c:pt>
                <c:pt idx="35">
                  <c:v>6.0000000000000001E-3</c:v>
                </c:pt>
                <c:pt idx="36">
                  <c:v>7.0000000000000001E-3</c:v>
                </c:pt>
                <c:pt idx="37">
                  <c:v>7.0000000000000001E-3</c:v>
                </c:pt>
                <c:pt idx="38">
                  <c:v>7.0000000000000001E-3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6.0000000000000001E-3</c:v>
                </c:pt>
                <c:pt idx="42">
                  <c:v>7.0000000000000001E-3</c:v>
                </c:pt>
                <c:pt idx="43">
                  <c:v>6.0000000000000001E-3</c:v>
                </c:pt>
                <c:pt idx="44">
                  <c:v>6.0000000000000001E-3</c:v>
                </c:pt>
                <c:pt idx="45">
                  <c:v>6.0000000000000001E-3</c:v>
                </c:pt>
                <c:pt idx="46">
                  <c:v>6.0000000000000001E-3</c:v>
                </c:pt>
                <c:pt idx="47">
                  <c:v>6.0000000000000001E-3</c:v>
                </c:pt>
                <c:pt idx="48">
                  <c:v>6.0000000000000001E-3</c:v>
                </c:pt>
                <c:pt idx="49">
                  <c:v>7.0000000000000001E-3</c:v>
                </c:pt>
                <c:pt idx="50">
                  <c:v>7.0000000000000001E-3</c:v>
                </c:pt>
                <c:pt idx="51">
                  <c:v>7.0000000000000001E-3</c:v>
                </c:pt>
                <c:pt idx="52">
                  <c:v>7.0000000000000001E-3</c:v>
                </c:pt>
                <c:pt idx="53">
                  <c:v>7.0000000000000001E-3</c:v>
                </c:pt>
                <c:pt idx="54">
                  <c:v>6.0000000000000001E-3</c:v>
                </c:pt>
                <c:pt idx="55">
                  <c:v>7.0000000000000001E-3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6.0000000000000001E-3</c:v>
                </c:pt>
                <c:pt idx="59">
                  <c:v>7.0000000000000001E-3</c:v>
                </c:pt>
                <c:pt idx="60">
                  <c:v>6.0000000000000001E-3</c:v>
                </c:pt>
                <c:pt idx="61">
                  <c:v>6.0000000000000001E-3</c:v>
                </c:pt>
                <c:pt idx="62">
                  <c:v>6.0000000000000001E-3</c:v>
                </c:pt>
                <c:pt idx="63">
                  <c:v>6.0000000000000001E-3</c:v>
                </c:pt>
                <c:pt idx="64">
                  <c:v>6.0000000000000001E-3</c:v>
                </c:pt>
                <c:pt idx="65">
                  <c:v>6.0000000000000001E-3</c:v>
                </c:pt>
                <c:pt idx="66">
                  <c:v>6.0000000000000001E-3</c:v>
                </c:pt>
                <c:pt idx="67">
                  <c:v>7.0000000000000001E-3</c:v>
                </c:pt>
                <c:pt idx="68">
                  <c:v>6.0000000000000001E-3</c:v>
                </c:pt>
                <c:pt idx="69">
                  <c:v>6.0000000000000001E-3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6.0000000000000001E-3</c:v>
                </c:pt>
                <c:pt idx="73">
                  <c:v>6.0000000000000001E-3</c:v>
                </c:pt>
                <c:pt idx="74">
                  <c:v>7.0000000000000001E-3</c:v>
                </c:pt>
                <c:pt idx="75">
                  <c:v>7.0000000000000001E-3</c:v>
                </c:pt>
                <c:pt idx="76">
                  <c:v>7.0000000000000001E-3</c:v>
                </c:pt>
                <c:pt idx="77">
                  <c:v>6.0000000000000001E-3</c:v>
                </c:pt>
                <c:pt idx="78">
                  <c:v>7.0000000000000001E-3</c:v>
                </c:pt>
                <c:pt idx="79">
                  <c:v>7.0000000000000001E-3</c:v>
                </c:pt>
                <c:pt idx="80">
                  <c:v>7.0000000000000001E-3</c:v>
                </c:pt>
                <c:pt idx="81">
                  <c:v>7.0000000000000001E-3</c:v>
                </c:pt>
                <c:pt idx="82">
                  <c:v>6.0000000000000001E-3</c:v>
                </c:pt>
                <c:pt idx="83">
                  <c:v>6.0000000000000001E-3</c:v>
                </c:pt>
                <c:pt idx="84">
                  <c:v>7.0000000000000001E-3</c:v>
                </c:pt>
                <c:pt idx="85">
                  <c:v>6.0000000000000001E-3</c:v>
                </c:pt>
                <c:pt idx="86">
                  <c:v>7.0000000000000001E-3</c:v>
                </c:pt>
                <c:pt idx="87">
                  <c:v>6.0000000000000001E-3</c:v>
                </c:pt>
                <c:pt idx="88">
                  <c:v>6.0000000000000001E-3</c:v>
                </c:pt>
                <c:pt idx="89">
                  <c:v>6.0000000000000001E-3</c:v>
                </c:pt>
                <c:pt idx="90">
                  <c:v>6.0000000000000001E-3</c:v>
                </c:pt>
                <c:pt idx="91">
                  <c:v>7.0000000000000001E-3</c:v>
                </c:pt>
                <c:pt idx="92">
                  <c:v>7.0000000000000001E-3</c:v>
                </c:pt>
                <c:pt idx="93">
                  <c:v>6.0000000000000001E-3</c:v>
                </c:pt>
                <c:pt idx="94">
                  <c:v>7.0000000000000001E-3</c:v>
                </c:pt>
                <c:pt idx="95">
                  <c:v>7.0000000000000001E-3</c:v>
                </c:pt>
                <c:pt idx="96">
                  <c:v>7.0000000000000001E-3</c:v>
                </c:pt>
                <c:pt idx="97">
                  <c:v>7.0000000000000001E-3</c:v>
                </c:pt>
                <c:pt idx="98">
                  <c:v>6.0000000000000001E-3</c:v>
                </c:pt>
                <c:pt idx="99">
                  <c:v>7.0000000000000001E-3</c:v>
                </c:pt>
                <c:pt idx="100">
                  <c:v>6.0000000000000001E-3</c:v>
                </c:pt>
                <c:pt idx="101">
                  <c:v>7.0000000000000001E-3</c:v>
                </c:pt>
                <c:pt idx="102">
                  <c:v>7.0000000000000001E-3</c:v>
                </c:pt>
                <c:pt idx="103">
                  <c:v>7.0000000000000001E-3</c:v>
                </c:pt>
                <c:pt idx="104">
                  <c:v>7.0000000000000001E-3</c:v>
                </c:pt>
                <c:pt idx="105">
                  <c:v>6.0000000000000001E-3</c:v>
                </c:pt>
                <c:pt idx="106">
                  <c:v>6.0000000000000001E-3</c:v>
                </c:pt>
                <c:pt idx="107">
                  <c:v>6.0000000000000001E-3</c:v>
                </c:pt>
                <c:pt idx="108">
                  <c:v>6.0000000000000001E-3</c:v>
                </c:pt>
                <c:pt idx="109">
                  <c:v>6.0000000000000001E-3</c:v>
                </c:pt>
                <c:pt idx="110">
                  <c:v>6.0000000000000001E-3</c:v>
                </c:pt>
                <c:pt idx="111">
                  <c:v>6.0000000000000001E-3</c:v>
                </c:pt>
                <c:pt idx="112">
                  <c:v>6.0000000000000001E-3</c:v>
                </c:pt>
                <c:pt idx="113">
                  <c:v>6.0000000000000001E-3</c:v>
                </c:pt>
                <c:pt idx="114">
                  <c:v>7.0000000000000001E-3</c:v>
                </c:pt>
                <c:pt idx="115">
                  <c:v>6.0000000000000001E-3</c:v>
                </c:pt>
                <c:pt idx="116">
                  <c:v>7.0000000000000001E-3</c:v>
                </c:pt>
                <c:pt idx="117">
                  <c:v>7.0000000000000001E-3</c:v>
                </c:pt>
                <c:pt idx="118">
                  <c:v>7.0000000000000001E-3</c:v>
                </c:pt>
                <c:pt idx="119">
                  <c:v>6.0000000000000001E-3</c:v>
                </c:pt>
                <c:pt idx="120">
                  <c:v>6.0000000000000001E-3</c:v>
                </c:pt>
                <c:pt idx="121">
                  <c:v>7.0000000000000001E-3</c:v>
                </c:pt>
                <c:pt idx="122">
                  <c:v>7.0000000000000001E-3</c:v>
                </c:pt>
                <c:pt idx="123">
                  <c:v>7.0000000000000001E-3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7.0000000000000001E-3</c:v>
                </c:pt>
                <c:pt idx="127">
                  <c:v>7.0000000000000001E-3</c:v>
                </c:pt>
                <c:pt idx="128">
                  <c:v>7.0000000000000001E-3</c:v>
                </c:pt>
                <c:pt idx="129">
                  <c:v>7.0000000000000001E-3</c:v>
                </c:pt>
                <c:pt idx="130">
                  <c:v>7.0000000000000001E-3</c:v>
                </c:pt>
                <c:pt idx="131">
                  <c:v>7.0000000000000001E-3</c:v>
                </c:pt>
                <c:pt idx="132">
                  <c:v>7.0000000000000001E-3</c:v>
                </c:pt>
                <c:pt idx="133">
                  <c:v>7.0000000000000001E-3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7.0000000000000001E-3</c:v>
                </c:pt>
                <c:pt idx="141">
                  <c:v>7.0000000000000001E-3</c:v>
                </c:pt>
                <c:pt idx="142">
                  <c:v>7.0000000000000001E-3</c:v>
                </c:pt>
                <c:pt idx="143">
                  <c:v>7.0000000000000001E-3</c:v>
                </c:pt>
                <c:pt idx="144">
                  <c:v>7.0000000000000001E-3</c:v>
                </c:pt>
                <c:pt idx="145">
                  <c:v>7.0000000000000001E-3</c:v>
                </c:pt>
                <c:pt idx="146">
                  <c:v>7.0000000000000001E-3</c:v>
                </c:pt>
                <c:pt idx="147">
                  <c:v>7.0000000000000001E-3</c:v>
                </c:pt>
                <c:pt idx="148">
                  <c:v>7.0000000000000001E-3</c:v>
                </c:pt>
                <c:pt idx="149">
                  <c:v>7.0000000000000001E-3</c:v>
                </c:pt>
                <c:pt idx="150">
                  <c:v>7.0000000000000001E-3</c:v>
                </c:pt>
                <c:pt idx="151">
                  <c:v>7.0000000000000001E-3</c:v>
                </c:pt>
                <c:pt idx="152">
                  <c:v>7.0000000000000001E-3</c:v>
                </c:pt>
                <c:pt idx="153">
                  <c:v>7.0000000000000001E-3</c:v>
                </c:pt>
                <c:pt idx="154">
                  <c:v>7.0000000000000001E-3</c:v>
                </c:pt>
                <c:pt idx="155">
                  <c:v>7.0000000000000001E-3</c:v>
                </c:pt>
                <c:pt idx="156">
                  <c:v>7.0000000000000001E-3</c:v>
                </c:pt>
                <c:pt idx="157">
                  <c:v>7.0000000000000001E-3</c:v>
                </c:pt>
                <c:pt idx="158">
                  <c:v>6.0000000000000001E-3</c:v>
                </c:pt>
                <c:pt idx="159">
                  <c:v>7.0000000000000001E-3</c:v>
                </c:pt>
                <c:pt idx="160">
                  <c:v>7.0000000000000001E-3</c:v>
                </c:pt>
                <c:pt idx="161">
                  <c:v>7.0000000000000001E-3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6.0000000000000001E-3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6.0000000000000001E-3</c:v>
                </c:pt>
                <c:pt idx="168">
                  <c:v>7.0000000000000001E-3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7.0000000000000001E-3</c:v>
                </c:pt>
                <c:pt idx="173">
                  <c:v>7.0000000000000001E-3</c:v>
                </c:pt>
                <c:pt idx="174">
                  <c:v>7.0000000000000001E-3</c:v>
                </c:pt>
                <c:pt idx="175">
                  <c:v>7.0000000000000001E-3</c:v>
                </c:pt>
                <c:pt idx="176">
                  <c:v>7.0000000000000001E-3</c:v>
                </c:pt>
                <c:pt idx="177">
                  <c:v>7.0000000000000001E-3</c:v>
                </c:pt>
                <c:pt idx="178">
                  <c:v>7.0000000000000001E-3</c:v>
                </c:pt>
                <c:pt idx="179">
                  <c:v>7.0000000000000001E-3</c:v>
                </c:pt>
                <c:pt idx="180">
                  <c:v>7.0000000000000001E-3</c:v>
                </c:pt>
                <c:pt idx="181">
                  <c:v>7.0000000000000001E-3</c:v>
                </c:pt>
                <c:pt idx="182">
                  <c:v>7.0000000000000001E-3</c:v>
                </c:pt>
                <c:pt idx="183">
                  <c:v>7.0000000000000001E-3</c:v>
                </c:pt>
                <c:pt idx="184">
                  <c:v>7.0000000000000001E-3</c:v>
                </c:pt>
                <c:pt idx="185">
                  <c:v>7.0000000000000001E-3</c:v>
                </c:pt>
                <c:pt idx="186">
                  <c:v>7.0000000000000001E-3</c:v>
                </c:pt>
                <c:pt idx="187">
                  <c:v>7.0000000000000001E-3</c:v>
                </c:pt>
                <c:pt idx="188">
                  <c:v>7.0000000000000001E-3</c:v>
                </c:pt>
                <c:pt idx="189">
                  <c:v>7.0000000000000001E-3</c:v>
                </c:pt>
                <c:pt idx="190">
                  <c:v>7.0000000000000001E-3</c:v>
                </c:pt>
                <c:pt idx="191">
                  <c:v>7.0000000000000001E-3</c:v>
                </c:pt>
                <c:pt idx="192">
                  <c:v>7.0000000000000001E-3</c:v>
                </c:pt>
                <c:pt idx="193">
                  <c:v>7.0000000000000001E-3</c:v>
                </c:pt>
                <c:pt idx="194">
                  <c:v>7.0000000000000001E-3</c:v>
                </c:pt>
                <c:pt idx="195">
                  <c:v>7.0000000000000001E-3</c:v>
                </c:pt>
                <c:pt idx="196">
                  <c:v>7.0000000000000001E-3</c:v>
                </c:pt>
                <c:pt idx="197">
                  <c:v>7.0000000000000001E-3</c:v>
                </c:pt>
                <c:pt idx="198">
                  <c:v>7.0000000000000001E-3</c:v>
                </c:pt>
                <c:pt idx="199">
                  <c:v>7.0000000000000001E-3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7.0000000000000001E-3</c:v>
                </c:pt>
                <c:pt idx="205">
                  <c:v>7.0000000000000001E-3</c:v>
                </c:pt>
                <c:pt idx="206">
                  <c:v>7.0000000000000001E-3</c:v>
                </c:pt>
                <c:pt idx="207">
                  <c:v>7.0000000000000001E-3</c:v>
                </c:pt>
                <c:pt idx="208">
                  <c:v>7.0000000000000001E-3</c:v>
                </c:pt>
                <c:pt idx="209">
                  <c:v>7.0000000000000001E-3</c:v>
                </c:pt>
                <c:pt idx="210">
                  <c:v>7.0000000000000001E-3</c:v>
                </c:pt>
                <c:pt idx="211">
                  <c:v>7.0000000000000001E-3</c:v>
                </c:pt>
                <c:pt idx="212">
                  <c:v>7.0000000000000001E-3</c:v>
                </c:pt>
                <c:pt idx="213">
                  <c:v>7.0000000000000001E-3</c:v>
                </c:pt>
                <c:pt idx="214">
                  <c:v>7.0000000000000001E-3</c:v>
                </c:pt>
                <c:pt idx="215">
                  <c:v>7.0000000000000001E-3</c:v>
                </c:pt>
                <c:pt idx="216">
                  <c:v>7.0000000000000001E-3</c:v>
                </c:pt>
                <c:pt idx="217">
                  <c:v>7.0000000000000001E-3</c:v>
                </c:pt>
                <c:pt idx="218">
                  <c:v>7.0000000000000001E-3</c:v>
                </c:pt>
                <c:pt idx="219">
                  <c:v>7.0000000000000001E-3</c:v>
                </c:pt>
                <c:pt idx="220">
                  <c:v>7.0000000000000001E-3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7.0000000000000001E-3</c:v>
                </c:pt>
                <c:pt idx="224">
                  <c:v>7.0000000000000001E-3</c:v>
                </c:pt>
                <c:pt idx="225">
                  <c:v>7.0000000000000001E-3</c:v>
                </c:pt>
                <c:pt idx="226">
                  <c:v>7.0000000000000001E-3</c:v>
                </c:pt>
                <c:pt idx="227">
                  <c:v>7.0000000000000001E-3</c:v>
                </c:pt>
                <c:pt idx="228">
                  <c:v>7.0000000000000001E-3</c:v>
                </c:pt>
                <c:pt idx="229">
                  <c:v>7.0000000000000001E-3</c:v>
                </c:pt>
                <c:pt idx="230">
                  <c:v>7.0000000000000001E-3</c:v>
                </c:pt>
                <c:pt idx="231">
                  <c:v>7.0000000000000001E-3</c:v>
                </c:pt>
                <c:pt idx="232">
                  <c:v>7.0000000000000001E-3</c:v>
                </c:pt>
                <c:pt idx="233">
                  <c:v>7.0000000000000001E-3</c:v>
                </c:pt>
                <c:pt idx="234">
                  <c:v>7.0000000000000001E-3</c:v>
                </c:pt>
                <c:pt idx="235">
                  <c:v>7.0000000000000001E-3</c:v>
                </c:pt>
                <c:pt idx="236">
                  <c:v>7.0000000000000001E-3</c:v>
                </c:pt>
                <c:pt idx="237">
                  <c:v>7.0000000000000001E-3</c:v>
                </c:pt>
                <c:pt idx="238">
                  <c:v>7.0000000000000001E-3</c:v>
                </c:pt>
                <c:pt idx="239">
                  <c:v>7.0000000000000001E-3</c:v>
                </c:pt>
                <c:pt idx="240">
                  <c:v>7.0000000000000001E-3</c:v>
                </c:pt>
                <c:pt idx="241">
                  <c:v>7.0000000000000001E-3</c:v>
                </c:pt>
                <c:pt idx="242">
                  <c:v>7.0000000000000001E-3</c:v>
                </c:pt>
                <c:pt idx="243">
                  <c:v>7.0000000000000001E-3</c:v>
                </c:pt>
                <c:pt idx="244">
                  <c:v>7.0000000000000001E-3</c:v>
                </c:pt>
                <c:pt idx="245">
                  <c:v>7.0000000000000001E-3</c:v>
                </c:pt>
                <c:pt idx="246">
                  <c:v>7.0000000000000001E-3</c:v>
                </c:pt>
                <c:pt idx="247">
                  <c:v>7.0000000000000001E-3</c:v>
                </c:pt>
                <c:pt idx="248">
                  <c:v>7.0000000000000001E-3</c:v>
                </c:pt>
                <c:pt idx="249">
                  <c:v>7.0000000000000001E-3</c:v>
                </c:pt>
                <c:pt idx="250">
                  <c:v>7.0000000000000001E-3</c:v>
                </c:pt>
                <c:pt idx="251">
                  <c:v>7.0000000000000001E-3</c:v>
                </c:pt>
                <c:pt idx="252">
                  <c:v>7.0000000000000001E-3</c:v>
                </c:pt>
                <c:pt idx="253">
                  <c:v>7.0000000000000001E-3</c:v>
                </c:pt>
                <c:pt idx="254">
                  <c:v>7.0000000000000001E-3</c:v>
                </c:pt>
                <c:pt idx="255">
                  <c:v>7.0000000000000001E-3</c:v>
                </c:pt>
                <c:pt idx="256">
                  <c:v>7.0000000000000001E-3</c:v>
                </c:pt>
                <c:pt idx="257">
                  <c:v>7.0000000000000001E-3</c:v>
                </c:pt>
                <c:pt idx="258">
                  <c:v>7.0000000000000001E-3</c:v>
                </c:pt>
                <c:pt idx="259">
                  <c:v>7.0000000000000001E-3</c:v>
                </c:pt>
                <c:pt idx="260">
                  <c:v>7.0000000000000001E-3</c:v>
                </c:pt>
                <c:pt idx="261">
                  <c:v>7.0000000000000001E-3</c:v>
                </c:pt>
                <c:pt idx="262">
                  <c:v>7.0000000000000001E-3</c:v>
                </c:pt>
                <c:pt idx="263">
                  <c:v>6.0000000000000001E-3</c:v>
                </c:pt>
                <c:pt idx="264">
                  <c:v>7.0000000000000001E-3</c:v>
                </c:pt>
                <c:pt idx="265">
                  <c:v>7.0000000000000001E-3</c:v>
                </c:pt>
                <c:pt idx="266">
                  <c:v>7.0000000000000001E-3</c:v>
                </c:pt>
                <c:pt idx="267">
                  <c:v>7.0000000000000001E-3</c:v>
                </c:pt>
                <c:pt idx="268">
                  <c:v>7.0000000000000001E-3</c:v>
                </c:pt>
                <c:pt idx="269">
                  <c:v>7.0000000000000001E-3</c:v>
                </c:pt>
                <c:pt idx="270">
                  <c:v>7.0000000000000001E-3</c:v>
                </c:pt>
                <c:pt idx="271">
                  <c:v>7.0000000000000001E-3</c:v>
                </c:pt>
                <c:pt idx="272">
                  <c:v>6.0000000000000001E-3</c:v>
                </c:pt>
                <c:pt idx="273">
                  <c:v>7.0000000000000001E-3</c:v>
                </c:pt>
                <c:pt idx="274">
                  <c:v>7.0000000000000001E-3</c:v>
                </c:pt>
                <c:pt idx="275">
                  <c:v>7.0000000000000001E-3</c:v>
                </c:pt>
                <c:pt idx="276">
                  <c:v>7.0000000000000001E-3</c:v>
                </c:pt>
                <c:pt idx="277">
                  <c:v>7.0000000000000001E-3</c:v>
                </c:pt>
                <c:pt idx="278">
                  <c:v>7.0000000000000001E-3</c:v>
                </c:pt>
                <c:pt idx="279">
                  <c:v>7.0000000000000001E-3</c:v>
                </c:pt>
                <c:pt idx="280">
                  <c:v>7.0000000000000001E-3</c:v>
                </c:pt>
                <c:pt idx="281">
                  <c:v>7.0000000000000001E-3</c:v>
                </c:pt>
                <c:pt idx="282">
                  <c:v>7.0000000000000001E-3</c:v>
                </c:pt>
                <c:pt idx="283">
                  <c:v>7.0000000000000001E-3</c:v>
                </c:pt>
                <c:pt idx="284">
                  <c:v>7.0000000000000001E-3</c:v>
                </c:pt>
                <c:pt idx="285">
                  <c:v>7.0000000000000001E-3</c:v>
                </c:pt>
                <c:pt idx="286">
                  <c:v>7.0000000000000001E-3</c:v>
                </c:pt>
                <c:pt idx="287">
                  <c:v>7.0000000000000001E-3</c:v>
                </c:pt>
                <c:pt idx="288">
                  <c:v>7.0000000000000001E-3</c:v>
                </c:pt>
                <c:pt idx="289">
                  <c:v>7.0000000000000001E-3</c:v>
                </c:pt>
                <c:pt idx="290">
                  <c:v>7.0000000000000001E-3</c:v>
                </c:pt>
                <c:pt idx="291">
                  <c:v>6.0000000000000001E-3</c:v>
                </c:pt>
                <c:pt idx="292">
                  <c:v>7.0000000000000001E-3</c:v>
                </c:pt>
                <c:pt idx="293">
                  <c:v>7.0000000000000001E-3</c:v>
                </c:pt>
                <c:pt idx="294">
                  <c:v>7.0000000000000001E-3</c:v>
                </c:pt>
                <c:pt idx="295">
                  <c:v>7.0000000000000001E-3</c:v>
                </c:pt>
                <c:pt idx="296">
                  <c:v>7.0000000000000001E-3</c:v>
                </c:pt>
                <c:pt idx="297">
                  <c:v>7.0000000000000001E-3</c:v>
                </c:pt>
                <c:pt idx="298">
                  <c:v>7.0000000000000001E-3</c:v>
                </c:pt>
                <c:pt idx="299">
                  <c:v>6.0000000000000001E-3</c:v>
                </c:pt>
                <c:pt idx="300">
                  <c:v>7.0000000000000001E-3</c:v>
                </c:pt>
                <c:pt idx="301">
                  <c:v>7.0000000000000001E-3</c:v>
                </c:pt>
                <c:pt idx="302">
                  <c:v>6.0000000000000001E-3</c:v>
                </c:pt>
                <c:pt idx="303">
                  <c:v>6.0000000000000001E-3</c:v>
                </c:pt>
                <c:pt idx="304">
                  <c:v>6.0000000000000001E-3</c:v>
                </c:pt>
                <c:pt idx="305">
                  <c:v>7.0000000000000001E-3</c:v>
                </c:pt>
                <c:pt idx="306">
                  <c:v>7.0000000000000001E-3</c:v>
                </c:pt>
                <c:pt idx="307">
                  <c:v>6.0000000000000001E-3</c:v>
                </c:pt>
                <c:pt idx="308">
                  <c:v>7.0000000000000001E-3</c:v>
                </c:pt>
                <c:pt idx="309">
                  <c:v>7.0000000000000001E-3</c:v>
                </c:pt>
                <c:pt idx="310">
                  <c:v>6.0000000000000001E-3</c:v>
                </c:pt>
                <c:pt idx="311">
                  <c:v>7.0000000000000001E-3</c:v>
                </c:pt>
                <c:pt idx="312">
                  <c:v>6.0000000000000001E-3</c:v>
                </c:pt>
                <c:pt idx="313">
                  <c:v>7.0000000000000001E-3</c:v>
                </c:pt>
                <c:pt idx="314">
                  <c:v>7.0000000000000001E-3</c:v>
                </c:pt>
                <c:pt idx="315">
                  <c:v>6.0000000000000001E-3</c:v>
                </c:pt>
                <c:pt idx="316">
                  <c:v>6.0000000000000001E-3</c:v>
                </c:pt>
                <c:pt idx="317">
                  <c:v>7.0000000000000001E-3</c:v>
                </c:pt>
                <c:pt idx="318">
                  <c:v>7.0000000000000001E-3</c:v>
                </c:pt>
                <c:pt idx="319">
                  <c:v>7.0000000000000001E-3</c:v>
                </c:pt>
                <c:pt idx="320">
                  <c:v>6.0000000000000001E-3</c:v>
                </c:pt>
                <c:pt idx="321">
                  <c:v>7.0000000000000001E-3</c:v>
                </c:pt>
                <c:pt idx="322">
                  <c:v>7.0000000000000001E-3</c:v>
                </c:pt>
                <c:pt idx="323">
                  <c:v>6.0000000000000001E-3</c:v>
                </c:pt>
                <c:pt idx="324">
                  <c:v>7.0000000000000001E-3</c:v>
                </c:pt>
                <c:pt idx="325">
                  <c:v>7.0000000000000001E-3</c:v>
                </c:pt>
                <c:pt idx="326">
                  <c:v>6.0000000000000001E-3</c:v>
                </c:pt>
                <c:pt idx="327">
                  <c:v>6.0000000000000001E-3</c:v>
                </c:pt>
                <c:pt idx="328">
                  <c:v>6.0000000000000001E-3</c:v>
                </c:pt>
                <c:pt idx="329">
                  <c:v>6.0000000000000001E-3</c:v>
                </c:pt>
                <c:pt idx="330">
                  <c:v>6.0000000000000001E-3</c:v>
                </c:pt>
                <c:pt idx="331">
                  <c:v>6.0000000000000001E-3</c:v>
                </c:pt>
                <c:pt idx="332">
                  <c:v>7.0000000000000001E-3</c:v>
                </c:pt>
                <c:pt idx="333">
                  <c:v>6.0000000000000001E-3</c:v>
                </c:pt>
                <c:pt idx="334">
                  <c:v>6.0000000000000001E-3</c:v>
                </c:pt>
                <c:pt idx="335">
                  <c:v>7.0000000000000001E-3</c:v>
                </c:pt>
                <c:pt idx="336">
                  <c:v>7.0000000000000001E-3</c:v>
                </c:pt>
                <c:pt idx="337">
                  <c:v>6.0000000000000001E-3</c:v>
                </c:pt>
                <c:pt idx="338">
                  <c:v>6.0000000000000001E-3</c:v>
                </c:pt>
                <c:pt idx="339">
                  <c:v>6.0000000000000001E-3</c:v>
                </c:pt>
                <c:pt idx="340">
                  <c:v>6.0000000000000001E-3</c:v>
                </c:pt>
                <c:pt idx="341">
                  <c:v>7.0000000000000001E-3</c:v>
                </c:pt>
                <c:pt idx="342">
                  <c:v>7.0000000000000001E-3</c:v>
                </c:pt>
                <c:pt idx="343">
                  <c:v>7.0000000000000001E-3</c:v>
                </c:pt>
                <c:pt idx="344">
                  <c:v>6.0000000000000001E-3</c:v>
                </c:pt>
                <c:pt idx="345">
                  <c:v>6.0000000000000001E-3</c:v>
                </c:pt>
                <c:pt idx="346">
                  <c:v>7.0000000000000001E-3</c:v>
                </c:pt>
                <c:pt idx="347">
                  <c:v>7.0000000000000001E-3</c:v>
                </c:pt>
                <c:pt idx="348">
                  <c:v>7.0000000000000001E-3</c:v>
                </c:pt>
                <c:pt idx="349">
                  <c:v>6.0000000000000001E-3</c:v>
                </c:pt>
                <c:pt idx="350">
                  <c:v>6.0000000000000001E-3</c:v>
                </c:pt>
                <c:pt idx="351">
                  <c:v>6.0000000000000001E-3</c:v>
                </c:pt>
                <c:pt idx="352">
                  <c:v>7.0000000000000001E-3</c:v>
                </c:pt>
                <c:pt idx="353">
                  <c:v>6.0000000000000001E-3</c:v>
                </c:pt>
                <c:pt idx="354">
                  <c:v>6.0000000000000001E-3</c:v>
                </c:pt>
                <c:pt idx="355">
                  <c:v>7.0000000000000001E-3</c:v>
                </c:pt>
                <c:pt idx="356">
                  <c:v>6.0000000000000001E-3</c:v>
                </c:pt>
                <c:pt idx="357">
                  <c:v>6.0000000000000001E-3</c:v>
                </c:pt>
                <c:pt idx="358">
                  <c:v>6.0000000000000001E-3</c:v>
                </c:pt>
                <c:pt idx="359">
                  <c:v>7.0000000000000001E-3</c:v>
                </c:pt>
                <c:pt idx="360">
                  <c:v>7.0000000000000001E-3</c:v>
                </c:pt>
                <c:pt idx="361">
                  <c:v>6.0000000000000001E-3</c:v>
                </c:pt>
                <c:pt idx="362">
                  <c:v>6.0000000000000001E-3</c:v>
                </c:pt>
                <c:pt idx="363">
                  <c:v>7.0000000000000001E-3</c:v>
                </c:pt>
                <c:pt idx="364">
                  <c:v>7.0000000000000001E-3</c:v>
                </c:pt>
                <c:pt idx="365">
                  <c:v>6.0000000000000001E-3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8.0000000000000002E-3</c:v>
                </c:pt>
                <c:pt idx="13">
                  <c:v>8.0000000000000002E-3</c:v>
                </c:pt>
                <c:pt idx="14">
                  <c:v>8.0000000000000002E-3</c:v>
                </c:pt>
                <c:pt idx="15">
                  <c:v>8.9999999999999993E-3</c:v>
                </c:pt>
                <c:pt idx="16">
                  <c:v>8.0000000000000002E-3</c:v>
                </c:pt>
                <c:pt idx="17">
                  <c:v>8.0000000000000002E-3</c:v>
                </c:pt>
                <c:pt idx="18">
                  <c:v>8.9999999999999993E-3</c:v>
                </c:pt>
                <c:pt idx="19">
                  <c:v>8.9999999999999993E-3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8.9999999999999993E-3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8.9999999999999993E-3</c:v>
                </c:pt>
                <c:pt idx="27">
                  <c:v>8.9999999999999993E-3</c:v>
                </c:pt>
                <c:pt idx="28">
                  <c:v>8.9999999999999993E-3</c:v>
                </c:pt>
                <c:pt idx="29">
                  <c:v>8.9999999999999993E-3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8.9999999999999993E-3</c:v>
                </c:pt>
                <c:pt idx="36">
                  <c:v>8.9999999999999993E-3</c:v>
                </c:pt>
                <c:pt idx="37">
                  <c:v>8.9999999999999993E-3</c:v>
                </c:pt>
                <c:pt idx="38">
                  <c:v>8.9999999999999993E-3</c:v>
                </c:pt>
                <c:pt idx="39">
                  <c:v>8.9999999999999993E-3</c:v>
                </c:pt>
                <c:pt idx="40">
                  <c:v>8.9999999999999993E-3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8.9999999999999993E-3</c:v>
                </c:pt>
                <c:pt idx="45">
                  <c:v>8.9999999999999993E-3</c:v>
                </c:pt>
                <c:pt idx="46">
                  <c:v>8.9999999999999993E-3</c:v>
                </c:pt>
                <c:pt idx="47">
                  <c:v>8.9999999999999993E-3</c:v>
                </c:pt>
                <c:pt idx="48">
                  <c:v>8.9999999999999993E-3</c:v>
                </c:pt>
                <c:pt idx="49">
                  <c:v>8.9999999999999993E-3</c:v>
                </c:pt>
                <c:pt idx="50">
                  <c:v>8.9999999999999993E-3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8.9999999999999993E-3</c:v>
                </c:pt>
                <c:pt idx="54">
                  <c:v>8.9999999999999993E-3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8.9999999999999993E-3</c:v>
                </c:pt>
                <c:pt idx="58">
                  <c:v>8.9999999999999993E-3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8.9999999999999993E-3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8.9999999999999993E-3</c:v>
                </c:pt>
                <c:pt idx="69">
                  <c:v>8.9999999999999993E-3</c:v>
                </c:pt>
                <c:pt idx="70">
                  <c:v>8.9999999999999993E-3</c:v>
                </c:pt>
                <c:pt idx="71">
                  <c:v>8.9999999999999993E-3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8.9999999999999993E-3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8.9999999999999993E-3</c:v>
                </c:pt>
                <c:pt idx="80">
                  <c:v>8.9999999999999993E-3</c:v>
                </c:pt>
                <c:pt idx="81">
                  <c:v>8.9999999999999993E-3</c:v>
                </c:pt>
                <c:pt idx="82">
                  <c:v>8.9999999999999993E-3</c:v>
                </c:pt>
                <c:pt idx="83">
                  <c:v>8.9999999999999993E-3</c:v>
                </c:pt>
                <c:pt idx="84">
                  <c:v>8.9999999999999993E-3</c:v>
                </c:pt>
                <c:pt idx="85">
                  <c:v>8.9999999999999993E-3</c:v>
                </c:pt>
                <c:pt idx="86">
                  <c:v>8.9999999999999993E-3</c:v>
                </c:pt>
                <c:pt idx="87">
                  <c:v>8.9999999999999993E-3</c:v>
                </c:pt>
                <c:pt idx="88">
                  <c:v>8.9999999999999993E-3</c:v>
                </c:pt>
                <c:pt idx="89">
                  <c:v>8.9999999999999993E-3</c:v>
                </c:pt>
                <c:pt idx="90">
                  <c:v>8.9999999999999993E-3</c:v>
                </c:pt>
                <c:pt idx="91">
                  <c:v>0.01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8.9999999999999993E-3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8.9999999999999993E-3</c:v>
                </c:pt>
                <c:pt idx="100">
                  <c:v>0.01</c:v>
                </c:pt>
                <c:pt idx="101">
                  <c:v>8.9999999999999993E-3</c:v>
                </c:pt>
                <c:pt idx="102">
                  <c:v>8.9999999999999993E-3</c:v>
                </c:pt>
                <c:pt idx="103">
                  <c:v>8.9999999999999993E-3</c:v>
                </c:pt>
                <c:pt idx="104">
                  <c:v>0.01</c:v>
                </c:pt>
                <c:pt idx="105">
                  <c:v>8.9999999999999993E-3</c:v>
                </c:pt>
                <c:pt idx="106">
                  <c:v>8.9999999999999993E-3</c:v>
                </c:pt>
                <c:pt idx="107">
                  <c:v>8.9999999999999993E-3</c:v>
                </c:pt>
                <c:pt idx="108">
                  <c:v>8.9999999999999993E-3</c:v>
                </c:pt>
                <c:pt idx="109">
                  <c:v>8.9999999999999993E-3</c:v>
                </c:pt>
                <c:pt idx="110">
                  <c:v>0.01</c:v>
                </c:pt>
                <c:pt idx="111">
                  <c:v>8.9999999999999993E-3</c:v>
                </c:pt>
                <c:pt idx="112">
                  <c:v>0.01</c:v>
                </c:pt>
                <c:pt idx="113">
                  <c:v>8.9999999999999993E-3</c:v>
                </c:pt>
                <c:pt idx="114">
                  <c:v>8.9999999999999993E-3</c:v>
                </c:pt>
                <c:pt idx="115">
                  <c:v>8.9999999999999993E-3</c:v>
                </c:pt>
                <c:pt idx="116">
                  <c:v>8.9999999999999993E-3</c:v>
                </c:pt>
                <c:pt idx="117">
                  <c:v>8.9999999999999993E-3</c:v>
                </c:pt>
                <c:pt idx="118">
                  <c:v>8.9999999999999993E-3</c:v>
                </c:pt>
                <c:pt idx="119">
                  <c:v>8.9999999999999993E-3</c:v>
                </c:pt>
                <c:pt idx="120">
                  <c:v>8.9999999999999993E-3</c:v>
                </c:pt>
                <c:pt idx="121">
                  <c:v>8.9999999999999993E-3</c:v>
                </c:pt>
                <c:pt idx="122">
                  <c:v>0.01</c:v>
                </c:pt>
                <c:pt idx="123">
                  <c:v>8.9999999999999993E-3</c:v>
                </c:pt>
                <c:pt idx="124">
                  <c:v>0.01</c:v>
                </c:pt>
                <c:pt idx="125">
                  <c:v>8.9999999999999993E-3</c:v>
                </c:pt>
                <c:pt idx="126">
                  <c:v>8.9999999999999993E-3</c:v>
                </c:pt>
                <c:pt idx="127">
                  <c:v>8.9999999999999993E-3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8.9999999999999993E-3</c:v>
                </c:pt>
                <c:pt idx="134">
                  <c:v>8.9999999999999993E-3</c:v>
                </c:pt>
                <c:pt idx="135">
                  <c:v>0.01</c:v>
                </c:pt>
                <c:pt idx="136">
                  <c:v>0.01</c:v>
                </c:pt>
                <c:pt idx="137">
                  <c:v>8.9999999999999993E-3</c:v>
                </c:pt>
                <c:pt idx="138">
                  <c:v>8.9999999999999993E-3</c:v>
                </c:pt>
                <c:pt idx="139">
                  <c:v>0.01</c:v>
                </c:pt>
                <c:pt idx="140">
                  <c:v>0.01</c:v>
                </c:pt>
                <c:pt idx="141">
                  <c:v>8.9999999999999993E-3</c:v>
                </c:pt>
                <c:pt idx="142">
                  <c:v>0.01</c:v>
                </c:pt>
                <c:pt idx="143">
                  <c:v>0.01</c:v>
                </c:pt>
                <c:pt idx="144">
                  <c:v>8.9999999999999993E-3</c:v>
                </c:pt>
                <c:pt idx="145">
                  <c:v>0.01</c:v>
                </c:pt>
                <c:pt idx="146">
                  <c:v>8.9999999999999993E-3</c:v>
                </c:pt>
                <c:pt idx="147">
                  <c:v>0.01</c:v>
                </c:pt>
                <c:pt idx="148">
                  <c:v>8.9999999999999993E-3</c:v>
                </c:pt>
                <c:pt idx="149">
                  <c:v>8.9999999999999993E-3</c:v>
                </c:pt>
                <c:pt idx="150">
                  <c:v>8.9999999999999993E-3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8.9999999999999993E-3</c:v>
                </c:pt>
                <c:pt idx="155">
                  <c:v>8.9999999999999993E-3</c:v>
                </c:pt>
                <c:pt idx="156">
                  <c:v>8.9999999999999993E-3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8.9999999999999993E-3</c:v>
                </c:pt>
                <c:pt idx="167">
                  <c:v>8.9999999999999993E-3</c:v>
                </c:pt>
                <c:pt idx="168">
                  <c:v>8.9999999999999993E-3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1.0999999999999999E-2</c:v>
                </c:pt>
                <c:pt idx="190">
                  <c:v>1.0999999999999999E-2</c:v>
                </c:pt>
                <c:pt idx="191">
                  <c:v>1.0999999999999999E-2</c:v>
                </c:pt>
                <c:pt idx="192">
                  <c:v>0.01</c:v>
                </c:pt>
                <c:pt idx="193">
                  <c:v>1.0999999999999999E-2</c:v>
                </c:pt>
                <c:pt idx="194">
                  <c:v>0.01</c:v>
                </c:pt>
                <c:pt idx="195">
                  <c:v>1.0999999999999999E-2</c:v>
                </c:pt>
                <c:pt idx="196">
                  <c:v>1.0999999999999999E-2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1.0999999999999999E-2</c:v>
                </c:pt>
                <c:pt idx="202">
                  <c:v>1.0999999999999999E-2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1.0999999999999999E-2</c:v>
                </c:pt>
                <c:pt idx="213">
                  <c:v>0.01</c:v>
                </c:pt>
                <c:pt idx="214">
                  <c:v>0.01</c:v>
                </c:pt>
                <c:pt idx="215">
                  <c:v>1.0999999999999999E-2</c:v>
                </c:pt>
                <c:pt idx="216">
                  <c:v>1.0999999999999999E-2</c:v>
                </c:pt>
                <c:pt idx="217">
                  <c:v>1.0999999999999999E-2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8.9999999999999993E-3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8.9999999999999993E-3</c:v>
                </c:pt>
                <c:pt idx="237">
                  <c:v>0.01</c:v>
                </c:pt>
                <c:pt idx="238">
                  <c:v>0.01</c:v>
                </c:pt>
                <c:pt idx="239">
                  <c:v>8.9999999999999993E-3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1.0999999999999999E-2</c:v>
                </c:pt>
                <c:pt idx="244">
                  <c:v>1.0999999999999999E-2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1.0999999999999999E-2</c:v>
                </c:pt>
                <c:pt idx="250">
                  <c:v>1.0999999999999999E-2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8.9999999999999993E-3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8.9999999999999993E-3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8.9999999999999993E-3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8.9999999999999993E-3</c:v>
                </c:pt>
                <c:pt idx="273">
                  <c:v>0.01</c:v>
                </c:pt>
                <c:pt idx="274">
                  <c:v>8.9999999999999993E-3</c:v>
                </c:pt>
                <c:pt idx="275">
                  <c:v>0.01</c:v>
                </c:pt>
                <c:pt idx="276">
                  <c:v>0.01</c:v>
                </c:pt>
                <c:pt idx="277">
                  <c:v>8.9999999999999993E-3</c:v>
                </c:pt>
                <c:pt idx="278">
                  <c:v>0.01</c:v>
                </c:pt>
                <c:pt idx="279">
                  <c:v>0.01</c:v>
                </c:pt>
                <c:pt idx="280">
                  <c:v>1.0999999999999999E-2</c:v>
                </c:pt>
                <c:pt idx="281">
                  <c:v>0.01</c:v>
                </c:pt>
                <c:pt idx="282">
                  <c:v>0.01</c:v>
                </c:pt>
                <c:pt idx="283">
                  <c:v>8.9999999999999993E-3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8.9999999999999993E-3</c:v>
                </c:pt>
                <c:pt idx="289">
                  <c:v>8.9999999999999993E-3</c:v>
                </c:pt>
                <c:pt idx="290">
                  <c:v>8.9999999999999993E-3</c:v>
                </c:pt>
                <c:pt idx="291">
                  <c:v>8.9999999999999993E-3</c:v>
                </c:pt>
                <c:pt idx="292">
                  <c:v>8.9999999999999993E-3</c:v>
                </c:pt>
                <c:pt idx="293">
                  <c:v>8.9999999999999993E-3</c:v>
                </c:pt>
                <c:pt idx="294">
                  <c:v>8.9999999999999993E-3</c:v>
                </c:pt>
                <c:pt idx="295">
                  <c:v>8.9999999999999993E-3</c:v>
                </c:pt>
                <c:pt idx="296">
                  <c:v>8.9999999999999993E-3</c:v>
                </c:pt>
                <c:pt idx="297">
                  <c:v>8.9999999999999993E-3</c:v>
                </c:pt>
                <c:pt idx="298">
                  <c:v>8.9999999999999993E-3</c:v>
                </c:pt>
                <c:pt idx="299">
                  <c:v>8.9999999999999993E-3</c:v>
                </c:pt>
                <c:pt idx="300">
                  <c:v>8.9999999999999993E-3</c:v>
                </c:pt>
                <c:pt idx="301">
                  <c:v>8.9999999999999993E-3</c:v>
                </c:pt>
                <c:pt idx="302">
                  <c:v>8.9999999999999993E-3</c:v>
                </c:pt>
                <c:pt idx="303">
                  <c:v>8.9999999999999993E-3</c:v>
                </c:pt>
                <c:pt idx="304">
                  <c:v>8.9999999999999993E-3</c:v>
                </c:pt>
                <c:pt idx="305">
                  <c:v>8.9999999999999993E-3</c:v>
                </c:pt>
                <c:pt idx="306">
                  <c:v>8.9999999999999993E-3</c:v>
                </c:pt>
                <c:pt idx="307">
                  <c:v>8.9999999999999993E-3</c:v>
                </c:pt>
                <c:pt idx="308">
                  <c:v>8.9999999999999993E-3</c:v>
                </c:pt>
                <c:pt idx="309">
                  <c:v>8.9999999999999993E-3</c:v>
                </c:pt>
                <c:pt idx="310">
                  <c:v>8.9999999999999993E-3</c:v>
                </c:pt>
                <c:pt idx="311">
                  <c:v>8.9999999999999993E-3</c:v>
                </c:pt>
                <c:pt idx="312">
                  <c:v>8.9999999999999993E-3</c:v>
                </c:pt>
                <c:pt idx="313">
                  <c:v>8.9999999999999993E-3</c:v>
                </c:pt>
                <c:pt idx="314">
                  <c:v>8.9999999999999993E-3</c:v>
                </c:pt>
                <c:pt idx="315">
                  <c:v>8.9999999999999993E-3</c:v>
                </c:pt>
                <c:pt idx="316">
                  <c:v>8.9999999999999993E-3</c:v>
                </c:pt>
                <c:pt idx="317">
                  <c:v>8.9999999999999993E-3</c:v>
                </c:pt>
                <c:pt idx="318">
                  <c:v>8.9999999999999993E-3</c:v>
                </c:pt>
                <c:pt idx="319">
                  <c:v>8.9999999999999993E-3</c:v>
                </c:pt>
                <c:pt idx="320">
                  <c:v>8.9999999999999993E-3</c:v>
                </c:pt>
                <c:pt idx="321">
                  <c:v>8.9999999999999993E-3</c:v>
                </c:pt>
                <c:pt idx="322">
                  <c:v>8.9999999999999993E-3</c:v>
                </c:pt>
                <c:pt idx="323">
                  <c:v>8.9999999999999993E-3</c:v>
                </c:pt>
                <c:pt idx="324">
                  <c:v>8.9999999999999993E-3</c:v>
                </c:pt>
                <c:pt idx="325">
                  <c:v>8.9999999999999993E-3</c:v>
                </c:pt>
                <c:pt idx="326">
                  <c:v>8.9999999999999993E-3</c:v>
                </c:pt>
                <c:pt idx="327">
                  <c:v>8.9999999999999993E-3</c:v>
                </c:pt>
                <c:pt idx="328">
                  <c:v>8.9999999999999993E-3</c:v>
                </c:pt>
                <c:pt idx="329">
                  <c:v>8.9999999999999993E-3</c:v>
                </c:pt>
                <c:pt idx="330">
                  <c:v>8.9999999999999993E-3</c:v>
                </c:pt>
                <c:pt idx="331">
                  <c:v>8.9999999999999993E-3</c:v>
                </c:pt>
                <c:pt idx="332">
                  <c:v>8.9999999999999993E-3</c:v>
                </c:pt>
                <c:pt idx="333">
                  <c:v>8.9999999999999993E-3</c:v>
                </c:pt>
                <c:pt idx="334">
                  <c:v>8.9999999999999993E-3</c:v>
                </c:pt>
                <c:pt idx="335">
                  <c:v>8.9999999999999993E-3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8.9999999999999993E-3</c:v>
                </c:pt>
                <c:pt idx="340">
                  <c:v>8.9999999999999993E-3</c:v>
                </c:pt>
                <c:pt idx="341">
                  <c:v>8.9999999999999993E-3</c:v>
                </c:pt>
                <c:pt idx="342">
                  <c:v>8.9999999999999993E-3</c:v>
                </c:pt>
                <c:pt idx="343">
                  <c:v>8.9999999999999993E-3</c:v>
                </c:pt>
                <c:pt idx="344">
                  <c:v>8.9999999999999993E-3</c:v>
                </c:pt>
                <c:pt idx="345">
                  <c:v>8.9999999999999993E-3</c:v>
                </c:pt>
                <c:pt idx="346">
                  <c:v>8.9999999999999993E-3</c:v>
                </c:pt>
                <c:pt idx="347">
                  <c:v>8.9999999999999993E-3</c:v>
                </c:pt>
                <c:pt idx="348">
                  <c:v>8.9999999999999993E-3</c:v>
                </c:pt>
                <c:pt idx="349">
                  <c:v>8.9999999999999993E-3</c:v>
                </c:pt>
                <c:pt idx="350">
                  <c:v>8.9999999999999993E-3</c:v>
                </c:pt>
                <c:pt idx="351">
                  <c:v>8.9999999999999993E-3</c:v>
                </c:pt>
                <c:pt idx="352">
                  <c:v>8.9999999999999993E-3</c:v>
                </c:pt>
                <c:pt idx="353">
                  <c:v>8.9999999999999993E-3</c:v>
                </c:pt>
                <c:pt idx="354">
                  <c:v>8.9999999999999993E-3</c:v>
                </c:pt>
                <c:pt idx="355">
                  <c:v>8.9999999999999993E-3</c:v>
                </c:pt>
                <c:pt idx="356">
                  <c:v>8.9999999999999993E-3</c:v>
                </c:pt>
                <c:pt idx="357">
                  <c:v>8.9999999999999993E-3</c:v>
                </c:pt>
                <c:pt idx="358">
                  <c:v>8.9999999999999993E-3</c:v>
                </c:pt>
                <c:pt idx="359">
                  <c:v>8.9999999999999993E-3</c:v>
                </c:pt>
                <c:pt idx="360">
                  <c:v>8.9999999999999993E-3</c:v>
                </c:pt>
                <c:pt idx="361">
                  <c:v>8.9999999999999993E-3</c:v>
                </c:pt>
                <c:pt idx="362">
                  <c:v>8.9999999999999993E-3</c:v>
                </c:pt>
                <c:pt idx="363">
                  <c:v>8.9999999999999993E-3</c:v>
                </c:pt>
                <c:pt idx="364">
                  <c:v>8.9999999999999993E-3</c:v>
                </c:pt>
                <c:pt idx="365">
                  <c:v>8.9999999999999993E-3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99808"/>
        <c:axId val="207801344"/>
      </c:lineChart>
      <c:catAx>
        <c:axId val="207799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80134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801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mV</a:t>
                </a:r>
              </a:p>
            </c:rich>
          </c:tx>
          <c:layout>
            <c:manualLayout>
              <c:xMode val="edge"/>
              <c:yMode val="edge"/>
              <c:x val="1.7579164088501544E-2"/>
              <c:y val="0.489147459997514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79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2"/>
  <sheetViews>
    <sheetView zoomScale="11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3"/>
  <sheetViews>
    <sheetView zoomScale="11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Chart4"/>
  <sheetViews>
    <sheetView zoomScale="11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Chart5"/>
  <sheetViews>
    <sheetView zoomScale="11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Chart9"/>
  <sheetViews>
    <sheetView zoomScale="11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Chart6"/>
  <sheetViews>
    <sheetView zoomScale="114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Chart7"/>
  <sheetViews>
    <sheetView zoomScale="114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Chart8"/>
  <sheetViews>
    <sheetView zoomScale="114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G402"/>
  <sheetViews>
    <sheetView tabSelected="1" workbookViewId="0">
      <pane xSplit="3" ySplit="4" topLeftCell="AS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6.7109375" customWidth="1"/>
    <col min="2" max="2" width="10.42578125" bestFit="1" customWidth="1"/>
    <col min="3" max="33" width="6.7109375" customWidth="1"/>
    <col min="35" max="38" width="6.7109375" customWidth="1"/>
    <col min="39" max="39" width="6.7109375" style="5" customWidth="1"/>
    <col min="40" max="66" width="6.7109375" customWidth="1"/>
  </cols>
  <sheetData>
    <row r="1" spans="1:66" x14ac:dyDescent="0.25">
      <c r="A1" t="s">
        <v>93</v>
      </c>
      <c r="AB1" s="20" t="s">
        <v>57</v>
      </c>
      <c r="AI1">
        <v>2.0499999999999998</v>
      </c>
      <c r="AJ1">
        <v>130</v>
      </c>
      <c r="AM1" s="3">
        <v>17.5</v>
      </c>
      <c r="AS1" t="s">
        <v>111</v>
      </c>
    </row>
    <row r="2" spans="1:66" x14ac:dyDescent="0.25">
      <c r="A2" t="s">
        <v>118</v>
      </c>
      <c r="J2" t="s">
        <v>18</v>
      </c>
      <c r="O2" t="s">
        <v>19</v>
      </c>
      <c r="T2" t="s">
        <v>20</v>
      </c>
      <c r="AI2" s="24">
        <v>2.0299999999999998</v>
      </c>
      <c r="AJ2" t="s">
        <v>43</v>
      </c>
      <c r="AK2" t="s">
        <v>43</v>
      </c>
      <c r="AL2" t="s">
        <v>77</v>
      </c>
      <c r="AM2" s="3">
        <v>14.05</v>
      </c>
      <c r="AN2" t="s">
        <v>38</v>
      </c>
      <c r="AT2" t="s">
        <v>94</v>
      </c>
      <c r="AV2" s="25" t="s">
        <v>95</v>
      </c>
      <c r="AW2" s="25" t="s">
        <v>95</v>
      </c>
      <c r="AX2" s="26" t="s">
        <v>96</v>
      </c>
      <c r="AY2" t="s">
        <v>97</v>
      </c>
      <c r="BA2" s="25" t="s">
        <v>95</v>
      </c>
      <c r="BB2" s="25" t="s">
        <v>95</v>
      </c>
      <c r="BC2" s="26" t="s">
        <v>96</v>
      </c>
      <c r="BD2" t="s">
        <v>98</v>
      </c>
      <c r="BF2" s="25" t="s">
        <v>95</v>
      </c>
      <c r="BG2" s="25" t="s">
        <v>95</v>
      </c>
      <c r="BH2" s="26" t="s">
        <v>96</v>
      </c>
      <c r="BI2" t="s">
        <v>99</v>
      </c>
      <c r="BJ2" t="s">
        <v>100</v>
      </c>
      <c r="BK2" t="s">
        <v>101</v>
      </c>
      <c r="BM2" t="s">
        <v>99</v>
      </c>
      <c r="BN2" t="s">
        <v>6</v>
      </c>
    </row>
    <row r="3" spans="1:6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I3" t="s">
        <v>8</v>
      </c>
      <c r="J3" t="s">
        <v>15</v>
      </c>
      <c r="K3" t="s">
        <v>14</v>
      </c>
      <c r="L3" t="s">
        <v>36</v>
      </c>
      <c r="M3" t="s">
        <v>37</v>
      </c>
      <c r="N3" t="s">
        <v>34</v>
      </c>
      <c r="O3" t="s">
        <v>15</v>
      </c>
      <c r="P3" t="s">
        <v>14</v>
      </c>
      <c r="Q3" t="s">
        <v>36</v>
      </c>
      <c r="R3" t="s">
        <v>37</v>
      </c>
      <c r="S3" t="s">
        <v>34</v>
      </c>
      <c r="T3" t="s">
        <v>15</v>
      </c>
      <c r="U3" t="s">
        <v>14</v>
      </c>
      <c r="V3" t="s">
        <v>36</v>
      </c>
      <c r="W3" t="s">
        <v>37</v>
      </c>
      <c r="X3" t="s">
        <v>34</v>
      </c>
      <c r="Y3" t="s">
        <v>21</v>
      </c>
      <c r="Z3" t="s">
        <v>21</v>
      </c>
      <c r="AA3" t="s">
        <v>24</v>
      </c>
      <c r="AB3" t="s">
        <v>26</v>
      </c>
      <c r="AC3" t="s">
        <v>28</v>
      </c>
      <c r="AE3" t="s">
        <v>35</v>
      </c>
      <c r="AG3" t="s">
        <v>29</v>
      </c>
      <c r="AH3" t="s">
        <v>31</v>
      </c>
      <c r="AI3" t="s">
        <v>33</v>
      </c>
      <c r="AJ3" s="2" t="s">
        <v>74</v>
      </c>
      <c r="AK3" t="s">
        <v>75</v>
      </c>
      <c r="AM3" s="3" t="s">
        <v>32</v>
      </c>
      <c r="AN3" t="s">
        <v>8</v>
      </c>
      <c r="AP3" s="2" t="s">
        <v>39</v>
      </c>
      <c r="AQ3" s="2" t="s">
        <v>107</v>
      </c>
      <c r="AS3" t="s">
        <v>8</v>
      </c>
      <c r="AT3" t="s">
        <v>15</v>
      </c>
      <c r="AU3" t="s">
        <v>14</v>
      </c>
      <c r="AV3" t="s">
        <v>36</v>
      </c>
      <c r="AW3" t="s">
        <v>37</v>
      </c>
      <c r="AX3" t="s">
        <v>34</v>
      </c>
      <c r="AY3" t="s">
        <v>15</v>
      </c>
      <c r="AZ3" t="s">
        <v>14</v>
      </c>
      <c r="BA3" t="s">
        <v>36</v>
      </c>
      <c r="BB3" t="s">
        <v>37</v>
      </c>
      <c r="BC3" t="s">
        <v>34</v>
      </c>
      <c r="BD3" t="s">
        <v>15</v>
      </c>
      <c r="BE3" t="s">
        <v>14</v>
      </c>
      <c r="BF3" t="s">
        <v>36</v>
      </c>
      <c r="BG3" t="s">
        <v>37</v>
      </c>
      <c r="BH3" t="s">
        <v>34</v>
      </c>
      <c r="BI3" t="s">
        <v>21</v>
      </c>
      <c r="BJ3" t="s">
        <v>21</v>
      </c>
      <c r="BK3" t="s">
        <v>102</v>
      </c>
      <c r="BL3" t="s">
        <v>43</v>
      </c>
      <c r="BM3" s="3" t="s">
        <v>39</v>
      </c>
      <c r="BN3" s="3" t="s">
        <v>40</v>
      </c>
    </row>
    <row r="4" spans="1:66" x14ac:dyDescent="0.25">
      <c r="E4" t="s">
        <v>13</v>
      </c>
      <c r="F4" t="s">
        <v>10</v>
      </c>
      <c r="G4" t="s">
        <v>11</v>
      </c>
      <c r="H4" t="s">
        <v>12</v>
      </c>
      <c r="I4" t="s">
        <v>9</v>
      </c>
      <c r="J4" t="s">
        <v>16</v>
      </c>
      <c r="K4" t="s">
        <v>17</v>
      </c>
      <c r="L4" t="s">
        <v>16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16</v>
      </c>
      <c r="S4" t="s">
        <v>16</v>
      </c>
      <c r="T4" t="s">
        <v>16</v>
      </c>
      <c r="U4" t="s">
        <v>17</v>
      </c>
      <c r="V4" t="s">
        <v>16</v>
      </c>
      <c r="W4" t="s">
        <v>16</v>
      </c>
      <c r="X4" t="s">
        <v>16</v>
      </c>
      <c r="Y4" t="s">
        <v>22</v>
      </c>
      <c r="Z4" t="s">
        <v>23</v>
      </c>
      <c r="AA4" t="s">
        <v>25</v>
      </c>
      <c r="AB4" t="s">
        <v>27</v>
      </c>
      <c r="AC4" t="s">
        <v>6</v>
      </c>
      <c r="AD4" t="s">
        <v>7</v>
      </c>
      <c r="AE4" t="s">
        <v>6</v>
      </c>
      <c r="AF4" t="s">
        <v>7</v>
      </c>
      <c r="AG4" t="s">
        <v>30</v>
      </c>
      <c r="AI4" t="s">
        <v>27</v>
      </c>
      <c r="AJ4" s="2" t="s">
        <v>25</v>
      </c>
      <c r="AK4" s="2" t="s">
        <v>25</v>
      </c>
      <c r="AM4" s="3"/>
      <c r="AN4" t="s">
        <v>9</v>
      </c>
      <c r="AP4" s="2" t="s">
        <v>41</v>
      </c>
      <c r="AQ4" s="2" t="s">
        <v>41</v>
      </c>
      <c r="AS4" t="s">
        <v>9</v>
      </c>
      <c r="AT4" t="s">
        <v>16</v>
      </c>
      <c r="AU4" t="s">
        <v>17</v>
      </c>
      <c r="AV4" t="s">
        <v>16</v>
      </c>
      <c r="AW4" t="s">
        <v>16</v>
      </c>
      <c r="AX4" t="s">
        <v>16</v>
      </c>
      <c r="AY4" t="s">
        <v>16</v>
      </c>
      <c r="AZ4" t="s">
        <v>17</v>
      </c>
      <c r="BA4" t="s">
        <v>16</v>
      </c>
      <c r="BB4" t="s">
        <v>16</v>
      </c>
      <c r="BC4" t="s">
        <v>16</v>
      </c>
      <c r="BD4" t="s">
        <v>16</v>
      </c>
      <c r="BE4" t="s">
        <v>17</v>
      </c>
      <c r="BF4" t="s">
        <v>16</v>
      </c>
      <c r="BG4" t="s">
        <v>16</v>
      </c>
      <c r="BH4" t="s">
        <v>16</v>
      </c>
      <c r="BI4" t="s">
        <v>103</v>
      </c>
      <c r="BJ4" t="s">
        <v>103</v>
      </c>
      <c r="BK4" t="s">
        <v>27</v>
      </c>
      <c r="BL4" t="s">
        <v>25</v>
      </c>
      <c r="BM4" s="3" t="s">
        <v>41</v>
      </c>
      <c r="BN4" s="3" t="s">
        <v>41</v>
      </c>
    </row>
    <row r="5" spans="1:66" x14ac:dyDescent="0.25">
      <c r="AI5">
        <v>0.28999999999999998</v>
      </c>
      <c r="AM5" s="3"/>
      <c r="AP5" s="2"/>
      <c r="AQ5" s="7"/>
    </row>
    <row r="6" spans="1:66" x14ac:dyDescent="0.25">
      <c r="A6">
        <v>2024</v>
      </c>
      <c r="B6" s="1">
        <f>DATE(2024,1,1)</f>
        <v>45292</v>
      </c>
      <c r="C6">
        <v>1</v>
      </c>
      <c r="D6">
        <v>70</v>
      </c>
      <c r="E6" s="6">
        <v>12.97</v>
      </c>
      <c r="F6" s="6">
        <v>-2.5880000000000001</v>
      </c>
      <c r="G6" s="6">
        <v>3.2610000000000001</v>
      </c>
      <c r="H6" s="6">
        <v>-6.1230000000000002</v>
      </c>
      <c r="I6" s="6">
        <v>0.51100000000000001</v>
      </c>
      <c r="J6" s="6">
        <v>-1.583</v>
      </c>
      <c r="K6" s="6">
        <v>90.2</v>
      </c>
      <c r="L6" s="6"/>
      <c r="M6" s="6">
        <v>-1.6659999999999999</v>
      </c>
      <c r="N6" s="6">
        <v>0.14699999999999999</v>
      </c>
      <c r="O6" s="6">
        <v>3.72</v>
      </c>
      <c r="P6" s="6">
        <v>93.9</v>
      </c>
      <c r="Q6" s="6"/>
      <c r="R6" s="6">
        <v>0.92400000000000004</v>
      </c>
      <c r="S6" s="6">
        <v>1.0920000000000001</v>
      </c>
      <c r="T6" s="6">
        <v>-4.7329999999999997</v>
      </c>
      <c r="U6" s="6">
        <v>71</v>
      </c>
      <c r="V6" s="6"/>
      <c r="W6" s="6">
        <v>-4.319</v>
      </c>
      <c r="X6" s="6">
        <v>-0.39900000000000002</v>
      </c>
      <c r="Y6" s="6">
        <v>8.7999999999999995E-2</v>
      </c>
      <c r="Z6" s="6">
        <v>1.1539999999999999</v>
      </c>
      <c r="AA6" s="6">
        <v>0</v>
      </c>
      <c r="AB6" s="6">
        <v>1.77</v>
      </c>
      <c r="AC6" s="6">
        <v>4.0039999999999996</v>
      </c>
      <c r="AD6" s="6">
        <v>-5.9560000000000004</v>
      </c>
      <c r="AE6" s="6">
        <v>8.9999999999999993E-3</v>
      </c>
      <c r="AF6" s="6">
        <v>7.0000000000000001E-3</v>
      </c>
      <c r="AG6" s="6">
        <v>1.7829999999999999</v>
      </c>
      <c r="AH6" s="6"/>
      <c r="AI6" s="6">
        <f t="shared" ref="AI6:AI70" si="0">AI$1-AB6</f>
        <v>0.2799999999999998</v>
      </c>
      <c r="AJ6">
        <f t="shared" ref="AJ6:AJ37" si="1">IF(AI6&gt;AI5,ROUND((AI6-AI5)*AJ$1,1),0)</f>
        <v>0</v>
      </c>
      <c r="AK6" s="21">
        <f t="shared" ref="AK6:AK7" si="2">AJ6</f>
        <v>0</v>
      </c>
      <c r="AL6">
        <f>AK6</f>
        <v>0</v>
      </c>
      <c r="AM6" s="4">
        <v>4.62</v>
      </c>
      <c r="AN6">
        <v>0.51</v>
      </c>
      <c r="AP6" s="7">
        <f t="shared" ref="AP6:AP70" si="3">ROUND((0.6105*(EXP((17.273*O6)/(O6+237.3))))*U6/100,3)</f>
        <v>0.56599999999999995</v>
      </c>
      <c r="AQ6" s="7">
        <f t="shared" ref="AQ6:AQ69" si="4">ROUND(AP6/U6*(100-U6),3)</f>
        <v>0.23100000000000001</v>
      </c>
      <c r="AS6">
        <f t="shared" ref="AS6:AS69" si="5">AN6</f>
        <v>0.51</v>
      </c>
      <c r="AT6">
        <f t="shared" ref="AT6:AT69" si="6">ROUND(J6,1)</f>
        <v>-1.6</v>
      </c>
      <c r="AU6">
        <f t="shared" ref="AU6:AU69" si="7">ROUND(K6,1)</f>
        <v>90.2</v>
      </c>
      <c r="AV6" t="s">
        <v>104</v>
      </c>
      <c r="AW6">
        <f t="shared" ref="AW6:AW69" si="8">ROUND(M6,1)</f>
        <v>-1.7</v>
      </c>
      <c r="AX6">
        <f t="shared" ref="AX6:AX69" si="9">ROUND(N6,1)</f>
        <v>0.1</v>
      </c>
      <c r="AY6">
        <f t="shared" ref="AY6:AY69" si="10">ROUND(O6,1)</f>
        <v>3.7</v>
      </c>
      <c r="AZ6">
        <f t="shared" ref="AZ6:AZ69" si="11">ROUND(P6,1)</f>
        <v>93.9</v>
      </c>
      <c r="BA6" t="s">
        <v>104</v>
      </c>
      <c r="BB6">
        <f t="shared" ref="BB6:BB69" si="12">ROUND(R6,1)</f>
        <v>0.9</v>
      </c>
      <c r="BC6">
        <f t="shared" ref="BC6:BC69" si="13">ROUND(S6,1)</f>
        <v>1.1000000000000001</v>
      </c>
      <c r="BD6">
        <f t="shared" ref="BD6:BD69" si="14">ROUND(T6,1)</f>
        <v>-4.7</v>
      </c>
      <c r="BE6">
        <f t="shared" ref="BE6:BE69" si="15">ROUND(U6,1)</f>
        <v>71</v>
      </c>
      <c r="BF6" t="s">
        <v>104</v>
      </c>
      <c r="BG6">
        <f t="shared" ref="BG6:BG69" si="16">ROUND(W6,1)</f>
        <v>-4.3</v>
      </c>
      <c r="BH6">
        <f t="shared" ref="BH6:BH69" si="17">ROUND(X6,1)</f>
        <v>-0.4</v>
      </c>
      <c r="BI6">
        <f t="shared" ref="BI6:BI69" si="18">ROUND(Y6,2)</f>
        <v>0.09</v>
      </c>
      <c r="BJ6">
        <f t="shared" ref="BJ6:BJ69" si="19">ROUND(Z6,2)</f>
        <v>1.1499999999999999</v>
      </c>
      <c r="BK6">
        <f t="shared" ref="BK6:BK69" si="20">AI6</f>
        <v>0.2799999999999998</v>
      </c>
      <c r="BL6">
        <f t="shared" ref="BL6:BL69" si="21">ROUND(AK6,1)</f>
        <v>0</v>
      </c>
      <c r="BM6">
        <f t="shared" ref="BM6:BM69" si="22">ROUND(AP6,3)</f>
        <v>0.56599999999999995</v>
      </c>
      <c r="BN6">
        <f t="shared" ref="BN6:BN69" si="23">ROUND(AQ6,3)</f>
        <v>0.23100000000000001</v>
      </c>
    </row>
    <row r="7" spans="1:66" x14ac:dyDescent="0.25">
      <c r="A7">
        <v>2024</v>
      </c>
      <c r="B7" s="1">
        <f t="shared" ref="B7:B71" si="24">B6+1</f>
        <v>45293</v>
      </c>
      <c r="C7">
        <v>2</v>
      </c>
      <c r="D7">
        <v>70</v>
      </c>
      <c r="E7" s="6">
        <v>12.77</v>
      </c>
      <c r="F7" s="6">
        <v>-3.8740000000000001</v>
      </c>
      <c r="G7" s="6">
        <v>-1.806</v>
      </c>
      <c r="H7" s="6">
        <v>-7.08</v>
      </c>
      <c r="I7" s="6">
        <v>0.33800000000000002</v>
      </c>
      <c r="J7" s="6">
        <v>-2.778</v>
      </c>
      <c r="K7" s="6">
        <v>87.2</v>
      </c>
      <c r="L7" s="6"/>
      <c r="M7" s="6">
        <v>-2.8340000000000001</v>
      </c>
      <c r="N7" s="6">
        <v>0.19500000000000001</v>
      </c>
      <c r="O7" s="6">
        <v>-0.70599999999999996</v>
      </c>
      <c r="P7" s="6">
        <v>91.5</v>
      </c>
      <c r="Q7" s="6"/>
      <c r="R7" s="6">
        <v>-1.141</v>
      </c>
      <c r="S7" s="6">
        <v>0.41</v>
      </c>
      <c r="T7" s="6">
        <v>-5.5389999999999997</v>
      </c>
      <c r="U7" s="6">
        <v>75.400000000000006</v>
      </c>
      <c r="V7" s="6"/>
      <c r="W7" s="6">
        <v>-5.5579999999999998</v>
      </c>
      <c r="X7" s="6">
        <v>-9.1999999999999998E-2</v>
      </c>
      <c r="Y7" s="6">
        <v>0.54500000000000004</v>
      </c>
      <c r="Z7" s="6">
        <v>1.847</v>
      </c>
      <c r="AA7" s="6">
        <v>0</v>
      </c>
      <c r="AB7" s="6">
        <v>1.7609999999999999</v>
      </c>
      <c r="AC7" s="6">
        <v>-1.7809999999999999</v>
      </c>
      <c r="AD7" s="6">
        <v>-6.9139999999999997</v>
      </c>
      <c r="AE7" s="6">
        <v>8.9999999999999993E-3</v>
      </c>
      <c r="AF7" s="6">
        <v>6.0000000000000001E-3</v>
      </c>
      <c r="AG7" s="6">
        <v>1.764</v>
      </c>
      <c r="AH7" s="6"/>
      <c r="AI7" s="6">
        <f t="shared" si="0"/>
        <v>0.28899999999999992</v>
      </c>
      <c r="AJ7">
        <f t="shared" si="1"/>
        <v>1.2</v>
      </c>
      <c r="AK7" s="21">
        <f t="shared" si="2"/>
        <v>1.2</v>
      </c>
      <c r="AL7">
        <f>AL6+AK7</f>
        <v>1.2</v>
      </c>
      <c r="AM7" s="4">
        <v>4.66</v>
      </c>
      <c r="AN7">
        <v>0.34</v>
      </c>
      <c r="AP7" s="7">
        <f t="shared" si="3"/>
        <v>0.437</v>
      </c>
      <c r="AQ7" s="7">
        <f t="shared" si="4"/>
        <v>0.14299999999999999</v>
      </c>
      <c r="AS7">
        <f t="shared" si="5"/>
        <v>0.34</v>
      </c>
      <c r="AT7">
        <f t="shared" si="6"/>
        <v>-2.8</v>
      </c>
      <c r="AU7">
        <f t="shared" si="7"/>
        <v>87.2</v>
      </c>
      <c r="AV7" t="s">
        <v>104</v>
      </c>
      <c r="AW7">
        <f t="shared" si="8"/>
        <v>-2.8</v>
      </c>
      <c r="AX7">
        <f t="shared" si="9"/>
        <v>0.2</v>
      </c>
      <c r="AY7">
        <f t="shared" si="10"/>
        <v>-0.7</v>
      </c>
      <c r="AZ7">
        <f t="shared" si="11"/>
        <v>91.5</v>
      </c>
      <c r="BA7" t="s">
        <v>104</v>
      </c>
      <c r="BB7">
        <f t="shared" si="12"/>
        <v>-1.1000000000000001</v>
      </c>
      <c r="BC7">
        <f t="shared" si="13"/>
        <v>0.4</v>
      </c>
      <c r="BD7">
        <f t="shared" si="14"/>
        <v>-5.5</v>
      </c>
      <c r="BE7">
        <f t="shared" si="15"/>
        <v>75.400000000000006</v>
      </c>
      <c r="BF7" t="s">
        <v>104</v>
      </c>
      <c r="BG7">
        <f t="shared" si="16"/>
        <v>-5.6</v>
      </c>
      <c r="BH7">
        <f t="shared" si="17"/>
        <v>-0.1</v>
      </c>
      <c r="BI7">
        <f t="shared" si="18"/>
        <v>0.55000000000000004</v>
      </c>
      <c r="BJ7">
        <f t="shared" si="19"/>
        <v>1.85</v>
      </c>
      <c r="BK7">
        <f t="shared" si="20"/>
        <v>0.28899999999999992</v>
      </c>
      <c r="BL7">
        <f t="shared" si="21"/>
        <v>1.2</v>
      </c>
      <c r="BM7">
        <f t="shared" si="22"/>
        <v>0.437</v>
      </c>
      <c r="BN7">
        <f t="shared" si="23"/>
        <v>0.14299999999999999</v>
      </c>
    </row>
    <row r="8" spans="1:66" x14ac:dyDescent="0.25">
      <c r="A8">
        <v>2024</v>
      </c>
      <c r="B8" s="1">
        <f t="shared" si="24"/>
        <v>45294</v>
      </c>
      <c r="C8">
        <v>3</v>
      </c>
      <c r="D8">
        <v>70</v>
      </c>
      <c r="E8" s="6">
        <v>12.69</v>
      </c>
      <c r="F8" s="6">
        <v>-1.472</v>
      </c>
      <c r="G8" s="6">
        <v>0.621</v>
      </c>
      <c r="H8" s="6">
        <v>-2.8980000000000001</v>
      </c>
      <c r="I8" s="6">
        <v>0.33700000000000002</v>
      </c>
      <c r="J8" s="6">
        <v>-0.69099999999999995</v>
      </c>
      <c r="K8" s="6">
        <v>89.5</v>
      </c>
      <c r="L8" s="6"/>
      <c r="M8" s="6">
        <v>-0.91900000000000004</v>
      </c>
      <c r="N8" s="6">
        <v>0.221</v>
      </c>
      <c r="O8" s="6">
        <v>2.2400000000000002</v>
      </c>
      <c r="P8" s="6">
        <v>93.3</v>
      </c>
      <c r="Q8" s="6"/>
      <c r="R8" s="6">
        <v>0.16600000000000001</v>
      </c>
      <c r="S8" s="6">
        <v>0.441</v>
      </c>
      <c r="T8" s="6">
        <v>-2.254</v>
      </c>
      <c r="U8" s="6">
        <v>80.2</v>
      </c>
      <c r="V8" s="6"/>
      <c r="W8" s="6">
        <v>-1.9</v>
      </c>
      <c r="X8" s="6">
        <v>-4.2000000000000003E-2</v>
      </c>
      <c r="Y8" s="6">
        <v>0.21</v>
      </c>
      <c r="Z8" s="6">
        <v>1.86</v>
      </c>
      <c r="AA8" s="6">
        <v>0.1</v>
      </c>
      <c r="AB8" s="6">
        <v>1.736</v>
      </c>
      <c r="AC8" s="6">
        <v>0.7</v>
      </c>
      <c r="AD8" s="6">
        <v>-2.7559999999999998</v>
      </c>
      <c r="AE8" s="6">
        <v>8.9999999999999993E-3</v>
      </c>
      <c r="AF8" s="6">
        <v>7.0000000000000001E-3</v>
      </c>
      <c r="AG8" s="6">
        <v>1.7410000000000001</v>
      </c>
      <c r="AH8" s="6"/>
      <c r="AI8" s="6">
        <f t="shared" si="0"/>
        <v>0.31399999999999983</v>
      </c>
      <c r="AJ8">
        <f t="shared" si="1"/>
        <v>3.2</v>
      </c>
      <c r="AK8" s="21">
        <f t="shared" ref="AK8:AK71" si="25">AJ8</f>
        <v>3.2</v>
      </c>
      <c r="AL8">
        <f t="shared" ref="AL8:AL71" si="26">AL7+AK8</f>
        <v>4.4000000000000004</v>
      </c>
      <c r="AM8" s="4">
        <v>4.7</v>
      </c>
      <c r="AN8">
        <v>0.34</v>
      </c>
      <c r="AP8" s="7">
        <f t="shared" si="3"/>
        <v>0.57499999999999996</v>
      </c>
      <c r="AQ8" s="7">
        <f t="shared" si="4"/>
        <v>0.14199999999999999</v>
      </c>
      <c r="AS8">
        <f t="shared" si="5"/>
        <v>0.34</v>
      </c>
      <c r="AT8">
        <f t="shared" si="6"/>
        <v>-0.7</v>
      </c>
      <c r="AU8">
        <f t="shared" si="7"/>
        <v>89.5</v>
      </c>
      <c r="AV8" t="s">
        <v>104</v>
      </c>
      <c r="AW8">
        <f t="shared" si="8"/>
        <v>-0.9</v>
      </c>
      <c r="AX8">
        <f t="shared" si="9"/>
        <v>0.2</v>
      </c>
      <c r="AY8">
        <f t="shared" si="10"/>
        <v>2.2000000000000002</v>
      </c>
      <c r="AZ8">
        <f t="shared" si="11"/>
        <v>93.3</v>
      </c>
      <c r="BA8" t="s">
        <v>104</v>
      </c>
      <c r="BB8">
        <f t="shared" si="12"/>
        <v>0.2</v>
      </c>
      <c r="BC8">
        <f t="shared" si="13"/>
        <v>0.4</v>
      </c>
      <c r="BD8">
        <f t="shared" si="14"/>
        <v>-2.2999999999999998</v>
      </c>
      <c r="BE8">
        <f t="shared" si="15"/>
        <v>80.2</v>
      </c>
      <c r="BF8" t="s">
        <v>104</v>
      </c>
      <c r="BG8">
        <f t="shared" si="16"/>
        <v>-1.9</v>
      </c>
      <c r="BH8">
        <f t="shared" si="17"/>
        <v>0</v>
      </c>
      <c r="BI8">
        <f t="shared" si="18"/>
        <v>0.21</v>
      </c>
      <c r="BJ8">
        <f t="shared" si="19"/>
        <v>1.86</v>
      </c>
      <c r="BK8">
        <f t="shared" si="20"/>
        <v>0.31399999999999983</v>
      </c>
      <c r="BL8">
        <f t="shared" si="21"/>
        <v>3.2</v>
      </c>
      <c r="BM8">
        <f t="shared" si="22"/>
        <v>0.57499999999999996</v>
      </c>
      <c r="BN8">
        <f t="shared" si="23"/>
        <v>0.14199999999999999</v>
      </c>
    </row>
    <row r="9" spans="1:66" x14ac:dyDescent="0.25">
      <c r="A9">
        <v>2024</v>
      </c>
      <c r="B9" s="1">
        <f t="shared" si="24"/>
        <v>45295</v>
      </c>
      <c r="C9">
        <v>4</v>
      </c>
      <c r="D9">
        <v>70</v>
      </c>
      <c r="E9" s="6">
        <v>12.71</v>
      </c>
      <c r="F9" s="6">
        <v>-2.5369999999999999</v>
      </c>
      <c r="G9" s="6">
        <v>0.14000000000000001</v>
      </c>
      <c r="H9" s="6">
        <v>-5.7380000000000004</v>
      </c>
      <c r="I9" s="6">
        <v>0.27900000000000003</v>
      </c>
      <c r="J9" s="6">
        <v>-1.5669999999999999</v>
      </c>
      <c r="K9" s="6">
        <v>89.7</v>
      </c>
      <c r="L9" s="6"/>
      <c r="M9" s="6">
        <v>-1.7130000000000001</v>
      </c>
      <c r="N9" s="6">
        <v>0.20100000000000001</v>
      </c>
      <c r="O9" s="6">
        <v>2.4430000000000001</v>
      </c>
      <c r="P9" s="6">
        <v>93.2</v>
      </c>
      <c r="Q9" s="6"/>
      <c r="R9" s="6">
        <v>4.2000000000000003E-2</v>
      </c>
      <c r="S9" s="6">
        <v>0.44500000000000001</v>
      </c>
      <c r="T9" s="6">
        <v>-4.8079999999999998</v>
      </c>
      <c r="U9" s="6">
        <v>76.099999999999994</v>
      </c>
      <c r="V9" s="6"/>
      <c r="W9" s="6">
        <v>-3.4449999999999998</v>
      </c>
      <c r="X9" s="6">
        <v>-0.126</v>
      </c>
      <c r="Y9" s="6">
        <v>0.48799999999999999</v>
      </c>
      <c r="Z9" s="6">
        <v>2.6070000000000002</v>
      </c>
      <c r="AA9" s="6">
        <v>0.1</v>
      </c>
      <c r="AB9" s="6">
        <v>1.681</v>
      </c>
      <c r="AC9" s="6">
        <v>0.26400000000000001</v>
      </c>
      <c r="AD9" s="6">
        <v>-5.2850000000000001</v>
      </c>
      <c r="AE9" s="6">
        <v>8.9999999999999993E-3</v>
      </c>
      <c r="AF9" s="6">
        <v>7.0000000000000001E-3</v>
      </c>
      <c r="AG9" s="6">
        <v>1.694</v>
      </c>
      <c r="AH9" s="6"/>
      <c r="AI9" s="6">
        <f t="shared" si="0"/>
        <v>0.36899999999999977</v>
      </c>
      <c r="AJ9">
        <f t="shared" si="1"/>
        <v>7.1</v>
      </c>
      <c r="AK9" s="21">
        <f t="shared" si="25"/>
        <v>7.1</v>
      </c>
      <c r="AL9">
        <f t="shared" si="26"/>
        <v>11.5</v>
      </c>
      <c r="AM9" s="4">
        <v>4.75</v>
      </c>
      <c r="AN9">
        <v>0.28000000000000003</v>
      </c>
      <c r="AP9" s="7">
        <f t="shared" si="3"/>
        <v>0.55400000000000005</v>
      </c>
      <c r="AQ9" s="7">
        <f t="shared" si="4"/>
        <v>0.17399999999999999</v>
      </c>
      <c r="AS9">
        <f t="shared" si="5"/>
        <v>0.28000000000000003</v>
      </c>
      <c r="AT9">
        <f t="shared" si="6"/>
        <v>-1.6</v>
      </c>
      <c r="AU9">
        <f t="shared" si="7"/>
        <v>89.7</v>
      </c>
      <c r="AV9" t="s">
        <v>104</v>
      </c>
      <c r="AW9">
        <f t="shared" si="8"/>
        <v>-1.7</v>
      </c>
      <c r="AX9">
        <f t="shared" si="9"/>
        <v>0.2</v>
      </c>
      <c r="AY9">
        <f t="shared" si="10"/>
        <v>2.4</v>
      </c>
      <c r="AZ9">
        <f t="shared" si="11"/>
        <v>93.2</v>
      </c>
      <c r="BA9" t="s">
        <v>104</v>
      </c>
      <c r="BB9">
        <f t="shared" si="12"/>
        <v>0</v>
      </c>
      <c r="BC9">
        <f t="shared" si="13"/>
        <v>0.4</v>
      </c>
      <c r="BD9">
        <f t="shared" si="14"/>
        <v>-4.8</v>
      </c>
      <c r="BE9">
        <f t="shared" si="15"/>
        <v>76.099999999999994</v>
      </c>
      <c r="BF9" t="s">
        <v>104</v>
      </c>
      <c r="BG9">
        <f t="shared" si="16"/>
        <v>-3.4</v>
      </c>
      <c r="BH9">
        <f t="shared" si="17"/>
        <v>-0.1</v>
      </c>
      <c r="BI9">
        <f t="shared" si="18"/>
        <v>0.49</v>
      </c>
      <c r="BJ9">
        <f t="shared" si="19"/>
        <v>2.61</v>
      </c>
      <c r="BK9">
        <f t="shared" si="20"/>
        <v>0.36899999999999977</v>
      </c>
      <c r="BL9">
        <f t="shared" si="21"/>
        <v>7.1</v>
      </c>
      <c r="BM9">
        <f t="shared" si="22"/>
        <v>0.55400000000000005</v>
      </c>
      <c r="BN9">
        <f t="shared" si="23"/>
        <v>0.17399999999999999</v>
      </c>
    </row>
    <row r="10" spans="1:66" x14ac:dyDescent="0.25">
      <c r="A10">
        <v>2024</v>
      </c>
      <c r="B10" s="1">
        <f t="shared" si="24"/>
        <v>45296</v>
      </c>
      <c r="C10">
        <v>5</v>
      </c>
      <c r="D10">
        <v>70</v>
      </c>
      <c r="E10" s="6">
        <v>12.68</v>
      </c>
      <c r="F10" s="6">
        <v>-4.0759999999999996</v>
      </c>
      <c r="G10" s="6">
        <v>-2.0179999999999998</v>
      </c>
      <c r="H10" s="6">
        <v>-6.7190000000000003</v>
      </c>
      <c r="I10" s="6">
        <v>0.248</v>
      </c>
      <c r="J10" s="6">
        <v>-3.0350000000000001</v>
      </c>
      <c r="K10" s="6">
        <v>85.8</v>
      </c>
      <c r="L10" s="6"/>
      <c r="M10" s="6">
        <v>-2.052</v>
      </c>
      <c r="N10" s="6">
        <v>0.22900000000000001</v>
      </c>
      <c r="O10" s="6">
        <v>-1.044</v>
      </c>
      <c r="P10" s="6">
        <v>92.9</v>
      </c>
      <c r="Q10" s="6"/>
      <c r="R10" s="6">
        <v>-1.3740000000000001</v>
      </c>
      <c r="S10" s="6">
        <v>0.40500000000000003</v>
      </c>
      <c r="T10" s="6">
        <v>-5.3380000000000001</v>
      </c>
      <c r="U10" s="6">
        <v>75.599999999999994</v>
      </c>
      <c r="V10" s="6"/>
      <c r="W10" s="6">
        <v>-2.6890000000000001</v>
      </c>
      <c r="X10" s="6">
        <v>6.6000000000000003E-2</v>
      </c>
      <c r="Y10" s="6">
        <v>0.80800000000000005</v>
      </c>
      <c r="Z10" s="6">
        <v>2.0870000000000002</v>
      </c>
      <c r="AA10" s="6">
        <v>0</v>
      </c>
      <c r="AB10" s="6">
        <v>1.694</v>
      </c>
      <c r="AC10" s="6">
        <v>-1.9259999999999999</v>
      </c>
      <c r="AD10" s="6">
        <v>-6.6139999999999999</v>
      </c>
      <c r="AE10" s="6">
        <v>8.9999999999999993E-3</v>
      </c>
      <c r="AF10" s="6">
        <v>6.0000000000000001E-3</v>
      </c>
      <c r="AG10" s="6">
        <v>1.702</v>
      </c>
      <c r="AH10" s="6"/>
      <c r="AI10" s="6">
        <f t="shared" si="0"/>
        <v>0.35599999999999987</v>
      </c>
      <c r="AJ10">
        <f t="shared" si="1"/>
        <v>0</v>
      </c>
      <c r="AK10" s="21">
        <f t="shared" si="25"/>
        <v>0</v>
      </c>
      <c r="AL10">
        <f t="shared" si="26"/>
        <v>11.5</v>
      </c>
      <c r="AM10" s="4">
        <v>4.79</v>
      </c>
      <c r="AN10">
        <v>0.25</v>
      </c>
      <c r="AP10" s="7">
        <f t="shared" si="3"/>
        <v>0.42799999999999999</v>
      </c>
      <c r="AQ10" s="7">
        <f t="shared" si="4"/>
        <v>0.13800000000000001</v>
      </c>
      <c r="AS10">
        <f t="shared" si="5"/>
        <v>0.25</v>
      </c>
      <c r="AT10">
        <f t="shared" si="6"/>
        <v>-3</v>
      </c>
      <c r="AU10">
        <f t="shared" si="7"/>
        <v>85.8</v>
      </c>
      <c r="AV10" t="s">
        <v>104</v>
      </c>
      <c r="AW10">
        <f t="shared" si="8"/>
        <v>-2.1</v>
      </c>
      <c r="AX10">
        <f t="shared" si="9"/>
        <v>0.2</v>
      </c>
      <c r="AY10">
        <f t="shared" si="10"/>
        <v>-1</v>
      </c>
      <c r="AZ10">
        <f t="shared" si="11"/>
        <v>92.9</v>
      </c>
      <c r="BA10" t="s">
        <v>104</v>
      </c>
      <c r="BB10">
        <f t="shared" si="12"/>
        <v>-1.4</v>
      </c>
      <c r="BC10">
        <f t="shared" si="13"/>
        <v>0.4</v>
      </c>
      <c r="BD10">
        <f t="shared" si="14"/>
        <v>-5.3</v>
      </c>
      <c r="BE10">
        <f t="shared" si="15"/>
        <v>75.599999999999994</v>
      </c>
      <c r="BF10" t="s">
        <v>104</v>
      </c>
      <c r="BG10">
        <f t="shared" si="16"/>
        <v>-2.7</v>
      </c>
      <c r="BH10">
        <f t="shared" si="17"/>
        <v>0.1</v>
      </c>
      <c r="BI10">
        <f t="shared" si="18"/>
        <v>0.81</v>
      </c>
      <c r="BJ10">
        <f t="shared" si="19"/>
        <v>2.09</v>
      </c>
      <c r="BK10">
        <f t="shared" si="20"/>
        <v>0.35599999999999987</v>
      </c>
      <c r="BL10">
        <f t="shared" si="21"/>
        <v>0</v>
      </c>
      <c r="BM10">
        <f t="shared" si="22"/>
        <v>0.42799999999999999</v>
      </c>
      <c r="BN10">
        <f t="shared" si="23"/>
        <v>0.13800000000000001</v>
      </c>
    </row>
    <row r="11" spans="1:66" x14ac:dyDescent="0.25">
      <c r="A11">
        <v>2024</v>
      </c>
      <c r="B11" s="1">
        <f t="shared" si="24"/>
        <v>45297</v>
      </c>
      <c r="C11">
        <v>6</v>
      </c>
      <c r="D11">
        <v>70</v>
      </c>
      <c r="E11" s="6">
        <v>12.67</v>
      </c>
      <c r="F11" s="6">
        <v>-3.992</v>
      </c>
      <c r="G11" s="6">
        <v>-2.4529999999999998</v>
      </c>
      <c r="H11" s="6">
        <v>-6.4210000000000003</v>
      </c>
      <c r="I11" s="6">
        <v>0.124</v>
      </c>
      <c r="J11" s="6">
        <v>-3.5819999999999999</v>
      </c>
      <c r="K11" s="6">
        <v>88</v>
      </c>
      <c r="L11" s="6"/>
      <c r="M11" s="6">
        <v>-1.8640000000000001</v>
      </c>
      <c r="N11" s="6">
        <v>0.20499999999999999</v>
      </c>
      <c r="O11" s="6">
        <v>-1.9179999999999999</v>
      </c>
      <c r="P11" s="6">
        <v>90.7</v>
      </c>
      <c r="Q11" s="6"/>
      <c r="R11" s="6">
        <v>-1.3260000000000001</v>
      </c>
      <c r="S11" s="6">
        <v>0.29799999999999999</v>
      </c>
      <c r="T11" s="6">
        <v>-6.1449999999999996</v>
      </c>
      <c r="U11" s="6">
        <v>80.3</v>
      </c>
      <c r="V11" s="6"/>
      <c r="W11" s="6">
        <v>-2.306</v>
      </c>
      <c r="X11" s="6">
        <v>7.5999999999999998E-2</v>
      </c>
      <c r="Y11" s="6">
        <v>0.53400000000000003</v>
      </c>
      <c r="Z11" s="6">
        <v>2.234</v>
      </c>
      <c r="AA11" s="6">
        <v>0</v>
      </c>
      <c r="AB11" s="6">
        <v>1.613</v>
      </c>
      <c r="AC11" s="6">
        <v>-2.4020000000000001</v>
      </c>
      <c r="AD11" s="6">
        <v>-6.274</v>
      </c>
      <c r="AE11" s="6">
        <v>8.9999999999999993E-3</v>
      </c>
      <c r="AF11" s="6">
        <v>6.0000000000000001E-3</v>
      </c>
      <c r="AG11" s="6">
        <v>1.63</v>
      </c>
      <c r="AH11" s="6"/>
      <c r="AI11" s="6">
        <f t="shared" si="0"/>
        <v>0.43699999999999983</v>
      </c>
      <c r="AJ11">
        <f t="shared" si="1"/>
        <v>10.5</v>
      </c>
      <c r="AK11" s="21">
        <f t="shared" si="25"/>
        <v>10.5</v>
      </c>
      <c r="AL11">
        <f t="shared" si="26"/>
        <v>22</v>
      </c>
      <c r="AM11" s="4">
        <v>4.8499999999999996</v>
      </c>
      <c r="AN11">
        <v>0.12</v>
      </c>
      <c r="AP11" s="7">
        <f t="shared" si="3"/>
        <v>0.42599999999999999</v>
      </c>
      <c r="AQ11" s="7">
        <f t="shared" si="4"/>
        <v>0.105</v>
      </c>
      <c r="AS11">
        <f t="shared" si="5"/>
        <v>0.12</v>
      </c>
      <c r="AT11">
        <f t="shared" si="6"/>
        <v>-3.6</v>
      </c>
      <c r="AU11">
        <f t="shared" si="7"/>
        <v>88</v>
      </c>
      <c r="AV11" t="s">
        <v>104</v>
      </c>
      <c r="AW11">
        <f t="shared" si="8"/>
        <v>-1.9</v>
      </c>
      <c r="AX11">
        <f t="shared" si="9"/>
        <v>0.2</v>
      </c>
      <c r="AY11">
        <f t="shared" si="10"/>
        <v>-1.9</v>
      </c>
      <c r="AZ11">
        <f t="shared" si="11"/>
        <v>90.7</v>
      </c>
      <c r="BA11" t="s">
        <v>104</v>
      </c>
      <c r="BB11">
        <f t="shared" si="12"/>
        <v>-1.3</v>
      </c>
      <c r="BC11">
        <f t="shared" si="13"/>
        <v>0.3</v>
      </c>
      <c r="BD11">
        <f t="shared" si="14"/>
        <v>-6.1</v>
      </c>
      <c r="BE11">
        <f t="shared" si="15"/>
        <v>80.3</v>
      </c>
      <c r="BF11" t="s">
        <v>104</v>
      </c>
      <c r="BG11">
        <f t="shared" si="16"/>
        <v>-2.2999999999999998</v>
      </c>
      <c r="BH11">
        <f t="shared" si="17"/>
        <v>0.1</v>
      </c>
      <c r="BI11">
        <f t="shared" si="18"/>
        <v>0.53</v>
      </c>
      <c r="BJ11">
        <f t="shared" si="19"/>
        <v>2.23</v>
      </c>
      <c r="BK11">
        <f t="shared" si="20"/>
        <v>0.43699999999999983</v>
      </c>
      <c r="BL11">
        <f t="shared" si="21"/>
        <v>10.5</v>
      </c>
      <c r="BM11">
        <f t="shared" si="22"/>
        <v>0.42599999999999999</v>
      </c>
      <c r="BN11">
        <f t="shared" si="23"/>
        <v>0.105</v>
      </c>
    </row>
    <row r="12" spans="1:66" x14ac:dyDescent="0.25">
      <c r="A12">
        <v>2024</v>
      </c>
      <c r="B12" s="1">
        <f t="shared" si="24"/>
        <v>45298</v>
      </c>
      <c r="C12">
        <v>7</v>
      </c>
      <c r="D12">
        <v>70</v>
      </c>
      <c r="E12" s="6">
        <v>12.67</v>
      </c>
      <c r="F12" s="6">
        <v>-8.2899999999999991</v>
      </c>
      <c r="G12" s="6">
        <v>-6.4109999999999996</v>
      </c>
      <c r="H12" s="6">
        <v>-13.26</v>
      </c>
      <c r="I12" s="6">
        <v>0.109</v>
      </c>
      <c r="J12" s="6">
        <v>-7.83</v>
      </c>
      <c r="K12" s="6">
        <v>84.4</v>
      </c>
      <c r="L12" s="6"/>
      <c r="M12" s="6">
        <v>-2.879</v>
      </c>
      <c r="N12" s="6">
        <v>0.17799999999999999</v>
      </c>
      <c r="O12" s="6">
        <v>-6.01</v>
      </c>
      <c r="P12" s="6">
        <v>89.7</v>
      </c>
      <c r="Q12" s="6"/>
      <c r="R12" s="6">
        <v>-2.2909999999999999</v>
      </c>
      <c r="S12" s="6">
        <v>0.316</v>
      </c>
      <c r="T12" s="6">
        <v>-12.4</v>
      </c>
      <c r="U12" s="6">
        <v>78.400000000000006</v>
      </c>
      <c r="V12" s="6"/>
      <c r="W12" s="6">
        <v>-4.2350000000000003</v>
      </c>
      <c r="X12" s="6">
        <v>2.4E-2</v>
      </c>
      <c r="Y12" s="6">
        <v>0.45600000000000002</v>
      </c>
      <c r="Z12" s="6">
        <v>1.3</v>
      </c>
      <c r="AA12" s="6">
        <v>0</v>
      </c>
      <c r="AB12" s="6">
        <v>1.645</v>
      </c>
      <c r="AC12" s="6">
        <v>-6.274</v>
      </c>
      <c r="AD12" s="6">
        <v>-12.8</v>
      </c>
      <c r="AE12" s="6">
        <v>8.9999999999999993E-3</v>
      </c>
      <c r="AF12" s="6">
        <v>6.0000000000000001E-3</v>
      </c>
      <c r="AG12" s="6">
        <v>1.6819999999999999</v>
      </c>
      <c r="AH12" s="6"/>
      <c r="AI12" s="6">
        <f t="shared" si="0"/>
        <v>0.4049999999999998</v>
      </c>
      <c r="AJ12">
        <f t="shared" si="1"/>
        <v>0</v>
      </c>
      <c r="AK12" s="21">
        <f t="shared" si="25"/>
        <v>0</v>
      </c>
      <c r="AL12">
        <f t="shared" si="26"/>
        <v>22</v>
      </c>
      <c r="AM12" s="4">
        <v>4.91</v>
      </c>
      <c r="AN12">
        <v>0.11</v>
      </c>
      <c r="AP12" s="7">
        <f t="shared" si="3"/>
        <v>0.30599999999999999</v>
      </c>
      <c r="AQ12" s="7">
        <f t="shared" si="4"/>
        <v>8.4000000000000005E-2</v>
      </c>
      <c r="AS12">
        <f t="shared" si="5"/>
        <v>0.11</v>
      </c>
      <c r="AT12">
        <f t="shared" si="6"/>
        <v>-7.8</v>
      </c>
      <c r="AU12">
        <f t="shared" si="7"/>
        <v>84.4</v>
      </c>
      <c r="AV12" t="s">
        <v>104</v>
      </c>
      <c r="AW12">
        <f t="shared" si="8"/>
        <v>-2.9</v>
      </c>
      <c r="AX12">
        <f t="shared" si="9"/>
        <v>0.2</v>
      </c>
      <c r="AY12">
        <f t="shared" si="10"/>
        <v>-6</v>
      </c>
      <c r="AZ12">
        <f t="shared" si="11"/>
        <v>89.7</v>
      </c>
      <c r="BA12" t="s">
        <v>104</v>
      </c>
      <c r="BB12">
        <f t="shared" si="12"/>
        <v>-2.2999999999999998</v>
      </c>
      <c r="BC12">
        <f t="shared" si="13"/>
        <v>0.3</v>
      </c>
      <c r="BD12">
        <f t="shared" si="14"/>
        <v>-12.4</v>
      </c>
      <c r="BE12">
        <f t="shared" si="15"/>
        <v>78.400000000000006</v>
      </c>
      <c r="BF12" t="s">
        <v>104</v>
      </c>
      <c r="BG12">
        <f t="shared" si="16"/>
        <v>-4.2</v>
      </c>
      <c r="BH12">
        <f t="shared" si="17"/>
        <v>0</v>
      </c>
      <c r="BI12">
        <f t="shared" si="18"/>
        <v>0.46</v>
      </c>
      <c r="BJ12">
        <f t="shared" si="19"/>
        <v>1.3</v>
      </c>
      <c r="BK12">
        <f t="shared" si="20"/>
        <v>0.4049999999999998</v>
      </c>
      <c r="BL12">
        <f t="shared" si="21"/>
        <v>0</v>
      </c>
      <c r="BM12">
        <f t="shared" si="22"/>
        <v>0.30599999999999999</v>
      </c>
      <c r="BN12">
        <f t="shared" si="23"/>
        <v>8.4000000000000005E-2</v>
      </c>
    </row>
    <row r="13" spans="1:66" x14ac:dyDescent="0.25">
      <c r="A13">
        <v>2024</v>
      </c>
      <c r="B13" s="1">
        <f t="shared" si="24"/>
        <v>45299</v>
      </c>
      <c r="C13">
        <v>8</v>
      </c>
      <c r="D13">
        <v>70</v>
      </c>
      <c r="E13" s="6">
        <v>12.67</v>
      </c>
      <c r="F13" s="6">
        <v>-9.66</v>
      </c>
      <c r="G13" s="6">
        <v>-6.9480000000000004</v>
      </c>
      <c r="H13" s="6">
        <v>-14.4</v>
      </c>
      <c r="I13" s="6">
        <v>0.184</v>
      </c>
      <c r="J13" s="6">
        <v>-8.7100000000000009</v>
      </c>
      <c r="K13" s="6">
        <v>84.6</v>
      </c>
      <c r="L13" s="6"/>
      <c r="M13" s="6">
        <v>-3.8260000000000001</v>
      </c>
      <c r="N13" s="6">
        <v>0.27100000000000002</v>
      </c>
      <c r="O13" s="6">
        <v>-5.6740000000000004</v>
      </c>
      <c r="P13" s="6">
        <v>90.1</v>
      </c>
      <c r="Q13" s="6"/>
      <c r="R13" s="6">
        <v>-3.1150000000000002</v>
      </c>
      <c r="S13" s="6">
        <v>0.51200000000000001</v>
      </c>
      <c r="T13" s="6">
        <v>-13.19</v>
      </c>
      <c r="U13" s="6">
        <v>73.400000000000006</v>
      </c>
      <c r="V13" s="6"/>
      <c r="W13" s="6">
        <v>-4.5350000000000001</v>
      </c>
      <c r="X13" s="6">
        <v>5.1999999999999998E-2</v>
      </c>
      <c r="Y13" s="6">
        <v>0.54500000000000004</v>
      </c>
      <c r="Z13" s="6">
        <v>2.9140000000000001</v>
      </c>
      <c r="AA13" s="6">
        <v>0</v>
      </c>
      <c r="AB13" s="6">
        <v>1.5780000000000001</v>
      </c>
      <c r="AC13" s="6">
        <v>-6.9349999999999996</v>
      </c>
      <c r="AD13" s="6">
        <v>-14.26</v>
      </c>
      <c r="AE13" s="6">
        <v>8.9999999999999993E-3</v>
      </c>
      <c r="AF13" s="6">
        <v>6.0000000000000001E-3</v>
      </c>
      <c r="AG13" s="6">
        <v>1.5960000000000001</v>
      </c>
      <c r="AH13" s="6"/>
      <c r="AI13" s="6">
        <f t="shared" si="0"/>
        <v>0.47199999999999975</v>
      </c>
      <c r="AJ13">
        <f t="shared" si="1"/>
        <v>8.6999999999999993</v>
      </c>
      <c r="AK13" s="21">
        <f t="shared" si="25"/>
        <v>8.6999999999999993</v>
      </c>
      <c r="AL13">
        <f t="shared" si="26"/>
        <v>30.7</v>
      </c>
      <c r="AM13" s="4">
        <v>4.97</v>
      </c>
      <c r="AN13">
        <v>0.18</v>
      </c>
      <c r="AP13" s="7">
        <f t="shared" si="3"/>
        <v>0.29399999999999998</v>
      </c>
      <c r="AQ13" s="7">
        <f t="shared" si="4"/>
        <v>0.107</v>
      </c>
      <c r="AS13">
        <f t="shared" si="5"/>
        <v>0.18</v>
      </c>
      <c r="AT13">
        <f t="shared" si="6"/>
        <v>-8.6999999999999993</v>
      </c>
      <c r="AU13">
        <f t="shared" si="7"/>
        <v>84.6</v>
      </c>
      <c r="AV13" t="s">
        <v>104</v>
      </c>
      <c r="AW13">
        <f t="shared" si="8"/>
        <v>-3.8</v>
      </c>
      <c r="AX13">
        <f t="shared" si="9"/>
        <v>0.3</v>
      </c>
      <c r="AY13">
        <f t="shared" si="10"/>
        <v>-5.7</v>
      </c>
      <c r="AZ13">
        <f t="shared" si="11"/>
        <v>90.1</v>
      </c>
      <c r="BA13" t="s">
        <v>104</v>
      </c>
      <c r="BB13">
        <f t="shared" si="12"/>
        <v>-3.1</v>
      </c>
      <c r="BC13">
        <f t="shared" si="13"/>
        <v>0.5</v>
      </c>
      <c r="BD13">
        <f t="shared" si="14"/>
        <v>-13.2</v>
      </c>
      <c r="BE13">
        <f t="shared" si="15"/>
        <v>73.400000000000006</v>
      </c>
      <c r="BF13" t="s">
        <v>104</v>
      </c>
      <c r="BG13">
        <f t="shared" si="16"/>
        <v>-4.5</v>
      </c>
      <c r="BH13">
        <f t="shared" si="17"/>
        <v>0.1</v>
      </c>
      <c r="BI13">
        <f t="shared" si="18"/>
        <v>0.55000000000000004</v>
      </c>
      <c r="BJ13">
        <f t="shared" si="19"/>
        <v>2.91</v>
      </c>
      <c r="BK13">
        <f t="shared" si="20"/>
        <v>0.47199999999999975</v>
      </c>
      <c r="BL13">
        <f t="shared" si="21"/>
        <v>8.6999999999999993</v>
      </c>
      <c r="BM13">
        <f t="shared" si="22"/>
        <v>0.29399999999999998</v>
      </c>
      <c r="BN13">
        <f t="shared" si="23"/>
        <v>0.107</v>
      </c>
    </row>
    <row r="14" spans="1:66" x14ac:dyDescent="0.25">
      <c r="A14">
        <v>2024</v>
      </c>
      <c r="B14" s="1">
        <f t="shared" si="24"/>
        <v>45300</v>
      </c>
      <c r="C14">
        <v>9</v>
      </c>
      <c r="D14">
        <v>70</v>
      </c>
      <c r="E14" s="6">
        <v>12.69</v>
      </c>
      <c r="F14" s="6">
        <v>-4.63</v>
      </c>
      <c r="G14" s="6">
        <v>-2.1339999999999999</v>
      </c>
      <c r="H14" s="6">
        <v>-7.11</v>
      </c>
      <c r="I14" s="6">
        <v>0.10100000000000001</v>
      </c>
      <c r="J14" s="6">
        <v>-3.9860000000000002</v>
      </c>
      <c r="K14" s="6">
        <v>90.6</v>
      </c>
      <c r="L14" s="6"/>
      <c r="M14" s="6">
        <v>-2.2719999999999998</v>
      </c>
      <c r="N14" s="6">
        <v>0.23799999999999999</v>
      </c>
      <c r="O14" s="6">
        <v>-1.514</v>
      </c>
      <c r="P14" s="6">
        <v>92.6</v>
      </c>
      <c r="Q14" s="6"/>
      <c r="R14" s="6">
        <v>-1.7190000000000001</v>
      </c>
      <c r="S14" s="6">
        <v>0.432</v>
      </c>
      <c r="T14" s="6">
        <v>-6.6840000000000002</v>
      </c>
      <c r="U14" s="6">
        <v>87.5</v>
      </c>
      <c r="V14" s="6"/>
      <c r="W14" s="6">
        <v>-3.1280000000000001</v>
      </c>
      <c r="X14" s="6">
        <v>8.0000000000000002E-3</v>
      </c>
      <c r="Y14" s="6">
        <v>0.86599999999999999</v>
      </c>
      <c r="Z14" s="6">
        <v>2.74</v>
      </c>
      <c r="AA14" s="6">
        <v>0</v>
      </c>
      <c r="AB14" s="6">
        <v>1.4650000000000001</v>
      </c>
      <c r="AC14" s="6">
        <v>-2.0489999999999999</v>
      </c>
      <c r="AD14" s="6">
        <v>-7.15</v>
      </c>
      <c r="AE14" s="6">
        <v>8.9999999999999993E-3</v>
      </c>
      <c r="AF14" s="6">
        <v>6.0000000000000001E-3</v>
      </c>
      <c r="AG14" s="6">
        <v>1.482</v>
      </c>
      <c r="AH14" s="6"/>
      <c r="AI14" s="6">
        <f t="shared" si="0"/>
        <v>0.58499999999999974</v>
      </c>
      <c r="AJ14">
        <f t="shared" si="1"/>
        <v>14.7</v>
      </c>
      <c r="AK14" s="21">
        <f t="shared" si="25"/>
        <v>14.7</v>
      </c>
      <c r="AL14">
        <f t="shared" si="26"/>
        <v>45.4</v>
      </c>
      <c r="AM14" s="4">
        <v>5.03</v>
      </c>
      <c r="AN14">
        <v>0.1</v>
      </c>
      <c r="AP14" s="7">
        <f t="shared" si="3"/>
        <v>0.47799999999999998</v>
      </c>
      <c r="AQ14" s="7">
        <f t="shared" si="4"/>
        <v>6.8000000000000005E-2</v>
      </c>
      <c r="AS14">
        <f t="shared" si="5"/>
        <v>0.1</v>
      </c>
      <c r="AT14">
        <f t="shared" si="6"/>
        <v>-4</v>
      </c>
      <c r="AU14">
        <f t="shared" si="7"/>
        <v>90.6</v>
      </c>
      <c r="AV14" t="s">
        <v>104</v>
      </c>
      <c r="AW14">
        <f t="shared" si="8"/>
        <v>-2.2999999999999998</v>
      </c>
      <c r="AX14">
        <f t="shared" si="9"/>
        <v>0.2</v>
      </c>
      <c r="AY14">
        <f t="shared" si="10"/>
        <v>-1.5</v>
      </c>
      <c r="AZ14">
        <f t="shared" si="11"/>
        <v>92.6</v>
      </c>
      <c r="BA14" t="s">
        <v>104</v>
      </c>
      <c r="BB14">
        <f t="shared" si="12"/>
        <v>-1.7</v>
      </c>
      <c r="BC14">
        <f t="shared" si="13"/>
        <v>0.4</v>
      </c>
      <c r="BD14">
        <f t="shared" si="14"/>
        <v>-6.7</v>
      </c>
      <c r="BE14">
        <f t="shared" si="15"/>
        <v>87.5</v>
      </c>
      <c r="BF14" t="s">
        <v>104</v>
      </c>
      <c r="BG14">
        <f t="shared" si="16"/>
        <v>-3.1</v>
      </c>
      <c r="BH14">
        <f t="shared" si="17"/>
        <v>0</v>
      </c>
      <c r="BI14">
        <f t="shared" si="18"/>
        <v>0.87</v>
      </c>
      <c r="BJ14">
        <f t="shared" si="19"/>
        <v>2.74</v>
      </c>
      <c r="BK14">
        <f t="shared" si="20"/>
        <v>0.58499999999999974</v>
      </c>
      <c r="BL14">
        <f t="shared" si="21"/>
        <v>14.7</v>
      </c>
      <c r="BM14">
        <f t="shared" si="22"/>
        <v>0.47799999999999998</v>
      </c>
      <c r="BN14">
        <f t="shared" si="23"/>
        <v>6.8000000000000005E-2</v>
      </c>
    </row>
    <row r="15" spans="1:66" x14ac:dyDescent="0.25">
      <c r="A15">
        <v>2024</v>
      </c>
      <c r="B15" s="1">
        <f t="shared" si="24"/>
        <v>45301</v>
      </c>
      <c r="C15">
        <v>10</v>
      </c>
      <c r="D15">
        <v>70</v>
      </c>
      <c r="E15" s="6">
        <v>12.87</v>
      </c>
      <c r="F15" s="6">
        <v>-11.29</v>
      </c>
      <c r="G15" s="6">
        <v>-6.7489999999999997</v>
      </c>
      <c r="H15" s="6">
        <v>-14.69</v>
      </c>
      <c r="I15" s="6">
        <v>0.48799999999999999</v>
      </c>
      <c r="J15" s="6">
        <v>-10.6</v>
      </c>
      <c r="K15" s="6">
        <v>82.9</v>
      </c>
      <c r="L15" s="6"/>
      <c r="M15" s="6">
        <v>-2.8029999999999999</v>
      </c>
      <c r="N15" s="6">
        <v>0.16500000000000001</v>
      </c>
      <c r="O15" s="6">
        <v>-6.6159999999999997</v>
      </c>
      <c r="P15" s="6">
        <v>89.7</v>
      </c>
      <c r="Q15" s="6"/>
      <c r="R15" s="6">
        <v>-2.105</v>
      </c>
      <c r="S15" s="6">
        <v>0.70499999999999996</v>
      </c>
      <c r="T15" s="6">
        <v>-13.87</v>
      </c>
      <c r="U15" s="6">
        <v>67.239999999999995</v>
      </c>
      <c r="V15" s="6"/>
      <c r="W15" s="6">
        <v>-3.5270000000000001</v>
      </c>
      <c r="X15" s="6">
        <v>-0.27300000000000002</v>
      </c>
      <c r="Y15" s="6">
        <v>0.58099999999999996</v>
      </c>
      <c r="Z15" s="6">
        <v>2.327</v>
      </c>
      <c r="AA15" s="6">
        <v>0</v>
      </c>
      <c r="AB15" s="6">
        <v>1.4990000000000001</v>
      </c>
      <c r="AC15" s="6">
        <v>-6.4649999999999999</v>
      </c>
      <c r="AD15" s="6">
        <v>-14.56</v>
      </c>
      <c r="AE15" s="6">
        <v>8.9999999999999993E-3</v>
      </c>
      <c r="AF15" s="6">
        <v>6.0000000000000001E-3</v>
      </c>
      <c r="AG15" s="6">
        <v>1.536</v>
      </c>
      <c r="AH15" s="6"/>
      <c r="AI15" s="6">
        <f t="shared" si="0"/>
        <v>0.55099999999999971</v>
      </c>
      <c r="AJ15">
        <f t="shared" si="1"/>
        <v>0</v>
      </c>
      <c r="AK15" s="21">
        <f t="shared" si="25"/>
        <v>0</v>
      </c>
      <c r="AL15">
        <f t="shared" si="26"/>
        <v>45.4</v>
      </c>
      <c r="AM15" s="4">
        <v>5.09</v>
      </c>
      <c r="AN15">
        <v>0.49</v>
      </c>
      <c r="AP15" s="7">
        <f t="shared" si="3"/>
        <v>0.25</v>
      </c>
      <c r="AQ15" s="7">
        <f t="shared" si="4"/>
        <v>0.122</v>
      </c>
      <c r="AS15">
        <f t="shared" si="5"/>
        <v>0.49</v>
      </c>
      <c r="AT15">
        <f t="shared" si="6"/>
        <v>-10.6</v>
      </c>
      <c r="AU15">
        <f t="shared" si="7"/>
        <v>82.9</v>
      </c>
      <c r="AV15" t="s">
        <v>104</v>
      </c>
      <c r="AW15">
        <f t="shared" si="8"/>
        <v>-2.8</v>
      </c>
      <c r="AX15">
        <f t="shared" si="9"/>
        <v>0.2</v>
      </c>
      <c r="AY15">
        <f t="shared" si="10"/>
        <v>-6.6</v>
      </c>
      <c r="AZ15">
        <f t="shared" si="11"/>
        <v>89.7</v>
      </c>
      <c r="BA15" t="s">
        <v>104</v>
      </c>
      <c r="BB15">
        <f t="shared" si="12"/>
        <v>-2.1</v>
      </c>
      <c r="BC15">
        <f t="shared" si="13"/>
        <v>0.7</v>
      </c>
      <c r="BD15">
        <f t="shared" si="14"/>
        <v>-13.9</v>
      </c>
      <c r="BE15">
        <f t="shared" si="15"/>
        <v>67.2</v>
      </c>
      <c r="BF15" t="s">
        <v>104</v>
      </c>
      <c r="BG15">
        <f t="shared" si="16"/>
        <v>-3.5</v>
      </c>
      <c r="BH15">
        <f t="shared" si="17"/>
        <v>-0.3</v>
      </c>
      <c r="BI15">
        <f t="shared" si="18"/>
        <v>0.57999999999999996</v>
      </c>
      <c r="BJ15">
        <f t="shared" si="19"/>
        <v>2.33</v>
      </c>
      <c r="BK15">
        <f t="shared" si="20"/>
        <v>0.55099999999999971</v>
      </c>
      <c r="BL15">
        <f t="shared" si="21"/>
        <v>0</v>
      </c>
      <c r="BM15">
        <f t="shared" si="22"/>
        <v>0.25</v>
      </c>
      <c r="BN15">
        <f t="shared" si="23"/>
        <v>0.122</v>
      </c>
    </row>
    <row r="16" spans="1:66" x14ac:dyDescent="0.25">
      <c r="A16">
        <v>2024</v>
      </c>
      <c r="B16" s="1">
        <f t="shared" si="24"/>
        <v>45302</v>
      </c>
      <c r="C16">
        <v>11</v>
      </c>
      <c r="D16">
        <v>70</v>
      </c>
      <c r="E16" s="6">
        <v>12.99</v>
      </c>
      <c r="F16" s="6">
        <v>-22.63</v>
      </c>
      <c r="G16" s="6">
        <v>-13.93</v>
      </c>
      <c r="H16" s="6">
        <v>-34.159999999999997</v>
      </c>
      <c r="I16" s="6">
        <v>0.58699999999999997</v>
      </c>
      <c r="J16" s="6">
        <v>-22.51</v>
      </c>
      <c r="K16" s="6">
        <v>73.3</v>
      </c>
      <c r="L16" s="6"/>
      <c r="M16" s="6">
        <v>-5.4169999999999998</v>
      </c>
      <c r="N16" s="6">
        <v>-0.11600000000000001</v>
      </c>
      <c r="O16" s="6">
        <v>-12.92</v>
      </c>
      <c r="P16" s="6">
        <v>84.2</v>
      </c>
      <c r="Q16" s="6"/>
      <c r="R16" s="6">
        <v>-3.4790000000000001</v>
      </c>
      <c r="S16" s="6">
        <v>0.71599999999999997</v>
      </c>
      <c r="T16" s="6">
        <v>-32.78</v>
      </c>
      <c r="U16" s="6">
        <v>61.53</v>
      </c>
      <c r="V16" s="6"/>
      <c r="W16" s="6">
        <v>-7.7</v>
      </c>
      <c r="X16" s="6">
        <v>-0.64100000000000001</v>
      </c>
      <c r="Y16" s="6">
        <v>0.6</v>
      </c>
      <c r="Z16" s="6">
        <v>2.54</v>
      </c>
      <c r="AA16" s="6">
        <v>0</v>
      </c>
      <c r="AB16" s="6">
        <v>1.514</v>
      </c>
      <c r="AC16" s="6">
        <v>-13.84</v>
      </c>
      <c r="AD16" s="6">
        <v>-33.909999999999997</v>
      </c>
      <c r="AE16" s="6">
        <v>8.0000000000000002E-3</v>
      </c>
      <c r="AF16" s="6">
        <v>6.0000000000000001E-3</v>
      </c>
      <c r="AG16" s="6">
        <v>1.611</v>
      </c>
      <c r="AH16" s="6"/>
      <c r="AI16" s="6">
        <f t="shared" si="0"/>
        <v>0.53599999999999981</v>
      </c>
      <c r="AJ16">
        <f t="shared" si="1"/>
        <v>0</v>
      </c>
      <c r="AK16" s="21">
        <f t="shared" si="25"/>
        <v>0</v>
      </c>
      <c r="AL16">
        <f t="shared" si="26"/>
        <v>45.4</v>
      </c>
      <c r="AM16" s="4">
        <v>5.16</v>
      </c>
      <c r="AN16">
        <v>0.57999999999999996</v>
      </c>
      <c r="AP16" s="7">
        <f t="shared" si="3"/>
        <v>0.13900000000000001</v>
      </c>
      <c r="AQ16" s="7">
        <f t="shared" si="4"/>
        <v>8.6999999999999994E-2</v>
      </c>
      <c r="AS16">
        <f t="shared" si="5"/>
        <v>0.57999999999999996</v>
      </c>
      <c r="AT16">
        <f t="shared" si="6"/>
        <v>-22.5</v>
      </c>
      <c r="AU16">
        <f t="shared" si="7"/>
        <v>73.3</v>
      </c>
      <c r="AV16" t="s">
        <v>104</v>
      </c>
      <c r="AW16">
        <f t="shared" si="8"/>
        <v>-5.4</v>
      </c>
      <c r="AX16">
        <f t="shared" si="9"/>
        <v>-0.1</v>
      </c>
      <c r="AY16">
        <f t="shared" si="10"/>
        <v>-12.9</v>
      </c>
      <c r="AZ16">
        <f t="shared" si="11"/>
        <v>84.2</v>
      </c>
      <c r="BA16" t="s">
        <v>104</v>
      </c>
      <c r="BB16">
        <f t="shared" si="12"/>
        <v>-3.5</v>
      </c>
      <c r="BC16">
        <f t="shared" si="13"/>
        <v>0.7</v>
      </c>
      <c r="BD16">
        <f t="shared" si="14"/>
        <v>-32.799999999999997</v>
      </c>
      <c r="BE16">
        <f t="shared" si="15"/>
        <v>61.5</v>
      </c>
      <c r="BF16" t="s">
        <v>104</v>
      </c>
      <c r="BG16">
        <f t="shared" si="16"/>
        <v>-7.7</v>
      </c>
      <c r="BH16">
        <f t="shared" si="17"/>
        <v>-0.6</v>
      </c>
      <c r="BI16">
        <f t="shared" si="18"/>
        <v>0.6</v>
      </c>
      <c r="BJ16">
        <f t="shared" si="19"/>
        <v>2.54</v>
      </c>
      <c r="BK16">
        <f t="shared" si="20"/>
        <v>0.53599999999999981</v>
      </c>
      <c r="BL16">
        <f t="shared" si="21"/>
        <v>0</v>
      </c>
      <c r="BM16">
        <f t="shared" si="22"/>
        <v>0.13900000000000001</v>
      </c>
      <c r="BN16">
        <f t="shared" si="23"/>
        <v>8.6999999999999994E-2</v>
      </c>
    </row>
    <row r="17" spans="1:66" x14ac:dyDescent="0.25">
      <c r="A17">
        <v>2024</v>
      </c>
      <c r="B17" s="1">
        <f t="shared" si="24"/>
        <v>45303</v>
      </c>
      <c r="C17">
        <v>12</v>
      </c>
      <c r="D17">
        <v>70</v>
      </c>
      <c r="E17" s="6">
        <v>12.99</v>
      </c>
      <c r="F17" s="6">
        <v>-33.83</v>
      </c>
      <c r="G17" s="6">
        <v>-23.67</v>
      </c>
      <c r="H17" s="6">
        <v>-37.42</v>
      </c>
      <c r="I17" s="6">
        <v>0.79100000000000004</v>
      </c>
      <c r="J17" s="6">
        <v>-32.33</v>
      </c>
      <c r="K17" s="6">
        <v>64.06</v>
      </c>
      <c r="L17" s="6"/>
      <c r="M17" s="6">
        <v>-8.52</v>
      </c>
      <c r="N17" s="6">
        <v>4.5999999999999999E-2</v>
      </c>
      <c r="O17" s="6">
        <v>-24.96</v>
      </c>
      <c r="P17" s="6">
        <v>68.84</v>
      </c>
      <c r="Q17" s="6"/>
      <c r="R17" s="6">
        <v>-7.06</v>
      </c>
      <c r="S17" s="6">
        <v>1.262</v>
      </c>
      <c r="T17" s="6">
        <v>-35.950000000000003</v>
      </c>
      <c r="U17" s="6">
        <v>52.26</v>
      </c>
      <c r="V17" s="6"/>
      <c r="W17" s="6">
        <v>-9.4</v>
      </c>
      <c r="X17" s="6">
        <v>-0.70099999999999996</v>
      </c>
      <c r="Y17" s="6">
        <v>0.35399999999999998</v>
      </c>
      <c r="Z17" s="6">
        <v>1.4470000000000001</v>
      </c>
      <c r="AA17" s="6">
        <v>0</v>
      </c>
      <c r="AB17" s="6">
        <v>1.528</v>
      </c>
      <c r="AC17" s="6">
        <v>-23.62</v>
      </c>
      <c r="AD17" s="6">
        <v>-37.54</v>
      </c>
      <c r="AE17" s="6">
        <v>8.0000000000000002E-3</v>
      </c>
      <c r="AF17" s="6">
        <v>6.0000000000000001E-3</v>
      </c>
      <c r="AG17" s="6">
        <v>1.6259999999999999</v>
      </c>
      <c r="AH17" s="6"/>
      <c r="AI17" s="6">
        <f t="shared" si="0"/>
        <v>0.5219999999999998</v>
      </c>
      <c r="AJ17">
        <f t="shared" si="1"/>
        <v>0</v>
      </c>
      <c r="AK17" s="21">
        <f t="shared" si="25"/>
        <v>0</v>
      </c>
      <c r="AL17">
        <f t="shared" si="26"/>
        <v>45.4</v>
      </c>
      <c r="AM17" s="4">
        <v>5.24</v>
      </c>
      <c r="AN17">
        <v>0.79</v>
      </c>
      <c r="AP17" s="7">
        <f t="shared" si="3"/>
        <v>4.2000000000000003E-2</v>
      </c>
      <c r="AQ17" s="7">
        <f t="shared" si="4"/>
        <v>3.7999999999999999E-2</v>
      </c>
      <c r="AS17">
        <f t="shared" si="5"/>
        <v>0.79</v>
      </c>
      <c r="AT17">
        <f t="shared" si="6"/>
        <v>-32.299999999999997</v>
      </c>
      <c r="AU17">
        <f t="shared" si="7"/>
        <v>64.099999999999994</v>
      </c>
      <c r="AV17" t="s">
        <v>104</v>
      </c>
      <c r="AW17">
        <f t="shared" si="8"/>
        <v>-8.5</v>
      </c>
      <c r="AX17">
        <f t="shared" si="9"/>
        <v>0</v>
      </c>
      <c r="AY17">
        <f t="shared" si="10"/>
        <v>-25</v>
      </c>
      <c r="AZ17">
        <f t="shared" si="11"/>
        <v>68.8</v>
      </c>
      <c r="BA17" t="s">
        <v>104</v>
      </c>
      <c r="BB17">
        <f t="shared" si="12"/>
        <v>-7.1</v>
      </c>
      <c r="BC17">
        <f t="shared" si="13"/>
        <v>1.3</v>
      </c>
      <c r="BD17">
        <f t="shared" si="14"/>
        <v>-36</v>
      </c>
      <c r="BE17">
        <f t="shared" si="15"/>
        <v>52.3</v>
      </c>
      <c r="BF17" t="s">
        <v>104</v>
      </c>
      <c r="BG17">
        <f t="shared" si="16"/>
        <v>-9.4</v>
      </c>
      <c r="BH17">
        <f t="shared" si="17"/>
        <v>-0.7</v>
      </c>
      <c r="BI17">
        <f t="shared" si="18"/>
        <v>0.35</v>
      </c>
      <c r="BJ17">
        <f t="shared" si="19"/>
        <v>1.45</v>
      </c>
      <c r="BK17">
        <f t="shared" si="20"/>
        <v>0.5219999999999998</v>
      </c>
      <c r="BL17">
        <f t="shared" si="21"/>
        <v>0</v>
      </c>
      <c r="BM17">
        <f t="shared" si="22"/>
        <v>4.2000000000000003E-2</v>
      </c>
      <c r="BN17">
        <f t="shared" si="23"/>
        <v>3.7999999999999999E-2</v>
      </c>
    </row>
    <row r="18" spans="1:66" x14ac:dyDescent="0.25">
      <c r="A18">
        <v>2024</v>
      </c>
      <c r="B18" s="1">
        <f t="shared" si="24"/>
        <v>45304</v>
      </c>
      <c r="C18">
        <v>13</v>
      </c>
      <c r="D18">
        <v>70</v>
      </c>
      <c r="E18" s="6">
        <v>13.02</v>
      </c>
      <c r="F18" s="6">
        <v>-27.36</v>
      </c>
      <c r="G18" s="6">
        <v>-18.34</v>
      </c>
      <c r="H18" s="6">
        <v>-35.049999999999997</v>
      </c>
      <c r="I18" s="6">
        <v>0.73299999999999998</v>
      </c>
      <c r="J18" s="6">
        <v>-25.71</v>
      </c>
      <c r="K18" s="6">
        <v>65.930000000000007</v>
      </c>
      <c r="L18" s="6"/>
      <c r="M18" s="6">
        <v>-8.9499999999999993</v>
      </c>
      <c r="N18" s="6">
        <v>7.5999999999999998E-2</v>
      </c>
      <c r="O18" s="6">
        <v>-18.84</v>
      </c>
      <c r="P18" s="6">
        <v>73.599999999999994</v>
      </c>
      <c r="Q18" s="6"/>
      <c r="R18" s="6">
        <v>-7.36</v>
      </c>
      <c r="S18" s="6">
        <v>1.111</v>
      </c>
      <c r="T18" s="6">
        <v>-32.78</v>
      </c>
      <c r="U18" s="6">
        <v>50.08</v>
      </c>
      <c r="V18" s="6"/>
      <c r="W18" s="6">
        <v>-9.76</v>
      </c>
      <c r="X18" s="6">
        <v>-0.36</v>
      </c>
      <c r="Y18" s="6">
        <v>0.69399999999999995</v>
      </c>
      <c r="Z18" s="6">
        <v>1.8340000000000001</v>
      </c>
      <c r="AA18" s="6">
        <v>0</v>
      </c>
      <c r="AB18" s="6">
        <v>1.5389999999999999</v>
      </c>
      <c r="AC18" s="6">
        <v>-18.16</v>
      </c>
      <c r="AD18" s="6">
        <v>-35.369999999999997</v>
      </c>
      <c r="AE18" s="6">
        <v>8.0000000000000002E-3</v>
      </c>
      <c r="AF18" s="6">
        <v>6.0000000000000001E-3</v>
      </c>
      <c r="AG18" s="6">
        <v>1.607</v>
      </c>
      <c r="AH18" s="6"/>
      <c r="AI18" s="6">
        <f t="shared" si="0"/>
        <v>0.5109999999999999</v>
      </c>
      <c r="AJ18">
        <f t="shared" si="1"/>
        <v>0</v>
      </c>
      <c r="AK18" s="21">
        <f t="shared" si="25"/>
        <v>0</v>
      </c>
      <c r="AL18">
        <f t="shared" si="26"/>
        <v>45.4</v>
      </c>
      <c r="AM18" s="4">
        <v>5.32</v>
      </c>
      <c r="AN18">
        <v>0.73</v>
      </c>
      <c r="AP18" s="7">
        <f t="shared" si="3"/>
        <v>6.9000000000000006E-2</v>
      </c>
      <c r="AQ18" s="7">
        <f t="shared" si="4"/>
        <v>6.9000000000000006E-2</v>
      </c>
      <c r="AS18">
        <f t="shared" si="5"/>
        <v>0.73</v>
      </c>
      <c r="AT18">
        <f t="shared" si="6"/>
        <v>-25.7</v>
      </c>
      <c r="AU18">
        <f t="shared" si="7"/>
        <v>65.900000000000006</v>
      </c>
      <c r="AV18" t="s">
        <v>104</v>
      </c>
      <c r="AW18">
        <f t="shared" si="8"/>
        <v>-9</v>
      </c>
      <c r="AX18">
        <f t="shared" si="9"/>
        <v>0.1</v>
      </c>
      <c r="AY18">
        <f t="shared" si="10"/>
        <v>-18.8</v>
      </c>
      <c r="AZ18">
        <f t="shared" si="11"/>
        <v>73.599999999999994</v>
      </c>
      <c r="BA18" t="s">
        <v>104</v>
      </c>
      <c r="BB18">
        <f t="shared" si="12"/>
        <v>-7.4</v>
      </c>
      <c r="BC18">
        <f t="shared" si="13"/>
        <v>1.1000000000000001</v>
      </c>
      <c r="BD18">
        <f t="shared" si="14"/>
        <v>-32.799999999999997</v>
      </c>
      <c r="BE18">
        <f t="shared" si="15"/>
        <v>50.1</v>
      </c>
      <c r="BF18" t="s">
        <v>104</v>
      </c>
      <c r="BG18">
        <f t="shared" si="16"/>
        <v>-9.8000000000000007</v>
      </c>
      <c r="BH18">
        <f t="shared" si="17"/>
        <v>-0.4</v>
      </c>
      <c r="BI18">
        <f t="shared" si="18"/>
        <v>0.69</v>
      </c>
      <c r="BJ18">
        <f t="shared" si="19"/>
        <v>1.83</v>
      </c>
      <c r="BK18">
        <f t="shared" si="20"/>
        <v>0.5109999999999999</v>
      </c>
      <c r="BL18">
        <f t="shared" si="21"/>
        <v>0</v>
      </c>
      <c r="BM18">
        <f t="shared" si="22"/>
        <v>6.9000000000000006E-2</v>
      </c>
      <c r="BN18">
        <f t="shared" si="23"/>
        <v>6.9000000000000006E-2</v>
      </c>
    </row>
    <row r="19" spans="1:66" x14ac:dyDescent="0.25">
      <c r="A19">
        <v>2024</v>
      </c>
      <c r="B19" s="1">
        <f t="shared" si="24"/>
        <v>45305</v>
      </c>
      <c r="C19">
        <v>14</v>
      </c>
      <c r="D19">
        <v>70</v>
      </c>
      <c r="E19" s="6">
        <v>13.03</v>
      </c>
      <c r="F19" s="6">
        <v>-21.58</v>
      </c>
      <c r="G19" s="6">
        <v>-11.95</v>
      </c>
      <c r="H19" s="6">
        <v>-25.34</v>
      </c>
      <c r="I19" s="6">
        <v>0.89200000000000002</v>
      </c>
      <c r="J19" s="6">
        <v>-21.08</v>
      </c>
      <c r="K19" s="6">
        <v>72</v>
      </c>
      <c r="L19" s="6"/>
      <c r="M19" s="6">
        <v>-7.5</v>
      </c>
      <c r="N19" s="6">
        <v>-8.0000000000000002E-3</v>
      </c>
      <c r="O19" s="6">
        <v>-14.82</v>
      </c>
      <c r="P19" s="6">
        <v>77.8</v>
      </c>
      <c r="Q19" s="6"/>
      <c r="R19" s="6">
        <v>-5.5090000000000003</v>
      </c>
      <c r="S19" s="6">
        <v>1.39</v>
      </c>
      <c r="T19" s="6">
        <v>-23.35</v>
      </c>
      <c r="U19" s="6">
        <v>55.45</v>
      </c>
      <c r="V19" s="6"/>
      <c r="W19" s="6">
        <v>-8.2100000000000009</v>
      </c>
      <c r="X19" s="6">
        <v>-0.625</v>
      </c>
      <c r="Y19" s="6">
        <v>0.34</v>
      </c>
      <c r="Z19" s="6">
        <v>1.514</v>
      </c>
      <c r="AA19" s="6">
        <v>0</v>
      </c>
      <c r="AB19" s="6">
        <v>1.55</v>
      </c>
      <c r="AC19" s="6">
        <v>-11.7</v>
      </c>
      <c r="AD19" s="6">
        <v>-25.28</v>
      </c>
      <c r="AE19" s="6">
        <v>8.0000000000000002E-3</v>
      </c>
      <c r="AF19" s="6">
        <v>6.0000000000000001E-3</v>
      </c>
      <c r="AG19" s="6">
        <v>1.619</v>
      </c>
      <c r="AH19" s="6"/>
      <c r="AI19" s="6">
        <f t="shared" si="0"/>
        <v>0.49999999999999978</v>
      </c>
      <c r="AJ19">
        <f t="shared" si="1"/>
        <v>0</v>
      </c>
      <c r="AK19" s="21">
        <f t="shared" si="25"/>
        <v>0</v>
      </c>
      <c r="AL19">
        <f t="shared" si="26"/>
        <v>45.4</v>
      </c>
      <c r="AM19" s="4">
        <v>5.39</v>
      </c>
      <c r="AN19">
        <v>0.89</v>
      </c>
      <c r="AP19" s="7">
        <f t="shared" si="3"/>
        <v>0.107</v>
      </c>
      <c r="AQ19" s="7">
        <f t="shared" si="4"/>
        <v>8.5999999999999993E-2</v>
      </c>
      <c r="AS19">
        <f t="shared" si="5"/>
        <v>0.89</v>
      </c>
      <c r="AT19">
        <f t="shared" si="6"/>
        <v>-21.1</v>
      </c>
      <c r="AU19">
        <f t="shared" si="7"/>
        <v>72</v>
      </c>
      <c r="AV19" t="s">
        <v>104</v>
      </c>
      <c r="AW19">
        <f t="shared" si="8"/>
        <v>-7.5</v>
      </c>
      <c r="AX19">
        <f t="shared" si="9"/>
        <v>0</v>
      </c>
      <c r="AY19">
        <f t="shared" si="10"/>
        <v>-14.8</v>
      </c>
      <c r="AZ19">
        <f t="shared" si="11"/>
        <v>77.8</v>
      </c>
      <c r="BA19" t="s">
        <v>104</v>
      </c>
      <c r="BB19">
        <f t="shared" si="12"/>
        <v>-5.5</v>
      </c>
      <c r="BC19">
        <f t="shared" si="13"/>
        <v>1.4</v>
      </c>
      <c r="BD19">
        <f t="shared" si="14"/>
        <v>-23.4</v>
      </c>
      <c r="BE19">
        <f t="shared" si="15"/>
        <v>55.5</v>
      </c>
      <c r="BF19" t="s">
        <v>104</v>
      </c>
      <c r="BG19">
        <f t="shared" si="16"/>
        <v>-8.1999999999999993</v>
      </c>
      <c r="BH19">
        <f t="shared" si="17"/>
        <v>-0.6</v>
      </c>
      <c r="BI19">
        <f t="shared" si="18"/>
        <v>0.34</v>
      </c>
      <c r="BJ19">
        <f t="shared" si="19"/>
        <v>1.51</v>
      </c>
      <c r="BK19">
        <f t="shared" si="20"/>
        <v>0.49999999999999978</v>
      </c>
      <c r="BL19">
        <f t="shared" si="21"/>
        <v>0</v>
      </c>
      <c r="BM19">
        <f t="shared" si="22"/>
        <v>0.107</v>
      </c>
      <c r="BN19">
        <f t="shared" si="23"/>
        <v>8.5999999999999993E-2</v>
      </c>
    </row>
    <row r="20" spans="1:66" x14ac:dyDescent="0.25">
      <c r="A20">
        <v>2024</v>
      </c>
      <c r="B20" s="1">
        <f t="shared" si="24"/>
        <v>45306</v>
      </c>
      <c r="C20">
        <v>15</v>
      </c>
      <c r="D20">
        <v>70</v>
      </c>
      <c r="E20" s="6">
        <v>13.02</v>
      </c>
      <c r="F20" s="6">
        <v>-20.72</v>
      </c>
      <c r="G20" s="6">
        <v>-14.76</v>
      </c>
      <c r="H20" s="6">
        <v>-25.44</v>
      </c>
      <c r="I20" s="6">
        <v>0.40500000000000003</v>
      </c>
      <c r="J20" s="6">
        <v>-19.22</v>
      </c>
      <c r="K20" s="6">
        <v>75.5</v>
      </c>
      <c r="L20" s="6"/>
      <c r="M20" s="6">
        <v>-7.06</v>
      </c>
      <c r="N20" s="6">
        <v>7.5999999999999998E-2</v>
      </c>
      <c r="O20" s="6">
        <v>-14.06</v>
      </c>
      <c r="P20" s="6">
        <v>80.7</v>
      </c>
      <c r="Q20" s="6"/>
      <c r="R20" s="6">
        <v>-6.2619999999999996</v>
      </c>
      <c r="S20" s="6">
        <v>0.69299999999999995</v>
      </c>
      <c r="T20" s="6">
        <v>-23.41</v>
      </c>
      <c r="U20" s="6">
        <v>64.34</v>
      </c>
      <c r="V20" s="6"/>
      <c r="W20" s="6">
        <v>-7.89</v>
      </c>
      <c r="X20" s="6">
        <v>-0.33600000000000002</v>
      </c>
      <c r="Y20" s="6">
        <v>0.223</v>
      </c>
      <c r="Z20" s="6">
        <v>1.2070000000000001</v>
      </c>
      <c r="AA20" s="6">
        <v>0</v>
      </c>
      <c r="AB20" s="6">
        <v>1.5569999999999999</v>
      </c>
      <c r="AC20" s="6">
        <v>-14.56</v>
      </c>
      <c r="AD20" s="6">
        <v>-25.39</v>
      </c>
      <c r="AE20" s="6">
        <v>8.0000000000000002E-3</v>
      </c>
      <c r="AF20" s="6">
        <v>6.0000000000000001E-3</v>
      </c>
      <c r="AG20" s="6">
        <v>1.6080000000000001</v>
      </c>
      <c r="AH20" s="6"/>
      <c r="AI20" s="6">
        <f t="shared" si="0"/>
        <v>0.49299999999999988</v>
      </c>
      <c r="AJ20">
        <f t="shared" si="1"/>
        <v>0</v>
      </c>
      <c r="AK20" s="21">
        <f t="shared" si="25"/>
        <v>0</v>
      </c>
      <c r="AL20">
        <f t="shared" si="26"/>
        <v>45.4</v>
      </c>
      <c r="AM20" s="4">
        <v>5.48</v>
      </c>
      <c r="AN20">
        <v>0.4</v>
      </c>
      <c r="AP20" s="7">
        <f t="shared" si="3"/>
        <v>0.13200000000000001</v>
      </c>
      <c r="AQ20" s="7">
        <f t="shared" si="4"/>
        <v>7.2999999999999995E-2</v>
      </c>
      <c r="AS20">
        <f t="shared" si="5"/>
        <v>0.4</v>
      </c>
      <c r="AT20">
        <f t="shared" si="6"/>
        <v>-19.2</v>
      </c>
      <c r="AU20">
        <f t="shared" si="7"/>
        <v>75.5</v>
      </c>
      <c r="AV20" t="s">
        <v>104</v>
      </c>
      <c r="AW20">
        <f t="shared" si="8"/>
        <v>-7.1</v>
      </c>
      <c r="AX20">
        <f t="shared" si="9"/>
        <v>0.1</v>
      </c>
      <c r="AY20">
        <f t="shared" si="10"/>
        <v>-14.1</v>
      </c>
      <c r="AZ20">
        <f t="shared" si="11"/>
        <v>80.7</v>
      </c>
      <c r="BA20" t="s">
        <v>104</v>
      </c>
      <c r="BB20">
        <f t="shared" si="12"/>
        <v>-6.3</v>
      </c>
      <c r="BC20">
        <f t="shared" si="13"/>
        <v>0.7</v>
      </c>
      <c r="BD20">
        <f t="shared" si="14"/>
        <v>-23.4</v>
      </c>
      <c r="BE20">
        <f t="shared" si="15"/>
        <v>64.3</v>
      </c>
      <c r="BF20" t="s">
        <v>104</v>
      </c>
      <c r="BG20">
        <f t="shared" si="16"/>
        <v>-7.9</v>
      </c>
      <c r="BH20">
        <f t="shared" si="17"/>
        <v>-0.3</v>
      </c>
      <c r="BI20">
        <f t="shared" si="18"/>
        <v>0.22</v>
      </c>
      <c r="BJ20">
        <f t="shared" si="19"/>
        <v>1.21</v>
      </c>
      <c r="BK20">
        <f t="shared" si="20"/>
        <v>0.49299999999999988</v>
      </c>
      <c r="BL20">
        <f t="shared" si="21"/>
        <v>0</v>
      </c>
      <c r="BM20">
        <f t="shared" si="22"/>
        <v>0.13200000000000001</v>
      </c>
      <c r="BN20">
        <f t="shared" si="23"/>
        <v>7.2999999999999995E-2</v>
      </c>
    </row>
    <row r="21" spans="1:66" x14ac:dyDescent="0.25">
      <c r="A21">
        <v>2024</v>
      </c>
      <c r="B21" s="1">
        <f t="shared" si="24"/>
        <v>45307</v>
      </c>
      <c r="C21">
        <v>16</v>
      </c>
      <c r="D21">
        <v>70</v>
      </c>
      <c r="E21" s="6">
        <v>12.92</v>
      </c>
      <c r="F21" s="6">
        <v>-13.87</v>
      </c>
      <c r="G21" s="6">
        <v>-11.29</v>
      </c>
      <c r="H21" s="6">
        <v>-18.63</v>
      </c>
      <c r="I21" s="6">
        <v>0.19400000000000001</v>
      </c>
      <c r="J21" s="6">
        <v>-13.37</v>
      </c>
      <c r="K21" s="6">
        <v>76.599999999999994</v>
      </c>
      <c r="L21" s="6"/>
      <c r="M21" s="6">
        <v>-5.69</v>
      </c>
      <c r="N21" s="6">
        <v>0.17899999999999999</v>
      </c>
      <c r="O21" s="6">
        <v>-11.12</v>
      </c>
      <c r="P21" s="6">
        <v>83.6</v>
      </c>
      <c r="Q21" s="6"/>
      <c r="R21" s="6">
        <v>-5.1189999999999998</v>
      </c>
      <c r="S21" s="6">
        <v>0.434</v>
      </c>
      <c r="T21" s="6">
        <v>-17.829999999999998</v>
      </c>
      <c r="U21" s="6">
        <v>65.11</v>
      </c>
      <c r="V21" s="6"/>
      <c r="W21" s="6">
        <v>-6.6680000000000001</v>
      </c>
      <c r="X21" s="6">
        <v>-0.01</v>
      </c>
      <c r="Y21" s="6">
        <v>0.66700000000000004</v>
      </c>
      <c r="Z21" s="6">
        <v>1.754</v>
      </c>
      <c r="AA21" s="6">
        <v>0</v>
      </c>
      <c r="AB21" s="6">
        <v>1.5269999999999999</v>
      </c>
      <c r="AC21" s="6">
        <v>-11.28</v>
      </c>
      <c r="AD21" s="6">
        <v>-18.41</v>
      </c>
      <c r="AE21" s="6">
        <v>8.9999999999999993E-3</v>
      </c>
      <c r="AF21" s="6">
        <v>6.0000000000000001E-3</v>
      </c>
      <c r="AG21" s="6">
        <v>1.5660000000000001</v>
      </c>
      <c r="AH21" s="6"/>
      <c r="AI21" s="6">
        <f t="shared" si="0"/>
        <v>0.52299999999999991</v>
      </c>
      <c r="AJ21">
        <f t="shared" si="1"/>
        <v>3.9</v>
      </c>
      <c r="AK21" s="21">
        <f t="shared" si="25"/>
        <v>3.9</v>
      </c>
      <c r="AL21">
        <f t="shared" si="26"/>
        <v>49.3</v>
      </c>
      <c r="AM21" s="4">
        <v>5.57</v>
      </c>
      <c r="AN21">
        <v>0.19</v>
      </c>
      <c r="AP21" s="7">
        <f t="shared" si="3"/>
        <v>0.17</v>
      </c>
      <c r="AQ21" s="7">
        <f t="shared" si="4"/>
        <v>9.0999999999999998E-2</v>
      </c>
      <c r="AS21">
        <f t="shared" si="5"/>
        <v>0.19</v>
      </c>
      <c r="AT21">
        <f t="shared" si="6"/>
        <v>-13.4</v>
      </c>
      <c r="AU21">
        <f t="shared" si="7"/>
        <v>76.599999999999994</v>
      </c>
      <c r="AV21" t="s">
        <v>104</v>
      </c>
      <c r="AW21">
        <f t="shared" si="8"/>
        <v>-5.7</v>
      </c>
      <c r="AX21">
        <f t="shared" si="9"/>
        <v>0.2</v>
      </c>
      <c r="AY21">
        <f t="shared" si="10"/>
        <v>-11.1</v>
      </c>
      <c r="AZ21">
        <f t="shared" si="11"/>
        <v>83.6</v>
      </c>
      <c r="BA21" t="s">
        <v>104</v>
      </c>
      <c r="BB21">
        <f t="shared" si="12"/>
        <v>-5.0999999999999996</v>
      </c>
      <c r="BC21">
        <f t="shared" si="13"/>
        <v>0.4</v>
      </c>
      <c r="BD21">
        <f t="shared" si="14"/>
        <v>-17.8</v>
      </c>
      <c r="BE21">
        <f t="shared" si="15"/>
        <v>65.099999999999994</v>
      </c>
      <c r="BF21" t="s">
        <v>104</v>
      </c>
      <c r="BG21">
        <f t="shared" si="16"/>
        <v>-6.7</v>
      </c>
      <c r="BH21">
        <f t="shared" si="17"/>
        <v>0</v>
      </c>
      <c r="BI21">
        <f t="shared" si="18"/>
        <v>0.67</v>
      </c>
      <c r="BJ21">
        <f t="shared" si="19"/>
        <v>1.75</v>
      </c>
      <c r="BK21">
        <f t="shared" si="20"/>
        <v>0.52299999999999991</v>
      </c>
      <c r="BL21">
        <f t="shared" si="21"/>
        <v>3.9</v>
      </c>
      <c r="BM21">
        <f t="shared" si="22"/>
        <v>0.17</v>
      </c>
      <c r="BN21">
        <f t="shared" si="23"/>
        <v>9.0999999999999998E-2</v>
      </c>
    </row>
    <row r="22" spans="1:66" x14ac:dyDescent="0.25">
      <c r="A22">
        <v>2024</v>
      </c>
      <c r="B22" s="1">
        <f t="shared" si="24"/>
        <v>45308</v>
      </c>
      <c r="C22">
        <v>17</v>
      </c>
      <c r="D22">
        <v>70</v>
      </c>
      <c r="E22" s="6">
        <v>12.85</v>
      </c>
      <c r="F22" s="6">
        <v>-14.59</v>
      </c>
      <c r="G22" s="6">
        <v>-12.25</v>
      </c>
      <c r="H22" s="6">
        <v>-19.14</v>
      </c>
      <c r="I22" s="6">
        <v>0.13200000000000001</v>
      </c>
      <c r="J22" s="6">
        <v>-14.2</v>
      </c>
      <c r="K22" s="6">
        <v>80.8</v>
      </c>
      <c r="L22" s="6"/>
      <c r="M22" s="6">
        <v>-4.9450000000000003</v>
      </c>
      <c r="N22" s="6">
        <v>0.10199999999999999</v>
      </c>
      <c r="O22" s="6">
        <v>-11.86</v>
      </c>
      <c r="P22" s="6">
        <v>84.7</v>
      </c>
      <c r="Q22" s="6"/>
      <c r="R22" s="6">
        <v>-4.556</v>
      </c>
      <c r="S22" s="6">
        <v>0.32500000000000001</v>
      </c>
      <c r="T22" s="6">
        <v>-17.91</v>
      </c>
      <c r="U22" s="6">
        <v>74.7</v>
      </c>
      <c r="V22" s="6"/>
      <c r="W22" s="6">
        <v>-5.3570000000000002</v>
      </c>
      <c r="X22" s="6">
        <v>-0.20399999999999999</v>
      </c>
      <c r="Y22" s="6">
        <v>0.24199999999999999</v>
      </c>
      <c r="Z22" s="6">
        <v>1.2470000000000001</v>
      </c>
      <c r="AA22" s="6">
        <v>0</v>
      </c>
      <c r="AB22" s="6">
        <v>1.4450000000000001</v>
      </c>
      <c r="AC22" s="6">
        <v>-12.16</v>
      </c>
      <c r="AD22" s="6">
        <v>-18.93</v>
      </c>
      <c r="AE22" s="6">
        <v>8.0000000000000002E-3</v>
      </c>
      <c r="AF22" s="6">
        <v>6.0000000000000001E-3</v>
      </c>
      <c r="AG22" s="6">
        <v>1.488</v>
      </c>
      <c r="AH22" s="6"/>
      <c r="AI22" s="6">
        <f t="shared" si="0"/>
        <v>0.60499999999999976</v>
      </c>
      <c r="AJ22">
        <f t="shared" si="1"/>
        <v>10.7</v>
      </c>
      <c r="AK22" s="21">
        <f t="shared" si="25"/>
        <v>10.7</v>
      </c>
      <c r="AL22">
        <f t="shared" si="26"/>
        <v>60</v>
      </c>
      <c r="AM22" s="4">
        <v>5.66</v>
      </c>
      <c r="AN22">
        <v>0.12</v>
      </c>
      <c r="AP22" s="7">
        <f t="shared" si="3"/>
        <v>0.184</v>
      </c>
      <c r="AQ22" s="7">
        <f t="shared" si="4"/>
        <v>6.2E-2</v>
      </c>
      <c r="AS22">
        <f t="shared" si="5"/>
        <v>0.12</v>
      </c>
      <c r="AT22">
        <f t="shared" si="6"/>
        <v>-14.2</v>
      </c>
      <c r="AU22">
        <f t="shared" si="7"/>
        <v>80.8</v>
      </c>
      <c r="AV22" t="s">
        <v>104</v>
      </c>
      <c r="AW22">
        <f t="shared" si="8"/>
        <v>-4.9000000000000004</v>
      </c>
      <c r="AX22">
        <f t="shared" si="9"/>
        <v>0.1</v>
      </c>
      <c r="AY22">
        <f t="shared" si="10"/>
        <v>-11.9</v>
      </c>
      <c r="AZ22">
        <f t="shared" si="11"/>
        <v>84.7</v>
      </c>
      <c r="BA22" t="s">
        <v>104</v>
      </c>
      <c r="BB22">
        <f t="shared" si="12"/>
        <v>-4.5999999999999996</v>
      </c>
      <c r="BC22">
        <f t="shared" si="13"/>
        <v>0.3</v>
      </c>
      <c r="BD22">
        <f t="shared" si="14"/>
        <v>-17.899999999999999</v>
      </c>
      <c r="BE22">
        <f t="shared" si="15"/>
        <v>74.7</v>
      </c>
      <c r="BF22" t="s">
        <v>104</v>
      </c>
      <c r="BG22">
        <f t="shared" si="16"/>
        <v>-5.4</v>
      </c>
      <c r="BH22">
        <f t="shared" si="17"/>
        <v>-0.2</v>
      </c>
      <c r="BI22">
        <f t="shared" si="18"/>
        <v>0.24</v>
      </c>
      <c r="BJ22">
        <f t="shared" si="19"/>
        <v>1.25</v>
      </c>
      <c r="BK22">
        <f t="shared" si="20"/>
        <v>0.60499999999999976</v>
      </c>
      <c r="BL22">
        <f t="shared" si="21"/>
        <v>10.7</v>
      </c>
      <c r="BM22">
        <f t="shared" si="22"/>
        <v>0.184</v>
      </c>
      <c r="BN22">
        <f t="shared" si="23"/>
        <v>6.2E-2</v>
      </c>
    </row>
    <row r="23" spans="1:66" x14ac:dyDescent="0.25">
      <c r="A23">
        <v>2024</v>
      </c>
      <c r="B23" s="1">
        <f t="shared" si="24"/>
        <v>45309</v>
      </c>
      <c r="C23">
        <v>18</v>
      </c>
      <c r="D23">
        <v>70</v>
      </c>
      <c r="E23" s="6">
        <v>13.02</v>
      </c>
      <c r="F23" s="6">
        <v>-13.55</v>
      </c>
      <c r="G23" s="6">
        <v>-8.9600000000000009</v>
      </c>
      <c r="H23" s="6">
        <v>-17.52</v>
      </c>
      <c r="I23" s="6">
        <v>0.50700000000000001</v>
      </c>
      <c r="J23" s="6">
        <v>-12.59</v>
      </c>
      <c r="K23" s="6">
        <v>77.900000000000006</v>
      </c>
      <c r="L23" s="6"/>
      <c r="M23" s="6">
        <v>-4.5579999999999998</v>
      </c>
      <c r="N23" s="6">
        <v>0.156</v>
      </c>
      <c r="O23" s="6">
        <v>-8.09</v>
      </c>
      <c r="P23" s="6">
        <v>82.8</v>
      </c>
      <c r="Q23" s="6"/>
      <c r="R23" s="6">
        <v>-3.931</v>
      </c>
      <c r="S23" s="6">
        <v>0.72699999999999998</v>
      </c>
      <c r="T23" s="6">
        <v>-16.02</v>
      </c>
      <c r="U23" s="6">
        <v>62.75</v>
      </c>
      <c r="V23" s="6"/>
      <c r="W23" s="6">
        <v>-5.0629999999999997</v>
      </c>
      <c r="X23" s="6">
        <v>-0.19500000000000001</v>
      </c>
      <c r="Y23" s="6">
        <v>0.48899999999999999</v>
      </c>
      <c r="Z23" s="6">
        <v>1.78</v>
      </c>
      <c r="AA23" s="6">
        <v>0</v>
      </c>
      <c r="AB23" s="6">
        <v>1.4630000000000001</v>
      </c>
      <c r="AC23" s="6">
        <v>-8.67</v>
      </c>
      <c r="AD23" s="6">
        <v>-17.899999999999999</v>
      </c>
      <c r="AE23" s="6">
        <v>8.0000000000000002E-3</v>
      </c>
      <c r="AF23" s="6">
        <v>6.0000000000000001E-3</v>
      </c>
      <c r="AG23" s="6">
        <v>1.4910000000000001</v>
      </c>
      <c r="AH23" s="6"/>
      <c r="AI23" s="6">
        <f t="shared" si="0"/>
        <v>0.58699999999999974</v>
      </c>
      <c r="AJ23">
        <f t="shared" si="1"/>
        <v>0</v>
      </c>
      <c r="AK23" s="21">
        <f t="shared" si="25"/>
        <v>0</v>
      </c>
      <c r="AL23">
        <f t="shared" si="26"/>
        <v>60</v>
      </c>
      <c r="AM23" s="4">
        <v>5.75</v>
      </c>
      <c r="AN23">
        <v>0.5</v>
      </c>
      <c r="AP23" s="7">
        <f t="shared" si="3"/>
        <v>0.20799999999999999</v>
      </c>
      <c r="AQ23" s="7">
        <f t="shared" si="4"/>
        <v>0.123</v>
      </c>
      <c r="AS23">
        <f t="shared" si="5"/>
        <v>0.5</v>
      </c>
      <c r="AT23">
        <f t="shared" si="6"/>
        <v>-12.6</v>
      </c>
      <c r="AU23">
        <f t="shared" si="7"/>
        <v>77.900000000000006</v>
      </c>
      <c r="AV23" t="s">
        <v>104</v>
      </c>
      <c r="AW23">
        <f t="shared" si="8"/>
        <v>-4.5999999999999996</v>
      </c>
      <c r="AX23">
        <f t="shared" si="9"/>
        <v>0.2</v>
      </c>
      <c r="AY23">
        <f t="shared" si="10"/>
        <v>-8.1</v>
      </c>
      <c r="AZ23">
        <f t="shared" si="11"/>
        <v>82.8</v>
      </c>
      <c r="BA23" t="s">
        <v>104</v>
      </c>
      <c r="BB23">
        <f t="shared" si="12"/>
        <v>-3.9</v>
      </c>
      <c r="BC23">
        <f t="shared" si="13"/>
        <v>0.7</v>
      </c>
      <c r="BD23">
        <f t="shared" si="14"/>
        <v>-16</v>
      </c>
      <c r="BE23">
        <f t="shared" si="15"/>
        <v>62.8</v>
      </c>
      <c r="BF23" t="s">
        <v>104</v>
      </c>
      <c r="BG23">
        <f t="shared" si="16"/>
        <v>-5.0999999999999996</v>
      </c>
      <c r="BH23">
        <f t="shared" si="17"/>
        <v>-0.2</v>
      </c>
      <c r="BI23">
        <f t="shared" si="18"/>
        <v>0.49</v>
      </c>
      <c r="BJ23">
        <f t="shared" si="19"/>
        <v>1.78</v>
      </c>
      <c r="BK23">
        <f t="shared" si="20"/>
        <v>0.58699999999999974</v>
      </c>
      <c r="BL23">
        <f t="shared" si="21"/>
        <v>0</v>
      </c>
      <c r="BM23">
        <f t="shared" si="22"/>
        <v>0.20799999999999999</v>
      </c>
      <c r="BN23">
        <f t="shared" si="23"/>
        <v>0.123</v>
      </c>
    </row>
    <row r="24" spans="1:66" x14ac:dyDescent="0.25">
      <c r="A24">
        <v>2024</v>
      </c>
      <c r="B24" s="1">
        <f t="shared" si="24"/>
        <v>45310</v>
      </c>
      <c r="C24">
        <v>19</v>
      </c>
      <c r="D24">
        <v>70</v>
      </c>
      <c r="E24" s="6">
        <v>12.84</v>
      </c>
      <c r="F24" s="6">
        <v>-7.11</v>
      </c>
      <c r="G24" s="6">
        <v>-4.0819999999999999</v>
      </c>
      <c r="H24" s="6">
        <v>-11.8</v>
      </c>
      <c r="I24" s="6">
        <v>0.14399999999999999</v>
      </c>
      <c r="J24" s="6">
        <v>-6.4969999999999999</v>
      </c>
      <c r="K24" s="6">
        <v>83</v>
      </c>
      <c r="L24" s="6"/>
      <c r="M24" s="6">
        <v>-3.3620000000000001</v>
      </c>
      <c r="N24" s="6">
        <v>0.193</v>
      </c>
      <c r="O24" s="6">
        <v>-3.2629999999999999</v>
      </c>
      <c r="P24" s="6">
        <v>88.5</v>
      </c>
      <c r="Q24" s="6"/>
      <c r="R24" s="6">
        <v>-2.5379999999999998</v>
      </c>
      <c r="S24" s="6">
        <v>0.54800000000000004</v>
      </c>
      <c r="T24" s="6">
        <v>-10.71</v>
      </c>
      <c r="U24" s="6">
        <v>68.2</v>
      </c>
      <c r="V24" s="6"/>
      <c r="W24" s="6">
        <v>-4.2919999999999998</v>
      </c>
      <c r="X24" s="6">
        <v>-2E-3</v>
      </c>
      <c r="Y24" s="6">
        <v>0.80400000000000005</v>
      </c>
      <c r="Z24" s="6">
        <v>2.3540000000000001</v>
      </c>
      <c r="AA24" s="6">
        <v>0</v>
      </c>
      <c r="AB24" s="6">
        <v>1.4059999999999999</v>
      </c>
      <c r="AC24" s="6">
        <v>-4.0279999999999996</v>
      </c>
      <c r="AD24" s="6">
        <v>-11.72</v>
      </c>
      <c r="AE24" s="6">
        <v>8.9999999999999993E-3</v>
      </c>
      <c r="AF24" s="6">
        <v>6.0000000000000001E-3</v>
      </c>
      <c r="AG24" s="6">
        <v>1.415</v>
      </c>
      <c r="AH24" s="6"/>
      <c r="AI24" s="6">
        <f t="shared" si="0"/>
        <v>0.64399999999999991</v>
      </c>
      <c r="AJ24">
        <f t="shared" si="1"/>
        <v>7.4</v>
      </c>
      <c r="AK24" s="21">
        <f t="shared" si="25"/>
        <v>7.4</v>
      </c>
      <c r="AL24">
        <f t="shared" si="26"/>
        <v>67.400000000000006</v>
      </c>
      <c r="AM24" s="4">
        <v>5.85</v>
      </c>
      <c r="AN24">
        <v>0.14000000000000001</v>
      </c>
      <c r="AP24" s="7">
        <f t="shared" si="3"/>
        <v>0.32700000000000001</v>
      </c>
      <c r="AQ24" s="7">
        <f t="shared" si="4"/>
        <v>0.152</v>
      </c>
      <c r="AS24">
        <f t="shared" si="5"/>
        <v>0.14000000000000001</v>
      </c>
      <c r="AT24">
        <f t="shared" si="6"/>
        <v>-6.5</v>
      </c>
      <c r="AU24">
        <f t="shared" si="7"/>
        <v>83</v>
      </c>
      <c r="AV24" t="s">
        <v>104</v>
      </c>
      <c r="AW24">
        <f t="shared" si="8"/>
        <v>-3.4</v>
      </c>
      <c r="AX24">
        <f t="shared" si="9"/>
        <v>0.2</v>
      </c>
      <c r="AY24">
        <f t="shared" si="10"/>
        <v>-3.3</v>
      </c>
      <c r="AZ24">
        <f t="shared" si="11"/>
        <v>88.5</v>
      </c>
      <c r="BA24" t="s">
        <v>104</v>
      </c>
      <c r="BB24">
        <f t="shared" si="12"/>
        <v>-2.5</v>
      </c>
      <c r="BC24">
        <f t="shared" si="13"/>
        <v>0.5</v>
      </c>
      <c r="BD24">
        <f t="shared" si="14"/>
        <v>-10.7</v>
      </c>
      <c r="BE24">
        <f t="shared" si="15"/>
        <v>68.2</v>
      </c>
      <c r="BF24" t="s">
        <v>104</v>
      </c>
      <c r="BG24">
        <f t="shared" si="16"/>
        <v>-4.3</v>
      </c>
      <c r="BH24">
        <f t="shared" si="17"/>
        <v>0</v>
      </c>
      <c r="BI24">
        <f t="shared" si="18"/>
        <v>0.8</v>
      </c>
      <c r="BJ24">
        <f t="shared" si="19"/>
        <v>2.35</v>
      </c>
      <c r="BK24">
        <f t="shared" si="20"/>
        <v>0.64399999999999991</v>
      </c>
      <c r="BL24">
        <f t="shared" si="21"/>
        <v>7.4</v>
      </c>
      <c r="BM24">
        <f t="shared" si="22"/>
        <v>0.32700000000000001</v>
      </c>
      <c r="BN24">
        <f t="shared" si="23"/>
        <v>0.152</v>
      </c>
    </row>
    <row r="25" spans="1:66" x14ac:dyDescent="0.25">
      <c r="A25">
        <v>2024</v>
      </c>
      <c r="B25" s="1">
        <f t="shared" si="24"/>
        <v>45311</v>
      </c>
      <c r="C25">
        <v>20</v>
      </c>
      <c r="D25">
        <v>70</v>
      </c>
      <c r="E25" s="6">
        <v>12.97</v>
      </c>
      <c r="F25" s="6">
        <v>-1.651</v>
      </c>
      <c r="G25" s="6">
        <v>2.6190000000000002</v>
      </c>
      <c r="H25" s="6">
        <v>-4.5620000000000003</v>
      </c>
      <c r="I25" s="6">
        <v>0.85399999999999998</v>
      </c>
      <c r="J25" s="6">
        <v>-1.008</v>
      </c>
      <c r="K25" s="6">
        <v>87.6</v>
      </c>
      <c r="L25" s="6"/>
      <c r="M25" s="6">
        <v>-1.611</v>
      </c>
      <c r="N25" s="6">
        <v>0.24399999999999999</v>
      </c>
      <c r="O25" s="6">
        <v>3.6520000000000001</v>
      </c>
      <c r="P25" s="6">
        <v>92.8</v>
      </c>
      <c r="Q25" s="6"/>
      <c r="R25" s="6">
        <v>-0.80800000000000005</v>
      </c>
      <c r="S25" s="6">
        <v>0.89700000000000002</v>
      </c>
      <c r="T25" s="6">
        <v>-4.34</v>
      </c>
      <c r="U25" s="6">
        <v>70.8</v>
      </c>
      <c r="V25" s="6"/>
      <c r="W25" s="6">
        <v>-2.6019999999999999</v>
      </c>
      <c r="X25" s="6">
        <v>1.4E-2</v>
      </c>
      <c r="Y25" s="6">
        <v>0.54700000000000004</v>
      </c>
      <c r="Z25" s="6">
        <v>2.2069999999999999</v>
      </c>
      <c r="AA25" s="6">
        <v>0.5</v>
      </c>
      <c r="AB25" s="6">
        <v>1.427</v>
      </c>
      <c r="AC25" s="6">
        <v>3.0670000000000002</v>
      </c>
      <c r="AD25" s="6">
        <v>-4.468</v>
      </c>
      <c r="AE25" s="6">
        <v>8.9999999999999993E-3</v>
      </c>
      <c r="AF25" s="6">
        <v>6.0000000000000001E-3</v>
      </c>
      <c r="AG25" s="6">
        <v>1.423</v>
      </c>
      <c r="AH25" s="6"/>
      <c r="AI25" s="6">
        <f t="shared" si="0"/>
        <v>0.62299999999999978</v>
      </c>
      <c r="AJ25">
        <f t="shared" si="1"/>
        <v>0</v>
      </c>
      <c r="AK25" s="21">
        <f t="shared" si="25"/>
        <v>0</v>
      </c>
      <c r="AL25">
        <f t="shared" si="26"/>
        <v>67.400000000000006</v>
      </c>
      <c r="AM25" s="4">
        <v>5.96</v>
      </c>
      <c r="AN25">
        <v>0.84</v>
      </c>
      <c r="AP25" s="7">
        <f t="shared" si="3"/>
        <v>0.56200000000000006</v>
      </c>
      <c r="AQ25" s="7">
        <f t="shared" si="4"/>
        <v>0.23200000000000001</v>
      </c>
      <c r="AS25">
        <f t="shared" si="5"/>
        <v>0.84</v>
      </c>
      <c r="AT25">
        <f t="shared" si="6"/>
        <v>-1</v>
      </c>
      <c r="AU25">
        <f t="shared" si="7"/>
        <v>87.6</v>
      </c>
      <c r="AV25" t="s">
        <v>104</v>
      </c>
      <c r="AW25">
        <f t="shared" si="8"/>
        <v>-1.6</v>
      </c>
      <c r="AX25">
        <f t="shared" si="9"/>
        <v>0.2</v>
      </c>
      <c r="AY25">
        <f t="shared" si="10"/>
        <v>3.7</v>
      </c>
      <c r="AZ25">
        <f t="shared" si="11"/>
        <v>92.8</v>
      </c>
      <c r="BA25" t="s">
        <v>104</v>
      </c>
      <c r="BB25">
        <f t="shared" si="12"/>
        <v>-0.8</v>
      </c>
      <c r="BC25">
        <f t="shared" si="13"/>
        <v>0.9</v>
      </c>
      <c r="BD25">
        <f t="shared" si="14"/>
        <v>-4.3</v>
      </c>
      <c r="BE25">
        <f t="shared" si="15"/>
        <v>70.8</v>
      </c>
      <c r="BF25" t="s">
        <v>104</v>
      </c>
      <c r="BG25">
        <f t="shared" si="16"/>
        <v>-2.6</v>
      </c>
      <c r="BH25">
        <f t="shared" si="17"/>
        <v>0</v>
      </c>
      <c r="BI25">
        <f t="shared" si="18"/>
        <v>0.55000000000000004</v>
      </c>
      <c r="BJ25">
        <f t="shared" si="19"/>
        <v>2.21</v>
      </c>
      <c r="BK25">
        <f t="shared" si="20"/>
        <v>0.62299999999999978</v>
      </c>
      <c r="BL25">
        <f t="shared" si="21"/>
        <v>0</v>
      </c>
      <c r="BM25">
        <f t="shared" si="22"/>
        <v>0.56200000000000006</v>
      </c>
      <c r="BN25">
        <f t="shared" si="23"/>
        <v>0.23200000000000001</v>
      </c>
    </row>
    <row r="26" spans="1:66" x14ac:dyDescent="0.25">
      <c r="A26">
        <v>2024</v>
      </c>
      <c r="B26" s="1">
        <f t="shared" si="24"/>
        <v>45312</v>
      </c>
      <c r="C26">
        <v>21</v>
      </c>
      <c r="D26">
        <v>70</v>
      </c>
      <c r="E26" s="6">
        <v>12.83</v>
      </c>
      <c r="F26" s="6">
        <v>0.11700000000000001</v>
      </c>
      <c r="G26" s="6">
        <v>1.925</v>
      </c>
      <c r="H26" s="6">
        <v>-0.78800000000000003</v>
      </c>
      <c r="I26" s="6">
        <v>1.7689999999999999</v>
      </c>
      <c r="J26" s="6">
        <v>0.96499999999999997</v>
      </c>
      <c r="K26" s="6">
        <v>87.9</v>
      </c>
      <c r="L26" s="6"/>
      <c r="M26" s="6">
        <v>-0.498</v>
      </c>
      <c r="N26" s="6">
        <v>0.27200000000000002</v>
      </c>
      <c r="O26" s="6">
        <v>3.7869999999999999</v>
      </c>
      <c r="P26" s="6">
        <v>91.9</v>
      </c>
      <c r="Q26" s="6"/>
      <c r="R26" s="6">
        <v>-0.121</v>
      </c>
      <c r="S26" s="6">
        <v>0.57999999999999996</v>
      </c>
      <c r="T26" s="6">
        <v>0.155</v>
      </c>
      <c r="U26" s="6">
        <v>75.5</v>
      </c>
      <c r="V26" s="6"/>
      <c r="W26" s="6">
        <v>-0.91300000000000003</v>
      </c>
      <c r="X26" s="6">
        <v>0.14399999999999999</v>
      </c>
      <c r="Y26" s="6">
        <v>0.68100000000000005</v>
      </c>
      <c r="Z26" s="6">
        <v>2.0339999999999998</v>
      </c>
      <c r="AA26" s="6">
        <v>0.7</v>
      </c>
      <c r="AB26" s="6">
        <v>1.4510000000000001</v>
      </c>
      <c r="AC26" s="6">
        <v>2.133</v>
      </c>
      <c r="AD26" s="6">
        <v>-0.60699999999999998</v>
      </c>
      <c r="AE26" s="6">
        <v>8.9999999999999993E-3</v>
      </c>
      <c r="AF26" s="6">
        <v>7.0000000000000001E-3</v>
      </c>
      <c r="AG26" s="6">
        <v>1.4490000000000001</v>
      </c>
      <c r="AH26" s="6"/>
      <c r="AI26" s="6">
        <f t="shared" si="0"/>
        <v>0.59899999999999975</v>
      </c>
      <c r="AJ26">
        <f t="shared" si="1"/>
        <v>0</v>
      </c>
      <c r="AK26" s="21">
        <f t="shared" si="25"/>
        <v>0</v>
      </c>
      <c r="AL26">
        <f t="shared" si="26"/>
        <v>67.400000000000006</v>
      </c>
      <c r="AM26" s="4">
        <v>6.06</v>
      </c>
      <c r="AN26">
        <v>1.75</v>
      </c>
      <c r="AP26" s="7">
        <f t="shared" si="3"/>
        <v>0.60499999999999998</v>
      </c>
      <c r="AQ26" s="7">
        <f t="shared" si="4"/>
        <v>0.19600000000000001</v>
      </c>
      <c r="AS26">
        <f t="shared" si="5"/>
        <v>1.75</v>
      </c>
      <c r="AT26">
        <f t="shared" si="6"/>
        <v>1</v>
      </c>
      <c r="AU26">
        <f t="shared" si="7"/>
        <v>87.9</v>
      </c>
      <c r="AV26" t="s">
        <v>104</v>
      </c>
      <c r="AW26">
        <f t="shared" si="8"/>
        <v>-0.5</v>
      </c>
      <c r="AX26">
        <f t="shared" si="9"/>
        <v>0.3</v>
      </c>
      <c r="AY26">
        <f t="shared" si="10"/>
        <v>3.8</v>
      </c>
      <c r="AZ26">
        <f t="shared" si="11"/>
        <v>91.9</v>
      </c>
      <c r="BA26" t="s">
        <v>104</v>
      </c>
      <c r="BB26">
        <f t="shared" si="12"/>
        <v>-0.1</v>
      </c>
      <c r="BC26">
        <f t="shared" si="13"/>
        <v>0.6</v>
      </c>
      <c r="BD26">
        <f t="shared" si="14"/>
        <v>0.2</v>
      </c>
      <c r="BE26">
        <f t="shared" si="15"/>
        <v>75.5</v>
      </c>
      <c r="BF26" t="s">
        <v>104</v>
      </c>
      <c r="BG26">
        <f t="shared" si="16"/>
        <v>-0.9</v>
      </c>
      <c r="BH26">
        <f t="shared" si="17"/>
        <v>0.1</v>
      </c>
      <c r="BI26">
        <f t="shared" si="18"/>
        <v>0.68</v>
      </c>
      <c r="BJ26">
        <f t="shared" si="19"/>
        <v>2.0299999999999998</v>
      </c>
      <c r="BK26">
        <f t="shared" si="20"/>
        <v>0.59899999999999975</v>
      </c>
      <c r="BL26">
        <f t="shared" si="21"/>
        <v>0</v>
      </c>
      <c r="BM26">
        <f t="shared" si="22"/>
        <v>0.60499999999999998</v>
      </c>
      <c r="BN26">
        <f t="shared" si="23"/>
        <v>0.19600000000000001</v>
      </c>
    </row>
    <row r="27" spans="1:66" x14ac:dyDescent="0.25">
      <c r="A27">
        <v>2024</v>
      </c>
      <c r="B27" s="1">
        <f t="shared" si="24"/>
        <v>45313</v>
      </c>
      <c r="C27">
        <v>22</v>
      </c>
      <c r="D27">
        <v>70</v>
      </c>
      <c r="E27" s="6">
        <v>12.79</v>
      </c>
      <c r="F27" s="6">
        <v>0.124</v>
      </c>
      <c r="G27" s="6">
        <v>0.93400000000000005</v>
      </c>
      <c r="H27" s="6">
        <v>-1.01</v>
      </c>
      <c r="I27" s="6">
        <v>1.0549999999999999</v>
      </c>
      <c r="J27" s="6">
        <v>1.0029999999999999</v>
      </c>
      <c r="K27" s="6">
        <v>89.4</v>
      </c>
      <c r="L27" s="6"/>
      <c r="M27" s="6">
        <v>-0.129</v>
      </c>
      <c r="N27" s="6">
        <v>0.27800000000000002</v>
      </c>
      <c r="O27" s="6">
        <v>2.105</v>
      </c>
      <c r="P27" s="6">
        <v>93.4</v>
      </c>
      <c r="Q27" s="6"/>
      <c r="R27" s="6">
        <v>8.5000000000000006E-2</v>
      </c>
      <c r="S27" s="6">
        <v>0.40500000000000003</v>
      </c>
      <c r="T27" s="6">
        <v>-4.7E-2</v>
      </c>
      <c r="U27" s="6">
        <v>82</v>
      </c>
      <c r="V27" s="6"/>
      <c r="W27" s="6">
        <v>-0.42099999999999999</v>
      </c>
      <c r="X27" s="6">
        <v>0.16200000000000001</v>
      </c>
      <c r="Y27" s="6">
        <v>0.69499999999999995</v>
      </c>
      <c r="Z27" s="6">
        <v>1.994</v>
      </c>
      <c r="AA27" s="6">
        <v>3.9</v>
      </c>
      <c r="AB27" s="6">
        <v>1.444</v>
      </c>
      <c r="AC27" s="6">
        <v>1.0529999999999999</v>
      </c>
      <c r="AD27" s="6">
        <v>-0.85599999999999998</v>
      </c>
      <c r="AE27" s="6">
        <v>8.9999999999999993E-3</v>
      </c>
      <c r="AF27" s="6">
        <v>7.0000000000000001E-3</v>
      </c>
      <c r="AG27" s="6">
        <v>1.44</v>
      </c>
      <c r="AH27" s="6"/>
      <c r="AI27" s="6">
        <f t="shared" si="0"/>
        <v>0.60599999999999987</v>
      </c>
      <c r="AJ27">
        <f t="shared" si="1"/>
        <v>0.9</v>
      </c>
      <c r="AK27" s="21">
        <f t="shared" si="25"/>
        <v>0.9</v>
      </c>
      <c r="AL27">
        <f t="shared" si="26"/>
        <v>68.300000000000011</v>
      </c>
      <c r="AM27" s="4">
        <v>6.17</v>
      </c>
      <c r="AN27">
        <v>1.05</v>
      </c>
      <c r="AP27" s="7">
        <f t="shared" si="3"/>
        <v>0.58299999999999996</v>
      </c>
      <c r="AQ27" s="7">
        <f t="shared" si="4"/>
        <v>0.128</v>
      </c>
      <c r="AS27">
        <f t="shared" si="5"/>
        <v>1.05</v>
      </c>
      <c r="AT27">
        <f t="shared" si="6"/>
        <v>1</v>
      </c>
      <c r="AU27">
        <f t="shared" si="7"/>
        <v>89.4</v>
      </c>
      <c r="AV27" t="s">
        <v>104</v>
      </c>
      <c r="AW27">
        <f t="shared" si="8"/>
        <v>-0.1</v>
      </c>
      <c r="AX27">
        <f t="shared" si="9"/>
        <v>0.3</v>
      </c>
      <c r="AY27">
        <f t="shared" si="10"/>
        <v>2.1</v>
      </c>
      <c r="AZ27">
        <f t="shared" si="11"/>
        <v>93.4</v>
      </c>
      <c r="BA27" t="s">
        <v>104</v>
      </c>
      <c r="BB27">
        <f t="shared" si="12"/>
        <v>0.1</v>
      </c>
      <c r="BC27">
        <f t="shared" si="13"/>
        <v>0.4</v>
      </c>
      <c r="BD27">
        <f t="shared" si="14"/>
        <v>0</v>
      </c>
      <c r="BE27">
        <f t="shared" si="15"/>
        <v>82</v>
      </c>
      <c r="BF27" t="s">
        <v>104</v>
      </c>
      <c r="BG27">
        <f t="shared" si="16"/>
        <v>-0.4</v>
      </c>
      <c r="BH27">
        <f t="shared" si="17"/>
        <v>0.2</v>
      </c>
      <c r="BI27">
        <f t="shared" si="18"/>
        <v>0.7</v>
      </c>
      <c r="BJ27">
        <f t="shared" si="19"/>
        <v>1.99</v>
      </c>
      <c r="BK27">
        <f t="shared" si="20"/>
        <v>0.60599999999999987</v>
      </c>
      <c r="BL27">
        <f t="shared" si="21"/>
        <v>0.9</v>
      </c>
      <c r="BM27">
        <f t="shared" si="22"/>
        <v>0.58299999999999996</v>
      </c>
      <c r="BN27">
        <f t="shared" si="23"/>
        <v>0.128</v>
      </c>
    </row>
    <row r="28" spans="1:66" x14ac:dyDescent="0.25">
      <c r="A28">
        <v>2024</v>
      </c>
      <c r="B28" s="1">
        <f t="shared" si="24"/>
        <v>45314</v>
      </c>
      <c r="C28">
        <v>23</v>
      </c>
      <c r="D28">
        <v>70</v>
      </c>
      <c r="E28" s="6">
        <v>12.8</v>
      </c>
      <c r="F28" s="6">
        <v>0.03</v>
      </c>
      <c r="G28" s="6">
        <v>3.3620000000000001</v>
      </c>
      <c r="H28" s="6">
        <v>-2.6190000000000002</v>
      </c>
      <c r="I28" s="6">
        <v>2.71</v>
      </c>
      <c r="J28" s="6">
        <v>1.1579999999999999</v>
      </c>
      <c r="K28" s="6">
        <v>90.6</v>
      </c>
      <c r="L28" s="6"/>
      <c r="M28" s="6">
        <v>0.02</v>
      </c>
      <c r="N28" s="6">
        <v>0.27500000000000002</v>
      </c>
      <c r="O28" s="6">
        <v>4.7949999999999999</v>
      </c>
      <c r="P28" s="6">
        <v>94.3</v>
      </c>
      <c r="Q28" s="6"/>
      <c r="R28" s="6">
        <v>0.32200000000000001</v>
      </c>
      <c r="S28" s="6">
        <v>0.61199999999999999</v>
      </c>
      <c r="T28" s="6">
        <v>-0.97799999999999998</v>
      </c>
      <c r="U28" s="6">
        <v>79.2</v>
      </c>
      <c r="V28" s="6"/>
      <c r="W28" s="6">
        <v>-0.20200000000000001</v>
      </c>
      <c r="X28" s="6">
        <v>6.6000000000000003E-2</v>
      </c>
      <c r="Y28" s="6">
        <v>0.52600000000000002</v>
      </c>
      <c r="Z28" s="6">
        <v>1.98</v>
      </c>
      <c r="AA28" s="6">
        <v>4.8</v>
      </c>
      <c r="AB28" s="6">
        <v>1.4650000000000001</v>
      </c>
      <c r="AC28" s="6">
        <v>3.5</v>
      </c>
      <c r="AD28" s="6">
        <v>-2.3620000000000001</v>
      </c>
      <c r="AE28" s="6">
        <v>8.9999999999999993E-3</v>
      </c>
      <c r="AF28" s="6">
        <v>7.0000000000000001E-3</v>
      </c>
      <c r="AG28" s="6">
        <v>1.4670000000000001</v>
      </c>
      <c r="AH28" s="6"/>
      <c r="AI28" s="6">
        <f t="shared" si="0"/>
        <v>0.58499999999999974</v>
      </c>
      <c r="AJ28">
        <f t="shared" si="1"/>
        <v>0</v>
      </c>
      <c r="AK28" s="21">
        <f t="shared" si="25"/>
        <v>0</v>
      </c>
      <c r="AL28">
        <f t="shared" si="26"/>
        <v>68.300000000000011</v>
      </c>
      <c r="AM28" s="4">
        <v>6.28</v>
      </c>
      <c r="AN28">
        <v>2.71</v>
      </c>
      <c r="AP28" s="7">
        <f t="shared" si="3"/>
        <v>0.68100000000000005</v>
      </c>
      <c r="AQ28" s="7">
        <f t="shared" si="4"/>
        <v>0.17899999999999999</v>
      </c>
      <c r="AS28">
        <f t="shared" si="5"/>
        <v>2.71</v>
      </c>
      <c r="AT28">
        <f t="shared" si="6"/>
        <v>1.2</v>
      </c>
      <c r="AU28">
        <f t="shared" si="7"/>
        <v>90.6</v>
      </c>
      <c r="AV28" t="s">
        <v>104</v>
      </c>
      <c r="AW28">
        <f t="shared" si="8"/>
        <v>0</v>
      </c>
      <c r="AX28">
        <f t="shared" si="9"/>
        <v>0.3</v>
      </c>
      <c r="AY28">
        <f t="shared" si="10"/>
        <v>4.8</v>
      </c>
      <c r="AZ28">
        <f t="shared" si="11"/>
        <v>94.3</v>
      </c>
      <c r="BA28" t="s">
        <v>104</v>
      </c>
      <c r="BB28">
        <f t="shared" si="12"/>
        <v>0.3</v>
      </c>
      <c r="BC28">
        <f t="shared" si="13"/>
        <v>0.6</v>
      </c>
      <c r="BD28">
        <f t="shared" si="14"/>
        <v>-1</v>
      </c>
      <c r="BE28">
        <f t="shared" si="15"/>
        <v>79.2</v>
      </c>
      <c r="BF28" t="s">
        <v>104</v>
      </c>
      <c r="BG28">
        <f t="shared" si="16"/>
        <v>-0.2</v>
      </c>
      <c r="BH28">
        <f t="shared" si="17"/>
        <v>0.1</v>
      </c>
      <c r="BI28">
        <f t="shared" si="18"/>
        <v>0.53</v>
      </c>
      <c r="BJ28">
        <f t="shared" si="19"/>
        <v>1.98</v>
      </c>
      <c r="BK28">
        <f t="shared" si="20"/>
        <v>0.58499999999999974</v>
      </c>
      <c r="BL28">
        <f t="shared" si="21"/>
        <v>0</v>
      </c>
      <c r="BM28">
        <f t="shared" si="22"/>
        <v>0.68100000000000005</v>
      </c>
      <c r="BN28">
        <f t="shared" si="23"/>
        <v>0.17899999999999999</v>
      </c>
    </row>
    <row r="29" spans="1:66" x14ac:dyDescent="0.25">
      <c r="A29">
        <v>2024</v>
      </c>
      <c r="B29" s="1">
        <f t="shared" si="24"/>
        <v>45315</v>
      </c>
      <c r="C29">
        <v>24</v>
      </c>
      <c r="D29">
        <v>70</v>
      </c>
      <c r="E29" s="6">
        <v>12.75</v>
      </c>
      <c r="F29" s="6">
        <v>-1.329</v>
      </c>
      <c r="G29" s="6">
        <v>0.221</v>
      </c>
      <c r="H29" s="6">
        <v>-3.7610000000000001</v>
      </c>
      <c r="I29" s="6">
        <v>1.403</v>
      </c>
      <c r="J29" s="6">
        <v>-0.18099999999999999</v>
      </c>
      <c r="K29" s="6">
        <v>89.3</v>
      </c>
      <c r="L29" s="6"/>
      <c r="M29" s="6">
        <v>-3.7999999999999999E-2</v>
      </c>
      <c r="N29" s="6">
        <v>0.26400000000000001</v>
      </c>
      <c r="O29" s="6">
        <v>2.98</v>
      </c>
      <c r="P29" s="6">
        <v>94.5</v>
      </c>
      <c r="Q29" s="6"/>
      <c r="R29" s="6">
        <v>0.19900000000000001</v>
      </c>
      <c r="S29" s="6">
        <v>0.48399999999999999</v>
      </c>
      <c r="T29" s="6">
        <v>-2.3260000000000001</v>
      </c>
      <c r="U29" s="6">
        <v>65.180000000000007</v>
      </c>
      <c r="V29" s="6"/>
      <c r="W29" s="6">
        <v>-0.45500000000000002</v>
      </c>
      <c r="X29" s="6">
        <v>-1.7000000000000001E-2</v>
      </c>
      <c r="Y29" s="6">
        <v>0.53600000000000003</v>
      </c>
      <c r="Z29" s="6">
        <v>2.6469999999999998</v>
      </c>
      <c r="AA29" s="6">
        <v>0.5</v>
      </c>
      <c r="AB29" s="6">
        <v>1.4219999999999999</v>
      </c>
      <c r="AC29" s="6">
        <v>0.30599999999999999</v>
      </c>
      <c r="AD29" s="6">
        <v>-3.548</v>
      </c>
      <c r="AE29" s="6">
        <v>8.9999999999999993E-3</v>
      </c>
      <c r="AF29" s="6">
        <v>7.0000000000000001E-3</v>
      </c>
      <c r="AG29" s="6">
        <v>1.427</v>
      </c>
      <c r="AH29" s="6"/>
      <c r="AI29" s="6">
        <f t="shared" si="0"/>
        <v>0.62799999999999989</v>
      </c>
      <c r="AJ29">
        <f t="shared" si="1"/>
        <v>5.6</v>
      </c>
      <c r="AK29" s="21">
        <f t="shared" si="25"/>
        <v>5.6</v>
      </c>
      <c r="AL29">
        <f t="shared" si="26"/>
        <v>73.900000000000006</v>
      </c>
      <c r="AM29" s="4">
        <v>6.4</v>
      </c>
      <c r="AN29">
        <v>1.4</v>
      </c>
      <c r="AP29" s="7">
        <f t="shared" si="3"/>
        <v>0.49299999999999999</v>
      </c>
      <c r="AQ29" s="7">
        <f t="shared" si="4"/>
        <v>0.26300000000000001</v>
      </c>
      <c r="AS29">
        <f t="shared" si="5"/>
        <v>1.4</v>
      </c>
      <c r="AT29">
        <f t="shared" si="6"/>
        <v>-0.2</v>
      </c>
      <c r="AU29">
        <f t="shared" si="7"/>
        <v>89.3</v>
      </c>
      <c r="AV29" t="s">
        <v>104</v>
      </c>
      <c r="AW29">
        <f t="shared" si="8"/>
        <v>0</v>
      </c>
      <c r="AX29">
        <f t="shared" si="9"/>
        <v>0.3</v>
      </c>
      <c r="AY29">
        <f t="shared" si="10"/>
        <v>3</v>
      </c>
      <c r="AZ29">
        <f t="shared" si="11"/>
        <v>94.5</v>
      </c>
      <c r="BA29" t="s">
        <v>104</v>
      </c>
      <c r="BB29">
        <f t="shared" si="12"/>
        <v>0.2</v>
      </c>
      <c r="BC29">
        <f t="shared" si="13"/>
        <v>0.5</v>
      </c>
      <c r="BD29">
        <f t="shared" si="14"/>
        <v>-2.2999999999999998</v>
      </c>
      <c r="BE29">
        <f t="shared" si="15"/>
        <v>65.2</v>
      </c>
      <c r="BF29" t="s">
        <v>104</v>
      </c>
      <c r="BG29">
        <f t="shared" si="16"/>
        <v>-0.5</v>
      </c>
      <c r="BH29">
        <f t="shared" si="17"/>
        <v>0</v>
      </c>
      <c r="BI29">
        <f t="shared" si="18"/>
        <v>0.54</v>
      </c>
      <c r="BJ29">
        <f t="shared" si="19"/>
        <v>2.65</v>
      </c>
      <c r="BK29">
        <f t="shared" si="20"/>
        <v>0.62799999999999989</v>
      </c>
      <c r="BL29">
        <f t="shared" si="21"/>
        <v>5.6</v>
      </c>
      <c r="BM29">
        <f t="shared" si="22"/>
        <v>0.49299999999999999</v>
      </c>
      <c r="BN29">
        <f t="shared" si="23"/>
        <v>0.26300000000000001</v>
      </c>
    </row>
    <row r="30" spans="1:66" x14ac:dyDescent="0.25">
      <c r="A30">
        <v>2024</v>
      </c>
      <c r="B30" s="1">
        <f t="shared" si="24"/>
        <v>45316</v>
      </c>
      <c r="C30">
        <v>25</v>
      </c>
      <c r="D30">
        <v>70</v>
      </c>
      <c r="E30" s="6">
        <v>12.77</v>
      </c>
      <c r="F30" s="6">
        <v>-1.8720000000000001</v>
      </c>
      <c r="G30" s="6">
        <v>1.597</v>
      </c>
      <c r="H30" s="6">
        <v>-4.843</v>
      </c>
      <c r="I30" s="6">
        <v>1.8420000000000001</v>
      </c>
      <c r="J30" s="6">
        <v>-0.499</v>
      </c>
      <c r="K30" s="6">
        <v>90.5</v>
      </c>
      <c r="L30" s="6"/>
      <c r="M30" s="6">
        <v>-0.16700000000000001</v>
      </c>
      <c r="N30" s="6">
        <v>0.29799999999999999</v>
      </c>
      <c r="O30" s="6">
        <v>3.6520000000000001</v>
      </c>
      <c r="P30" s="6">
        <v>94</v>
      </c>
      <c r="Q30" s="6"/>
      <c r="R30" s="6">
        <v>0.26500000000000001</v>
      </c>
      <c r="S30" s="6">
        <v>0.91400000000000003</v>
      </c>
      <c r="T30" s="6">
        <v>-3.129</v>
      </c>
      <c r="U30" s="6">
        <v>75.400000000000006</v>
      </c>
      <c r="V30" s="6"/>
      <c r="W30" s="6">
        <v>-0.55800000000000005</v>
      </c>
      <c r="X30" s="6">
        <v>-7.0000000000000001E-3</v>
      </c>
      <c r="Y30" s="6">
        <v>0.123</v>
      </c>
      <c r="Z30" s="6">
        <v>0.95399999999999996</v>
      </c>
      <c r="AA30" s="6">
        <v>0.9</v>
      </c>
      <c r="AB30" s="6">
        <v>1.4339999999999999</v>
      </c>
      <c r="AC30" s="6">
        <v>1.7170000000000001</v>
      </c>
      <c r="AD30" s="6">
        <v>-4.72</v>
      </c>
      <c r="AE30" s="6">
        <v>8.9999999999999993E-3</v>
      </c>
      <c r="AF30" s="6">
        <v>7.0000000000000001E-3</v>
      </c>
      <c r="AG30" s="6">
        <v>1.4350000000000001</v>
      </c>
      <c r="AH30" s="6"/>
      <c r="AI30" s="6">
        <f t="shared" si="0"/>
        <v>0.61599999999999988</v>
      </c>
      <c r="AJ30">
        <f t="shared" si="1"/>
        <v>0</v>
      </c>
      <c r="AK30" s="21">
        <f t="shared" si="25"/>
        <v>0</v>
      </c>
      <c r="AL30">
        <f t="shared" si="26"/>
        <v>73.900000000000006</v>
      </c>
      <c r="AM30" s="4">
        <v>6.52</v>
      </c>
      <c r="AN30">
        <v>1.84</v>
      </c>
      <c r="AP30" s="7">
        <f t="shared" si="3"/>
        <v>0.59799999999999998</v>
      </c>
      <c r="AQ30" s="7">
        <f t="shared" si="4"/>
        <v>0.19500000000000001</v>
      </c>
      <c r="AS30">
        <f t="shared" si="5"/>
        <v>1.84</v>
      </c>
      <c r="AT30">
        <f t="shared" si="6"/>
        <v>-0.5</v>
      </c>
      <c r="AU30">
        <f t="shared" si="7"/>
        <v>90.5</v>
      </c>
      <c r="AV30" t="s">
        <v>104</v>
      </c>
      <c r="AW30">
        <f t="shared" si="8"/>
        <v>-0.2</v>
      </c>
      <c r="AX30">
        <f t="shared" si="9"/>
        <v>0.3</v>
      </c>
      <c r="AY30">
        <f t="shared" si="10"/>
        <v>3.7</v>
      </c>
      <c r="AZ30">
        <f t="shared" si="11"/>
        <v>94</v>
      </c>
      <c r="BA30" t="s">
        <v>104</v>
      </c>
      <c r="BB30">
        <f t="shared" si="12"/>
        <v>0.3</v>
      </c>
      <c r="BC30">
        <f t="shared" si="13"/>
        <v>0.9</v>
      </c>
      <c r="BD30">
        <f t="shared" si="14"/>
        <v>-3.1</v>
      </c>
      <c r="BE30">
        <f t="shared" si="15"/>
        <v>75.400000000000006</v>
      </c>
      <c r="BF30" t="s">
        <v>104</v>
      </c>
      <c r="BG30">
        <f t="shared" si="16"/>
        <v>-0.6</v>
      </c>
      <c r="BH30">
        <f t="shared" si="17"/>
        <v>0</v>
      </c>
      <c r="BI30">
        <f t="shared" si="18"/>
        <v>0.12</v>
      </c>
      <c r="BJ30">
        <f t="shared" si="19"/>
        <v>0.95</v>
      </c>
      <c r="BK30">
        <f t="shared" si="20"/>
        <v>0.61599999999999988</v>
      </c>
      <c r="BL30">
        <f t="shared" si="21"/>
        <v>0</v>
      </c>
      <c r="BM30">
        <f t="shared" si="22"/>
        <v>0.59799999999999998</v>
      </c>
      <c r="BN30">
        <f t="shared" si="23"/>
        <v>0.19500000000000001</v>
      </c>
    </row>
    <row r="31" spans="1:66" x14ac:dyDescent="0.25">
      <c r="A31">
        <v>2024</v>
      </c>
      <c r="B31" s="1">
        <f t="shared" si="24"/>
        <v>45317</v>
      </c>
      <c r="C31">
        <v>26</v>
      </c>
      <c r="D31">
        <v>70</v>
      </c>
      <c r="E31" s="6">
        <v>12.82</v>
      </c>
      <c r="F31" s="6">
        <v>-0.72399999999999998</v>
      </c>
      <c r="G31" s="6">
        <v>1.79</v>
      </c>
      <c r="H31" s="6">
        <v>-3.2469999999999999</v>
      </c>
      <c r="I31" s="6">
        <v>2.6320000000000001</v>
      </c>
      <c r="J31" s="6">
        <v>0.378</v>
      </c>
      <c r="K31" s="6">
        <v>86.3</v>
      </c>
      <c r="L31" s="6"/>
      <c r="M31" s="6">
        <v>-0.10100000000000001</v>
      </c>
      <c r="N31" s="6">
        <v>0.32900000000000001</v>
      </c>
      <c r="O31" s="6">
        <v>4.6609999999999996</v>
      </c>
      <c r="P31" s="6">
        <v>93.8</v>
      </c>
      <c r="Q31" s="6"/>
      <c r="R31" s="6">
        <v>0.53800000000000003</v>
      </c>
      <c r="S31" s="6">
        <v>0.92100000000000004</v>
      </c>
      <c r="T31" s="6">
        <v>-1.9850000000000001</v>
      </c>
      <c r="U31" s="6">
        <v>67.87</v>
      </c>
      <c r="V31" s="6"/>
      <c r="W31" s="6">
        <v>-0.36699999999999999</v>
      </c>
      <c r="X31" s="6">
        <v>0.13300000000000001</v>
      </c>
      <c r="Y31" s="6">
        <v>0.66500000000000004</v>
      </c>
      <c r="Z31" s="6">
        <v>2.7669999999999999</v>
      </c>
      <c r="AA31" s="6">
        <v>0.5</v>
      </c>
      <c r="AB31" s="6">
        <v>1.4319999999999999</v>
      </c>
      <c r="AC31" s="6">
        <v>2.0699999999999998</v>
      </c>
      <c r="AD31" s="6">
        <v>-3.1309999999999998</v>
      </c>
      <c r="AE31" s="6">
        <v>8.9999999999999993E-3</v>
      </c>
      <c r="AF31" s="6">
        <v>7.0000000000000001E-3</v>
      </c>
      <c r="AG31" s="6">
        <v>1.431</v>
      </c>
      <c r="AH31" s="6"/>
      <c r="AI31" s="6">
        <f t="shared" si="0"/>
        <v>0.61799999999999988</v>
      </c>
      <c r="AJ31">
        <f t="shared" si="1"/>
        <v>0.3</v>
      </c>
      <c r="AK31" s="21">
        <f t="shared" si="25"/>
        <v>0.3</v>
      </c>
      <c r="AL31">
        <f t="shared" si="26"/>
        <v>74.2</v>
      </c>
      <c r="AM31" s="4">
        <v>6.65</v>
      </c>
      <c r="AN31">
        <v>2.63</v>
      </c>
      <c r="AP31" s="7">
        <f t="shared" si="3"/>
        <v>0.57799999999999996</v>
      </c>
      <c r="AQ31" s="7">
        <f t="shared" si="4"/>
        <v>0.27400000000000002</v>
      </c>
      <c r="AS31">
        <f t="shared" si="5"/>
        <v>2.63</v>
      </c>
      <c r="AT31">
        <f t="shared" si="6"/>
        <v>0.4</v>
      </c>
      <c r="AU31">
        <f t="shared" si="7"/>
        <v>86.3</v>
      </c>
      <c r="AV31" t="s">
        <v>104</v>
      </c>
      <c r="AW31">
        <f t="shared" si="8"/>
        <v>-0.1</v>
      </c>
      <c r="AX31">
        <f t="shared" si="9"/>
        <v>0.3</v>
      </c>
      <c r="AY31">
        <f t="shared" si="10"/>
        <v>4.7</v>
      </c>
      <c r="AZ31">
        <f t="shared" si="11"/>
        <v>93.8</v>
      </c>
      <c r="BA31" t="s">
        <v>104</v>
      </c>
      <c r="BB31">
        <f t="shared" si="12"/>
        <v>0.5</v>
      </c>
      <c r="BC31">
        <f t="shared" si="13"/>
        <v>0.9</v>
      </c>
      <c r="BD31">
        <f t="shared" si="14"/>
        <v>-2</v>
      </c>
      <c r="BE31">
        <f t="shared" si="15"/>
        <v>67.900000000000006</v>
      </c>
      <c r="BF31" t="s">
        <v>104</v>
      </c>
      <c r="BG31">
        <f t="shared" si="16"/>
        <v>-0.4</v>
      </c>
      <c r="BH31">
        <f t="shared" si="17"/>
        <v>0.1</v>
      </c>
      <c r="BI31">
        <f t="shared" si="18"/>
        <v>0.67</v>
      </c>
      <c r="BJ31">
        <f t="shared" si="19"/>
        <v>2.77</v>
      </c>
      <c r="BK31">
        <f t="shared" si="20"/>
        <v>0.61799999999999988</v>
      </c>
      <c r="BL31">
        <f t="shared" si="21"/>
        <v>0.3</v>
      </c>
      <c r="BM31">
        <f t="shared" si="22"/>
        <v>0.57799999999999996</v>
      </c>
      <c r="BN31">
        <f t="shared" si="23"/>
        <v>0.27400000000000002</v>
      </c>
    </row>
    <row r="32" spans="1:66" x14ac:dyDescent="0.25">
      <c r="A32">
        <v>2024</v>
      </c>
      <c r="B32" s="1">
        <f t="shared" si="24"/>
        <v>45318</v>
      </c>
      <c r="C32">
        <v>27</v>
      </c>
      <c r="D32">
        <v>70</v>
      </c>
      <c r="E32" s="6">
        <v>12.73</v>
      </c>
      <c r="F32" s="6">
        <v>0.85699999999999998</v>
      </c>
      <c r="G32" s="6">
        <v>2.0990000000000002</v>
      </c>
      <c r="H32" s="6">
        <v>-0.42299999999999999</v>
      </c>
      <c r="I32" s="6">
        <v>1.554</v>
      </c>
      <c r="J32" s="6">
        <v>1.865</v>
      </c>
      <c r="K32" s="6">
        <v>88.3</v>
      </c>
      <c r="L32" s="6"/>
      <c r="M32" s="6">
        <v>2.1000000000000001E-2</v>
      </c>
      <c r="N32" s="6">
        <v>0.374</v>
      </c>
      <c r="O32" s="6">
        <v>4.056</v>
      </c>
      <c r="P32" s="6">
        <v>92</v>
      </c>
      <c r="Q32" s="6"/>
      <c r="R32" s="6">
        <v>0.36199999999999999</v>
      </c>
      <c r="S32" s="6">
        <v>0.71</v>
      </c>
      <c r="T32" s="6">
        <v>-4.7E-2</v>
      </c>
      <c r="U32" s="6">
        <v>80.7</v>
      </c>
      <c r="V32" s="6"/>
      <c r="W32" s="6">
        <v>-0.14000000000000001</v>
      </c>
      <c r="X32" s="6">
        <v>0.252</v>
      </c>
      <c r="Y32" s="6">
        <v>0.81699999999999995</v>
      </c>
      <c r="Z32" s="6">
        <v>2.5</v>
      </c>
      <c r="AA32" s="6">
        <v>7</v>
      </c>
      <c r="AB32" s="6">
        <v>1.4510000000000001</v>
      </c>
      <c r="AC32" s="6">
        <v>2.2160000000000002</v>
      </c>
      <c r="AD32" s="6">
        <v>-0.29599999999999999</v>
      </c>
      <c r="AE32" s="6">
        <v>8.9999999999999993E-3</v>
      </c>
      <c r="AF32" s="6">
        <v>7.0000000000000001E-3</v>
      </c>
      <c r="AG32" s="6">
        <v>1.4419999999999999</v>
      </c>
      <c r="AH32" s="6"/>
      <c r="AI32" s="6">
        <f t="shared" si="0"/>
        <v>0.59899999999999975</v>
      </c>
      <c r="AJ32">
        <f t="shared" si="1"/>
        <v>0</v>
      </c>
      <c r="AK32" s="22">
        <f t="shared" ref="AK32:AK38" si="27">AA32</f>
        <v>7</v>
      </c>
      <c r="AL32">
        <f t="shared" si="26"/>
        <v>81.2</v>
      </c>
      <c r="AM32" s="4">
        <v>6.78</v>
      </c>
      <c r="AN32">
        <v>1.55</v>
      </c>
      <c r="AP32" s="7">
        <f t="shared" si="3"/>
        <v>0.65900000000000003</v>
      </c>
      <c r="AQ32" s="7">
        <f t="shared" si="4"/>
        <v>0.158</v>
      </c>
      <c r="AS32">
        <f t="shared" si="5"/>
        <v>1.55</v>
      </c>
      <c r="AT32">
        <f t="shared" si="6"/>
        <v>1.9</v>
      </c>
      <c r="AU32">
        <f t="shared" si="7"/>
        <v>88.3</v>
      </c>
      <c r="AV32" t="s">
        <v>104</v>
      </c>
      <c r="AW32">
        <f t="shared" si="8"/>
        <v>0</v>
      </c>
      <c r="AX32">
        <f t="shared" si="9"/>
        <v>0.4</v>
      </c>
      <c r="AY32">
        <f t="shared" si="10"/>
        <v>4.0999999999999996</v>
      </c>
      <c r="AZ32">
        <f t="shared" si="11"/>
        <v>92</v>
      </c>
      <c r="BA32" t="s">
        <v>104</v>
      </c>
      <c r="BB32">
        <f t="shared" si="12"/>
        <v>0.4</v>
      </c>
      <c r="BC32">
        <f t="shared" si="13"/>
        <v>0.7</v>
      </c>
      <c r="BD32">
        <f t="shared" si="14"/>
        <v>0</v>
      </c>
      <c r="BE32">
        <f t="shared" si="15"/>
        <v>80.7</v>
      </c>
      <c r="BF32" t="s">
        <v>104</v>
      </c>
      <c r="BG32">
        <f t="shared" si="16"/>
        <v>-0.1</v>
      </c>
      <c r="BH32">
        <f t="shared" si="17"/>
        <v>0.3</v>
      </c>
      <c r="BI32">
        <f t="shared" si="18"/>
        <v>0.82</v>
      </c>
      <c r="BJ32">
        <f t="shared" si="19"/>
        <v>2.5</v>
      </c>
      <c r="BK32">
        <f t="shared" si="20"/>
        <v>0.59899999999999975</v>
      </c>
      <c r="BL32">
        <f t="shared" si="21"/>
        <v>7</v>
      </c>
      <c r="BM32">
        <f t="shared" si="22"/>
        <v>0.65900000000000003</v>
      </c>
      <c r="BN32">
        <f t="shared" si="23"/>
        <v>0.158</v>
      </c>
    </row>
    <row r="33" spans="1:66" x14ac:dyDescent="0.25">
      <c r="A33">
        <v>2024</v>
      </c>
      <c r="B33" s="1">
        <f t="shared" si="24"/>
        <v>45319</v>
      </c>
      <c r="C33">
        <v>28</v>
      </c>
      <c r="D33">
        <v>70</v>
      </c>
      <c r="E33" s="6">
        <v>12.77</v>
      </c>
      <c r="F33" s="6">
        <v>2.9249999999999998</v>
      </c>
      <c r="G33" s="6">
        <v>6.1959999999999997</v>
      </c>
      <c r="H33" s="6">
        <v>1.2030000000000001</v>
      </c>
      <c r="I33" s="6">
        <v>2.855</v>
      </c>
      <c r="J33" s="6">
        <v>3.8519999999999999</v>
      </c>
      <c r="K33" s="6">
        <v>89.7</v>
      </c>
      <c r="L33" s="6"/>
      <c r="M33" s="6">
        <v>8.8999999999999996E-2</v>
      </c>
      <c r="N33" s="6">
        <v>0.34399999999999997</v>
      </c>
      <c r="O33" s="6">
        <v>7.54</v>
      </c>
      <c r="P33" s="6">
        <v>93.8</v>
      </c>
      <c r="Q33" s="6"/>
      <c r="R33" s="6">
        <v>0.47599999999999998</v>
      </c>
      <c r="S33" s="6">
        <v>0.70899999999999996</v>
      </c>
      <c r="T33" s="6">
        <v>2.105</v>
      </c>
      <c r="U33" s="6">
        <v>78.7</v>
      </c>
      <c r="V33" s="6"/>
      <c r="W33" s="6">
        <v>-0.189</v>
      </c>
      <c r="X33" s="6">
        <v>6.2E-2</v>
      </c>
      <c r="Y33" s="6">
        <v>0.49299999999999999</v>
      </c>
      <c r="Z33" s="6">
        <v>2.1800000000000002</v>
      </c>
      <c r="AA33" s="6">
        <v>15.4</v>
      </c>
      <c r="AB33" s="6">
        <v>1.508</v>
      </c>
      <c r="AC33" s="6">
        <v>6.2590000000000003</v>
      </c>
      <c r="AD33" s="6">
        <v>1.488</v>
      </c>
      <c r="AE33" s="6">
        <v>8.9999999999999993E-3</v>
      </c>
      <c r="AF33" s="6">
        <v>7.0000000000000001E-3</v>
      </c>
      <c r="AG33" s="6">
        <v>1.494</v>
      </c>
      <c r="AH33" s="6"/>
      <c r="AI33" s="6">
        <f t="shared" si="0"/>
        <v>0.54199999999999982</v>
      </c>
      <c r="AJ33">
        <f t="shared" si="1"/>
        <v>0</v>
      </c>
      <c r="AK33" s="22">
        <f t="shared" si="27"/>
        <v>15.4</v>
      </c>
      <c r="AL33">
        <f t="shared" si="26"/>
        <v>96.600000000000009</v>
      </c>
      <c r="AM33" s="4">
        <v>6.91</v>
      </c>
      <c r="AN33">
        <v>2.85</v>
      </c>
      <c r="AP33" s="7">
        <f t="shared" si="3"/>
        <v>0.81799999999999995</v>
      </c>
      <c r="AQ33" s="7">
        <f t="shared" si="4"/>
        <v>0.221</v>
      </c>
      <c r="AS33">
        <f t="shared" si="5"/>
        <v>2.85</v>
      </c>
      <c r="AT33">
        <f t="shared" si="6"/>
        <v>3.9</v>
      </c>
      <c r="AU33">
        <f t="shared" si="7"/>
        <v>89.7</v>
      </c>
      <c r="AV33" t="s">
        <v>104</v>
      </c>
      <c r="AW33">
        <f t="shared" si="8"/>
        <v>0.1</v>
      </c>
      <c r="AX33">
        <f t="shared" si="9"/>
        <v>0.3</v>
      </c>
      <c r="AY33">
        <f t="shared" si="10"/>
        <v>7.5</v>
      </c>
      <c r="AZ33">
        <f t="shared" si="11"/>
        <v>93.8</v>
      </c>
      <c r="BA33" t="s">
        <v>104</v>
      </c>
      <c r="BB33">
        <f t="shared" si="12"/>
        <v>0.5</v>
      </c>
      <c r="BC33">
        <f t="shared" si="13"/>
        <v>0.7</v>
      </c>
      <c r="BD33">
        <f t="shared" si="14"/>
        <v>2.1</v>
      </c>
      <c r="BE33">
        <f t="shared" si="15"/>
        <v>78.7</v>
      </c>
      <c r="BF33" t="s">
        <v>104</v>
      </c>
      <c r="BG33">
        <f t="shared" si="16"/>
        <v>-0.2</v>
      </c>
      <c r="BH33">
        <f t="shared" si="17"/>
        <v>0.1</v>
      </c>
      <c r="BI33">
        <f t="shared" si="18"/>
        <v>0.49</v>
      </c>
      <c r="BJ33">
        <f t="shared" si="19"/>
        <v>2.1800000000000002</v>
      </c>
      <c r="BK33">
        <f t="shared" si="20"/>
        <v>0.54199999999999982</v>
      </c>
      <c r="BL33">
        <f t="shared" si="21"/>
        <v>15.4</v>
      </c>
      <c r="BM33">
        <f t="shared" si="22"/>
        <v>0.81799999999999995</v>
      </c>
      <c r="BN33">
        <f t="shared" si="23"/>
        <v>0.221</v>
      </c>
    </row>
    <row r="34" spans="1:66" x14ac:dyDescent="0.25">
      <c r="A34">
        <v>2024</v>
      </c>
      <c r="B34" s="1">
        <f t="shared" si="24"/>
        <v>45320</v>
      </c>
      <c r="C34">
        <v>29</v>
      </c>
      <c r="D34">
        <v>70</v>
      </c>
      <c r="E34" s="6">
        <v>12.71</v>
      </c>
      <c r="F34" s="6">
        <v>5.0170000000000003</v>
      </c>
      <c r="G34" s="6">
        <v>7.76</v>
      </c>
      <c r="H34" s="6">
        <v>2.7930000000000001</v>
      </c>
      <c r="I34" s="6">
        <v>2.734</v>
      </c>
      <c r="J34" s="6">
        <v>6.3810000000000002</v>
      </c>
      <c r="K34" s="6">
        <v>80</v>
      </c>
      <c r="L34" s="6"/>
      <c r="M34" s="6">
        <v>0.124</v>
      </c>
      <c r="N34" s="6">
        <v>0.35499999999999998</v>
      </c>
      <c r="O34" s="6">
        <v>9.15</v>
      </c>
      <c r="P34" s="6">
        <v>90.6</v>
      </c>
      <c r="Q34" s="6"/>
      <c r="R34" s="6">
        <v>0.32900000000000001</v>
      </c>
      <c r="S34" s="6">
        <v>0.56399999999999995</v>
      </c>
      <c r="T34" s="6">
        <v>3.7749999999999999</v>
      </c>
      <c r="U34" s="6">
        <v>70.099999999999994</v>
      </c>
      <c r="V34" s="6"/>
      <c r="W34" s="6">
        <v>-0.13700000000000001</v>
      </c>
      <c r="X34" s="6">
        <v>9.0999999999999998E-2</v>
      </c>
      <c r="Y34" s="6">
        <v>1.1639999999999999</v>
      </c>
      <c r="Z34" s="6">
        <v>3.34</v>
      </c>
      <c r="AA34" s="6">
        <v>0</v>
      </c>
      <c r="AB34" s="6">
        <v>1.5720000000000001</v>
      </c>
      <c r="AC34" s="6">
        <v>7.97</v>
      </c>
      <c r="AD34" s="6">
        <v>2.7360000000000002</v>
      </c>
      <c r="AE34" s="6">
        <v>8.9999999999999993E-3</v>
      </c>
      <c r="AF34" s="6">
        <v>7.0000000000000001E-3</v>
      </c>
      <c r="AG34" s="6">
        <v>1.552</v>
      </c>
      <c r="AH34" s="6"/>
      <c r="AI34" s="6">
        <f t="shared" si="0"/>
        <v>0.47799999999999976</v>
      </c>
      <c r="AJ34">
        <f t="shared" si="1"/>
        <v>0</v>
      </c>
      <c r="AK34" s="22">
        <f t="shared" si="27"/>
        <v>0</v>
      </c>
      <c r="AL34">
        <f t="shared" si="26"/>
        <v>96.600000000000009</v>
      </c>
      <c r="AM34" s="4">
        <v>7.04</v>
      </c>
      <c r="AN34">
        <v>2.73</v>
      </c>
      <c r="AP34" s="7">
        <f t="shared" si="3"/>
        <v>0.81299999999999994</v>
      </c>
      <c r="AQ34" s="7">
        <f t="shared" si="4"/>
        <v>0.34699999999999998</v>
      </c>
      <c r="AS34">
        <f t="shared" si="5"/>
        <v>2.73</v>
      </c>
      <c r="AT34">
        <f t="shared" si="6"/>
        <v>6.4</v>
      </c>
      <c r="AU34">
        <f t="shared" si="7"/>
        <v>80</v>
      </c>
      <c r="AV34" t="s">
        <v>104</v>
      </c>
      <c r="AW34">
        <f t="shared" si="8"/>
        <v>0.1</v>
      </c>
      <c r="AX34">
        <f t="shared" si="9"/>
        <v>0.4</v>
      </c>
      <c r="AY34">
        <f t="shared" si="10"/>
        <v>9.1999999999999993</v>
      </c>
      <c r="AZ34">
        <f t="shared" si="11"/>
        <v>90.6</v>
      </c>
      <c r="BA34" t="s">
        <v>104</v>
      </c>
      <c r="BB34">
        <f t="shared" si="12"/>
        <v>0.3</v>
      </c>
      <c r="BC34">
        <f t="shared" si="13"/>
        <v>0.6</v>
      </c>
      <c r="BD34">
        <f t="shared" si="14"/>
        <v>3.8</v>
      </c>
      <c r="BE34">
        <f t="shared" si="15"/>
        <v>70.099999999999994</v>
      </c>
      <c r="BF34" t="s">
        <v>104</v>
      </c>
      <c r="BG34">
        <f t="shared" si="16"/>
        <v>-0.1</v>
      </c>
      <c r="BH34">
        <f t="shared" si="17"/>
        <v>0.1</v>
      </c>
      <c r="BI34">
        <f t="shared" si="18"/>
        <v>1.1599999999999999</v>
      </c>
      <c r="BJ34">
        <f t="shared" si="19"/>
        <v>3.34</v>
      </c>
      <c r="BK34">
        <f t="shared" si="20"/>
        <v>0.47799999999999976</v>
      </c>
      <c r="BL34">
        <f t="shared" si="21"/>
        <v>0</v>
      </c>
      <c r="BM34">
        <f t="shared" si="22"/>
        <v>0.81299999999999994</v>
      </c>
      <c r="BN34">
        <f t="shared" si="23"/>
        <v>0.34699999999999998</v>
      </c>
    </row>
    <row r="35" spans="1:66" x14ac:dyDescent="0.25">
      <c r="A35">
        <v>2024</v>
      </c>
      <c r="B35" s="1">
        <f t="shared" si="24"/>
        <v>45321</v>
      </c>
      <c r="C35">
        <v>30</v>
      </c>
      <c r="D35">
        <v>70</v>
      </c>
      <c r="E35" s="6">
        <v>12.77</v>
      </c>
      <c r="F35" s="6">
        <v>4.907</v>
      </c>
      <c r="G35" s="6">
        <v>8.0299999999999994</v>
      </c>
      <c r="H35" s="6">
        <v>2.8220000000000001</v>
      </c>
      <c r="I35" s="6">
        <v>3.024</v>
      </c>
      <c r="J35" s="6">
        <v>6.4020000000000001</v>
      </c>
      <c r="K35" s="6">
        <v>72.3</v>
      </c>
      <c r="L35" s="6"/>
      <c r="M35" s="6">
        <v>0.10299999999999999</v>
      </c>
      <c r="N35" s="6">
        <v>0.318</v>
      </c>
      <c r="O35" s="6">
        <v>10.02</v>
      </c>
      <c r="P35" s="6">
        <v>86.9</v>
      </c>
      <c r="Q35" s="6"/>
      <c r="R35" s="6">
        <v>0.45800000000000002</v>
      </c>
      <c r="S35" s="6">
        <v>0.66</v>
      </c>
      <c r="T35" s="6">
        <v>3.516</v>
      </c>
      <c r="U35" s="6">
        <v>57.01</v>
      </c>
      <c r="V35" s="6"/>
      <c r="W35" s="6">
        <v>-0.13800000000000001</v>
      </c>
      <c r="X35" s="6">
        <v>6.0999999999999999E-2</v>
      </c>
      <c r="Y35" s="6">
        <v>0.89400000000000002</v>
      </c>
      <c r="Z35" s="6">
        <v>2.98</v>
      </c>
      <c r="AA35" s="6">
        <v>0</v>
      </c>
      <c r="AB35" s="6">
        <v>1.61</v>
      </c>
      <c r="AC35" s="6">
        <v>8.39</v>
      </c>
      <c r="AD35" s="6">
        <v>2.984</v>
      </c>
      <c r="AE35" s="6">
        <v>8.9999999999999993E-3</v>
      </c>
      <c r="AF35" s="6">
        <v>7.0000000000000001E-3</v>
      </c>
      <c r="AG35" s="6">
        <v>1.5980000000000001</v>
      </c>
      <c r="AH35" s="6"/>
      <c r="AI35" s="6">
        <f t="shared" si="0"/>
        <v>0.43999999999999972</v>
      </c>
      <c r="AJ35">
        <f t="shared" si="1"/>
        <v>0</v>
      </c>
      <c r="AK35" s="22">
        <f t="shared" si="27"/>
        <v>0</v>
      </c>
      <c r="AL35">
        <f t="shared" si="26"/>
        <v>96.600000000000009</v>
      </c>
      <c r="AM35" s="4">
        <v>7.18</v>
      </c>
      <c r="AN35">
        <v>3.02</v>
      </c>
      <c r="AP35" s="7">
        <f t="shared" si="3"/>
        <v>0.70099999999999996</v>
      </c>
      <c r="AQ35" s="7">
        <f t="shared" si="4"/>
        <v>0.52900000000000003</v>
      </c>
      <c r="AS35">
        <f t="shared" si="5"/>
        <v>3.02</v>
      </c>
      <c r="AT35">
        <f t="shared" si="6"/>
        <v>6.4</v>
      </c>
      <c r="AU35">
        <f t="shared" si="7"/>
        <v>72.3</v>
      </c>
      <c r="AV35" t="s">
        <v>104</v>
      </c>
      <c r="AW35">
        <f t="shared" si="8"/>
        <v>0.1</v>
      </c>
      <c r="AX35">
        <f t="shared" si="9"/>
        <v>0.3</v>
      </c>
      <c r="AY35">
        <f t="shared" si="10"/>
        <v>10</v>
      </c>
      <c r="AZ35">
        <f t="shared" si="11"/>
        <v>86.9</v>
      </c>
      <c r="BA35" t="s">
        <v>104</v>
      </c>
      <c r="BB35">
        <f t="shared" si="12"/>
        <v>0.5</v>
      </c>
      <c r="BC35">
        <f t="shared" si="13"/>
        <v>0.7</v>
      </c>
      <c r="BD35">
        <f t="shared" si="14"/>
        <v>3.5</v>
      </c>
      <c r="BE35">
        <f t="shared" si="15"/>
        <v>57</v>
      </c>
      <c r="BF35" t="s">
        <v>104</v>
      </c>
      <c r="BG35">
        <f t="shared" si="16"/>
        <v>-0.1</v>
      </c>
      <c r="BH35">
        <f t="shared" si="17"/>
        <v>0.1</v>
      </c>
      <c r="BI35">
        <f t="shared" si="18"/>
        <v>0.89</v>
      </c>
      <c r="BJ35">
        <f t="shared" si="19"/>
        <v>2.98</v>
      </c>
      <c r="BK35">
        <f t="shared" si="20"/>
        <v>0.43999999999999972</v>
      </c>
      <c r="BL35">
        <f t="shared" si="21"/>
        <v>0</v>
      </c>
      <c r="BM35">
        <f t="shared" si="22"/>
        <v>0.70099999999999996</v>
      </c>
      <c r="BN35">
        <f t="shared" si="23"/>
        <v>0.52900000000000003</v>
      </c>
    </row>
    <row r="36" spans="1:66" x14ac:dyDescent="0.25">
      <c r="A36">
        <v>2024</v>
      </c>
      <c r="B36" s="1">
        <f t="shared" si="24"/>
        <v>45322</v>
      </c>
      <c r="C36">
        <v>31</v>
      </c>
      <c r="D36">
        <v>70</v>
      </c>
      <c r="E36" s="6">
        <v>12.65</v>
      </c>
      <c r="F36" s="6">
        <v>3.8239999999999998</v>
      </c>
      <c r="G36" s="6">
        <v>6.7629999999999999</v>
      </c>
      <c r="H36" s="6">
        <v>2.464</v>
      </c>
      <c r="I36" s="6">
        <v>1.7070000000000001</v>
      </c>
      <c r="J36" s="6">
        <v>5.048</v>
      </c>
      <c r="K36" s="6">
        <v>80.5</v>
      </c>
      <c r="L36" s="6"/>
      <c r="M36" s="6">
        <v>0.61399999999999999</v>
      </c>
      <c r="N36" s="6">
        <v>0.32800000000000001</v>
      </c>
      <c r="O36" s="6">
        <v>7.74</v>
      </c>
      <c r="P36" s="6">
        <v>91.5</v>
      </c>
      <c r="Q36" s="6"/>
      <c r="R36" s="6">
        <v>2.2349999999999999</v>
      </c>
      <c r="S36" s="6">
        <v>0.57499999999999996</v>
      </c>
      <c r="T36" s="6">
        <v>3.5110000000000001</v>
      </c>
      <c r="U36" s="6">
        <v>62.67</v>
      </c>
      <c r="V36" s="6"/>
      <c r="W36" s="6">
        <v>-1.0999999999999999E-2</v>
      </c>
      <c r="X36" s="6">
        <v>1.6E-2</v>
      </c>
      <c r="Y36" s="6">
        <v>1.1459999999999999</v>
      </c>
      <c r="Z36" s="6">
        <v>2.8340000000000001</v>
      </c>
      <c r="AA36" s="6">
        <v>1.4</v>
      </c>
      <c r="AB36" s="6">
        <v>1.653</v>
      </c>
      <c r="AC36" s="6">
        <v>6.8920000000000003</v>
      </c>
      <c r="AD36" s="6">
        <v>2.673</v>
      </c>
      <c r="AE36" s="6">
        <v>8.9999999999999993E-3</v>
      </c>
      <c r="AF36" s="6">
        <v>7.0000000000000001E-3</v>
      </c>
      <c r="AG36" s="6">
        <v>1.6379999999999999</v>
      </c>
      <c r="AH36" s="6"/>
      <c r="AI36" s="6">
        <f t="shared" si="0"/>
        <v>0.3969999999999998</v>
      </c>
      <c r="AJ36">
        <f t="shared" si="1"/>
        <v>0</v>
      </c>
      <c r="AK36" s="22">
        <f t="shared" si="27"/>
        <v>1.4</v>
      </c>
      <c r="AL36">
        <f t="shared" si="26"/>
        <v>98.000000000000014</v>
      </c>
      <c r="AM36" s="4">
        <v>7.32</v>
      </c>
      <c r="AN36">
        <v>1.71</v>
      </c>
      <c r="AP36" s="7">
        <f t="shared" si="3"/>
        <v>0.66</v>
      </c>
      <c r="AQ36" s="7">
        <f t="shared" si="4"/>
        <v>0.39300000000000002</v>
      </c>
      <c r="AS36">
        <f t="shared" si="5"/>
        <v>1.71</v>
      </c>
      <c r="AT36">
        <f t="shared" si="6"/>
        <v>5</v>
      </c>
      <c r="AU36">
        <f t="shared" si="7"/>
        <v>80.5</v>
      </c>
      <c r="AV36" t="s">
        <v>104</v>
      </c>
      <c r="AW36">
        <f t="shared" si="8"/>
        <v>0.6</v>
      </c>
      <c r="AX36">
        <f t="shared" si="9"/>
        <v>0.3</v>
      </c>
      <c r="AY36">
        <f t="shared" si="10"/>
        <v>7.7</v>
      </c>
      <c r="AZ36">
        <f t="shared" si="11"/>
        <v>91.5</v>
      </c>
      <c r="BA36" t="s">
        <v>104</v>
      </c>
      <c r="BB36">
        <f t="shared" si="12"/>
        <v>2.2000000000000002</v>
      </c>
      <c r="BC36">
        <f t="shared" si="13"/>
        <v>0.6</v>
      </c>
      <c r="BD36">
        <f t="shared" si="14"/>
        <v>3.5</v>
      </c>
      <c r="BE36">
        <f t="shared" si="15"/>
        <v>62.7</v>
      </c>
      <c r="BF36" t="s">
        <v>104</v>
      </c>
      <c r="BG36">
        <f t="shared" si="16"/>
        <v>0</v>
      </c>
      <c r="BH36">
        <f t="shared" si="17"/>
        <v>0</v>
      </c>
      <c r="BI36">
        <f t="shared" si="18"/>
        <v>1.1499999999999999</v>
      </c>
      <c r="BJ36">
        <f t="shared" si="19"/>
        <v>2.83</v>
      </c>
      <c r="BK36">
        <f t="shared" si="20"/>
        <v>0.3969999999999998</v>
      </c>
      <c r="BL36">
        <f t="shared" si="21"/>
        <v>1.4</v>
      </c>
      <c r="BM36">
        <f t="shared" si="22"/>
        <v>0.66</v>
      </c>
      <c r="BN36">
        <f t="shared" si="23"/>
        <v>0.39300000000000002</v>
      </c>
    </row>
    <row r="37" spans="1:66" x14ac:dyDescent="0.25">
      <c r="A37">
        <v>2024</v>
      </c>
      <c r="B37" s="1">
        <f t="shared" si="24"/>
        <v>45323</v>
      </c>
      <c r="C37">
        <v>32</v>
      </c>
      <c r="D37">
        <v>70</v>
      </c>
      <c r="E37" s="6">
        <v>12.63</v>
      </c>
      <c r="F37" s="6">
        <v>2.9940000000000002</v>
      </c>
      <c r="G37" s="6">
        <v>4.0289999999999999</v>
      </c>
      <c r="H37" s="6">
        <v>2.2909999999999999</v>
      </c>
      <c r="I37" s="6">
        <v>1.4359999999999999</v>
      </c>
      <c r="J37" s="6">
        <v>3.851</v>
      </c>
      <c r="K37" s="6">
        <v>90.7</v>
      </c>
      <c r="L37" s="6"/>
      <c r="M37" s="6">
        <v>1.0469999999999999</v>
      </c>
      <c r="N37" s="6">
        <v>0.26900000000000002</v>
      </c>
      <c r="O37" s="6">
        <v>5.4669999999999996</v>
      </c>
      <c r="P37" s="6">
        <v>93.3</v>
      </c>
      <c r="Q37" s="6"/>
      <c r="R37" s="6">
        <v>2.4529999999999998</v>
      </c>
      <c r="S37" s="6">
        <v>0.54900000000000004</v>
      </c>
      <c r="T37" s="6">
        <v>2.8450000000000002</v>
      </c>
      <c r="U37" s="6">
        <v>82.8</v>
      </c>
      <c r="V37" s="6"/>
      <c r="W37" s="6">
        <v>0.54400000000000004</v>
      </c>
      <c r="X37" s="6">
        <v>0.184</v>
      </c>
      <c r="Y37" s="6">
        <v>0.57399999999999995</v>
      </c>
      <c r="Z37" s="6">
        <v>1.9</v>
      </c>
      <c r="AA37" s="6">
        <v>1.7</v>
      </c>
      <c r="AB37" s="6">
        <v>1.679</v>
      </c>
      <c r="AC37" s="6">
        <v>4.1630000000000003</v>
      </c>
      <c r="AD37" s="6">
        <v>2.4649999999999999</v>
      </c>
      <c r="AE37" s="6">
        <v>8.9999999999999993E-3</v>
      </c>
      <c r="AF37" s="6">
        <v>7.0000000000000001E-3</v>
      </c>
      <c r="AG37" s="6">
        <v>1.6679999999999999</v>
      </c>
      <c r="AH37" s="6"/>
      <c r="AI37" s="6">
        <f t="shared" si="0"/>
        <v>0.37099999999999977</v>
      </c>
      <c r="AJ37">
        <f t="shared" si="1"/>
        <v>0</v>
      </c>
      <c r="AK37" s="22">
        <f t="shared" si="27"/>
        <v>1.7</v>
      </c>
      <c r="AL37">
        <f t="shared" si="26"/>
        <v>99.700000000000017</v>
      </c>
      <c r="AM37" s="4">
        <v>7.47</v>
      </c>
      <c r="AN37">
        <v>1.43</v>
      </c>
      <c r="AP37" s="7">
        <f t="shared" si="3"/>
        <v>0.746</v>
      </c>
      <c r="AQ37" s="7">
        <f t="shared" si="4"/>
        <v>0.155</v>
      </c>
      <c r="AS37">
        <f t="shared" si="5"/>
        <v>1.43</v>
      </c>
      <c r="AT37">
        <f t="shared" si="6"/>
        <v>3.9</v>
      </c>
      <c r="AU37">
        <f t="shared" si="7"/>
        <v>90.7</v>
      </c>
      <c r="AV37" t="s">
        <v>104</v>
      </c>
      <c r="AW37">
        <f t="shared" si="8"/>
        <v>1</v>
      </c>
      <c r="AX37">
        <f t="shared" si="9"/>
        <v>0.3</v>
      </c>
      <c r="AY37">
        <f t="shared" si="10"/>
        <v>5.5</v>
      </c>
      <c r="AZ37">
        <f t="shared" si="11"/>
        <v>93.3</v>
      </c>
      <c r="BA37" t="s">
        <v>104</v>
      </c>
      <c r="BB37">
        <f t="shared" si="12"/>
        <v>2.5</v>
      </c>
      <c r="BC37">
        <f t="shared" si="13"/>
        <v>0.5</v>
      </c>
      <c r="BD37">
        <f t="shared" si="14"/>
        <v>2.8</v>
      </c>
      <c r="BE37">
        <f t="shared" si="15"/>
        <v>82.8</v>
      </c>
      <c r="BF37" t="s">
        <v>104</v>
      </c>
      <c r="BG37">
        <f t="shared" si="16"/>
        <v>0.5</v>
      </c>
      <c r="BH37">
        <f t="shared" si="17"/>
        <v>0.2</v>
      </c>
      <c r="BI37">
        <f t="shared" si="18"/>
        <v>0.56999999999999995</v>
      </c>
      <c r="BJ37">
        <f t="shared" si="19"/>
        <v>1.9</v>
      </c>
      <c r="BK37">
        <f t="shared" si="20"/>
        <v>0.37099999999999977</v>
      </c>
      <c r="BL37">
        <f t="shared" si="21"/>
        <v>1.7</v>
      </c>
      <c r="BM37">
        <f t="shared" si="22"/>
        <v>0.746</v>
      </c>
      <c r="BN37">
        <f t="shared" si="23"/>
        <v>0.155</v>
      </c>
    </row>
    <row r="38" spans="1:66" x14ac:dyDescent="0.25">
      <c r="A38">
        <v>2024</v>
      </c>
      <c r="B38" s="1">
        <f t="shared" si="24"/>
        <v>45324</v>
      </c>
      <c r="C38">
        <v>33</v>
      </c>
      <c r="D38">
        <v>70</v>
      </c>
      <c r="E38" s="6">
        <v>12.96</v>
      </c>
      <c r="F38" s="6">
        <v>1.8120000000000001</v>
      </c>
      <c r="G38" s="6">
        <v>8.5299999999999994</v>
      </c>
      <c r="H38" s="6">
        <v>-2.2599999999999998</v>
      </c>
      <c r="I38" s="6">
        <v>4.9740000000000002</v>
      </c>
      <c r="J38" s="6">
        <v>2.8149999999999999</v>
      </c>
      <c r="K38" s="6">
        <v>76.400000000000006</v>
      </c>
      <c r="L38" s="6"/>
      <c r="M38" s="6">
        <v>0.49099999999999999</v>
      </c>
      <c r="N38" s="6">
        <v>0.246</v>
      </c>
      <c r="O38" s="6">
        <v>8.67</v>
      </c>
      <c r="P38" s="6">
        <v>93</v>
      </c>
      <c r="Q38" s="6"/>
      <c r="R38" s="6">
        <v>4.7850000000000001</v>
      </c>
      <c r="S38" s="6">
        <v>1.121</v>
      </c>
      <c r="T38" s="6">
        <v>-0.78500000000000003</v>
      </c>
      <c r="U38" s="6">
        <v>44.91</v>
      </c>
      <c r="V38" s="6"/>
      <c r="W38" s="6">
        <v>-2.2770000000000001</v>
      </c>
      <c r="X38" s="6">
        <v>-0.189</v>
      </c>
      <c r="Y38" s="6">
        <v>0.46100000000000002</v>
      </c>
      <c r="Z38" s="6">
        <v>1.887</v>
      </c>
      <c r="AA38" s="6">
        <v>1.7</v>
      </c>
      <c r="AB38" s="6">
        <v>1.6879999999999999</v>
      </c>
      <c r="AC38" s="6">
        <v>9.0299999999999994</v>
      </c>
      <c r="AD38" s="6">
        <v>-2.0539999999999998</v>
      </c>
      <c r="AE38" s="6">
        <v>8.9999999999999993E-3</v>
      </c>
      <c r="AF38" s="6">
        <v>7.0000000000000001E-3</v>
      </c>
      <c r="AG38" s="6">
        <v>1.6879999999999999</v>
      </c>
      <c r="AH38" s="6"/>
      <c r="AI38" s="6">
        <f t="shared" si="0"/>
        <v>0.36199999999999988</v>
      </c>
      <c r="AJ38">
        <f t="shared" ref="AJ38:AJ69" si="28">IF(AI38&gt;AI37,ROUND((AI38-AI37)*AJ$1,1),0)</f>
        <v>0</v>
      </c>
      <c r="AK38" s="22">
        <f t="shared" si="27"/>
        <v>1.7</v>
      </c>
      <c r="AL38">
        <f t="shared" si="26"/>
        <v>101.40000000000002</v>
      </c>
      <c r="AM38" s="4">
        <v>7.62</v>
      </c>
      <c r="AN38">
        <v>4.97</v>
      </c>
      <c r="AP38" s="7">
        <f t="shared" si="3"/>
        <v>0.504</v>
      </c>
      <c r="AQ38" s="7">
        <f t="shared" si="4"/>
        <v>0.61799999999999999</v>
      </c>
      <c r="AS38">
        <f t="shared" si="5"/>
        <v>4.97</v>
      </c>
      <c r="AT38">
        <f t="shared" si="6"/>
        <v>2.8</v>
      </c>
      <c r="AU38">
        <f t="shared" si="7"/>
        <v>76.400000000000006</v>
      </c>
      <c r="AV38" t="s">
        <v>104</v>
      </c>
      <c r="AW38">
        <f t="shared" si="8"/>
        <v>0.5</v>
      </c>
      <c r="AX38">
        <f t="shared" si="9"/>
        <v>0.2</v>
      </c>
      <c r="AY38">
        <f t="shared" si="10"/>
        <v>8.6999999999999993</v>
      </c>
      <c r="AZ38">
        <f t="shared" si="11"/>
        <v>93</v>
      </c>
      <c r="BA38" t="s">
        <v>104</v>
      </c>
      <c r="BB38">
        <f t="shared" si="12"/>
        <v>4.8</v>
      </c>
      <c r="BC38">
        <f t="shared" si="13"/>
        <v>1.1000000000000001</v>
      </c>
      <c r="BD38">
        <f t="shared" si="14"/>
        <v>-0.8</v>
      </c>
      <c r="BE38">
        <f t="shared" si="15"/>
        <v>44.9</v>
      </c>
      <c r="BF38" t="s">
        <v>104</v>
      </c>
      <c r="BG38">
        <f t="shared" si="16"/>
        <v>-2.2999999999999998</v>
      </c>
      <c r="BH38">
        <f t="shared" si="17"/>
        <v>-0.2</v>
      </c>
      <c r="BI38">
        <f t="shared" si="18"/>
        <v>0.46</v>
      </c>
      <c r="BJ38">
        <f t="shared" si="19"/>
        <v>1.89</v>
      </c>
      <c r="BK38">
        <f t="shared" si="20"/>
        <v>0.36199999999999988</v>
      </c>
      <c r="BL38">
        <f t="shared" si="21"/>
        <v>1.7</v>
      </c>
      <c r="BM38">
        <f t="shared" si="22"/>
        <v>0.504</v>
      </c>
      <c r="BN38">
        <f t="shared" si="23"/>
        <v>0.61799999999999999</v>
      </c>
    </row>
    <row r="39" spans="1:66" x14ac:dyDescent="0.25">
      <c r="A39">
        <v>2024</v>
      </c>
      <c r="B39" s="1">
        <f t="shared" si="24"/>
        <v>45325</v>
      </c>
      <c r="C39">
        <v>34</v>
      </c>
      <c r="D39">
        <v>70</v>
      </c>
      <c r="E39" s="6">
        <v>12.86</v>
      </c>
      <c r="F39" s="6">
        <v>-0.80100000000000005</v>
      </c>
      <c r="G39" s="6">
        <v>3.121</v>
      </c>
      <c r="H39" s="6">
        <v>-4.0229999999999997</v>
      </c>
      <c r="I39" s="6">
        <v>2.7149999999999999</v>
      </c>
      <c r="J39" s="6">
        <v>9.2999999999999999E-2</v>
      </c>
      <c r="K39" s="6">
        <v>77.5</v>
      </c>
      <c r="L39" s="6"/>
      <c r="M39" s="6">
        <v>-0.69099999999999995</v>
      </c>
      <c r="N39" s="6">
        <v>0.251</v>
      </c>
      <c r="O39" s="6">
        <v>4.056</v>
      </c>
      <c r="P39" s="6">
        <v>88.7</v>
      </c>
      <c r="Q39" s="6"/>
      <c r="R39" s="6">
        <v>2.5299999999999998</v>
      </c>
      <c r="S39" s="6">
        <v>0.57999999999999996</v>
      </c>
      <c r="T39" s="6">
        <v>-4.0709999999999997</v>
      </c>
      <c r="U39" s="6">
        <v>56.03</v>
      </c>
      <c r="V39" s="6"/>
      <c r="W39" s="6">
        <v>-3.177</v>
      </c>
      <c r="X39" s="6">
        <v>-1.6E-2</v>
      </c>
      <c r="Y39" s="6">
        <v>0.38500000000000001</v>
      </c>
      <c r="Z39" s="6">
        <v>1.82</v>
      </c>
      <c r="AA39" s="6">
        <v>0</v>
      </c>
      <c r="AB39" s="6">
        <v>1.6919999999999999</v>
      </c>
      <c r="AC39" s="6">
        <v>3.2949999999999999</v>
      </c>
      <c r="AD39" s="6">
        <v>-3.6520000000000001</v>
      </c>
      <c r="AE39" s="6">
        <v>8.9999999999999993E-3</v>
      </c>
      <c r="AF39" s="6">
        <v>7.0000000000000001E-3</v>
      </c>
      <c r="AG39" s="6">
        <v>1.7030000000000001</v>
      </c>
      <c r="AH39" s="6"/>
      <c r="AI39" s="6">
        <f t="shared" si="0"/>
        <v>0.35799999999999987</v>
      </c>
      <c r="AJ39">
        <f t="shared" si="28"/>
        <v>0</v>
      </c>
      <c r="AK39" s="21">
        <f t="shared" si="25"/>
        <v>0</v>
      </c>
      <c r="AL39">
        <f t="shared" si="26"/>
        <v>101.40000000000002</v>
      </c>
      <c r="AM39" s="4">
        <v>7.78</v>
      </c>
      <c r="AN39">
        <v>2.71</v>
      </c>
      <c r="AP39" s="7">
        <f t="shared" si="3"/>
        <v>0.45700000000000002</v>
      </c>
      <c r="AQ39" s="7">
        <f t="shared" si="4"/>
        <v>0.35899999999999999</v>
      </c>
      <c r="AS39">
        <f t="shared" si="5"/>
        <v>2.71</v>
      </c>
      <c r="AT39">
        <f t="shared" si="6"/>
        <v>0.1</v>
      </c>
      <c r="AU39">
        <f t="shared" si="7"/>
        <v>77.5</v>
      </c>
      <c r="AV39" t="s">
        <v>104</v>
      </c>
      <c r="AW39">
        <f t="shared" si="8"/>
        <v>-0.7</v>
      </c>
      <c r="AX39">
        <f t="shared" si="9"/>
        <v>0.3</v>
      </c>
      <c r="AY39">
        <f t="shared" si="10"/>
        <v>4.0999999999999996</v>
      </c>
      <c r="AZ39">
        <f t="shared" si="11"/>
        <v>88.7</v>
      </c>
      <c r="BA39" t="s">
        <v>104</v>
      </c>
      <c r="BB39">
        <f t="shared" si="12"/>
        <v>2.5</v>
      </c>
      <c r="BC39">
        <f t="shared" si="13"/>
        <v>0.6</v>
      </c>
      <c r="BD39">
        <f t="shared" si="14"/>
        <v>-4.0999999999999996</v>
      </c>
      <c r="BE39">
        <f t="shared" si="15"/>
        <v>56</v>
      </c>
      <c r="BF39" t="s">
        <v>104</v>
      </c>
      <c r="BG39">
        <f t="shared" si="16"/>
        <v>-3.2</v>
      </c>
      <c r="BH39">
        <f t="shared" si="17"/>
        <v>0</v>
      </c>
      <c r="BI39">
        <f t="shared" si="18"/>
        <v>0.39</v>
      </c>
      <c r="BJ39">
        <f t="shared" si="19"/>
        <v>1.82</v>
      </c>
      <c r="BK39">
        <f t="shared" si="20"/>
        <v>0.35799999999999987</v>
      </c>
      <c r="BL39">
        <f t="shared" si="21"/>
        <v>0</v>
      </c>
      <c r="BM39">
        <f t="shared" si="22"/>
        <v>0.45700000000000002</v>
      </c>
      <c r="BN39">
        <f t="shared" si="23"/>
        <v>0.35899999999999999</v>
      </c>
    </row>
    <row r="40" spans="1:66" x14ac:dyDescent="0.25">
      <c r="A40">
        <v>2024</v>
      </c>
      <c r="B40" s="1">
        <f t="shared" si="24"/>
        <v>45326</v>
      </c>
      <c r="C40">
        <v>35</v>
      </c>
      <c r="D40">
        <v>70</v>
      </c>
      <c r="E40" s="6">
        <v>12.74</v>
      </c>
      <c r="F40" s="6">
        <v>-5.5679999999999996</v>
      </c>
      <c r="G40" s="6">
        <v>-3.7029999999999998</v>
      </c>
      <c r="H40" s="6">
        <v>-6.9379999999999997</v>
      </c>
      <c r="I40" s="6">
        <v>0.67500000000000004</v>
      </c>
      <c r="J40" s="6">
        <v>-5.3579999999999997</v>
      </c>
      <c r="K40" s="6">
        <v>85.4</v>
      </c>
      <c r="L40" s="6"/>
      <c r="M40" s="6">
        <v>-2.6589999999999998</v>
      </c>
      <c r="N40" s="6">
        <v>0.183</v>
      </c>
      <c r="O40" s="6">
        <v>-3.6</v>
      </c>
      <c r="P40" s="6">
        <v>88.8</v>
      </c>
      <c r="Q40" s="6"/>
      <c r="R40" s="6">
        <v>-1.6160000000000001</v>
      </c>
      <c r="S40" s="6">
        <v>0.40100000000000002</v>
      </c>
      <c r="T40" s="6">
        <v>-6.6159999999999997</v>
      </c>
      <c r="U40" s="6">
        <v>78.3</v>
      </c>
      <c r="V40" s="6"/>
      <c r="W40" s="6">
        <v>-3.532</v>
      </c>
      <c r="X40" s="6">
        <v>3.9E-2</v>
      </c>
      <c r="Y40" s="6">
        <v>0.312</v>
      </c>
      <c r="Z40" s="6">
        <v>1.3</v>
      </c>
      <c r="AA40" s="6">
        <v>0</v>
      </c>
      <c r="AB40" s="6">
        <v>1.625</v>
      </c>
      <c r="AC40" s="6">
        <v>-3.673</v>
      </c>
      <c r="AD40" s="6">
        <v>-6.8070000000000004</v>
      </c>
      <c r="AE40" s="6">
        <v>8.9999999999999993E-3</v>
      </c>
      <c r="AF40" s="6">
        <v>6.0000000000000001E-3</v>
      </c>
      <c r="AG40" s="6">
        <v>1.6419999999999999</v>
      </c>
      <c r="AH40" s="6"/>
      <c r="AI40" s="6">
        <f t="shared" si="0"/>
        <v>0.42499999999999982</v>
      </c>
      <c r="AJ40">
        <f t="shared" si="28"/>
        <v>8.6999999999999993</v>
      </c>
      <c r="AK40" s="21">
        <f t="shared" si="25"/>
        <v>8.6999999999999993</v>
      </c>
      <c r="AL40">
        <f t="shared" si="26"/>
        <v>110.10000000000002</v>
      </c>
      <c r="AM40" s="4">
        <v>7.93</v>
      </c>
      <c r="AN40">
        <v>0.67</v>
      </c>
      <c r="AP40" s="7">
        <f t="shared" si="3"/>
        <v>0.36599999999999999</v>
      </c>
      <c r="AQ40" s="7">
        <f t="shared" si="4"/>
        <v>0.10100000000000001</v>
      </c>
      <c r="AS40">
        <f t="shared" si="5"/>
        <v>0.67</v>
      </c>
      <c r="AT40">
        <f t="shared" si="6"/>
        <v>-5.4</v>
      </c>
      <c r="AU40">
        <f t="shared" si="7"/>
        <v>85.4</v>
      </c>
      <c r="AV40" t="s">
        <v>104</v>
      </c>
      <c r="AW40">
        <f t="shared" si="8"/>
        <v>-2.7</v>
      </c>
      <c r="AX40">
        <f t="shared" si="9"/>
        <v>0.2</v>
      </c>
      <c r="AY40">
        <f t="shared" si="10"/>
        <v>-3.6</v>
      </c>
      <c r="AZ40">
        <f t="shared" si="11"/>
        <v>88.8</v>
      </c>
      <c r="BA40" t="s">
        <v>104</v>
      </c>
      <c r="BB40">
        <f t="shared" si="12"/>
        <v>-1.6</v>
      </c>
      <c r="BC40">
        <f t="shared" si="13"/>
        <v>0.4</v>
      </c>
      <c r="BD40">
        <f t="shared" si="14"/>
        <v>-6.6</v>
      </c>
      <c r="BE40">
        <f t="shared" si="15"/>
        <v>78.3</v>
      </c>
      <c r="BF40" t="s">
        <v>104</v>
      </c>
      <c r="BG40">
        <f t="shared" si="16"/>
        <v>-3.5</v>
      </c>
      <c r="BH40">
        <f t="shared" si="17"/>
        <v>0</v>
      </c>
      <c r="BI40">
        <f t="shared" si="18"/>
        <v>0.31</v>
      </c>
      <c r="BJ40">
        <f t="shared" si="19"/>
        <v>1.3</v>
      </c>
      <c r="BK40">
        <f t="shared" si="20"/>
        <v>0.42499999999999982</v>
      </c>
      <c r="BL40">
        <f t="shared" si="21"/>
        <v>8.6999999999999993</v>
      </c>
      <c r="BM40">
        <f t="shared" si="22"/>
        <v>0.36599999999999999</v>
      </c>
      <c r="BN40">
        <f t="shared" si="23"/>
        <v>0.10100000000000001</v>
      </c>
    </row>
    <row r="41" spans="1:66" x14ac:dyDescent="0.25">
      <c r="A41">
        <v>2024</v>
      </c>
      <c r="B41" s="1">
        <f t="shared" si="24"/>
        <v>45327</v>
      </c>
      <c r="C41">
        <v>36</v>
      </c>
      <c r="D41">
        <v>70</v>
      </c>
      <c r="E41" s="6">
        <v>12.77</v>
      </c>
      <c r="F41" s="6">
        <v>-2.6259999999999999</v>
      </c>
      <c r="G41" s="6">
        <v>1.331</v>
      </c>
      <c r="H41" s="6">
        <v>-6.7779999999999996</v>
      </c>
      <c r="I41" s="6">
        <v>1.58</v>
      </c>
      <c r="J41" s="6">
        <v>-1.786</v>
      </c>
      <c r="K41" s="6">
        <v>85.1</v>
      </c>
      <c r="L41" s="6"/>
      <c r="M41" s="6">
        <v>-1.1619999999999999</v>
      </c>
      <c r="N41" s="6">
        <v>0.27300000000000002</v>
      </c>
      <c r="O41" s="6">
        <v>3.3250000000000002</v>
      </c>
      <c r="P41" s="6">
        <v>91.5</v>
      </c>
      <c r="Q41" s="6"/>
      <c r="R41" s="6">
        <v>0.34300000000000003</v>
      </c>
      <c r="S41" s="6">
        <v>1.08</v>
      </c>
      <c r="T41" s="6">
        <v>-6.01</v>
      </c>
      <c r="U41" s="6">
        <v>64.05</v>
      </c>
      <c r="V41" s="6"/>
      <c r="W41" s="6">
        <v>-2.7949999999999999</v>
      </c>
      <c r="X41" s="6">
        <v>0.122</v>
      </c>
      <c r="Y41" s="6">
        <v>0.27900000000000003</v>
      </c>
      <c r="Z41" s="6">
        <v>1.62</v>
      </c>
      <c r="AA41" s="6">
        <v>3.4</v>
      </c>
      <c r="AB41" s="6">
        <v>1.627</v>
      </c>
      <c r="AC41" s="6">
        <v>1.4470000000000001</v>
      </c>
      <c r="AD41" s="6">
        <v>-6.7430000000000003</v>
      </c>
      <c r="AE41" s="6">
        <v>8.9999999999999993E-3</v>
      </c>
      <c r="AF41" s="6">
        <v>6.0000000000000001E-3</v>
      </c>
      <c r="AG41" s="6">
        <v>1.629</v>
      </c>
      <c r="AH41" s="6"/>
      <c r="AI41" s="6">
        <f t="shared" si="0"/>
        <v>0.42299999999999982</v>
      </c>
      <c r="AJ41">
        <f t="shared" si="28"/>
        <v>0</v>
      </c>
      <c r="AK41" s="21">
        <f t="shared" si="25"/>
        <v>0</v>
      </c>
      <c r="AL41">
        <f t="shared" si="26"/>
        <v>110.10000000000002</v>
      </c>
      <c r="AM41" s="4">
        <v>8.1</v>
      </c>
      <c r="AN41">
        <v>1.58</v>
      </c>
      <c r="AP41" s="7">
        <f t="shared" si="3"/>
        <v>0.496</v>
      </c>
      <c r="AQ41" s="7">
        <f t="shared" si="4"/>
        <v>0.27800000000000002</v>
      </c>
      <c r="AS41">
        <f t="shared" si="5"/>
        <v>1.58</v>
      </c>
      <c r="AT41">
        <f t="shared" si="6"/>
        <v>-1.8</v>
      </c>
      <c r="AU41">
        <f t="shared" si="7"/>
        <v>85.1</v>
      </c>
      <c r="AV41" t="s">
        <v>104</v>
      </c>
      <c r="AW41">
        <f t="shared" si="8"/>
        <v>-1.2</v>
      </c>
      <c r="AX41">
        <f t="shared" si="9"/>
        <v>0.3</v>
      </c>
      <c r="AY41">
        <f t="shared" si="10"/>
        <v>3.3</v>
      </c>
      <c r="AZ41">
        <f t="shared" si="11"/>
        <v>91.5</v>
      </c>
      <c r="BA41" t="s">
        <v>104</v>
      </c>
      <c r="BB41">
        <f t="shared" si="12"/>
        <v>0.3</v>
      </c>
      <c r="BC41">
        <f t="shared" si="13"/>
        <v>1.1000000000000001</v>
      </c>
      <c r="BD41">
        <f t="shared" si="14"/>
        <v>-6</v>
      </c>
      <c r="BE41">
        <f t="shared" si="15"/>
        <v>64.099999999999994</v>
      </c>
      <c r="BF41" t="s">
        <v>104</v>
      </c>
      <c r="BG41">
        <f t="shared" si="16"/>
        <v>-2.8</v>
      </c>
      <c r="BH41">
        <f t="shared" si="17"/>
        <v>0.1</v>
      </c>
      <c r="BI41">
        <f t="shared" si="18"/>
        <v>0.28000000000000003</v>
      </c>
      <c r="BJ41">
        <f t="shared" si="19"/>
        <v>1.62</v>
      </c>
      <c r="BK41">
        <f t="shared" si="20"/>
        <v>0.42299999999999982</v>
      </c>
      <c r="BL41">
        <f t="shared" si="21"/>
        <v>0</v>
      </c>
      <c r="BM41">
        <f t="shared" si="22"/>
        <v>0.496</v>
      </c>
      <c r="BN41">
        <f t="shared" si="23"/>
        <v>0.27800000000000002</v>
      </c>
    </row>
    <row r="42" spans="1:66" x14ac:dyDescent="0.25">
      <c r="A42">
        <v>2024</v>
      </c>
      <c r="B42" s="1">
        <f t="shared" si="24"/>
        <v>45328</v>
      </c>
      <c r="C42">
        <v>37</v>
      </c>
      <c r="D42">
        <v>70</v>
      </c>
      <c r="E42" s="6">
        <v>12.81</v>
      </c>
      <c r="F42" s="6">
        <v>-0.58299999999999996</v>
      </c>
      <c r="G42" s="6">
        <v>2.6669999999999998</v>
      </c>
      <c r="H42" s="6">
        <v>-2.4260000000000002</v>
      </c>
      <c r="I42" s="6">
        <v>3.6709999999999998</v>
      </c>
      <c r="J42" s="6">
        <v>-8.9999999999999993E-3</v>
      </c>
      <c r="K42" s="6">
        <v>88.7</v>
      </c>
      <c r="L42" s="6"/>
      <c r="M42" s="6">
        <v>-0.35</v>
      </c>
      <c r="N42" s="6">
        <v>0.27200000000000002</v>
      </c>
      <c r="O42" s="6">
        <v>4.3920000000000003</v>
      </c>
      <c r="P42" s="6">
        <v>93</v>
      </c>
      <c r="Q42" s="6"/>
      <c r="R42" s="6">
        <v>0.58199999999999996</v>
      </c>
      <c r="S42" s="6">
        <v>0.86199999999999999</v>
      </c>
      <c r="T42" s="6">
        <v>-1.921</v>
      </c>
      <c r="U42" s="6">
        <v>70.099999999999994</v>
      </c>
      <c r="V42" s="6"/>
      <c r="W42" s="6">
        <v>-1.141</v>
      </c>
      <c r="X42" s="6">
        <v>0.14899999999999999</v>
      </c>
      <c r="Y42" s="6">
        <v>0.183</v>
      </c>
      <c r="Z42" s="6">
        <v>1.194</v>
      </c>
      <c r="AA42" s="6">
        <v>2.7</v>
      </c>
      <c r="AB42" s="6">
        <v>1.6259999999999999</v>
      </c>
      <c r="AC42" s="6">
        <v>2.819</v>
      </c>
      <c r="AD42" s="6">
        <v>-2.2589999999999999</v>
      </c>
      <c r="AE42" s="6">
        <v>8.9999999999999993E-3</v>
      </c>
      <c r="AF42" s="6">
        <v>7.0000000000000001E-3</v>
      </c>
      <c r="AG42" s="6">
        <v>1.627</v>
      </c>
      <c r="AH42" s="6"/>
      <c r="AI42" s="6">
        <f t="shared" si="0"/>
        <v>0.42399999999999993</v>
      </c>
      <c r="AJ42">
        <f t="shared" si="28"/>
        <v>0.1</v>
      </c>
      <c r="AK42" s="21">
        <f t="shared" si="25"/>
        <v>0.1</v>
      </c>
      <c r="AL42">
        <f t="shared" si="26"/>
        <v>110.20000000000002</v>
      </c>
      <c r="AM42" s="4">
        <v>8.27</v>
      </c>
      <c r="AN42">
        <v>3.67</v>
      </c>
      <c r="AP42" s="7">
        <f t="shared" si="3"/>
        <v>0.58599999999999997</v>
      </c>
      <c r="AQ42" s="7">
        <f t="shared" si="4"/>
        <v>0.25</v>
      </c>
      <c r="AS42">
        <f t="shared" si="5"/>
        <v>3.67</v>
      </c>
      <c r="AT42">
        <f t="shared" si="6"/>
        <v>0</v>
      </c>
      <c r="AU42">
        <f t="shared" si="7"/>
        <v>88.7</v>
      </c>
      <c r="AV42" t="s">
        <v>104</v>
      </c>
      <c r="AW42">
        <f t="shared" si="8"/>
        <v>-0.4</v>
      </c>
      <c r="AX42">
        <f t="shared" si="9"/>
        <v>0.3</v>
      </c>
      <c r="AY42">
        <f t="shared" si="10"/>
        <v>4.4000000000000004</v>
      </c>
      <c r="AZ42">
        <f t="shared" si="11"/>
        <v>93</v>
      </c>
      <c r="BA42" t="s">
        <v>104</v>
      </c>
      <c r="BB42">
        <f t="shared" si="12"/>
        <v>0.6</v>
      </c>
      <c r="BC42">
        <f t="shared" si="13"/>
        <v>0.9</v>
      </c>
      <c r="BD42">
        <f t="shared" si="14"/>
        <v>-1.9</v>
      </c>
      <c r="BE42">
        <f t="shared" si="15"/>
        <v>70.099999999999994</v>
      </c>
      <c r="BF42" t="s">
        <v>104</v>
      </c>
      <c r="BG42">
        <f t="shared" si="16"/>
        <v>-1.1000000000000001</v>
      </c>
      <c r="BH42">
        <f t="shared" si="17"/>
        <v>0.1</v>
      </c>
      <c r="BI42">
        <f t="shared" si="18"/>
        <v>0.18</v>
      </c>
      <c r="BJ42">
        <f t="shared" si="19"/>
        <v>1.19</v>
      </c>
      <c r="BK42">
        <f t="shared" si="20"/>
        <v>0.42399999999999993</v>
      </c>
      <c r="BL42">
        <f t="shared" si="21"/>
        <v>0.1</v>
      </c>
      <c r="BM42">
        <f t="shared" si="22"/>
        <v>0.58599999999999997</v>
      </c>
      <c r="BN42">
        <f t="shared" si="23"/>
        <v>0.25</v>
      </c>
    </row>
    <row r="43" spans="1:66" x14ac:dyDescent="0.25">
      <c r="A43">
        <v>2024</v>
      </c>
      <c r="B43" s="1">
        <f t="shared" si="24"/>
        <v>45329</v>
      </c>
      <c r="C43">
        <v>38</v>
      </c>
      <c r="D43">
        <v>70</v>
      </c>
      <c r="E43" s="6">
        <v>12.69</v>
      </c>
      <c r="F43" s="6">
        <v>-2.8450000000000002</v>
      </c>
      <c r="G43" s="6">
        <v>-1.2669999999999999</v>
      </c>
      <c r="H43" s="6">
        <v>-5.55</v>
      </c>
      <c r="I43" s="6">
        <v>0.73499999999999999</v>
      </c>
      <c r="J43" s="6">
        <v>-2.4470000000000001</v>
      </c>
      <c r="K43" s="6">
        <v>89.8</v>
      </c>
      <c r="L43" s="6"/>
      <c r="M43" s="6">
        <v>-1.006</v>
      </c>
      <c r="N43" s="6">
        <v>0.20799999999999999</v>
      </c>
      <c r="O43" s="6">
        <v>-0.51700000000000002</v>
      </c>
      <c r="P43" s="6">
        <v>93.2</v>
      </c>
      <c r="Q43" s="6"/>
      <c r="R43" s="6">
        <v>-0.02</v>
      </c>
      <c r="S43" s="6">
        <v>0.34599999999999997</v>
      </c>
      <c r="T43" s="6">
        <v>-4.944</v>
      </c>
      <c r="U43" s="6">
        <v>82.2</v>
      </c>
      <c r="V43" s="6"/>
      <c r="W43" s="6">
        <v>-2.5190000000000001</v>
      </c>
      <c r="X43" s="6">
        <v>1.4E-2</v>
      </c>
      <c r="Y43" s="6">
        <v>0.13300000000000001</v>
      </c>
      <c r="Z43" s="6">
        <v>1.1000000000000001</v>
      </c>
      <c r="AA43" s="6">
        <v>0</v>
      </c>
      <c r="AB43" s="6">
        <v>1.6220000000000001</v>
      </c>
      <c r="AC43" s="6">
        <v>-1.206</v>
      </c>
      <c r="AD43" s="6">
        <v>-5.3070000000000004</v>
      </c>
      <c r="AE43" s="6">
        <v>8.9999999999999993E-3</v>
      </c>
      <c r="AF43" s="6">
        <v>7.0000000000000001E-3</v>
      </c>
      <c r="AG43" s="6">
        <v>1.6359999999999999</v>
      </c>
      <c r="AH43" s="6"/>
      <c r="AI43" s="6">
        <f t="shared" si="0"/>
        <v>0.42799999999999971</v>
      </c>
      <c r="AJ43">
        <f t="shared" si="28"/>
        <v>0.5</v>
      </c>
      <c r="AK43" s="21">
        <f t="shared" si="25"/>
        <v>0.5</v>
      </c>
      <c r="AL43">
        <f t="shared" si="26"/>
        <v>110.70000000000002</v>
      </c>
      <c r="AM43" s="4">
        <v>8.44</v>
      </c>
      <c r="AN43">
        <v>0.73</v>
      </c>
      <c r="AP43" s="7">
        <f t="shared" si="3"/>
        <v>0.48299999999999998</v>
      </c>
      <c r="AQ43" s="7">
        <f t="shared" si="4"/>
        <v>0.105</v>
      </c>
      <c r="AS43">
        <f t="shared" si="5"/>
        <v>0.73</v>
      </c>
      <c r="AT43">
        <f t="shared" si="6"/>
        <v>-2.4</v>
      </c>
      <c r="AU43">
        <f t="shared" si="7"/>
        <v>89.8</v>
      </c>
      <c r="AV43" t="s">
        <v>104</v>
      </c>
      <c r="AW43">
        <f t="shared" si="8"/>
        <v>-1</v>
      </c>
      <c r="AX43">
        <f t="shared" si="9"/>
        <v>0.2</v>
      </c>
      <c r="AY43">
        <f t="shared" si="10"/>
        <v>-0.5</v>
      </c>
      <c r="AZ43">
        <f t="shared" si="11"/>
        <v>93.2</v>
      </c>
      <c r="BA43" t="s">
        <v>104</v>
      </c>
      <c r="BB43">
        <f t="shared" si="12"/>
        <v>0</v>
      </c>
      <c r="BC43">
        <f t="shared" si="13"/>
        <v>0.3</v>
      </c>
      <c r="BD43">
        <f t="shared" si="14"/>
        <v>-4.9000000000000004</v>
      </c>
      <c r="BE43">
        <f t="shared" si="15"/>
        <v>82.2</v>
      </c>
      <c r="BF43" t="s">
        <v>104</v>
      </c>
      <c r="BG43">
        <f t="shared" si="16"/>
        <v>-2.5</v>
      </c>
      <c r="BH43">
        <f t="shared" si="17"/>
        <v>0</v>
      </c>
      <c r="BI43">
        <f t="shared" si="18"/>
        <v>0.13</v>
      </c>
      <c r="BJ43">
        <f t="shared" si="19"/>
        <v>1.1000000000000001</v>
      </c>
      <c r="BK43">
        <f t="shared" si="20"/>
        <v>0.42799999999999971</v>
      </c>
      <c r="BL43">
        <f t="shared" si="21"/>
        <v>0.5</v>
      </c>
      <c r="BM43">
        <f t="shared" si="22"/>
        <v>0.48299999999999998</v>
      </c>
      <c r="BN43">
        <f t="shared" si="23"/>
        <v>0.105</v>
      </c>
    </row>
    <row r="44" spans="1:66" x14ac:dyDescent="0.25">
      <c r="A44">
        <v>2024</v>
      </c>
      <c r="B44" s="1">
        <f t="shared" si="24"/>
        <v>45330</v>
      </c>
      <c r="C44">
        <v>39</v>
      </c>
      <c r="D44">
        <v>70</v>
      </c>
      <c r="E44" s="6">
        <v>12.84</v>
      </c>
      <c r="F44" s="6">
        <v>-5.1139999999999999</v>
      </c>
      <c r="G44" s="6">
        <v>0.96599999999999997</v>
      </c>
      <c r="H44" s="6">
        <v>-8.83</v>
      </c>
      <c r="I44" s="6">
        <v>1.758</v>
      </c>
      <c r="J44" s="6">
        <v>-4.4630000000000001</v>
      </c>
      <c r="K44" s="6">
        <v>84.4</v>
      </c>
      <c r="L44" s="6"/>
      <c r="M44" s="6">
        <v>-2.58</v>
      </c>
      <c r="N44" s="6">
        <v>0.248</v>
      </c>
      <c r="O44" s="6">
        <v>1.9830000000000001</v>
      </c>
      <c r="P44" s="6">
        <v>90.5</v>
      </c>
      <c r="Q44" s="6"/>
      <c r="R44" s="6">
        <v>0.623</v>
      </c>
      <c r="S44" s="6">
        <v>1.377</v>
      </c>
      <c r="T44" s="6">
        <v>-7.9</v>
      </c>
      <c r="U44" s="6">
        <v>59.54</v>
      </c>
      <c r="V44" s="6"/>
      <c r="W44" s="6">
        <v>-4.7240000000000002</v>
      </c>
      <c r="X44" s="6">
        <v>-0.23499999999999999</v>
      </c>
      <c r="Y44" s="6">
        <v>0.216</v>
      </c>
      <c r="Z44" s="6">
        <v>1.5</v>
      </c>
      <c r="AA44" s="6">
        <v>0.1</v>
      </c>
      <c r="AB44" s="6">
        <v>1.6459999999999999</v>
      </c>
      <c r="AC44" s="6">
        <v>1.24</v>
      </c>
      <c r="AD44" s="6">
        <v>-8.4499999999999993</v>
      </c>
      <c r="AE44" s="6">
        <v>8.9999999999999993E-3</v>
      </c>
      <c r="AF44" s="6">
        <v>7.0000000000000001E-3</v>
      </c>
      <c r="AG44" s="6">
        <v>1.669</v>
      </c>
      <c r="AH44" s="6"/>
      <c r="AI44" s="6">
        <f t="shared" si="0"/>
        <v>0.40399999999999991</v>
      </c>
      <c r="AJ44">
        <f t="shared" si="28"/>
        <v>0</v>
      </c>
      <c r="AK44" s="21">
        <f t="shared" si="25"/>
        <v>0</v>
      </c>
      <c r="AL44">
        <f t="shared" si="26"/>
        <v>110.70000000000002</v>
      </c>
      <c r="AM44" s="4">
        <v>8.61</v>
      </c>
      <c r="AN44">
        <v>1.76</v>
      </c>
      <c r="AP44" s="7">
        <f t="shared" si="3"/>
        <v>0.41899999999999998</v>
      </c>
      <c r="AQ44" s="7">
        <f t="shared" si="4"/>
        <v>0.28499999999999998</v>
      </c>
      <c r="AS44">
        <f t="shared" si="5"/>
        <v>1.76</v>
      </c>
      <c r="AT44">
        <f t="shared" si="6"/>
        <v>-4.5</v>
      </c>
      <c r="AU44">
        <f t="shared" si="7"/>
        <v>84.4</v>
      </c>
      <c r="AV44" t="s">
        <v>104</v>
      </c>
      <c r="AW44">
        <f t="shared" si="8"/>
        <v>-2.6</v>
      </c>
      <c r="AX44">
        <f t="shared" si="9"/>
        <v>0.2</v>
      </c>
      <c r="AY44">
        <f t="shared" si="10"/>
        <v>2</v>
      </c>
      <c r="AZ44">
        <f t="shared" si="11"/>
        <v>90.5</v>
      </c>
      <c r="BA44" t="s">
        <v>104</v>
      </c>
      <c r="BB44">
        <f t="shared" si="12"/>
        <v>0.6</v>
      </c>
      <c r="BC44">
        <f t="shared" si="13"/>
        <v>1.4</v>
      </c>
      <c r="BD44">
        <f t="shared" si="14"/>
        <v>-7.9</v>
      </c>
      <c r="BE44">
        <f t="shared" si="15"/>
        <v>59.5</v>
      </c>
      <c r="BF44" t="s">
        <v>104</v>
      </c>
      <c r="BG44">
        <f t="shared" si="16"/>
        <v>-4.7</v>
      </c>
      <c r="BH44">
        <f t="shared" si="17"/>
        <v>-0.2</v>
      </c>
      <c r="BI44">
        <f t="shared" si="18"/>
        <v>0.22</v>
      </c>
      <c r="BJ44">
        <f t="shared" si="19"/>
        <v>1.5</v>
      </c>
      <c r="BK44">
        <f t="shared" si="20"/>
        <v>0.40399999999999991</v>
      </c>
      <c r="BL44">
        <f t="shared" si="21"/>
        <v>0</v>
      </c>
      <c r="BM44">
        <f t="shared" si="22"/>
        <v>0.41899999999999998</v>
      </c>
      <c r="BN44">
        <f t="shared" si="23"/>
        <v>0.28499999999999998</v>
      </c>
    </row>
    <row r="45" spans="1:66" x14ac:dyDescent="0.25">
      <c r="A45">
        <v>2024</v>
      </c>
      <c r="B45" s="1">
        <f t="shared" si="24"/>
        <v>45331</v>
      </c>
      <c r="C45">
        <v>40</v>
      </c>
      <c r="D45">
        <v>70</v>
      </c>
      <c r="E45" s="6">
        <v>12.99</v>
      </c>
      <c r="F45" s="6">
        <v>-8.14</v>
      </c>
      <c r="G45" s="6">
        <v>1.9350000000000001</v>
      </c>
      <c r="H45" s="6">
        <v>-12.98</v>
      </c>
      <c r="I45" s="6">
        <v>5.056</v>
      </c>
      <c r="J45" s="6">
        <v>-6.8310000000000004</v>
      </c>
      <c r="K45" s="6">
        <v>79.599999999999994</v>
      </c>
      <c r="L45" s="6"/>
      <c r="M45" s="6">
        <v>-5.4169999999999998</v>
      </c>
      <c r="N45" s="6">
        <v>0.27400000000000002</v>
      </c>
      <c r="O45" s="6">
        <v>1.2310000000000001</v>
      </c>
      <c r="P45" s="6">
        <v>88.8</v>
      </c>
      <c r="Q45" s="6"/>
      <c r="R45" s="6">
        <v>-1.327</v>
      </c>
      <c r="S45" s="6">
        <v>1.5469999999999999</v>
      </c>
      <c r="T45" s="6">
        <v>-11.52</v>
      </c>
      <c r="U45" s="6">
        <v>49.3</v>
      </c>
      <c r="V45" s="6"/>
      <c r="W45" s="6">
        <v>-7.78</v>
      </c>
      <c r="X45" s="6">
        <v>-0.35799999999999998</v>
      </c>
      <c r="Y45" s="6">
        <v>0.41099999999999998</v>
      </c>
      <c r="Z45" s="6">
        <v>1.607</v>
      </c>
      <c r="AA45" s="6">
        <v>0</v>
      </c>
      <c r="AB45" s="6">
        <v>1.651</v>
      </c>
      <c r="AC45" s="6">
        <v>2.7360000000000002</v>
      </c>
      <c r="AD45" s="6">
        <v>-12.8</v>
      </c>
      <c r="AE45" s="6">
        <v>8.9999999999999993E-3</v>
      </c>
      <c r="AF45" s="6">
        <v>6.0000000000000001E-3</v>
      </c>
      <c r="AG45" s="6">
        <v>1.679</v>
      </c>
      <c r="AH45" s="6"/>
      <c r="AI45" s="6">
        <f t="shared" si="0"/>
        <v>0.3989999999999998</v>
      </c>
      <c r="AJ45">
        <f t="shared" si="28"/>
        <v>0</v>
      </c>
      <c r="AK45" s="21">
        <f t="shared" si="25"/>
        <v>0</v>
      </c>
      <c r="AL45">
        <f t="shared" si="26"/>
        <v>110.70000000000002</v>
      </c>
      <c r="AM45" s="4">
        <v>8.7799999999999994</v>
      </c>
      <c r="AN45">
        <v>5.05</v>
      </c>
      <c r="AP45" s="7">
        <f t="shared" si="3"/>
        <v>0.32900000000000001</v>
      </c>
      <c r="AQ45" s="7">
        <f t="shared" si="4"/>
        <v>0.33800000000000002</v>
      </c>
      <c r="AS45">
        <f t="shared" si="5"/>
        <v>5.05</v>
      </c>
      <c r="AT45">
        <f t="shared" si="6"/>
        <v>-6.8</v>
      </c>
      <c r="AU45">
        <f t="shared" si="7"/>
        <v>79.599999999999994</v>
      </c>
      <c r="AV45" t="s">
        <v>104</v>
      </c>
      <c r="AW45">
        <f t="shared" si="8"/>
        <v>-5.4</v>
      </c>
      <c r="AX45">
        <f t="shared" si="9"/>
        <v>0.3</v>
      </c>
      <c r="AY45">
        <f t="shared" si="10"/>
        <v>1.2</v>
      </c>
      <c r="AZ45">
        <f t="shared" si="11"/>
        <v>88.8</v>
      </c>
      <c r="BA45" t="s">
        <v>104</v>
      </c>
      <c r="BB45">
        <f t="shared" si="12"/>
        <v>-1.3</v>
      </c>
      <c r="BC45">
        <f t="shared" si="13"/>
        <v>1.5</v>
      </c>
      <c r="BD45">
        <f t="shared" si="14"/>
        <v>-11.5</v>
      </c>
      <c r="BE45">
        <f t="shared" si="15"/>
        <v>49.3</v>
      </c>
      <c r="BF45" t="s">
        <v>104</v>
      </c>
      <c r="BG45">
        <f t="shared" si="16"/>
        <v>-7.8</v>
      </c>
      <c r="BH45">
        <f t="shared" si="17"/>
        <v>-0.4</v>
      </c>
      <c r="BI45">
        <f t="shared" si="18"/>
        <v>0.41</v>
      </c>
      <c r="BJ45">
        <f t="shared" si="19"/>
        <v>1.61</v>
      </c>
      <c r="BK45">
        <f t="shared" si="20"/>
        <v>0.3989999999999998</v>
      </c>
      <c r="BL45">
        <f t="shared" si="21"/>
        <v>0</v>
      </c>
      <c r="BM45">
        <f t="shared" si="22"/>
        <v>0.32900000000000001</v>
      </c>
      <c r="BN45">
        <f t="shared" si="23"/>
        <v>0.33800000000000002</v>
      </c>
    </row>
    <row r="46" spans="1:66" x14ac:dyDescent="0.25">
      <c r="A46">
        <v>2024</v>
      </c>
      <c r="B46" s="1">
        <f t="shared" si="24"/>
        <v>45332</v>
      </c>
      <c r="C46">
        <v>41</v>
      </c>
      <c r="D46">
        <v>70</v>
      </c>
      <c r="E46" s="6">
        <v>12.92</v>
      </c>
      <c r="F46" s="6">
        <v>-5.1289999999999996</v>
      </c>
      <c r="G46" s="6">
        <v>-0.51800000000000002</v>
      </c>
      <c r="H46" s="6">
        <v>-11.54</v>
      </c>
      <c r="I46" s="6">
        <v>3.4409999999999998</v>
      </c>
      <c r="J46" s="6">
        <v>-4.1449999999999996</v>
      </c>
      <c r="K46" s="6">
        <v>81.8</v>
      </c>
      <c r="L46" s="6"/>
      <c r="M46" s="6">
        <v>-3.472</v>
      </c>
      <c r="N46" s="6">
        <v>0.40500000000000003</v>
      </c>
      <c r="O46" s="6">
        <v>-0.104</v>
      </c>
      <c r="P46" s="6">
        <v>89.6</v>
      </c>
      <c r="Q46" s="6"/>
      <c r="R46" s="6">
        <v>-0.88500000000000001</v>
      </c>
      <c r="S46" s="6">
        <v>0.80500000000000005</v>
      </c>
      <c r="T46" s="6">
        <v>-9.43</v>
      </c>
      <c r="U46" s="6">
        <v>60.95</v>
      </c>
      <c r="V46" s="6"/>
      <c r="W46" s="6">
        <v>-7.73</v>
      </c>
      <c r="X46" s="6">
        <v>0.13300000000000001</v>
      </c>
      <c r="Y46" s="6">
        <v>0.254</v>
      </c>
      <c r="Z46" s="6">
        <v>1.3540000000000001</v>
      </c>
      <c r="AA46" s="6">
        <v>0</v>
      </c>
      <c r="AB46" s="6">
        <v>1.5980000000000001</v>
      </c>
      <c r="AC46" s="6">
        <v>-0.48199999999999998</v>
      </c>
      <c r="AD46" s="6">
        <v>-11.46</v>
      </c>
      <c r="AE46" s="6">
        <v>8.9999999999999993E-3</v>
      </c>
      <c r="AF46" s="6">
        <v>6.0000000000000001E-3</v>
      </c>
      <c r="AG46" s="6">
        <v>1.607</v>
      </c>
      <c r="AH46" s="6"/>
      <c r="AI46" s="6">
        <f t="shared" si="0"/>
        <v>0.45199999999999974</v>
      </c>
      <c r="AJ46">
        <f t="shared" si="28"/>
        <v>6.9</v>
      </c>
      <c r="AK46" s="21">
        <f t="shared" si="25"/>
        <v>6.9</v>
      </c>
      <c r="AL46">
        <f t="shared" si="26"/>
        <v>117.60000000000002</v>
      </c>
      <c r="AM46" s="4">
        <v>8.9600000000000009</v>
      </c>
      <c r="AN46">
        <v>3.44</v>
      </c>
      <c r="AP46" s="7">
        <f t="shared" si="3"/>
        <v>0.36899999999999999</v>
      </c>
      <c r="AQ46" s="7">
        <f t="shared" si="4"/>
        <v>0.23599999999999999</v>
      </c>
      <c r="AS46">
        <f t="shared" si="5"/>
        <v>3.44</v>
      </c>
      <c r="AT46">
        <f t="shared" si="6"/>
        <v>-4.0999999999999996</v>
      </c>
      <c r="AU46">
        <f t="shared" si="7"/>
        <v>81.8</v>
      </c>
      <c r="AV46" t="s">
        <v>104</v>
      </c>
      <c r="AW46">
        <f t="shared" si="8"/>
        <v>-3.5</v>
      </c>
      <c r="AX46">
        <f t="shared" si="9"/>
        <v>0.4</v>
      </c>
      <c r="AY46">
        <f t="shared" si="10"/>
        <v>-0.1</v>
      </c>
      <c r="AZ46">
        <f t="shared" si="11"/>
        <v>89.6</v>
      </c>
      <c r="BA46" t="s">
        <v>104</v>
      </c>
      <c r="BB46">
        <f t="shared" si="12"/>
        <v>-0.9</v>
      </c>
      <c r="BC46">
        <f t="shared" si="13"/>
        <v>0.8</v>
      </c>
      <c r="BD46">
        <f t="shared" si="14"/>
        <v>-9.4</v>
      </c>
      <c r="BE46">
        <f t="shared" si="15"/>
        <v>61</v>
      </c>
      <c r="BF46" t="s">
        <v>104</v>
      </c>
      <c r="BG46">
        <f t="shared" si="16"/>
        <v>-7.7</v>
      </c>
      <c r="BH46">
        <f t="shared" si="17"/>
        <v>0.1</v>
      </c>
      <c r="BI46">
        <f t="shared" si="18"/>
        <v>0.25</v>
      </c>
      <c r="BJ46">
        <f t="shared" si="19"/>
        <v>1.35</v>
      </c>
      <c r="BK46">
        <f t="shared" si="20"/>
        <v>0.45199999999999974</v>
      </c>
      <c r="BL46">
        <f t="shared" si="21"/>
        <v>6.9</v>
      </c>
      <c r="BM46">
        <f t="shared" si="22"/>
        <v>0.36899999999999999</v>
      </c>
      <c r="BN46">
        <f t="shared" si="23"/>
        <v>0.23599999999999999</v>
      </c>
    </row>
    <row r="47" spans="1:66" x14ac:dyDescent="0.25">
      <c r="A47">
        <v>2024</v>
      </c>
      <c r="B47" s="1">
        <f t="shared" si="24"/>
        <v>45333</v>
      </c>
      <c r="C47">
        <v>42</v>
      </c>
      <c r="D47">
        <v>70</v>
      </c>
      <c r="E47" s="6">
        <v>12.78</v>
      </c>
      <c r="F47" s="6">
        <v>-2.6070000000000002</v>
      </c>
      <c r="G47" s="6">
        <v>-0.94099999999999995</v>
      </c>
      <c r="H47" s="6">
        <v>-4.0430000000000001</v>
      </c>
      <c r="I47" s="6">
        <v>0.314</v>
      </c>
      <c r="J47" s="6">
        <v>-2.097</v>
      </c>
      <c r="K47" s="6">
        <v>87.6</v>
      </c>
      <c r="L47" s="6"/>
      <c r="M47" s="6">
        <v>-1.5629999999999999</v>
      </c>
      <c r="N47" s="6">
        <v>0.34</v>
      </c>
      <c r="O47" s="6">
        <v>-0.38200000000000001</v>
      </c>
      <c r="P47" s="6">
        <v>92.2</v>
      </c>
      <c r="Q47" s="6"/>
      <c r="R47" s="6">
        <v>-0.90800000000000003</v>
      </c>
      <c r="S47" s="6">
        <v>0.51300000000000001</v>
      </c>
      <c r="T47" s="6">
        <v>-3.532</v>
      </c>
      <c r="U47" s="6">
        <v>81.7</v>
      </c>
      <c r="V47" s="6"/>
      <c r="W47" s="6">
        <v>-2.3119999999999998</v>
      </c>
      <c r="X47" s="6">
        <v>0.217</v>
      </c>
      <c r="Y47" s="6">
        <v>0.43</v>
      </c>
      <c r="Z47" s="6">
        <v>1.3939999999999999</v>
      </c>
      <c r="AA47" s="6">
        <v>0</v>
      </c>
      <c r="AB47" s="6">
        <v>1.488</v>
      </c>
      <c r="AC47" s="6">
        <v>-0.83499999999999996</v>
      </c>
      <c r="AD47" s="6">
        <v>-3.9239999999999999</v>
      </c>
      <c r="AE47" s="6">
        <v>8.9999999999999993E-3</v>
      </c>
      <c r="AF47" s="6">
        <v>6.0000000000000001E-3</v>
      </c>
      <c r="AG47" s="6">
        <v>1.49</v>
      </c>
      <c r="AH47" s="6"/>
      <c r="AI47" s="6">
        <f t="shared" si="0"/>
        <v>0.56199999999999983</v>
      </c>
      <c r="AJ47">
        <f t="shared" si="28"/>
        <v>14.3</v>
      </c>
      <c r="AK47" s="21">
        <f t="shared" si="25"/>
        <v>14.3</v>
      </c>
      <c r="AL47">
        <f t="shared" si="26"/>
        <v>131.90000000000003</v>
      </c>
      <c r="AM47" s="4">
        <v>9.15</v>
      </c>
      <c r="AN47">
        <v>0.31</v>
      </c>
      <c r="AP47" s="7">
        <f t="shared" si="3"/>
        <v>0.48499999999999999</v>
      </c>
      <c r="AQ47" s="7">
        <f t="shared" si="4"/>
        <v>0.109</v>
      </c>
      <c r="AS47">
        <f t="shared" si="5"/>
        <v>0.31</v>
      </c>
      <c r="AT47">
        <f t="shared" si="6"/>
        <v>-2.1</v>
      </c>
      <c r="AU47">
        <f t="shared" si="7"/>
        <v>87.6</v>
      </c>
      <c r="AV47" t="s">
        <v>104</v>
      </c>
      <c r="AW47">
        <f t="shared" si="8"/>
        <v>-1.6</v>
      </c>
      <c r="AX47">
        <f t="shared" si="9"/>
        <v>0.3</v>
      </c>
      <c r="AY47">
        <f t="shared" si="10"/>
        <v>-0.4</v>
      </c>
      <c r="AZ47">
        <f t="shared" si="11"/>
        <v>92.2</v>
      </c>
      <c r="BA47" t="s">
        <v>104</v>
      </c>
      <c r="BB47">
        <f t="shared" si="12"/>
        <v>-0.9</v>
      </c>
      <c r="BC47">
        <f t="shared" si="13"/>
        <v>0.5</v>
      </c>
      <c r="BD47">
        <f t="shared" si="14"/>
        <v>-3.5</v>
      </c>
      <c r="BE47">
        <f t="shared" si="15"/>
        <v>81.7</v>
      </c>
      <c r="BF47" t="s">
        <v>104</v>
      </c>
      <c r="BG47">
        <f t="shared" si="16"/>
        <v>-2.2999999999999998</v>
      </c>
      <c r="BH47">
        <f t="shared" si="17"/>
        <v>0.2</v>
      </c>
      <c r="BI47">
        <f t="shared" si="18"/>
        <v>0.43</v>
      </c>
      <c r="BJ47">
        <f t="shared" si="19"/>
        <v>1.39</v>
      </c>
      <c r="BK47">
        <f t="shared" si="20"/>
        <v>0.56199999999999983</v>
      </c>
      <c r="BL47">
        <f t="shared" si="21"/>
        <v>14.3</v>
      </c>
      <c r="BM47">
        <f t="shared" si="22"/>
        <v>0.48499999999999999</v>
      </c>
      <c r="BN47">
        <f t="shared" si="23"/>
        <v>0.109</v>
      </c>
    </row>
    <row r="48" spans="1:66" x14ac:dyDescent="0.25">
      <c r="A48">
        <v>2024</v>
      </c>
      <c r="B48" s="1">
        <f t="shared" si="24"/>
        <v>45334</v>
      </c>
      <c r="C48">
        <v>43</v>
      </c>
      <c r="D48">
        <v>70</v>
      </c>
      <c r="E48" s="6">
        <v>12.96</v>
      </c>
      <c r="F48" s="6">
        <v>-3.4340000000000002</v>
      </c>
      <c r="G48" s="6">
        <v>2.831</v>
      </c>
      <c r="H48" s="6">
        <v>-10</v>
      </c>
      <c r="I48" s="6">
        <v>0.99199999999999999</v>
      </c>
      <c r="J48" s="6">
        <v>-2.9769999999999999</v>
      </c>
      <c r="K48" s="6">
        <v>85.9</v>
      </c>
      <c r="L48" s="6"/>
      <c r="M48" s="6">
        <v>-1.123</v>
      </c>
      <c r="N48" s="6">
        <v>0.23300000000000001</v>
      </c>
      <c r="O48" s="6">
        <v>3.855</v>
      </c>
      <c r="P48" s="6">
        <v>92.4</v>
      </c>
      <c r="Q48" s="6"/>
      <c r="R48" s="6">
        <v>1.1559999999999999</v>
      </c>
      <c r="S48" s="6">
        <v>1.4379999999999999</v>
      </c>
      <c r="T48" s="6">
        <v>-8.43</v>
      </c>
      <c r="U48" s="6">
        <v>58.45</v>
      </c>
      <c r="V48" s="6"/>
      <c r="W48" s="6">
        <v>-3.2090000000000001</v>
      </c>
      <c r="X48" s="6">
        <v>-0.28899999999999998</v>
      </c>
      <c r="Y48" s="6">
        <v>0.45400000000000001</v>
      </c>
      <c r="Z48" s="6">
        <v>1.954</v>
      </c>
      <c r="AA48" s="6">
        <v>0</v>
      </c>
      <c r="AB48" s="6">
        <v>1.5029999999999999</v>
      </c>
      <c r="AC48" s="6">
        <v>3.1909999999999998</v>
      </c>
      <c r="AD48" s="6">
        <v>-9.86</v>
      </c>
      <c r="AE48" s="6">
        <v>8.9999999999999993E-3</v>
      </c>
      <c r="AF48" s="6">
        <v>7.0000000000000001E-3</v>
      </c>
      <c r="AG48" s="6">
        <v>1.5209999999999999</v>
      </c>
      <c r="AH48" s="6"/>
      <c r="AI48" s="6">
        <f t="shared" si="0"/>
        <v>0.54699999999999993</v>
      </c>
      <c r="AJ48">
        <f t="shared" si="28"/>
        <v>0</v>
      </c>
      <c r="AK48" s="21">
        <f t="shared" si="25"/>
        <v>0</v>
      </c>
      <c r="AL48">
        <f t="shared" si="26"/>
        <v>131.90000000000003</v>
      </c>
      <c r="AM48" s="4">
        <v>9.34</v>
      </c>
      <c r="AN48">
        <v>0.99</v>
      </c>
      <c r="AP48" s="7">
        <f t="shared" si="3"/>
        <v>0.47</v>
      </c>
      <c r="AQ48" s="7">
        <f t="shared" si="4"/>
        <v>0.33400000000000002</v>
      </c>
      <c r="AS48">
        <f t="shared" si="5"/>
        <v>0.99</v>
      </c>
      <c r="AT48">
        <f t="shared" si="6"/>
        <v>-3</v>
      </c>
      <c r="AU48">
        <f t="shared" si="7"/>
        <v>85.9</v>
      </c>
      <c r="AV48" t="s">
        <v>104</v>
      </c>
      <c r="AW48">
        <f t="shared" si="8"/>
        <v>-1.1000000000000001</v>
      </c>
      <c r="AX48">
        <f t="shared" si="9"/>
        <v>0.2</v>
      </c>
      <c r="AY48">
        <f t="shared" si="10"/>
        <v>3.9</v>
      </c>
      <c r="AZ48">
        <f t="shared" si="11"/>
        <v>92.4</v>
      </c>
      <c r="BA48" t="s">
        <v>104</v>
      </c>
      <c r="BB48">
        <f t="shared" si="12"/>
        <v>1.2</v>
      </c>
      <c r="BC48">
        <f t="shared" si="13"/>
        <v>1.4</v>
      </c>
      <c r="BD48">
        <f t="shared" si="14"/>
        <v>-8.4</v>
      </c>
      <c r="BE48">
        <f t="shared" si="15"/>
        <v>58.5</v>
      </c>
      <c r="BF48" t="s">
        <v>104</v>
      </c>
      <c r="BG48">
        <f t="shared" si="16"/>
        <v>-3.2</v>
      </c>
      <c r="BH48">
        <f t="shared" si="17"/>
        <v>-0.3</v>
      </c>
      <c r="BI48">
        <f t="shared" si="18"/>
        <v>0.45</v>
      </c>
      <c r="BJ48">
        <f t="shared" si="19"/>
        <v>1.95</v>
      </c>
      <c r="BK48">
        <f t="shared" si="20"/>
        <v>0.54699999999999993</v>
      </c>
      <c r="BL48">
        <f t="shared" si="21"/>
        <v>0</v>
      </c>
      <c r="BM48">
        <f t="shared" si="22"/>
        <v>0.47</v>
      </c>
      <c r="BN48">
        <f t="shared" si="23"/>
        <v>0.33400000000000002</v>
      </c>
    </row>
    <row r="49" spans="1:66" x14ac:dyDescent="0.25">
      <c r="A49">
        <v>2024</v>
      </c>
      <c r="B49" s="1">
        <f t="shared" si="24"/>
        <v>45335</v>
      </c>
      <c r="C49">
        <v>44</v>
      </c>
      <c r="D49">
        <v>70</v>
      </c>
      <c r="E49" s="6">
        <v>13.01</v>
      </c>
      <c r="F49" s="6">
        <v>-7.84</v>
      </c>
      <c r="G49" s="6">
        <v>1.28</v>
      </c>
      <c r="H49" s="6">
        <v>-13.48</v>
      </c>
      <c r="I49" s="6">
        <v>2.149</v>
      </c>
      <c r="J49" s="6">
        <v>-6.5209999999999999</v>
      </c>
      <c r="K49" s="6">
        <v>82.4</v>
      </c>
      <c r="L49" s="6"/>
      <c r="M49" s="6">
        <v>-3.4710000000000001</v>
      </c>
      <c r="N49" s="6">
        <v>0.216</v>
      </c>
      <c r="O49" s="6">
        <v>1.2989999999999999</v>
      </c>
      <c r="P49" s="6">
        <v>90.2</v>
      </c>
      <c r="Q49" s="6"/>
      <c r="R49" s="6">
        <v>-0.86599999999999999</v>
      </c>
      <c r="S49" s="6">
        <v>1.196</v>
      </c>
      <c r="T49" s="6">
        <v>-11.72</v>
      </c>
      <c r="U49" s="6">
        <v>53</v>
      </c>
      <c r="V49" s="6"/>
      <c r="W49" s="6">
        <v>-5.9820000000000002</v>
      </c>
      <c r="X49" s="6">
        <v>-0.51600000000000001</v>
      </c>
      <c r="Y49" s="6">
        <v>0.60399999999999998</v>
      </c>
      <c r="Z49" s="6">
        <v>2.2069999999999999</v>
      </c>
      <c r="AA49" s="6">
        <v>0</v>
      </c>
      <c r="AB49" s="6">
        <v>1.5109999999999999</v>
      </c>
      <c r="AC49" s="6">
        <v>1.7789999999999999</v>
      </c>
      <c r="AD49" s="6">
        <v>-13.23</v>
      </c>
      <c r="AE49" s="6">
        <v>8.9999999999999993E-3</v>
      </c>
      <c r="AF49" s="6">
        <v>6.0000000000000001E-3</v>
      </c>
      <c r="AG49" s="6">
        <v>1.5429999999999999</v>
      </c>
      <c r="AH49" s="6"/>
      <c r="AI49" s="6">
        <f t="shared" si="0"/>
        <v>0.53899999999999992</v>
      </c>
      <c r="AJ49">
        <f t="shared" si="28"/>
        <v>0</v>
      </c>
      <c r="AK49" s="21">
        <f t="shared" si="25"/>
        <v>0</v>
      </c>
      <c r="AL49">
        <f t="shared" si="26"/>
        <v>131.90000000000003</v>
      </c>
      <c r="AM49" s="4">
        <v>9.5299999999999994</v>
      </c>
      <c r="AN49">
        <v>2.15</v>
      </c>
      <c r="AP49" s="7">
        <f t="shared" si="3"/>
        <v>0.35499999999999998</v>
      </c>
      <c r="AQ49" s="7">
        <f t="shared" si="4"/>
        <v>0.315</v>
      </c>
      <c r="AS49">
        <f t="shared" si="5"/>
        <v>2.15</v>
      </c>
      <c r="AT49">
        <f t="shared" si="6"/>
        <v>-6.5</v>
      </c>
      <c r="AU49">
        <f t="shared" si="7"/>
        <v>82.4</v>
      </c>
      <c r="AV49" t="s">
        <v>104</v>
      </c>
      <c r="AW49">
        <f t="shared" si="8"/>
        <v>-3.5</v>
      </c>
      <c r="AX49">
        <f t="shared" si="9"/>
        <v>0.2</v>
      </c>
      <c r="AY49">
        <f t="shared" si="10"/>
        <v>1.3</v>
      </c>
      <c r="AZ49">
        <f t="shared" si="11"/>
        <v>90.2</v>
      </c>
      <c r="BA49" t="s">
        <v>104</v>
      </c>
      <c r="BB49">
        <f t="shared" si="12"/>
        <v>-0.9</v>
      </c>
      <c r="BC49">
        <f t="shared" si="13"/>
        <v>1.2</v>
      </c>
      <c r="BD49">
        <f t="shared" si="14"/>
        <v>-11.7</v>
      </c>
      <c r="BE49">
        <f t="shared" si="15"/>
        <v>53</v>
      </c>
      <c r="BF49" t="s">
        <v>104</v>
      </c>
      <c r="BG49">
        <f t="shared" si="16"/>
        <v>-6</v>
      </c>
      <c r="BH49">
        <f t="shared" si="17"/>
        <v>-0.5</v>
      </c>
      <c r="BI49">
        <f t="shared" si="18"/>
        <v>0.6</v>
      </c>
      <c r="BJ49">
        <f t="shared" si="19"/>
        <v>2.21</v>
      </c>
      <c r="BK49">
        <f t="shared" si="20"/>
        <v>0.53899999999999992</v>
      </c>
      <c r="BL49">
        <f t="shared" si="21"/>
        <v>0</v>
      </c>
      <c r="BM49">
        <f t="shared" si="22"/>
        <v>0.35499999999999998</v>
      </c>
      <c r="BN49">
        <f t="shared" si="23"/>
        <v>0.315</v>
      </c>
    </row>
    <row r="50" spans="1:66" x14ac:dyDescent="0.25">
      <c r="A50">
        <v>2024</v>
      </c>
      <c r="B50" s="1">
        <f t="shared" si="24"/>
        <v>45336</v>
      </c>
      <c r="C50">
        <v>45</v>
      </c>
      <c r="D50">
        <v>70</v>
      </c>
      <c r="E50" s="6">
        <v>13.02</v>
      </c>
      <c r="F50" s="6">
        <v>-10.91</v>
      </c>
      <c r="G50" s="6">
        <v>0.86799999999999999</v>
      </c>
      <c r="H50" s="6">
        <v>-15.66</v>
      </c>
      <c r="I50" s="6">
        <v>3.077</v>
      </c>
      <c r="J50" s="6">
        <v>-9.09</v>
      </c>
      <c r="K50" s="6">
        <v>74.599999999999994</v>
      </c>
      <c r="L50" s="6"/>
      <c r="M50" s="6">
        <v>-5.74</v>
      </c>
      <c r="N50" s="6">
        <v>0.216</v>
      </c>
      <c r="O50" s="6">
        <v>-0.23899999999999999</v>
      </c>
      <c r="P50" s="6">
        <v>88.9</v>
      </c>
      <c r="Q50" s="6"/>
      <c r="R50" s="6">
        <v>-2.681</v>
      </c>
      <c r="S50" s="6">
        <v>1.5629999999999999</v>
      </c>
      <c r="T50" s="6">
        <v>-13.33</v>
      </c>
      <c r="U50" s="6">
        <v>38.14</v>
      </c>
      <c r="V50" s="6"/>
      <c r="W50" s="6">
        <v>-7.48</v>
      </c>
      <c r="X50" s="6">
        <v>-0.70899999999999996</v>
      </c>
      <c r="Y50" s="6">
        <v>0.45</v>
      </c>
      <c r="Z50" s="6">
        <v>1.714</v>
      </c>
      <c r="AA50" s="6">
        <v>0</v>
      </c>
      <c r="AB50" s="6">
        <v>1.522</v>
      </c>
      <c r="AC50" s="6">
        <v>1.9039999999999999</v>
      </c>
      <c r="AD50" s="6">
        <v>-15.52</v>
      </c>
      <c r="AE50" s="6">
        <v>8.9999999999999993E-3</v>
      </c>
      <c r="AF50" s="6">
        <v>6.0000000000000001E-3</v>
      </c>
      <c r="AG50" s="6">
        <v>1.5569999999999999</v>
      </c>
      <c r="AH50" s="6"/>
      <c r="AI50" s="6">
        <f t="shared" si="0"/>
        <v>0.5279999999999998</v>
      </c>
      <c r="AJ50">
        <f t="shared" si="28"/>
        <v>0</v>
      </c>
      <c r="AK50" s="21">
        <f t="shared" si="25"/>
        <v>0</v>
      </c>
      <c r="AL50">
        <f t="shared" si="26"/>
        <v>131.90000000000003</v>
      </c>
      <c r="AM50" s="4">
        <v>9.7200000000000006</v>
      </c>
      <c r="AN50">
        <v>3.07</v>
      </c>
      <c r="AP50" s="7">
        <f t="shared" si="3"/>
        <v>0.22900000000000001</v>
      </c>
      <c r="AQ50" s="7">
        <f t="shared" si="4"/>
        <v>0.371</v>
      </c>
      <c r="AS50">
        <f t="shared" si="5"/>
        <v>3.07</v>
      </c>
      <c r="AT50">
        <f t="shared" si="6"/>
        <v>-9.1</v>
      </c>
      <c r="AU50">
        <f t="shared" si="7"/>
        <v>74.599999999999994</v>
      </c>
      <c r="AV50" t="s">
        <v>104</v>
      </c>
      <c r="AW50">
        <f t="shared" si="8"/>
        <v>-5.7</v>
      </c>
      <c r="AX50">
        <f t="shared" si="9"/>
        <v>0.2</v>
      </c>
      <c r="AY50">
        <f t="shared" si="10"/>
        <v>-0.2</v>
      </c>
      <c r="AZ50">
        <f t="shared" si="11"/>
        <v>88.9</v>
      </c>
      <c r="BA50" t="s">
        <v>104</v>
      </c>
      <c r="BB50">
        <f t="shared" si="12"/>
        <v>-2.7</v>
      </c>
      <c r="BC50">
        <f t="shared" si="13"/>
        <v>1.6</v>
      </c>
      <c r="BD50">
        <f t="shared" si="14"/>
        <v>-13.3</v>
      </c>
      <c r="BE50">
        <f t="shared" si="15"/>
        <v>38.1</v>
      </c>
      <c r="BF50" t="s">
        <v>104</v>
      </c>
      <c r="BG50">
        <f t="shared" si="16"/>
        <v>-7.5</v>
      </c>
      <c r="BH50">
        <f t="shared" si="17"/>
        <v>-0.7</v>
      </c>
      <c r="BI50">
        <f t="shared" si="18"/>
        <v>0.45</v>
      </c>
      <c r="BJ50">
        <f t="shared" si="19"/>
        <v>1.71</v>
      </c>
      <c r="BK50">
        <f t="shared" si="20"/>
        <v>0.5279999999999998</v>
      </c>
      <c r="BL50">
        <f t="shared" si="21"/>
        <v>0</v>
      </c>
      <c r="BM50">
        <f t="shared" si="22"/>
        <v>0.22900000000000001</v>
      </c>
      <c r="BN50">
        <f t="shared" si="23"/>
        <v>0.371</v>
      </c>
    </row>
    <row r="51" spans="1:66" x14ac:dyDescent="0.25">
      <c r="A51">
        <v>2024</v>
      </c>
      <c r="B51" s="1">
        <f t="shared" si="24"/>
        <v>45337</v>
      </c>
      <c r="C51">
        <v>46</v>
      </c>
      <c r="D51">
        <v>70</v>
      </c>
      <c r="E51" s="6">
        <v>13.03</v>
      </c>
      <c r="F51" s="6">
        <v>-11.5</v>
      </c>
      <c r="G51" s="6">
        <v>1.377</v>
      </c>
      <c r="H51" s="6">
        <v>-17.05</v>
      </c>
      <c r="I51" s="6">
        <v>3.3809999999999998</v>
      </c>
      <c r="J51" s="6">
        <v>-9.57</v>
      </c>
      <c r="K51" s="6">
        <v>71.5</v>
      </c>
      <c r="L51" s="6"/>
      <c r="M51" s="6">
        <v>-6.5490000000000004</v>
      </c>
      <c r="N51" s="6">
        <v>0.26600000000000001</v>
      </c>
      <c r="O51" s="6">
        <v>0.223</v>
      </c>
      <c r="P51" s="6">
        <v>87.1</v>
      </c>
      <c r="Q51" s="6"/>
      <c r="R51" s="6">
        <v>-3.1549999999999998</v>
      </c>
      <c r="S51" s="6">
        <v>1.599</v>
      </c>
      <c r="T51" s="6">
        <v>-14.54</v>
      </c>
      <c r="U51" s="6">
        <v>29.46</v>
      </c>
      <c r="V51" s="6"/>
      <c r="W51" s="6">
        <v>-8.6</v>
      </c>
      <c r="X51" s="6">
        <v>-0.41</v>
      </c>
      <c r="Y51" s="6">
        <v>0.46800000000000003</v>
      </c>
      <c r="Z51" s="6">
        <v>1.9670000000000001</v>
      </c>
      <c r="AA51" s="6">
        <v>0</v>
      </c>
      <c r="AB51" s="6">
        <v>1.522</v>
      </c>
      <c r="AC51" s="6">
        <v>2.258</v>
      </c>
      <c r="AD51" s="6">
        <v>-16.89</v>
      </c>
      <c r="AE51" s="6">
        <v>8.9999999999999993E-3</v>
      </c>
      <c r="AF51" s="6">
        <v>6.0000000000000001E-3</v>
      </c>
      <c r="AG51" s="6">
        <v>1.554</v>
      </c>
      <c r="AH51" s="6"/>
      <c r="AI51" s="6">
        <f t="shared" si="0"/>
        <v>0.5279999999999998</v>
      </c>
      <c r="AJ51">
        <f t="shared" si="28"/>
        <v>0</v>
      </c>
      <c r="AK51" s="21">
        <f t="shared" si="25"/>
        <v>0</v>
      </c>
      <c r="AL51">
        <f t="shared" si="26"/>
        <v>131.90000000000003</v>
      </c>
      <c r="AM51" s="4">
        <v>9.92</v>
      </c>
      <c r="AN51">
        <v>3.38</v>
      </c>
      <c r="AP51" s="7">
        <f t="shared" si="3"/>
        <v>0.183</v>
      </c>
      <c r="AQ51" s="7">
        <f t="shared" si="4"/>
        <v>0.438</v>
      </c>
      <c r="AS51">
        <f t="shared" si="5"/>
        <v>3.38</v>
      </c>
      <c r="AT51">
        <f t="shared" si="6"/>
        <v>-9.6</v>
      </c>
      <c r="AU51">
        <f t="shared" si="7"/>
        <v>71.5</v>
      </c>
      <c r="AV51" t="s">
        <v>104</v>
      </c>
      <c r="AW51">
        <f t="shared" si="8"/>
        <v>-6.5</v>
      </c>
      <c r="AX51">
        <f t="shared" si="9"/>
        <v>0.3</v>
      </c>
      <c r="AY51">
        <f t="shared" si="10"/>
        <v>0.2</v>
      </c>
      <c r="AZ51">
        <f t="shared" si="11"/>
        <v>87.1</v>
      </c>
      <c r="BA51" t="s">
        <v>104</v>
      </c>
      <c r="BB51">
        <f t="shared" si="12"/>
        <v>-3.2</v>
      </c>
      <c r="BC51">
        <f t="shared" si="13"/>
        <v>1.6</v>
      </c>
      <c r="BD51">
        <f t="shared" si="14"/>
        <v>-14.5</v>
      </c>
      <c r="BE51">
        <f t="shared" si="15"/>
        <v>29.5</v>
      </c>
      <c r="BF51" t="s">
        <v>104</v>
      </c>
      <c r="BG51">
        <f t="shared" si="16"/>
        <v>-8.6</v>
      </c>
      <c r="BH51">
        <f t="shared" si="17"/>
        <v>-0.4</v>
      </c>
      <c r="BI51">
        <f t="shared" si="18"/>
        <v>0.47</v>
      </c>
      <c r="BJ51">
        <f t="shared" si="19"/>
        <v>1.97</v>
      </c>
      <c r="BK51">
        <f t="shared" si="20"/>
        <v>0.5279999999999998</v>
      </c>
      <c r="BL51">
        <f t="shared" si="21"/>
        <v>0</v>
      </c>
      <c r="BM51">
        <f t="shared" si="22"/>
        <v>0.183</v>
      </c>
      <c r="BN51">
        <f t="shared" si="23"/>
        <v>0.438</v>
      </c>
    </row>
    <row r="52" spans="1:66" x14ac:dyDescent="0.25">
      <c r="A52">
        <v>2024</v>
      </c>
      <c r="B52" s="1">
        <f t="shared" si="24"/>
        <v>45338</v>
      </c>
      <c r="C52">
        <v>47</v>
      </c>
      <c r="D52">
        <v>70</v>
      </c>
      <c r="E52" s="6">
        <v>13.01</v>
      </c>
      <c r="F52" s="6">
        <v>-9.4</v>
      </c>
      <c r="G52" s="6">
        <v>3.218</v>
      </c>
      <c r="H52" s="6">
        <v>-15.69</v>
      </c>
      <c r="I52" s="6">
        <v>4.9809999999999999</v>
      </c>
      <c r="J52" s="6">
        <v>-7.34</v>
      </c>
      <c r="K52" s="6">
        <v>65.14</v>
      </c>
      <c r="L52" s="6"/>
      <c r="M52" s="6">
        <v>-6.0039999999999996</v>
      </c>
      <c r="N52" s="6">
        <v>0.34799999999999998</v>
      </c>
      <c r="O52" s="6">
        <v>1.5049999999999999</v>
      </c>
      <c r="P52" s="6">
        <v>82.6</v>
      </c>
      <c r="Q52" s="6"/>
      <c r="R52" s="6">
        <v>-2.7730000000000001</v>
      </c>
      <c r="S52" s="6">
        <v>1.544</v>
      </c>
      <c r="T52" s="6">
        <v>-13.67</v>
      </c>
      <c r="U52" s="6">
        <v>32.89</v>
      </c>
      <c r="V52" s="6"/>
      <c r="W52" s="6">
        <v>-8.57</v>
      </c>
      <c r="X52" s="6">
        <v>-0.38700000000000001</v>
      </c>
      <c r="Y52" s="6">
        <v>0.745</v>
      </c>
      <c r="Z52" s="6">
        <v>1.794</v>
      </c>
      <c r="AA52" s="6">
        <v>0</v>
      </c>
      <c r="AB52" s="6">
        <v>1.532</v>
      </c>
      <c r="AC52" s="6">
        <v>4</v>
      </c>
      <c r="AD52" s="6">
        <v>-15.57</v>
      </c>
      <c r="AE52" s="6">
        <v>8.9999999999999993E-3</v>
      </c>
      <c r="AF52" s="6">
        <v>6.0000000000000001E-3</v>
      </c>
      <c r="AG52" s="6">
        <v>1.5529999999999999</v>
      </c>
      <c r="AH52" s="6"/>
      <c r="AI52" s="6">
        <f t="shared" si="0"/>
        <v>0.51799999999999979</v>
      </c>
      <c r="AJ52">
        <f t="shared" si="28"/>
        <v>0</v>
      </c>
      <c r="AK52" s="21">
        <f t="shared" si="25"/>
        <v>0</v>
      </c>
      <c r="AL52">
        <f t="shared" si="26"/>
        <v>131.90000000000003</v>
      </c>
      <c r="AM52" s="4">
        <v>10.119999999999999</v>
      </c>
      <c r="AN52">
        <v>4.9800000000000004</v>
      </c>
      <c r="AP52" s="7">
        <f t="shared" si="3"/>
        <v>0.224</v>
      </c>
      <c r="AQ52" s="7">
        <f t="shared" si="4"/>
        <v>0.45700000000000002</v>
      </c>
      <c r="AS52">
        <f t="shared" si="5"/>
        <v>4.9800000000000004</v>
      </c>
      <c r="AT52">
        <f t="shared" si="6"/>
        <v>-7.3</v>
      </c>
      <c r="AU52">
        <f t="shared" si="7"/>
        <v>65.099999999999994</v>
      </c>
      <c r="AV52" t="s">
        <v>104</v>
      </c>
      <c r="AW52">
        <f t="shared" si="8"/>
        <v>-6</v>
      </c>
      <c r="AX52">
        <f t="shared" si="9"/>
        <v>0.3</v>
      </c>
      <c r="AY52">
        <f t="shared" si="10"/>
        <v>1.5</v>
      </c>
      <c r="AZ52">
        <f t="shared" si="11"/>
        <v>82.6</v>
      </c>
      <c r="BA52" t="s">
        <v>104</v>
      </c>
      <c r="BB52">
        <f t="shared" si="12"/>
        <v>-2.8</v>
      </c>
      <c r="BC52">
        <f t="shared" si="13"/>
        <v>1.5</v>
      </c>
      <c r="BD52">
        <f t="shared" si="14"/>
        <v>-13.7</v>
      </c>
      <c r="BE52">
        <f t="shared" si="15"/>
        <v>32.9</v>
      </c>
      <c r="BF52" t="s">
        <v>104</v>
      </c>
      <c r="BG52">
        <f t="shared" si="16"/>
        <v>-8.6</v>
      </c>
      <c r="BH52">
        <f t="shared" si="17"/>
        <v>-0.4</v>
      </c>
      <c r="BI52">
        <f t="shared" si="18"/>
        <v>0.75</v>
      </c>
      <c r="BJ52">
        <f t="shared" si="19"/>
        <v>1.79</v>
      </c>
      <c r="BK52">
        <f t="shared" si="20"/>
        <v>0.51799999999999979</v>
      </c>
      <c r="BL52">
        <f t="shared" si="21"/>
        <v>0</v>
      </c>
      <c r="BM52">
        <f t="shared" si="22"/>
        <v>0.224</v>
      </c>
      <c r="BN52">
        <f t="shared" si="23"/>
        <v>0.45700000000000002</v>
      </c>
    </row>
    <row r="53" spans="1:66" x14ac:dyDescent="0.25">
      <c r="A53">
        <v>2024</v>
      </c>
      <c r="B53" s="1">
        <f t="shared" si="24"/>
        <v>45339</v>
      </c>
      <c r="C53">
        <v>48</v>
      </c>
      <c r="D53">
        <v>70</v>
      </c>
      <c r="E53" s="6">
        <v>13.05</v>
      </c>
      <c r="F53" s="6">
        <v>-4.9989999999999997</v>
      </c>
      <c r="G53" s="6">
        <v>6.7229999999999999</v>
      </c>
      <c r="H53" s="6">
        <v>-10.65</v>
      </c>
      <c r="I53" s="6">
        <v>8.82</v>
      </c>
      <c r="J53" s="6">
        <v>-2.7109999999999999</v>
      </c>
      <c r="K53" s="6">
        <v>44.75</v>
      </c>
      <c r="L53" s="6"/>
      <c r="M53" s="6">
        <v>-4.157</v>
      </c>
      <c r="N53" s="6">
        <v>0.32500000000000001</v>
      </c>
      <c r="O53" s="6">
        <v>6.2670000000000003</v>
      </c>
      <c r="P53" s="6">
        <v>70.7</v>
      </c>
      <c r="Q53" s="6"/>
      <c r="R53" s="6">
        <v>-1.2410000000000001</v>
      </c>
      <c r="S53" s="6">
        <v>1.571</v>
      </c>
      <c r="T53" s="6">
        <v>-8.3699999999999992</v>
      </c>
      <c r="U53" s="6">
        <v>18.02</v>
      </c>
      <c r="V53" s="6"/>
      <c r="W53" s="6">
        <v>-6.3150000000000004</v>
      </c>
      <c r="X53" s="6">
        <v>-0.38600000000000001</v>
      </c>
      <c r="Y53" s="6">
        <v>0.98199999999999998</v>
      </c>
      <c r="Z53" s="6">
        <v>2.0470000000000002</v>
      </c>
      <c r="AA53" s="6">
        <v>0.3</v>
      </c>
      <c r="AB53" s="6">
        <v>1.5329999999999999</v>
      </c>
      <c r="AC53" s="6">
        <v>8.18</v>
      </c>
      <c r="AD53" s="6">
        <v>-10.51</v>
      </c>
      <c r="AE53" s="6">
        <v>8.9999999999999993E-3</v>
      </c>
      <c r="AF53" s="6">
        <v>6.0000000000000001E-3</v>
      </c>
      <c r="AG53" s="6">
        <v>1.5409999999999999</v>
      </c>
      <c r="AH53" s="6"/>
      <c r="AI53" s="6">
        <f t="shared" si="0"/>
        <v>0.5169999999999999</v>
      </c>
      <c r="AJ53">
        <f t="shared" si="28"/>
        <v>0</v>
      </c>
      <c r="AK53" s="21">
        <f t="shared" si="25"/>
        <v>0</v>
      </c>
      <c r="AL53">
        <f t="shared" si="26"/>
        <v>131.90000000000003</v>
      </c>
      <c r="AM53" s="4">
        <v>10.32</v>
      </c>
      <c r="AN53">
        <v>8.82</v>
      </c>
      <c r="AP53" s="7">
        <f t="shared" si="3"/>
        <v>0.17199999999999999</v>
      </c>
      <c r="AQ53" s="7">
        <f t="shared" si="4"/>
        <v>0.78200000000000003</v>
      </c>
      <c r="AS53">
        <f t="shared" si="5"/>
        <v>8.82</v>
      </c>
      <c r="AT53">
        <f t="shared" si="6"/>
        <v>-2.7</v>
      </c>
      <c r="AU53">
        <f t="shared" si="7"/>
        <v>44.8</v>
      </c>
      <c r="AV53" t="s">
        <v>104</v>
      </c>
      <c r="AW53">
        <f t="shared" si="8"/>
        <v>-4.2</v>
      </c>
      <c r="AX53">
        <f t="shared" si="9"/>
        <v>0.3</v>
      </c>
      <c r="AY53">
        <f t="shared" si="10"/>
        <v>6.3</v>
      </c>
      <c r="AZ53">
        <f t="shared" si="11"/>
        <v>70.7</v>
      </c>
      <c r="BA53" t="s">
        <v>104</v>
      </c>
      <c r="BB53">
        <f t="shared" si="12"/>
        <v>-1.2</v>
      </c>
      <c r="BC53">
        <f t="shared" si="13"/>
        <v>1.6</v>
      </c>
      <c r="BD53">
        <f t="shared" si="14"/>
        <v>-8.4</v>
      </c>
      <c r="BE53">
        <f t="shared" si="15"/>
        <v>18</v>
      </c>
      <c r="BF53" t="s">
        <v>104</v>
      </c>
      <c r="BG53">
        <f t="shared" si="16"/>
        <v>-6.3</v>
      </c>
      <c r="BH53">
        <f t="shared" si="17"/>
        <v>-0.4</v>
      </c>
      <c r="BI53">
        <f t="shared" si="18"/>
        <v>0.98</v>
      </c>
      <c r="BJ53">
        <f t="shared" si="19"/>
        <v>2.0499999999999998</v>
      </c>
      <c r="BK53">
        <f t="shared" si="20"/>
        <v>0.5169999999999999</v>
      </c>
      <c r="BL53">
        <f t="shared" si="21"/>
        <v>0</v>
      </c>
      <c r="BM53">
        <f t="shared" si="22"/>
        <v>0.17199999999999999</v>
      </c>
      <c r="BN53">
        <f t="shared" si="23"/>
        <v>0.78200000000000003</v>
      </c>
    </row>
    <row r="54" spans="1:66" x14ac:dyDescent="0.25">
      <c r="A54">
        <v>2024</v>
      </c>
      <c r="B54" s="1">
        <f t="shared" si="24"/>
        <v>45340</v>
      </c>
      <c r="C54">
        <v>49</v>
      </c>
      <c r="D54">
        <v>70</v>
      </c>
      <c r="E54" s="6">
        <v>12.98</v>
      </c>
      <c r="F54" s="6">
        <v>-2.9119999999999999</v>
      </c>
      <c r="G54" s="6">
        <v>2.9279999999999999</v>
      </c>
      <c r="H54" s="6">
        <v>-7.37</v>
      </c>
      <c r="I54" s="6">
        <v>4.2030000000000003</v>
      </c>
      <c r="J54" s="6">
        <v>-1.335</v>
      </c>
      <c r="K54" s="6">
        <v>53.97</v>
      </c>
      <c r="L54" s="6"/>
      <c r="M54" s="6">
        <v>-2.3130000000000002</v>
      </c>
      <c r="N54" s="6">
        <v>0.35599999999999998</v>
      </c>
      <c r="O54" s="6">
        <v>4.7960000000000003</v>
      </c>
      <c r="P54" s="6">
        <v>74.2</v>
      </c>
      <c r="Q54" s="6"/>
      <c r="R54" s="6">
        <v>-0.45</v>
      </c>
      <c r="S54" s="6">
        <v>0.82499999999999996</v>
      </c>
      <c r="T54" s="6">
        <v>-5.1360000000000001</v>
      </c>
      <c r="U54" s="6">
        <v>36.75</v>
      </c>
      <c r="V54" s="6"/>
      <c r="W54" s="6">
        <v>-4.2350000000000003</v>
      </c>
      <c r="X54" s="6">
        <v>-0.02</v>
      </c>
      <c r="Y54" s="6">
        <v>0.45200000000000001</v>
      </c>
      <c r="Z54" s="6">
        <v>1.887</v>
      </c>
      <c r="AA54" s="6">
        <v>1.4</v>
      </c>
      <c r="AB54" s="6">
        <v>1.538</v>
      </c>
      <c r="AC54" s="6">
        <v>3.1070000000000002</v>
      </c>
      <c r="AD54" s="6">
        <v>-7.19</v>
      </c>
      <c r="AE54" s="6">
        <v>8.9999999999999993E-3</v>
      </c>
      <c r="AF54" s="6">
        <v>6.0000000000000001E-3</v>
      </c>
      <c r="AG54" s="6">
        <v>1.5449999999999999</v>
      </c>
      <c r="AH54" s="6"/>
      <c r="AI54" s="6">
        <f t="shared" si="0"/>
        <v>0.51199999999999979</v>
      </c>
      <c r="AJ54">
        <f t="shared" si="28"/>
        <v>0</v>
      </c>
      <c r="AK54" s="21">
        <f t="shared" si="25"/>
        <v>0</v>
      </c>
      <c r="AL54">
        <f t="shared" si="26"/>
        <v>131.90000000000003</v>
      </c>
      <c r="AM54" s="4">
        <v>10.53</v>
      </c>
      <c r="AN54">
        <v>4.2</v>
      </c>
      <c r="AP54" s="7">
        <f t="shared" si="3"/>
        <v>0.316</v>
      </c>
      <c r="AQ54" s="7">
        <f t="shared" si="4"/>
        <v>0.54400000000000004</v>
      </c>
      <c r="AS54">
        <f t="shared" si="5"/>
        <v>4.2</v>
      </c>
      <c r="AT54">
        <f t="shared" si="6"/>
        <v>-1.3</v>
      </c>
      <c r="AU54">
        <f t="shared" si="7"/>
        <v>54</v>
      </c>
      <c r="AV54" t="s">
        <v>104</v>
      </c>
      <c r="AW54">
        <f t="shared" si="8"/>
        <v>-2.2999999999999998</v>
      </c>
      <c r="AX54">
        <f t="shared" si="9"/>
        <v>0.4</v>
      </c>
      <c r="AY54">
        <f t="shared" si="10"/>
        <v>4.8</v>
      </c>
      <c r="AZ54">
        <f t="shared" si="11"/>
        <v>74.2</v>
      </c>
      <c r="BA54" t="s">
        <v>104</v>
      </c>
      <c r="BB54">
        <f t="shared" si="12"/>
        <v>-0.5</v>
      </c>
      <c r="BC54">
        <f t="shared" si="13"/>
        <v>0.8</v>
      </c>
      <c r="BD54">
        <f t="shared" si="14"/>
        <v>-5.0999999999999996</v>
      </c>
      <c r="BE54">
        <f t="shared" si="15"/>
        <v>36.799999999999997</v>
      </c>
      <c r="BF54" t="s">
        <v>104</v>
      </c>
      <c r="BG54">
        <f t="shared" si="16"/>
        <v>-4.2</v>
      </c>
      <c r="BH54">
        <f t="shared" si="17"/>
        <v>0</v>
      </c>
      <c r="BI54">
        <f t="shared" si="18"/>
        <v>0.45</v>
      </c>
      <c r="BJ54">
        <f t="shared" si="19"/>
        <v>1.89</v>
      </c>
      <c r="BK54">
        <f t="shared" si="20"/>
        <v>0.51199999999999979</v>
      </c>
      <c r="BL54">
        <f t="shared" si="21"/>
        <v>0</v>
      </c>
      <c r="BM54">
        <f t="shared" si="22"/>
        <v>0.316</v>
      </c>
      <c r="BN54">
        <f t="shared" si="23"/>
        <v>0.54400000000000004</v>
      </c>
    </row>
    <row r="55" spans="1:66" x14ac:dyDescent="0.25">
      <c r="A55">
        <v>2024</v>
      </c>
      <c r="B55" s="1">
        <f t="shared" si="24"/>
        <v>45341</v>
      </c>
      <c r="C55">
        <v>50</v>
      </c>
      <c r="D55">
        <v>70</v>
      </c>
      <c r="E55" s="6">
        <v>13.04</v>
      </c>
      <c r="F55" s="6">
        <v>-0.14099999999999999</v>
      </c>
      <c r="G55" s="6">
        <v>8.1199999999999992</v>
      </c>
      <c r="H55" s="6">
        <v>-5.1470000000000002</v>
      </c>
      <c r="I55" s="6">
        <v>7.58</v>
      </c>
      <c r="J55" s="6">
        <v>1.06</v>
      </c>
      <c r="K55" s="6">
        <v>65.75</v>
      </c>
      <c r="L55" s="6"/>
      <c r="M55" s="6">
        <v>-1.0369999999999999</v>
      </c>
      <c r="N55" s="6">
        <v>0.35699999999999998</v>
      </c>
      <c r="O55" s="6">
        <v>7.93</v>
      </c>
      <c r="P55" s="6">
        <v>89.5</v>
      </c>
      <c r="Q55" s="6"/>
      <c r="R55" s="6">
        <v>0.89400000000000002</v>
      </c>
      <c r="S55" s="6">
        <v>1.633</v>
      </c>
      <c r="T55" s="6">
        <v>-3.3980000000000001</v>
      </c>
      <c r="U55" s="6">
        <v>39.659999999999997</v>
      </c>
      <c r="V55" s="6"/>
      <c r="W55" s="6">
        <v>-2.6269999999999998</v>
      </c>
      <c r="X55" s="6">
        <v>-0.23699999999999999</v>
      </c>
      <c r="Y55" s="6">
        <v>0.77800000000000002</v>
      </c>
      <c r="Z55" s="6">
        <v>1.847</v>
      </c>
      <c r="AA55" s="6">
        <v>3.5</v>
      </c>
      <c r="AB55" s="6">
        <v>1.5629999999999999</v>
      </c>
      <c r="AC55" s="6">
        <v>9.58</v>
      </c>
      <c r="AD55" s="6">
        <v>-4.9720000000000004</v>
      </c>
      <c r="AE55" s="6">
        <v>8.9999999999999993E-3</v>
      </c>
      <c r="AF55" s="6">
        <v>7.0000000000000001E-3</v>
      </c>
      <c r="AG55" s="6">
        <v>1.5609999999999999</v>
      </c>
      <c r="AH55" s="6"/>
      <c r="AI55" s="6">
        <f t="shared" si="0"/>
        <v>0.48699999999999988</v>
      </c>
      <c r="AJ55">
        <f t="shared" si="28"/>
        <v>0</v>
      </c>
      <c r="AK55" s="21">
        <f t="shared" si="25"/>
        <v>0</v>
      </c>
      <c r="AL55">
        <f t="shared" si="26"/>
        <v>131.90000000000003</v>
      </c>
      <c r="AM55" s="4">
        <v>10.74</v>
      </c>
      <c r="AN55">
        <v>7.57</v>
      </c>
      <c r="AP55" s="7">
        <f t="shared" si="3"/>
        <v>0.42299999999999999</v>
      </c>
      <c r="AQ55" s="7">
        <f t="shared" si="4"/>
        <v>0.64400000000000002</v>
      </c>
      <c r="AS55">
        <f t="shared" si="5"/>
        <v>7.57</v>
      </c>
      <c r="AT55">
        <f t="shared" si="6"/>
        <v>1.1000000000000001</v>
      </c>
      <c r="AU55">
        <f t="shared" si="7"/>
        <v>65.8</v>
      </c>
      <c r="AV55" t="s">
        <v>104</v>
      </c>
      <c r="AW55">
        <f t="shared" si="8"/>
        <v>-1</v>
      </c>
      <c r="AX55">
        <f t="shared" si="9"/>
        <v>0.4</v>
      </c>
      <c r="AY55">
        <f t="shared" si="10"/>
        <v>7.9</v>
      </c>
      <c r="AZ55">
        <f t="shared" si="11"/>
        <v>89.5</v>
      </c>
      <c r="BA55" t="s">
        <v>104</v>
      </c>
      <c r="BB55">
        <f t="shared" si="12"/>
        <v>0.9</v>
      </c>
      <c r="BC55">
        <f t="shared" si="13"/>
        <v>1.6</v>
      </c>
      <c r="BD55">
        <f t="shared" si="14"/>
        <v>-3.4</v>
      </c>
      <c r="BE55">
        <f t="shared" si="15"/>
        <v>39.700000000000003</v>
      </c>
      <c r="BF55" t="s">
        <v>104</v>
      </c>
      <c r="BG55">
        <f t="shared" si="16"/>
        <v>-2.6</v>
      </c>
      <c r="BH55">
        <f t="shared" si="17"/>
        <v>-0.2</v>
      </c>
      <c r="BI55">
        <f t="shared" si="18"/>
        <v>0.78</v>
      </c>
      <c r="BJ55">
        <f t="shared" si="19"/>
        <v>1.85</v>
      </c>
      <c r="BK55">
        <f t="shared" si="20"/>
        <v>0.48699999999999988</v>
      </c>
      <c r="BL55">
        <f t="shared" si="21"/>
        <v>0</v>
      </c>
      <c r="BM55">
        <f t="shared" si="22"/>
        <v>0.42299999999999999</v>
      </c>
      <c r="BN55">
        <f t="shared" si="23"/>
        <v>0.64400000000000002</v>
      </c>
    </row>
    <row r="56" spans="1:66" x14ac:dyDescent="0.25">
      <c r="A56">
        <v>2024</v>
      </c>
      <c r="B56" s="1">
        <f t="shared" si="24"/>
        <v>45342</v>
      </c>
      <c r="C56">
        <v>51</v>
      </c>
      <c r="D56">
        <v>70</v>
      </c>
      <c r="E56" s="6">
        <v>12.99</v>
      </c>
      <c r="F56" s="6">
        <v>0.69899999999999995</v>
      </c>
      <c r="G56" s="6">
        <v>4.5330000000000004</v>
      </c>
      <c r="H56" s="6">
        <v>-0.72099999999999997</v>
      </c>
      <c r="I56" s="6">
        <v>4.5789999999999997</v>
      </c>
      <c r="J56" s="6">
        <v>1.536</v>
      </c>
      <c r="K56" s="6">
        <v>82.8</v>
      </c>
      <c r="L56" s="6"/>
      <c r="M56" s="6">
        <v>4.3999999999999997E-2</v>
      </c>
      <c r="N56" s="6">
        <v>0.36</v>
      </c>
      <c r="O56" s="6">
        <v>5.9240000000000004</v>
      </c>
      <c r="P56" s="6">
        <v>93.2</v>
      </c>
      <c r="Q56" s="6"/>
      <c r="R56" s="6">
        <v>0.42299999999999999</v>
      </c>
      <c r="S56" s="6">
        <v>0.73899999999999999</v>
      </c>
      <c r="T56" s="6">
        <v>-4.7E-2</v>
      </c>
      <c r="U56" s="6">
        <v>62.48</v>
      </c>
      <c r="V56" s="6"/>
      <c r="W56" s="6">
        <v>-0.26200000000000001</v>
      </c>
      <c r="X56" s="6">
        <v>7.4999999999999997E-2</v>
      </c>
      <c r="Y56" s="6">
        <v>0.73</v>
      </c>
      <c r="Z56" s="6">
        <v>2.367</v>
      </c>
      <c r="AA56" s="6">
        <v>6.8</v>
      </c>
      <c r="AB56" s="6">
        <v>1.5669999999999999</v>
      </c>
      <c r="AC56" s="6">
        <v>4.8949999999999996</v>
      </c>
      <c r="AD56" s="6">
        <v>-0.503</v>
      </c>
      <c r="AE56" s="6">
        <v>8.9999999999999993E-3</v>
      </c>
      <c r="AF56" s="6">
        <v>7.0000000000000001E-3</v>
      </c>
      <c r="AG56" s="6">
        <v>1.5640000000000001</v>
      </c>
      <c r="AH56" s="6"/>
      <c r="AI56" s="6">
        <f t="shared" si="0"/>
        <v>0.48299999999999987</v>
      </c>
      <c r="AJ56">
        <f t="shared" si="28"/>
        <v>0</v>
      </c>
      <c r="AK56" s="21">
        <f t="shared" si="25"/>
        <v>0</v>
      </c>
      <c r="AL56">
        <f t="shared" si="26"/>
        <v>131.90000000000003</v>
      </c>
      <c r="AM56" s="4">
        <v>10.95</v>
      </c>
      <c r="AN56">
        <v>4.5599999999999996</v>
      </c>
      <c r="AP56" s="7">
        <f t="shared" si="3"/>
        <v>0.58099999999999996</v>
      </c>
      <c r="AQ56" s="7">
        <f t="shared" si="4"/>
        <v>0.34899999999999998</v>
      </c>
      <c r="AS56">
        <f t="shared" si="5"/>
        <v>4.5599999999999996</v>
      </c>
      <c r="AT56">
        <f t="shared" si="6"/>
        <v>1.5</v>
      </c>
      <c r="AU56">
        <f t="shared" si="7"/>
        <v>82.8</v>
      </c>
      <c r="AV56" t="s">
        <v>104</v>
      </c>
      <c r="AW56">
        <f t="shared" si="8"/>
        <v>0</v>
      </c>
      <c r="AX56">
        <f t="shared" si="9"/>
        <v>0.4</v>
      </c>
      <c r="AY56">
        <f t="shared" si="10"/>
        <v>5.9</v>
      </c>
      <c r="AZ56">
        <f t="shared" si="11"/>
        <v>93.2</v>
      </c>
      <c r="BA56" t="s">
        <v>104</v>
      </c>
      <c r="BB56">
        <f t="shared" si="12"/>
        <v>0.4</v>
      </c>
      <c r="BC56">
        <f t="shared" si="13"/>
        <v>0.7</v>
      </c>
      <c r="BD56">
        <f t="shared" si="14"/>
        <v>0</v>
      </c>
      <c r="BE56">
        <f t="shared" si="15"/>
        <v>62.5</v>
      </c>
      <c r="BF56" t="s">
        <v>104</v>
      </c>
      <c r="BG56">
        <f t="shared" si="16"/>
        <v>-0.3</v>
      </c>
      <c r="BH56">
        <f t="shared" si="17"/>
        <v>0.1</v>
      </c>
      <c r="BI56">
        <f t="shared" si="18"/>
        <v>0.73</v>
      </c>
      <c r="BJ56">
        <f t="shared" si="19"/>
        <v>2.37</v>
      </c>
      <c r="BK56">
        <f t="shared" si="20"/>
        <v>0.48299999999999987</v>
      </c>
      <c r="BL56">
        <f t="shared" si="21"/>
        <v>0</v>
      </c>
      <c r="BM56">
        <f t="shared" si="22"/>
        <v>0.58099999999999996</v>
      </c>
      <c r="BN56">
        <f t="shared" si="23"/>
        <v>0.34899999999999998</v>
      </c>
    </row>
    <row r="57" spans="1:66" x14ac:dyDescent="0.25">
      <c r="A57">
        <v>2024</v>
      </c>
      <c r="B57" s="1">
        <f t="shared" si="24"/>
        <v>45343</v>
      </c>
      <c r="C57">
        <v>52</v>
      </c>
      <c r="D57">
        <v>70</v>
      </c>
      <c r="E57" s="6">
        <v>12.97</v>
      </c>
      <c r="F57" s="6">
        <v>0.82199999999999995</v>
      </c>
      <c r="G57" s="6">
        <v>3.8359999999999999</v>
      </c>
      <c r="H57" s="6">
        <v>-0.442</v>
      </c>
      <c r="I57" s="6">
        <v>4.0960000000000001</v>
      </c>
      <c r="J57" s="6">
        <v>1.5780000000000001</v>
      </c>
      <c r="K57" s="6">
        <v>89.5</v>
      </c>
      <c r="L57" s="6"/>
      <c r="M57" s="6">
        <v>3.3000000000000002E-2</v>
      </c>
      <c r="N57" s="6">
        <v>0.35399999999999998</v>
      </c>
      <c r="O57" s="6">
        <v>5.1989999999999998</v>
      </c>
      <c r="P57" s="6">
        <v>93.7</v>
      </c>
      <c r="Q57" s="6"/>
      <c r="R57" s="6">
        <v>0.45500000000000002</v>
      </c>
      <c r="S57" s="6">
        <v>0.748</v>
      </c>
      <c r="T57" s="6">
        <v>0.02</v>
      </c>
      <c r="U57" s="6">
        <v>76.2</v>
      </c>
      <c r="V57" s="6"/>
      <c r="W57" s="6">
        <v>-0.13800000000000001</v>
      </c>
      <c r="X57" s="6">
        <v>0.19900000000000001</v>
      </c>
      <c r="Y57" s="6">
        <v>0.186</v>
      </c>
      <c r="Z57" s="6">
        <v>1.58</v>
      </c>
      <c r="AA57" s="6">
        <v>6.3</v>
      </c>
      <c r="AB57" s="6">
        <v>1.5820000000000001</v>
      </c>
      <c r="AC57" s="6">
        <v>4.0199999999999996</v>
      </c>
      <c r="AD57" s="6">
        <v>-0.29599999999999999</v>
      </c>
      <c r="AE57" s="6">
        <v>8.9999999999999993E-3</v>
      </c>
      <c r="AF57" s="6">
        <v>7.0000000000000001E-3</v>
      </c>
      <c r="AG57" s="6">
        <v>1.579</v>
      </c>
      <c r="AH57" s="6"/>
      <c r="AI57" s="6">
        <f t="shared" si="0"/>
        <v>0.46799999999999975</v>
      </c>
      <c r="AJ57">
        <f t="shared" si="28"/>
        <v>0</v>
      </c>
      <c r="AK57" s="21">
        <f t="shared" si="25"/>
        <v>0</v>
      </c>
      <c r="AL57">
        <f t="shared" si="26"/>
        <v>131.90000000000003</v>
      </c>
      <c r="AM57" s="4">
        <v>11.17</v>
      </c>
      <c r="AN57">
        <v>4.08</v>
      </c>
      <c r="AP57" s="7">
        <f t="shared" si="3"/>
        <v>0.67400000000000004</v>
      </c>
      <c r="AQ57" s="7">
        <f t="shared" si="4"/>
        <v>0.21099999999999999</v>
      </c>
      <c r="AS57">
        <f t="shared" si="5"/>
        <v>4.08</v>
      </c>
      <c r="AT57">
        <f t="shared" si="6"/>
        <v>1.6</v>
      </c>
      <c r="AU57">
        <f t="shared" si="7"/>
        <v>89.5</v>
      </c>
      <c r="AV57" t="s">
        <v>104</v>
      </c>
      <c r="AW57">
        <f t="shared" si="8"/>
        <v>0</v>
      </c>
      <c r="AX57">
        <f t="shared" si="9"/>
        <v>0.4</v>
      </c>
      <c r="AY57">
        <f t="shared" si="10"/>
        <v>5.2</v>
      </c>
      <c r="AZ57">
        <f t="shared" si="11"/>
        <v>93.7</v>
      </c>
      <c r="BA57" t="s">
        <v>104</v>
      </c>
      <c r="BB57">
        <f t="shared" si="12"/>
        <v>0.5</v>
      </c>
      <c r="BC57">
        <f t="shared" si="13"/>
        <v>0.7</v>
      </c>
      <c r="BD57">
        <f t="shared" si="14"/>
        <v>0</v>
      </c>
      <c r="BE57">
        <f t="shared" si="15"/>
        <v>76.2</v>
      </c>
      <c r="BF57" t="s">
        <v>104</v>
      </c>
      <c r="BG57">
        <f t="shared" si="16"/>
        <v>-0.1</v>
      </c>
      <c r="BH57">
        <f t="shared" si="17"/>
        <v>0.2</v>
      </c>
      <c r="BI57">
        <f t="shared" si="18"/>
        <v>0.19</v>
      </c>
      <c r="BJ57">
        <f t="shared" si="19"/>
        <v>1.58</v>
      </c>
      <c r="BK57">
        <f t="shared" si="20"/>
        <v>0.46799999999999975</v>
      </c>
      <c r="BL57">
        <f t="shared" si="21"/>
        <v>0</v>
      </c>
      <c r="BM57">
        <f t="shared" si="22"/>
        <v>0.67400000000000004</v>
      </c>
      <c r="BN57">
        <f t="shared" si="23"/>
        <v>0.21099999999999999</v>
      </c>
    </row>
    <row r="58" spans="1:66" x14ac:dyDescent="0.25">
      <c r="A58">
        <v>2024</v>
      </c>
      <c r="B58" s="1">
        <f t="shared" si="24"/>
        <v>45344</v>
      </c>
      <c r="C58">
        <v>53</v>
      </c>
      <c r="D58">
        <v>70</v>
      </c>
      <c r="E58" s="6">
        <v>12.92</v>
      </c>
      <c r="F58" s="6">
        <v>5.6000000000000001E-2</v>
      </c>
      <c r="G58" s="6">
        <v>4.0970000000000004</v>
      </c>
      <c r="H58" s="6">
        <v>-2.83</v>
      </c>
      <c r="I58" s="6">
        <v>3.4169999999999998</v>
      </c>
      <c r="J58" s="6">
        <v>1.004</v>
      </c>
      <c r="K58" s="6">
        <v>89.1</v>
      </c>
      <c r="L58" s="6"/>
      <c r="M58" s="6">
        <v>-6.0000000000000001E-3</v>
      </c>
      <c r="N58" s="6">
        <v>0.38300000000000001</v>
      </c>
      <c r="O58" s="6">
        <v>6.2720000000000002</v>
      </c>
      <c r="P58" s="6">
        <v>94.3</v>
      </c>
      <c r="Q58" s="6"/>
      <c r="R58" s="6">
        <v>0.38400000000000001</v>
      </c>
      <c r="S58" s="6">
        <v>0.73399999999999999</v>
      </c>
      <c r="T58" s="6">
        <v>-1.2509999999999999</v>
      </c>
      <c r="U58" s="6">
        <v>64.7</v>
      </c>
      <c r="V58" s="6"/>
      <c r="W58" s="6">
        <v>-0.55900000000000005</v>
      </c>
      <c r="X58" s="6">
        <v>9.8000000000000004E-2</v>
      </c>
      <c r="Y58" s="6">
        <v>0.38300000000000001</v>
      </c>
      <c r="Z58" s="6">
        <v>1.46</v>
      </c>
      <c r="AA58" s="6">
        <v>0.6</v>
      </c>
      <c r="AB58" s="6">
        <v>1.597</v>
      </c>
      <c r="AC58" s="6">
        <v>3.9980000000000002</v>
      </c>
      <c r="AD58" s="6">
        <v>-2.714</v>
      </c>
      <c r="AE58" s="6">
        <v>8.9999999999999993E-3</v>
      </c>
      <c r="AF58" s="6">
        <v>7.0000000000000001E-3</v>
      </c>
      <c r="AG58" s="6">
        <v>1.5980000000000001</v>
      </c>
      <c r="AH58" s="6"/>
      <c r="AI58" s="6">
        <f t="shared" si="0"/>
        <v>0.45299999999999985</v>
      </c>
      <c r="AJ58">
        <f t="shared" si="28"/>
        <v>0</v>
      </c>
      <c r="AK58" s="21">
        <f t="shared" si="25"/>
        <v>0</v>
      </c>
      <c r="AL58">
        <f t="shared" si="26"/>
        <v>131.90000000000003</v>
      </c>
      <c r="AM58" s="4">
        <v>11.39</v>
      </c>
      <c r="AN58">
        <v>3.41</v>
      </c>
      <c r="AP58" s="7">
        <f t="shared" si="3"/>
        <v>0.61599999999999999</v>
      </c>
      <c r="AQ58" s="7">
        <f t="shared" si="4"/>
        <v>0.33600000000000002</v>
      </c>
      <c r="AS58">
        <f t="shared" si="5"/>
        <v>3.41</v>
      </c>
      <c r="AT58">
        <f t="shared" si="6"/>
        <v>1</v>
      </c>
      <c r="AU58">
        <f t="shared" si="7"/>
        <v>89.1</v>
      </c>
      <c r="AV58" t="s">
        <v>104</v>
      </c>
      <c r="AW58">
        <f t="shared" si="8"/>
        <v>0</v>
      </c>
      <c r="AX58">
        <f t="shared" si="9"/>
        <v>0.4</v>
      </c>
      <c r="AY58">
        <f t="shared" si="10"/>
        <v>6.3</v>
      </c>
      <c r="AZ58">
        <f t="shared" si="11"/>
        <v>94.3</v>
      </c>
      <c r="BA58" t="s">
        <v>104</v>
      </c>
      <c r="BB58">
        <f t="shared" si="12"/>
        <v>0.4</v>
      </c>
      <c r="BC58">
        <f t="shared" si="13"/>
        <v>0.7</v>
      </c>
      <c r="BD58">
        <f t="shared" si="14"/>
        <v>-1.3</v>
      </c>
      <c r="BE58">
        <f t="shared" si="15"/>
        <v>64.7</v>
      </c>
      <c r="BF58" t="s">
        <v>104</v>
      </c>
      <c r="BG58">
        <f t="shared" si="16"/>
        <v>-0.6</v>
      </c>
      <c r="BH58">
        <f t="shared" si="17"/>
        <v>0.1</v>
      </c>
      <c r="BI58">
        <f t="shared" si="18"/>
        <v>0.38</v>
      </c>
      <c r="BJ58">
        <f t="shared" si="19"/>
        <v>1.46</v>
      </c>
      <c r="BK58">
        <f t="shared" si="20"/>
        <v>0.45299999999999985</v>
      </c>
      <c r="BL58">
        <f t="shared" si="21"/>
        <v>0</v>
      </c>
      <c r="BM58">
        <f t="shared" si="22"/>
        <v>0.61599999999999999</v>
      </c>
      <c r="BN58">
        <f t="shared" si="23"/>
        <v>0.33600000000000002</v>
      </c>
    </row>
    <row r="59" spans="1:66" x14ac:dyDescent="0.25">
      <c r="A59">
        <v>2024</v>
      </c>
      <c r="B59" s="1">
        <f t="shared" si="24"/>
        <v>45345</v>
      </c>
      <c r="C59">
        <v>54</v>
      </c>
      <c r="D59">
        <v>70</v>
      </c>
      <c r="E59" s="6">
        <v>12.99</v>
      </c>
      <c r="F59" s="6">
        <v>-0.249</v>
      </c>
      <c r="G59" s="6">
        <v>7.25</v>
      </c>
      <c r="H59" s="6">
        <v>-4.4820000000000002</v>
      </c>
      <c r="I59" s="6">
        <v>7.18</v>
      </c>
      <c r="J59" s="6">
        <v>1.0049999999999999</v>
      </c>
      <c r="K59" s="6">
        <v>75.5</v>
      </c>
      <c r="L59" s="6"/>
      <c r="M59" s="6">
        <v>-0.755</v>
      </c>
      <c r="N59" s="6">
        <v>0.39200000000000002</v>
      </c>
      <c r="O59" s="6">
        <v>6.8029999999999999</v>
      </c>
      <c r="P59" s="6">
        <v>94</v>
      </c>
      <c r="Q59" s="6"/>
      <c r="R59" s="6">
        <v>1.133</v>
      </c>
      <c r="S59" s="6">
        <v>1.4450000000000001</v>
      </c>
      <c r="T59" s="6">
        <v>-2.59</v>
      </c>
      <c r="U59" s="6">
        <v>47.07</v>
      </c>
      <c r="V59" s="6"/>
      <c r="W59" s="6">
        <v>-2.6659999999999999</v>
      </c>
      <c r="X59" s="6">
        <v>0.19</v>
      </c>
      <c r="Y59" s="6">
        <v>1.024</v>
      </c>
      <c r="Z59" s="6">
        <v>2.887</v>
      </c>
      <c r="AA59" s="6">
        <v>0.1</v>
      </c>
      <c r="AB59" s="6">
        <v>1.597</v>
      </c>
      <c r="AC59" s="6">
        <v>7.63</v>
      </c>
      <c r="AD59" s="6">
        <v>-4.3209999999999997</v>
      </c>
      <c r="AE59" s="6">
        <v>8.9999999999999993E-3</v>
      </c>
      <c r="AF59" s="6">
        <v>7.0000000000000001E-3</v>
      </c>
      <c r="AG59" s="6">
        <v>1.5940000000000001</v>
      </c>
      <c r="AH59" s="6"/>
      <c r="AI59" s="6">
        <f t="shared" si="0"/>
        <v>0.45299999999999985</v>
      </c>
      <c r="AJ59">
        <f t="shared" si="28"/>
        <v>0</v>
      </c>
      <c r="AK59" s="21">
        <f t="shared" si="25"/>
        <v>0</v>
      </c>
      <c r="AL59">
        <f t="shared" si="26"/>
        <v>131.90000000000003</v>
      </c>
      <c r="AM59" s="4">
        <v>11.61</v>
      </c>
      <c r="AN59">
        <v>7.17</v>
      </c>
      <c r="AP59" s="7">
        <f t="shared" si="3"/>
        <v>0.46500000000000002</v>
      </c>
      <c r="AQ59" s="7">
        <f t="shared" si="4"/>
        <v>0.52300000000000002</v>
      </c>
      <c r="AS59">
        <f t="shared" si="5"/>
        <v>7.17</v>
      </c>
      <c r="AT59">
        <f t="shared" si="6"/>
        <v>1</v>
      </c>
      <c r="AU59">
        <f t="shared" si="7"/>
        <v>75.5</v>
      </c>
      <c r="AV59" t="s">
        <v>104</v>
      </c>
      <c r="AW59">
        <f t="shared" si="8"/>
        <v>-0.8</v>
      </c>
      <c r="AX59">
        <f t="shared" si="9"/>
        <v>0.4</v>
      </c>
      <c r="AY59">
        <f t="shared" si="10"/>
        <v>6.8</v>
      </c>
      <c r="AZ59">
        <f t="shared" si="11"/>
        <v>94</v>
      </c>
      <c r="BA59" t="s">
        <v>104</v>
      </c>
      <c r="BB59">
        <f t="shared" si="12"/>
        <v>1.1000000000000001</v>
      </c>
      <c r="BC59">
        <f t="shared" si="13"/>
        <v>1.4</v>
      </c>
      <c r="BD59">
        <f t="shared" si="14"/>
        <v>-2.6</v>
      </c>
      <c r="BE59">
        <f t="shared" si="15"/>
        <v>47.1</v>
      </c>
      <c r="BF59" t="s">
        <v>104</v>
      </c>
      <c r="BG59">
        <f t="shared" si="16"/>
        <v>-2.7</v>
      </c>
      <c r="BH59">
        <f t="shared" si="17"/>
        <v>0.2</v>
      </c>
      <c r="BI59">
        <f t="shared" si="18"/>
        <v>1.02</v>
      </c>
      <c r="BJ59">
        <f t="shared" si="19"/>
        <v>2.89</v>
      </c>
      <c r="BK59">
        <f t="shared" si="20"/>
        <v>0.45299999999999985</v>
      </c>
      <c r="BL59">
        <f t="shared" si="21"/>
        <v>0</v>
      </c>
      <c r="BM59">
        <f t="shared" si="22"/>
        <v>0.46500000000000002</v>
      </c>
      <c r="BN59">
        <f t="shared" si="23"/>
        <v>0.52300000000000002</v>
      </c>
    </row>
    <row r="60" spans="1:66" x14ac:dyDescent="0.25">
      <c r="A60">
        <v>2024</v>
      </c>
      <c r="B60" s="1">
        <f t="shared" si="24"/>
        <v>45346</v>
      </c>
      <c r="C60">
        <v>55</v>
      </c>
      <c r="D60">
        <v>70</v>
      </c>
      <c r="E60" s="6">
        <v>12.95</v>
      </c>
      <c r="F60" s="6">
        <v>0.52400000000000002</v>
      </c>
      <c r="G60" s="6">
        <v>4.7169999999999996</v>
      </c>
      <c r="H60" s="6">
        <v>-1.9419999999999999</v>
      </c>
      <c r="I60" s="6">
        <v>4.8490000000000002</v>
      </c>
      <c r="J60" s="6">
        <v>1.6359999999999999</v>
      </c>
      <c r="K60" s="6">
        <v>67.819999999999993</v>
      </c>
      <c r="L60" s="6"/>
      <c r="M60" s="6">
        <v>-0.374</v>
      </c>
      <c r="N60" s="6">
        <v>0.42499999999999999</v>
      </c>
      <c r="O60" s="6">
        <v>5.1189999999999998</v>
      </c>
      <c r="P60" s="6">
        <v>80.400000000000006</v>
      </c>
      <c r="Q60" s="6"/>
      <c r="R60" s="6">
        <v>0.51700000000000002</v>
      </c>
      <c r="S60" s="6">
        <v>0.86699999999999999</v>
      </c>
      <c r="T60" s="6">
        <v>-0.58299999999999996</v>
      </c>
      <c r="U60" s="6">
        <v>50.16</v>
      </c>
      <c r="V60" s="6"/>
      <c r="W60" s="6">
        <v>-1.556</v>
      </c>
      <c r="X60" s="6">
        <v>0.221</v>
      </c>
      <c r="Y60" s="6">
        <v>1.387</v>
      </c>
      <c r="Z60" s="6">
        <v>3.0070000000000001</v>
      </c>
      <c r="AA60" s="6">
        <v>0</v>
      </c>
      <c r="AB60" s="6">
        <v>1.595</v>
      </c>
      <c r="AC60" s="6">
        <v>4.8319999999999999</v>
      </c>
      <c r="AD60" s="6">
        <v>-1.764</v>
      </c>
      <c r="AE60" s="6">
        <v>8.9999999999999993E-3</v>
      </c>
      <c r="AF60" s="6">
        <v>6.0000000000000001E-3</v>
      </c>
      <c r="AG60" s="6">
        <v>1.5920000000000001</v>
      </c>
      <c r="AH60" s="6"/>
      <c r="AI60" s="6">
        <f t="shared" si="0"/>
        <v>0.45499999999999985</v>
      </c>
      <c r="AJ60">
        <f t="shared" si="28"/>
        <v>0.3</v>
      </c>
      <c r="AK60" s="21">
        <f t="shared" si="25"/>
        <v>0.3</v>
      </c>
      <c r="AL60">
        <f t="shared" si="26"/>
        <v>132.20000000000005</v>
      </c>
      <c r="AM60" s="4">
        <v>11.84</v>
      </c>
      <c r="AN60">
        <v>4.84</v>
      </c>
      <c r="AP60" s="7">
        <f t="shared" si="3"/>
        <v>0.441</v>
      </c>
      <c r="AQ60" s="7">
        <f t="shared" si="4"/>
        <v>0.438</v>
      </c>
      <c r="AS60">
        <f t="shared" si="5"/>
        <v>4.84</v>
      </c>
      <c r="AT60">
        <f t="shared" si="6"/>
        <v>1.6</v>
      </c>
      <c r="AU60">
        <f t="shared" si="7"/>
        <v>67.8</v>
      </c>
      <c r="AV60" t="s">
        <v>104</v>
      </c>
      <c r="AW60">
        <f t="shared" si="8"/>
        <v>-0.4</v>
      </c>
      <c r="AX60">
        <f t="shared" si="9"/>
        <v>0.4</v>
      </c>
      <c r="AY60">
        <f t="shared" si="10"/>
        <v>5.0999999999999996</v>
      </c>
      <c r="AZ60">
        <f t="shared" si="11"/>
        <v>80.400000000000006</v>
      </c>
      <c r="BA60" t="s">
        <v>104</v>
      </c>
      <c r="BB60">
        <f t="shared" si="12"/>
        <v>0.5</v>
      </c>
      <c r="BC60">
        <f t="shared" si="13"/>
        <v>0.9</v>
      </c>
      <c r="BD60">
        <f t="shared" si="14"/>
        <v>-0.6</v>
      </c>
      <c r="BE60">
        <f t="shared" si="15"/>
        <v>50.2</v>
      </c>
      <c r="BF60" t="s">
        <v>104</v>
      </c>
      <c r="BG60">
        <f t="shared" si="16"/>
        <v>-1.6</v>
      </c>
      <c r="BH60">
        <f t="shared" si="17"/>
        <v>0.2</v>
      </c>
      <c r="BI60">
        <f t="shared" si="18"/>
        <v>1.39</v>
      </c>
      <c r="BJ60">
        <f t="shared" si="19"/>
        <v>3.01</v>
      </c>
      <c r="BK60">
        <f t="shared" si="20"/>
        <v>0.45499999999999985</v>
      </c>
      <c r="BL60">
        <f t="shared" si="21"/>
        <v>0.3</v>
      </c>
      <c r="BM60">
        <f t="shared" si="22"/>
        <v>0.441</v>
      </c>
      <c r="BN60">
        <f t="shared" si="23"/>
        <v>0.438</v>
      </c>
    </row>
    <row r="61" spans="1:66" x14ac:dyDescent="0.25">
      <c r="A61">
        <v>2024</v>
      </c>
      <c r="B61" s="1">
        <f t="shared" si="24"/>
        <v>45347</v>
      </c>
      <c r="C61">
        <v>56</v>
      </c>
      <c r="D61">
        <v>70</v>
      </c>
      <c r="E61" s="6">
        <v>12.98</v>
      </c>
      <c r="F61" s="6">
        <v>-0.54200000000000004</v>
      </c>
      <c r="G61" s="6">
        <v>7.9</v>
      </c>
      <c r="H61" s="6">
        <v>-6.609</v>
      </c>
      <c r="I61" s="6">
        <v>4.6660000000000004</v>
      </c>
      <c r="J61" s="6">
        <v>-2.3E-2</v>
      </c>
      <c r="K61" s="6">
        <v>75.400000000000006</v>
      </c>
      <c r="L61" s="6"/>
      <c r="M61" s="6">
        <v>-0.309</v>
      </c>
      <c r="N61" s="6">
        <v>0.38100000000000001</v>
      </c>
      <c r="O61" s="6">
        <v>7.74</v>
      </c>
      <c r="P61" s="6">
        <v>92.3</v>
      </c>
      <c r="Q61" s="6"/>
      <c r="R61" s="6">
        <v>2.2090000000000001</v>
      </c>
      <c r="S61" s="6">
        <v>1.673</v>
      </c>
      <c r="T61" s="6">
        <v>-6.1449999999999996</v>
      </c>
      <c r="U61" s="6">
        <v>41.76</v>
      </c>
      <c r="V61" s="6"/>
      <c r="W61" s="6">
        <v>-1.399</v>
      </c>
      <c r="X61" s="6">
        <v>-0.158</v>
      </c>
      <c r="Y61" s="6">
        <v>1.6459999999999999</v>
      </c>
      <c r="Z61" s="6">
        <v>3.66</v>
      </c>
      <c r="AA61" s="6">
        <v>0.6</v>
      </c>
      <c r="AB61" s="6">
        <v>1.5529999999999999</v>
      </c>
      <c r="AC61" s="6">
        <v>7.57</v>
      </c>
      <c r="AD61" s="6">
        <v>-6.444</v>
      </c>
      <c r="AE61" s="6">
        <v>8.9999999999999993E-3</v>
      </c>
      <c r="AF61" s="6">
        <v>7.0000000000000001E-3</v>
      </c>
      <c r="AG61" s="6">
        <v>1.57</v>
      </c>
      <c r="AH61" s="6"/>
      <c r="AI61" s="6">
        <f t="shared" si="0"/>
        <v>0.49699999999999989</v>
      </c>
      <c r="AJ61">
        <f t="shared" si="28"/>
        <v>5.5</v>
      </c>
      <c r="AK61" s="21">
        <f t="shared" si="25"/>
        <v>5.5</v>
      </c>
      <c r="AL61">
        <f t="shared" si="26"/>
        <v>137.70000000000005</v>
      </c>
      <c r="AM61" s="4">
        <v>12.06</v>
      </c>
      <c r="AN61">
        <v>4.66</v>
      </c>
      <c r="AP61" s="7">
        <f t="shared" si="3"/>
        <v>0.44</v>
      </c>
      <c r="AQ61" s="7">
        <f t="shared" si="4"/>
        <v>0.61399999999999999</v>
      </c>
      <c r="AS61">
        <f t="shared" si="5"/>
        <v>4.66</v>
      </c>
      <c r="AT61">
        <f t="shared" si="6"/>
        <v>0</v>
      </c>
      <c r="AU61">
        <f t="shared" si="7"/>
        <v>75.400000000000006</v>
      </c>
      <c r="AV61" t="s">
        <v>104</v>
      </c>
      <c r="AW61">
        <f t="shared" si="8"/>
        <v>-0.3</v>
      </c>
      <c r="AX61">
        <f t="shared" si="9"/>
        <v>0.4</v>
      </c>
      <c r="AY61">
        <f t="shared" si="10"/>
        <v>7.7</v>
      </c>
      <c r="AZ61">
        <f t="shared" si="11"/>
        <v>92.3</v>
      </c>
      <c r="BA61" t="s">
        <v>104</v>
      </c>
      <c r="BB61">
        <f t="shared" si="12"/>
        <v>2.2000000000000002</v>
      </c>
      <c r="BC61">
        <f t="shared" si="13"/>
        <v>1.7</v>
      </c>
      <c r="BD61">
        <f t="shared" si="14"/>
        <v>-6.1</v>
      </c>
      <c r="BE61">
        <f t="shared" si="15"/>
        <v>41.8</v>
      </c>
      <c r="BF61" t="s">
        <v>104</v>
      </c>
      <c r="BG61">
        <f t="shared" si="16"/>
        <v>-1.4</v>
      </c>
      <c r="BH61">
        <f t="shared" si="17"/>
        <v>-0.2</v>
      </c>
      <c r="BI61">
        <f t="shared" si="18"/>
        <v>1.65</v>
      </c>
      <c r="BJ61">
        <f t="shared" si="19"/>
        <v>3.66</v>
      </c>
      <c r="BK61">
        <f t="shared" si="20"/>
        <v>0.49699999999999989</v>
      </c>
      <c r="BL61">
        <f t="shared" si="21"/>
        <v>5.5</v>
      </c>
      <c r="BM61">
        <f t="shared" si="22"/>
        <v>0.44</v>
      </c>
      <c r="BN61">
        <f t="shared" si="23"/>
        <v>0.61399999999999999</v>
      </c>
    </row>
    <row r="62" spans="1:66" x14ac:dyDescent="0.25">
      <c r="A62">
        <v>2024</v>
      </c>
      <c r="B62" s="1">
        <f t="shared" si="24"/>
        <v>45348</v>
      </c>
      <c r="C62">
        <v>57</v>
      </c>
      <c r="D62">
        <v>70</v>
      </c>
      <c r="E62" s="6">
        <v>12.97</v>
      </c>
      <c r="F62" s="6">
        <v>-7.4</v>
      </c>
      <c r="G62" s="6">
        <v>-1.133</v>
      </c>
      <c r="H62" s="6">
        <v>-15.72</v>
      </c>
      <c r="I62" s="6">
        <v>3.4329999999999998</v>
      </c>
      <c r="J62" s="6">
        <v>-6.9359999999999999</v>
      </c>
      <c r="K62" s="6">
        <v>83.4</v>
      </c>
      <c r="L62" s="6"/>
      <c r="M62" s="6">
        <v>-1.5389999999999999</v>
      </c>
      <c r="N62" s="6">
        <v>0.26900000000000002</v>
      </c>
      <c r="O62" s="6">
        <v>-0.37</v>
      </c>
      <c r="P62" s="6">
        <v>90.8</v>
      </c>
      <c r="Q62" s="6"/>
      <c r="R62" s="6">
        <v>-0.29699999999999999</v>
      </c>
      <c r="S62" s="6">
        <v>1.071</v>
      </c>
      <c r="T62" s="6">
        <v>-15.22</v>
      </c>
      <c r="U62" s="6">
        <v>56.92</v>
      </c>
      <c r="V62" s="6"/>
      <c r="W62" s="6">
        <v>-3.4049999999999998</v>
      </c>
      <c r="X62" s="6">
        <v>-0.223</v>
      </c>
      <c r="Y62" s="6">
        <v>0.72199999999999998</v>
      </c>
      <c r="Z62" s="6">
        <v>2.06</v>
      </c>
      <c r="AA62" s="6">
        <v>0</v>
      </c>
      <c r="AB62" s="6">
        <v>1.5289999999999999</v>
      </c>
      <c r="AC62" s="6">
        <v>-1.3089999999999999</v>
      </c>
      <c r="AD62" s="6">
        <v>-14.68</v>
      </c>
      <c r="AE62" s="6">
        <v>8.9999999999999993E-3</v>
      </c>
      <c r="AF62" s="6">
        <v>6.0000000000000001E-3</v>
      </c>
      <c r="AG62" s="6">
        <v>1.5720000000000001</v>
      </c>
      <c r="AH62" s="6"/>
      <c r="AI62" s="6">
        <f t="shared" si="0"/>
        <v>0.52099999999999991</v>
      </c>
      <c r="AJ62">
        <f t="shared" si="28"/>
        <v>3.1</v>
      </c>
      <c r="AK62" s="21">
        <f t="shared" si="25"/>
        <v>3.1</v>
      </c>
      <c r="AL62">
        <f t="shared" si="26"/>
        <v>140.80000000000004</v>
      </c>
      <c r="AM62" s="4">
        <v>12.3</v>
      </c>
      <c r="AN62">
        <v>3.43</v>
      </c>
      <c r="AP62" s="7">
        <f t="shared" si="3"/>
        <v>0.33800000000000002</v>
      </c>
      <c r="AQ62" s="7">
        <f t="shared" si="4"/>
        <v>0.25600000000000001</v>
      </c>
      <c r="AS62">
        <f t="shared" si="5"/>
        <v>3.43</v>
      </c>
      <c r="AT62">
        <f t="shared" si="6"/>
        <v>-6.9</v>
      </c>
      <c r="AU62">
        <f t="shared" si="7"/>
        <v>83.4</v>
      </c>
      <c r="AV62" t="s">
        <v>104</v>
      </c>
      <c r="AW62">
        <f t="shared" si="8"/>
        <v>-1.5</v>
      </c>
      <c r="AX62">
        <f t="shared" si="9"/>
        <v>0.3</v>
      </c>
      <c r="AY62">
        <f t="shared" si="10"/>
        <v>-0.4</v>
      </c>
      <c r="AZ62">
        <f t="shared" si="11"/>
        <v>90.8</v>
      </c>
      <c r="BA62" t="s">
        <v>104</v>
      </c>
      <c r="BB62">
        <f t="shared" si="12"/>
        <v>-0.3</v>
      </c>
      <c r="BC62">
        <f t="shared" si="13"/>
        <v>1.1000000000000001</v>
      </c>
      <c r="BD62">
        <f t="shared" si="14"/>
        <v>-15.2</v>
      </c>
      <c r="BE62">
        <f t="shared" si="15"/>
        <v>56.9</v>
      </c>
      <c r="BF62" t="s">
        <v>104</v>
      </c>
      <c r="BG62">
        <f t="shared" si="16"/>
        <v>-3.4</v>
      </c>
      <c r="BH62">
        <f t="shared" si="17"/>
        <v>-0.2</v>
      </c>
      <c r="BI62">
        <f t="shared" si="18"/>
        <v>0.72</v>
      </c>
      <c r="BJ62">
        <f t="shared" si="19"/>
        <v>2.06</v>
      </c>
      <c r="BK62">
        <f t="shared" si="20"/>
        <v>0.52099999999999991</v>
      </c>
      <c r="BL62">
        <f t="shared" si="21"/>
        <v>3.1</v>
      </c>
      <c r="BM62">
        <f t="shared" si="22"/>
        <v>0.33800000000000002</v>
      </c>
      <c r="BN62">
        <f t="shared" si="23"/>
        <v>0.25600000000000001</v>
      </c>
    </row>
    <row r="63" spans="1:66" x14ac:dyDescent="0.25">
      <c r="A63">
        <v>2024</v>
      </c>
      <c r="B63" s="1">
        <f t="shared" si="24"/>
        <v>45349</v>
      </c>
      <c r="C63">
        <v>58</v>
      </c>
      <c r="D63">
        <v>70</v>
      </c>
      <c r="E63" s="6">
        <v>13</v>
      </c>
      <c r="F63" s="6">
        <v>-13.95</v>
      </c>
      <c r="G63" s="6">
        <v>-6.9370000000000003</v>
      </c>
      <c r="H63" s="6">
        <v>-22.86</v>
      </c>
      <c r="I63" s="6">
        <v>1.4330000000000001</v>
      </c>
      <c r="J63" s="6">
        <v>-12.85</v>
      </c>
      <c r="K63" s="6">
        <v>75.5</v>
      </c>
      <c r="L63" s="6"/>
      <c r="M63" s="6">
        <v>-3.9060000000000001</v>
      </c>
      <c r="N63" s="6">
        <v>0.29699999999999999</v>
      </c>
      <c r="O63" s="6">
        <v>-7.22</v>
      </c>
      <c r="P63" s="6">
        <v>87.3</v>
      </c>
      <c r="Q63" s="6"/>
      <c r="R63" s="6">
        <v>-3.0670000000000002</v>
      </c>
      <c r="S63" s="6">
        <v>1.5309999999999999</v>
      </c>
      <c r="T63" s="6">
        <v>-20.99</v>
      </c>
      <c r="U63" s="6">
        <v>49.74</v>
      </c>
      <c r="V63" s="6"/>
      <c r="W63" s="6">
        <v>-5.4930000000000003</v>
      </c>
      <c r="X63" s="6">
        <v>-0.11899999999999999</v>
      </c>
      <c r="Y63" s="6">
        <v>0.71199999999999997</v>
      </c>
      <c r="Z63" s="6">
        <v>2.3540000000000001</v>
      </c>
      <c r="AA63" s="6">
        <v>0.1</v>
      </c>
      <c r="AB63" s="6">
        <v>1.472</v>
      </c>
      <c r="AC63" s="6">
        <v>-6.8280000000000003</v>
      </c>
      <c r="AD63" s="6">
        <v>-22.67</v>
      </c>
      <c r="AE63" s="6">
        <v>8.9999999999999993E-3</v>
      </c>
      <c r="AF63" s="6">
        <v>6.0000000000000001E-3</v>
      </c>
      <c r="AG63" s="6">
        <v>1.4910000000000001</v>
      </c>
      <c r="AH63" s="6"/>
      <c r="AI63" s="6">
        <f t="shared" si="0"/>
        <v>0.57799999999999985</v>
      </c>
      <c r="AJ63">
        <f t="shared" si="28"/>
        <v>7.4</v>
      </c>
      <c r="AK63" s="21">
        <f t="shared" si="25"/>
        <v>7.4</v>
      </c>
      <c r="AL63">
        <f>AL62+AK63</f>
        <v>148.20000000000005</v>
      </c>
      <c r="AM63" s="4">
        <v>12.53</v>
      </c>
      <c r="AN63">
        <v>1.43</v>
      </c>
      <c r="AP63" s="7">
        <f t="shared" si="3"/>
        <v>0.17699999999999999</v>
      </c>
      <c r="AQ63" s="7">
        <f t="shared" si="4"/>
        <v>0.17899999999999999</v>
      </c>
      <c r="AS63">
        <f t="shared" si="5"/>
        <v>1.43</v>
      </c>
      <c r="AT63">
        <f t="shared" si="6"/>
        <v>-12.9</v>
      </c>
      <c r="AU63">
        <f t="shared" si="7"/>
        <v>75.5</v>
      </c>
      <c r="AV63" t="s">
        <v>104</v>
      </c>
      <c r="AW63">
        <f t="shared" si="8"/>
        <v>-3.9</v>
      </c>
      <c r="AX63">
        <f t="shared" si="9"/>
        <v>0.3</v>
      </c>
      <c r="AY63">
        <f t="shared" si="10"/>
        <v>-7.2</v>
      </c>
      <c r="AZ63">
        <f t="shared" si="11"/>
        <v>87.3</v>
      </c>
      <c r="BA63" t="s">
        <v>104</v>
      </c>
      <c r="BB63">
        <f t="shared" si="12"/>
        <v>-3.1</v>
      </c>
      <c r="BC63">
        <f t="shared" si="13"/>
        <v>1.5</v>
      </c>
      <c r="BD63">
        <f t="shared" si="14"/>
        <v>-21</v>
      </c>
      <c r="BE63">
        <f t="shared" si="15"/>
        <v>49.7</v>
      </c>
      <c r="BF63" t="s">
        <v>104</v>
      </c>
      <c r="BG63">
        <f t="shared" si="16"/>
        <v>-5.5</v>
      </c>
      <c r="BH63">
        <f t="shared" si="17"/>
        <v>-0.1</v>
      </c>
      <c r="BI63">
        <f t="shared" si="18"/>
        <v>0.71</v>
      </c>
      <c r="BJ63">
        <f t="shared" si="19"/>
        <v>2.35</v>
      </c>
      <c r="BK63">
        <f t="shared" si="20"/>
        <v>0.57799999999999985</v>
      </c>
      <c r="BL63">
        <f t="shared" si="21"/>
        <v>7.4</v>
      </c>
      <c r="BM63">
        <f t="shared" si="22"/>
        <v>0.17699999999999999</v>
      </c>
      <c r="BN63">
        <f t="shared" si="23"/>
        <v>0.17899999999999999</v>
      </c>
    </row>
    <row r="64" spans="1:66" x14ac:dyDescent="0.25">
      <c r="A64">
        <v>2024</v>
      </c>
      <c r="B64" s="1">
        <f t="shared" si="24"/>
        <v>45350</v>
      </c>
      <c r="C64">
        <v>59</v>
      </c>
      <c r="E64" s="6">
        <v>12.93</v>
      </c>
      <c r="F64" s="6">
        <v>-2.0579999999999998</v>
      </c>
      <c r="G64" s="6">
        <v>1.4530000000000001</v>
      </c>
      <c r="H64" s="6">
        <v>-8.1</v>
      </c>
      <c r="I64" s="6">
        <v>0.86099999999999999</v>
      </c>
      <c r="J64" s="6">
        <v>-1.1719999999999999</v>
      </c>
      <c r="K64" s="6">
        <v>82.2</v>
      </c>
      <c r="L64" s="6"/>
      <c r="M64" s="6">
        <v>-1.4</v>
      </c>
      <c r="N64" s="6">
        <v>0.42499999999999999</v>
      </c>
      <c r="O64" s="6">
        <v>2.3740000000000001</v>
      </c>
      <c r="P64" s="6">
        <v>87</v>
      </c>
      <c r="Q64" s="6"/>
      <c r="R64" s="6">
        <v>-3.9E-2</v>
      </c>
      <c r="S64" s="6">
        <v>0.71499999999999997</v>
      </c>
      <c r="T64" s="6">
        <v>-7.36</v>
      </c>
      <c r="U64" s="6">
        <v>72.8</v>
      </c>
      <c r="V64" s="6"/>
      <c r="W64" s="6">
        <v>-3.077</v>
      </c>
      <c r="X64" s="6">
        <v>0.32200000000000001</v>
      </c>
      <c r="Y64" s="6">
        <v>1.429</v>
      </c>
      <c r="Z64" s="6">
        <v>3.1269999999999998</v>
      </c>
      <c r="AA64" s="6">
        <v>0</v>
      </c>
      <c r="AB64" s="6">
        <v>1.4910000000000001</v>
      </c>
      <c r="AC64" s="6">
        <v>1.5720000000000001</v>
      </c>
      <c r="AD64" s="6">
        <v>-8.19</v>
      </c>
      <c r="AE64" s="6">
        <v>8.9999999999999993E-3</v>
      </c>
      <c r="AF64" s="6">
        <v>6.0000000000000001E-3</v>
      </c>
      <c r="AG64" s="6">
        <v>1.484</v>
      </c>
      <c r="AH64" s="6"/>
      <c r="AI64" s="6">
        <f t="shared" si="0"/>
        <v>0.55899999999999972</v>
      </c>
      <c r="AJ64">
        <f t="shared" si="28"/>
        <v>0</v>
      </c>
      <c r="AK64" s="21">
        <f t="shared" ref="AK64:AK65" si="29">AJ64</f>
        <v>0</v>
      </c>
      <c r="AL64">
        <f t="shared" ref="AL64:AL65" si="30">AL63+AK64</f>
        <v>148.20000000000005</v>
      </c>
      <c r="AM64" s="4">
        <v>12.77</v>
      </c>
      <c r="AN64">
        <v>0.85</v>
      </c>
      <c r="AP64" s="7">
        <f t="shared" ref="AP64:AP65" si="31">ROUND((0.6105*(EXP((17.273*O64)/(O64+237.3))))*U64/100,3)</f>
        <v>0.52700000000000002</v>
      </c>
      <c r="AQ64" s="7">
        <f t="shared" si="4"/>
        <v>0.19700000000000001</v>
      </c>
      <c r="AS64">
        <f t="shared" si="5"/>
        <v>0.85</v>
      </c>
      <c r="AT64">
        <f t="shared" si="6"/>
        <v>-1.2</v>
      </c>
      <c r="AU64">
        <f t="shared" si="7"/>
        <v>82.2</v>
      </c>
      <c r="AV64" t="s">
        <v>104</v>
      </c>
      <c r="AW64">
        <f t="shared" si="8"/>
        <v>-1.4</v>
      </c>
      <c r="AX64">
        <f t="shared" si="9"/>
        <v>0.4</v>
      </c>
      <c r="AY64">
        <f t="shared" si="10"/>
        <v>2.4</v>
      </c>
      <c r="AZ64">
        <f t="shared" si="11"/>
        <v>87</v>
      </c>
      <c r="BA64" t="s">
        <v>104</v>
      </c>
      <c r="BB64">
        <f t="shared" si="12"/>
        <v>0</v>
      </c>
      <c r="BC64">
        <f t="shared" si="13"/>
        <v>0.7</v>
      </c>
      <c r="BD64">
        <f t="shared" si="14"/>
        <v>-7.4</v>
      </c>
      <c r="BE64">
        <f t="shared" si="15"/>
        <v>72.8</v>
      </c>
      <c r="BF64" t="s">
        <v>104</v>
      </c>
      <c r="BG64">
        <f t="shared" si="16"/>
        <v>-3.1</v>
      </c>
      <c r="BH64">
        <f t="shared" si="17"/>
        <v>0.3</v>
      </c>
      <c r="BI64">
        <f t="shared" si="18"/>
        <v>1.43</v>
      </c>
      <c r="BJ64">
        <f t="shared" si="19"/>
        <v>3.13</v>
      </c>
      <c r="BK64">
        <f t="shared" si="20"/>
        <v>0.55899999999999972</v>
      </c>
      <c r="BL64">
        <f t="shared" si="21"/>
        <v>0</v>
      </c>
      <c r="BM64">
        <f t="shared" si="22"/>
        <v>0.52700000000000002</v>
      </c>
      <c r="BN64">
        <f t="shared" si="23"/>
        <v>0.19700000000000001</v>
      </c>
    </row>
    <row r="65" spans="1:66" x14ac:dyDescent="0.25">
      <c r="A65">
        <v>2024</v>
      </c>
      <c r="B65" s="1">
        <f t="shared" si="24"/>
        <v>45351</v>
      </c>
      <c r="C65">
        <v>60</v>
      </c>
      <c r="D65">
        <v>70</v>
      </c>
      <c r="E65" s="6">
        <v>13</v>
      </c>
      <c r="F65" s="6">
        <v>-2.5760000000000001</v>
      </c>
      <c r="G65" s="6">
        <v>1.617</v>
      </c>
      <c r="H65" s="6">
        <v>-8.69</v>
      </c>
      <c r="I65" s="6">
        <v>4.3099999999999996</v>
      </c>
      <c r="J65" s="6">
        <v>-1.871</v>
      </c>
      <c r="K65" s="6">
        <v>75.7</v>
      </c>
      <c r="L65" s="6"/>
      <c r="M65" s="6">
        <v>-0.41099999999999998</v>
      </c>
      <c r="N65" s="6">
        <v>0.28399999999999997</v>
      </c>
      <c r="O65" s="6">
        <v>2.98</v>
      </c>
      <c r="P65" s="6">
        <v>93.6</v>
      </c>
      <c r="Q65" s="6"/>
      <c r="R65" s="6">
        <v>0.47699999999999998</v>
      </c>
      <c r="S65" s="6">
        <v>0.82699999999999996</v>
      </c>
      <c r="T65" s="6">
        <v>-6.9530000000000003</v>
      </c>
      <c r="U65" s="6">
        <v>39.68</v>
      </c>
      <c r="V65" s="6"/>
      <c r="W65" s="6">
        <v>-1.6359999999999999</v>
      </c>
      <c r="X65" s="6">
        <v>-0.13300000000000001</v>
      </c>
      <c r="Y65" s="6">
        <v>1.214</v>
      </c>
      <c r="Z65" s="6">
        <v>3.8340000000000001</v>
      </c>
      <c r="AA65" s="6">
        <v>1.8</v>
      </c>
      <c r="AB65" s="6">
        <v>1.4770000000000001</v>
      </c>
      <c r="AC65" s="6">
        <v>1.7589999999999999</v>
      </c>
      <c r="AD65" s="6">
        <v>-8.51</v>
      </c>
      <c r="AE65" s="6">
        <v>8.9999999999999993E-3</v>
      </c>
      <c r="AF65" s="6">
        <v>7.0000000000000001E-3</v>
      </c>
      <c r="AG65" s="6">
        <v>1.4910000000000001</v>
      </c>
      <c r="AH65" s="6"/>
      <c r="AI65" s="6">
        <f t="shared" si="0"/>
        <v>0.57299999999999973</v>
      </c>
      <c r="AJ65">
        <f t="shared" si="28"/>
        <v>1.8</v>
      </c>
      <c r="AK65" s="21">
        <f t="shared" si="29"/>
        <v>1.8</v>
      </c>
      <c r="AL65">
        <f t="shared" si="30"/>
        <v>150.00000000000006</v>
      </c>
      <c r="AM65" s="4">
        <v>13</v>
      </c>
      <c r="AN65">
        <v>4.3099999999999996</v>
      </c>
      <c r="AP65" s="7">
        <f t="shared" si="31"/>
        <v>0.3</v>
      </c>
      <c r="AQ65" s="7">
        <f t="shared" si="4"/>
        <v>0.45600000000000002</v>
      </c>
      <c r="AS65">
        <f t="shared" si="5"/>
        <v>4.3099999999999996</v>
      </c>
      <c r="AT65">
        <f t="shared" si="6"/>
        <v>-1.9</v>
      </c>
      <c r="AU65">
        <f t="shared" si="7"/>
        <v>75.7</v>
      </c>
      <c r="AV65" t="s">
        <v>104</v>
      </c>
      <c r="AW65">
        <f t="shared" si="8"/>
        <v>-0.4</v>
      </c>
      <c r="AX65">
        <f t="shared" si="9"/>
        <v>0.3</v>
      </c>
      <c r="AY65">
        <f t="shared" si="10"/>
        <v>3</v>
      </c>
      <c r="AZ65">
        <f t="shared" si="11"/>
        <v>93.6</v>
      </c>
      <c r="BA65" t="s">
        <v>104</v>
      </c>
      <c r="BB65">
        <f t="shared" si="12"/>
        <v>0.5</v>
      </c>
      <c r="BC65">
        <f t="shared" si="13"/>
        <v>0.8</v>
      </c>
      <c r="BD65">
        <f t="shared" si="14"/>
        <v>-7</v>
      </c>
      <c r="BE65">
        <f t="shared" si="15"/>
        <v>39.700000000000003</v>
      </c>
      <c r="BF65" t="s">
        <v>104</v>
      </c>
      <c r="BG65">
        <f t="shared" si="16"/>
        <v>-1.6</v>
      </c>
      <c r="BH65">
        <f t="shared" si="17"/>
        <v>-0.1</v>
      </c>
      <c r="BI65">
        <f t="shared" si="18"/>
        <v>1.21</v>
      </c>
      <c r="BJ65">
        <f t="shared" si="19"/>
        <v>3.83</v>
      </c>
      <c r="BK65">
        <f t="shared" si="20"/>
        <v>0.57299999999999973</v>
      </c>
      <c r="BL65">
        <f t="shared" si="21"/>
        <v>1.8</v>
      </c>
      <c r="BM65">
        <f t="shared" si="22"/>
        <v>0.3</v>
      </c>
      <c r="BN65">
        <f t="shared" si="23"/>
        <v>0.45600000000000002</v>
      </c>
    </row>
    <row r="66" spans="1:66" x14ac:dyDescent="0.25">
      <c r="A66">
        <v>2024</v>
      </c>
      <c r="B66" s="1">
        <f t="shared" si="24"/>
        <v>45352</v>
      </c>
      <c r="C66">
        <v>61</v>
      </c>
      <c r="D66">
        <v>70</v>
      </c>
      <c r="E66" s="6">
        <v>12.99</v>
      </c>
      <c r="F66" s="6">
        <v>-3.4990000000000001</v>
      </c>
      <c r="G66" s="6">
        <v>4.2910000000000004</v>
      </c>
      <c r="H66" s="6">
        <v>-7.14</v>
      </c>
      <c r="I66" s="6">
        <v>7.44</v>
      </c>
      <c r="J66" s="6">
        <v>-2.57</v>
      </c>
      <c r="K66" s="6">
        <v>67.41</v>
      </c>
      <c r="L66" s="6"/>
      <c r="M66" s="6">
        <v>-1.379</v>
      </c>
      <c r="N66" s="6">
        <v>0.33300000000000002</v>
      </c>
      <c r="O66" s="6">
        <v>4.5940000000000003</v>
      </c>
      <c r="P66" s="6">
        <v>84.9</v>
      </c>
      <c r="Q66" s="6"/>
      <c r="R66" s="6">
        <v>0.57599999999999996</v>
      </c>
      <c r="S66" s="6">
        <v>1.1850000000000001</v>
      </c>
      <c r="T66" s="6">
        <v>-5.5389999999999997</v>
      </c>
      <c r="U66" s="6">
        <v>34.909999999999997</v>
      </c>
      <c r="V66" s="6"/>
      <c r="W66" s="6">
        <v>-2.0009999999999999</v>
      </c>
      <c r="X66" s="6">
        <v>-0.32400000000000001</v>
      </c>
      <c r="Y66" s="6">
        <v>1.0049999999999999</v>
      </c>
      <c r="Z66" s="6">
        <v>3.0870000000000002</v>
      </c>
      <c r="AA66" s="6">
        <v>1.1000000000000001</v>
      </c>
      <c r="AB66" s="6">
        <v>1.492</v>
      </c>
      <c r="AC66" s="6">
        <v>4.6660000000000004</v>
      </c>
      <c r="AD66" s="6">
        <v>-7.15</v>
      </c>
      <c r="AE66" s="6">
        <v>8.9999999999999993E-3</v>
      </c>
      <c r="AF66" s="6">
        <v>6.0000000000000001E-3</v>
      </c>
      <c r="AG66" s="6">
        <v>1.5029999999999999</v>
      </c>
      <c r="AH66" s="6"/>
      <c r="AI66" s="6">
        <f t="shared" si="0"/>
        <v>0.55799999999999983</v>
      </c>
      <c r="AJ66">
        <f t="shared" si="28"/>
        <v>0</v>
      </c>
      <c r="AK66" s="21">
        <f t="shared" si="25"/>
        <v>0</v>
      </c>
      <c r="AL66">
        <f t="shared" si="26"/>
        <v>150.00000000000006</v>
      </c>
      <c r="AM66" s="4">
        <v>13.24</v>
      </c>
      <c r="AN66">
        <v>7.44</v>
      </c>
      <c r="AP66" s="7">
        <f t="shared" si="3"/>
        <v>0.29599999999999999</v>
      </c>
      <c r="AQ66" s="7">
        <f t="shared" si="4"/>
        <v>0.55200000000000005</v>
      </c>
      <c r="AS66">
        <f t="shared" si="5"/>
        <v>7.44</v>
      </c>
      <c r="AT66">
        <f t="shared" si="6"/>
        <v>-2.6</v>
      </c>
      <c r="AU66">
        <f t="shared" si="7"/>
        <v>67.400000000000006</v>
      </c>
      <c r="AV66" t="s">
        <v>104</v>
      </c>
      <c r="AW66">
        <f t="shared" si="8"/>
        <v>-1.4</v>
      </c>
      <c r="AX66">
        <f t="shared" si="9"/>
        <v>0.3</v>
      </c>
      <c r="AY66">
        <f t="shared" si="10"/>
        <v>4.5999999999999996</v>
      </c>
      <c r="AZ66">
        <f t="shared" si="11"/>
        <v>84.9</v>
      </c>
      <c r="BA66" t="s">
        <v>104</v>
      </c>
      <c r="BB66">
        <f t="shared" si="12"/>
        <v>0.6</v>
      </c>
      <c r="BC66">
        <f t="shared" si="13"/>
        <v>1.2</v>
      </c>
      <c r="BD66">
        <f t="shared" si="14"/>
        <v>-5.5</v>
      </c>
      <c r="BE66">
        <f t="shared" si="15"/>
        <v>34.9</v>
      </c>
      <c r="BF66" t="s">
        <v>104</v>
      </c>
      <c r="BG66">
        <f t="shared" si="16"/>
        <v>-2</v>
      </c>
      <c r="BH66">
        <f t="shared" si="17"/>
        <v>-0.3</v>
      </c>
      <c r="BI66">
        <f t="shared" si="18"/>
        <v>1.01</v>
      </c>
      <c r="BJ66">
        <f t="shared" si="19"/>
        <v>3.09</v>
      </c>
      <c r="BK66">
        <f t="shared" si="20"/>
        <v>0.55799999999999983</v>
      </c>
      <c r="BL66">
        <f t="shared" si="21"/>
        <v>0</v>
      </c>
      <c r="BM66">
        <f t="shared" si="22"/>
        <v>0.29599999999999999</v>
      </c>
      <c r="BN66">
        <f t="shared" si="23"/>
        <v>0.55200000000000005</v>
      </c>
    </row>
    <row r="67" spans="1:66" x14ac:dyDescent="0.25">
      <c r="A67">
        <v>2024</v>
      </c>
      <c r="B67" s="1">
        <f t="shared" si="24"/>
        <v>45353</v>
      </c>
      <c r="C67">
        <v>62</v>
      </c>
      <c r="D67">
        <v>70</v>
      </c>
      <c r="E67" s="6">
        <v>12.92</v>
      </c>
      <c r="F67" s="6">
        <v>-4.0439999999999996</v>
      </c>
      <c r="G67" s="6">
        <v>0.95299999999999996</v>
      </c>
      <c r="H67" s="6">
        <v>-6.2309999999999999</v>
      </c>
      <c r="I67" s="6">
        <v>3.8980000000000001</v>
      </c>
      <c r="J67" s="6">
        <v>-3.3460000000000001</v>
      </c>
      <c r="K67" s="6">
        <v>76.400000000000006</v>
      </c>
      <c r="L67" s="6"/>
      <c r="M67" s="6">
        <v>-1.554</v>
      </c>
      <c r="N67" s="6">
        <v>0.33700000000000002</v>
      </c>
      <c r="O67" s="6">
        <v>1.837</v>
      </c>
      <c r="P67" s="6">
        <v>89.6</v>
      </c>
      <c r="Q67" s="6"/>
      <c r="R67" s="6">
        <v>-0.59199999999999997</v>
      </c>
      <c r="S67" s="6">
        <v>0.76200000000000001</v>
      </c>
      <c r="T67" s="6">
        <v>-6.0810000000000004</v>
      </c>
      <c r="U67" s="6">
        <v>47.89</v>
      </c>
      <c r="V67" s="6"/>
      <c r="W67" s="6">
        <v>-2.2050000000000001</v>
      </c>
      <c r="X67" s="6">
        <v>0.124</v>
      </c>
      <c r="Y67" s="6">
        <v>0.74</v>
      </c>
      <c r="Z67" s="6">
        <v>1.9139999999999999</v>
      </c>
      <c r="AA67" s="6">
        <v>0.4</v>
      </c>
      <c r="AB67" s="6">
        <v>1.417</v>
      </c>
      <c r="AC67" s="6">
        <v>1.073</v>
      </c>
      <c r="AD67" s="6">
        <v>-6</v>
      </c>
      <c r="AE67" s="6">
        <v>8.9999999999999993E-3</v>
      </c>
      <c r="AF67" s="6">
        <v>6.0000000000000001E-3</v>
      </c>
      <c r="AG67" s="6">
        <v>1.4319999999999999</v>
      </c>
      <c r="AH67" s="6"/>
      <c r="AI67" s="6">
        <f t="shared" si="0"/>
        <v>0.63299999999999979</v>
      </c>
      <c r="AJ67">
        <f t="shared" si="28"/>
        <v>9.6999999999999993</v>
      </c>
      <c r="AK67" s="21">
        <f t="shared" si="25"/>
        <v>9.6999999999999993</v>
      </c>
      <c r="AL67">
        <f t="shared" si="26"/>
        <v>159.70000000000005</v>
      </c>
      <c r="AM67" s="4">
        <v>13.48</v>
      </c>
      <c r="AN67">
        <v>3.9</v>
      </c>
      <c r="AP67" s="7">
        <f t="shared" si="3"/>
        <v>0.33400000000000002</v>
      </c>
      <c r="AQ67" s="7">
        <f t="shared" si="4"/>
        <v>0.36299999999999999</v>
      </c>
      <c r="AS67">
        <f t="shared" si="5"/>
        <v>3.9</v>
      </c>
      <c r="AT67">
        <f t="shared" si="6"/>
        <v>-3.3</v>
      </c>
      <c r="AU67">
        <f t="shared" si="7"/>
        <v>76.400000000000006</v>
      </c>
      <c r="AV67" t="s">
        <v>104</v>
      </c>
      <c r="AW67">
        <f t="shared" si="8"/>
        <v>-1.6</v>
      </c>
      <c r="AX67">
        <f t="shared" si="9"/>
        <v>0.3</v>
      </c>
      <c r="AY67">
        <f t="shared" si="10"/>
        <v>1.8</v>
      </c>
      <c r="AZ67">
        <f t="shared" si="11"/>
        <v>89.6</v>
      </c>
      <c r="BA67" t="s">
        <v>104</v>
      </c>
      <c r="BB67">
        <f t="shared" si="12"/>
        <v>-0.6</v>
      </c>
      <c r="BC67">
        <f t="shared" si="13"/>
        <v>0.8</v>
      </c>
      <c r="BD67">
        <f t="shared" si="14"/>
        <v>-6.1</v>
      </c>
      <c r="BE67">
        <f t="shared" si="15"/>
        <v>47.9</v>
      </c>
      <c r="BF67" t="s">
        <v>104</v>
      </c>
      <c r="BG67">
        <f t="shared" si="16"/>
        <v>-2.2000000000000002</v>
      </c>
      <c r="BH67">
        <f t="shared" si="17"/>
        <v>0.1</v>
      </c>
      <c r="BI67">
        <f t="shared" si="18"/>
        <v>0.74</v>
      </c>
      <c r="BJ67">
        <f t="shared" si="19"/>
        <v>1.91</v>
      </c>
      <c r="BK67">
        <f t="shared" si="20"/>
        <v>0.63299999999999979</v>
      </c>
      <c r="BL67">
        <f t="shared" si="21"/>
        <v>9.6999999999999993</v>
      </c>
      <c r="BM67">
        <f t="shared" si="22"/>
        <v>0.33400000000000002</v>
      </c>
      <c r="BN67">
        <f t="shared" si="23"/>
        <v>0.36299999999999999</v>
      </c>
    </row>
    <row r="68" spans="1:66" x14ac:dyDescent="0.25">
      <c r="A68">
        <v>2024</v>
      </c>
      <c r="B68" s="1">
        <f t="shared" si="24"/>
        <v>45354</v>
      </c>
      <c r="C68">
        <v>63</v>
      </c>
      <c r="D68">
        <v>70</v>
      </c>
      <c r="E68" s="6">
        <v>13.02</v>
      </c>
      <c r="F68" s="6">
        <v>-6.3380000000000001</v>
      </c>
      <c r="G68" s="6">
        <v>1.6559999999999999</v>
      </c>
      <c r="H68" s="6">
        <v>-12.33</v>
      </c>
      <c r="I68" s="6">
        <v>1.99</v>
      </c>
      <c r="J68" s="6">
        <v>-5.73</v>
      </c>
      <c r="K68" s="6">
        <v>81.8</v>
      </c>
      <c r="L68" s="6"/>
      <c r="M68" s="6">
        <v>-1.593</v>
      </c>
      <c r="N68" s="6">
        <v>0.318</v>
      </c>
      <c r="O68" s="6">
        <v>2.2410000000000001</v>
      </c>
      <c r="P68" s="6">
        <v>89.3</v>
      </c>
      <c r="Q68" s="6"/>
      <c r="R68" s="6">
        <v>-0.106</v>
      </c>
      <c r="S68" s="6">
        <v>1.0109999999999999</v>
      </c>
      <c r="T68" s="6">
        <v>-11.12</v>
      </c>
      <c r="U68" s="6">
        <v>55.89</v>
      </c>
      <c r="V68" s="6"/>
      <c r="W68" s="6">
        <v>-2.6869999999999998</v>
      </c>
      <c r="X68" s="6">
        <v>-0.05</v>
      </c>
      <c r="Y68" s="6">
        <v>0.46800000000000003</v>
      </c>
      <c r="Z68" s="6">
        <v>1.54</v>
      </c>
      <c r="AA68" s="6">
        <v>1.4</v>
      </c>
      <c r="AB68" s="6">
        <v>1.3979999999999999</v>
      </c>
      <c r="AC68" s="6">
        <v>1.696</v>
      </c>
      <c r="AD68" s="6">
        <v>-12.12</v>
      </c>
      <c r="AE68" s="6">
        <v>8.9999999999999993E-3</v>
      </c>
      <c r="AF68" s="6">
        <v>6.0000000000000001E-3</v>
      </c>
      <c r="AG68" s="6">
        <v>1.417</v>
      </c>
      <c r="AH68" s="6"/>
      <c r="AI68" s="6">
        <f t="shared" si="0"/>
        <v>0.65199999999999991</v>
      </c>
      <c r="AJ68">
        <f t="shared" si="28"/>
        <v>2.5</v>
      </c>
      <c r="AK68" s="21">
        <f t="shared" si="25"/>
        <v>2.5</v>
      </c>
      <c r="AL68">
        <f t="shared" si="26"/>
        <v>162.20000000000005</v>
      </c>
      <c r="AM68" s="4">
        <v>13.73</v>
      </c>
      <c r="AN68">
        <v>1.99</v>
      </c>
      <c r="AP68" s="7">
        <f t="shared" si="3"/>
        <v>0.40100000000000002</v>
      </c>
      <c r="AQ68" s="7">
        <f t="shared" si="4"/>
        <v>0.316</v>
      </c>
      <c r="AS68">
        <f t="shared" si="5"/>
        <v>1.99</v>
      </c>
      <c r="AT68">
        <f t="shared" si="6"/>
        <v>-5.7</v>
      </c>
      <c r="AU68">
        <f t="shared" si="7"/>
        <v>81.8</v>
      </c>
      <c r="AV68" t="s">
        <v>104</v>
      </c>
      <c r="AW68">
        <f t="shared" si="8"/>
        <v>-1.6</v>
      </c>
      <c r="AX68">
        <f t="shared" si="9"/>
        <v>0.3</v>
      </c>
      <c r="AY68">
        <f t="shared" si="10"/>
        <v>2.2000000000000002</v>
      </c>
      <c r="AZ68">
        <f t="shared" si="11"/>
        <v>89.3</v>
      </c>
      <c r="BA68" t="s">
        <v>104</v>
      </c>
      <c r="BB68">
        <f t="shared" si="12"/>
        <v>-0.1</v>
      </c>
      <c r="BC68">
        <f t="shared" si="13"/>
        <v>1</v>
      </c>
      <c r="BD68">
        <f t="shared" si="14"/>
        <v>-11.1</v>
      </c>
      <c r="BE68">
        <f t="shared" si="15"/>
        <v>55.9</v>
      </c>
      <c r="BF68" t="s">
        <v>104</v>
      </c>
      <c r="BG68">
        <f t="shared" si="16"/>
        <v>-2.7</v>
      </c>
      <c r="BH68">
        <f t="shared" si="17"/>
        <v>-0.1</v>
      </c>
      <c r="BI68">
        <f t="shared" si="18"/>
        <v>0.47</v>
      </c>
      <c r="BJ68">
        <f t="shared" si="19"/>
        <v>1.54</v>
      </c>
      <c r="BK68">
        <f t="shared" si="20"/>
        <v>0.65199999999999991</v>
      </c>
      <c r="BL68">
        <f t="shared" si="21"/>
        <v>2.5</v>
      </c>
      <c r="BM68">
        <f t="shared" si="22"/>
        <v>0.40100000000000002</v>
      </c>
      <c r="BN68">
        <f t="shared" si="23"/>
        <v>0.316</v>
      </c>
    </row>
    <row r="69" spans="1:66" x14ac:dyDescent="0.25">
      <c r="A69">
        <v>2024</v>
      </c>
      <c r="B69" s="1">
        <f t="shared" si="24"/>
        <v>45355</v>
      </c>
      <c r="C69">
        <v>64</v>
      </c>
      <c r="D69">
        <v>70</v>
      </c>
      <c r="E69" s="6">
        <v>13.03</v>
      </c>
      <c r="F69" s="6">
        <v>-10.32</v>
      </c>
      <c r="G69" s="6">
        <v>-3.9950000000000001</v>
      </c>
      <c r="H69" s="6">
        <v>-17.2</v>
      </c>
      <c r="I69" s="6">
        <v>1.931</v>
      </c>
      <c r="J69" s="6">
        <v>-10.35</v>
      </c>
      <c r="K69" s="6">
        <v>80.5</v>
      </c>
      <c r="L69" s="6"/>
      <c r="M69" s="6">
        <v>-2.4910000000000001</v>
      </c>
      <c r="N69" s="6">
        <v>0.253</v>
      </c>
      <c r="O69" s="6">
        <v>-4.9450000000000003</v>
      </c>
      <c r="P69" s="6">
        <v>89.4</v>
      </c>
      <c r="Q69" s="6"/>
      <c r="R69" s="6">
        <v>-1.3580000000000001</v>
      </c>
      <c r="S69" s="6">
        <v>0.88900000000000001</v>
      </c>
      <c r="T69" s="6">
        <v>-15.69</v>
      </c>
      <c r="U69" s="6">
        <v>60.09</v>
      </c>
      <c r="V69" s="6"/>
      <c r="W69" s="6">
        <v>-3.956</v>
      </c>
      <c r="X69" s="6">
        <v>-0.39600000000000002</v>
      </c>
      <c r="Y69" s="6">
        <v>0.54700000000000004</v>
      </c>
      <c r="Z69" s="6">
        <v>2.1269999999999998</v>
      </c>
      <c r="AA69" s="6">
        <v>0</v>
      </c>
      <c r="AB69" s="6">
        <v>1.3959999999999999</v>
      </c>
      <c r="AC69" s="6">
        <v>-3.9660000000000002</v>
      </c>
      <c r="AD69" s="6">
        <v>-16.95</v>
      </c>
      <c r="AE69" s="6">
        <v>8.9999999999999993E-3</v>
      </c>
      <c r="AF69" s="6">
        <v>6.0000000000000001E-3</v>
      </c>
      <c r="AG69" s="6">
        <v>1.4330000000000001</v>
      </c>
      <c r="AH69" s="6"/>
      <c r="AI69" s="6">
        <f t="shared" si="0"/>
        <v>0.65399999999999991</v>
      </c>
      <c r="AJ69">
        <f t="shared" si="28"/>
        <v>0.3</v>
      </c>
      <c r="AK69" s="21">
        <f t="shared" si="25"/>
        <v>0.3</v>
      </c>
      <c r="AL69">
        <f t="shared" si="26"/>
        <v>162.50000000000006</v>
      </c>
      <c r="AM69" s="4">
        <v>13.97</v>
      </c>
      <c r="AN69">
        <v>1.93</v>
      </c>
      <c r="AP69" s="7">
        <f t="shared" si="3"/>
        <v>0.254</v>
      </c>
      <c r="AQ69" s="7">
        <f t="shared" si="4"/>
        <v>0.16900000000000001</v>
      </c>
      <c r="AS69">
        <f t="shared" si="5"/>
        <v>1.93</v>
      </c>
      <c r="AT69">
        <f t="shared" si="6"/>
        <v>-10.4</v>
      </c>
      <c r="AU69">
        <f t="shared" si="7"/>
        <v>80.5</v>
      </c>
      <c r="AV69" t="s">
        <v>104</v>
      </c>
      <c r="AW69">
        <f t="shared" si="8"/>
        <v>-2.5</v>
      </c>
      <c r="AX69">
        <f t="shared" si="9"/>
        <v>0.3</v>
      </c>
      <c r="AY69">
        <f t="shared" si="10"/>
        <v>-4.9000000000000004</v>
      </c>
      <c r="AZ69">
        <f t="shared" si="11"/>
        <v>89.4</v>
      </c>
      <c r="BA69" t="s">
        <v>104</v>
      </c>
      <c r="BB69">
        <f t="shared" si="12"/>
        <v>-1.4</v>
      </c>
      <c r="BC69">
        <f t="shared" si="13"/>
        <v>0.9</v>
      </c>
      <c r="BD69">
        <f t="shared" si="14"/>
        <v>-15.7</v>
      </c>
      <c r="BE69">
        <f t="shared" si="15"/>
        <v>60.1</v>
      </c>
      <c r="BF69" t="s">
        <v>104</v>
      </c>
      <c r="BG69">
        <f t="shared" si="16"/>
        <v>-4</v>
      </c>
      <c r="BH69">
        <f t="shared" si="17"/>
        <v>-0.4</v>
      </c>
      <c r="BI69">
        <f t="shared" si="18"/>
        <v>0.55000000000000004</v>
      </c>
      <c r="BJ69">
        <f t="shared" si="19"/>
        <v>2.13</v>
      </c>
      <c r="BK69">
        <f t="shared" si="20"/>
        <v>0.65399999999999991</v>
      </c>
      <c r="BL69">
        <f t="shared" si="21"/>
        <v>0.3</v>
      </c>
      <c r="BM69">
        <f t="shared" si="22"/>
        <v>0.254</v>
      </c>
      <c r="BN69">
        <f t="shared" si="23"/>
        <v>0.16900000000000001</v>
      </c>
    </row>
    <row r="70" spans="1:66" x14ac:dyDescent="0.25">
      <c r="A70">
        <v>2024</v>
      </c>
      <c r="B70" s="1">
        <f t="shared" si="24"/>
        <v>45356</v>
      </c>
      <c r="C70">
        <v>65</v>
      </c>
      <c r="D70">
        <v>70</v>
      </c>
      <c r="E70" s="6">
        <v>13.02</v>
      </c>
      <c r="F70" s="6">
        <v>-12.18</v>
      </c>
      <c r="G70" s="6">
        <v>-4.17</v>
      </c>
      <c r="H70" s="6">
        <v>-17.11</v>
      </c>
      <c r="I70" s="6">
        <v>2.593</v>
      </c>
      <c r="J70" s="6">
        <v>-11.55</v>
      </c>
      <c r="K70" s="6">
        <v>76.7</v>
      </c>
      <c r="L70" s="6"/>
      <c r="M70" s="6">
        <v>-3.5619999999999998</v>
      </c>
      <c r="N70" s="6">
        <v>0.30299999999999999</v>
      </c>
      <c r="O70" s="6">
        <v>-4.194</v>
      </c>
      <c r="P70" s="6">
        <v>86</v>
      </c>
      <c r="Q70" s="6"/>
      <c r="R70" s="6">
        <v>-1.84</v>
      </c>
      <c r="S70" s="6">
        <v>1.383</v>
      </c>
      <c r="T70" s="6">
        <v>-15.21</v>
      </c>
      <c r="U70" s="6">
        <v>50.26</v>
      </c>
      <c r="V70" s="6"/>
      <c r="W70" s="6">
        <v>-4.7560000000000002</v>
      </c>
      <c r="X70" s="6">
        <v>-0.40300000000000002</v>
      </c>
      <c r="Y70" s="6">
        <v>0.60799999999999998</v>
      </c>
      <c r="Z70" s="6">
        <v>2.82</v>
      </c>
      <c r="AA70" s="6">
        <v>0</v>
      </c>
      <c r="AB70" s="6">
        <v>1.423</v>
      </c>
      <c r="AC70" s="6">
        <v>-4.0910000000000002</v>
      </c>
      <c r="AD70" s="6">
        <v>-17</v>
      </c>
      <c r="AE70" s="6">
        <v>8.9999999999999993E-3</v>
      </c>
      <c r="AF70" s="6">
        <v>6.0000000000000001E-3</v>
      </c>
      <c r="AG70" s="6">
        <v>1.4630000000000001</v>
      </c>
      <c r="AH70" s="6"/>
      <c r="AI70" s="6">
        <f t="shared" si="0"/>
        <v>0.62699999999999978</v>
      </c>
      <c r="AJ70">
        <f t="shared" ref="AJ70:AJ101" si="32">IF(AI70&gt;AI69,ROUND((AI70-AI69)*AJ$1,1),0)</f>
        <v>0</v>
      </c>
      <c r="AK70" s="21">
        <f t="shared" si="25"/>
        <v>0</v>
      </c>
      <c r="AL70">
        <f t="shared" si="26"/>
        <v>162.50000000000006</v>
      </c>
      <c r="AM70" s="4">
        <v>14.22</v>
      </c>
      <c r="AN70">
        <v>2.59</v>
      </c>
      <c r="AP70" s="7">
        <f t="shared" si="3"/>
        <v>0.22500000000000001</v>
      </c>
      <c r="AQ70" s="7">
        <f t="shared" ref="AQ70:AQ133" si="33">ROUND(AP70/U70*(100-U70),3)</f>
        <v>0.223</v>
      </c>
      <c r="AS70">
        <f t="shared" ref="AS70:AS133" si="34">AN70</f>
        <v>2.59</v>
      </c>
      <c r="AT70">
        <f t="shared" ref="AT70:AT133" si="35">ROUND(J70,1)</f>
        <v>-11.6</v>
      </c>
      <c r="AU70">
        <f t="shared" ref="AU70:AU133" si="36">ROUND(K70,1)</f>
        <v>76.7</v>
      </c>
      <c r="AV70" t="s">
        <v>104</v>
      </c>
      <c r="AW70">
        <f t="shared" ref="AW70:AW133" si="37">ROUND(M70,1)</f>
        <v>-3.6</v>
      </c>
      <c r="AX70">
        <f t="shared" ref="AX70:AX133" si="38">ROUND(N70,1)</f>
        <v>0.3</v>
      </c>
      <c r="AY70">
        <f t="shared" ref="AY70:AY133" si="39">ROUND(O70,1)</f>
        <v>-4.2</v>
      </c>
      <c r="AZ70">
        <f t="shared" ref="AZ70:AZ133" si="40">ROUND(P70,1)</f>
        <v>86</v>
      </c>
      <c r="BA70" t="s">
        <v>104</v>
      </c>
      <c r="BB70">
        <f t="shared" ref="BB70:BB133" si="41">ROUND(R70,1)</f>
        <v>-1.8</v>
      </c>
      <c r="BC70">
        <f t="shared" ref="BC70:BC133" si="42">ROUND(S70,1)</f>
        <v>1.4</v>
      </c>
      <c r="BD70">
        <f t="shared" ref="BD70:BD133" si="43">ROUND(T70,1)</f>
        <v>-15.2</v>
      </c>
      <c r="BE70">
        <f t="shared" ref="BE70:BE133" si="44">ROUND(U70,1)</f>
        <v>50.3</v>
      </c>
      <c r="BF70" t="s">
        <v>104</v>
      </c>
      <c r="BG70">
        <f t="shared" ref="BG70:BG133" si="45">ROUND(W70,1)</f>
        <v>-4.8</v>
      </c>
      <c r="BH70">
        <f t="shared" ref="BH70:BH133" si="46">ROUND(X70,1)</f>
        <v>-0.4</v>
      </c>
      <c r="BI70">
        <f t="shared" ref="BI70:BI133" si="47">ROUND(Y70,2)</f>
        <v>0.61</v>
      </c>
      <c r="BJ70">
        <f t="shared" ref="BJ70:BJ133" si="48">ROUND(Z70,2)</f>
        <v>2.82</v>
      </c>
      <c r="BK70">
        <f t="shared" ref="BK70:BK133" si="49">AI70</f>
        <v>0.62699999999999978</v>
      </c>
      <c r="BL70">
        <f t="shared" ref="BL70:BL133" si="50">ROUND(AK70,1)</f>
        <v>0</v>
      </c>
      <c r="BM70">
        <f t="shared" ref="BM70:BM133" si="51">ROUND(AP70,3)</f>
        <v>0.22500000000000001</v>
      </c>
      <c r="BN70">
        <f t="shared" ref="BN70:BN133" si="52">ROUND(AQ70,3)</f>
        <v>0.223</v>
      </c>
    </row>
    <row r="71" spans="1:66" x14ac:dyDescent="0.25">
      <c r="A71">
        <v>2024</v>
      </c>
      <c r="B71" s="1">
        <f t="shared" si="24"/>
        <v>45357</v>
      </c>
      <c r="C71">
        <v>66</v>
      </c>
      <c r="D71">
        <v>70</v>
      </c>
      <c r="E71" s="6">
        <v>13.01</v>
      </c>
      <c r="F71" s="6">
        <v>-11.31</v>
      </c>
      <c r="G71" s="6">
        <v>0.59799999999999998</v>
      </c>
      <c r="H71" s="6">
        <v>-18.27</v>
      </c>
      <c r="I71" s="6">
        <v>7.13</v>
      </c>
      <c r="J71" s="6">
        <v>-9.82</v>
      </c>
      <c r="K71" s="6">
        <v>75.900000000000006</v>
      </c>
      <c r="L71" s="6"/>
      <c r="M71" s="6">
        <v>-4.0430000000000001</v>
      </c>
      <c r="N71" s="6">
        <v>0.3</v>
      </c>
      <c r="O71" s="6">
        <v>0.626</v>
      </c>
      <c r="P71" s="6">
        <v>88</v>
      </c>
      <c r="Q71" s="6"/>
      <c r="R71" s="6">
        <v>-1.714</v>
      </c>
      <c r="S71" s="6">
        <v>1.4379999999999999</v>
      </c>
      <c r="T71" s="6">
        <v>-16.02</v>
      </c>
      <c r="U71" s="6">
        <v>45.67</v>
      </c>
      <c r="V71" s="6"/>
      <c r="W71" s="6">
        <v>-5.6239999999999997</v>
      </c>
      <c r="X71" s="6">
        <v>-0.433</v>
      </c>
      <c r="Y71" s="6">
        <v>0.33300000000000002</v>
      </c>
      <c r="Z71" s="6">
        <v>1.86</v>
      </c>
      <c r="AA71" s="6">
        <v>1.4</v>
      </c>
      <c r="AB71" s="6">
        <v>1.4279999999999999</v>
      </c>
      <c r="AC71" s="6">
        <v>0.88700000000000001</v>
      </c>
      <c r="AD71" s="6">
        <v>-18.13</v>
      </c>
      <c r="AE71" s="6">
        <v>8.9999999999999993E-3</v>
      </c>
      <c r="AF71" s="6">
        <v>6.0000000000000001E-3</v>
      </c>
      <c r="AG71" s="6">
        <v>1.458</v>
      </c>
      <c r="AH71" s="6"/>
      <c r="AI71" s="6">
        <f t="shared" ref="AI71:AI117" si="53">AI$1-AB71</f>
        <v>0.62199999999999989</v>
      </c>
      <c r="AJ71">
        <f t="shared" si="32"/>
        <v>0</v>
      </c>
      <c r="AK71" s="21">
        <f t="shared" si="25"/>
        <v>0</v>
      </c>
      <c r="AL71">
        <f t="shared" si="26"/>
        <v>162.50000000000006</v>
      </c>
      <c r="AM71" s="4">
        <v>14.47</v>
      </c>
      <c r="AN71">
        <v>7.13</v>
      </c>
      <c r="AP71" s="7">
        <f t="shared" ref="AP71:AP134" si="54">ROUND((0.6105*(EXP((17.273*O71)/(O71+237.3))))*U71/100,3)</f>
        <v>0.29199999999999998</v>
      </c>
      <c r="AQ71" s="7">
        <f t="shared" si="33"/>
        <v>0.34699999999999998</v>
      </c>
      <c r="AS71">
        <f t="shared" si="34"/>
        <v>7.13</v>
      </c>
      <c r="AT71">
        <f t="shared" si="35"/>
        <v>-9.8000000000000007</v>
      </c>
      <c r="AU71">
        <f t="shared" si="36"/>
        <v>75.900000000000006</v>
      </c>
      <c r="AV71" t="s">
        <v>104</v>
      </c>
      <c r="AW71">
        <f t="shared" si="37"/>
        <v>-4</v>
      </c>
      <c r="AX71">
        <f t="shared" si="38"/>
        <v>0.3</v>
      </c>
      <c r="AY71">
        <f t="shared" si="39"/>
        <v>0.6</v>
      </c>
      <c r="AZ71">
        <f t="shared" si="40"/>
        <v>88</v>
      </c>
      <c r="BA71" t="s">
        <v>104</v>
      </c>
      <c r="BB71">
        <f t="shared" si="41"/>
        <v>-1.7</v>
      </c>
      <c r="BC71">
        <f t="shared" si="42"/>
        <v>1.4</v>
      </c>
      <c r="BD71">
        <f t="shared" si="43"/>
        <v>-16</v>
      </c>
      <c r="BE71">
        <f t="shared" si="44"/>
        <v>45.7</v>
      </c>
      <c r="BF71" t="s">
        <v>104</v>
      </c>
      <c r="BG71">
        <f t="shared" si="45"/>
        <v>-5.6</v>
      </c>
      <c r="BH71">
        <f t="shared" si="46"/>
        <v>-0.4</v>
      </c>
      <c r="BI71">
        <f t="shared" si="47"/>
        <v>0.33</v>
      </c>
      <c r="BJ71">
        <f t="shared" si="48"/>
        <v>1.86</v>
      </c>
      <c r="BK71">
        <f t="shared" si="49"/>
        <v>0.62199999999999989</v>
      </c>
      <c r="BL71">
        <f t="shared" si="50"/>
        <v>0</v>
      </c>
      <c r="BM71">
        <f t="shared" si="51"/>
        <v>0.29199999999999998</v>
      </c>
      <c r="BN71">
        <f t="shared" si="52"/>
        <v>0.34699999999999998</v>
      </c>
    </row>
    <row r="72" spans="1:66" x14ac:dyDescent="0.25">
      <c r="A72">
        <v>2024</v>
      </c>
      <c r="B72" s="1">
        <f t="shared" ref="B72:B135" si="55">B71+1</f>
        <v>45358</v>
      </c>
      <c r="C72">
        <v>67</v>
      </c>
      <c r="D72">
        <v>70</v>
      </c>
      <c r="E72" s="6">
        <v>13.04</v>
      </c>
      <c r="F72" s="6">
        <v>-7.17</v>
      </c>
      <c r="G72" s="6">
        <v>4.5330000000000004</v>
      </c>
      <c r="H72" s="6">
        <v>-14.86</v>
      </c>
      <c r="I72" s="6">
        <v>12.29</v>
      </c>
      <c r="J72" s="6">
        <v>-5.73</v>
      </c>
      <c r="K72" s="6">
        <v>71.2</v>
      </c>
      <c r="L72" s="6"/>
      <c r="M72" s="6">
        <v>-3.0459999999999998</v>
      </c>
      <c r="N72" s="6">
        <v>0.29899999999999999</v>
      </c>
      <c r="O72" s="6">
        <v>3.4369999999999998</v>
      </c>
      <c r="P72" s="6">
        <v>88.7</v>
      </c>
      <c r="Q72" s="6"/>
      <c r="R72" s="6">
        <v>-0.873</v>
      </c>
      <c r="S72" s="6">
        <v>1.266</v>
      </c>
      <c r="T72" s="6">
        <v>-12.59</v>
      </c>
      <c r="U72" s="6">
        <v>39.75</v>
      </c>
      <c r="V72" s="6"/>
      <c r="W72" s="6">
        <v>-4.8920000000000003</v>
      </c>
      <c r="X72" s="6">
        <v>-0.40600000000000003</v>
      </c>
      <c r="Y72" s="6">
        <v>0.68899999999999995</v>
      </c>
      <c r="Z72" s="6">
        <v>1.607</v>
      </c>
      <c r="AA72" s="6">
        <v>3</v>
      </c>
      <c r="AB72" s="6">
        <v>1.4330000000000001</v>
      </c>
      <c r="AC72" s="6">
        <v>5.6920000000000002</v>
      </c>
      <c r="AD72" s="6">
        <v>-14.76</v>
      </c>
      <c r="AE72" s="6">
        <v>8.9999999999999993E-3</v>
      </c>
      <c r="AF72" s="6">
        <v>6.0000000000000001E-3</v>
      </c>
      <c r="AG72" s="6">
        <v>1.444</v>
      </c>
      <c r="AH72" s="6"/>
      <c r="AI72" s="6">
        <f t="shared" si="53"/>
        <v>0.61699999999999977</v>
      </c>
      <c r="AJ72">
        <f t="shared" si="32"/>
        <v>0</v>
      </c>
      <c r="AK72" s="21">
        <f t="shared" ref="AK72:AK113" si="56">AJ72</f>
        <v>0</v>
      </c>
      <c r="AL72">
        <f t="shared" ref="AL72:AL135" si="57">AL71+AK72</f>
        <v>162.50000000000006</v>
      </c>
      <c r="AM72" s="4">
        <v>14.71</v>
      </c>
      <c r="AN72">
        <v>12.29</v>
      </c>
      <c r="AP72" s="7">
        <f t="shared" si="54"/>
        <v>0.311</v>
      </c>
      <c r="AQ72" s="7">
        <f t="shared" si="33"/>
        <v>0.47099999999999997</v>
      </c>
      <c r="AS72">
        <f t="shared" si="34"/>
        <v>12.29</v>
      </c>
      <c r="AT72">
        <f t="shared" si="35"/>
        <v>-5.7</v>
      </c>
      <c r="AU72">
        <f t="shared" si="36"/>
        <v>71.2</v>
      </c>
      <c r="AV72" t="s">
        <v>104</v>
      </c>
      <c r="AW72">
        <f t="shared" si="37"/>
        <v>-3</v>
      </c>
      <c r="AX72">
        <f t="shared" si="38"/>
        <v>0.3</v>
      </c>
      <c r="AY72">
        <f t="shared" si="39"/>
        <v>3.4</v>
      </c>
      <c r="AZ72">
        <f t="shared" si="40"/>
        <v>88.7</v>
      </c>
      <c r="BA72" t="s">
        <v>104</v>
      </c>
      <c r="BB72">
        <f t="shared" si="41"/>
        <v>-0.9</v>
      </c>
      <c r="BC72">
        <f t="shared" si="42"/>
        <v>1.3</v>
      </c>
      <c r="BD72">
        <f t="shared" si="43"/>
        <v>-12.6</v>
      </c>
      <c r="BE72">
        <f t="shared" si="44"/>
        <v>39.799999999999997</v>
      </c>
      <c r="BF72" t="s">
        <v>104</v>
      </c>
      <c r="BG72">
        <f t="shared" si="45"/>
        <v>-4.9000000000000004</v>
      </c>
      <c r="BH72">
        <f t="shared" si="46"/>
        <v>-0.4</v>
      </c>
      <c r="BI72">
        <f t="shared" si="47"/>
        <v>0.69</v>
      </c>
      <c r="BJ72">
        <f t="shared" si="48"/>
        <v>1.61</v>
      </c>
      <c r="BK72">
        <f t="shared" si="49"/>
        <v>0.61699999999999977</v>
      </c>
      <c r="BL72">
        <f t="shared" si="50"/>
        <v>0</v>
      </c>
      <c r="BM72">
        <f t="shared" si="51"/>
        <v>0.311</v>
      </c>
      <c r="BN72">
        <f t="shared" si="52"/>
        <v>0.47099999999999997</v>
      </c>
    </row>
    <row r="73" spans="1:66" x14ac:dyDescent="0.25">
      <c r="A73">
        <v>2024</v>
      </c>
      <c r="B73" s="1">
        <f t="shared" si="55"/>
        <v>45359</v>
      </c>
      <c r="C73">
        <v>68</v>
      </c>
      <c r="D73">
        <v>70</v>
      </c>
      <c r="E73" s="6">
        <v>13.04</v>
      </c>
      <c r="F73" s="6">
        <v>-2.0659999999999998</v>
      </c>
      <c r="G73" s="6">
        <v>3.2949999999999999</v>
      </c>
      <c r="H73" s="6">
        <v>-6.39</v>
      </c>
      <c r="I73" s="6">
        <v>3.6070000000000002</v>
      </c>
      <c r="J73" s="6">
        <v>-1.3440000000000001</v>
      </c>
      <c r="K73" s="6">
        <v>78.400000000000006</v>
      </c>
      <c r="L73" s="6"/>
      <c r="M73" s="6">
        <v>-1.214</v>
      </c>
      <c r="N73" s="6">
        <v>0.37</v>
      </c>
      <c r="O73" s="6">
        <v>4.9930000000000003</v>
      </c>
      <c r="P73" s="6">
        <v>89.8</v>
      </c>
      <c r="Q73" s="6"/>
      <c r="R73" s="6">
        <v>0.50700000000000001</v>
      </c>
      <c r="S73" s="6">
        <v>0.94299999999999995</v>
      </c>
      <c r="T73" s="6">
        <v>-4.6760000000000002</v>
      </c>
      <c r="U73" s="6">
        <v>55.83</v>
      </c>
      <c r="V73" s="6"/>
      <c r="W73" s="6">
        <v>-2.347</v>
      </c>
      <c r="X73" s="6">
        <v>1.2999999999999999E-2</v>
      </c>
      <c r="Y73" s="6">
        <v>0.92200000000000004</v>
      </c>
      <c r="Z73" s="6">
        <v>2.9140000000000001</v>
      </c>
      <c r="AA73" s="6">
        <v>2.5</v>
      </c>
      <c r="AB73" s="6">
        <v>1.4059999999999999</v>
      </c>
      <c r="AC73" s="6">
        <v>3.4390000000000001</v>
      </c>
      <c r="AD73" s="6">
        <v>-6.7850000000000001</v>
      </c>
      <c r="AE73" s="6">
        <v>8.9999999999999993E-3</v>
      </c>
      <c r="AF73" s="6">
        <v>7.0000000000000001E-3</v>
      </c>
      <c r="AG73" s="6">
        <v>1.4079999999999999</v>
      </c>
      <c r="AH73" s="6"/>
      <c r="AI73" s="6">
        <f t="shared" si="53"/>
        <v>0.64399999999999991</v>
      </c>
      <c r="AJ73">
        <f t="shared" si="32"/>
        <v>3.5</v>
      </c>
      <c r="AK73" s="21">
        <f t="shared" si="56"/>
        <v>3.5</v>
      </c>
      <c r="AL73">
        <f t="shared" si="57"/>
        <v>166.00000000000006</v>
      </c>
      <c r="AM73" s="4">
        <v>14.97</v>
      </c>
      <c r="AN73">
        <v>3.61</v>
      </c>
      <c r="AP73" s="7">
        <f t="shared" si="54"/>
        <v>0.48699999999999999</v>
      </c>
      <c r="AQ73" s="7">
        <f t="shared" si="33"/>
        <v>0.38500000000000001</v>
      </c>
      <c r="AS73">
        <f t="shared" si="34"/>
        <v>3.61</v>
      </c>
      <c r="AT73">
        <f t="shared" si="35"/>
        <v>-1.3</v>
      </c>
      <c r="AU73">
        <f t="shared" si="36"/>
        <v>78.400000000000006</v>
      </c>
      <c r="AV73" t="s">
        <v>104</v>
      </c>
      <c r="AW73">
        <f t="shared" si="37"/>
        <v>-1.2</v>
      </c>
      <c r="AX73">
        <f t="shared" si="38"/>
        <v>0.4</v>
      </c>
      <c r="AY73">
        <f t="shared" si="39"/>
        <v>5</v>
      </c>
      <c r="AZ73">
        <f t="shared" si="40"/>
        <v>89.8</v>
      </c>
      <c r="BA73" t="s">
        <v>104</v>
      </c>
      <c r="BB73">
        <f t="shared" si="41"/>
        <v>0.5</v>
      </c>
      <c r="BC73">
        <f t="shared" si="42"/>
        <v>0.9</v>
      </c>
      <c r="BD73">
        <f t="shared" si="43"/>
        <v>-4.7</v>
      </c>
      <c r="BE73">
        <f t="shared" si="44"/>
        <v>55.8</v>
      </c>
      <c r="BF73" t="s">
        <v>104</v>
      </c>
      <c r="BG73">
        <f t="shared" si="45"/>
        <v>-2.2999999999999998</v>
      </c>
      <c r="BH73">
        <f t="shared" si="46"/>
        <v>0</v>
      </c>
      <c r="BI73">
        <f t="shared" si="47"/>
        <v>0.92</v>
      </c>
      <c r="BJ73">
        <f t="shared" si="48"/>
        <v>2.91</v>
      </c>
      <c r="BK73">
        <f t="shared" si="49"/>
        <v>0.64399999999999991</v>
      </c>
      <c r="BL73">
        <f t="shared" si="50"/>
        <v>3.5</v>
      </c>
      <c r="BM73">
        <f t="shared" si="51"/>
        <v>0.48699999999999999</v>
      </c>
      <c r="BN73">
        <f t="shared" si="52"/>
        <v>0.38500000000000001</v>
      </c>
    </row>
    <row r="74" spans="1:66" x14ac:dyDescent="0.25">
      <c r="A74">
        <v>2024</v>
      </c>
      <c r="B74" s="1">
        <f t="shared" si="55"/>
        <v>45360</v>
      </c>
      <c r="C74">
        <v>69</v>
      </c>
      <c r="D74">
        <v>70</v>
      </c>
      <c r="E74" s="6">
        <v>13.02</v>
      </c>
      <c r="F74" s="6">
        <v>-0.82799999999999996</v>
      </c>
      <c r="G74" s="6">
        <v>4.2809999999999997</v>
      </c>
      <c r="H74" s="6">
        <v>-4.6189999999999998</v>
      </c>
      <c r="I74" s="6">
        <v>6.2729999999999997</v>
      </c>
      <c r="J74" s="6">
        <v>0.25600000000000001</v>
      </c>
      <c r="K74" s="6">
        <v>66.95</v>
      </c>
      <c r="L74" s="6"/>
      <c r="M74" s="6">
        <v>-0.63600000000000001</v>
      </c>
      <c r="N74" s="6">
        <v>0.33900000000000002</v>
      </c>
      <c r="O74" s="6">
        <v>6.41</v>
      </c>
      <c r="P74" s="6">
        <v>92.9</v>
      </c>
      <c r="Q74" s="6"/>
      <c r="R74" s="6">
        <v>0.48699999999999999</v>
      </c>
      <c r="S74" s="6">
        <v>1.042</v>
      </c>
      <c r="T74" s="6">
        <v>-3.0609999999999999</v>
      </c>
      <c r="U74" s="6">
        <v>39.28</v>
      </c>
      <c r="V74" s="6"/>
      <c r="W74" s="6">
        <v>-1.34</v>
      </c>
      <c r="X74" s="6">
        <v>5.5E-2</v>
      </c>
      <c r="Y74" s="6">
        <v>1.2210000000000001</v>
      </c>
      <c r="Z74" s="6">
        <v>2.9670000000000001</v>
      </c>
      <c r="AA74" s="6">
        <v>1.7</v>
      </c>
      <c r="AB74" s="6">
        <v>1.413</v>
      </c>
      <c r="AC74" s="6">
        <v>4.375</v>
      </c>
      <c r="AD74" s="6">
        <v>-4.3209999999999997</v>
      </c>
      <c r="AE74" s="6">
        <v>8.9999999999999993E-3</v>
      </c>
      <c r="AF74" s="6">
        <v>6.0000000000000001E-3</v>
      </c>
      <c r="AG74" s="6">
        <v>1.42</v>
      </c>
      <c r="AH74" s="6"/>
      <c r="AI74" s="6">
        <f t="shared" si="53"/>
        <v>0.63699999999999979</v>
      </c>
      <c r="AJ74">
        <f t="shared" si="32"/>
        <v>0</v>
      </c>
      <c r="AK74" s="21">
        <f t="shared" si="56"/>
        <v>0</v>
      </c>
      <c r="AL74">
        <f t="shared" si="57"/>
        <v>166.00000000000006</v>
      </c>
      <c r="AM74" s="4">
        <v>15.22</v>
      </c>
      <c r="AN74">
        <v>6.27</v>
      </c>
      <c r="AP74" s="7">
        <f t="shared" si="54"/>
        <v>0.378</v>
      </c>
      <c r="AQ74" s="7">
        <f t="shared" si="33"/>
        <v>0.58399999999999996</v>
      </c>
      <c r="AS74">
        <f t="shared" si="34"/>
        <v>6.27</v>
      </c>
      <c r="AT74">
        <f t="shared" si="35"/>
        <v>0.3</v>
      </c>
      <c r="AU74">
        <f t="shared" si="36"/>
        <v>67</v>
      </c>
      <c r="AV74" t="s">
        <v>104</v>
      </c>
      <c r="AW74">
        <f t="shared" si="37"/>
        <v>-0.6</v>
      </c>
      <c r="AX74">
        <f t="shared" si="38"/>
        <v>0.3</v>
      </c>
      <c r="AY74">
        <f t="shared" si="39"/>
        <v>6.4</v>
      </c>
      <c r="AZ74">
        <f t="shared" si="40"/>
        <v>92.9</v>
      </c>
      <c r="BA74" t="s">
        <v>104</v>
      </c>
      <c r="BB74">
        <f t="shared" si="41"/>
        <v>0.5</v>
      </c>
      <c r="BC74">
        <f t="shared" si="42"/>
        <v>1</v>
      </c>
      <c r="BD74">
        <f t="shared" si="43"/>
        <v>-3.1</v>
      </c>
      <c r="BE74">
        <f t="shared" si="44"/>
        <v>39.299999999999997</v>
      </c>
      <c r="BF74" t="s">
        <v>104</v>
      </c>
      <c r="BG74">
        <f t="shared" si="45"/>
        <v>-1.3</v>
      </c>
      <c r="BH74">
        <f t="shared" si="46"/>
        <v>0.1</v>
      </c>
      <c r="BI74">
        <f t="shared" si="47"/>
        <v>1.22</v>
      </c>
      <c r="BJ74">
        <f t="shared" si="48"/>
        <v>2.97</v>
      </c>
      <c r="BK74">
        <f t="shared" si="49"/>
        <v>0.63699999999999979</v>
      </c>
      <c r="BL74">
        <f t="shared" si="50"/>
        <v>0</v>
      </c>
      <c r="BM74">
        <f t="shared" si="51"/>
        <v>0.378</v>
      </c>
      <c r="BN74">
        <f t="shared" si="52"/>
        <v>0.58399999999999996</v>
      </c>
    </row>
    <row r="75" spans="1:66" x14ac:dyDescent="0.25">
      <c r="A75">
        <v>2024</v>
      </c>
      <c r="B75" s="1">
        <f t="shared" si="55"/>
        <v>45361</v>
      </c>
      <c r="C75">
        <v>70</v>
      </c>
      <c r="D75">
        <v>70</v>
      </c>
      <c r="E75" s="6">
        <v>12.99</v>
      </c>
      <c r="F75" s="6">
        <v>-1.0840000000000001</v>
      </c>
      <c r="G75" s="6">
        <v>2.976</v>
      </c>
      <c r="H75" s="6">
        <v>-4.883</v>
      </c>
      <c r="I75" s="6">
        <v>4.9420000000000002</v>
      </c>
      <c r="J75" s="6">
        <v>0.13800000000000001</v>
      </c>
      <c r="K75" s="6">
        <v>74.8</v>
      </c>
      <c r="L75" s="6"/>
      <c r="M75" s="6">
        <v>-0.42399999999999999</v>
      </c>
      <c r="N75" s="6">
        <v>0.38600000000000001</v>
      </c>
      <c r="O75" s="6">
        <v>4.5270000000000001</v>
      </c>
      <c r="P75" s="6">
        <v>89.1</v>
      </c>
      <c r="Q75" s="6"/>
      <c r="R75" s="6">
        <v>0.28599999999999998</v>
      </c>
      <c r="S75" s="6">
        <v>0.84299999999999997</v>
      </c>
      <c r="T75" s="6">
        <v>-3.1960000000000002</v>
      </c>
      <c r="U75" s="6">
        <v>57.58</v>
      </c>
      <c r="V75" s="6"/>
      <c r="W75" s="6">
        <v>-1.008</v>
      </c>
      <c r="X75" s="6">
        <v>0.11600000000000001</v>
      </c>
      <c r="Y75" s="6">
        <v>0.99</v>
      </c>
      <c r="Z75" s="6">
        <v>2.6070000000000002</v>
      </c>
      <c r="AA75" s="6">
        <v>3.3</v>
      </c>
      <c r="AB75" s="6">
        <v>1.4059999999999999</v>
      </c>
      <c r="AC75" s="6">
        <v>3.109</v>
      </c>
      <c r="AD75" s="6">
        <v>-4.72</v>
      </c>
      <c r="AE75" s="6">
        <v>8.9999999999999993E-3</v>
      </c>
      <c r="AF75" s="6">
        <v>6.0000000000000001E-3</v>
      </c>
      <c r="AG75" s="6">
        <v>1.4079999999999999</v>
      </c>
      <c r="AH75" s="6"/>
      <c r="AI75" s="6">
        <f t="shared" si="53"/>
        <v>0.64399999999999991</v>
      </c>
      <c r="AJ75">
        <f t="shared" si="32"/>
        <v>0.9</v>
      </c>
      <c r="AK75" s="21">
        <f t="shared" si="56"/>
        <v>0.9</v>
      </c>
      <c r="AL75">
        <f t="shared" si="57"/>
        <v>166.90000000000006</v>
      </c>
      <c r="AM75" s="4">
        <v>15.48</v>
      </c>
      <c r="AN75">
        <v>4.9400000000000004</v>
      </c>
      <c r="AP75" s="7">
        <f t="shared" si="54"/>
        <v>0.48599999999999999</v>
      </c>
      <c r="AQ75" s="7">
        <f t="shared" si="33"/>
        <v>0.35799999999999998</v>
      </c>
      <c r="AS75">
        <f t="shared" si="34"/>
        <v>4.9400000000000004</v>
      </c>
      <c r="AT75">
        <f t="shared" si="35"/>
        <v>0.1</v>
      </c>
      <c r="AU75">
        <f t="shared" si="36"/>
        <v>74.8</v>
      </c>
      <c r="AV75" t="s">
        <v>104</v>
      </c>
      <c r="AW75">
        <f t="shared" si="37"/>
        <v>-0.4</v>
      </c>
      <c r="AX75">
        <f t="shared" si="38"/>
        <v>0.4</v>
      </c>
      <c r="AY75">
        <f t="shared" si="39"/>
        <v>4.5</v>
      </c>
      <c r="AZ75">
        <f t="shared" si="40"/>
        <v>89.1</v>
      </c>
      <c r="BA75" t="s">
        <v>104</v>
      </c>
      <c r="BB75">
        <f t="shared" si="41"/>
        <v>0.3</v>
      </c>
      <c r="BC75">
        <f t="shared" si="42"/>
        <v>0.8</v>
      </c>
      <c r="BD75">
        <f t="shared" si="43"/>
        <v>-3.2</v>
      </c>
      <c r="BE75">
        <f t="shared" si="44"/>
        <v>57.6</v>
      </c>
      <c r="BF75" t="s">
        <v>104</v>
      </c>
      <c r="BG75">
        <f t="shared" si="45"/>
        <v>-1</v>
      </c>
      <c r="BH75">
        <f t="shared" si="46"/>
        <v>0.1</v>
      </c>
      <c r="BI75">
        <f t="shared" si="47"/>
        <v>0.99</v>
      </c>
      <c r="BJ75">
        <f t="shared" si="48"/>
        <v>2.61</v>
      </c>
      <c r="BK75">
        <f t="shared" si="49"/>
        <v>0.64399999999999991</v>
      </c>
      <c r="BL75">
        <f t="shared" si="50"/>
        <v>0.9</v>
      </c>
      <c r="BM75">
        <f t="shared" si="51"/>
        <v>0.48599999999999999</v>
      </c>
      <c r="BN75">
        <f t="shared" si="52"/>
        <v>0.35799999999999998</v>
      </c>
    </row>
    <row r="76" spans="1:66" x14ac:dyDescent="0.25">
      <c r="A76">
        <v>2024</v>
      </c>
      <c r="B76" s="1">
        <f t="shared" si="55"/>
        <v>45362</v>
      </c>
      <c r="C76">
        <v>71</v>
      </c>
      <c r="D76">
        <v>70</v>
      </c>
      <c r="E76" s="6">
        <v>12.97</v>
      </c>
      <c r="F76" s="6">
        <v>-0.751</v>
      </c>
      <c r="G76" s="6">
        <v>3.246</v>
      </c>
      <c r="H76" s="6">
        <v>-3.5670000000000002</v>
      </c>
      <c r="I76" s="6">
        <v>5.5839999999999996</v>
      </c>
      <c r="J76" s="6">
        <v>0.46700000000000003</v>
      </c>
      <c r="K76" s="6">
        <v>66.709999999999994</v>
      </c>
      <c r="L76" s="6"/>
      <c r="M76" s="6">
        <v>-0.39100000000000001</v>
      </c>
      <c r="N76" s="6">
        <v>0.4</v>
      </c>
      <c r="O76" s="6">
        <v>6.141</v>
      </c>
      <c r="P76" s="6">
        <v>88.2</v>
      </c>
      <c r="Q76" s="6"/>
      <c r="R76" s="6">
        <v>0.378</v>
      </c>
      <c r="S76" s="6">
        <v>0.99299999999999999</v>
      </c>
      <c r="T76" s="6">
        <v>-2.0529999999999999</v>
      </c>
      <c r="U76" s="6">
        <v>36.520000000000003</v>
      </c>
      <c r="V76" s="6"/>
      <c r="W76" s="6">
        <v>-0.98299999999999998</v>
      </c>
      <c r="X76" s="6">
        <v>9.2999999999999999E-2</v>
      </c>
      <c r="Y76" s="6">
        <v>0.95699999999999996</v>
      </c>
      <c r="Z76" s="6">
        <v>2.367</v>
      </c>
      <c r="AA76" s="6">
        <v>1.1000000000000001</v>
      </c>
      <c r="AB76" s="6">
        <v>1.415</v>
      </c>
      <c r="AC76" s="6">
        <v>3.42</v>
      </c>
      <c r="AD76" s="6">
        <v>-3.2770000000000001</v>
      </c>
      <c r="AE76" s="6">
        <v>8.9999999999999993E-3</v>
      </c>
      <c r="AF76" s="6">
        <v>6.0000000000000001E-3</v>
      </c>
      <c r="AG76" s="6">
        <v>1.4159999999999999</v>
      </c>
      <c r="AH76" s="6"/>
      <c r="AI76" s="6">
        <f t="shared" si="53"/>
        <v>0.63499999999999979</v>
      </c>
      <c r="AJ76">
        <f t="shared" si="32"/>
        <v>0</v>
      </c>
      <c r="AK76" s="21">
        <f t="shared" si="56"/>
        <v>0</v>
      </c>
      <c r="AL76">
        <f t="shared" si="57"/>
        <v>166.90000000000006</v>
      </c>
      <c r="AM76" s="4">
        <v>15.73</v>
      </c>
      <c r="AN76">
        <v>5.58</v>
      </c>
      <c r="AP76" s="7">
        <f t="shared" si="54"/>
        <v>0.34499999999999997</v>
      </c>
      <c r="AQ76" s="7">
        <f t="shared" si="33"/>
        <v>0.6</v>
      </c>
      <c r="AS76">
        <f t="shared" si="34"/>
        <v>5.58</v>
      </c>
      <c r="AT76">
        <f t="shared" si="35"/>
        <v>0.5</v>
      </c>
      <c r="AU76">
        <f t="shared" si="36"/>
        <v>66.7</v>
      </c>
      <c r="AV76" t="s">
        <v>104</v>
      </c>
      <c r="AW76">
        <f t="shared" si="37"/>
        <v>-0.4</v>
      </c>
      <c r="AX76">
        <f t="shared" si="38"/>
        <v>0.4</v>
      </c>
      <c r="AY76">
        <f t="shared" si="39"/>
        <v>6.1</v>
      </c>
      <c r="AZ76">
        <f t="shared" si="40"/>
        <v>88.2</v>
      </c>
      <c r="BA76" t="s">
        <v>104</v>
      </c>
      <c r="BB76">
        <f t="shared" si="41"/>
        <v>0.4</v>
      </c>
      <c r="BC76">
        <f t="shared" si="42"/>
        <v>1</v>
      </c>
      <c r="BD76">
        <f t="shared" si="43"/>
        <v>-2.1</v>
      </c>
      <c r="BE76">
        <f t="shared" si="44"/>
        <v>36.5</v>
      </c>
      <c r="BF76" t="s">
        <v>104</v>
      </c>
      <c r="BG76">
        <f t="shared" si="45"/>
        <v>-1</v>
      </c>
      <c r="BH76">
        <f t="shared" si="46"/>
        <v>0.1</v>
      </c>
      <c r="BI76">
        <f t="shared" si="47"/>
        <v>0.96</v>
      </c>
      <c r="BJ76">
        <f t="shared" si="48"/>
        <v>2.37</v>
      </c>
      <c r="BK76">
        <f t="shared" si="49"/>
        <v>0.63499999999999979</v>
      </c>
      <c r="BL76">
        <f t="shared" si="50"/>
        <v>0</v>
      </c>
      <c r="BM76">
        <f t="shared" si="51"/>
        <v>0.34499999999999997</v>
      </c>
      <c r="BN76">
        <f t="shared" si="52"/>
        <v>0.6</v>
      </c>
    </row>
    <row r="77" spans="1:66" x14ac:dyDescent="0.25">
      <c r="A77">
        <v>2024</v>
      </c>
      <c r="B77" s="1">
        <f t="shared" si="55"/>
        <v>45363</v>
      </c>
      <c r="C77">
        <v>72</v>
      </c>
      <c r="D77">
        <v>70</v>
      </c>
      <c r="E77" s="6">
        <v>13.01</v>
      </c>
      <c r="F77" s="6">
        <v>-5.7000000000000002E-2</v>
      </c>
      <c r="G77" s="6">
        <v>6.1849999999999996</v>
      </c>
      <c r="H77" s="6">
        <v>-3.1789999999999998</v>
      </c>
      <c r="I77" s="6">
        <v>8.7100000000000009</v>
      </c>
      <c r="J77" s="6">
        <v>0.95599999999999996</v>
      </c>
      <c r="K77" s="6">
        <v>75.099999999999994</v>
      </c>
      <c r="L77" s="6"/>
      <c r="M77" s="6">
        <v>-0.25</v>
      </c>
      <c r="N77" s="6">
        <v>0.41299999999999998</v>
      </c>
      <c r="O77" s="6">
        <v>8.34</v>
      </c>
      <c r="P77" s="6">
        <v>91.9</v>
      </c>
      <c r="Q77" s="6"/>
      <c r="R77" s="6">
        <v>1.306</v>
      </c>
      <c r="S77" s="6">
        <v>1.718</v>
      </c>
      <c r="T77" s="6">
        <v>-1.9850000000000001</v>
      </c>
      <c r="U77" s="6">
        <v>44.98</v>
      </c>
      <c r="V77" s="6"/>
      <c r="W77" s="6">
        <v>-0.89100000000000001</v>
      </c>
      <c r="X77" s="6">
        <v>-0.28699999999999998</v>
      </c>
      <c r="Y77" s="6">
        <v>0.97599999999999998</v>
      </c>
      <c r="Z77" s="6">
        <v>3.02</v>
      </c>
      <c r="AA77" s="6">
        <v>5.4</v>
      </c>
      <c r="AB77" s="6">
        <v>1.419</v>
      </c>
      <c r="AC77" s="6">
        <v>6.5330000000000004</v>
      </c>
      <c r="AD77" s="6">
        <v>-2.964</v>
      </c>
      <c r="AE77" s="6">
        <v>8.9999999999999993E-3</v>
      </c>
      <c r="AF77" s="6">
        <v>6.0000000000000001E-3</v>
      </c>
      <c r="AG77" s="6">
        <v>1.423</v>
      </c>
      <c r="AH77" s="6"/>
      <c r="AI77" s="6">
        <f t="shared" si="53"/>
        <v>0.63099999999999978</v>
      </c>
      <c r="AJ77">
        <f t="shared" si="32"/>
        <v>0</v>
      </c>
      <c r="AK77" s="21">
        <f t="shared" si="56"/>
        <v>0</v>
      </c>
      <c r="AL77">
        <f t="shared" si="57"/>
        <v>166.90000000000006</v>
      </c>
      <c r="AM77" s="4">
        <v>15.99</v>
      </c>
      <c r="AN77">
        <v>8.7100000000000009</v>
      </c>
      <c r="AP77" s="7">
        <f t="shared" si="54"/>
        <v>0.49399999999999999</v>
      </c>
      <c r="AQ77" s="7">
        <f t="shared" si="33"/>
        <v>0.60399999999999998</v>
      </c>
      <c r="AS77">
        <f t="shared" si="34"/>
        <v>8.7100000000000009</v>
      </c>
      <c r="AT77">
        <f t="shared" si="35"/>
        <v>1</v>
      </c>
      <c r="AU77">
        <f t="shared" si="36"/>
        <v>75.099999999999994</v>
      </c>
      <c r="AV77" t="s">
        <v>104</v>
      </c>
      <c r="AW77">
        <f t="shared" si="37"/>
        <v>-0.3</v>
      </c>
      <c r="AX77">
        <f t="shared" si="38"/>
        <v>0.4</v>
      </c>
      <c r="AY77">
        <f t="shared" si="39"/>
        <v>8.3000000000000007</v>
      </c>
      <c r="AZ77">
        <f t="shared" si="40"/>
        <v>91.9</v>
      </c>
      <c r="BA77" t="s">
        <v>104</v>
      </c>
      <c r="BB77">
        <f t="shared" si="41"/>
        <v>1.3</v>
      </c>
      <c r="BC77">
        <f t="shared" si="42"/>
        <v>1.7</v>
      </c>
      <c r="BD77">
        <f t="shared" si="43"/>
        <v>-2</v>
      </c>
      <c r="BE77">
        <f t="shared" si="44"/>
        <v>45</v>
      </c>
      <c r="BF77" t="s">
        <v>104</v>
      </c>
      <c r="BG77">
        <f t="shared" si="45"/>
        <v>-0.9</v>
      </c>
      <c r="BH77">
        <f t="shared" si="46"/>
        <v>-0.3</v>
      </c>
      <c r="BI77">
        <f t="shared" si="47"/>
        <v>0.98</v>
      </c>
      <c r="BJ77">
        <f t="shared" si="48"/>
        <v>3.02</v>
      </c>
      <c r="BK77">
        <f t="shared" si="49"/>
        <v>0.63099999999999978</v>
      </c>
      <c r="BL77">
        <f t="shared" si="50"/>
        <v>0</v>
      </c>
      <c r="BM77">
        <f t="shared" si="51"/>
        <v>0.49399999999999999</v>
      </c>
      <c r="BN77">
        <f t="shared" si="52"/>
        <v>0.60399999999999998</v>
      </c>
    </row>
    <row r="78" spans="1:66" x14ac:dyDescent="0.25">
      <c r="A78">
        <v>2024</v>
      </c>
      <c r="B78" s="1">
        <f t="shared" si="55"/>
        <v>45364</v>
      </c>
      <c r="C78">
        <v>73</v>
      </c>
      <c r="D78">
        <v>70</v>
      </c>
      <c r="E78" s="6">
        <v>13.04</v>
      </c>
      <c r="F78" s="6">
        <v>-1.72</v>
      </c>
      <c r="G78" s="6">
        <v>6.069</v>
      </c>
      <c r="H78" s="6">
        <v>-7.7</v>
      </c>
      <c r="I78" s="6">
        <v>10.17</v>
      </c>
      <c r="J78" s="6">
        <v>0.14199999999999999</v>
      </c>
      <c r="K78" s="6">
        <v>60.57</v>
      </c>
      <c r="L78" s="6"/>
      <c r="M78" s="6">
        <v>-0.30299999999999999</v>
      </c>
      <c r="N78" s="6">
        <v>0.41699999999999998</v>
      </c>
      <c r="O78" s="6">
        <v>8.2799999999999994</v>
      </c>
      <c r="P78" s="6">
        <v>84.8</v>
      </c>
      <c r="Q78" s="6"/>
      <c r="R78" s="6">
        <v>0.50700000000000001</v>
      </c>
      <c r="S78" s="6">
        <v>1.302</v>
      </c>
      <c r="T78" s="6">
        <v>-5.6740000000000004</v>
      </c>
      <c r="U78" s="6">
        <v>29.85</v>
      </c>
      <c r="V78" s="6"/>
      <c r="W78" s="6">
        <v>-1.079</v>
      </c>
      <c r="X78" s="6">
        <v>-1.9E-2</v>
      </c>
      <c r="Y78" s="6">
        <v>0.80100000000000005</v>
      </c>
      <c r="Z78" s="6">
        <v>2.1669999999999998</v>
      </c>
      <c r="AA78" s="6">
        <v>3</v>
      </c>
      <c r="AB78" s="6">
        <v>1.417</v>
      </c>
      <c r="AC78" s="6">
        <v>6.702</v>
      </c>
      <c r="AD78" s="6">
        <v>-7.56</v>
      </c>
      <c r="AE78" s="6">
        <v>8.9999999999999993E-3</v>
      </c>
      <c r="AF78" s="6">
        <v>6.0000000000000001E-3</v>
      </c>
      <c r="AG78" s="6">
        <v>1.421</v>
      </c>
      <c r="AH78" s="6"/>
      <c r="AI78" s="6">
        <f t="shared" si="53"/>
        <v>0.63299999999999979</v>
      </c>
      <c r="AJ78">
        <f t="shared" si="32"/>
        <v>0.3</v>
      </c>
      <c r="AK78" s="21">
        <f t="shared" si="56"/>
        <v>0.3</v>
      </c>
      <c r="AL78">
        <f t="shared" si="57"/>
        <v>167.20000000000007</v>
      </c>
      <c r="AM78" s="4">
        <v>16.25</v>
      </c>
      <c r="AN78">
        <v>10.16</v>
      </c>
      <c r="AP78" s="7">
        <f t="shared" si="54"/>
        <v>0.32600000000000001</v>
      </c>
      <c r="AQ78" s="7">
        <f t="shared" si="33"/>
        <v>0.76600000000000001</v>
      </c>
      <c r="AS78">
        <f t="shared" si="34"/>
        <v>10.16</v>
      </c>
      <c r="AT78">
        <f t="shared" si="35"/>
        <v>0.1</v>
      </c>
      <c r="AU78">
        <f t="shared" si="36"/>
        <v>60.6</v>
      </c>
      <c r="AV78" t="s">
        <v>104</v>
      </c>
      <c r="AW78">
        <f t="shared" si="37"/>
        <v>-0.3</v>
      </c>
      <c r="AX78">
        <f t="shared" si="38"/>
        <v>0.4</v>
      </c>
      <c r="AY78">
        <f t="shared" si="39"/>
        <v>8.3000000000000007</v>
      </c>
      <c r="AZ78">
        <f t="shared" si="40"/>
        <v>84.8</v>
      </c>
      <c r="BA78" t="s">
        <v>104</v>
      </c>
      <c r="BB78">
        <f t="shared" si="41"/>
        <v>0.5</v>
      </c>
      <c r="BC78">
        <f t="shared" si="42"/>
        <v>1.3</v>
      </c>
      <c r="BD78">
        <f t="shared" si="43"/>
        <v>-5.7</v>
      </c>
      <c r="BE78">
        <f t="shared" si="44"/>
        <v>29.9</v>
      </c>
      <c r="BF78" t="s">
        <v>104</v>
      </c>
      <c r="BG78">
        <f t="shared" si="45"/>
        <v>-1.1000000000000001</v>
      </c>
      <c r="BH78">
        <f t="shared" si="46"/>
        <v>0</v>
      </c>
      <c r="BI78">
        <f t="shared" si="47"/>
        <v>0.8</v>
      </c>
      <c r="BJ78">
        <f t="shared" si="48"/>
        <v>2.17</v>
      </c>
      <c r="BK78">
        <f t="shared" si="49"/>
        <v>0.63299999999999979</v>
      </c>
      <c r="BL78">
        <f t="shared" si="50"/>
        <v>0.3</v>
      </c>
      <c r="BM78">
        <f t="shared" si="51"/>
        <v>0.32600000000000001</v>
      </c>
      <c r="BN78">
        <f t="shared" si="52"/>
        <v>0.76600000000000001</v>
      </c>
    </row>
    <row r="79" spans="1:66" x14ac:dyDescent="0.25">
      <c r="A79">
        <v>2024</v>
      </c>
      <c r="B79" s="1">
        <f t="shared" si="55"/>
        <v>45365</v>
      </c>
      <c r="C79">
        <v>74</v>
      </c>
      <c r="D79">
        <v>70</v>
      </c>
      <c r="E79" s="6">
        <v>13.07</v>
      </c>
      <c r="F79" s="6">
        <v>-0.17499999999999999</v>
      </c>
      <c r="G79" s="6">
        <v>10.130000000000001</v>
      </c>
      <c r="H79" s="6">
        <v>-7.09</v>
      </c>
      <c r="I79" s="6">
        <v>12.47</v>
      </c>
      <c r="J79" s="6">
        <v>1.7090000000000001</v>
      </c>
      <c r="K79" s="6">
        <v>59.21</v>
      </c>
      <c r="L79" s="6"/>
      <c r="M79" s="6">
        <v>-0.46500000000000002</v>
      </c>
      <c r="N79" s="6">
        <v>0.45500000000000002</v>
      </c>
      <c r="O79" s="6">
        <v>11.22</v>
      </c>
      <c r="P79" s="6">
        <v>82.2</v>
      </c>
      <c r="Q79" s="6"/>
      <c r="R79" s="6">
        <v>0.19700000000000001</v>
      </c>
      <c r="S79" s="6">
        <v>1.657</v>
      </c>
      <c r="T79" s="6">
        <v>-4.8659999999999997</v>
      </c>
      <c r="U79" s="6">
        <v>28.91</v>
      </c>
      <c r="V79" s="6"/>
      <c r="W79" s="6">
        <v>-1.518</v>
      </c>
      <c r="X79" s="6">
        <v>2.3E-2</v>
      </c>
      <c r="Y79" s="6">
        <v>0.443</v>
      </c>
      <c r="Z79" s="6">
        <v>1.8340000000000001</v>
      </c>
      <c r="AA79" s="6">
        <v>0.1</v>
      </c>
      <c r="AB79" s="6">
        <v>1.4350000000000001</v>
      </c>
      <c r="AC79" s="6">
        <v>11.13</v>
      </c>
      <c r="AD79" s="6">
        <v>-6.9349999999999996</v>
      </c>
      <c r="AE79" s="6">
        <v>8.9999999999999993E-3</v>
      </c>
      <c r="AF79" s="6">
        <v>6.0000000000000001E-3</v>
      </c>
      <c r="AG79" s="6">
        <v>1.4350000000000001</v>
      </c>
      <c r="AH79" s="6"/>
      <c r="AI79" s="6">
        <f t="shared" si="53"/>
        <v>0.61499999999999977</v>
      </c>
      <c r="AJ79">
        <f t="shared" si="32"/>
        <v>0</v>
      </c>
      <c r="AK79" s="21">
        <f t="shared" si="56"/>
        <v>0</v>
      </c>
      <c r="AL79">
        <f t="shared" si="57"/>
        <v>167.20000000000007</v>
      </c>
      <c r="AM79" s="4">
        <v>16.510000000000002</v>
      </c>
      <c r="AN79">
        <v>12.46</v>
      </c>
      <c r="AP79" s="7">
        <f t="shared" si="54"/>
        <v>0.38500000000000001</v>
      </c>
      <c r="AQ79" s="7">
        <f t="shared" si="33"/>
        <v>0.94699999999999995</v>
      </c>
      <c r="AS79">
        <f t="shared" si="34"/>
        <v>12.46</v>
      </c>
      <c r="AT79">
        <f t="shared" si="35"/>
        <v>1.7</v>
      </c>
      <c r="AU79">
        <f t="shared" si="36"/>
        <v>59.2</v>
      </c>
      <c r="AV79" t="s">
        <v>104</v>
      </c>
      <c r="AW79">
        <f t="shared" si="37"/>
        <v>-0.5</v>
      </c>
      <c r="AX79">
        <f t="shared" si="38"/>
        <v>0.5</v>
      </c>
      <c r="AY79">
        <f t="shared" si="39"/>
        <v>11.2</v>
      </c>
      <c r="AZ79">
        <f t="shared" si="40"/>
        <v>82.2</v>
      </c>
      <c r="BA79" t="s">
        <v>104</v>
      </c>
      <c r="BB79">
        <f t="shared" si="41"/>
        <v>0.2</v>
      </c>
      <c r="BC79">
        <f t="shared" si="42"/>
        <v>1.7</v>
      </c>
      <c r="BD79">
        <f t="shared" si="43"/>
        <v>-4.9000000000000004</v>
      </c>
      <c r="BE79">
        <f t="shared" si="44"/>
        <v>28.9</v>
      </c>
      <c r="BF79" t="s">
        <v>104</v>
      </c>
      <c r="BG79">
        <f t="shared" si="45"/>
        <v>-1.5</v>
      </c>
      <c r="BH79">
        <f t="shared" si="46"/>
        <v>0</v>
      </c>
      <c r="BI79">
        <f t="shared" si="47"/>
        <v>0.44</v>
      </c>
      <c r="BJ79">
        <f t="shared" si="48"/>
        <v>1.83</v>
      </c>
      <c r="BK79">
        <f t="shared" si="49"/>
        <v>0.61499999999999977</v>
      </c>
      <c r="BL79">
        <f t="shared" si="50"/>
        <v>0</v>
      </c>
      <c r="BM79">
        <f t="shared" si="51"/>
        <v>0.38500000000000001</v>
      </c>
      <c r="BN79">
        <f t="shared" si="52"/>
        <v>0.94699999999999995</v>
      </c>
    </row>
    <row r="80" spans="1:66" x14ac:dyDescent="0.25">
      <c r="A80">
        <v>2024</v>
      </c>
      <c r="B80" s="1">
        <f t="shared" si="55"/>
        <v>45366</v>
      </c>
      <c r="C80">
        <v>75</v>
      </c>
      <c r="D80">
        <v>70</v>
      </c>
      <c r="E80" s="6">
        <v>13.09</v>
      </c>
      <c r="F80" s="6">
        <v>3.476</v>
      </c>
      <c r="G80" s="6">
        <v>15.37</v>
      </c>
      <c r="H80" s="6">
        <v>-2.7719999999999998</v>
      </c>
      <c r="I80" s="6">
        <v>12.77</v>
      </c>
      <c r="J80" s="6">
        <v>5.3470000000000004</v>
      </c>
      <c r="K80" s="6">
        <v>53.84</v>
      </c>
      <c r="L80" s="6"/>
      <c r="M80" s="6">
        <v>6.4000000000000001E-2</v>
      </c>
      <c r="N80" s="6">
        <v>0.51500000000000001</v>
      </c>
      <c r="O80" s="6">
        <v>14.78</v>
      </c>
      <c r="P80" s="6">
        <v>75.3</v>
      </c>
      <c r="Q80" s="6"/>
      <c r="R80" s="6">
        <v>0.97</v>
      </c>
      <c r="S80" s="6">
        <v>1.431</v>
      </c>
      <c r="T80" s="6">
        <v>-0.84099999999999997</v>
      </c>
      <c r="U80" s="6">
        <v>27.49</v>
      </c>
      <c r="V80" s="6"/>
      <c r="W80" s="6">
        <v>-0.53700000000000003</v>
      </c>
      <c r="X80" s="6">
        <v>-0.14699999999999999</v>
      </c>
      <c r="Y80" s="6">
        <v>0.31900000000000001</v>
      </c>
      <c r="Z80" s="6">
        <v>1.8740000000000001</v>
      </c>
      <c r="AA80" s="6">
        <v>0</v>
      </c>
      <c r="AB80" s="6">
        <v>1.464</v>
      </c>
      <c r="AC80" s="6">
        <v>15.82</v>
      </c>
      <c r="AD80" s="6">
        <v>-2.61</v>
      </c>
      <c r="AE80" s="6">
        <v>8.9999999999999993E-3</v>
      </c>
      <c r="AF80" s="6">
        <v>7.0000000000000001E-3</v>
      </c>
      <c r="AG80" s="6">
        <v>1.456</v>
      </c>
      <c r="AH80" s="6"/>
      <c r="AI80" s="6">
        <f t="shared" si="53"/>
        <v>0.58599999999999985</v>
      </c>
      <c r="AJ80">
        <f t="shared" si="32"/>
        <v>0</v>
      </c>
      <c r="AK80" s="21">
        <f t="shared" si="56"/>
        <v>0</v>
      </c>
      <c r="AL80">
        <f t="shared" si="57"/>
        <v>167.20000000000007</v>
      </c>
      <c r="AM80" s="4">
        <v>16.77</v>
      </c>
      <c r="AN80">
        <v>12.76</v>
      </c>
      <c r="AP80" s="7">
        <f t="shared" si="54"/>
        <v>0.46200000000000002</v>
      </c>
      <c r="AQ80" s="7">
        <f t="shared" si="33"/>
        <v>1.2190000000000001</v>
      </c>
      <c r="AS80">
        <f t="shared" si="34"/>
        <v>12.76</v>
      </c>
      <c r="AT80">
        <f t="shared" si="35"/>
        <v>5.3</v>
      </c>
      <c r="AU80">
        <f t="shared" si="36"/>
        <v>53.8</v>
      </c>
      <c r="AV80" t="s">
        <v>104</v>
      </c>
      <c r="AW80">
        <f t="shared" si="37"/>
        <v>0.1</v>
      </c>
      <c r="AX80">
        <f t="shared" si="38"/>
        <v>0.5</v>
      </c>
      <c r="AY80">
        <f t="shared" si="39"/>
        <v>14.8</v>
      </c>
      <c r="AZ80">
        <f t="shared" si="40"/>
        <v>75.3</v>
      </c>
      <c r="BA80" t="s">
        <v>104</v>
      </c>
      <c r="BB80">
        <f t="shared" si="41"/>
        <v>1</v>
      </c>
      <c r="BC80">
        <f t="shared" si="42"/>
        <v>1.4</v>
      </c>
      <c r="BD80">
        <f t="shared" si="43"/>
        <v>-0.8</v>
      </c>
      <c r="BE80">
        <f t="shared" si="44"/>
        <v>27.5</v>
      </c>
      <c r="BF80" t="s">
        <v>104</v>
      </c>
      <c r="BG80">
        <f t="shared" si="45"/>
        <v>-0.5</v>
      </c>
      <c r="BH80">
        <f t="shared" si="46"/>
        <v>-0.1</v>
      </c>
      <c r="BI80">
        <f t="shared" si="47"/>
        <v>0.32</v>
      </c>
      <c r="BJ80">
        <f t="shared" si="48"/>
        <v>1.87</v>
      </c>
      <c r="BK80">
        <f t="shared" si="49"/>
        <v>0.58599999999999985</v>
      </c>
      <c r="BL80">
        <f t="shared" si="50"/>
        <v>0</v>
      </c>
      <c r="BM80">
        <f t="shared" si="51"/>
        <v>0.46200000000000002</v>
      </c>
      <c r="BN80">
        <f t="shared" si="52"/>
        <v>1.2190000000000001</v>
      </c>
    </row>
    <row r="81" spans="1:66" x14ac:dyDescent="0.25">
      <c r="A81">
        <v>2024</v>
      </c>
      <c r="B81" s="1">
        <f t="shared" si="55"/>
        <v>45367</v>
      </c>
      <c r="C81">
        <v>76</v>
      </c>
      <c r="D81">
        <v>70</v>
      </c>
      <c r="E81" s="6">
        <v>13.08</v>
      </c>
      <c r="F81" s="6">
        <v>6.1820000000000004</v>
      </c>
      <c r="G81" s="6">
        <v>20.260000000000002</v>
      </c>
      <c r="H81" s="6">
        <v>-1.45</v>
      </c>
      <c r="I81" s="6">
        <v>14.93</v>
      </c>
      <c r="J81" s="6">
        <v>8.27</v>
      </c>
      <c r="K81" s="6">
        <v>51.38</v>
      </c>
      <c r="L81" s="6"/>
      <c r="M81" s="6">
        <v>0.154</v>
      </c>
      <c r="N81" s="6">
        <v>0.52400000000000002</v>
      </c>
      <c r="O81" s="6">
        <v>18.86</v>
      </c>
      <c r="P81" s="6">
        <v>81.400000000000006</v>
      </c>
      <c r="Q81" s="6"/>
      <c r="R81" s="6">
        <v>1.274</v>
      </c>
      <c r="S81" s="6">
        <v>1.6970000000000001</v>
      </c>
      <c r="T81" s="6">
        <v>0.96599999999999997</v>
      </c>
      <c r="U81" s="6">
        <v>22.85</v>
      </c>
      <c r="V81" s="6"/>
      <c r="W81" s="6">
        <v>-0.54900000000000004</v>
      </c>
      <c r="X81" s="6">
        <v>-0.45300000000000001</v>
      </c>
      <c r="Y81" s="6">
        <v>0.56899999999999995</v>
      </c>
      <c r="Z81" s="6">
        <v>1.754</v>
      </c>
      <c r="AA81" s="6">
        <v>0</v>
      </c>
      <c r="AB81" s="6">
        <v>1.498</v>
      </c>
      <c r="AC81" s="6">
        <v>21.08</v>
      </c>
      <c r="AD81" s="6">
        <v>-1.329</v>
      </c>
      <c r="AE81" s="6">
        <v>0.01</v>
      </c>
      <c r="AF81" s="6">
        <v>7.0000000000000001E-3</v>
      </c>
      <c r="AG81" s="6">
        <v>1.48</v>
      </c>
      <c r="AH81" s="6"/>
      <c r="AI81" s="6">
        <f t="shared" si="53"/>
        <v>0.55199999999999982</v>
      </c>
      <c r="AJ81">
        <f t="shared" si="32"/>
        <v>0</v>
      </c>
      <c r="AK81" s="21">
        <f t="shared" si="56"/>
        <v>0</v>
      </c>
      <c r="AL81">
        <f t="shared" si="57"/>
        <v>167.20000000000007</v>
      </c>
      <c r="AM81" s="4">
        <v>17.03</v>
      </c>
      <c r="AN81">
        <v>14.93</v>
      </c>
      <c r="AP81" s="7">
        <f t="shared" si="54"/>
        <v>0.498</v>
      </c>
      <c r="AQ81" s="7">
        <f t="shared" si="33"/>
        <v>1.681</v>
      </c>
      <c r="AS81">
        <f t="shared" si="34"/>
        <v>14.93</v>
      </c>
      <c r="AT81">
        <f t="shared" si="35"/>
        <v>8.3000000000000007</v>
      </c>
      <c r="AU81">
        <f t="shared" si="36"/>
        <v>51.4</v>
      </c>
      <c r="AV81" t="s">
        <v>104</v>
      </c>
      <c r="AW81">
        <f t="shared" si="37"/>
        <v>0.2</v>
      </c>
      <c r="AX81">
        <f t="shared" si="38"/>
        <v>0.5</v>
      </c>
      <c r="AY81">
        <f t="shared" si="39"/>
        <v>18.899999999999999</v>
      </c>
      <c r="AZ81">
        <f t="shared" si="40"/>
        <v>81.400000000000006</v>
      </c>
      <c r="BA81" t="s">
        <v>104</v>
      </c>
      <c r="BB81">
        <f t="shared" si="41"/>
        <v>1.3</v>
      </c>
      <c r="BC81">
        <f t="shared" si="42"/>
        <v>1.7</v>
      </c>
      <c r="BD81">
        <f t="shared" si="43"/>
        <v>1</v>
      </c>
      <c r="BE81">
        <f t="shared" si="44"/>
        <v>22.9</v>
      </c>
      <c r="BF81" t="s">
        <v>104</v>
      </c>
      <c r="BG81">
        <f t="shared" si="45"/>
        <v>-0.5</v>
      </c>
      <c r="BH81">
        <f t="shared" si="46"/>
        <v>-0.5</v>
      </c>
      <c r="BI81">
        <f t="shared" si="47"/>
        <v>0.56999999999999995</v>
      </c>
      <c r="BJ81">
        <f t="shared" si="48"/>
        <v>1.75</v>
      </c>
      <c r="BK81">
        <f t="shared" si="49"/>
        <v>0.55199999999999982</v>
      </c>
      <c r="BL81">
        <f t="shared" si="50"/>
        <v>0</v>
      </c>
      <c r="BM81">
        <f t="shared" si="51"/>
        <v>0.498</v>
      </c>
      <c r="BN81">
        <f t="shared" si="52"/>
        <v>1.681</v>
      </c>
    </row>
    <row r="82" spans="1:66" x14ac:dyDescent="0.25">
      <c r="A82">
        <v>2024</v>
      </c>
      <c r="B82" s="1">
        <f t="shared" si="55"/>
        <v>45368</v>
      </c>
      <c r="C82">
        <v>77</v>
      </c>
      <c r="D82">
        <v>70</v>
      </c>
      <c r="E82" s="6">
        <v>13.06</v>
      </c>
      <c r="F82" s="6">
        <v>8.4700000000000006</v>
      </c>
      <c r="G82" s="6">
        <v>21.5</v>
      </c>
      <c r="H82" s="6">
        <v>1.637</v>
      </c>
      <c r="I82" s="6">
        <v>15.38</v>
      </c>
      <c r="J82" s="6">
        <v>10.57</v>
      </c>
      <c r="K82" s="6">
        <v>41.52</v>
      </c>
      <c r="L82" s="6"/>
      <c r="M82" s="6">
        <v>0.41399999999999998</v>
      </c>
      <c r="N82" s="6">
        <v>0.53700000000000003</v>
      </c>
      <c r="O82" s="6">
        <v>20.07</v>
      </c>
      <c r="P82" s="6">
        <v>61.21</v>
      </c>
      <c r="Q82" s="6"/>
      <c r="R82" s="6">
        <v>1.538</v>
      </c>
      <c r="S82" s="6">
        <v>1.7010000000000001</v>
      </c>
      <c r="T82" s="6">
        <v>4.1900000000000004</v>
      </c>
      <c r="U82" s="6">
        <v>20.76</v>
      </c>
      <c r="V82" s="6"/>
      <c r="W82" s="6">
        <v>-7.6999999999999999E-2</v>
      </c>
      <c r="X82" s="6">
        <v>-0.40300000000000002</v>
      </c>
      <c r="Y82" s="6">
        <v>0.747</v>
      </c>
      <c r="Z82" s="6">
        <v>2.0470000000000002</v>
      </c>
      <c r="AA82" s="6">
        <v>0</v>
      </c>
      <c r="AB82" s="6">
        <v>1.544</v>
      </c>
      <c r="AC82" s="6">
        <v>22.36</v>
      </c>
      <c r="AD82" s="6">
        <v>1.8</v>
      </c>
      <c r="AE82" s="6">
        <v>0.01</v>
      </c>
      <c r="AF82" s="6">
        <v>7.0000000000000001E-3</v>
      </c>
      <c r="AG82" s="6">
        <v>1.528</v>
      </c>
      <c r="AH82" s="6"/>
      <c r="AI82" s="6">
        <f t="shared" si="53"/>
        <v>0.50599999999999978</v>
      </c>
      <c r="AJ82">
        <f t="shared" si="32"/>
        <v>0</v>
      </c>
      <c r="AK82" s="21">
        <f t="shared" si="56"/>
        <v>0</v>
      </c>
      <c r="AL82">
        <f t="shared" si="57"/>
        <v>167.20000000000007</v>
      </c>
      <c r="AM82" s="4">
        <v>17.29</v>
      </c>
      <c r="AN82">
        <v>15.37</v>
      </c>
      <c r="AP82" s="7">
        <f t="shared" si="54"/>
        <v>0.48699999999999999</v>
      </c>
      <c r="AQ82" s="7">
        <f t="shared" si="33"/>
        <v>1.859</v>
      </c>
      <c r="AS82">
        <f t="shared" si="34"/>
        <v>15.37</v>
      </c>
      <c r="AT82">
        <f t="shared" si="35"/>
        <v>10.6</v>
      </c>
      <c r="AU82">
        <f t="shared" si="36"/>
        <v>41.5</v>
      </c>
      <c r="AV82" t="s">
        <v>104</v>
      </c>
      <c r="AW82">
        <f t="shared" si="37"/>
        <v>0.4</v>
      </c>
      <c r="AX82">
        <f t="shared" si="38"/>
        <v>0.5</v>
      </c>
      <c r="AY82">
        <f t="shared" si="39"/>
        <v>20.100000000000001</v>
      </c>
      <c r="AZ82">
        <f t="shared" si="40"/>
        <v>61.2</v>
      </c>
      <c r="BA82" t="s">
        <v>104</v>
      </c>
      <c r="BB82">
        <f t="shared" si="41"/>
        <v>1.5</v>
      </c>
      <c r="BC82">
        <f t="shared" si="42"/>
        <v>1.7</v>
      </c>
      <c r="BD82">
        <f t="shared" si="43"/>
        <v>4.2</v>
      </c>
      <c r="BE82">
        <f t="shared" si="44"/>
        <v>20.8</v>
      </c>
      <c r="BF82" t="s">
        <v>104</v>
      </c>
      <c r="BG82">
        <f t="shared" si="45"/>
        <v>-0.1</v>
      </c>
      <c r="BH82">
        <f t="shared" si="46"/>
        <v>-0.4</v>
      </c>
      <c r="BI82">
        <f t="shared" si="47"/>
        <v>0.75</v>
      </c>
      <c r="BJ82">
        <f t="shared" si="48"/>
        <v>2.0499999999999998</v>
      </c>
      <c r="BK82">
        <f t="shared" si="49"/>
        <v>0.50599999999999978</v>
      </c>
      <c r="BL82">
        <f t="shared" si="50"/>
        <v>0</v>
      </c>
      <c r="BM82">
        <f t="shared" si="51"/>
        <v>0.48699999999999999</v>
      </c>
      <c r="BN82">
        <f t="shared" si="52"/>
        <v>1.859</v>
      </c>
    </row>
    <row r="83" spans="1:66" x14ac:dyDescent="0.25">
      <c r="A83">
        <v>2024</v>
      </c>
      <c r="B83" s="1">
        <f t="shared" si="55"/>
        <v>45369</v>
      </c>
      <c r="C83">
        <v>78</v>
      </c>
      <c r="D83">
        <v>70</v>
      </c>
      <c r="E83" s="6">
        <v>13.07</v>
      </c>
      <c r="F83" s="6">
        <v>7.19</v>
      </c>
      <c r="G83" s="6">
        <v>20</v>
      </c>
      <c r="H83" s="6">
        <v>0.54200000000000004</v>
      </c>
      <c r="I83" s="6">
        <v>15.39</v>
      </c>
      <c r="J83" s="6">
        <v>9.16</v>
      </c>
      <c r="K83" s="6">
        <v>45.45</v>
      </c>
      <c r="L83" s="6"/>
      <c r="M83" s="6">
        <v>0.71399999999999997</v>
      </c>
      <c r="N83" s="6">
        <v>0.52200000000000002</v>
      </c>
      <c r="O83" s="6">
        <v>18.59</v>
      </c>
      <c r="P83" s="6">
        <v>66.92</v>
      </c>
      <c r="Q83" s="6"/>
      <c r="R83" s="6">
        <v>2.5470000000000002</v>
      </c>
      <c r="S83" s="6">
        <v>1.6779999999999999</v>
      </c>
      <c r="T83" s="6">
        <v>3.0470000000000002</v>
      </c>
      <c r="U83" s="6">
        <v>23.19</v>
      </c>
      <c r="V83" s="6"/>
      <c r="W83" s="6">
        <v>-0.17699999999999999</v>
      </c>
      <c r="X83" s="6">
        <v>-0.35099999999999998</v>
      </c>
      <c r="Y83" s="6">
        <v>0.56100000000000005</v>
      </c>
      <c r="Z83" s="6">
        <v>2.0339999999999998</v>
      </c>
      <c r="AA83" s="6">
        <v>0</v>
      </c>
      <c r="AB83" s="6">
        <v>1.575</v>
      </c>
      <c r="AC83" s="6">
        <v>20.83</v>
      </c>
      <c r="AD83" s="6">
        <v>0.67900000000000005</v>
      </c>
      <c r="AE83" s="6">
        <v>0.01</v>
      </c>
      <c r="AF83" s="6">
        <v>6.0000000000000001E-3</v>
      </c>
      <c r="AG83" s="6">
        <v>1.5589999999999999</v>
      </c>
      <c r="AH83" s="6"/>
      <c r="AI83" s="6">
        <f t="shared" si="53"/>
        <v>0.47499999999999987</v>
      </c>
      <c r="AJ83">
        <f t="shared" si="32"/>
        <v>0</v>
      </c>
      <c r="AK83" s="21">
        <f t="shared" si="56"/>
        <v>0</v>
      </c>
      <c r="AL83">
        <f t="shared" si="57"/>
        <v>167.20000000000007</v>
      </c>
      <c r="AM83" s="4">
        <v>17.559999999999999</v>
      </c>
      <c r="AN83">
        <v>15.38</v>
      </c>
      <c r="AP83" s="7">
        <f t="shared" si="54"/>
        <v>0.497</v>
      </c>
      <c r="AQ83" s="7">
        <f t="shared" si="33"/>
        <v>1.6459999999999999</v>
      </c>
      <c r="AS83">
        <f t="shared" si="34"/>
        <v>15.38</v>
      </c>
      <c r="AT83">
        <f t="shared" si="35"/>
        <v>9.1999999999999993</v>
      </c>
      <c r="AU83">
        <f t="shared" si="36"/>
        <v>45.5</v>
      </c>
      <c r="AV83" t="s">
        <v>104</v>
      </c>
      <c r="AW83">
        <f t="shared" si="37"/>
        <v>0.7</v>
      </c>
      <c r="AX83">
        <f t="shared" si="38"/>
        <v>0.5</v>
      </c>
      <c r="AY83">
        <f t="shared" si="39"/>
        <v>18.600000000000001</v>
      </c>
      <c r="AZ83">
        <f t="shared" si="40"/>
        <v>66.900000000000006</v>
      </c>
      <c r="BA83" t="s">
        <v>104</v>
      </c>
      <c r="BB83">
        <f t="shared" si="41"/>
        <v>2.5</v>
      </c>
      <c r="BC83">
        <f t="shared" si="42"/>
        <v>1.7</v>
      </c>
      <c r="BD83">
        <f t="shared" si="43"/>
        <v>3</v>
      </c>
      <c r="BE83">
        <f t="shared" si="44"/>
        <v>23.2</v>
      </c>
      <c r="BF83" t="s">
        <v>104</v>
      </c>
      <c r="BG83">
        <f t="shared" si="45"/>
        <v>-0.2</v>
      </c>
      <c r="BH83">
        <f t="shared" si="46"/>
        <v>-0.4</v>
      </c>
      <c r="BI83">
        <f t="shared" si="47"/>
        <v>0.56000000000000005</v>
      </c>
      <c r="BJ83">
        <f t="shared" si="48"/>
        <v>2.0299999999999998</v>
      </c>
      <c r="BK83">
        <f t="shared" si="49"/>
        <v>0.47499999999999987</v>
      </c>
      <c r="BL83">
        <f t="shared" si="50"/>
        <v>0</v>
      </c>
      <c r="BM83">
        <f t="shared" si="51"/>
        <v>0.497</v>
      </c>
      <c r="BN83">
        <f t="shared" si="52"/>
        <v>1.6459999999999999</v>
      </c>
    </row>
    <row r="84" spans="1:66" x14ac:dyDescent="0.25">
      <c r="A84">
        <v>2024</v>
      </c>
      <c r="B84" s="1">
        <f t="shared" si="55"/>
        <v>45370</v>
      </c>
      <c r="C84">
        <v>79</v>
      </c>
      <c r="D84">
        <v>70</v>
      </c>
      <c r="E84" s="6">
        <v>13.08</v>
      </c>
      <c r="F84" s="6">
        <v>6.5789999999999997</v>
      </c>
      <c r="G84" s="6">
        <v>18.8</v>
      </c>
      <c r="H84" s="6">
        <v>7.0000000000000007E-2</v>
      </c>
      <c r="I84" s="6">
        <v>15.45</v>
      </c>
      <c r="J84" s="6">
        <v>8.26</v>
      </c>
      <c r="K84" s="6">
        <v>44.46</v>
      </c>
      <c r="L84" s="6"/>
      <c r="M84" s="6">
        <v>1.357</v>
      </c>
      <c r="N84" s="6">
        <v>0.501</v>
      </c>
      <c r="O84" s="6">
        <v>17.32</v>
      </c>
      <c r="P84" s="6">
        <v>67.53</v>
      </c>
      <c r="Q84" s="6"/>
      <c r="R84" s="6">
        <v>7.06</v>
      </c>
      <c r="S84" s="6">
        <v>1.4490000000000001</v>
      </c>
      <c r="T84" s="6">
        <v>2.3069999999999999</v>
      </c>
      <c r="U84" s="6">
        <v>18.14</v>
      </c>
      <c r="V84" s="6"/>
      <c r="W84" s="6">
        <v>-1.379</v>
      </c>
      <c r="X84" s="6">
        <v>-0.308</v>
      </c>
      <c r="Y84" s="6">
        <v>0.63100000000000001</v>
      </c>
      <c r="Z84" s="6">
        <v>2.4870000000000001</v>
      </c>
      <c r="AA84" s="6">
        <v>0</v>
      </c>
      <c r="AB84" s="6">
        <v>1.6040000000000001</v>
      </c>
      <c r="AC84" s="6">
        <v>19.57</v>
      </c>
      <c r="AD84" s="6">
        <v>0.20200000000000001</v>
      </c>
      <c r="AE84" s="6">
        <v>0.01</v>
      </c>
      <c r="AF84" s="6">
        <v>7.0000000000000001E-3</v>
      </c>
      <c r="AG84" s="6">
        <v>1.5880000000000001</v>
      </c>
      <c r="AH84" s="6"/>
      <c r="AI84" s="6">
        <f t="shared" si="53"/>
        <v>0.44599999999999973</v>
      </c>
      <c r="AJ84">
        <f t="shared" si="32"/>
        <v>0</v>
      </c>
      <c r="AK84" s="21">
        <f t="shared" si="56"/>
        <v>0</v>
      </c>
      <c r="AL84">
        <f t="shared" si="57"/>
        <v>167.20000000000007</v>
      </c>
      <c r="AM84" s="4">
        <v>17.829999999999998</v>
      </c>
      <c r="AN84">
        <v>15.45</v>
      </c>
      <c r="AP84" s="7">
        <f t="shared" si="54"/>
        <v>0.35899999999999999</v>
      </c>
      <c r="AQ84" s="7">
        <f t="shared" si="33"/>
        <v>1.62</v>
      </c>
      <c r="AS84">
        <f t="shared" si="34"/>
        <v>15.45</v>
      </c>
      <c r="AT84">
        <f t="shared" si="35"/>
        <v>8.3000000000000007</v>
      </c>
      <c r="AU84">
        <f t="shared" si="36"/>
        <v>44.5</v>
      </c>
      <c r="AV84" t="s">
        <v>104</v>
      </c>
      <c r="AW84">
        <f t="shared" si="37"/>
        <v>1.4</v>
      </c>
      <c r="AX84">
        <f t="shared" si="38"/>
        <v>0.5</v>
      </c>
      <c r="AY84">
        <f t="shared" si="39"/>
        <v>17.3</v>
      </c>
      <c r="AZ84">
        <f t="shared" si="40"/>
        <v>67.5</v>
      </c>
      <c r="BA84" t="s">
        <v>104</v>
      </c>
      <c r="BB84">
        <f t="shared" si="41"/>
        <v>7.1</v>
      </c>
      <c r="BC84">
        <f t="shared" si="42"/>
        <v>1.4</v>
      </c>
      <c r="BD84">
        <f t="shared" si="43"/>
        <v>2.2999999999999998</v>
      </c>
      <c r="BE84">
        <f t="shared" si="44"/>
        <v>18.100000000000001</v>
      </c>
      <c r="BF84" t="s">
        <v>104</v>
      </c>
      <c r="BG84">
        <f t="shared" si="45"/>
        <v>-1.4</v>
      </c>
      <c r="BH84">
        <f t="shared" si="46"/>
        <v>-0.3</v>
      </c>
      <c r="BI84">
        <f t="shared" si="47"/>
        <v>0.63</v>
      </c>
      <c r="BJ84">
        <f t="shared" si="48"/>
        <v>2.4900000000000002</v>
      </c>
      <c r="BK84">
        <f t="shared" si="49"/>
        <v>0.44599999999999973</v>
      </c>
      <c r="BL84">
        <f t="shared" si="50"/>
        <v>0</v>
      </c>
      <c r="BM84">
        <f t="shared" si="51"/>
        <v>0.35899999999999999</v>
      </c>
      <c r="BN84">
        <f t="shared" si="52"/>
        <v>1.62</v>
      </c>
    </row>
    <row r="85" spans="1:66" x14ac:dyDescent="0.25">
      <c r="A85">
        <v>2024</v>
      </c>
      <c r="B85" s="1">
        <f t="shared" si="55"/>
        <v>45371</v>
      </c>
      <c r="C85">
        <v>80</v>
      </c>
      <c r="D85">
        <v>70</v>
      </c>
      <c r="E85" s="6">
        <v>13.03</v>
      </c>
      <c r="F85" s="6">
        <v>4.5519999999999996</v>
      </c>
      <c r="G85" s="6">
        <v>10.199999999999999</v>
      </c>
      <c r="H85" s="6">
        <v>1.1279999999999999</v>
      </c>
      <c r="I85" s="6">
        <v>8.09</v>
      </c>
      <c r="J85" s="6">
        <v>5.5330000000000004</v>
      </c>
      <c r="K85" s="6">
        <v>56.45</v>
      </c>
      <c r="L85" s="6"/>
      <c r="M85" s="6">
        <v>2.1469999999999998</v>
      </c>
      <c r="N85" s="6">
        <v>0.54200000000000004</v>
      </c>
      <c r="O85" s="6">
        <v>10.76</v>
      </c>
      <c r="P85" s="6">
        <v>88</v>
      </c>
      <c r="Q85" s="6"/>
      <c r="R85" s="6">
        <v>7.27</v>
      </c>
      <c r="S85" s="6">
        <v>1.032</v>
      </c>
      <c r="T85" s="6">
        <v>1.9710000000000001</v>
      </c>
      <c r="U85" s="6">
        <v>36.78</v>
      </c>
      <c r="V85" s="6"/>
      <c r="W85" s="6">
        <v>-0.184</v>
      </c>
      <c r="X85" s="6">
        <v>0.219</v>
      </c>
      <c r="Y85" s="6">
        <v>0.51900000000000002</v>
      </c>
      <c r="Z85" s="6">
        <v>2.0739999999999998</v>
      </c>
      <c r="AA85" s="6">
        <v>0</v>
      </c>
      <c r="AB85" s="6">
        <v>1.6240000000000001</v>
      </c>
      <c r="AC85" s="6">
        <v>10.16</v>
      </c>
      <c r="AD85" s="6">
        <v>1.3640000000000001</v>
      </c>
      <c r="AE85" s="6">
        <v>8.9999999999999993E-3</v>
      </c>
      <c r="AF85" s="6">
        <v>7.0000000000000001E-3</v>
      </c>
      <c r="AG85" s="6">
        <v>1.617</v>
      </c>
      <c r="AH85" s="6"/>
      <c r="AI85" s="6">
        <f t="shared" si="53"/>
        <v>0.42599999999999971</v>
      </c>
      <c r="AJ85">
        <f t="shared" si="32"/>
        <v>0</v>
      </c>
      <c r="AK85" s="21">
        <f t="shared" si="56"/>
        <v>0</v>
      </c>
      <c r="AL85">
        <f t="shared" si="57"/>
        <v>167.20000000000007</v>
      </c>
      <c r="AM85" s="4">
        <v>18.09</v>
      </c>
      <c r="AN85">
        <v>8.08</v>
      </c>
      <c r="AP85" s="7">
        <f t="shared" si="54"/>
        <v>0.47499999999999998</v>
      </c>
      <c r="AQ85" s="7">
        <f t="shared" si="33"/>
        <v>0.81599999999999995</v>
      </c>
      <c r="AS85">
        <f t="shared" si="34"/>
        <v>8.08</v>
      </c>
      <c r="AT85">
        <f t="shared" si="35"/>
        <v>5.5</v>
      </c>
      <c r="AU85">
        <f t="shared" si="36"/>
        <v>56.5</v>
      </c>
      <c r="AV85" t="s">
        <v>104</v>
      </c>
      <c r="AW85">
        <f t="shared" si="37"/>
        <v>2.1</v>
      </c>
      <c r="AX85">
        <f t="shared" si="38"/>
        <v>0.5</v>
      </c>
      <c r="AY85">
        <f t="shared" si="39"/>
        <v>10.8</v>
      </c>
      <c r="AZ85">
        <f t="shared" si="40"/>
        <v>88</v>
      </c>
      <c r="BA85" t="s">
        <v>104</v>
      </c>
      <c r="BB85">
        <f t="shared" si="41"/>
        <v>7.3</v>
      </c>
      <c r="BC85">
        <f t="shared" si="42"/>
        <v>1</v>
      </c>
      <c r="BD85">
        <f t="shared" si="43"/>
        <v>2</v>
      </c>
      <c r="BE85">
        <f t="shared" si="44"/>
        <v>36.799999999999997</v>
      </c>
      <c r="BF85" t="s">
        <v>104</v>
      </c>
      <c r="BG85">
        <f t="shared" si="45"/>
        <v>-0.2</v>
      </c>
      <c r="BH85">
        <f t="shared" si="46"/>
        <v>0.2</v>
      </c>
      <c r="BI85">
        <f t="shared" si="47"/>
        <v>0.52</v>
      </c>
      <c r="BJ85">
        <f t="shared" si="48"/>
        <v>2.0699999999999998</v>
      </c>
      <c r="BK85">
        <f t="shared" si="49"/>
        <v>0.42599999999999971</v>
      </c>
      <c r="BL85">
        <f t="shared" si="50"/>
        <v>0</v>
      </c>
      <c r="BM85">
        <f t="shared" si="51"/>
        <v>0.47499999999999998</v>
      </c>
      <c r="BN85">
        <f t="shared" si="52"/>
        <v>0.81599999999999995</v>
      </c>
    </row>
    <row r="86" spans="1:66" x14ac:dyDescent="0.25">
      <c r="A86">
        <v>2024</v>
      </c>
      <c r="B86" s="1">
        <f t="shared" si="55"/>
        <v>45372</v>
      </c>
      <c r="C86">
        <v>81</v>
      </c>
      <c r="D86">
        <v>70</v>
      </c>
      <c r="E86" s="6">
        <v>13.08</v>
      </c>
      <c r="F86" s="6">
        <v>2.1819999999999999</v>
      </c>
      <c r="G86" s="6">
        <v>12.2</v>
      </c>
      <c r="H86" s="6">
        <v>-4.1989999999999998</v>
      </c>
      <c r="I86" s="6">
        <v>14.85</v>
      </c>
      <c r="J86" s="6">
        <v>2.617</v>
      </c>
      <c r="K86" s="6">
        <v>68.12</v>
      </c>
      <c r="L86" s="6"/>
      <c r="M86" s="6">
        <v>1.004</v>
      </c>
      <c r="N86" s="6">
        <v>0.434</v>
      </c>
      <c r="O86" s="6">
        <v>9.75</v>
      </c>
      <c r="P86" s="6">
        <v>93</v>
      </c>
      <c r="Q86" s="6"/>
      <c r="R86" s="6">
        <v>11.36</v>
      </c>
      <c r="S86" s="6">
        <v>1.2290000000000001</v>
      </c>
      <c r="T86" s="6">
        <v>-1.9179999999999999</v>
      </c>
      <c r="U86" s="6">
        <v>29.65</v>
      </c>
      <c r="V86" s="6"/>
      <c r="W86" s="6">
        <v>-3.657</v>
      </c>
      <c r="X86" s="6">
        <v>-0.124</v>
      </c>
      <c r="Y86" s="6">
        <v>0.78300000000000003</v>
      </c>
      <c r="Z86" s="6">
        <v>2.5</v>
      </c>
      <c r="AA86" s="6">
        <v>2</v>
      </c>
      <c r="AB86" s="6">
        <v>1.647</v>
      </c>
      <c r="AC86" s="6">
        <v>12.94</v>
      </c>
      <c r="AD86" s="6">
        <v>-4.0910000000000002</v>
      </c>
      <c r="AE86" s="6">
        <v>8.9999999999999993E-3</v>
      </c>
      <c r="AF86" s="6">
        <v>7.0000000000000001E-3</v>
      </c>
      <c r="AG86" s="6">
        <v>1.651</v>
      </c>
      <c r="AH86" s="6"/>
      <c r="AI86" s="6">
        <f t="shared" si="53"/>
        <v>0.4029999999999998</v>
      </c>
      <c r="AJ86">
        <f t="shared" si="32"/>
        <v>0</v>
      </c>
      <c r="AK86" s="21">
        <f t="shared" si="56"/>
        <v>0</v>
      </c>
      <c r="AL86">
        <f t="shared" si="57"/>
        <v>167.20000000000007</v>
      </c>
      <c r="AM86" s="4">
        <v>18.36</v>
      </c>
      <c r="AN86">
        <v>14.85</v>
      </c>
      <c r="AP86" s="7">
        <f t="shared" si="54"/>
        <v>0.35799999999999998</v>
      </c>
      <c r="AQ86" s="7">
        <f t="shared" si="33"/>
        <v>0.84899999999999998</v>
      </c>
      <c r="AS86">
        <f t="shared" si="34"/>
        <v>14.85</v>
      </c>
      <c r="AT86">
        <f t="shared" si="35"/>
        <v>2.6</v>
      </c>
      <c r="AU86">
        <f t="shared" si="36"/>
        <v>68.099999999999994</v>
      </c>
      <c r="AV86" t="s">
        <v>104</v>
      </c>
      <c r="AW86">
        <f t="shared" si="37"/>
        <v>1</v>
      </c>
      <c r="AX86">
        <f t="shared" si="38"/>
        <v>0.4</v>
      </c>
      <c r="AY86">
        <f t="shared" si="39"/>
        <v>9.8000000000000007</v>
      </c>
      <c r="AZ86">
        <f t="shared" si="40"/>
        <v>93</v>
      </c>
      <c r="BA86" t="s">
        <v>104</v>
      </c>
      <c r="BB86">
        <f t="shared" si="41"/>
        <v>11.4</v>
      </c>
      <c r="BC86">
        <f t="shared" si="42"/>
        <v>1.2</v>
      </c>
      <c r="BD86">
        <f t="shared" si="43"/>
        <v>-1.9</v>
      </c>
      <c r="BE86">
        <f t="shared" si="44"/>
        <v>29.7</v>
      </c>
      <c r="BF86" t="s">
        <v>104</v>
      </c>
      <c r="BG86">
        <f t="shared" si="45"/>
        <v>-3.7</v>
      </c>
      <c r="BH86">
        <f t="shared" si="46"/>
        <v>-0.1</v>
      </c>
      <c r="BI86">
        <f t="shared" si="47"/>
        <v>0.78</v>
      </c>
      <c r="BJ86">
        <f t="shared" si="48"/>
        <v>2.5</v>
      </c>
      <c r="BK86">
        <f t="shared" si="49"/>
        <v>0.4029999999999998</v>
      </c>
      <c r="BL86">
        <f t="shared" si="50"/>
        <v>0</v>
      </c>
      <c r="BM86">
        <f t="shared" si="51"/>
        <v>0.35799999999999998</v>
      </c>
      <c r="BN86">
        <f t="shared" si="52"/>
        <v>0.84899999999999998</v>
      </c>
    </row>
    <row r="87" spans="1:66" x14ac:dyDescent="0.25">
      <c r="A87">
        <v>2024</v>
      </c>
      <c r="B87" s="1">
        <f t="shared" si="55"/>
        <v>45373</v>
      </c>
      <c r="C87">
        <v>82</v>
      </c>
      <c r="D87">
        <v>70</v>
      </c>
      <c r="E87" s="6">
        <v>13.05</v>
      </c>
      <c r="F87" s="6">
        <v>1.484</v>
      </c>
      <c r="G87" s="6">
        <v>11.72</v>
      </c>
      <c r="H87" s="6">
        <v>-4.9219999999999997</v>
      </c>
      <c r="I87" s="6">
        <v>11.36</v>
      </c>
      <c r="J87" s="6">
        <v>2.573</v>
      </c>
      <c r="K87" s="6">
        <v>56.34</v>
      </c>
      <c r="L87" s="6"/>
      <c r="M87" s="6">
        <v>0.80100000000000005</v>
      </c>
      <c r="N87" s="6">
        <v>0.49299999999999999</v>
      </c>
      <c r="O87" s="6">
        <v>10.08</v>
      </c>
      <c r="P87" s="6">
        <v>79</v>
      </c>
      <c r="Q87" s="6"/>
      <c r="R87" s="6">
        <v>10.87</v>
      </c>
      <c r="S87" s="6">
        <v>1.3720000000000001</v>
      </c>
      <c r="T87" s="6">
        <v>-2.5880000000000001</v>
      </c>
      <c r="U87" s="6">
        <v>23.26</v>
      </c>
      <c r="V87" s="6"/>
      <c r="W87" s="6">
        <v>-4.8250000000000002</v>
      </c>
      <c r="X87" s="6">
        <v>8.5000000000000006E-2</v>
      </c>
      <c r="Y87" s="6">
        <v>0.42099999999999999</v>
      </c>
      <c r="Z87" s="6">
        <v>2.1</v>
      </c>
      <c r="AA87" s="6">
        <v>0</v>
      </c>
      <c r="AB87" s="6">
        <v>1.659</v>
      </c>
      <c r="AC87" s="6">
        <v>12.17</v>
      </c>
      <c r="AD87" s="6">
        <v>-4.8239999999999998</v>
      </c>
      <c r="AE87" s="6">
        <v>8.9999999999999993E-3</v>
      </c>
      <c r="AF87" s="6">
        <v>7.0000000000000001E-3</v>
      </c>
      <c r="AG87" s="6">
        <v>1.657</v>
      </c>
      <c r="AH87" s="6"/>
      <c r="AI87" s="6">
        <f t="shared" si="53"/>
        <v>0.39099999999999979</v>
      </c>
      <c r="AJ87">
        <f t="shared" si="32"/>
        <v>0</v>
      </c>
      <c r="AK87" s="21">
        <f t="shared" si="56"/>
        <v>0</v>
      </c>
      <c r="AL87">
        <f t="shared" si="57"/>
        <v>167.20000000000007</v>
      </c>
      <c r="AM87" s="4">
        <v>18.62</v>
      </c>
      <c r="AN87">
        <v>11.36</v>
      </c>
      <c r="AP87" s="7">
        <f t="shared" si="54"/>
        <v>0.28699999999999998</v>
      </c>
      <c r="AQ87" s="7">
        <f t="shared" si="33"/>
        <v>0.94699999999999995</v>
      </c>
      <c r="AS87">
        <f t="shared" si="34"/>
        <v>11.36</v>
      </c>
      <c r="AT87">
        <f t="shared" si="35"/>
        <v>2.6</v>
      </c>
      <c r="AU87">
        <f t="shared" si="36"/>
        <v>56.3</v>
      </c>
      <c r="AV87" t="s">
        <v>104</v>
      </c>
      <c r="AW87">
        <f t="shared" si="37"/>
        <v>0.8</v>
      </c>
      <c r="AX87">
        <f t="shared" si="38"/>
        <v>0.5</v>
      </c>
      <c r="AY87">
        <f t="shared" si="39"/>
        <v>10.1</v>
      </c>
      <c r="AZ87">
        <f t="shared" si="40"/>
        <v>79</v>
      </c>
      <c r="BA87" t="s">
        <v>104</v>
      </c>
      <c r="BB87">
        <f t="shared" si="41"/>
        <v>10.9</v>
      </c>
      <c r="BC87">
        <f t="shared" si="42"/>
        <v>1.4</v>
      </c>
      <c r="BD87">
        <f t="shared" si="43"/>
        <v>-2.6</v>
      </c>
      <c r="BE87">
        <f t="shared" si="44"/>
        <v>23.3</v>
      </c>
      <c r="BF87" t="s">
        <v>104</v>
      </c>
      <c r="BG87">
        <f t="shared" si="45"/>
        <v>-4.8</v>
      </c>
      <c r="BH87">
        <f t="shared" si="46"/>
        <v>0.1</v>
      </c>
      <c r="BI87">
        <f t="shared" si="47"/>
        <v>0.42</v>
      </c>
      <c r="BJ87">
        <f t="shared" si="48"/>
        <v>2.1</v>
      </c>
      <c r="BK87">
        <f t="shared" si="49"/>
        <v>0.39099999999999979</v>
      </c>
      <c r="BL87">
        <f t="shared" si="50"/>
        <v>0</v>
      </c>
      <c r="BM87">
        <f t="shared" si="51"/>
        <v>0.28699999999999998</v>
      </c>
      <c r="BN87">
        <f t="shared" si="52"/>
        <v>0.94699999999999995</v>
      </c>
    </row>
    <row r="88" spans="1:66" x14ac:dyDescent="0.25">
      <c r="A88">
        <v>2024</v>
      </c>
      <c r="B88" s="1">
        <f t="shared" si="55"/>
        <v>45374</v>
      </c>
      <c r="C88">
        <v>83</v>
      </c>
      <c r="D88">
        <v>70</v>
      </c>
      <c r="E88" s="6">
        <v>13.12</v>
      </c>
      <c r="F88" s="6">
        <v>1.153</v>
      </c>
      <c r="G88" s="6">
        <v>10.48</v>
      </c>
      <c r="H88" s="6">
        <v>-5.3540000000000001</v>
      </c>
      <c r="I88" s="6">
        <v>10.77</v>
      </c>
      <c r="J88" s="6">
        <v>2.3559999999999999</v>
      </c>
      <c r="K88" s="6">
        <v>50.8</v>
      </c>
      <c r="L88" s="6"/>
      <c r="M88" s="6">
        <v>1.181</v>
      </c>
      <c r="N88" s="6">
        <v>0.46200000000000002</v>
      </c>
      <c r="O88" s="6">
        <v>9.8800000000000008</v>
      </c>
      <c r="P88" s="6">
        <v>79.3</v>
      </c>
      <c r="Q88" s="6"/>
      <c r="R88" s="6">
        <v>14.19</v>
      </c>
      <c r="S88" s="6">
        <v>1.151</v>
      </c>
      <c r="T88" s="6">
        <v>-2.6539999999999999</v>
      </c>
      <c r="U88" s="6">
        <v>19.23</v>
      </c>
      <c r="V88" s="6"/>
      <c r="W88" s="6">
        <v>-4.5990000000000002</v>
      </c>
      <c r="X88" s="6">
        <v>-7.0000000000000007E-2</v>
      </c>
      <c r="Y88" s="6">
        <v>0.57799999999999996</v>
      </c>
      <c r="Z88" s="6">
        <v>2.2200000000000002</v>
      </c>
      <c r="AA88" s="6">
        <v>0</v>
      </c>
      <c r="AB88" s="6">
        <v>1.663</v>
      </c>
      <c r="AC88" s="6">
        <v>10.48</v>
      </c>
      <c r="AD88" s="6">
        <v>-5.1349999999999998</v>
      </c>
      <c r="AE88" s="6">
        <v>8.9999999999999993E-3</v>
      </c>
      <c r="AF88" s="6">
        <v>6.0000000000000001E-3</v>
      </c>
      <c r="AG88" s="6">
        <v>1.67</v>
      </c>
      <c r="AH88" s="6"/>
      <c r="AI88" s="6">
        <f t="shared" si="53"/>
        <v>0.38699999999999979</v>
      </c>
      <c r="AJ88">
        <f t="shared" si="32"/>
        <v>0</v>
      </c>
      <c r="AK88" s="21">
        <f t="shared" si="56"/>
        <v>0</v>
      </c>
      <c r="AL88">
        <f t="shared" si="57"/>
        <v>167.20000000000007</v>
      </c>
      <c r="AM88" s="4">
        <v>18.89</v>
      </c>
      <c r="AN88">
        <v>10.76</v>
      </c>
      <c r="AP88" s="7">
        <f t="shared" si="54"/>
        <v>0.23400000000000001</v>
      </c>
      <c r="AQ88" s="7">
        <f t="shared" si="33"/>
        <v>0.98299999999999998</v>
      </c>
      <c r="AS88">
        <f t="shared" si="34"/>
        <v>10.76</v>
      </c>
      <c r="AT88">
        <f t="shared" si="35"/>
        <v>2.4</v>
      </c>
      <c r="AU88">
        <f t="shared" si="36"/>
        <v>50.8</v>
      </c>
      <c r="AV88" t="s">
        <v>104</v>
      </c>
      <c r="AW88">
        <f t="shared" si="37"/>
        <v>1.2</v>
      </c>
      <c r="AX88">
        <f t="shared" si="38"/>
        <v>0.5</v>
      </c>
      <c r="AY88">
        <f t="shared" si="39"/>
        <v>9.9</v>
      </c>
      <c r="AZ88">
        <f t="shared" si="40"/>
        <v>79.3</v>
      </c>
      <c r="BA88" t="s">
        <v>104</v>
      </c>
      <c r="BB88">
        <f t="shared" si="41"/>
        <v>14.2</v>
      </c>
      <c r="BC88">
        <f t="shared" si="42"/>
        <v>1.2</v>
      </c>
      <c r="BD88">
        <f t="shared" si="43"/>
        <v>-2.7</v>
      </c>
      <c r="BE88">
        <f t="shared" si="44"/>
        <v>19.2</v>
      </c>
      <c r="BF88" t="s">
        <v>104</v>
      </c>
      <c r="BG88">
        <f t="shared" si="45"/>
        <v>-4.5999999999999996</v>
      </c>
      <c r="BH88">
        <f t="shared" si="46"/>
        <v>-0.1</v>
      </c>
      <c r="BI88">
        <f t="shared" si="47"/>
        <v>0.57999999999999996</v>
      </c>
      <c r="BJ88">
        <f t="shared" si="48"/>
        <v>2.2200000000000002</v>
      </c>
      <c r="BK88">
        <f t="shared" si="49"/>
        <v>0.38699999999999979</v>
      </c>
      <c r="BL88">
        <f t="shared" si="50"/>
        <v>0</v>
      </c>
      <c r="BM88">
        <f t="shared" si="51"/>
        <v>0.23400000000000001</v>
      </c>
      <c r="BN88">
        <f t="shared" si="52"/>
        <v>0.98299999999999998</v>
      </c>
    </row>
    <row r="89" spans="1:66" x14ac:dyDescent="0.25">
      <c r="A89">
        <v>2024</v>
      </c>
      <c r="B89" s="1">
        <f t="shared" si="55"/>
        <v>45375</v>
      </c>
      <c r="C89">
        <v>84</v>
      </c>
      <c r="D89">
        <v>70</v>
      </c>
      <c r="E89" s="6">
        <v>13.12</v>
      </c>
      <c r="F89" s="6">
        <v>-0.115</v>
      </c>
      <c r="G89" s="6">
        <v>13.32</v>
      </c>
      <c r="H89" s="6">
        <v>-8.3699999999999992</v>
      </c>
      <c r="I89" s="6">
        <v>16.850000000000001</v>
      </c>
      <c r="J89" s="6">
        <v>1.544</v>
      </c>
      <c r="K89" s="6">
        <v>34.76</v>
      </c>
      <c r="L89" s="6"/>
      <c r="M89" s="6">
        <v>-0.28000000000000003</v>
      </c>
      <c r="N89" s="6">
        <v>0.438</v>
      </c>
      <c r="O89" s="6">
        <v>11.22</v>
      </c>
      <c r="P89" s="6">
        <v>64.08</v>
      </c>
      <c r="Q89" s="6"/>
      <c r="R89" s="6">
        <v>18.18</v>
      </c>
      <c r="S89" s="6">
        <v>1.627</v>
      </c>
      <c r="T89" s="6">
        <v>-5.8090000000000002</v>
      </c>
      <c r="U89" s="6">
        <v>10.35</v>
      </c>
      <c r="V89" s="6"/>
      <c r="W89" s="6">
        <v>-7.98</v>
      </c>
      <c r="X89" s="6">
        <v>-0.309</v>
      </c>
      <c r="Y89" s="6">
        <v>0.52200000000000002</v>
      </c>
      <c r="Z89" s="6">
        <v>2.234</v>
      </c>
      <c r="AA89" s="6">
        <v>0</v>
      </c>
      <c r="AB89" s="6">
        <v>1.68</v>
      </c>
      <c r="AC89" s="6">
        <v>13.98</v>
      </c>
      <c r="AD89" s="6">
        <v>-8.23</v>
      </c>
      <c r="AE89" s="6">
        <v>8.9999999999999993E-3</v>
      </c>
      <c r="AF89" s="6">
        <v>6.0000000000000001E-3</v>
      </c>
      <c r="AG89" s="6">
        <v>1.6819999999999999</v>
      </c>
      <c r="AH89" s="6"/>
      <c r="AI89" s="6">
        <f t="shared" si="53"/>
        <v>0.36999999999999988</v>
      </c>
      <c r="AJ89">
        <f t="shared" si="32"/>
        <v>0</v>
      </c>
      <c r="AK89" s="21">
        <f t="shared" si="56"/>
        <v>0</v>
      </c>
      <c r="AL89">
        <f t="shared" si="57"/>
        <v>167.20000000000007</v>
      </c>
      <c r="AM89" s="4">
        <v>19.149999999999999</v>
      </c>
      <c r="AN89">
        <v>16.850000000000001</v>
      </c>
      <c r="AP89" s="7">
        <f t="shared" si="54"/>
        <v>0.13800000000000001</v>
      </c>
      <c r="AQ89" s="7">
        <f t="shared" si="33"/>
        <v>1.1950000000000001</v>
      </c>
      <c r="AS89">
        <f t="shared" si="34"/>
        <v>16.850000000000001</v>
      </c>
      <c r="AT89">
        <f t="shared" si="35"/>
        <v>1.5</v>
      </c>
      <c r="AU89">
        <f t="shared" si="36"/>
        <v>34.799999999999997</v>
      </c>
      <c r="AV89" t="s">
        <v>104</v>
      </c>
      <c r="AW89">
        <f t="shared" si="37"/>
        <v>-0.3</v>
      </c>
      <c r="AX89">
        <f t="shared" si="38"/>
        <v>0.4</v>
      </c>
      <c r="AY89">
        <f t="shared" si="39"/>
        <v>11.2</v>
      </c>
      <c r="AZ89">
        <f t="shared" si="40"/>
        <v>64.099999999999994</v>
      </c>
      <c r="BA89" t="s">
        <v>104</v>
      </c>
      <c r="BB89">
        <f t="shared" si="41"/>
        <v>18.2</v>
      </c>
      <c r="BC89">
        <f t="shared" si="42"/>
        <v>1.6</v>
      </c>
      <c r="BD89">
        <f t="shared" si="43"/>
        <v>-5.8</v>
      </c>
      <c r="BE89">
        <f t="shared" si="44"/>
        <v>10.4</v>
      </c>
      <c r="BF89" t="s">
        <v>104</v>
      </c>
      <c r="BG89">
        <f t="shared" si="45"/>
        <v>-8</v>
      </c>
      <c r="BH89">
        <f t="shared" si="46"/>
        <v>-0.3</v>
      </c>
      <c r="BI89">
        <f t="shared" si="47"/>
        <v>0.52</v>
      </c>
      <c r="BJ89">
        <f t="shared" si="48"/>
        <v>2.23</v>
      </c>
      <c r="BK89">
        <f t="shared" si="49"/>
        <v>0.36999999999999988</v>
      </c>
      <c r="BL89">
        <f t="shared" si="50"/>
        <v>0</v>
      </c>
      <c r="BM89">
        <f t="shared" si="51"/>
        <v>0.13800000000000001</v>
      </c>
      <c r="BN89">
        <f t="shared" si="52"/>
        <v>1.1950000000000001</v>
      </c>
    </row>
    <row r="90" spans="1:66" x14ac:dyDescent="0.25">
      <c r="A90">
        <v>2024</v>
      </c>
      <c r="B90" s="1">
        <f t="shared" si="55"/>
        <v>45376</v>
      </c>
      <c r="C90">
        <v>85</v>
      </c>
      <c r="D90">
        <v>70</v>
      </c>
      <c r="E90" s="6">
        <v>13.06</v>
      </c>
      <c r="F90" s="6">
        <v>0.88800000000000001</v>
      </c>
      <c r="G90" s="6">
        <v>12.28</v>
      </c>
      <c r="H90" s="6">
        <v>-5.3739999999999997</v>
      </c>
      <c r="I90" s="6">
        <v>12.09</v>
      </c>
      <c r="J90" s="6">
        <v>2.4039999999999999</v>
      </c>
      <c r="K90" s="6">
        <v>55.54</v>
      </c>
      <c r="L90" s="6"/>
      <c r="M90" s="6">
        <v>0.56399999999999995</v>
      </c>
      <c r="N90" s="6">
        <v>0.47499999999999998</v>
      </c>
      <c r="O90" s="6">
        <v>11.35</v>
      </c>
      <c r="P90" s="6">
        <v>78</v>
      </c>
      <c r="Q90" s="6"/>
      <c r="R90" s="6">
        <v>16.43</v>
      </c>
      <c r="S90" s="6">
        <v>1.919</v>
      </c>
      <c r="T90" s="6">
        <v>-2.7869999999999999</v>
      </c>
      <c r="U90" s="6">
        <v>18.489999999999998</v>
      </c>
      <c r="V90" s="6"/>
      <c r="W90" s="6">
        <v>-5.2130000000000001</v>
      </c>
      <c r="X90" s="6">
        <v>-0.34100000000000003</v>
      </c>
      <c r="Y90" s="6">
        <v>0.63400000000000001</v>
      </c>
      <c r="Z90" s="6">
        <v>2.234</v>
      </c>
      <c r="AA90" s="6">
        <v>0</v>
      </c>
      <c r="AB90" s="6">
        <v>1.6859999999999999</v>
      </c>
      <c r="AC90" s="6">
        <v>12.37</v>
      </c>
      <c r="AD90" s="6">
        <v>-5.2619999999999996</v>
      </c>
      <c r="AE90" s="6">
        <v>8.9999999999999993E-3</v>
      </c>
      <c r="AF90" s="6">
        <v>7.0000000000000001E-3</v>
      </c>
      <c r="AG90" s="6">
        <v>1.6879999999999999</v>
      </c>
      <c r="AH90" s="6"/>
      <c r="AI90" s="6">
        <f t="shared" si="53"/>
        <v>0.36399999999999988</v>
      </c>
      <c r="AJ90">
        <f t="shared" si="32"/>
        <v>0</v>
      </c>
      <c r="AK90" s="21">
        <f t="shared" si="56"/>
        <v>0</v>
      </c>
      <c r="AL90">
        <f t="shared" si="57"/>
        <v>167.20000000000007</v>
      </c>
      <c r="AM90" s="4">
        <v>19.420000000000002</v>
      </c>
      <c r="AN90">
        <v>12.09</v>
      </c>
      <c r="AP90" s="7">
        <f t="shared" si="54"/>
        <v>0.248</v>
      </c>
      <c r="AQ90" s="7">
        <f t="shared" si="33"/>
        <v>1.093</v>
      </c>
      <c r="AS90">
        <f t="shared" si="34"/>
        <v>12.09</v>
      </c>
      <c r="AT90">
        <f t="shared" si="35"/>
        <v>2.4</v>
      </c>
      <c r="AU90">
        <f t="shared" si="36"/>
        <v>55.5</v>
      </c>
      <c r="AV90" t="s">
        <v>104</v>
      </c>
      <c r="AW90">
        <f t="shared" si="37"/>
        <v>0.6</v>
      </c>
      <c r="AX90">
        <f t="shared" si="38"/>
        <v>0.5</v>
      </c>
      <c r="AY90">
        <f t="shared" si="39"/>
        <v>11.4</v>
      </c>
      <c r="AZ90">
        <f t="shared" si="40"/>
        <v>78</v>
      </c>
      <c r="BA90" t="s">
        <v>104</v>
      </c>
      <c r="BB90">
        <f t="shared" si="41"/>
        <v>16.399999999999999</v>
      </c>
      <c r="BC90">
        <f t="shared" si="42"/>
        <v>1.9</v>
      </c>
      <c r="BD90">
        <f t="shared" si="43"/>
        <v>-2.8</v>
      </c>
      <c r="BE90">
        <f t="shared" si="44"/>
        <v>18.5</v>
      </c>
      <c r="BF90" t="s">
        <v>104</v>
      </c>
      <c r="BG90">
        <f t="shared" si="45"/>
        <v>-5.2</v>
      </c>
      <c r="BH90">
        <f t="shared" si="46"/>
        <v>-0.3</v>
      </c>
      <c r="BI90">
        <f t="shared" si="47"/>
        <v>0.63</v>
      </c>
      <c r="BJ90">
        <f t="shared" si="48"/>
        <v>2.23</v>
      </c>
      <c r="BK90">
        <f t="shared" si="49"/>
        <v>0.36399999999999988</v>
      </c>
      <c r="BL90">
        <f t="shared" si="50"/>
        <v>0</v>
      </c>
      <c r="BM90">
        <f t="shared" si="51"/>
        <v>0.248</v>
      </c>
      <c r="BN90">
        <f t="shared" si="52"/>
        <v>1.093</v>
      </c>
    </row>
    <row r="91" spans="1:66" x14ac:dyDescent="0.25">
      <c r="A91">
        <v>2024</v>
      </c>
      <c r="B91" s="1">
        <f t="shared" si="55"/>
        <v>45377</v>
      </c>
      <c r="C91">
        <v>86</v>
      </c>
      <c r="D91">
        <v>70</v>
      </c>
      <c r="E91" s="6">
        <v>13.12</v>
      </c>
      <c r="F91" s="6">
        <v>0.311</v>
      </c>
      <c r="G91" s="6">
        <v>5.9119999999999999</v>
      </c>
      <c r="H91" s="6">
        <v>-3.8490000000000002</v>
      </c>
      <c r="I91" s="6">
        <v>7.27</v>
      </c>
      <c r="J91" s="6">
        <v>1.403</v>
      </c>
      <c r="K91" s="6">
        <v>72.8</v>
      </c>
      <c r="L91" s="6"/>
      <c r="M91" s="6">
        <v>0.40100000000000002</v>
      </c>
      <c r="N91" s="6">
        <v>0.503</v>
      </c>
      <c r="O91" s="6">
        <v>7.62</v>
      </c>
      <c r="P91" s="6">
        <v>91.1</v>
      </c>
      <c r="Q91" s="6"/>
      <c r="R91" s="6">
        <v>11.34</v>
      </c>
      <c r="S91" s="6">
        <v>1.5629999999999999</v>
      </c>
      <c r="T91" s="6">
        <v>-2.254</v>
      </c>
      <c r="U91" s="6">
        <v>51.65</v>
      </c>
      <c r="V91" s="6"/>
      <c r="W91" s="6">
        <v>-3.117</v>
      </c>
      <c r="X91" s="6">
        <v>0.12</v>
      </c>
      <c r="Y91" s="6">
        <v>0.49099999999999999</v>
      </c>
      <c r="Z91" s="6">
        <v>1.9</v>
      </c>
      <c r="AA91" s="6">
        <v>1.1000000000000001</v>
      </c>
      <c r="AB91" s="6">
        <v>1.6930000000000001</v>
      </c>
      <c r="AC91" s="6">
        <v>5.8390000000000004</v>
      </c>
      <c r="AD91" s="6">
        <v>-3.694</v>
      </c>
      <c r="AE91" s="6">
        <v>8.9999999999999993E-3</v>
      </c>
      <c r="AF91" s="6">
        <v>6.0000000000000001E-3</v>
      </c>
      <c r="AG91" s="6">
        <v>1.6950000000000001</v>
      </c>
      <c r="AH91" s="6"/>
      <c r="AI91" s="6">
        <f t="shared" si="53"/>
        <v>0.35699999999999976</v>
      </c>
      <c r="AJ91">
        <f t="shared" si="32"/>
        <v>0</v>
      </c>
      <c r="AK91" s="21">
        <f t="shared" si="56"/>
        <v>0</v>
      </c>
      <c r="AL91">
        <f t="shared" si="57"/>
        <v>167.20000000000007</v>
      </c>
      <c r="AM91" s="4">
        <v>19.690000000000001</v>
      </c>
      <c r="AN91">
        <v>7.27</v>
      </c>
      <c r="AP91" s="7">
        <f t="shared" si="54"/>
        <v>0.54</v>
      </c>
      <c r="AQ91" s="7">
        <f t="shared" si="33"/>
        <v>0.505</v>
      </c>
      <c r="AS91">
        <f t="shared" si="34"/>
        <v>7.27</v>
      </c>
      <c r="AT91">
        <f t="shared" si="35"/>
        <v>1.4</v>
      </c>
      <c r="AU91">
        <f t="shared" si="36"/>
        <v>72.8</v>
      </c>
      <c r="AV91" t="s">
        <v>104</v>
      </c>
      <c r="AW91">
        <f t="shared" si="37"/>
        <v>0.4</v>
      </c>
      <c r="AX91">
        <f t="shared" si="38"/>
        <v>0.5</v>
      </c>
      <c r="AY91">
        <f t="shared" si="39"/>
        <v>7.6</v>
      </c>
      <c r="AZ91">
        <f t="shared" si="40"/>
        <v>91.1</v>
      </c>
      <c r="BA91" t="s">
        <v>104</v>
      </c>
      <c r="BB91">
        <f t="shared" si="41"/>
        <v>11.3</v>
      </c>
      <c r="BC91">
        <f t="shared" si="42"/>
        <v>1.6</v>
      </c>
      <c r="BD91">
        <f t="shared" si="43"/>
        <v>-2.2999999999999998</v>
      </c>
      <c r="BE91">
        <f t="shared" si="44"/>
        <v>51.7</v>
      </c>
      <c r="BF91" t="s">
        <v>104</v>
      </c>
      <c r="BG91">
        <f t="shared" si="45"/>
        <v>-3.1</v>
      </c>
      <c r="BH91">
        <f t="shared" si="46"/>
        <v>0.1</v>
      </c>
      <c r="BI91">
        <f t="shared" si="47"/>
        <v>0.49</v>
      </c>
      <c r="BJ91">
        <f t="shared" si="48"/>
        <v>1.9</v>
      </c>
      <c r="BK91">
        <f t="shared" si="49"/>
        <v>0.35699999999999976</v>
      </c>
      <c r="BL91">
        <f t="shared" si="50"/>
        <v>0</v>
      </c>
      <c r="BM91">
        <f t="shared" si="51"/>
        <v>0.54</v>
      </c>
      <c r="BN91">
        <f t="shared" si="52"/>
        <v>0.505</v>
      </c>
    </row>
    <row r="92" spans="1:66" x14ac:dyDescent="0.25">
      <c r="A92">
        <v>2024</v>
      </c>
      <c r="B92" s="1">
        <f t="shared" si="55"/>
        <v>45378</v>
      </c>
      <c r="C92">
        <v>87</v>
      </c>
      <c r="D92">
        <v>70</v>
      </c>
      <c r="E92" s="6">
        <v>12.92</v>
      </c>
      <c r="F92" s="6">
        <v>-1.1080000000000001</v>
      </c>
      <c r="G92" s="6">
        <v>2.7250000000000001</v>
      </c>
      <c r="H92" s="6">
        <v>-5.7869999999999999</v>
      </c>
      <c r="I92" s="6">
        <v>4.8929999999999998</v>
      </c>
      <c r="J92" s="6">
        <v>-8.5999999999999993E-2</v>
      </c>
      <c r="K92" s="6">
        <v>78.900000000000006</v>
      </c>
      <c r="L92" s="6"/>
      <c r="M92" s="6">
        <v>-0.78700000000000003</v>
      </c>
      <c r="N92" s="6">
        <v>0.48799999999999999</v>
      </c>
      <c r="O92" s="6">
        <v>3.0470000000000002</v>
      </c>
      <c r="P92" s="6">
        <v>93.2</v>
      </c>
      <c r="Q92" s="6"/>
      <c r="R92" s="6">
        <v>3.0169999999999999</v>
      </c>
      <c r="S92" s="6">
        <v>0.96</v>
      </c>
      <c r="T92" s="6">
        <v>-3.726</v>
      </c>
      <c r="U92" s="6">
        <v>54.88</v>
      </c>
      <c r="V92" s="6"/>
      <c r="W92" s="6">
        <v>-5.306</v>
      </c>
      <c r="X92" s="6">
        <v>0.22900000000000001</v>
      </c>
      <c r="Y92" s="6">
        <v>0.67700000000000005</v>
      </c>
      <c r="Z92" s="6">
        <v>2.6869999999999998</v>
      </c>
      <c r="AA92" s="6">
        <v>0.8</v>
      </c>
      <c r="AB92" s="6">
        <v>1.619</v>
      </c>
      <c r="AC92" s="6">
        <v>2.7570000000000001</v>
      </c>
      <c r="AD92" s="6">
        <v>-5.6589999999999998</v>
      </c>
      <c r="AE92" s="6">
        <v>8.9999999999999993E-3</v>
      </c>
      <c r="AF92" s="6">
        <v>7.0000000000000001E-3</v>
      </c>
      <c r="AG92" s="6">
        <v>1.619</v>
      </c>
      <c r="AH92" s="6"/>
      <c r="AI92" s="6">
        <f t="shared" si="53"/>
        <v>0.43099999999999983</v>
      </c>
      <c r="AJ92">
        <f t="shared" si="32"/>
        <v>9.6</v>
      </c>
      <c r="AK92" s="21">
        <f t="shared" si="56"/>
        <v>9.6</v>
      </c>
      <c r="AL92">
        <f t="shared" si="57"/>
        <v>176.80000000000007</v>
      </c>
      <c r="AM92" s="4">
        <v>19.95</v>
      </c>
      <c r="AN92">
        <v>4.8899999999999997</v>
      </c>
      <c r="AP92" s="7">
        <f t="shared" si="54"/>
        <v>0.41699999999999998</v>
      </c>
      <c r="AQ92" s="7">
        <f t="shared" si="33"/>
        <v>0.34300000000000003</v>
      </c>
      <c r="AS92">
        <f t="shared" si="34"/>
        <v>4.8899999999999997</v>
      </c>
      <c r="AT92">
        <f t="shared" si="35"/>
        <v>-0.1</v>
      </c>
      <c r="AU92">
        <f t="shared" si="36"/>
        <v>78.900000000000006</v>
      </c>
      <c r="AV92" t="s">
        <v>104</v>
      </c>
      <c r="AW92">
        <f t="shared" si="37"/>
        <v>-0.8</v>
      </c>
      <c r="AX92">
        <f t="shared" si="38"/>
        <v>0.5</v>
      </c>
      <c r="AY92">
        <f t="shared" si="39"/>
        <v>3</v>
      </c>
      <c r="AZ92">
        <f t="shared" si="40"/>
        <v>93.2</v>
      </c>
      <c r="BA92" t="s">
        <v>104</v>
      </c>
      <c r="BB92">
        <f t="shared" si="41"/>
        <v>3</v>
      </c>
      <c r="BC92">
        <f t="shared" si="42"/>
        <v>1</v>
      </c>
      <c r="BD92">
        <f t="shared" si="43"/>
        <v>-3.7</v>
      </c>
      <c r="BE92">
        <f t="shared" si="44"/>
        <v>54.9</v>
      </c>
      <c r="BF92" t="s">
        <v>104</v>
      </c>
      <c r="BG92">
        <f t="shared" si="45"/>
        <v>-5.3</v>
      </c>
      <c r="BH92">
        <f t="shared" si="46"/>
        <v>0.2</v>
      </c>
      <c r="BI92">
        <f t="shared" si="47"/>
        <v>0.68</v>
      </c>
      <c r="BJ92">
        <f t="shared" si="48"/>
        <v>2.69</v>
      </c>
      <c r="BK92">
        <f t="shared" si="49"/>
        <v>0.43099999999999983</v>
      </c>
      <c r="BL92">
        <f t="shared" si="50"/>
        <v>9.6</v>
      </c>
      <c r="BM92">
        <f t="shared" si="51"/>
        <v>0.41699999999999998</v>
      </c>
      <c r="BN92">
        <f t="shared" si="52"/>
        <v>0.34300000000000003</v>
      </c>
    </row>
    <row r="93" spans="1:66" x14ac:dyDescent="0.25">
      <c r="A93">
        <v>2024</v>
      </c>
      <c r="B93" s="1">
        <f t="shared" si="55"/>
        <v>45379</v>
      </c>
      <c r="C93">
        <v>88</v>
      </c>
      <c r="D93">
        <v>70</v>
      </c>
      <c r="E93" s="6">
        <v>13.08</v>
      </c>
      <c r="F93" s="6">
        <v>-0.61899999999999999</v>
      </c>
      <c r="G93" s="6">
        <v>10.09</v>
      </c>
      <c r="H93" s="6">
        <v>-5.2649999999999997</v>
      </c>
      <c r="I93" s="6">
        <v>9.08</v>
      </c>
      <c r="J93" s="6">
        <v>0.59799999999999998</v>
      </c>
      <c r="K93" s="6">
        <v>83.5</v>
      </c>
      <c r="L93" s="6"/>
      <c r="M93" s="6">
        <v>-0.54900000000000004</v>
      </c>
      <c r="N93" s="6">
        <v>0.434</v>
      </c>
      <c r="O93" s="6">
        <v>9.76</v>
      </c>
      <c r="P93" s="6">
        <v>93.2</v>
      </c>
      <c r="Q93" s="6"/>
      <c r="R93" s="6">
        <v>12.19</v>
      </c>
      <c r="S93" s="6">
        <v>1.4370000000000001</v>
      </c>
      <c r="T93" s="6">
        <v>-3.53</v>
      </c>
      <c r="U93" s="6">
        <v>53.45</v>
      </c>
      <c r="V93" s="6"/>
      <c r="W93" s="6">
        <v>-3.625</v>
      </c>
      <c r="X93" s="6">
        <v>-0.127</v>
      </c>
      <c r="Y93" s="6">
        <v>0.47399999999999998</v>
      </c>
      <c r="Z93" s="6">
        <v>1.6739999999999999</v>
      </c>
      <c r="AA93" s="6">
        <v>4.2</v>
      </c>
      <c r="AB93" s="6">
        <v>1.675</v>
      </c>
      <c r="AC93" s="6">
        <v>9.9700000000000006</v>
      </c>
      <c r="AD93" s="6">
        <v>-5.117</v>
      </c>
      <c r="AE93" s="6">
        <v>8.9999999999999993E-3</v>
      </c>
      <c r="AF93" s="6">
        <v>6.0000000000000001E-3</v>
      </c>
      <c r="AG93" s="6">
        <v>1.6779999999999999</v>
      </c>
      <c r="AH93" s="6"/>
      <c r="AI93" s="6">
        <f t="shared" si="53"/>
        <v>0.37499999999999978</v>
      </c>
      <c r="AJ93">
        <f t="shared" si="32"/>
        <v>0</v>
      </c>
      <c r="AK93" s="21">
        <f t="shared" si="56"/>
        <v>0</v>
      </c>
      <c r="AL93">
        <f t="shared" si="57"/>
        <v>176.80000000000007</v>
      </c>
      <c r="AM93" s="4">
        <v>20.21</v>
      </c>
      <c r="AN93">
        <v>9.08</v>
      </c>
      <c r="AP93" s="7">
        <f t="shared" si="54"/>
        <v>0.64600000000000002</v>
      </c>
      <c r="AQ93" s="7">
        <f t="shared" si="33"/>
        <v>0.56299999999999994</v>
      </c>
      <c r="AS93">
        <f t="shared" si="34"/>
        <v>9.08</v>
      </c>
      <c r="AT93">
        <f t="shared" si="35"/>
        <v>0.6</v>
      </c>
      <c r="AU93">
        <f t="shared" si="36"/>
        <v>83.5</v>
      </c>
      <c r="AV93" t="s">
        <v>104</v>
      </c>
      <c r="AW93">
        <f t="shared" si="37"/>
        <v>-0.5</v>
      </c>
      <c r="AX93">
        <f t="shared" si="38"/>
        <v>0.4</v>
      </c>
      <c r="AY93">
        <f t="shared" si="39"/>
        <v>9.8000000000000007</v>
      </c>
      <c r="AZ93">
        <f t="shared" si="40"/>
        <v>93.2</v>
      </c>
      <c r="BA93" t="s">
        <v>104</v>
      </c>
      <c r="BB93">
        <f t="shared" si="41"/>
        <v>12.2</v>
      </c>
      <c r="BC93">
        <f t="shared" si="42"/>
        <v>1.4</v>
      </c>
      <c r="BD93">
        <f t="shared" si="43"/>
        <v>-3.5</v>
      </c>
      <c r="BE93">
        <f t="shared" si="44"/>
        <v>53.5</v>
      </c>
      <c r="BF93" t="s">
        <v>104</v>
      </c>
      <c r="BG93">
        <f t="shared" si="45"/>
        <v>-3.6</v>
      </c>
      <c r="BH93">
        <f t="shared" si="46"/>
        <v>-0.1</v>
      </c>
      <c r="BI93">
        <f t="shared" si="47"/>
        <v>0.47</v>
      </c>
      <c r="BJ93">
        <f t="shared" si="48"/>
        <v>1.67</v>
      </c>
      <c r="BK93">
        <f t="shared" si="49"/>
        <v>0.37499999999999978</v>
      </c>
      <c r="BL93">
        <f t="shared" si="50"/>
        <v>0</v>
      </c>
      <c r="BM93">
        <f t="shared" si="51"/>
        <v>0.64600000000000002</v>
      </c>
      <c r="BN93">
        <f t="shared" si="52"/>
        <v>0.56299999999999994</v>
      </c>
    </row>
    <row r="94" spans="1:66" x14ac:dyDescent="0.25">
      <c r="A94">
        <v>2024</v>
      </c>
      <c r="B94" s="1">
        <f t="shared" si="55"/>
        <v>45380</v>
      </c>
      <c r="C94">
        <v>89</v>
      </c>
      <c r="D94">
        <v>70</v>
      </c>
      <c r="E94" s="6">
        <v>13.12</v>
      </c>
      <c r="F94" s="6">
        <v>-0.58899999999999997</v>
      </c>
      <c r="G94" s="6">
        <v>8.08</v>
      </c>
      <c r="H94" s="6">
        <v>-6.3410000000000002</v>
      </c>
      <c r="I94" s="6">
        <v>7.66</v>
      </c>
      <c r="J94" s="6">
        <v>0.28499999999999998</v>
      </c>
      <c r="K94" s="6">
        <v>82.5</v>
      </c>
      <c r="L94" s="6"/>
      <c r="M94" s="6">
        <v>-0.40799999999999997</v>
      </c>
      <c r="N94" s="6">
        <v>0.46500000000000002</v>
      </c>
      <c r="O94" s="6">
        <v>8.6199999999999992</v>
      </c>
      <c r="P94" s="6">
        <v>92.6</v>
      </c>
      <c r="Q94" s="6"/>
      <c r="R94" s="6">
        <v>12.63</v>
      </c>
      <c r="S94" s="6">
        <v>1.57</v>
      </c>
      <c r="T94" s="6">
        <v>-4.3949999999999996</v>
      </c>
      <c r="U94" s="6">
        <v>50.16</v>
      </c>
      <c r="V94" s="6"/>
      <c r="W94" s="6">
        <v>-4.9710000000000001</v>
      </c>
      <c r="X94" s="6">
        <v>-0.29799999999999999</v>
      </c>
      <c r="Y94" s="6">
        <v>0.51900000000000002</v>
      </c>
      <c r="Z94" s="6">
        <v>2.1269999999999998</v>
      </c>
      <c r="AA94" s="6">
        <v>5.8</v>
      </c>
      <c r="AB94" s="6">
        <v>1.6559999999999999</v>
      </c>
      <c r="AC94" s="6">
        <v>7.74</v>
      </c>
      <c r="AD94" s="6">
        <v>-6.0190000000000001</v>
      </c>
      <c r="AE94" s="6">
        <v>8.9999999999999993E-3</v>
      </c>
      <c r="AF94" s="6">
        <v>6.0000000000000001E-3</v>
      </c>
      <c r="AG94" s="6">
        <v>1.6679999999999999</v>
      </c>
      <c r="AH94" s="6"/>
      <c r="AI94" s="6">
        <f t="shared" si="53"/>
        <v>0.39399999999999991</v>
      </c>
      <c r="AJ94">
        <f t="shared" si="32"/>
        <v>2.5</v>
      </c>
      <c r="AK94" s="21">
        <f t="shared" si="56"/>
        <v>2.5</v>
      </c>
      <c r="AL94">
        <f t="shared" si="57"/>
        <v>179.30000000000007</v>
      </c>
      <c r="AM94" s="4">
        <v>20.49</v>
      </c>
      <c r="AN94">
        <v>7.66</v>
      </c>
      <c r="AP94" s="7">
        <f t="shared" si="54"/>
        <v>0.56100000000000005</v>
      </c>
      <c r="AQ94" s="7">
        <f t="shared" si="33"/>
        <v>0.55700000000000005</v>
      </c>
      <c r="AS94">
        <f t="shared" si="34"/>
        <v>7.66</v>
      </c>
      <c r="AT94">
        <f t="shared" si="35"/>
        <v>0.3</v>
      </c>
      <c r="AU94">
        <f t="shared" si="36"/>
        <v>82.5</v>
      </c>
      <c r="AV94" t="s">
        <v>104</v>
      </c>
      <c r="AW94">
        <f t="shared" si="37"/>
        <v>-0.4</v>
      </c>
      <c r="AX94">
        <f t="shared" si="38"/>
        <v>0.5</v>
      </c>
      <c r="AY94">
        <f t="shared" si="39"/>
        <v>8.6</v>
      </c>
      <c r="AZ94">
        <f t="shared" si="40"/>
        <v>92.6</v>
      </c>
      <c r="BA94" t="s">
        <v>104</v>
      </c>
      <c r="BB94">
        <f t="shared" si="41"/>
        <v>12.6</v>
      </c>
      <c r="BC94">
        <f t="shared" si="42"/>
        <v>1.6</v>
      </c>
      <c r="BD94">
        <f t="shared" si="43"/>
        <v>-4.4000000000000004</v>
      </c>
      <c r="BE94">
        <f t="shared" si="44"/>
        <v>50.2</v>
      </c>
      <c r="BF94" t="s">
        <v>104</v>
      </c>
      <c r="BG94">
        <f t="shared" si="45"/>
        <v>-5</v>
      </c>
      <c r="BH94">
        <f t="shared" si="46"/>
        <v>-0.3</v>
      </c>
      <c r="BI94">
        <f t="shared" si="47"/>
        <v>0.52</v>
      </c>
      <c r="BJ94">
        <f t="shared" si="48"/>
        <v>2.13</v>
      </c>
      <c r="BK94">
        <f t="shared" si="49"/>
        <v>0.39399999999999991</v>
      </c>
      <c r="BL94">
        <f t="shared" si="50"/>
        <v>2.5</v>
      </c>
      <c r="BM94">
        <f t="shared" si="51"/>
        <v>0.56100000000000005</v>
      </c>
      <c r="BN94">
        <f t="shared" si="52"/>
        <v>0.55700000000000005</v>
      </c>
    </row>
    <row r="95" spans="1:66" x14ac:dyDescent="0.25">
      <c r="A95">
        <v>2024</v>
      </c>
      <c r="B95" s="1">
        <f t="shared" si="55"/>
        <v>45381</v>
      </c>
      <c r="C95">
        <v>90</v>
      </c>
      <c r="D95">
        <v>70</v>
      </c>
      <c r="E95" s="6">
        <v>13.12</v>
      </c>
      <c r="F95" s="6">
        <v>-1.3919999999999999</v>
      </c>
      <c r="G95" s="6">
        <v>7.55</v>
      </c>
      <c r="H95" s="6">
        <v>-8.32</v>
      </c>
      <c r="I95" s="6">
        <v>11.87</v>
      </c>
      <c r="J95" s="6">
        <v>-0.13600000000000001</v>
      </c>
      <c r="K95" s="6">
        <v>63.14</v>
      </c>
      <c r="L95" s="6"/>
      <c r="M95" s="6">
        <v>-1.177</v>
      </c>
      <c r="N95" s="6">
        <v>0.48</v>
      </c>
      <c r="O95" s="6">
        <v>7.27</v>
      </c>
      <c r="P95" s="6">
        <v>88.6</v>
      </c>
      <c r="Q95" s="6"/>
      <c r="R95" s="6">
        <v>9.61</v>
      </c>
      <c r="S95" s="6">
        <v>1.335</v>
      </c>
      <c r="T95" s="6">
        <v>-6.28</v>
      </c>
      <c r="U95" s="6">
        <v>27.03</v>
      </c>
      <c r="V95" s="6"/>
      <c r="W95" s="6">
        <v>-7.53</v>
      </c>
      <c r="X95" s="6">
        <v>0.151</v>
      </c>
      <c r="Y95" s="6">
        <v>0.65600000000000003</v>
      </c>
      <c r="Z95" s="6">
        <v>2.0070000000000001</v>
      </c>
      <c r="AA95" s="6">
        <v>0</v>
      </c>
      <c r="AB95" s="6">
        <v>1.6579999999999999</v>
      </c>
      <c r="AC95" s="6">
        <v>7.89</v>
      </c>
      <c r="AD95" s="6">
        <v>-8.2100000000000009</v>
      </c>
      <c r="AE95" s="6">
        <v>8.9999999999999993E-3</v>
      </c>
      <c r="AF95" s="6">
        <v>6.0000000000000001E-3</v>
      </c>
      <c r="AG95" s="6">
        <v>1.665</v>
      </c>
      <c r="AH95" s="6"/>
      <c r="AI95" s="6">
        <f t="shared" si="53"/>
        <v>0.3919999999999999</v>
      </c>
      <c r="AJ95">
        <f t="shared" si="32"/>
        <v>0</v>
      </c>
      <c r="AK95" s="21">
        <f t="shared" si="56"/>
        <v>0</v>
      </c>
      <c r="AL95">
        <f t="shared" si="57"/>
        <v>179.30000000000007</v>
      </c>
      <c r="AM95" s="4">
        <v>20.75</v>
      </c>
      <c r="AN95">
        <v>11.87</v>
      </c>
      <c r="AP95" s="7">
        <f t="shared" si="54"/>
        <v>0.27600000000000002</v>
      </c>
      <c r="AQ95" s="7">
        <f t="shared" si="33"/>
        <v>0.745</v>
      </c>
      <c r="AS95">
        <f t="shared" si="34"/>
        <v>11.87</v>
      </c>
      <c r="AT95">
        <f t="shared" si="35"/>
        <v>-0.1</v>
      </c>
      <c r="AU95">
        <f t="shared" si="36"/>
        <v>63.1</v>
      </c>
      <c r="AV95" t="s">
        <v>104</v>
      </c>
      <c r="AW95">
        <f t="shared" si="37"/>
        <v>-1.2</v>
      </c>
      <c r="AX95">
        <f t="shared" si="38"/>
        <v>0.5</v>
      </c>
      <c r="AY95">
        <f t="shared" si="39"/>
        <v>7.3</v>
      </c>
      <c r="AZ95">
        <f t="shared" si="40"/>
        <v>88.6</v>
      </c>
      <c r="BA95" t="s">
        <v>104</v>
      </c>
      <c r="BB95">
        <f t="shared" si="41"/>
        <v>9.6</v>
      </c>
      <c r="BC95">
        <f t="shared" si="42"/>
        <v>1.3</v>
      </c>
      <c r="BD95">
        <f t="shared" si="43"/>
        <v>-6.3</v>
      </c>
      <c r="BE95">
        <f t="shared" si="44"/>
        <v>27</v>
      </c>
      <c r="BF95" t="s">
        <v>104</v>
      </c>
      <c r="BG95">
        <f t="shared" si="45"/>
        <v>-7.5</v>
      </c>
      <c r="BH95">
        <f t="shared" si="46"/>
        <v>0.2</v>
      </c>
      <c r="BI95">
        <f t="shared" si="47"/>
        <v>0.66</v>
      </c>
      <c r="BJ95">
        <f t="shared" si="48"/>
        <v>2.0099999999999998</v>
      </c>
      <c r="BK95">
        <f t="shared" si="49"/>
        <v>0.3919999999999999</v>
      </c>
      <c r="BL95">
        <f t="shared" si="50"/>
        <v>0</v>
      </c>
      <c r="BM95">
        <f t="shared" si="51"/>
        <v>0.27600000000000002</v>
      </c>
      <c r="BN95">
        <f t="shared" si="52"/>
        <v>0.745</v>
      </c>
    </row>
    <row r="96" spans="1:66" x14ac:dyDescent="0.25">
      <c r="A96">
        <v>2024</v>
      </c>
      <c r="B96" s="1">
        <f t="shared" si="55"/>
        <v>45382</v>
      </c>
      <c r="C96">
        <v>91</v>
      </c>
      <c r="D96">
        <v>70</v>
      </c>
      <c r="E96" s="6">
        <v>13.07</v>
      </c>
      <c r="F96" s="6">
        <v>0.57599999999999996</v>
      </c>
      <c r="G96" s="6">
        <v>9.6999999999999993</v>
      </c>
      <c r="H96" s="6">
        <v>-7.25</v>
      </c>
      <c r="I96" s="6">
        <v>11.98</v>
      </c>
      <c r="J96" s="6">
        <v>1.8080000000000001</v>
      </c>
      <c r="K96" s="6">
        <v>57.92</v>
      </c>
      <c r="L96" s="6"/>
      <c r="M96" s="6">
        <v>0.42899999999999999</v>
      </c>
      <c r="N96" s="6">
        <v>0.53900000000000003</v>
      </c>
      <c r="O96" s="6">
        <v>9.6199999999999992</v>
      </c>
      <c r="P96" s="6">
        <v>87.8</v>
      </c>
      <c r="Q96" s="6"/>
      <c r="R96" s="6">
        <v>14.06</v>
      </c>
      <c r="S96" s="6">
        <v>1.577</v>
      </c>
      <c r="T96" s="6">
        <v>-5.1349999999999998</v>
      </c>
      <c r="U96" s="6">
        <v>28.31</v>
      </c>
      <c r="V96" s="6"/>
      <c r="W96" s="6">
        <v>-6.3120000000000003</v>
      </c>
      <c r="X96" s="6">
        <v>0.26900000000000002</v>
      </c>
      <c r="Y96" s="6">
        <v>0.54200000000000004</v>
      </c>
      <c r="Z96" s="6">
        <v>2.6739999999999999</v>
      </c>
      <c r="AA96" s="6">
        <v>0</v>
      </c>
      <c r="AB96" s="6">
        <v>1.669</v>
      </c>
      <c r="AC96" s="6">
        <v>9.76</v>
      </c>
      <c r="AD96" s="6">
        <v>-7.17</v>
      </c>
      <c r="AE96" s="6">
        <v>8.9999999999999993E-3</v>
      </c>
      <c r="AF96" s="6">
        <v>6.0000000000000001E-3</v>
      </c>
      <c r="AG96" s="6">
        <v>1.659</v>
      </c>
      <c r="AH96" s="6"/>
      <c r="AI96" s="6">
        <f t="shared" si="53"/>
        <v>0.38099999999999978</v>
      </c>
      <c r="AJ96">
        <f t="shared" si="32"/>
        <v>0</v>
      </c>
      <c r="AK96" s="21">
        <f t="shared" si="56"/>
        <v>0</v>
      </c>
      <c r="AL96">
        <f t="shared" si="57"/>
        <v>179.30000000000007</v>
      </c>
      <c r="AM96" s="4">
        <v>21.01</v>
      </c>
      <c r="AN96">
        <v>11.98</v>
      </c>
      <c r="AP96" s="7">
        <f t="shared" si="54"/>
        <v>0.33900000000000002</v>
      </c>
      <c r="AQ96" s="7">
        <f t="shared" si="33"/>
        <v>0.85799999999999998</v>
      </c>
      <c r="AS96">
        <f t="shared" si="34"/>
        <v>11.98</v>
      </c>
      <c r="AT96">
        <f t="shared" si="35"/>
        <v>1.8</v>
      </c>
      <c r="AU96">
        <f t="shared" si="36"/>
        <v>57.9</v>
      </c>
      <c r="AV96" t="s">
        <v>104</v>
      </c>
      <c r="AW96">
        <f t="shared" si="37"/>
        <v>0.4</v>
      </c>
      <c r="AX96">
        <f t="shared" si="38"/>
        <v>0.5</v>
      </c>
      <c r="AY96">
        <f t="shared" si="39"/>
        <v>9.6</v>
      </c>
      <c r="AZ96">
        <f t="shared" si="40"/>
        <v>87.8</v>
      </c>
      <c r="BA96" t="s">
        <v>104</v>
      </c>
      <c r="BB96">
        <f t="shared" si="41"/>
        <v>14.1</v>
      </c>
      <c r="BC96">
        <f t="shared" si="42"/>
        <v>1.6</v>
      </c>
      <c r="BD96">
        <f t="shared" si="43"/>
        <v>-5.0999999999999996</v>
      </c>
      <c r="BE96">
        <f t="shared" si="44"/>
        <v>28.3</v>
      </c>
      <c r="BF96" t="s">
        <v>104</v>
      </c>
      <c r="BG96">
        <f t="shared" si="45"/>
        <v>-6.3</v>
      </c>
      <c r="BH96">
        <f t="shared" si="46"/>
        <v>0.3</v>
      </c>
      <c r="BI96">
        <f t="shared" si="47"/>
        <v>0.54</v>
      </c>
      <c r="BJ96">
        <f t="shared" si="48"/>
        <v>2.67</v>
      </c>
      <c r="BK96">
        <f t="shared" si="49"/>
        <v>0.38099999999999978</v>
      </c>
      <c r="BL96">
        <f t="shared" si="50"/>
        <v>0</v>
      </c>
      <c r="BM96">
        <f t="shared" si="51"/>
        <v>0.33900000000000002</v>
      </c>
      <c r="BN96">
        <f t="shared" si="52"/>
        <v>0.85799999999999998</v>
      </c>
    </row>
    <row r="97" spans="1:66" x14ac:dyDescent="0.25">
      <c r="A97">
        <v>2024</v>
      </c>
      <c r="B97" s="1">
        <f t="shared" si="55"/>
        <v>45383</v>
      </c>
      <c r="C97">
        <v>92</v>
      </c>
      <c r="D97">
        <v>70</v>
      </c>
      <c r="E97" s="6">
        <v>13.08</v>
      </c>
      <c r="F97" s="6">
        <v>6.3040000000000003</v>
      </c>
      <c r="G97" s="6">
        <v>17.84</v>
      </c>
      <c r="H97" s="6">
        <v>-2.8210000000000002</v>
      </c>
      <c r="I97" s="6">
        <v>15.99</v>
      </c>
      <c r="J97" s="6">
        <v>7.26</v>
      </c>
      <c r="K97" s="6">
        <v>47.42</v>
      </c>
      <c r="L97" s="6"/>
      <c r="M97" s="6">
        <v>5.492</v>
      </c>
      <c r="N97" s="6">
        <v>0.56399999999999995</v>
      </c>
      <c r="O97" s="6">
        <v>16.04</v>
      </c>
      <c r="P97" s="6">
        <v>79.400000000000006</v>
      </c>
      <c r="Q97" s="6"/>
      <c r="R97" s="6">
        <v>21.81</v>
      </c>
      <c r="S97" s="6">
        <v>1.5549999999999999</v>
      </c>
      <c r="T97" s="6">
        <v>-0.84099999999999997</v>
      </c>
      <c r="U97" s="6">
        <v>14.38</v>
      </c>
      <c r="V97" s="6"/>
      <c r="W97" s="6">
        <v>-2.2919999999999998</v>
      </c>
      <c r="X97" s="6">
        <v>-0.11899999999999999</v>
      </c>
      <c r="Y97" s="6">
        <v>0.89</v>
      </c>
      <c r="Z97" s="6">
        <v>2.34</v>
      </c>
      <c r="AA97" s="6">
        <v>0</v>
      </c>
      <c r="AB97" s="6">
        <v>1.708</v>
      </c>
      <c r="AC97" s="6">
        <v>18.46</v>
      </c>
      <c r="AD97" s="6">
        <v>-2.6520000000000001</v>
      </c>
      <c r="AE97" s="6">
        <v>0.01</v>
      </c>
      <c r="AF97" s="6">
        <v>7.0000000000000001E-3</v>
      </c>
      <c r="AG97" s="6">
        <v>1.6879999999999999</v>
      </c>
      <c r="AH97" s="6"/>
      <c r="AI97" s="6">
        <f t="shared" si="53"/>
        <v>0.34199999999999986</v>
      </c>
      <c r="AJ97">
        <f t="shared" si="32"/>
        <v>0</v>
      </c>
      <c r="AK97" s="21">
        <f t="shared" si="56"/>
        <v>0</v>
      </c>
      <c r="AL97">
        <f t="shared" si="57"/>
        <v>179.30000000000007</v>
      </c>
      <c r="AM97" s="4">
        <v>21.27</v>
      </c>
      <c r="AN97">
        <v>15.99</v>
      </c>
      <c r="AP97" s="7">
        <f t="shared" si="54"/>
        <v>0.26200000000000001</v>
      </c>
      <c r="AQ97" s="7">
        <f t="shared" si="33"/>
        <v>1.56</v>
      </c>
      <c r="AS97">
        <f t="shared" si="34"/>
        <v>15.99</v>
      </c>
      <c r="AT97">
        <f t="shared" si="35"/>
        <v>7.3</v>
      </c>
      <c r="AU97">
        <f t="shared" si="36"/>
        <v>47.4</v>
      </c>
      <c r="AV97" t="s">
        <v>104</v>
      </c>
      <c r="AW97">
        <f t="shared" si="37"/>
        <v>5.5</v>
      </c>
      <c r="AX97">
        <f t="shared" si="38"/>
        <v>0.6</v>
      </c>
      <c r="AY97">
        <f t="shared" si="39"/>
        <v>16</v>
      </c>
      <c r="AZ97">
        <f t="shared" si="40"/>
        <v>79.400000000000006</v>
      </c>
      <c r="BA97" t="s">
        <v>104</v>
      </c>
      <c r="BB97">
        <f t="shared" si="41"/>
        <v>21.8</v>
      </c>
      <c r="BC97">
        <f t="shared" si="42"/>
        <v>1.6</v>
      </c>
      <c r="BD97">
        <f t="shared" si="43"/>
        <v>-0.8</v>
      </c>
      <c r="BE97">
        <f t="shared" si="44"/>
        <v>14.4</v>
      </c>
      <c r="BF97" t="s">
        <v>104</v>
      </c>
      <c r="BG97">
        <f t="shared" si="45"/>
        <v>-2.2999999999999998</v>
      </c>
      <c r="BH97">
        <f t="shared" si="46"/>
        <v>-0.1</v>
      </c>
      <c r="BI97">
        <f t="shared" si="47"/>
        <v>0.89</v>
      </c>
      <c r="BJ97">
        <f t="shared" si="48"/>
        <v>2.34</v>
      </c>
      <c r="BK97">
        <f t="shared" si="49"/>
        <v>0.34199999999999986</v>
      </c>
      <c r="BL97">
        <f t="shared" si="50"/>
        <v>0</v>
      </c>
      <c r="BM97">
        <f t="shared" si="51"/>
        <v>0.26200000000000001</v>
      </c>
      <c r="BN97">
        <f t="shared" si="52"/>
        <v>1.56</v>
      </c>
    </row>
    <row r="98" spans="1:66" x14ac:dyDescent="0.25">
      <c r="A98">
        <v>2024</v>
      </c>
      <c r="B98" s="1">
        <f t="shared" si="55"/>
        <v>45384</v>
      </c>
      <c r="C98">
        <v>93</v>
      </c>
      <c r="D98">
        <v>70</v>
      </c>
      <c r="E98" s="6">
        <v>12.92</v>
      </c>
      <c r="F98" s="6">
        <v>7.34</v>
      </c>
      <c r="G98" s="6">
        <v>12.78</v>
      </c>
      <c r="H98" s="6">
        <v>3.9220000000000002</v>
      </c>
      <c r="I98" s="6">
        <v>5.4870000000000001</v>
      </c>
      <c r="J98" s="6">
        <v>8.84</v>
      </c>
      <c r="K98" s="6">
        <v>52.95</v>
      </c>
      <c r="L98" s="6"/>
      <c r="M98" s="6">
        <v>6.577</v>
      </c>
      <c r="N98" s="6">
        <v>0.628</v>
      </c>
      <c r="O98" s="6">
        <v>13.51</v>
      </c>
      <c r="P98" s="6">
        <v>73.099999999999994</v>
      </c>
      <c r="Q98" s="6"/>
      <c r="R98" s="6">
        <v>14.59</v>
      </c>
      <c r="S98" s="6">
        <v>1.276</v>
      </c>
      <c r="T98" s="6">
        <v>4.3789999999999996</v>
      </c>
      <c r="U98" s="6">
        <v>27.03</v>
      </c>
      <c r="V98" s="6"/>
      <c r="W98" s="6">
        <v>2.3239999999999998</v>
      </c>
      <c r="X98" s="6">
        <v>0.184</v>
      </c>
      <c r="Y98" s="6">
        <v>1.282</v>
      </c>
      <c r="Z98" s="6">
        <v>3.6739999999999999</v>
      </c>
      <c r="AA98" s="6">
        <v>0</v>
      </c>
      <c r="AB98" s="6">
        <v>1.734</v>
      </c>
      <c r="AC98" s="6">
        <v>12.83</v>
      </c>
      <c r="AD98" s="6">
        <v>4.5209999999999999</v>
      </c>
      <c r="AE98" s="6">
        <v>8.9999999999999993E-3</v>
      </c>
      <c r="AF98" s="6">
        <v>7.0000000000000001E-3</v>
      </c>
      <c r="AG98" s="6">
        <v>1.7190000000000001</v>
      </c>
      <c r="AH98" s="6"/>
      <c r="AI98" s="6">
        <f t="shared" si="53"/>
        <v>0.31599999999999984</v>
      </c>
      <c r="AJ98">
        <f t="shared" si="32"/>
        <v>0</v>
      </c>
      <c r="AK98" s="21">
        <f t="shared" si="56"/>
        <v>0</v>
      </c>
      <c r="AL98">
        <f t="shared" si="57"/>
        <v>179.30000000000007</v>
      </c>
      <c r="AM98" s="4">
        <v>21.53</v>
      </c>
      <c r="AN98">
        <v>5.48</v>
      </c>
      <c r="AP98" s="7">
        <f t="shared" si="54"/>
        <v>0.41799999999999998</v>
      </c>
      <c r="AQ98" s="7">
        <f t="shared" si="33"/>
        <v>1.1279999999999999</v>
      </c>
      <c r="AS98">
        <f t="shared" si="34"/>
        <v>5.48</v>
      </c>
      <c r="AT98">
        <f t="shared" si="35"/>
        <v>8.8000000000000007</v>
      </c>
      <c r="AU98">
        <f t="shared" si="36"/>
        <v>53</v>
      </c>
      <c r="AV98" t="s">
        <v>104</v>
      </c>
      <c r="AW98">
        <f t="shared" si="37"/>
        <v>6.6</v>
      </c>
      <c r="AX98">
        <f t="shared" si="38"/>
        <v>0.6</v>
      </c>
      <c r="AY98">
        <f t="shared" si="39"/>
        <v>13.5</v>
      </c>
      <c r="AZ98">
        <f t="shared" si="40"/>
        <v>73.099999999999994</v>
      </c>
      <c r="BA98" t="s">
        <v>104</v>
      </c>
      <c r="BB98">
        <f t="shared" si="41"/>
        <v>14.6</v>
      </c>
      <c r="BC98">
        <f t="shared" si="42"/>
        <v>1.3</v>
      </c>
      <c r="BD98">
        <f t="shared" si="43"/>
        <v>4.4000000000000004</v>
      </c>
      <c r="BE98">
        <f t="shared" si="44"/>
        <v>27</v>
      </c>
      <c r="BF98" t="s">
        <v>104</v>
      </c>
      <c r="BG98">
        <f t="shared" si="45"/>
        <v>2.2999999999999998</v>
      </c>
      <c r="BH98">
        <f t="shared" si="46"/>
        <v>0.2</v>
      </c>
      <c r="BI98">
        <f t="shared" si="47"/>
        <v>1.28</v>
      </c>
      <c r="BJ98">
        <f t="shared" si="48"/>
        <v>3.67</v>
      </c>
      <c r="BK98">
        <f t="shared" si="49"/>
        <v>0.31599999999999984</v>
      </c>
      <c r="BL98">
        <f t="shared" si="50"/>
        <v>0</v>
      </c>
      <c r="BM98">
        <f t="shared" si="51"/>
        <v>0.41799999999999998</v>
      </c>
      <c r="BN98">
        <f t="shared" si="52"/>
        <v>1.1279999999999999</v>
      </c>
    </row>
    <row r="99" spans="1:66" x14ac:dyDescent="0.25">
      <c r="A99">
        <v>2024</v>
      </c>
      <c r="B99" s="1">
        <f t="shared" si="55"/>
        <v>45385</v>
      </c>
      <c r="C99">
        <v>94</v>
      </c>
      <c r="D99">
        <v>70</v>
      </c>
      <c r="E99" s="6">
        <v>13.05</v>
      </c>
      <c r="F99" s="6">
        <v>0.89700000000000002</v>
      </c>
      <c r="G99" s="6">
        <v>8.94</v>
      </c>
      <c r="H99" s="6">
        <v>-4.8150000000000004</v>
      </c>
      <c r="I99" s="6">
        <v>11.12</v>
      </c>
      <c r="J99" s="6">
        <v>1.518</v>
      </c>
      <c r="K99" s="6">
        <v>57.41</v>
      </c>
      <c r="L99" s="6"/>
      <c r="M99" s="6">
        <v>1.4379999999999999</v>
      </c>
      <c r="N99" s="6">
        <v>0.44400000000000001</v>
      </c>
      <c r="O99" s="6">
        <v>8.34</v>
      </c>
      <c r="P99" s="6">
        <v>81.7</v>
      </c>
      <c r="Q99" s="6"/>
      <c r="R99" s="6">
        <v>14.8</v>
      </c>
      <c r="S99" s="6">
        <v>1.2949999999999999</v>
      </c>
      <c r="T99" s="6">
        <v>-2.8580000000000001</v>
      </c>
      <c r="U99" s="6">
        <v>25.55</v>
      </c>
      <c r="V99" s="6"/>
      <c r="W99" s="6">
        <v>-3.3210000000000002</v>
      </c>
      <c r="X99" s="6">
        <v>-0.109</v>
      </c>
      <c r="Y99" s="6">
        <v>1.05</v>
      </c>
      <c r="Z99" s="6">
        <v>3.3540000000000001</v>
      </c>
      <c r="AA99" s="6">
        <v>0</v>
      </c>
      <c r="AB99" s="6">
        <v>1.7430000000000001</v>
      </c>
      <c r="AC99" s="6">
        <v>8.33</v>
      </c>
      <c r="AD99" s="6">
        <v>-4.6769999999999996</v>
      </c>
      <c r="AE99" s="6">
        <v>8.9999999999999993E-3</v>
      </c>
      <c r="AF99" s="6">
        <v>6.0000000000000001E-3</v>
      </c>
      <c r="AG99" s="6">
        <v>1.75</v>
      </c>
      <c r="AH99" s="6"/>
      <c r="AI99" s="6">
        <f t="shared" si="53"/>
        <v>0.30699999999999972</v>
      </c>
      <c r="AJ99">
        <f t="shared" si="32"/>
        <v>0</v>
      </c>
      <c r="AK99" s="21">
        <f t="shared" si="56"/>
        <v>0</v>
      </c>
      <c r="AL99">
        <f t="shared" si="57"/>
        <v>179.30000000000007</v>
      </c>
      <c r="AM99" s="4">
        <v>21.79</v>
      </c>
      <c r="AN99">
        <v>11.12</v>
      </c>
      <c r="AP99" s="7">
        <f t="shared" si="54"/>
        <v>0.28000000000000003</v>
      </c>
      <c r="AQ99" s="7">
        <f t="shared" si="33"/>
        <v>0.81599999999999995</v>
      </c>
      <c r="AS99">
        <f t="shared" si="34"/>
        <v>11.12</v>
      </c>
      <c r="AT99">
        <f t="shared" si="35"/>
        <v>1.5</v>
      </c>
      <c r="AU99">
        <f t="shared" si="36"/>
        <v>57.4</v>
      </c>
      <c r="AV99" t="s">
        <v>104</v>
      </c>
      <c r="AW99">
        <f t="shared" si="37"/>
        <v>1.4</v>
      </c>
      <c r="AX99">
        <f t="shared" si="38"/>
        <v>0.4</v>
      </c>
      <c r="AY99">
        <f t="shared" si="39"/>
        <v>8.3000000000000007</v>
      </c>
      <c r="AZ99">
        <f t="shared" si="40"/>
        <v>81.7</v>
      </c>
      <c r="BA99" t="s">
        <v>104</v>
      </c>
      <c r="BB99">
        <f t="shared" si="41"/>
        <v>14.8</v>
      </c>
      <c r="BC99">
        <f t="shared" si="42"/>
        <v>1.3</v>
      </c>
      <c r="BD99">
        <f t="shared" si="43"/>
        <v>-2.9</v>
      </c>
      <c r="BE99">
        <f t="shared" si="44"/>
        <v>25.6</v>
      </c>
      <c r="BF99" t="s">
        <v>104</v>
      </c>
      <c r="BG99">
        <f t="shared" si="45"/>
        <v>-3.3</v>
      </c>
      <c r="BH99">
        <f t="shared" si="46"/>
        <v>-0.1</v>
      </c>
      <c r="BI99">
        <f t="shared" si="47"/>
        <v>1.05</v>
      </c>
      <c r="BJ99">
        <f t="shared" si="48"/>
        <v>3.35</v>
      </c>
      <c r="BK99">
        <f t="shared" si="49"/>
        <v>0.30699999999999972</v>
      </c>
      <c r="BL99">
        <f t="shared" si="50"/>
        <v>0</v>
      </c>
      <c r="BM99">
        <f t="shared" si="51"/>
        <v>0.28000000000000003</v>
      </c>
      <c r="BN99">
        <f t="shared" si="52"/>
        <v>0.81599999999999995</v>
      </c>
    </row>
    <row r="100" spans="1:66" x14ac:dyDescent="0.25">
      <c r="A100">
        <v>2024</v>
      </c>
      <c r="B100" s="1">
        <f t="shared" si="55"/>
        <v>45386</v>
      </c>
      <c r="C100">
        <v>95</v>
      </c>
      <c r="D100">
        <v>70</v>
      </c>
      <c r="E100" s="6">
        <v>13.01</v>
      </c>
      <c r="F100" s="6">
        <v>-0.432</v>
      </c>
      <c r="G100" s="6">
        <v>6.1669999999999998</v>
      </c>
      <c r="H100" s="6">
        <v>-5.2560000000000002</v>
      </c>
      <c r="I100" s="6">
        <v>8.56</v>
      </c>
      <c r="J100" s="6">
        <v>2.5999999999999999E-2</v>
      </c>
      <c r="K100" s="6">
        <v>77.8</v>
      </c>
      <c r="L100" s="6"/>
      <c r="M100" s="6">
        <v>2.1999999999999999E-2</v>
      </c>
      <c r="N100" s="6">
        <v>0.48399999999999999</v>
      </c>
      <c r="O100" s="6">
        <v>5.9909999999999997</v>
      </c>
      <c r="P100" s="6">
        <v>92.4</v>
      </c>
      <c r="Q100" s="6"/>
      <c r="R100" s="6">
        <v>8.14</v>
      </c>
      <c r="S100" s="6">
        <v>1.2290000000000001</v>
      </c>
      <c r="T100" s="6">
        <v>-3.5289999999999999</v>
      </c>
      <c r="U100" s="6">
        <v>45.66</v>
      </c>
      <c r="V100" s="6"/>
      <c r="W100" s="6">
        <v>-4.1319999999999997</v>
      </c>
      <c r="X100" s="6">
        <v>9.2999999999999999E-2</v>
      </c>
      <c r="Y100" s="6">
        <v>0.38700000000000001</v>
      </c>
      <c r="Z100" s="6">
        <v>1.9670000000000001</v>
      </c>
      <c r="AA100" s="6">
        <v>0.3</v>
      </c>
      <c r="AB100" s="6">
        <v>1.629</v>
      </c>
      <c r="AC100" s="6">
        <v>6.2169999999999996</v>
      </c>
      <c r="AD100" s="6">
        <v>-5.0540000000000003</v>
      </c>
      <c r="AE100" s="6">
        <v>8.9999999999999993E-3</v>
      </c>
      <c r="AF100" s="6">
        <v>7.0000000000000001E-3</v>
      </c>
      <c r="AG100" s="6">
        <v>1.631</v>
      </c>
      <c r="AH100" s="6"/>
      <c r="AI100" s="6">
        <f t="shared" si="53"/>
        <v>0.42099999999999982</v>
      </c>
      <c r="AJ100">
        <f t="shared" si="32"/>
        <v>14.8</v>
      </c>
      <c r="AK100" s="21">
        <f t="shared" si="56"/>
        <v>14.8</v>
      </c>
      <c r="AL100">
        <f t="shared" si="57"/>
        <v>194.10000000000008</v>
      </c>
      <c r="AM100" s="4">
        <v>22.05</v>
      </c>
      <c r="AN100">
        <v>8.56</v>
      </c>
      <c r="AP100" s="7">
        <f t="shared" si="54"/>
        <v>0.42699999999999999</v>
      </c>
      <c r="AQ100" s="7">
        <f t="shared" si="33"/>
        <v>0.50800000000000001</v>
      </c>
      <c r="AS100">
        <f t="shared" si="34"/>
        <v>8.56</v>
      </c>
      <c r="AT100">
        <f t="shared" si="35"/>
        <v>0</v>
      </c>
      <c r="AU100">
        <f t="shared" si="36"/>
        <v>77.8</v>
      </c>
      <c r="AV100" t="s">
        <v>104</v>
      </c>
      <c r="AW100">
        <f t="shared" si="37"/>
        <v>0</v>
      </c>
      <c r="AX100">
        <f t="shared" si="38"/>
        <v>0.5</v>
      </c>
      <c r="AY100">
        <f t="shared" si="39"/>
        <v>6</v>
      </c>
      <c r="AZ100">
        <f t="shared" si="40"/>
        <v>92.4</v>
      </c>
      <c r="BA100" t="s">
        <v>104</v>
      </c>
      <c r="BB100">
        <f t="shared" si="41"/>
        <v>8.1</v>
      </c>
      <c r="BC100">
        <f t="shared" si="42"/>
        <v>1.2</v>
      </c>
      <c r="BD100">
        <f t="shared" si="43"/>
        <v>-3.5</v>
      </c>
      <c r="BE100">
        <f t="shared" si="44"/>
        <v>45.7</v>
      </c>
      <c r="BF100" t="s">
        <v>104</v>
      </c>
      <c r="BG100">
        <f t="shared" si="45"/>
        <v>-4.0999999999999996</v>
      </c>
      <c r="BH100">
        <f t="shared" si="46"/>
        <v>0.1</v>
      </c>
      <c r="BI100">
        <f t="shared" si="47"/>
        <v>0.39</v>
      </c>
      <c r="BJ100">
        <f t="shared" si="48"/>
        <v>1.97</v>
      </c>
      <c r="BK100">
        <f t="shared" si="49"/>
        <v>0.42099999999999982</v>
      </c>
      <c r="BL100">
        <f t="shared" si="50"/>
        <v>14.8</v>
      </c>
      <c r="BM100">
        <f t="shared" si="51"/>
        <v>0.42699999999999999</v>
      </c>
      <c r="BN100">
        <f t="shared" si="52"/>
        <v>0.50800000000000001</v>
      </c>
    </row>
    <row r="101" spans="1:66" x14ac:dyDescent="0.25">
      <c r="A101">
        <v>2024</v>
      </c>
      <c r="B101" s="1">
        <f t="shared" si="55"/>
        <v>45387</v>
      </c>
      <c r="C101">
        <v>96</v>
      </c>
      <c r="D101">
        <v>70</v>
      </c>
      <c r="E101" s="6">
        <v>13.06</v>
      </c>
      <c r="F101" s="6">
        <v>0.47099999999999997</v>
      </c>
      <c r="G101" s="6">
        <v>5.2119999999999997</v>
      </c>
      <c r="H101" s="6">
        <v>-2.5790000000000002</v>
      </c>
      <c r="I101" s="6">
        <v>3.895</v>
      </c>
      <c r="J101" s="6">
        <v>1.042</v>
      </c>
      <c r="K101" s="6">
        <v>85.3</v>
      </c>
      <c r="L101" s="6"/>
      <c r="M101" s="6">
        <v>0.86099999999999999</v>
      </c>
      <c r="N101" s="6">
        <v>0.497</v>
      </c>
      <c r="O101" s="6">
        <v>7.27</v>
      </c>
      <c r="P101" s="6">
        <v>93.6</v>
      </c>
      <c r="Q101" s="6"/>
      <c r="R101" s="6">
        <v>9.74</v>
      </c>
      <c r="S101" s="6">
        <v>1.044</v>
      </c>
      <c r="T101" s="6">
        <v>-2.5230000000000001</v>
      </c>
      <c r="U101" s="6">
        <v>63.83</v>
      </c>
      <c r="V101" s="6"/>
      <c r="W101" s="6">
        <v>-0.97899999999999998</v>
      </c>
      <c r="X101" s="6">
        <v>0.25</v>
      </c>
      <c r="Y101" s="6">
        <v>0.214</v>
      </c>
      <c r="Z101" s="6">
        <v>1.66</v>
      </c>
      <c r="AA101" s="6">
        <v>8.6</v>
      </c>
      <c r="AB101" s="6">
        <v>1.704</v>
      </c>
      <c r="AC101" s="6">
        <v>5.3979999999999997</v>
      </c>
      <c r="AD101" s="6">
        <v>-2.4649999999999999</v>
      </c>
      <c r="AE101" s="6">
        <v>8.9999999999999993E-3</v>
      </c>
      <c r="AF101" s="6">
        <v>7.0000000000000001E-3</v>
      </c>
      <c r="AG101" s="6">
        <v>1.702</v>
      </c>
      <c r="AH101" s="6"/>
      <c r="AI101" s="6">
        <f t="shared" si="53"/>
        <v>0.34599999999999986</v>
      </c>
      <c r="AJ101">
        <f t="shared" si="32"/>
        <v>0</v>
      </c>
      <c r="AK101" s="21">
        <f t="shared" si="56"/>
        <v>0</v>
      </c>
      <c r="AL101">
        <f t="shared" si="57"/>
        <v>194.10000000000008</v>
      </c>
      <c r="AM101" s="4">
        <v>22.31</v>
      </c>
      <c r="AN101">
        <v>3.89</v>
      </c>
      <c r="AP101" s="7">
        <f t="shared" si="54"/>
        <v>0.65100000000000002</v>
      </c>
      <c r="AQ101" s="7">
        <f t="shared" si="33"/>
        <v>0.36899999999999999</v>
      </c>
      <c r="AS101">
        <f t="shared" si="34"/>
        <v>3.89</v>
      </c>
      <c r="AT101">
        <f t="shared" si="35"/>
        <v>1</v>
      </c>
      <c r="AU101">
        <f t="shared" si="36"/>
        <v>85.3</v>
      </c>
      <c r="AV101" t="s">
        <v>104</v>
      </c>
      <c r="AW101">
        <f t="shared" si="37"/>
        <v>0.9</v>
      </c>
      <c r="AX101">
        <f t="shared" si="38"/>
        <v>0.5</v>
      </c>
      <c r="AY101">
        <f t="shared" si="39"/>
        <v>7.3</v>
      </c>
      <c r="AZ101">
        <f t="shared" si="40"/>
        <v>93.6</v>
      </c>
      <c r="BA101" t="s">
        <v>104</v>
      </c>
      <c r="BB101">
        <f t="shared" si="41"/>
        <v>9.6999999999999993</v>
      </c>
      <c r="BC101">
        <f t="shared" si="42"/>
        <v>1</v>
      </c>
      <c r="BD101">
        <f t="shared" si="43"/>
        <v>-2.5</v>
      </c>
      <c r="BE101">
        <f t="shared" si="44"/>
        <v>63.8</v>
      </c>
      <c r="BF101" t="s">
        <v>104</v>
      </c>
      <c r="BG101">
        <f t="shared" si="45"/>
        <v>-1</v>
      </c>
      <c r="BH101">
        <f t="shared" si="46"/>
        <v>0.3</v>
      </c>
      <c r="BI101">
        <f t="shared" si="47"/>
        <v>0.21</v>
      </c>
      <c r="BJ101">
        <f t="shared" si="48"/>
        <v>1.66</v>
      </c>
      <c r="BK101">
        <f t="shared" si="49"/>
        <v>0.34599999999999986</v>
      </c>
      <c r="BL101">
        <f t="shared" si="50"/>
        <v>0</v>
      </c>
      <c r="BM101">
        <f t="shared" si="51"/>
        <v>0.65100000000000002</v>
      </c>
      <c r="BN101">
        <f t="shared" si="52"/>
        <v>0.36899999999999999</v>
      </c>
    </row>
    <row r="102" spans="1:66" x14ac:dyDescent="0.25">
      <c r="A102">
        <v>2024</v>
      </c>
      <c r="B102" s="1">
        <f t="shared" si="55"/>
        <v>45388</v>
      </c>
      <c r="C102">
        <v>97</v>
      </c>
      <c r="D102">
        <v>70</v>
      </c>
      <c r="E102" s="6">
        <v>13.09</v>
      </c>
      <c r="F102" s="6">
        <v>1.5309999999999999</v>
      </c>
      <c r="G102" s="6">
        <v>9.5399999999999991</v>
      </c>
      <c r="H102" s="6">
        <v>-4.2089999999999996</v>
      </c>
      <c r="I102" s="6">
        <v>11.41</v>
      </c>
      <c r="J102" s="6">
        <v>2.3420000000000001</v>
      </c>
      <c r="K102" s="6">
        <v>65.849999999999994</v>
      </c>
      <c r="L102" s="6"/>
      <c r="M102" s="6">
        <v>1.992</v>
      </c>
      <c r="N102" s="6">
        <v>0.48499999999999999</v>
      </c>
      <c r="O102" s="6">
        <v>9.6199999999999992</v>
      </c>
      <c r="P102" s="6">
        <v>93.6</v>
      </c>
      <c r="Q102" s="6"/>
      <c r="R102" s="6">
        <v>16.25</v>
      </c>
      <c r="S102" s="6">
        <v>1.1619999999999999</v>
      </c>
      <c r="T102" s="6">
        <v>-2.3210000000000002</v>
      </c>
      <c r="U102" s="6">
        <v>33.22</v>
      </c>
      <c r="V102" s="6"/>
      <c r="W102" s="6">
        <v>-3.2890000000000001</v>
      </c>
      <c r="X102" s="6">
        <v>8.4000000000000005E-2</v>
      </c>
      <c r="Y102" s="6">
        <v>0.872</v>
      </c>
      <c r="Z102" s="6">
        <v>2.3140000000000001</v>
      </c>
      <c r="AA102" s="6">
        <v>0</v>
      </c>
      <c r="AB102" s="6">
        <v>1.7390000000000001</v>
      </c>
      <c r="AC102" s="6">
        <v>9.42</v>
      </c>
      <c r="AD102" s="6">
        <v>-3.84</v>
      </c>
      <c r="AE102" s="6">
        <v>8.9999999999999993E-3</v>
      </c>
      <c r="AF102" s="6">
        <v>7.0000000000000001E-3</v>
      </c>
      <c r="AG102" s="6">
        <v>1.7450000000000001</v>
      </c>
      <c r="AH102" s="6"/>
      <c r="AI102" s="6">
        <f t="shared" si="53"/>
        <v>0.31099999999999972</v>
      </c>
      <c r="AJ102">
        <f t="shared" ref="AJ102:AJ118" si="58">IF(AI102&gt;AI101,ROUND((AI102-AI101)*AJ$1,1),0)</f>
        <v>0</v>
      </c>
      <c r="AK102" s="21">
        <f t="shared" si="56"/>
        <v>0</v>
      </c>
      <c r="AL102">
        <f t="shared" si="57"/>
        <v>194.10000000000008</v>
      </c>
      <c r="AM102" s="4">
        <v>22.57</v>
      </c>
      <c r="AN102">
        <v>11.41</v>
      </c>
      <c r="AP102" s="7">
        <f t="shared" si="54"/>
        <v>0.39800000000000002</v>
      </c>
      <c r="AQ102" s="7">
        <f t="shared" si="33"/>
        <v>0.8</v>
      </c>
      <c r="AS102">
        <f t="shared" si="34"/>
        <v>11.41</v>
      </c>
      <c r="AT102">
        <f t="shared" si="35"/>
        <v>2.2999999999999998</v>
      </c>
      <c r="AU102">
        <f t="shared" si="36"/>
        <v>65.900000000000006</v>
      </c>
      <c r="AV102" t="s">
        <v>104</v>
      </c>
      <c r="AW102">
        <f t="shared" si="37"/>
        <v>2</v>
      </c>
      <c r="AX102">
        <f t="shared" si="38"/>
        <v>0.5</v>
      </c>
      <c r="AY102">
        <f t="shared" si="39"/>
        <v>9.6</v>
      </c>
      <c r="AZ102">
        <f t="shared" si="40"/>
        <v>93.6</v>
      </c>
      <c r="BA102" t="s">
        <v>104</v>
      </c>
      <c r="BB102">
        <f t="shared" si="41"/>
        <v>16.3</v>
      </c>
      <c r="BC102">
        <f t="shared" si="42"/>
        <v>1.2</v>
      </c>
      <c r="BD102">
        <f t="shared" si="43"/>
        <v>-2.2999999999999998</v>
      </c>
      <c r="BE102">
        <f t="shared" si="44"/>
        <v>33.200000000000003</v>
      </c>
      <c r="BF102" t="s">
        <v>104</v>
      </c>
      <c r="BG102">
        <f t="shared" si="45"/>
        <v>-3.3</v>
      </c>
      <c r="BH102">
        <f t="shared" si="46"/>
        <v>0.1</v>
      </c>
      <c r="BI102">
        <f t="shared" si="47"/>
        <v>0.87</v>
      </c>
      <c r="BJ102">
        <f t="shared" si="48"/>
        <v>2.31</v>
      </c>
      <c r="BK102">
        <f t="shared" si="49"/>
        <v>0.31099999999999972</v>
      </c>
      <c r="BL102">
        <f t="shared" si="50"/>
        <v>0</v>
      </c>
      <c r="BM102">
        <f t="shared" si="51"/>
        <v>0.39800000000000002</v>
      </c>
      <c r="BN102">
        <f t="shared" si="52"/>
        <v>0.8</v>
      </c>
    </row>
    <row r="103" spans="1:66" x14ac:dyDescent="0.25">
      <c r="A103">
        <v>2024</v>
      </c>
      <c r="B103" s="1">
        <f t="shared" si="55"/>
        <v>45389</v>
      </c>
      <c r="C103">
        <v>98</v>
      </c>
      <c r="D103">
        <v>70</v>
      </c>
      <c r="E103" s="6">
        <v>13.1</v>
      </c>
      <c r="F103" s="6">
        <v>0.56100000000000005</v>
      </c>
      <c r="G103" s="6">
        <v>10</v>
      </c>
      <c r="H103" s="6">
        <v>-5.9349999999999996</v>
      </c>
      <c r="I103" s="6">
        <v>10.62</v>
      </c>
      <c r="J103" s="6">
        <v>1.696</v>
      </c>
      <c r="K103" s="6">
        <v>60.01</v>
      </c>
      <c r="L103" s="6"/>
      <c r="M103" s="6">
        <v>0.98199999999999998</v>
      </c>
      <c r="N103" s="6">
        <v>0.50700000000000001</v>
      </c>
      <c r="O103" s="6">
        <v>9.89</v>
      </c>
      <c r="P103" s="6">
        <v>85.3</v>
      </c>
      <c r="Q103" s="6"/>
      <c r="R103" s="6">
        <v>16.25</v>
      </c>
      <c r="S103" s="6">
        <v>1.837</v>
      </c>
      <c r="T103" s="6">
        <v>-3.7890000000000001</v>
      </c>
      <c r="U103" s="6">
        <v>28.98</v>
      </c>
      <c r="V103" s="6"/>
      <c r="W103" s="6">
        <v>-4.9249999999999998</v>
      </c>
      <c r="X103" s="6">
        <v>-0.17499999999999999</v>
      </c>
      <c r="Y103" s="6">
        <v>0.89800000000000002</v>
      </c>
      <c r="Z103" s="6">
        <v>2.46</v>
      </c>
      <c r="AA103" s="6">
        <v>0</v>
      </c>
      <c r="AB103" s="6">
        <v>1.7450000000000001</v>
      </c>
      <c r="AC103" s="6">
        <v>9.9700000000000006</v>
      </c>
      <c r="AD103" s="6">
        <v>-5.8280000000000003</v>
      </c>
      <c r="AE103" s="6">
        <v>8.9999999999999993E-3</v>
      </c>
      <c r="AF103" s="6">
        <v>7.0000000000000001E-3</v>
      </c>
      <c r="AG103" s="6">
        <v>1.746</v>
      </c>
      <c r="AH103" s="6"/>
      <c r="AI103" s="6">
        <f t="shared" si="53"/>
        <v>0.30499999999999972</v>
      </c>
      <c r="AJ103">
        <f t="shared" si="58"/>
        <v>0</v>
      </c>
      <c r="AK103" s="21">
        <f t="shared" si="56"/>
        <v>0</v>
      </c>
      <c r="AL103">
        <f t="shared" si="57"/>
        <v>194.10000000000008</v>
      </c>
      <c r="AM103" s="4">
        <v>22.82</v>
      </c>
      <c r="AN103">
        <v>10.62</v>
      </c>
      <c r="AP103" s="7">
        <f t="shared" si="54"/>
        <v>0.35299999999999998</v>
      </c>
      <c r="AQ103" s="7">
        <f t="shared" si="33"/>
        <v>0.86499999999999999</v>
      </c>
      <c r="AS103">
        <f t="shared" si="34"/>
        <v>10.62</v>
      </c>
      <c r="AT103">
        <f t="shared" si="35"/>
        <v>1.7</v>
      </c>
      <c r="AU103">
        <f t="shared" si="36"/>
        <v>60</v>
      </c>
      <c r="AV103" t="s">
        <v>104</v>
      </c>
      <c r="AW103">
        <f t="shared" si="37"/>
        <v>1</v>
      </c>
      <c r="AX103">
        <f t="shared" si="38"/>
        <v>0.5</v>
      </c>
      <c r="AY103">
        <f t="shared" si="39"/>
        <v>9.9</v>
      </c>
      <c r="AZ103">
        <f t="shared" si="40"/>
        <v>85.3</v>
      </c>
      <c r="BA103" t="s">
        <v>104</v>
      </c>
      <c r="BB103">
        <f t="shared" si="41"/>
        <v>16.3</v>
      </c>
      <c r="BC103">
        <f t="shared" si="42"/>
        <v>1.8</v>
      </c>
      <c r="BD103">
        <f t="shared" si="43"/>
        <v>-3.8</v>
      </c>
      <c r="BE103">
        <f t="shared" si="44"/>
        <v>29</v>
      </c>
      <c r="BF103" t="s">
        <v>104</v>
      </c>
      <c r="BG103">
        <f t="shared" si="45"/>
        <v>-4.9000000000000004</v>
      </c>
      <c r="BH103">
        <f t="shared" si="46"/>
        <v>-0.2</v>
      </c>
      <c r="BI103">
        <f t="shared" si="47"/>
        <v>0.9</v>
      </c>
      <c r="BJ103">
        <f t="shared" si="48"/>
        <v>2.46</v>
      </c>
      <c r="BK103">
        <f t="shared" si="49"/>
        <v>0.30499999999999972</v>
      </c>
      <c r="BL103">
        <f t="shared" si="50"/>
        <v>0</v>
      </c>
      <c r="BM103">
        <f t="shared" si="51"/>
        <v>0.35299999999999998</v>
      </c>
      <c r="BN103">
        <f t="shared" si="52"/>
        <v>0.86499999999999999</v>
      </c>
    </row>
    <row r="104" spans="1:66" x14ac:dyDescent="0.25">
      <c r="A104">
        <v>2024</v>
      </c>
      <c r="B104" s="1">
        <f t="shared" si="55"/>
        <v>45390</v>
      </c>
      <c r="C104">
        <v>99</v>
      </c>
      <c r="D104">
        <v>70</v>
      </c>
      <c r="E104" s="6">
        <v>12.82</v>
      </c>
      <c r="F104" s="6">
        <v>-0.124</v>
      </c>
      <c r="G104" s="6">
        <v>1.484</v>
      </c>
      <c r="H104" s="6">
        <v>-2.8889999999999998</v>
      </c>
      <c r="I104" s="6">
        <v>3.427</v>
      </c>
      <c r="J104" s="6">
        <v>0.93</v>
      </c>
      <c r="K104" s="6">
        <v>75.3</v>
      </c>
      <c r="L104" s="6"/>
      <c r="M104" s="6">
        <v>-2.9000000000000001E-2</v>
      </c>
      <c r="N104" s="6">
        <v>0.48599999999999999</v>
      </c>
      <c r="O104" s="6">
        <v>2.8450000000000002</v>
      </c>
      <c r="P104" s="6">
        <v>88.4</v>
      </c>
      <c r="Q104" s="6"/>
      <c r="R104" s="6">
        <v>2.1469999999999998</v>
      </c>
      <c r="S104" s="6">
        <v>0.71699999999999997</v>
      </c>
      <c r="T104" s="6">
        <v>-0.90900000000000003</v>
      </c>
      <c r="U104" s="6">
        <v>57.31</v>
      </c>
      <c r="V104" s="6"/>
      <c r="W104" s="6">
        <v>-2.2850000000000001</v>
      </c>
      <c r="X104" s="6">
        <v>0.245</v>
      </c>
      <c r="Y104" s="6">
        <v>1.073</v>
      </c>
      <c r="Z104" s="6">
        <v>2.4340000000000002</v>
      </c>
      <c r="AA104" s="6">
        <v>1.9</v>
      </c>
      <c r="AB104" s="6">
        <v>1.7230000000000001</v>
      </c>
      <c r="AC104" s="6">
        <v>1.4890000000000001</v>
      </c>
      <c r="AD104" s="6">
        <v>-2.714</v>
      </c>
      <c r="AE104" s="6">
        <v>8.9999999999999993E-3</v>
      </c>
      <c r="AF104" s="6">
        <v>6.0000000000000001E-3</v>
      </c>
      <c r="AG104" s="6">
        <v>1.714</v>
      </c>
      <c r="AH104" s="6"/>
      <c r="AI104" s="6">
        <f t="shared" si="53"/>
        <v>0.32699999999999974</v>
      </c>
      <c r="AJ104">
        <f t="shared" si="58"/>
        <v>2.9</v>
      </c>
      <c r="AK104" s="21">
        <f t="shared" si="56"/>
        <v>2.9</v>
      </c>
      <c r="AL104">
        <f t="shared" si="57"/>
        <v>197.00000000000009</v>
      </c>
      <c r="AM104" s="4">
        <v>23.08</v>
      </c>
      <c r="AN104">
        <v>3.43</v>
      </c>
      <c r="AP104" s="7">
        <f t="shared" si="54"/>
        <v>0.42899999999999999</v>
      </c>
      <c r="AQ104" s="7">
        <f t="shared" si="33"/>
        <v>0.32</v>
      </c>
      <c r="AS104">
        <f t="shared" si="34"/>
        <v>3.43</v>
      </c>
      <c r="AT104">
        <f t="shared" si="35"/>
        <v>0.9</v>
      </c>
      <c r="AU104">
        <f t="shared" si="36"/>
        <v>75.3</v>
      </c>
      <c r="AV104" t="s">
        <v>104</v>
      </c>
      <c r="AW104">
        <f t="shared" si="37"/>
        <v>0</v>
      </c>
      <c r="AX104">
        <f t="shared" si="38"/>
        <v>0.5</v>
      </c>
      <c r="AY104">
        <f t="shared" si="39"/>
        <v>2.8</v>
      </c>
      <c r="AZ104">
        <f t="shared" si="40"/>
        <v>88.4</v>
      </c>
      <c r="BA104" t="s">
        <v>104</v>
      </c>
      <c r="BB104">
        <f t="shared" si="41"/>
        <v>2.1</v>
      </c>
      <c r="BC104">
        <f t="shared" si="42"/>
        <v>0.7</v>
      </c>
      <c r="BD104">
        <f t="shared" si="43"/>
        <v>-0.9</v>
      </c>
      <c r="BE104">
        <f t="shared" si="44"/>
        <v>57.3</v>
      </c>
      <c r="BF104" t="s">
        <v>104</v>
      </c>
      <c r="BG104">
        <f t="shared" si="45"/>
        <v>-2.2999999999999998</v>
      </c>
      <c r="BH104">
        <f t="shared" si="46"/>
        <v>0.2</v>
      </c>
      <c r="BI104">
        <f t="shared" si="47"/>
        <v>1.07</v>
      </c>
      <c r="BJ104">
        <f t="shared" si="48"/>
        <v>2.4300000000000002</v>
      </c>
      <c r="BK104">
        <f t="shared" si="49"/>
        <v>0.32699999999999974</v>
      </c>
      <c r="BL104">
        <f t="shared" si="50"/>
        <v>2.9</v>
      </c>
      <c r="BM104">
        <f t="shared" si="51"/>
        <v>0.42899999999999999</v>
      </c>
      <c r="BN104">
        <f t="shared" si="52"/>
        <v>0.32</v>
      </c>
    </row>
    <row r="105" spans="1:66" x14ac:dyDescent="0.25">
      <c r="A105">
        <v>2024</v>
      </c>
      <c r="B105" s="1">
        <f t="shared" si="55"/>
        <v>45391</v>
      </c>
      <c r="C105">
        <v>100</v>
      </c>
      <c r="D105">
        <v>70</v>
      </c>
      <c r="E105" s="6">
        <v>13.11</v>
      </c>
      <c r="F105" s="6">
        <v>0.68100000000000005</v>
      </c>
      <c r="G105" s="6">
        <v>7.59</v>
      </c>
      <c r="H105" s="6">
        <v>-4.7370000000000001</v>
      </c>
      <c r="I105" s="6">
        <v>10.199999999999999</v>
      </c>
      <c r="J105" s="6">
        <v>1.5660000000000001</v>
      </c>
      <c r="K105" s="6">
        <v>79.099999999999994</v>
      </c>
      <c r="L105" s="6"/>
      <c r="M105" s="6">
        <v>0.877</v>
      </c>
      <c r="N105" s="6">
        <v>0.46700000000000003</v>
      </c>
      <c r="O105" s="6">
        <v>7.4</v>
      </c>
      <c r="P105" s="6">
        <v>92.3</v>
      </c>
      <c r="Q105" s="6"/>
      <c r="R105" s="6">
        <v>12.88</v>
      </c>
      <c r="S105" s="6">
        <v>1.3740000000000001</v>
      </c>
      <c r="T105" s="6">
        <v>-2.86</v>
      </c>
      <c r="U105" s="6">
        <v>46.19</v>
      </c>
      <c r="V105" s="6"/>
      <c r="W105" s="6">
        <v>-3.7639999999999998</v>
      </c>
      <c r="X105" s="6">
        <v>-0.50700000000000001</v>
      </c>
      <c r="Y105" s="6">
        <v>1.1479999999999999</v>
      </c>
      <c r="Z105" s="6">
        <v>3.1539999999999999</v>
      </c>
      <c r="AA105" s="6">
        <v>3.6</v>
      </c>
      <c r="AB105" s="6">
        <v>1.728</v>
      </c>
      <c r="AC105" s="6">
        <v>7.29</v>
      </c>
      <c r="AD105" s="6">
        <v>-4.6139999999999999</v>
      </c>
      <c r="AE105" s="6">
        <v>8.9999999999999993E-3</v>
      </c>
      <c r="AF105" s="6">
        <v>7.0000000000000001E-3</v>
      </c>
      <c r="AG105" s="6">
        <v>1.736</v>
      </c>
      <c r="AH105" s="6"/>
      <c r="AI105" s="6">
        <f t="shared" si="53"/>
        <v>0.32199999999999984</v>
      </c>
      <c r="AJ105">
        <f t="shared" si="58"/>
        <v>0</v>
      </c>
      <c r="AK105" s="21">
        <f t="shared" si="56"/>
        <v>0</v>
      </c>
      <c r="AL105">
        <f t="shared" si="57"/>
        <v>197.00000000000009</v>
      </c>
      <c r="AM105" s="4">
        <v>23.33</v>
      </c>
      <c r="AN105">
        <v>10.199999999999999</v>
      </c>
      <c r="AP105" s="7">
        <f t="shared" si="54"/>
        <v>0.47499999999999998</v>
      </c>
      <c r="AQ105" s="7">
        <f t="shared" si="33"/>
        <v>0.55300000000000005</v>
      </c>
      <c r="AS105">
        <f t="shared" si="34"/>
        <v>10.199999999999999</v>
      </c>
      <c r="AT105">
        <f t="shared" si="35"/>
        <v>1.6</v>
      </c>
      <c r="AU105">
        <f t="shared" si="36"/>
        <v>79.099999999999994</v>
      </c>
      <c r="AV105" t="s">
        <v>104</v>
      </c>
      <c r="AW105">
        <f t="shared" si="37"/>
        <v>0.9</v>
      </c>
      <c r="AX105">
        <f t="shared" si="38"/>
        <v>0.5</v>
      </c>
      <c r="AY105">
        <f t="shared" si="39"/>
        <v>7.4</v>
      </c>
      <c r="AZ105">
        <f t="shared" si="40"/>
        <v>92.3</v>
      </c>
      <c r="BA105" t="s">
        <v>104</v>
      </c>
      <c r="BB105">
        <f t="shared" si="41"/>
        <v>12.9</v>
      </c>
      <c r="BC105">
        <f t="shared" si="42"/>
        <v>1.4</v>
      </c>
      <c r="BD105">
        <f t="shared" si="43"/>
        <v>-2.9</v>
      </c>
      <c r="BE105">
        <f t="shared" si="44"/>
        <v>46.2</v>
      </c>
      <c r="BF105" t="s">
        <v>104</v>
      </c>
      <c r="BG105">
        <f t="shared" si="45"/>
        <v>-3.8</v>
      </c>
      <c r="BH105">
        <f t="shared" si="46"/>
        <v>-0.5</v>
      </c>
      <c r="BI105">
        <f t="shared" si="47"/>
        <v>1.1499999999999999</v>
      </c>
      <c r="BJ105">
        <f t="shared" si="48"/>
        <v>3.15</v>
      </c>
      <c r="BK105">
        <f t="shared" si="49"/>
        <v>0.32199999999999984</v>
      </c>
      <c r="BL105">
        <f t="shared" si="50"/>
        <v>0</v>
      </c>
      <c r="BM105">
        <f t="shared" si="51"/>
        <v>0.47499999999999998</v>
      </c>
      <c r="BN105">
        <f t="shared" si="52"/>
        <v>0.55300000000000005</v>
      </c>
    </row>
    <row r="106" spans="1:66" x14ac:dyDescent="0.25">
      <c r="A106">
        <v>2024</v>
      </c>
      <c r="B106" s="1">
        <f t="shared" si="55"/>
        <v>45392</v>
      </c>
      <c r="C106">
        <v>101</v>
      </c>
      <c r="D106">
        <v>70</v>
      </c>
      <c r="E106" s="6">
        <v>13.09</v>
      </c>
      <c r="F106" s="6">
        <v>2.41</v>
      </c>
      <c r="G106" s="6">
        <v>14.04</v>
      </c>
      <c r="H106" s="6">
        <v>-5.8170000000000002</v>
      </c>
      <c r="I106" s="6">
        <v>16.53</v>
      </c>
      <c r="J106" s="6">
        <v>3.49</v>
      </c>
      <c r="K106" s="6">
        <v>58.41</v>
      </c>
      <c r="L106" s="6"/>
      <c r="M106" s="6">
        <v>3.2360000000000002</v>
      </c>
      <c r="N106" s="6">
        <v>0.52900000000000003</v>
      </c>
      <c r="O106" s="6">
        <v>13.44</v>
      </c>
      <c r="P106" s="6">
        <v>91.4</v>
      </c>
      <c r="Q106" s="6"/>
      <c r="R106" s="6">
        <v>21.62</v>
      </c>
      <c r="S106" s="6">
        <v>1.6619999999999999</v>
      </c>
      <c r="T106" s="6">
        <v>-3.859</v>
      </c>
      <c r="U106" s="6">
        <v>22.79</v>
      </c>
      <c r="V106" s="6"/>
      <c r="W106" s="6">
        <v>-5.1429999999999998</v>
      </c>
      <c r="X106" s="6">
        <v>-0.20399999999999999</v>
      </c>
      <c r="Y106" s="6">
        <v>0.67100000000000004</v>
      </c>
      <c r="Z106" s="6">
        <v>2.1139999999999999</v>
      </c>
      <c r="AA106" s="6">
        <v>0</v>
      </c>
      <c r="AB106" s="6">
        <v>1.754</v>
      </c>
      <c r="AC106" s="6">
        <v>14.29</v>
      </c>
      <c r="AD106" s="6">
        <v>-5.7220000000000004</v>
      </c>
      <c r="AE106" s="6">
        <v>0.01</v>
      </c>
      <c r="AF106" s="6">
        <v>6.0000000000000001E-3</v>
      </c>
      <c r="AG106" s="6">
        <v>1.7529999999999999</v>
      </c>
      <c r="AH106" s="6"/>
      <c r="AI106" s="6">
        <f t="shared" si="53"/>
        <v>0.29599999999999982</v>
      </c>
      <c r="AJ106">
        <f t="shared" si="58"/>
        <v>0</v>
      </c>
      <c r="AK106" s="21">
        <f t="shared" si="56"/>
        <v>0</v>
      </c>
      <c r="AL106">
        <f t="shared" si="57"/>
        <v>197.00000000000009</v>
      </c>
      <c r="AM106" s="4">
        <v>23.58</v>
      </c>
      <c r="AN106">
        <v>16.53</v>
      </c>
      <c r="AP106" s="7">
        <f t="shared" si="54"/>
        <v>0.35099999999999998</v>
      </c>
      <c r="AQ106" s="7">
        <f t="shared" si="33"/>
        <v>1.1890000000000001</v>
      </c>
      <c r="AS106">
        <f t="shared" si="34"/>
        <v>16.53</v>
      </c>
      <c r="AT106">
        <f t="shared" si="35"/>
        <v>3.5</v>
      </c>
      <c r="AU106">
        <f t="shared" si="36"/>
        <v>58.4</v>
      </c>
      <c r="AV106" t="s">
        <v>104</v>
      </c>
      <c r="AW106">
        <f t="shared" si="37"/>
        <v>3.2</v>
      </c>
      <c r="AX106">
        <f t="shared" si="38"/>
        <v>0.5</v>
      </c>
      <c r="AY106">
        <f t="shared" si="39"/>
        <v>13.4</v>
      </c>
      <c r="AZ106">
        <f t="shared" si="40"/>
        <v>91.4</v>
      </c>
      <c r="BA106" t="s">
        <v>104</v>
      </c>
      <c r="BB106">
        <f t="shared" si="41"/>
        <v>21.6</v>
      </c>
      <c r="BC106">
        <f t="shared" si="42"/>
        <v>1.7</v>
      </c>
      <c r="BD106">
        <f t="shared" si="43"/>
        <v>-3.9</v>
      </c>
      <c r="BE106">
        <f t="shared" si="44"/>
        <v>22.8</v>
      </c>
      <c r="BF106" t="s">
        <v>104</v>
      </c>
      <c r="BG106">
        <f t="shared" si="45"/>
        <v>-5.0999999999999996</v>
      </c>
      <c r="BH106">
        <f t="shared" si="46"/>
        <v>-0.2</v>
      </c>
      <c r="BI106">
        <f t="shared" si="47"/>
        <v>0.67</v>
      </c>
      <c r="BJ106">
        <f t="shared" si="48"/>
        <v>2.11</v>
      </c>
      <c r="BK106">
        <f t="shared" si="49"/>
        <v>0.29599999999999982</v>
      </c>
      <c r="BL106">
        <f t="shared" si="50"/>
        <v>0</v>
      </c>
      <c r="BM106">
        <f t="shared" si="51"/>
        <v>0.35099999999999998</v>
      </c>
      <c r="BN106">
        <f t="shared" si="52"/>
        <v>1.1890000000000001</v>
      </c>
    </row>
    <row r="107" spans="1:66" x14ac:dyDescent="0.25">
      <c r="A107">
        <v>2024</v>
      </c>
      <c r="B107" s="1">
        <f t="shared" si="55"/>
        <v>45393</v>
      </c>
      <c r="C107">
        <v>102</v>
      </c>
      <c r="D107">
        <v>70</v>
      </c>
      <c r="E107" s="6">
        <v>12.99</v>
      </c>
      <c r="F107" s="6">
        <v>3.0449999999999999</v>
      </c>
      <c r="G107" s="6">
        <v>8.94</v>
      </c>
      <c r="H107" s="6">
        <v>-1.835</v>
      </c>
      <c r="I107" s="6">
        <v>7.54</v>
      </c>
      <c r="J107" s="6">
        <v>3.762</v>
      </c>
      <c r="K107" s="6">
        <v>61.02</v>
      </c>
      <c r="L107" s="6"/>
      <c r="M107" s="6">
        <v>3.08</v>
      </c>
      <c r="N107" s="6">
        <v>0.52600000000000002</v>
      </c>
      <c r="O107" s="6">
        <v>8.81</v>
      </c>
      <c r="P107" s="6">
        <v>92.1</v>
      </c>
      <c r="Q107" s="6"/>
      <c r="R107" s="6">
        <v>11.07</v>
      </c>
      <c r="S107" s="6">
        <v>1.0349999999999999</v>
      </c>
      <c r="T107" s="6">
        <v>-0.316</v>
      </c>
      <c r="U107" s="6">
        <v>35.04</v>
      </c>
      <c r="V107" s="6"/>
      <c r="W107" s="6">
        <v>-1.722</v>
      </c>
      <c r="X107" s="6">
        <v>9.1999999999999998E-2</v>
      </c>
      <c r="Y107" s="6">
        <v>0.70499999999999996</v>
      </c>
      <c r="Z107" s="6">
        <v>2.1800000000000002</v>
      </c>
      <c r="AA107" s="6">
        <v>1</v>
      </c>
      <c r="AB107" s="6">
        <v>1.78</v>
      </c>
      <c r="AC107" s="6">
        <v>9.1</v>
      </c>
      <c r="AD107" s="6">
        <v>-1.6579999999999999</v>
      </c>
      <c r="AE107" s="6">
        <v>8.9999999999999993E-3</v>
      </c>
      <c r="AF107" s="6">
        <v>7.0000000000000001E-3</v>
      </c>
      <c r="AG107" s="6">
        <v>1.7749999999999999</v>
      </c>
      <c r="AH107" s="6"/>
      <c r="AI107" s="6">
        <f t="shared" si="53"/>
        <v>0.2699999999999998</v>
      </c>
      <c r="AJ107">
        <f t="shared" si="58"/>
        <v>0</v>
      </c>
      <c r="AK107" s="21">
        <f t="shared" si="56"/>
        <v>0</v>
      </c>
      <c r="AL107">
        <f t="shared" si="57"/>
        <v>197.00000000000009</v>
      </c>
      <c r="AM107" s="4">
        <v>23.83</v>
      </c>
      <c r="AN107">
        <v>7.54</v>
      </c>
      <c r="AP107" s="7">
        <f t="shared" si="54"/>
        <v>0.39700000000000002</v>
      </c>
      <c r="AQ107" s="7">
        <f t="shared" si="33"/>
        <v>0.73599999999999999</v>
      </c>
      <c r="AS107">
        <f t="shared" si="34"/>
        <v>7.54</v>
      </c>
      <c r="AT107">
        <f t="shared" si="35"/>
        <v>3.8</v>
      </c>
      <c r="AU107">
        <f t="shared" si="36"/>
        <v>61</v>
      </c>
      <c r="AV107" t="s">
        <v>104</v>
      </c>
      <c r="AW107">
        <f t="shared" si="37"/>
        <v>3.1</v>
      </c>
      <c r="AX107">
        <f t="shared" si="38"/>
        <v>0.5</v>
      </c>
      <c r="AY107">
        <f t="shared" si="39"/>
        <v>8.8000000000000007</v>
      </c>
      <c r="AZ107">
        <f t="shared" si="40"/>
        <v>92.1</v>
      </c>
      <c r="BA107" t="s">
        <v>104</v>
      </c>
      <c r="BB107">
        <f t="shared" si="41"/>
        <v>11.1</v>
      </c>
      <c r="BC107">
        <f t="shared" si="42"/>
        <v>1</v>
      </c>
      <c r="BD107">
        <f t="shared" si="43"/>
        <v>-0.3</v>
      </c>
      <c r="BE107">
        <f t="shared" si="44"/>
        <v>35</v>
      </c>
      <c r="BF107" t="s">
        <v>104</v>
      </c>
      <c r="BG107">
        <f t="shared" si="45"/>
        <v>-1.7</v>
      </c>
      <c r="BH107">
        <f t="shared" si="46"/>
        <v>0.1</v>
      </c>
      <c r="BI107">
        <f t="shared" si="47"/>
        <v>0.71</v>
      </c>
      <c r="BJ107">
        <f t="shared" si="48"/>
        <v>2.1800000000000002</v>
      </c>
      <c r="BK107">
        <f t="shared" si="49"/>
        <v>0.2699999999999998</v>
      </c>
      <c r="BL107">
        <f t="shared" si="50"/>
        <v>0</v>
      </c>
      <c r="BM107">
        <f t="shared" si="51"/>
        <v>0.39700000000000002</v>
      </c>
      <c r="BN107">
        <f t="shared" si="52"/>
        <v>0.73599999999999999</v>
      </c>
    </row>
    <row r="108" spans="1:66" x14ac:dyDescent="0.25">
      <c r="A108">
        <v>2024</v>
      </c>
      <c r="B108" s="1">
        <f t="shared" si="55"/>
        <v>45394</v>
      </c>
      <c r="C108">
        <v>103</v>
      </c>
      <c r="D108">
        <v>70</v>
      </c>
      <c r="E108" s="6">
        <v>13.05</v>
      </c>
      <c r="F108" s="6">
        <v>2.68</v>
      </c>
      <c r="G108" s="6">
        <v>11.09</v>
      </c>
      <c r="H108" s="6">
        <v>-2.7429999999999999</v>
      </c>
      <c r="I108" s="6">
        <v>10.5</v>
      </c>
      <c r="J108" s="6">
        <v>3.714</v>
      </c>
      <c r="K108" s="6">
        <v>71.8</v>
      </c>
      <c r="L108" s="6"/>
      <c r="M108" s="6">
        <v>2.8180000000000001</v>
      </c>
      <c r="N108" s="6">
        <v>0.497</v>
      </c>
      <c r="O108" s="6">
        <v>11.37</v>
      </c>
      <c r="P108" s="6">
        <v>93.3</v>
      </c>
      <c r="Q108" s="6"/>
      <c r="R108" s="6">
        <v>16.04</v>
      </c>
      <c r="S108" s="6">
        <v>1.5249999999999999</v>
      </c>
      <c r="T108" s="6">
        <v>-1.246</v>
      </c>
      <c r="U108" s="6">
        <v>37.119999999999997</v>
      </c>
      <c r="V108" s="6"/>
      <c r="W108" s="6">
        <v>-2.0710000000000002</v>
      </c>
      <c r="X108" s="6">
        <v>3.3000000000000002E-2</v>
      </c>
      <c r="Y108" s="6">
        <v>0.45100000000000001</v>
      </c>
      <c r="Z108" s="6">
        <v>1.794</v>
      </c>
      <c r="AA108" s="6">
        <v>0.1</v>
      </c>
      <c r="AB108" s="6">
        <v>1.7949999999999999</v>
      </c>
      <c r="AC108" s="6">
        <v>10.63</v>
      </c>
      <c r="AD108" s="6">
        <v>-2.61</v>
      </c>
      <c r="AE108" s="6">
        <v>8.9999999999999993E-3</v>
      </c>
      <c r="AF108" s="6">
        <v>7.0000000000000001E-3</v>
      </c>
      <c r="AG108" s="6">
        <v>1.79</v>
      </c>
      <c r="AH108" s="6"/>
      <c r="AI108" s="6">
        <f t="shared" si="53"/>
        <v>0.25499999999999989</v>
      </c>
      <c r="AJ108">
        <f t="shared" si="58"/>
        <v>0</v>
      </c>
      <c r="AK108" s="21">
        <f t="shared" si="56"/>
        <v>0</v>
      </c>
      <c r="AL108">
        <f t="shared" si="57"/>
        <v>197.00000000000009</v>
      </c>
      <c r="AM108" s="4">
        <v>24.07</v>
      </c>
      <c r="AN108">
        <v>10.5</v>
      </c>
      <c r="AP108" s="7">
        <f t="shared" si="54"/>
        <v>0.499</v>
      </c>
      <c r="AQ108" s="7">
        <f t="shared" si="33"/>
        <v>0.84499999999999997</v>
      </c>
      <c r="AS108">
        <f t="shared" si="34"/>
        <v>10.5</v>
      </c>
      <c r="AT108">
        <f t="shared" si="35"/>
        <v>3.7</v>
      </c>
      <c r="AU108">
        <f t="shared" si="36"/>
        <v>71.8</v>
      </c>
      <c r="AV108" t="s">
        <v>104</v>
      </c>
      <c r="AW108">
        <f t="shared" si="37"/>
        <v>2.8</v>
      </c>
      <c r="AX108">
        <f t="shared" si="38"/>
        <v>0.5</v>
      </c>
      <c r="AY108">
        <f t="shared" si="39"/>
        <v>11.4</v>
      </c>
      <c r="AZ108">
        <f t="shared" si="40"/>
        <v>93.3</v>
      </c>
      <c r="BA108" t="s">
        <v>104</v>
      </c>
      <c r="BB108">
        <f t="shared" si="41"/>
        <v>16</v>
      </c>
      <c r="BC108">
        <f t="shared" si="42"/>
        <v>1.5</v>
      </c>
      <c r="BD108">
        <f t="shared" si="43"/>
        <v>-1.2</v>
      </c>
      <c r="BE108">
        <f t="shared" si="44"/>
        <v>37.1</v>
      </c>
      <c r="BF108" t="s">
        <v>104</v>
      </c>
      <c r="BG108">
        <f t="shared" si="45"/>
        <v>-2.1</v>
      </c>
      <c r="BH108">
        <f t="shared" si="46"/>
        <v>0</v>
      </c>
      <c r="BI108">
        <f t="shared" si="47"/>
        <v>0.45</v>
      </c>
      <c r="BJ108">
        <f t="shared" si="48"/>
        <v>1.79</v>
      </c>
      <c r="BK108">
        <f t="shared" si="49"/>
        <v>0.25499999999999989</v>
      </c>
      <c r="BL108">
        <f t="shared" si="50"/>
        <v>0</v>
      </c>
      <c r="BM108">
        <f t="shared" si="51"/>
        <v>0.499</v>
      </c>
      <c r="BN108">
        <f t="shared" si="52"/>
        <v>0.84499999999999997</v>
      </c>
    </row>
    <row r="109" spans="1:66" x14ac:dyDescent="0.25">
      <c r="A109">
        <v>2024</v>
      </c>
      <c r="B109" s="1">
        <f t="shared" si="55"/>
        <v>45395</v>
      </c>
      <c r="C109">
        <v>104</v>
      </c>
      <c r="D109">
        <v>70</v>
      </c>
      <c r="E109" s="6">
        <v>13.05</v>
      </c>
      <c r="F109" s="6">
        <v>5.1630000000000003</v>
      </c>
      <c r="G109" s="6">
        <v>17.02</v>
      </c>
      <c r="H109" s="6">
        <v>-2.347</v>
      </c>
      <c r="I109" s="6">
        <v>19.260000000000002</v>
      </c>
      <c r="J109" s="6">
        <v>6.2489999999999997</v>
      </c>
      <c r="K109" s="6">
        <v>50.11</v>
      </c>
      <c r="L109" s="6"/>
      <c r="M109" s="6">
        <v>5.5229999999999997</v>
      </c>
      <c r="N109" s="6">
        <v>0.48599999999999999</v>
      </c>
      <c r="O109" s="6">
        <v>14.83</v>
      </c>
      <c r="P109" s="6">
        <v>79.7</v>
      </c>
      <c r="Q109" s="6"/>
      <c r="R109" s="6">
        <v>24.39</v>
      </c>
      <c r="S109" s="6">
        <v>1.3879999999999999</v>
      </c>
      <c r="T109" s="6">
        <v>-0.64</v>
      </c>
      <c r="U109" s="6">
        <v>25.13</v>
      </c>
      <c r="V109" s="6"/>
      <c r="W109" s="6">
        <v>-2.5499999999999998</v>
      </c>
      <c r="X109" s="6">
        <v>-0.06</v>
      </c>
      <c r="Y109" s="6">
        <v>0.89700000000000002</v>
      </c>
      <c r="Z109" s="6">
        <v>2.4340000000000002</v>
      </c>
      <c r="AA109" s="6">
        <v>0</v>
      </c>
      <c r="AB109" s="6">
        <v>1.8320000000000001</v>
      </c>
      <c r="AC109" s="6">
        <v>17.38</v>
      </c>
      <c r="AD109" s="6">
        <v>-2.194</v>
      </c>
      <c r="AE109" s="6">
        <v>8.9999999999999993E-3</v>
      </c>
      <c r="AF109" s="6">
        <v>7.0000000000000001E-3</v>
      </c>
      <c r="AG109" s="6">
        <v>1.821</v>
      </c>
      <c r="AH109" s="6"/>
      <c r="AI109" s="6">
        <f t="shared" si="53"/>
        <v>0.21799999999999975</v>
      </c>
      <c r="AJ109">
        <f t="shared" si="58"/>
        <v>0</v>
      </c>
      <c r="AK109" s="21">
        <f t="shared" si="56"/>
        <v>0</v>
      </c>
      <c r="AL109">
        <f t="shared" si="57"/>
        <v>197.00000000000009</v>
      </c>
      <c r="AM109" s="4">
        <v>24.32</v>
      </c>
      <c r="AN109">
        <v>19.25</v>
      </c>
      <c r="AP109" s="7">
        <f t="shared" si="54"/>
        <v>0.42399999999999999</v>
      </c>
      <c r="AQ109" s="7">
        <f t="shared" si="33"/>
        <v>1.2629999999999999</v>
      </c>
      <c r="AS109">
        <f t="shared" si="34"/>
        <v>19.25</v>
      </c>
      <c r="AT109">
        <f t="shared" si="35"/>
        <v>6.2</v>
      </c>
      <c r="AU109">
        <f t="shared" si="36"/>
        <v>50.1</v>
      </c>
      <c r="AV109" t="s">
        <v>104</v>
      </c>
      <c r="AW109">
        <f t="shared" si="37"/>
        <v>5.5</v>
      </c>
      <c r="AX109">
        <f t="shared" si="38"/>
        <v>0.5</v>
      </c>
      <c r="AY109">
        <f t="shared" si="39"/>
        <v>14.8</v>
      </c>
      <c r="AZ109">
        <f t="shared" si="40"/>
        <v>79.7</v>
      </c>
      <c r="BA109" t="s">
        <v>104</v>
      </c>
      <c r="BB109">
        <f t="shared" si="41"/>
        <v>24.4</v>
      </c>
      <c r="BC109">
        <f t="shared" si="42"/>
        <v>1.4</v>
      </c>
      <c r="BD109">
        <f t="shared" si="43"/>
        <v>-0.6</v>
      </c>
      <c r="BE109">
        <f t="shared" si="44"/>
        <v>25.1</v>
      </c>
      <c r="BF109" t="s">
        <v>104</v>
      </c>
      <c r="BG109">
        <f t="shared" si="45"/>
        <v>-2.6</v>
      </c>
      <c r="BH109">
        <f t="shared" si="46"/>
        <v>-0.1</v>
      </c>
      <c r="BI109">
        <f t="shared" si="47"/>
        <v>0.9</v>
      </c>
      <c r="BJ109">
        <f t="shared" si="48"/>
        <v>2.4300000000000002</v>
      </c>
      <c r="BK109">
        <f t="shared" si="49"/>
        <v>0.21799999999999975</v>
      </c>
      <c r="BL109">
        <f t="shared" si="50"/>
        <v>0</v>
      </c>
      <c r="BM109">
        <f t="shared" si="51"/>
        <v>0.42399999999999999</v>
      </c>
      <c r="BN109">
        <f t="shared" si="52"/>
        <v>1.2629999999999999</v>
      </c>
    </row>
    <row r="110" spans="1:66" x14ac:dyDescent="0.25">
      <c r="A110">
        <v>2024</v>
      </c>
      <c r="B110" s="1">
        <f t="shared" si="55"/>
        <v>45396</v>
      </c>
      <c r="C110">
        <v>105</v>
      </c>
      <c r="D110">
        <v>70</v>
      </c>
      <c r="E110" s="6">
        <v>13.02</v>
      </c>
      <c r="F110" s="6">
        <v>7.59</v>
      </c>
      <c r="G110" s="6">
        <v>18.649999999999999</v>
      </c>
      <c r="H110" s="6">
        <v>-0.75700000000000001</v>
      </c>
      <c r="I110" s="6">
        <v>16.329999999999998</v>
      </c>
      <c r="J110" s="6">
        <v>8.89</v>
      </c>
      <c r="K110" s="6">
        <v>39.130000000000003</v>
      </c>
      <c r="L110" s="6"/>
      <c r="M110" s="6">
        <v>7.91</v>
      </c>
      <c r="N110" s="6">
        <v>0.51100000000000001</v>
      </c>
      <c r="O110" s="6">
        <v>17.38</v>
      </c>
      <c r="P110" s="6">
        <v>59.93</v>
      </c>
      <c r="Q110" s="6"/>
      <c r="R110" s="6">
        <v>26.13</v>
      </c>
      <c r="S110" s="6">
        <v>1.867</v>
      </c>
      <c r="T110" s="6">
        <v>1.702</v>
      </c>
      <c r="U110" s="6">
        <v>20.09</v>
      </c>
      <c r="V110" s="6"/>
      <c r="W110" s="6">
        <v>-1.5289999999999999</v>
      </c>
      <c r="X110" s="6">
        <v>-6.0999999999999999E-2</v>
      </c>
      <c r="Y110" s="6">
        <v>0.90400000000000003</v>
      </c>
      <c r="Z110" s="6">
        <v>2.34</v>
      </c>
      <c r="AA110" s="6">
        <v>0</v>
      </c>
      <c r="AB110" s="6">
        <v>1.869</v>
      </c>
      <c r="AC110" s="6">
        <v>19.23</v>
      </c>
      <c r="AD110" s="6">
        <v>-0.66700000000000004</v>
      </c>
      <c r="AE110" s="6">
        <v>0.01</v>
      </c>
      <c r="AF110" s="6">
        <v>7.0000000000000001E-3</v>
      </c>
      <c r="AG110" s="6">
        <v>1.8480000000000001</v>
      </c>
      <c r="AH110" s="6"/>
      <c r="AI110" s="6">
        <f t="shared" si="53"/>
        <v>0.18099999999999983</v>
      </c>
      <c r="AJ110">
        <f t="shared" si="58"/>
        <v>0</v>
      </c>
      <c r="AK110" s="21">
        <f t="shared" si="56"/>
        <v>0</v>
      </c>
      <c r="AL110">
        <f t="shared" si="57"/>
        <v>197.00000000000009</v>
      </c>
      <c r="AM110" s="4">
        <v>24.57</v>
      </c>
      <c r="AN110">
        <v>16.32</v>
      </c>
      <c r="AP110" s="7">
        <f t="shared" si="54"/>
        <v>0.39900000000000002</v>
      </c>
      <c r="AQ110" s="7">
        <f t="shared" si="33"/>
        <v>1.587</v>
      </c>
      <c r="AS110">
        <f t="shared" si="34"/>
        <v>16.32</v>
      </c>
      <c r="AT110">
        <f t="shared" si="35"/>
        <v>8.9</v>
      </c>
      <c r="AU110">
        <f t="shared" si="36"/>
        <v>39.1</v>
      </c>
      <c r="AV110" t="s">
        <v>104</v>
      </c>
      <c r="AW110">
        <f t="shared" si="37"/>
        <v>7.9</v>
      </c>
      <c r="AX110">
        <f t="shared" si="38"/>
        <v>0.5</v>
      </c>
      <c r="AY110">
        <f t="shared" si="39"/>
        <v>17.399999999999999</v>
      </c>
      <c r="AZ110">
        <f t="shared" si="40"/>
        <v>59.9</v>
      </c>
      <c r="BA110" t="s">
        <v>104</v>
      </c>
      <c r="BB110">
        <f t="shared" si="41"/>
        <v>26.1</v>
      </c>
      <c r="BC110">
        <f t="shared" si="42"/>
        <v>1.9</v>
      </c>
      <c r="BD110">
        <f t="shared" si="43"/>
        <v>1.7</v>
      </c>
      <c r="BE110">
        <f t="shared" si="44"/>
        <v>20.100000000000001</v>
      </c>
      <c r="BF110" t="s">
        <v>104</v>
      </c>
      <c r="BG110">
        <f t="shared" si="45"/>
        <v>-1.5</v>
      </c>
      <c r="BH110">
        <f t="shared" si="46"/>
        <v>-0.1</v>
      </c>
      <c r="BI110">
        <f t="shared" si="47"/>
        <v>0.9</v>
      </c>
      <c r="BJ110">
        <f t="shared" si="48"/>
        <v>2.34</v>
      </c>
      <c r="BK110">
        <f t="shared" si="49"/>
        <v>0.18099999999999983</v>
      </c>
      <c r="BL110">
        <f t="shared" si="50"/>
        <v>0</v>
      </c>
      <c r="BM110">
        <f t="shared" si="51"/>
        <v>0.39900000000000002</v>
      </c>
      <c r="BN110">
        <f t="shared" si="52"/>
        <v>1.587</v>
      </c>
    </row>
    <row r="111" spans="1:66" x14ac:dyDescent="0.25">
      <c r="A111">
        <v>2024</v>
      </c>
      <c r="B111" s="1">
        <f t="shared" si="55"/>
        <v>45397</v>
      </c>
      <c r="C111">
        <v>106</v>
      </c>
      <c r="D111">
        <v>70</v>
      </c>
      <c r="E111" s="6">
        <v>13</v>
      </c>
      <c r="F111" s="6">
        <v>3.3149999999999999</v>
      </c>
      <c r="G111" s="6">
        <v>12.73</v>
      </c>
      <c r="H111" s="6">
        <v>-2.83</v>
      </c>
      <c r="I111" s="6">
        <v>11.11</v>
      </c>
      <c r="J111" s="6">
        <v>3.69</v>
      </c>
      <c r="K111" s="6">
        <v>57.71</v>
      </c>
      <c r="L111" s="6"/>
      <c r="M111" s="6">
        <v>3.7170000000000001</v>
      </c>
      <c r="N111" s="6">
        <v>0.39700000000000002</v>
      </c>
      <c r="O111" s="6">
        <v>10.56</v>
      </c>
      <c r="P111" s="6">
        <v>93</v>
      </c>
      <c r="Q111" s="6"/>
      <c r="R111" s="6">
        <v>19</v>
      </c>
      <c r="S111" s="6">
        <v>1.425</v>
      </c>
      <c r="T111" s="6">
        <v>-2.86</v>
      </c>
      <c r="U111" s="6">
        <v>32.94</v>
      </c>
      <c r="V111" s="6"/>
      <c r="W111" s="6">
        <v>-1.625</v>
      </c>
      <c r="X111" s="6">
        <v>-6.6000000000000003E-2</v>
      </c>
      <c r="Y111" s="6">
        <v>1.2729999999999999</v>
      </c>
      <c r="Z111" s="6">
        <v>3.234</v>
      </c>
      <c r="AA111" s="6">
        <v>0</v>
      </c>
      <c r="AB111" s="20">
        <v>1.83</v>
      </c>
      <c r="AC111" s="6">
        <v>13.01</v>
      </c>
      <c r="AD111" s="6">
        <v>-2.5270000000000001</v>
      </c>
      <c r="AE111" s="6">
        <v>8.9999999999999993E-3</v>
      </c>
      <c r="AF111" s="6">
        <v>6.0000000000000001E-3</v>
      </c>
      <c r="AG111" s="6">
        <v>0</v>
      </c>
      <c r="AH111" s="6"/>
      <c r="AI111" s="6">
        <f t="shared" si="53"/>
        <v>0.21999999999999975</v>
      </c>
      <c r="AJ111">
        <f t="shared" si="58"/>
        <v>5.0999999999999996</v>
      </c>
      <c r="AK111" s="21">
        <f t="shared" si="56"/>
        <v>5.0999999999999996</v>
      </c>
      <c r="AL111">
        <f t="shared" si="57"/>
        <v>202.10000000000008</v>
      </c>
      <c r="AM111" s="4">
        <v>24.81</v>
      </c>
      <c r="AN111">
        <v>11.1</v>
      </c>
      <c r="AP111" s="7">
        <f t="shared" si="54"/>
        <v>0.42</v>
      </c>
      <c r="AQ111" s="7">
        <f t="shared" si="33"/>
        <v>0.85499999999999998</v>
      </c>
      <c r="AS111">
        <f t="shared" si="34"/>
        <v>11.1</v>
      </c>
      <c r="AT111">
        <f t="shared" si="35"/>
        <v>3.7</v>
      </c>
      <c r="AU111">
        <f t="shared" si="36"/>
        <v>57.7</v>
      </c>
      <c r="AV111" t="s">
        <v>104</v>
      </c>
      <c r="AW111">
        <f t="shared" si="37"/>
        <v>3.7</v>
      </c>
      <c r="AX111">
        <f t="shared" si="38"/>
        <v>0.4</v>
      </c>
      <c r="AY111">
        <f t="shared" si="39"/>
        <v>10.6</v>
      </c>
      <c r="AZ111">
        <f t="shared" si="40"/>
        <v>93</v>
      </c>
      <c r="BA111" t="s">
        <v>104</v>
      </c>
      <c r="BB111">
        <f t="shared" si="41"/>
        <v>19</v>
      </c>
      <c r="BC111">
        <f t="shared" si="42"/>
        <v>1.4</v>
      </c>
      <c r="BD111">
        <f t="shared" si="43"/>
        <v>-2.9</v>
      </c>
      <c r="BE111">
        <f t="shared" si="44"/>
        <v>32.9</v>
      </c>
      <c r="BF111" t="s">
        <v>104</v>
      </c>
      <c r="BG111">
        <f t="shared" si="45"/>
        <v>-1.6</v>
      </c>
      <c r="BH111">
        <f t="shared" si="46"/>
        <v>-0.1</v>
      </c>
      <c r="BI111">
        <f t="shared" si="47"/>
        <v>1.27</v>
      </c>
      <c r="BJ111">
        <f t="shared" si="48"/>
        <v>3.23</v>
      </c>
      <c r="BK111">
        <f t="shared" si="49"/>
        <v>0.21999999999999975</v>
      </c>
      <c r="BL111">
        <f t="shared" si="50"/>
        <v>5.0999999999999996</v>
      </c>
      <c r="BM111">
        <f t="shared" si="51"/>
        <v>0.42</v>
      </c>
      <c r="BN111">
        <f t="shared" si="52"/>
        <v>0.85499999999999998</v>
      </c>
    </row>
    <row r="112" spans="1:66" x14ac:dyDescent="0.25">
      <c r="A112">
        <v>2024</v>
      </c>
      <c r="B112" s="1">
        <f t="shared" si="55"/>
        <v>45398</v>
      </c>
      <c r="C112">
        <v>107</v>
      </c>
      <c r="D112">
        <v>70</v>
      </c>
      <c r="E112" s="6">
        <v>13.05</v>
      </c>
      <c r="F112" s="6">
        <v>-1.9390000000000001</v>
      </c>
      <c r="G112" s="6">
        <v>4.4160000000000004</v>
      </c>
      <c r="H112" s="6">
        <v>-5.9649999999999999</v>
      </c>
      <c r="I112" s="6">
        <v>4.9050000000000002</v>
      </c>
      <c r="J112" s="6">
        <v>-1.6080000000000001</v>
      </c>
      <c r="K112" s="6">
        <v>83.3</v>
      </c>
      <c r="L112" s="6"/>
      <c r="M112" s="6">
        <v>-0.748</v>
      </c>
      <c r="N112" s="6">
        <v>0.33</v>
      </c>
      <c r="O112" s="6">
        <v>6.9480000000000004</v>
      </c>
      <c r="P112" s="6">
        <v>91.3</v>
      </c>
      <c r="Q112" s="6"/>
      <c r="R112" s="6">
        <v>1.304</v>
      </c>
      <c r="S112" s="6">
        <v>1.367</v>
      </c>
      <c r="T112" s="6">
        <v>-5.1449999999999996</v>
      </c>
      <c r="U112" s="6">
        <v>55.29</v>
      </c>
      <c r="V112" s="6"/>
      <c r="W112" s="6">
        <v>-2.4079999999999999</v>
      </c>
      <c r="X112" s="6">
        <v>-0.185</v>
      </c>
      <c r="Y112" s="6">
        <v>0.84599999999999997</v>
      </c>
      <c r="Z112" s="6">
        <v>2.54</v>
      </c>
      <c r="AA112" s="6">
        <v>6.5</v>
      </c>
      <c r="AB112" s="6">
        <v>1.8180000000000001</v>
      </c>
      <c r="AC112" s="6">
        <v>3.819</v>
      </c>
      <c r="AD112" s="6">
        <v>-5.7649999999999997</v>
      </c>
      <c r="AE112" s="6">
        <v>8.9999999999999993E-3</v>
      </c>
      <c r="AF112" s="6">
        <v>6.0000000000000001E-3</v>
      </c>
      <c r="AG112" s="6">
        <v>1.831</v>
      </c>
      <c r="AH112" s="6"/>
      <c r="AI112" s="6">
        <f t="shared" si="53"/>
        <v>0.23199999999999976</v>
      </c>
      <c r="AJ112">
        <f t="shared" si="58"/>
        <v>1.6</v>
      </c>
      <c r="AK112" s="21">
        <f t="shared" si="56"/>
        <v>1.6</v>
      </c>
      <c r="AL112">
        <f t="shared" si="57"/>
        <v>203.70000000000007</v>
      </c>
      <c r="AM112" s="4">
        <v>25.05</v>
      </c>
      <c r="AN112">
        <v>4.9000000000000004</v>
      </c>
      <c r="AP112" s="7">
        <f t="shared" si="54"/>
        <v>0.55200000000000005</v>
      </c>
      <c r="AQ112" s="7">
        <f t="shared" si="33"/>
        <v>0.44600000000000001</v>
      </c>
      <c r="AS112">
        <f t="shared" si="34"/>
        <v>4.9000000000000004</v>
      </c>
      <c r="AT112">
        <f t="shared" si="35"/>
        <v>-1.6</v>
      </c>
      <c r="AU112">
        <f t="shared" si="36"/>
        <v>83.3</v>
      </c>
      <c r="AV112" t="s">
        <v>104</v>
      </c>
      <c r="AW112">
        <f t="shared" si="37"/>
        <v>-0.7</v>
      </c>
      <c r="AX112">
        <f t="shared" si="38"/>
        <v>0.3</v>
      </c>
      <c r="AY112">
        <f t="shared" si="39"/>
        <v>6.9</v>
      </c>
      <c r="AZ112">
        <f t="shared" si="40"/>
        <v>91.3</v>
      </c>
      <c r="BA112" t="s">
        <v>104</v>
      </c>
      <c r="BB112">
        <f t="shared" si="41"/>
        <v>1.3</v>
      </c>
      <c r="BC112">
        <f t="shared" si="42"/>
        <v>1.4</v>
      </c>
      <c r="BD112">
        <f t="shared" si="43"/>
        <v>-5.0999999999999996</v>
      </c>
      <c r="BE112">
        <f t="shared" si="44"/>
        <v>55.3</v>
      </c>
      <c r="BF112" t="s">
        <v>104</v>
      </c>
      <c r="BG112">
        <f t="shared" si="45"/>
        <v>-2.4</v>
      </c>
      <c r="BH112">
        <f t="shared" si="46"/>
        <v>-0.2</v>
      </c>
      <c r="BI112">
        <f t="shared" si="47"/>
        <v>0.85</v>
      </c>
      <c r="BJ112">
        <f t="shared" si="48"/>
        <v>2.54</v>
      </c>
      <c r="BK112">
        <f t="shared" si="49"/>
        <v>0.23199999999999976</v>
      </c>
      <c r="BL112">
        <f t="shared" si="50"/>
        <v>1.6</v>
      </c>
      <c r="BM112">
        <f t="shared" si="51"/>
        <v>0.55200000000000005</v>
      </c>
      <c r="BN112">
        <f t="shared" si="52"/>
        <v>0.44600000000000001</v>
      </c>
    </row>
    <row r="113" spans="1:66" x14ac:dyDescent="0.25">
      <c r="A113">
        <v>2024</v>
      </c>
      <c r="B113" s="1">
        <f t="shared" si="55"/>
        <v>45399</v>
      </c>
      <c r="C113">
        <v>108</v>
      </c>
      <c r="D113">
        <v>70</v>
      </c>
      <c r="E113" s="6">
        <v>13.09</v>
      </c>
      <c r="F113" s="6">
        <v>-2.335</v>
      </c>
      <c r="G113" s="6">
        <v>6.4189999999999996</v>
      </c>
      <c r="H113" s="6">
        <v>-9.1</v>
      </c>
      <c r="I113" s="6">
        <v>13.32</v>
      </c>
      <c r="J113" s="6">
        <v>-0.72299999999999998</v>
      </c>
      <c r="K113" s="6">
        <v>69.680000000000007</v>
      </c>
      <c r="L113" s="6"/>
      <c r="M113" s="6">
        <v>-0.45200000000000001</v>
      </c>
      <c r="N113" s="6">
        <v>0.38700000000000001</v>
      </c>
      <c r="O113" s="6">
        <v>8.68</v>
      </c>
      <c r="P113" s="6">
        <v>90.5</v>
      </c>
      <c r="Q113" s="6"/>
      <c r="R113" s="6">
        <v>13.26</v>
      </c>
      <c r="S113" s="6">
        <v>1.2549999999999999</v>
      </c>
      <c r="T113" s="6">
        <v>-7.36</v>
      </c>
      <c r="U113" s="6">
        <v>29.85</v>
      </c>
      <c r="V113" s="6"/>
      <c r="W113" s="6">
        <v>-4.8259999999999996</v>
      </c>
      <c r="X113" s="6">
        <v>-4.2999999999999997E-2</v>
      </c>
      <c r="Y113" s="6">
        <v>0.36599999999999999</v>
      </c>
      <c r="Z113" s="6">
        <v>1.6739999999999999</v>
      </c>
      <c r="AA113" s="6">
        <v>2.5</v>
      </c>
      <c r="AB113" s="6">
        <v>1.8520000000000001</v>
      </c>
      <c r="AC113" s="6">
        <v>6.4489999999999998</v>
      </c>
      <c r="AD113" s="6">
        <v>-8.9499999999999993</v>
      </c>
      <c r="AE113" s="6">
        <v>8.9999999999999993E-3</v>
      </c>
      <c r="AF113" s="6">
        <v>6.0000000000000001E-3</v>
      </c>
      <c r="AG113" s="6">
        <v>1.86</v>
      </c>
      <c r="AH113" s="6"/>
      <c r="AI113" s="6">
        <f t="shared" si="53"/>
        <v>0.19799999999999973</v>
      </c>
      <c r="AJ113">
        <f t="shared" si="58"/>
        <v>0</v>
      </c>
      <c r="AK113" s="21">
        <f t="shared" si="56"/>
        <v>0</v>
      </c>
      <c r="AL113">
        <f t="shared" si="57"/>
        <v>203.70000000000007</v>
      </c>
      <c r="AM113" s="4">
        <v>25.29</v>
      </c>
      <c r="AN113">
        <v>13.32</v>
      </c>
      <c r="AP113" s="7">
        <f t="shared" si="54"/>
        <v>0.33500000000000002</v>
      </c>
      <c r="AQ113" s="7">
        <f t="shared" si="33"/>
        <v>0.78700000000000003</v>
      </c>
      <c r="AS113">
        <f t="shared" si="34"/>
        <v>13.32</v>
      </c>
      <c r="AT113">
        <f t="shared" si="35"/>
        <v>-0.7</v>
      </c>
      <c r="AU113">
        <f t="shared" si="36"/>
        <v>69.7</v>
      </c>
      <c r="AV113" t="s">
        <v>104</v>
      </c>
      <c r="AW113">
        <f t="shared" si="37"/>
        <v>-0.5</v>
      </c>
      <c r="AX113">
        <f t="shared" si="38"/>
        <v>0.4</v>
      </c>
      <c r="AY113">
        <f t="shared" si="39"/>
        <v>8.6999999999999993</v>
      </c>
      <c r="AZ113">
        <f t="shared" si="40"/>
        <v>90.5</v>
      </c>
      <c r="BA113" t="s">
        <v>104</v>
      </c>
      <c r="BB113">
        <f t="shared" si="41"/>
        <v>13.3</v>
      </c>
      <c r="BC113">
        <f t="shared" si="42"/>
        <v>1.3</v>
      </c>
      <c r="BD113">
        <f t="shared" si="43"/>
        <v>-7.4</v>
      </c>
      <c r="BE113">
        <f t="shared" si="44"/>
        <v>29.9</v>
      </c>
      <c r="BF113" t="s">
        <v>104</v>
      </c>
      <c r="BG113">
        <f t="shared" si="45"/>
        <v>-4.8</v>
      </c>
      <c r="BH113">
        <f t="shared" si="46"/>
        <v>0</v>
      </c>
      <c r="BI113">
        <f t="shared" si="47"/>
        <v>0.37</v>
      </c>
      <c r="BJ113">
        <f t="shared" si="48"/>
        <v>1.67</v>
      </c>
      <c r="BK113">
        <f t="shared" si="49"/>
        <v>0.19799999999999973</v>
      </c>
      <c r="BL113">
        <f t="shared" si="50"/>
        <v>0</v>
      </c>
      <c r="BM113">
        <f t="shared" si="51"/>
        <v>0.33500000000000002</v>
      </c>
      <c r="BN113">
        <f t="shared" si="52"/>
        <v>0.78700000000000003</v>
      </c>
    </row>
    <row r="114" spans="1:66" x14ac:dyDescent="0.25">
      <c r="A114">
        <v>2024</v>
      </c>
      <c r="B114" s="1">
        <f t="shared" si="55"/>
        <v>45400</v>
      </c>
      <c r="C114">
        <v>109</v>
      </c>
      <c r="D114">
        <v>70</v>
      </c>
      <c r="E114" s="6">
        <v>13.08</v>
      </c>
      <c r="F114" s="6">
        <v>0.311</v>
      </c>
      <c r="G114" s="6">
        <v>11.3</v>
      </c>
      <c r="H114" s="6">
        <v>-6.7279999999999998</v>
      </c>
      <c r="I114" s="6">
        <v>20.69</v>
      </c>
      <c r="J114" s="6">
        <v>1.337</v>
      </c>
      <c r="K114" s="6">
        <v>44.1</v>
      </c>
      <c r="L114" s="6"/>
      <c r="M114" s="6">
        <v>1.5509999999999999</v>
      </c>
      <c r="N114" s="6">
        <v>0.42</v>
      </c>
      <c r="O114" s="6">
        <v>8.8000000000000007</v>
      </c>
      <c r="P114" s="6">
        <v>81.599999999999994</v>
      </c>
      <c r="Q114" s="6"/>
      <c r="R114" s="6">
        <v>19.690000000000001</v>
      </c>
      <c r="S114" s="6">
        <v>1.58</v>
      </c>
      <c r="T114" s="6">
        <v>-4.7320000000000002</v>
      </c>
      <c r="U114" s="6">
        <v>18.350000000000001</v>
      </c>
      <c r="V114" s="6"/>
      <c r="W114" s="6">
        <v>-5.2560000000000002</v>
      </c>
      <c r="X114" s="6">
        <v>-0.39300000000000002</v>
      </c>
      <c r="Y114" s="6">
        <v>0.71299999999999997</v>
      </c>
      <c r="Z114" s="6">
        <v>2.42</v>
      </c>
      <c r="AA114" s="6">
        <v>0</v>
      </c>
      <c r="AB114" s="6">
        <v>1.89</v>
      </c>
      <c r="AC114" s="6">
        <v>11.61</v>
      </c>
      <c r="AD114" s="6">
        <v>-6.6360000000000001</v>
      </c>
      <c r="AE114" s="6">
        <v>8.9999999999999993E-3</v>
      </c>
      <c r="AF114" s="6">
        <v>6.0000000000000001E-3</v>
      </c>
      <c r="AG114" s="6">
        <v>1.895</v>
      </c>
      <c r="AH114" s="6"/>
      <c r="AI114" s="6">
        <f t="shared" si="53"/>
        <v>0.15999999999999992</v>
      </c>
      <c r="AJ114">
        <f t="shared" si="58"/>
        <v>0</v>
      </c>
      <c r="AK114" s="22">
        <f t="shared" ref="AK114:AK177" si="59">AA114</f>
        <v>0</v>
      </c>
      <c r="AL114">
        <f t="shared" si="57"/>
        <v>203.70000000000007</v>
      </c>
      <c r="AM114" s="4">
        <v>25.52</v>
      </c>
      <c r="AN114">
        <v>20.69</v>
      </c>
      <c r="AP114" s="7">
        <f t="shared" si="54"/>
        <v>0.20799999999999999</v>
      </c>
      <c r="AQ114" s="7">
        <f t="shared" si="33"/>
        <v>0.92600000000000005</v>
      </c>
      <c r="AS114">
        <f t="shared" si="34"/>
        <v>20.69</v>
      </c>
      <c r="AT114">
        <f t="shared" si="35"/>
        <v>1.3</v>
      </c>
      <c r="AU114">
        <f t="shared" si="36"/>
        <v>44.1</v>
      </c>
      <c r="AV114" t="s">
        <v>104</v>
      </c>
      <c r="AW114">
        <f t="shared" si="37"/>
        <v>1.6</v>
      </c>
      <c r="AX114">
        <f t="shared" si="38"/>
        <v>0.4</v>
      </c>
      <c r="AY114">
        <f t="shared" si="39"/>
        <v>8.8000000000000007</v>
      </c>
      <c r="AZ114">
        <f t="shared" si="40"/>
        <v>81.599999999999994</v>
      </c>
      <c r="BA114" t="s">
        <v>104</v>
      </c>
      <c r="BB114">
        <f t="shared" si="41"/>
        <v>19.7</v>
      </c>
      <c r="BC114">
        <f t="shared" si="42"/>
        <v>1.6</v>
      </c>
      <c r="BD114">
        <f t="shared" si="43"/>
        <v>-4.7</v>
      </c>
      <c r="BE114">
        <f t="shared" si="44"/>
        <v>18.399999999999999</v>
      </c>
      <c r="BF114" t="s">
        <v>104</v>
      </c>
      <c r="BG114">
        <f t="shared" si="45"/>
        <v>-5.3</v>
      </c>
      <c r="BH114">
        <f t="shared" si="46"/>
        <v>-0.4</v>
      </c>
      <c r="BI114">
        <f t="shared" si="47"/>
        <v>0.71</v>
      </c>
      <c r="BJ114">
        <f t="shared" si="48"/>
        <v>2.42</v>
      </c>
      <c r="BK114">
        <f t="shared" si="49"/>
        <v>0.15999999999999992</v>
      </c>
      <c r="BL114">
        <f t="shared" si="50"/>
        <v>0</v>
      </c>
      <c r="BM114">
        <f t="shared" si="51"/>
        <v>0.20799999999999999</v>
      </c>
      <c r="BN114">
        <f t="shared" si="52"/>
        <v>0.92600000000000005</v>
      </c>
    </row>
    <row r="115" spans="1:66" x14ac:dyDescent="0.25">
      <c r="A115">
        <v>2024</v>
      </c>
      <c r="B115" s="1">
        <f t="shared" si="55"/>
        <v>45401</v>
      </c>
      <c r="C115">
        <v>110</v>
      </c>
      <c r="D115">
        <v>70</v>
      </c>
      <c r="E115" s="6">
        <v>13.08</v>
      </c>
      <c r="F115" s="6">
        <v>1.57</v>
      </c>
      <c r="G115" s="6">
        <v>13.74</v>
      </c>
      <c r="H115" s="6">
        <v>-7.23</v>
      </c>
      <c r="I115" s="6">
        <v>19.5</v>
      </c>
      <c r="J115" s="6">
        <v>2.6080000000000001</v>
      </c>
      <c r="K115" s="6">
        <v>36.39</v>
      </c>
      <c r="L115" s="6"/>
      <c r="M115" s="6">
        <v>2.8639999999999999</v>
      </c>
      <c r="N115" s="6">
        <v>0.42299999999999999</v>
      </c>
      <c r="O115" s="6">
        <v>10.68</v>
      </c>
      <c r="P115" s="6">
        <v>64.34</v>
      </c>
      <c r="Q115" s="6"/>
      <c r="R115" s="6">
        <v>21.08</v>
      </c>
      <c r="S115" s="6">
        <v>1.5609999999999999</v>
      </c>
      <c r="T115" s="6">
        <v>-5.0010000000000003</v>
      </c>
      <c r="U115" s="6">
        <v>17.14</v>
      </c>
      <c r="V115" s="6"/>
      <c r="W115" s="6">
        <v>-5.6769999999999996</v>
      </c>
      <c r="X115" s="6">
        <v>-0.255</v>
      </c>
      <c r="Y115" s="6">
        <v>0.67100000000000004</v>
      </c>
      <c r="Z115" s="6">
        <v>2.1</v>
      </c>
      <c r="AA115" s="6">
        <v>0</v>
      </c>
      <c r="AB115" s="6">
        <v>1.9139999999999999</v>
      </c>
      <c r="AC115" s="6">
        <v>14.18</v>
      </c>
      <c r="AD115" s="6">
        <v>-7.13</v>
      </c>
      <c r="AE115" s="6">
        <v>8.9999999999999993E-3</v>
      </c>
      <c r="AF115" s="6">
        <v>6.0000000000000001E-3</v>
      </c>
      <c r="AG115" s="6">
        <v>1.9139999999999999</v>
      </c>
      <c r="AH115" s="6"/>
      <c r="AI115" s="6">
        <f t="shared" si="53"/>
        <v>0.1359999999999999</v>
      </c>
      <c r="AJ115">
        <f t="shared" si="58"/>
        <v>0</v>
      </c>
      <c r="AK115" s="22">
        <f t="shared" si="59"/>
        <v>0</v>
      </c>
      <c r="AL115">
        <f t="shared" si="57"/>
        <v>203.70000000000007</v>
      </c>
      <c r="AM115" s="4">
        <v>25.75</v>
      </c>
      <c r="AN115">
        <v>19.5</v>
      </c>
      <c r="AP115" s="7">
        <f t="shared" si="54"/>
        <v>0.22</v>
      </c>
      <c r="AQ115" s="7">
        <f t="shared" si="33"/>
        <v>1.0640000000000001</v>
      </c>
      <c r="AS115">
        <f t="shared" si="34"/>
        <v>19.5</v>
      </c>
      <c r="AT115">
        <f t="shared" si="35"/>
        <v>2.6</v>
      </c>
      <c r="AU115">
        <f t="shared" si="36"/>
        <v>36.4</v>
      </c>
      <c r="AV115" t="s">
        <v>104</v>
      </c>
      <c r="AW115">
        <f t="shared" si="37"/>
        <v>2.9</v>
      </c>
      <c r="AX115">
        <f t="shared" si="38"/>
        <v>0.4</v>
      </c>
      <c r="AY115">
        <f t="shared" si="39"/>
        <v>10.7</v>
      </c>
      <c r="AZ115">
        <f t="shared" si="40"/>
        <v>64.3</v>
      </c>
      <c r="BA115" t="s">
        <v>104</v>
      </c>
      <c r="BB115">
        <f t="shared" si="41"/>
        <v>21.1</v>
      </c>
      <c r="BC115">
        <f t="shared" si="42"/>
        <v>1.6</v>
      </c>
      <c r="BD115">
        <f t="shared" si="43"/>
        <v>-5</v>
      </c>
      <c r="BE115">
        <f t="shared" si="44"/>
        <v>17.100000000000001</v>
      </c>
      <c r="BF115" t="s">
        <v>104</v>
      </c>
      <c r="BG115">
        <f t="shared" si="45"/>
        <v>-5.7</v>
      </c>
      <c r="BH115">
        <f t="shared" si="46"/>
        <v>-0.3</v>
      </c>
      <c r="BI115">
        <f t="shared" si="47"/>
        <v>0.67</v>
      </c>
      <c r="BJ115">
        <f t="shared" si="48"/>
        <v>2.1</v>
      </c>
      <c r="BK115">
        <f t="shared" si="49"/>
        <v>0.1359999999999999</v>
      </c>
      <c r="BL115">
        <f t="shared" si="50"/>
        <v>0</v>
      </c>
      <c r="BM115">
        <f t="shared" si="51"/>
        <v>0.22</v>
      </c>
      <c r="BN115">
        <f t="shared" si="52"/>
        <v>1.0640000000000001</v>
      </c>
    </row>
    <row r="116" spans="1:66" x14ac:dyDescent="0.25">
      <c r="A116">
        <v>2024</v>
      </c>
      <c r="B116" s="1">
        <f t="shared" si="55"/>
        <v>45402</v>
      </c>
      <c r="C116">
        <v>111</v>
      </c>
      <c r="D116">
        <v>70</v>
      </c>
      <c r="E116" s="6">
        <v>12.99</v>
      </c>
      <c r="F116" s="6">
        <v>5.4690000000000003</v>
      </c>
      <c r="G116" s="6">
        <v>17.84</v>
      </c>
      <c r="H116" s="6">
        <v>-4.7169999999999996</v>
      </c>
      <c r="I116" s="6">
        <v>20.329999999999998</v>
      </c>
      <c r="J116" s="6">
        <v>6.0860000000000003</v>
      </c>
      <c r="K116" s="6">
        <v>37.54</v>
      </c>
      <c r="L116" s="6"/>
      <c r="M116" s="6">
        <v>6.6760000000000002</v>
      </c>
      <c r="N116" s="6">
        <v>0.438</v>
      </c>
      <c r="O116" s="6">
        <v>15.43</v>
      </c>
      <c r="P116" s="6">
        <v>90.5</v>
      </c>
      <c r="Q116" s="6"/>
      <c r="R116" s="6">
        <v>28.39</v>
      </c>
      <c r="S116" s="6">
        <v>1.657</v>
      </c>
      <c r="T116" s="6">
        <v>-2.3210000000000002</v>
      </c>
      <c r="U116" s="6">
        <v>13.91</v>
      </c>
      <c r="V116" s="6"/>
      <c r="W116" s="6">
        <v>-3.923</v>
      </c>
      <c r="X116" s="6">
        <v>-0.53600000000000003</v>
      </c>
      <c r="Y116" s="6">
        <v>1.071</v>
      </c>
      <c r="Z116" s="6">
        <v>3.0070000000000001</v>
      </c>
      <c r="AA116" s="6">
        <v>0.8</v>
      </c>
      <c r="AB116" s="6">
        <v>1.95</v>
      </c>
      <c r="AC116" s="6">
        <v>18.11</v>
      </c>
      <c r="AD116" s="6">
        <v>-4.6349999999999998</v>
      </c>
      <c r="AE116" s="6">
        <v>0.01</v>
      </c>
      <c r="AF116" s="6">
        <v>6.0000000000000001E-3</v>
      </c>
      <c r="AG116" s="6">
        <v>1.9450000000000001</v>
      </c>
      <c r="AH116" s="6"/>
      <c r="AI116" s="6">
        <f t="shared" si="53"/>
        <v>9.9999999999999867E-2</v>
      </c>
      <c r="AJ116">
        <f t="shared" si="58"/>
        <v>0</v>
      </c>
      <c r="AK116" s="22">
        <f t="shared" si="59"/>
        <v>0.8</v>
      </c>
      <c r="AL116">
        <f t="shared" si="57"/>
        <v>204.50000000000009</v>
      </c>
      <c r="AM116" s="4">
        <v>25.98</v>
      </c>
      <c r="AN116">
        <v>20.32</v>
      </c>
      <c r="AP116" s="7">
        <f t="shared" si="54"/>
        <v>0.24399999999999999</v>
      </c>
      <c r="AQ116" s="7">
        <f t="shared" si="33"/>
        <v>1.51</v>
      </c>
      <c r="AS116">
        <f t="shared" si="34"/>
        <v>20.32</v>
      </c>
      <c r="AT116">
        <f t="shared" si="35"/>
        <v>6.1</v>
      </c>
      <c r="AU116">
        <f t="shared" si="36"/>
        <v>37.5</v>
      </c>
      <c r="AV116" t="s">
        <v>104</v>
      </c>
      <c r="AW116">
        <f t="shared" si="37"/>
        <v>6.7</v>
      </c>
      <c r="AX116">
        <f t="shared" si="38"/>
        <v>0.4</v>
      </c>
      <c r="AY116">
        <f t="shared" si="39"/>
        <v>15.4</v>
      </c>
      <c r="AZ116">
        <f t="shared" si="40"/>
        <v>90.5</v>
      </c>
      <c r="BA116" t="s">
        <v>104</v>
      </c>
      <c r="BB116">
        <f t="shared" si="41"/>
        <v>28.4</v>
      </c>
      <c r="BC116">
        <f t="shared" si="42"/>
        <v>1.7</v>
      </c>
      <c r="BD116">
        <f t="shared" si="43"/>
        <v>-2.2999999999999998</v>
      </c>
      <c r="BE116">
        <f t="shared" si="44"/>
        <v>13.9</v>
      </c>
      <c r="BF116" t="s">
        <v>104</v>
      </c>
      <c r="BG116">
        <f t="shared" si="45"/>
        <v>-3.9</v>
      </c>
      <c r="BH116">
        <f t="shared" si="46"/>
        <v>-0.5</v>
      </c>
      <c r="BI116">
        <f t="shared" si="47"/>
        <v>1.07</v>
      </c>
      <c r="BJ116">
        <f t="shared" si="48"/>
        <v>3.01</v>
      </c>
      <c r="BK116">
        <f t="shared" si="49"/>
        <v>9.9999999999999867E-2</v>
      </c>
      <c r="BL116">
        <f t="shared" si="50"/>
        <v>0.8</v>
      </c>
      <c r="BM116">
        <f t="shared" si="51"/>
        <v>0.24399999999999999</v>
      </c>
      <c r="BN116">
        <f t="shared" si="52"/>
        <v>1.51</v>
      </c>
    </row>
    <row r="117" spans="1:66" x14ac:dyDescent="0.25">
      <c r="A117">
        <v>2024</v>
      </c>
      <c r="B117" s="1">
        <f t="shared" si="55"/>
        <v>45403</v>
      </c>
      <c r="C117">
        <v>112</v>
      </c>
      <c r="D117">
        <v>70</v>
      </c>
      <c r="E117" s="6">
        <v>12.98</v>
      </c>
      <c r="F117" s="6">
        <v>1.587</v>
      </c>
      <c r="G117" s="6">
        <v>10.01</v>
      </c>
      <c r="H117" s="6">
        <v>-2.7530000000000001</v>
      </c>
      <c r="I117" s="6">
        <v>9.86</v>
      </c>
      <c r="J117" s="6">
        <v>2.0670000000000002</v>
      </c>
      <c r="K117" s="6">
        <v>68.33</v>
      </c>
      <c r="L117" s="6"/>
      <c r="M117" s="6">
        <v>2.004</v>
      </c>
      <c r="N117" s="6">
        <v>0.45900000000000002</v>
      </c>
      <c r="O117" s="6">
        <v>9.2200000000000006</v>
      </c>
      <c r="P117" s="6">
        <v>91.3</v>
      </c>
      <c r="Q117" s="6"/>
      <c r="R117" s="6">
        <v>16.100000000000001</v>
      </c>
      <c r="S117" s="6">
        <v>1.851</v>
      </c>
      <c r="T117" s="6">
        <v>-1.1779999999999999</v>
      </c>
      <c r="U117" s="6">
        <v>35.229999999999997</v>
      </c>
      <c r="V117" s="6"/>
      <c r="W117" s="6">
        <v>-3.2490000000000001</v>
      </c>
      <c r="X117" s="6">
        <v>-4.1000000000000002E-2</v>
      </c>
      <c r="Y117" s="6">
        <v>1.274</v>
      </c>
      <c r="Z117" s="6">
        <v>3.18</v>
      </c>
      <c r="AA117" s="6">
        <v>0.1</v>
      </c>
      <c r="AB117" s="6">
        <v>1.968</v>
      </c>
      <c r="AC117" s="6">
        <v>9.82</v>
      </c>
      <c r="AD117" s="6">
        <v>-2.61</v>
      </c>
      <c r="AE117" s="6">
        <v>8.9999999999999993E-3</v>
      </c>
      <c r="AF117" s="6">
        <v>6.0000000000000001E-3</v>
      </c>
      <c r="AG117" s="6">
        <v>1.9690000000000001</v>
      </c>
      <c r="AH117" s="6"/>
      <c r="AI117" s="6">
        <f t="shared" si="53"/>
        <v>8.1999999999999851E-2</v>
      </c>
      <c r="AJ117">
        <f t="shared" si="58"/>
        <v>0</v>
      </c>
      <c r="AK117" s="22">
        <f t="shared" si="59"/>
        <v>0.1</v>
      </c>
      <c r="AL117">
        <f t="shared" si="57"/>
        <v>204.60000000000008</v>
      </c>
      <c r="AM117" s="4">
        <v>26.21</v>
      </c>
      <c r="AN117">
        <v>9.85</v>
      </c>
      <c r="AP117" s="7">
        <f t="shared" si="54"/>
        <v>0.41</v>
      </c>
      <c r="AQ117" s="7">
        <f t="shared" si="33"/>
        <v>0.754</v>
      </c>
      <c r="AS117">
        <f t="shared" si="34"/>
        <v>9.85</v>
      </c>
      <c r="AT117">
        <f t="shared" si="35"/>
        <v>2.1</v>
      </c>
      <c r="AU117">
        <f t="shared" si="36"/>
        <v>68.3</v>
      </c>
      <c r="AV117" t="s">
        <v>104</v>
      </c>
      <c r="AW117">
        <f t="shared" si="37"/>
        <v>2</v>
      </c>
      <c r="AX117">
        <f t="shared" si="38"/>
        <v>0.5</v>
      </c>
      <c r="AY117">
        <f t="shared" si="39"/>
        <v>9.1999999999999993</v>
      </c>
      <c r="AZ117">
        <f t="shared" si="40"/>
        <v>91.3</v>
      </c>
      <c r="BA117" t="s">
        <v>104</v>
      </c>
      <c r="BB117">
        <f t="shared" si="41"/>
        <v>16.100000000000001</v>
      </c>
      <c r="BC117">
        <f t="shared" si="42"/>
        <v>1.9</v>
      </c>
      <c r="BD117">
        <f t="shared" si="43"/>
        <v>-1.2</v>
      </c>
      <c r="BE117">
        <f t="shared" si="44"/>
        <v>35.200000000000003</v>
      </c>
      <c r="BF117" t="s">
        <v>104</v>
      </c>
      <c r="BG117">
        <f t="shared" si="45"/>
        <v>-3.2</v>
      </c>
      <c r="BH117">
        <f t="shared" si="46"/>
        <v>0</v>
      </c>
      <c r="BI117">
        <f t="shared" si="47"/>
        <v>1.27</v>
      </c>
      <c r="BJ117">
        <f t="shared" si="48"/>
        <v>3.18</v>
      </c>
      <c r="BK117">
        <f t="shared" si="49"/>
        <v>8.1999999999999851E-2</v>
      </c>
      <c r="BL117">
        <f t="shared" si="50"/>
        <v>0.1</v>
      </c>
      <c r="BM117">
        <f t="shared" si="51"/>
        <v>0.41</v>
      </c>
      <c r="BN117">
        <f t="shared" si="52"/>
        <v>0.754</v>
      </c>
    </row>
    <row r="118" spans="1:66" x14ac:dyDescent="0.25">
      <c r="A118">
        <v>2024</v>
      </c>
      <c r="B118" s="1">
        <f t="shared" si="55"/>
        <v>45404</v>
      </c>
      <c r="C118">
        <v>113</v>
      </c>
      <c r="D118">
        <v>70</v>
      </c>
      <c r="E118" s="6">
        <v>12.99</v>
      </c>
      <c r="F118" s="6">
        <v>2.6059999999999999</v>
      </c>
      <c r="G118" s="6">
        <v>15.59</v>
      </c>
      <c r="H118" s="6">
        <v>-5.4029999999999996</v>
      </c>
      <c r="I118" s="6">
        <v>19.940000000000001</v>
      </c>
      <c r="J118" s="6">
        <v>3.3410000000000002</v>
      </c>
      <c r="K118" s="6">
        <v>54.84</v>
      </c>
      <c r="L118" s="6"/>
      <c r="M118" s="6">
        <v>3.758</v>
      </c>
      <c r="N118" s="6">
        <v>0.80400000000000005</v>
      </c>
      <c r="O118" s="6">
        <v>12.56</v>
      </c>
      <c r="P118" s="6">
        <v>84.6</v>
      </c>
      <c r="Q118" s="6"/>
      <c r="R118" s="6">
        <v>24.19</v>
      </c>
      <c r="S118" s="6">
        <v>1.5149999999999999</v>
      </c>
      <c r="T118" s="6">
        <v>-3.3279999999999998</v>
      </c>
      <c r="U118" s="6">
        <v>24.13</v>
      </c>
      <c r="V118" s="6"/>
      <c r="W118" s="6">
        <v>-4.6470000000000002</v>
      </c>
      <c r="X118" s="6">
        <v>-1.7999999999999999E-2</v>
      </c>
      <c r="Y118" s="6">
        <v>0.753</v>
      </c>
      <c r="Z118" s="6">
        <v>2.42</v>
      </c>
      <c r="AA118" s="6">
        <v>0.6</v>
      </c>
      <c r="AB118" s="6">
        <v>1.845</v>
      </c>
      <c r="AC118" s="6">
        <v>15.74</v>
      </c>
      <c r="AD118" s="6">
        <v>-5.2809999999999997</v>
      </c>
      <c r="AE118" s="6">
        <v>0.01</v>
      </c>
      <c r="AF118" s="6">
        <v>6.0000000000000001E-3</v>
      </c>
      <c r="AG118" s="6">
        <v>1.8440000000000001</v>
      </c>
      <c r="AH118" s="6"/>
      <c r="AI118" s="23">
        <v>0</v>
      </c>
      <c r="AJ118">
        <f t="shared" si="58"/>
        <v>0</v>
      </c>
      <c r="AK118" s="22">
        <f t="shared" si="59"/>
        <v>0.6</v>
      </c>
      <c r="AL118">
        <f t="shared" si="57"/>
        <v>205.20000000000007</v>
      </c>
      <c r="AM118" s="4">
        <v>26.43</v>
      </c>
      <c r="AN118">
        <v>19.93</v>
      </c>
      <c r="AP118" s="7">
        <f t="shared" si="54"/>
        <v>0.35099999999999998</v>
      </c>
      <c r="AQ118" s="7">
        <f t="shared" si="33"/>
        <v>1.1040000000000001</v>
      </c>
      <c r="AS118">
        <f t="shared" si="34"/>
        <v>19.93</v>
      </c>
      <c r="AT118">
        <f t="shared" si="35"/>
        <v>3.3</v>
      </c>
      <c r="AU118">
        <f t="shared" si="36"/>
        <v>54.8</v>
      </c>
      <c r="AV118" t="s">
        <v>104</v>
      </c>
      <c r="AW118">
        <f t="shared" si="37"/>
        <v>3.8</v>
      </c>
      <c r="AX118">
        <f t="shared" si="38"/>
        <v>0.8</v>
      </c>
      <c r="AY118">
        <f t="shared" si="39"/>
        <v>12.6</v>
      </c>
      <c r="AZ118">
        <f t="shared" si="40"/>
        <v>84.6</v>
      </c>
      <c r="BA118" t="s">
        <v>104</v>
      </c>
      <c r="BB118">
        <f t="shared" si="41"/>
        <v>24.2</v>
      </c>
      <c r="BC118">
        <f t="shared" si="42"/>
        <v>1.5</v>
      </c>
      <c r="BD118">
        <f t="shared" si="43"/>
        <v>-3.3</v>
      </c>
      <c r="BE118">
        <f t="shared" si="44"/>
        <v>24.1</v>
      </c>
      <c r="BF118" t="s">
        <v>104</v>
      </c>
      <c r="BG118">
        <f t="shared" si="45"/>
        <v>-4.5999999999999996</v>
      </c>
      <c r="BH118">
        <f t="shared" si="46"/>
        <v>0</v>
      </c>
      <c r="BI118">
        <f t="shared" si="47"/>
        <v>0.75</v>
      </c>
      <c r="BJ118">
        <f t="shared" si="48"/>
        <v>2.42</v>
      </c>
      <c r="BK118">
        <f t="shared" si="49"/>
        <v>0</v>
      </c>
      <c r="BL118">
        <f t="shared" si="50"/>
        <v>0.6</v>
      </c>
      <c r="BM118">
        <f t="shared" si="51"/>
        <v>0.35099999999999998</v>
      </c>
      <c r="BN118">
        <f t="shared" si="52"/>
        <v>1.1040000000000001</v>
      </c>
    </row>
    <row r="119" spans="1:66" x14ac:dyDescent="0.25">
      <c r="A119">
        <v>2024</v>
      </c>
      <c r="B119" s="1">
        <f t="shared" si="55"/>
        <v>45405</v>
      </c>
      <c r="C119">
        <v>114</v>
      </c>
      <c r="D119">
        <v>70</v>
      </c>
      <c r="E119" s="6">
        <v>12.96</v>
      </c>
      <c r="F119" s="6">
        <v>6.0970000000000004</v>
      </c>
      <c r="G119" s="6">
        <v>18.71</v>
      </c>
      <c r="H119" s="6">
        <v>-2.8210000000000002</v>
      </c>
      <c r="I119" s="6">
        <v>19.010000000000002</v>
      </c>
      <c r="J119" s="6">
        <v>7.09</v>
      </c>
      <c r="K119" s="6">
        <v>40.270000000000003</v>
      </c>
      <c r="L119" s="6"/>
      <c r="M119" s="6">
        <v>7.31</v>
      </c>
      <c r="N119" s="6">
        <v>1.5780000000000001</v>
      </c>
      <c r="O119" s="6">
        <v>16.170000000000002</v>
      </c>
      <c r="P119" s="6">
        <v>74.900000000000006</v>
      </c>
      <c r="Q119" s="6"/>
      <c r="R119" s="6">
        <v>26.35</v>
      </c>
      <c r="S119" s="6">
        <v>2.6869999999999998</v>
      </c>
      <c r="T119" s="6">
        <v>-0.84099999999999997</v>
      </c>
      <c r="U119" s="6">
        <v>15.66</v>
      </c>
      <c r="V119" s="6"/>
      <c r="W119" s="6">
        <v>-2.5259999999999998</v>
      </c>
      <c r="X119" s="6">
        <v>0.71399999999999997</v>
      </c>
      <c r="Y119" s="6">
        <v>0.78400000000000003</v>
      </c>
      <c r="Z119" s="6">
        <v>2.66</v>
      </c>
      <c r="AA119" s="6">
        <v>0</v>
      </c>
      <c r="AB119" s="6">
        <v>2.044</v>
      </c>
      <c r="AC119" s="6">
        <v>18.940000000000001</v>
      </c>
      <c r="AD119" s="6">
        <v>-2.714</v>
      </c>
      <c r="AE119" s="6">
        <v>8.9999999999999993E-3</v>
      </c>
      <c r="AF119" s="6">
        <v>6.0000000000000001E-3</v>
      </c>
      <c r="AG119" s="6">
        <v>2.0289999999999999</v>
      </c>
      <c r="AH119" s="6"/>
      <c r="AI119" s="6"/>
      <c r="AK119" s="22">
        <f t="shared" si="59"/>
        <v>0</v>
      </c>
      <c r="AL119">
        <f t="shared" si="57"/>
        <v>205.20000000000007</v>
      </c>
      <c r="AM119" s="4">
        <v>26.66</v>
      </c>
      <c r="AN119">
        <v>19</v>
      </c>
      <c r="AP119" s="7">
        <f t="shared" si="54"/>
        <v>0.28799999999999998</v>
      </c>
      <c r="AQ119" s="7">
        <f t="shared" si="33"/>
        <v>1.5509999999999999</v>
      </c>
      <c r="AS119">
        <f t="shared" si="34"/>
        <v>19</v>
      </c>
      <c r="AT119">
        <f t="shared" si="35"/>
        <v>7.1</v>
      </c>
      <c r="AU119">
        <f t="shared" si="36"/>
        <v>40.299999999999997</v>
      </c>
      <c r="AV119" t="s">
        <v>104</v>
      </c>
      <c r="AW119">
        <f t="shared" si="37"/>
        <v>7.3</v>
      </c>
      <c r="AX119">
        <f t="shared" si="38"/>
        <v>1.6</v>
      </c>
      <c r="AY119">
        <f t="shared" si="39"/>
        <v>16.2</v>
      </c>
      <c r="AZ119">
        <f t="shared" si="40"/>
        <v>74.900000000000006</v>
      </c>
      <c r="BA119" t="s">
        <v>104</v>
      </c>
      <c r="BB119">
        <f t="shared" si="41"/>
        <v>26.4</v>
      </c>
      <c r="BC119">
        <f t="shared" si="42"/>
        <v>2.7</v>
      </c>
      <c r="BD119">
        <f t="shared" si="43"/>
        <v>-0.8</v>
      </c>
      <c r="BE119">
        <f t="shared" si="44"/>
        <v>15.7</v>
      </c>
      <c r="BF119" t="s">
        <v>104</v>
      </c>
      <c r="BG119">
        <f t="shared" si="45"/>
        <v>-2.5</v>
      </c>
      <c r="BH119">
        <f t="shared" si="46"/>
        <v>0.7</v>
      </c>
      <c r="BI119">
        <f t="shared" si="47"/>
        <v>0.78</v>
      </c>
      <c r="BJ119">
        <f t="shared" si="48"/>
        <v>2.66</v>
      </c>
      <c r="BK119">
        <f t="shared" si="49"/>
        <v>0</v>
      </c>
      <c r="BL119">
        <f t="shared" si="50"/>
        <v>0</v>
      </c>
      <c r="BM119">
        <f t="shared" si="51"/>
        <v>0.28799999999999998</v>
      </c>
      <c r="BN119">
        <f t="shared" si="52"/>
        <v>1.5509999999999999</v>
      </c>
    </row>
    <row r="120" spans="1:66" x14ac:dyDescent="0.25">
      <c r="A120">
        <v>2024</v>
      </c>
      <c r="B120" s="1">
        <f t="shared" si="55"/>
        <v>45406</v>
      </c>
      <c r="C120">
        <v>115</v>
      </c>
      <c r="D120">
        <v>70</v>
      </c>
      <c r="E120" s="6">
        <v>12.86</v>
      </c>
      <c r="F120" s="6">
        <v>5.399</v>
      </c>
      <c r="G120" s="6">
        <v>13.13</v>
      </c>
      <c r="H120" s="6">
        <v>1.6839999999999999</v>
      </c>
      <c r="I120" s="6">
        <v>9.49</v>
      </c>
      <c r="J120" s="6">
        <v>5.97</v>
      </c>
      <c r="K120" s="6">
        <v>53.95</v>
      </c>
      <c r="L120" s="6"/>
      <c r="M120" s="6">
        <v>5.9989999999999997</v>
      </c>
      <c r="N120" s="6">
        <v>2.1970000000000001</v>
      </c>
      <c r="O120" s="6">
        <v>11.96</v>
      </c>
      <c r="P120" s="6">
        <v>80.3</v>
      </c>
      <c r="Q120" s="6"/>
      <c r="R120" s="6">
        <v>21.89</v>
      </c>
      <c r="S120" s="6">
        <v>3.5</v>
      </c>
      <c r="T120" s="6">
        <v>2.778</v>
      </c>
      <c r="U120" s="6">
        <v>33.14</v>
      </c>
      <c r="V120" s="6"/>
      <c r="W120" s="6">
        <v>1.071</v>
      </c>
      <c r="X120" s="6">
        <v>1.294</v>
      </c>
      <c r="Y120" s="6">
        <v>1.0569999999999999</v>
      </c>
      <c r="Z120" s="6">
        <v>2.66</v>
      </c>
      <c r="AA120" s="6">
        <v>0.1</v>
      </c>
      <c r="AB120" s="6">
        <v>2.044</v>
      </c>
      <c r="AC120" s="6">
        <v>12.68</v>
      </c>
      <c r="AD120" s="6">
        <v>1.883</v>
      </c>
      <c r="AE120" s="6">
        <v>8.9999999999999993E-3</v>
      </c>
      <c r="AF120" s="6">
        <v>7.0000000000000001E-3</v>
      </c>
      <c r="AG120" s="6">
        <v>2.032</v>
      </c>
      <c r="AH120" s="6"/>
      <c r="AI120" s="6"/>
      <c r="AK120" s="22">
        <f t="shared" si="59"/>
        <v>0.1</v>
      </c>
      <c r="AL120">
        <f t="shared" si="57"/>
        <v>205.30000000000007</v>
      </c>
      <c r="AM120" s="4">
        <v>26.88</v>
      </c>
      <c r="AN120">
        <v>9.48</v>
      </c>
      <c r="AP120" s="7">
        <f t="shared" si="54"/>
        <v>0.46300000000000002</v>
      </c>
      <c r="AQ120" s="7">
        <f t="shared" si="33"/>
        <v>0.93400000000000005</v>
      </c>
      <c r="AS120">
        <f t="shared" si="34"/>
        <v>9.48</v>
      </c>
      <c r="AT120">
        <f t="shared" si="35"/>
        <v>6</v>
      </c>
      <c r="AU120">
        <f t="shared" si="36"/>
        <v>54</v>
      </c>
      <c r="AV120" t="s">
        <v>104</v>
      </c>
      <c r="AW120">
        <f t="shared" si="37"/>
        <v>6</v>
      </c>
      <c r="AX120">
        <f t="shared" si="38"/>
        <v>2.2000000000000002</v>
      </c>
      <c r="AY120">
        <f t="shared" si="39"/>
        <v>12</v>
      </c>
      <c r="AZ120">
        <f t="shared" si="40"/>
        <v>80.3</v>
      </c>
      <c r="BA120" t="s">
        <v>104</v>
      </c>
      <c r="BB120">
        <f t="shared" si="41"/>
        <v>21.9</v>
      </c>
      <c r="BC120">
        <f t="shared" si="42"/>
        <v>3.5</v>
      </c>
      <c r="BD120">
        <f t="shared" si="43"/>
        <v>2.8</v>
      </c>
      <c r="BE120">
        <f t="shared" si="44"/>
        <v>33.1</v>
      </c>
      <c r="BF120" t="s">
        <v>104</v>
      </c>
      <c r="BG120">
        <f t="shared" si="45"/>
        <v>1.1000000000000001</v>
      </c>
      <c r="BH120">
        <f t="shared" si="46"/>
        <v>1.3</v>
      </c>
      <c r="BI120">
        <f t="shared" si="47"/>
        <v>1.06</v>
      </c>
      <c r="BJ120">
        <f t="shared" si="48"/>
        <v>2.66</v>
      </c>
      <c r="BK120">
        <f t="shared" si="49"/>
        <v>0</v>
      </c>
      <c r="BL120">
        <f t="shared" si="50"/>
        <v>0.1</v>
      </c>
      <c r="BM120">
        <f t="shared" si="51"/>
        <v>0.46300000000000002</v>
      </c>
      <c r="BN120">
        <f t="shared" si="52"/>
        <v>0.93400000000000005</v>
      </c>
    </row>
    <row r="121" spans="1:66" x14ac:dyDescent="0.25">
      <c r="A121">
        <v>2024</v>
      </c>
      <c r="B121" s="1">
        <f t="shared" si="55"/>
        <v>45407</v>
      </c>
      <c r="C121">
        <v>116</v>
      </c>
      <c r="D121">
        <v>70</v>
      </c>
      <c r="E121" s="6">
        <v>12.81</v>
      </c>
      <c r="F121" s="6">
        <v>3.323</v>
      </c>
      <c r="G121" s="6">
        <v>10.84</v>
      </c>
      <c r="H121" s="6">
        <v>-0.80600000000000005</v>
      </c>
      <c r="I121" s="6">
        <v>8.35</v>
      </c>
      <c r="J121" s="6">
        <v>3.7490000000000001</v>
      </c>
      <c r="K121" s="6">
        <v>77.599999999999994</v>
      </c>
      <c r="L121" s="6"/>
      <c r="M121" s="6">
        <v>3.7360000000000002</v>
      </c>
      <c r="N121" s="6">
        <v>2.3420000000000001</v>
      </c>
      <c r="O121" s="6">
        <v>10.09</v>
      </c>
      <c r="P121" s="6">
        <v>92.6</v>
      </c>
      <c r="Q121" s="6"/>
      <c r="R121" s="6">
        <v>13.12</v>
      </c>
      <c r="S121" s="6">
        <v>2.9420000000000002</v>
      </c>
      <c r="T121" s="6">
        <v>0.222</v>
      </c>
      <c r="U121" s="6">
        <v>42.43</v>
      </c>
      <c r="V121" s="6"/>
      <c r="W121" s="6">
        <v>-1.0069999999999999</v>
      </c>
      <c r="X121" s="6">
        <v>1.5149999999999999</v>
      </c>
      <c r="Y121" s="6">
        <v>0.503</v>
      </c>
      <c r="Z121" s="6">
        <v>2.2200000000000002</v>
      </c>
      <c r="AA121" s="6">
        <v>5.0999999999999996</v>
      </c>
      <c r="AB121" s="6">
        <v>2.048</v>
      </c>
      <c r="AC121" s="6">
        <v>10.59</v>
      </c>
      <c r="AD121" s="6">
        <v>-0.54400000000000004</v>
      </c>
      <c r="AE121" s="6">
        <v>8.9999999999999993E-3</v>
      </c>
      <c r="AF121" s="6">
        <v>6.0000000000000001E-3</v>
      </c>
      <c r="AG121" s="6">
        <v>2.0419999999999998</v>
      </c>
      <c r="AH121" s="6"/>
      <c r="AI121" s="6"/>
      <c r="AK121" s="22">
        <f t="shared" si="59"/>
        <v>5.0999999999999996</v>
      </c>
      <c r="AL121">
        <f t="shared" si="57"/>
        <v>210.40000000000006</v>
      </c>
      <c r="AM121" s="4">
        <v>27.1</v>
      </c>
      <c r="AN121">
        <v>8.35</v>
      </c>
      <c r="AP121" s="7">
        <f t="shared" si="54"/>
        <v>0.52400000000000002</v>
      </c>
      <c r="AQ121" s="7">
        <f t="shared" si="33"/>
        <v>0.71099999999999997</v>
      </c>
      <c r="AS121">
        <f t="shared" si="34"/>
        <v>8.35</v>
      </c>
      <c r="AT121">
        <f t="shared" si="35"/>
        <v>3.7</v>
      </c>
      <c r="AU121">
        <f t="shared" si="36"/>
        <v>77.599999999999994</v>
      </c>
      <c r="AV121" t="s">
        <v>104</v>
      </c>
      <c r="AW121">
        <f t="shared" si="37"/>
        <v>3.7</v>
      </c>
      <c r="AX121">
        <f t="shared" si="38"/>
        <v>2.2999999999999998</v>
      </c>
      <c r="AY121">
        <f t="shared" si="39"/>
        <v>10.1</v>
      </c>
      <c r="AZ121">
        <f t="shared" si="40"/>
        <v>92.6</v>
      </c>
      <c r="BA121" t="s">
        <v>104</v>
      </c>
      <c r="BB121">
        <f t="shared" si="41"/>
        <v>13.1</v>
      </c>
      <c r="BC121">
        <f t="shared" si="42"/>
        <v>2.9</v>
      </c>
      <c r="BD121">
        <f t="shared" si="43"/>
        <v>0.2</v>
      </c>
      <c r="BE121">
        <f t="shared" si="44"/>
        <v>42.4</v>
      </c>
      <c r="BF121" t="s">
        <v>104</v>
      </c>
      <c r="BG121">
        <f t="shared" si="45"/>
        <v>-1</v>
      </c>
      <c r="BH121">
        <f t="shared" si="46"/>
        <v>1.5</v>
      </c>
      <c r="BI121">
        <f t="shared" si="47"/>
        <v>0.5</v>
      </c>
      <c r="BJ121">
        <f t="shared" si="48"/>
        <v>2.2200000000000002</v>
      </c>
      <c r="BK121">
        <f t="shared" si="49"/>
        <v>0</v>
      </c>
      <c r="BL121">
        <f t="shared" si="50"/>
        <v>5.0999999999999996</v>
      </c>
      <c r="BM121">
        <f t="shared" si="51"/>
        <v>0.52400000000000002</v>
      </c>
      <c r="BN121">
        <f t="shared" si="52"/>
        <v>0.71099999999999997</v>
      </c>
    </row>
    <row r="122" spans="1:66" x14ac:dyDescent="0.25">
      <c r="A122">
        <v>2024</v>
      </c>
      <c r="B122" s="1">
        <f t="shared" si="55"/>
        <v>45408</v>
      </c>
      <c r="C122">
        <v>117</v>
      </c>
      <c r="D122">
        <v>70</v>
      </c>
      <c r="E122" s="6">
        <v>12.78</v>
      </c>
      <c r="F122" s="6">
        <v>3.4660000000000002</v>
      </c>
      <c r="G122" s="6">
        <v>7.65</v>
      </c>
      <c r="H122" s="6">
        <v>0.04</v>
      </c>
      <c r="I122" s="6">
        <v>8.2200000000000006</v>
      </c>
      <c r="J122" s="6">
        <v>3.9409999999999998</v>
      </c>
      <c r="K122" s="6">
        <v>89.1</v>
      </c>
      <c r="L122" s="6"/>
      <c r="M122" s="6">
        <v>3.9980000000000002</v>
      </c>
      <c r="N122" s="6">
        <v>3.0270000000000001</v>
      </c>
      <c r="O122" s="6">
        <v>8.01</v>
      </c>
      <c r="P122" s="6">
        <v>93.8</v>
      </c>
      <c r="Q122" s="6"/>
      <c r="R122" s="6">
        <v>9.43</v>
      </c>
      <c r="S122" s="6">
        <v>4.3029999999999999</v>
      </c>
      <c r="T122" s="6">
        <v>0.69299999999999995</v>
      </c>
      <c r="U122" s="6">
        <v>76</v>
      </c>
      <c r="V122" s="6"/>
      <c r="W122" s="6">
        <v>0.47699999999999998</v>
      </c>
      <c r="X122" s="6">
        <v>2.1339999999999999</v>
      </c>
      <c r="Y122" s="6">
        <v>0.188</v>
      </c>
      <c r="Z122" s="6">
        <v>1.4870000000000001</v>
      </c>
      <c r="AA122" s="6">
        <v>5.2</v>
      </c>
      <c r="AB122" s="6">
        <v>1.9650000000000001</v>
      </c>
      <c r="AC122" s="6">
        <v>7.55</v>
      </c>
      <c r="AD122" s="6">
        <v>0.20200000000000001</v>
      </c>
      <c r="AE122" s="6">
        <v>8.9999999999999993E-3</v>
      </c>
      <c r="AF122" s="6">
        <v>7.0000000000000001E-3</v>
      </c>
      <c r="AG122" s="6">
        <v>1.9530000000000001</v>
      </c>
      <c r="AH122" s="6"/>
      <c r="AI122" s="6"/>
      <c r="AK122" s="22">
        <f t="shared" si="59"/>
        <v>5.2</v>
      </c>
      <c r="AL122">
        <f t="shared" si="57"/>
        <v>215.60000000000005</v>
      </c>
      <c r="AM122" s="4">
        <v>27.31</v>
      </c>
      <c r="AN122">
        <v>8.2200000000000006</v>
      </c>
      <c r="AP122" s="7">
        <f t="shared" si="54"/>
        <v>0.81599999999999995</v>
      </c>
      <c r="AQ122" s="7">
        <f t="shared" si="33"/>
        <v>0.25800000000000001</v>
      </c>
      <c r="AS122">
        <f t="shared" si="34"/>
        <v>8.2200000000000006</v>
      </c>
      <c r="AT122">
        <f t="shared" si="35"/>
        <v>3.9</v>
      </c>
      <c r="AU122">
        <f t="shared" si="36"/>
        <v>89.1</v>
      </c>
      <c r="AV122" t="s">
        <v>104</v>
      </c>
      <c r="AW122">
        <f t="shared" si="37"/>
        <v>4</v>
      </c>
      <c r="AX122">
        <f t="shared" si="38"/>
        <v>3</v>
      </c>
      <c r="AY122">
        <f t="shared" si="39"/>
        <v>8</v>
      </c>
      <c r="AZ122">
        <f t="shared" si="40"/>
        <v>93.8</v>
      </c>
      <c r="BA122" t="s">
        <v>104</v>
      </c>
      <c r="BB122">
        <f t="shared" si="41"/>
        <v>9.4</v>
      </c>
      <c r="BC122">
        <f t="shared" si="42"/>
        <v>4.3</v>
      </c>
      <c r="BD122">
        <f t="shared" si="43"/>
        <v>0.7</v>
      </c>
      <c r="BE122">
        <f t="shared" si="44"/>
        <v>76</v>
      </c>
      <c r="BF122" t="s">
        <v>104</v>
      </c>
      <c r="BG122">
        <f t="shared" si="45"/>
        <v>0.5</v>
      </c>
      <c r="BH122">
        <f t="shared" si="46"/>
        <v>2.1</v>
      </c>
      <c r="BI122">
        <f t="shared" si="47"/>
        <v>0.19</v>
      </c>
      <c r="BJ122">
        <f t="shared" si="48"/>
        <v>1.49</v>
      </c>
      <c r="BK122">
        <f t="shared" si="49"/>
        <v>0</v>
      </c>
      <c r="BL122">
        <f t="shared" si="50"/>
        <v>5.2</v>
      </c>
      <c r="BM122">
        <f t="shared" si="51"/>
        <v>0.81599999999999995</v>
      </c>
      <c r="BN122">
        <f t="shared" si="52"/>
        <v>0.25800000000000001</v>
      </c>
    </row>
    <row r="123" spans="1:66" x14ac:dyDescent="0.25">
      <c r="A123">
        <v>2024</v>
      </c>
      <c r="B123" s="1">
        <f t="shared" si="55"/>
        <v>45409</v>
      </c>
      <c r="C123">
        <v>118</v>
      </c>
      <c r="D123">
        <v>70</v>
      </c>
      <c r="E123" s="6">
        <v>12.77</v>
      </c>
      <c r="F123" s="6">
        <v>3.7330000000000001</v>
      </c>
      <c r="G123" s="6">
        <v>9.8000000000000007</v>
      </c>
      <c r="H123" s="6">
        <v>-0.96799999999999997</v>
      </c>
      <c r="I123" s="6">
        <v>8.6999999999999993</v>
      </c>
      <c r="J123" s="6">
        <v>4.2619999999999996</v>
      </c>
      <c r="K123" s="6">
        <v>83</v>
      </c>
      <c r="L123" s="6"/>
      <c r="M123" s="6">
        <v>3.9820000000000002</v>
      </c>
      <c r="N123" s="6">
        <v>3.532</v>
      </c>
      <c r="O123" s="6">
        <v>9.2899999999999991</v>
      </c>
      <c r="P123" s="6">
        <v>93.6</v>
      </c>
      <c r="Q123" s="6"/>
      <c r="R123" s="6">
        <v>11.94</v>
      </c>
      <c r="S123" s="6">
        <v>4.681</v>
      </c>
      <c r="T123" s="6">
        <v>0.76100000000000001</v>
      </c>
      <c r="U123" s="6">
        <v>59.91</v>
      </c>
      <c r="V123" s="6"/>
      <c r="W123" s="6">
        <v>-0.74</v>
      </c>
      <c r="X123" s="6">
        <v>2.5739999999999998</v>
      </c>
      <c r="Y123" s="6">
        <v>0.68899999999999995</v>
      </c>
      <c r="Z123" s="6">
        <v>2.274</v>
      </c>
      <c r="AA123" s="6">
        <v>2.7</v>
      </c>
      <c r="AB123" s="6">
        <v>2.0030000000000001</v>
      </c>
      <c r="AC123" s="6">
        <v>9.59</v>
      </c>
      <c r="AD123" s="6">
        <v>-0.752</v>
      </c>
      <c r="AE123" s="6">
        <v>8.9999999999999993E-3</v>
      </c>
      <c r="AF123" s="6">
        <v>7.0000000000000001E-3</v>
      </c>
      <c r="AG123" s="6">
        <v>1.9990000000000001</v>
      </c>
      <c r="AH123" s="6"/>
      <c r="AI123" s="6"/>
      <c r="AK123" s="22">
        <f t="shared" si="59"/>
        <v>2.7</v>
      </c>
      <c r="AL123">
        <f t="shared" si="57"/>
        <v>218.30000000000004</v>
      </c>
      <c r="AM123" s="4">
        <v>27.53</v>
      </c>
      <c r="AN123">
        <v>8.6999999999999993</v>
      </c>
      <c r="AP123" s="7">
        <f t="shared" si="54"/>
        <v>0.70099999999999996</v>
      </c>
      <c r="AQ123" s="7">
        <f t="shared" si="33"/>
        <v>0.46899999999999997</v>
      </c>
      <c r="AS123">
        <f t="shared" si="34"/>
        <v>8.6999999999999993</v>
      </c>
      <c r="AT123">
        <f t="shared" si="35"/>
        <v>4.3</v>
      </c>
      <c r="AU123">
        <f t="shared" si="36"/>
        <v>83</v>
      </c>
      <c r="AV123" t="s">
        <v>104</v>
      </c>
      <c r="AW123">
        <f t="shared" si="37"/>
        <v>4</v>
      </c>
      <c r="AX123">
        <f t="shared" si="38"/>
        <v>3.5</v>
      </c>
      <c r="AY123">
        <f t="shared" si="39"/>
        <v>9.3000000000000007</v>
      </c>
      <c r="AZ123">
        <f t="shared" si="40"/>
        <v>93.6</v>
      </c>
      <c r="BA123" t="s">
        <v>104</v>
      </c>
      <c r="BB123">
        <f t="shared" si="41"/>
        <v>11.9</v>
      </c>
      <c r="BC123">
        <f t="shared" si="42"/>
        <v>4.7</v>
      </c>
      <c r="BD123">
        <f t="shared" si="43"/>
        <v>0.8</v>
      </c>
      <c r="BE123">
        <f t="shared" si="44"/>
        <v>59.9</v>
      </c>
      <c r="BF123" t="s">
        <v>104</v>
      </c>
      <c r="BG123">
        <f t="shared" si="45"/>
        <v>-0.7</v>
      </c>
      <c r="BH123">
        <f t="shared" si="46"/>
        <v>2.6</v>
      </c>
      <c r="BI123">
        <f t="shared" si="47"/>
        <v>0.69</v>
      </c>
      <c r="BJ123">
        <f t="shared" si="48"/>
        <v>2.27</v>
      </c>
      <c r="BK123">
        <f t="shared" si="49"/>
        <v>0</v>
      </c>
      <c r="BL123">
        <f t="shared" si="50"/>
        <v>2.7</v>
      </c>
      <c r="BM123">
        <f t="shared" si="51"/>
        <v>0.70099999999999996</v>
      </c>
      <c r="BN123">
        <f t="shared" si="52"/>
        <v>0.46899999999999997</v>
      </c>
    </row>
    <row r="124" spans="1:66" x14ac:dyDescent="0.25">
      <c r="A124">
        <v>2024</v>
      </c>
      <c r="B124" s="1">
        <f t="shared" si="55"/>
        <v>45410</v>
      </c>
      <c r="C124">
        <v>119</v>
      </c>
      <c r="D124">
        <v>70</v>
      </c>
      <c r="E124" s="6">
        <v>12.82</v>
      </c>
      <c r="F124" s="6">
        <v>2.2919999999999998</v>
      </c>
      <c r="G124" s="6">
        <v>7.96</v>
      </c>
      <c r="H124" s="6">
        <v>-3.2949999999999999</v>
      </c>
      <c r="I124" s="6">
        <v>8.24</v>
      </c>
      <c r="J124" s="6">
        <v>3.0579999999999998</v>
      </c>
      <c r="K124" s="6">
        <v>66.930000000000007</v>
      </c>
      <c r="L124" s="6"/>
      <c r="M124" s="6">
        <v>2.7109999999999999</v>
      </c>
      <c r="N124" s="6">
        <v>3.2349999999999999</v>
      </c>
      <c r="O124" s="6">
        <v>8.34</v>
      </c>
      <c r="P124" s="6">
        <v>83.3</v>
      </c>
      <c r="Q124" s="6"/>
      <c r="R124" s="6">
        <v>14.79</v>
      </c>
      <c r="S124" s="6">
        <v>4.2990000000000004</v>
      </c>
      <c r="T124" s="6">
        <v>-1.5820000000000001</v>
      </c>
      <c r="U124" s="6">
        <v>37.86</v>
      </c>
      <c r="V124" s="6"/>
      <c r="W124" s="6">
        <v>-2.7469999999999999</v>
      </c>
      <c r="X124" s="6">
        <v>2.5630000000000002</v>
      </c>
      <c r="Y124" s="6">
        <v>1.1579999999999999</v>
      </c>
      <c r="Z124" s="6">
        <v>3.2469999999999999</v>
      </c>
      <c r="AA124" s="6">
        <v>0.4</v>
      </c>
      <c r="AB124" s="6">
        <v>1.8939999999999999</v>
      </c>
      <c r="AC124" s="6">
        <v>7.65</v>
      </c>
      <c r="AD124" s="6">
        <v>-3.089</v>
      </c>
      <c r="AE124" s="6">
        <v>8.9999999999999993E-3</v>
      </c>
      <c r="AF124" s="6">
        <v>7.0000000000000001E-3</v>
      </c>
      <c r="AG124" s="6">
        <v>1.8959999999999999</v>
      </c>
      <c r="AH124" s="6"/>
      <c r="AI124" s="6"/>
      <c r="AK124" s="22">
        <f t="shared" si="59"/>
        <v>0.4</v>
      </c>
      <c r="AL124">
        <f t="shared" si="57"/>
        <v>218.70000000000005</v>
      </c>
      <c r="AM124" s="4">
        <v>27.74</v>
      </c>
      <c r="AN124">
        <v>8.23</v>
      </c>
      <c r="AP124" s="7">
        <f t="shared" si="54"/>
        <v>0.41499999999999998</v>
      </c>
      <c r="AQ124" s="7">
        <f t="shared" si="33"/>
        <v>0.68100000000000005</v>
      </c>
      <c r="AS124">
        <f t="shared" si="34"/>
        <v>8.23</v>
      </c>
      <c r="AT124">
        <f t="shared" si="35"/>
        <v>3.1</v>
      </c>
      <c r="AU124">
        <f t="shared" si="36"/>
        <v>66.900000000000006</v>
      </c>
      <c r="AV124" t="s">
        <v>104</v>
      </c>
      <c r="AW124">
        <f t="shared" si="37"/>
        <v>2.7</v>
      </c>
      <c r="AX124">
        <f t="shared" si="38"/>
        <v>3.2</v>
      </c>
      <c r="AY124">
        <f t="shared" si="39"/>
        <v>8.3000000000000007</v>
      </c>
      <c r="AZ124">
        <f t="shared" si="40"/>
        <v>83.3</v>
      </c>
      <c r="BA124" t="s">
        <v>104</v>
      </c>
      <c r="BB124">
        <f t="shared" si="41"/>
        <v>14.8</v>
      </c>
      <c r="BC124">
        <f t="shared" si="42"/>
        <v>4.3</v>
      </c>
      <c r="BD124">
        <f t="shared" si="43"/>
        <v>-1.6</v>
      </c>
      <c r="BE124">
        <f t="shared" si="44"/>
        <v>37.9</v>
      </c>
      <c r="BF124" t="s">
        <v>104</v>
      </c>
      <c r="BG124">
        <f t="shared" si="45"/>
        <v>-2.7</v>
      </c>
      <c r="BH124">
        <f t="shared" si="46"/>
        <v>2.6</v>
      </c>
      <c r="BI124">
        <f t="shared" si="47"/>
        <v>1.1599999999999999</v>
      </c>
      <c r="BJ124">
        <f t="shared" si="48"/>
        <v>3.25</v>
      </c>
      <c r="BK124">
        <f t="shared" si="49"/>
        <v>0</v>
      </c>
      <c r="BL124">
        <f t="shared" si="50"/>
        <v>0.4</v>
      </c>
      <c r="BM124">
        <f t="shared" si="51"/>
        <v>0.41499999999999998</v>
      </c>
      <c r="BN124">
        <f t="shared" si="52"/>
        <v>0.68100000000000005</v>
      </c>
    </row>
    <row r="125" spans="1:66" x14ac:dyDescent="0.25">
      <c r="A125">
        <v>2024</v>
      </c>
      <c r="B125" s="1">
        <f t="shared" si="55"/>
        <v>45411</v>
      </c>
      <c r="C125">
        <v>120</v>
      </c>
      <c r="D125">
        <v>70</v>
      </c>
      <c r="E125" s="6">
        <v>12.93</v>
      </c>
      <c r="F125" s="6">
        <v>-0.436</v>
      </c>
      <c r="G125" s="6">
        <v>7.13</v>
      </c>
      <c r="H125" s="6">
        <v>-5.3440000000000003</v>
      </c>
      <c r="I125" s="6">
        <v>12.94</v>
      </c>
      <c r="J125" s="6">
        <v>-8.4000000000000005E-2</v>
      </c>
      <c r="K125" s="6">
        <v>77</v>
      </c>
      <c r="L125" s="6"/>
      <c r="M125" s="6">
        <v>0.14099999999999999</v>
      </c>
      <c r="N125" s="6">
        <v>2.911</v>
      </c>
      <c r="O125" s="6">
        <v>6.1379999999999999</v>
      </c>
      <c r="P125" s="6">
        <v>90.5</v>
      </c>
      <c r="Q125" s="6"/>
      <c r="R125" s="6">
        <v>12.07</v>
      </c>
      <c r="S125" s="6">
        <v>4.6399999999999997</v>
      </c>
      <c r="T125" s="6">
        <v>-3.5920000000000001</v>
      </c>
      <c r="U125" s="6">
        <v>49.77</v>
      </c>
      <c r="V125" s="6"/>
      <c r="W125" s="6">
        <v>-4.4640000000000004</v>
      </c>
      <c r="X125" s="6">
        <v>1.669</v>
      </c>
      <c r="Y125" s="6">
        <v>0.83099999999999996</v>
      </c>
      <c r="Z125" s="6">
        <v>2.327</v>
      </c>
      <c r="AA125" s="6">
        <v>1.5</v>
      </c>
      <c r="AB125" s="6">
        <v>1.887</v>
      </c>
      <c r="AC125" s="6">
        <v>6.1130000000000004</v>
      </c>
      <c r="AD125" s="6">
        <v>-5.1769999999999996</v>
      </c>
      <c r="AE125" s="6">
        <v>8.9999999999999993E-3</v>
      </c>
      <c r="AF125" s="6">
        <v>6.0000000000000001E-3</v>
      </c>
      <c r="AG125" s="6">
        <v>1.8979999999999999</v>
      </c>
      <c r="AH125" s="6"/>
      <c r="AI125" s="6"/>
      <c r="AK125" s="22">
        <f t="shared" si="59"/>
        <v>1.5</v>
      </c>
      <c r="AL125">
        <f t="shared" si="57"/>
        <v>220.20000000000005</v>
      </c>
      <c r="AM125" s="4">
        <v>27.94</v>
      </c>
      <c r="AN125">
        <v>12.94</v>
      </c>
      <c r="AP125" s="7">
        <f t="shared" si="54"/>
        <v>0.47</v>
      </c>
      <c r="AQ125" s="7">
        <f t="shared" si="33"/>
        <v>0.47399999999999998</v>
      </c>
      <c r="AS125">
        <f t="shared" si="34"/>
        <v>12.94</v>
      </c>
      <c r="AT125">
        <f t="shared" si="35"/>
        <v>-0.1</v>
      </c>
      <c r="AU125">
        <f t="shared" si="36"/>
        <v>77</v>
      </c>
      <c r="AV125" t="s">
        <v>104</v>
      </c>
      <c r="AW125">
        <f t="shared" si="37"/>
        <v>0.1</v>
      </c>
      <c r="AX125">
        <f t="shared" si="38"/>
        <v>2.9</v>
      </c>
      <c r="AY125">
        <f t="shared" si="39"/>
        <v>6.1</v>
      </c>
      <c r="AZ125">
        <f t="shared" si="40"/>
        <v>90.5</v>
      </c>
      <c r="BA125" t="s">
        <v>104</v>
      </c>
      <c r="BB125">
        <f t="shared" si="41"/>
        <v>12.1</v>
      </c>
      <c r="BC125">
        <f t="shared" si="42"/>
        <v>4.5999999999999996</v>
      </c>
      <c r="BD125">
        <f t="shared" si="43"/>
        <v>-3.6</v>
      </c>
      <c r="BE125">
        <f t="shared" si="44"/>
        <v>49.8</v>
      </c>
      <c r="BF125" t="s">
        <v>104</v>
      </c>
      <c r="BG125">
        <f t="shared" si="45"/>
        <v>-4.5</v>
      </c>
      <c r="BH125">
        <f t="shared" si="46"/>
        <v>1.7</v>
      </c>
      <c r="BI125">
        <f t="shared" si="47"/>
        <v>0.83</v>
      </c>
      <c r="BJ125">
        <f t="shared" si="48"/>
        <v>2.33</v>
      </c>
      <c r="BK125">
        <f t="shared" si="49"/>
        <v>0</v>
      </c>
      <c r="BL125">
        <f t="shared" si="50"/>
        <v>1.5</v>
      </c>
      <c r="BM125">
        <f t="shared" si="51"/>
        <v>0.47</v>
      </c>
      <c r="BN125">
        <f t="shared" si="52"/>
        <v>0.47399999999999998</v>
      </c>
    </row>
    <row r="126" spans="1:66" x14ac:dyDescent="0.25">
      <c r="A126">
        <v>2024</v>
      </c>
      <c r="B126" s="1">
        <f t="shared" si="55"/>
        <v>45412</v>
      </c>
      <c r="C126">
        <v>121</v>
      </c>
      <c r="D126">
        <v>70</v>
      </c>
      <c r="E126" s="6">
        <v>12.92</v>
      </c>
      <c r="F126" s="6">
        <v>0.13700000000000001</v>
      </c>
      <c r="G126" s="6">
        <v>9.3699999999999992</v>
      </c>
      <c r="H126" s="6">
        <v>-6.0640000000000001</v>
      </c>
      <c r="I126" s="6">
        <v>12.27</v>
      </c>
      <c r="J126" s="6">
        <v>1.131</v>
      </c>
      <c r="K126" s="6">
        <v>65.680000000000007</v>
      </c>
      <c r="L126" s="6"/>
      <c r="M126" s="6">
        <v>0.91100000000000003</v>
      </c>
      <c r="N126" s="6">
        <v>2.629</v>
      </c>
      <c r="O126" s="6">
        <v>9.15</v>
      </c>
      <c r="P126" s="6">
        <v>91.4</v>
      </c>
      <c r="Q126" s="6"/>
      <c r="R126" s="6">
        <v>17.3</v>
      </c>
      <c r="S126" s="6">
        <v>4.673</v>
      </c>
      <c r="T126" s="6">
        <v>-4.4619999999999997</v>
      </c>
      <c r="U126" s="6">
        <v>27.84</v>
      </c>
      <c r="V126" s="6"/>
      <c r="W126" s="6">
        <v>-5.4820000000000002</v>
      </c>
      <c r="X126" s="6">
        <v>1.728</v>
      </c>
      <c r="Y126" s="6">
        <v>0.69099999999999995</v>
      </c>
      <c r="Z126" s="6">
        <v>2.407</v>
      </c>
      <c r="AA126" s="6">
        <v>0.2</v>
      </c>
      <c r="AB126" s="6">
        <v>1.899</v>
      </c>
      <c r="AC126" s="6">
        <v>9.2899999999999991</v>
      </c>
      <c r="AD126" s="6">
        <v>-5.9550000000000001</v>
      </c>
      <c r="AE126" s="6">
        <v>8.9999999999999993E-3</v>
      </c>
      <c r="AF126" s="6">
        <v>6.0000000000000001E-3</v>
      </c>
      <c r="AG126" s="6">
        <v>1.901</v>
      </c>
      <c r="AH126" s="6"/>
      <c r="AI126" s="6"/>
      <c r="AK126" s="22">
        <f t="shared" si="59"/>
        <v>0.2</v>
      </c>
      <c r="AL126">
        <f t="shared" si="57"/>
        <v>220.40000000000003</v>
      </c>
      <c r="AM126" s="4">
        <v>28.15</v>
      </c>
      <c r="AN126">
        <v>12.27</v>
      </c>
      <c r="AP126" s="7">
        <f t="shared" si="54"/>
        <v>0.32300000000000001</v>
      </c>
      <c r="AQ126" s="7">
        <f t="shared" si="33"/>
        <v>0.83699999999999997</v>
      </c>
      <c r="AS126">
        <f t="shared" si="34"/>
        <v>12.27</v>
      </c>
      <c r="AT126">
        <f t="shared" si="35"/>
        <v>1.1000000000000001</v>
      </c>
      <c r="AU126">
        <f t="shared" si="36"/>
        <v>65.7</v>
      </c>
      <c r="AV126" t="s">
        <v>104</v>
      </c>
      <c r="AW126">
        <f t="shared" si="37"/>
        <v>0.9</v>
      </c>
      <c r="AX126">
        <f t="shared" si="38"/>
        <v>2.6</v>
      </c>
      <c r="AY126">
        <f t="shared" si="39"/>
        <v>9.1999999999999993</v>
      </c>
      <c r="AZ126">
        <f t="shared" si="40"/>
        <v>91.4</v>
      </c>
      <c r="BA126" t="s">
        <v>104</v>
      </c>
      <c r="BB126">
        <f t="shared" si="41"/>
        <v>17.3</v>
      </c>
      <c r="BC126">
        <f t="shared" si="42"/>
        <v>4.7</v>
      </c>
      <c r="BD126">
        <f t="shared" si="43"/>
        <v>-4.5</v>
      </c>
      <c r="BE126">
        <f t="shared" si="44"/>
        <v>27.8</v>
      </c>
      <c r="BF126" t="s">
        <v>104</v>
      </c>
      <c r="BG126">
        <f t="shared" si="45"/>
        <v>-5.5</v>
      </c>
      <c r="BH126">
        <f t="shared" si="46"/>
        <v>1.7</v>
      </c>
      <c r="BI126">
        <f t="shared" si="47"/>
        <v>0.69</v>
      </c>
      <c r="BJ126">
        <f t="shared" si="48"/>
        <v>2.41</v>
      </c>
      <c r="BK126">
        <f t="shared" si="49"/>
        <v>0</v>
      </c>
      <c r="BL126">
        <f t="shared" si="50"/>
        <v>0.2</v>
      </c>
      <c r="BM126">
        <f t="shared" si="51"/>
        <v>0.32300000000000001</v>
      </c>
      <c r="BN126">
        <f t="shared" si="52"/>
        <v>0.83699999999999997</v>
      </c>
    </row>
    <row r="127" spans="1:66" x14ac:dyDescent="0.25">
      <c r="A127">
        <v>2024</v>
      </c>
      <c r="B127" s="1">
        <f t="shared" si="55"/>
        <v>45413</v>
      </c>
      <c r="C127">
        <v>122</v>
      </c>
      <c r="D127">
        <v>70</v>
      </c>
      <c r="E127" s="6">
        <v>12.98</v>
      </c>
      <c r="F127" s="6">
        <v>2.64</v>
      </c>
      <c r="G127" s="6">
        <v>11.61</v>
      </c>
      <c r="H127" s="6">
        <v>-4.58</v>
      </c>
      <c r="I127" s="6">
        <v>14.69</v>
      </c>
      <c r="J127" s="6">
        <v>3.4390000000000001</v>
      </c>
      <c r="K127" s="6">
        <v>53.82</v>
      </c>
      <c r="L127" s="6"/>
      <c r="M127" s="6">
        <v>3.51</v>
      </c>
      <c r="N127" s="6">
        <v>2.823</v>
      </c>
      <c r="O127" s="6">
        <v>11.09</v>
      </c>
      <c r="P127" s="6">
        <v>86.3</v>
      </c>
      <c r="Q127" s="6"/>
      <c r="R127" s="6">
        <v>17.71</v>
      </c>
      <c r="S127" s="6">
        <v>4.069</v>
      </c>
      <c r="T127" s="6">
        <v>-2.3210000000000002</v>
      </c>
      <c r="U127" s="6">
        <v>25</v>
      </c>
      <c r="V127" s="6"/>
      <c r="W127" s="6">
        <v>-3.8090000000000002</v>
      </c>
      <c r="X127" s="6">
        <v>1.518</v>
      </c>
      <c r="Y127" s="6">
        <v>0.871</v>
      </c>
      <c r="Z127" s="6">
        <v>2.8340000000000001</v>
      </c>
      <c r="AA127" s="6">
        <v>0</v>
      </c>
      <c r="AB127" s="6">
        <v>2.0430000000000001</v>
      </c>
      <c r="AC127" s="6">
        <v>11.78</v>
      </c>
      <c r="AD127" s="6">
        <v>-4.468</v>
      </c>
      <c r="AE127" s="6">
        <v>8.9999999999999993E-3</v>
      </c>
      <c r="AF127" s="6">
        <v>7.0000000000000001E-3</v>
      </c>
      <c r="AG127" s="6">
        <v>2.0459999999999998</v>
      </c>
      <c r="AH127" s="6"/>
      <c r="AI127" s="6"/>
      <c r="AK127" s="22">
        <f t="shared" si="59"/>
        <v>0</v>
      </c>
      <c r="AL127">
        <f t="shared" si="57"/>
        <v>220.40000000000003</v>
      </c>
      <c r="AM127" s="4">
        <v>28.33</v>
      </c>
      <c r="AN127">
        <v>14.68</v>
      </c>
      <c r="AP127" s="7">
        <f t="shared" si="54"/>
        <v>0.33</v>
      </c>
      <c r="AQ127" s="7">
        <f t="shared" si="33"/>
        <v>0.99</v>
      </c>
      <c r="AS127">
        <f t="shared" si="34"/>
        <v>14.68</v>
      </c>
      <c r="AT127">
        <f t="shared" si="35"/>
        <v>3.4</v>
      </c>
      <c r="AU127">
        <f t="shared" si="36"/>
        <v>53.8</v>
      </c>
      <c r="AV127" t="s">
        <v>104</v>
      </c>
      <c r="AW127">
        <f t="shared" si="37"/>
        <v>3.5</v>
      </c>
      <c r="AX127">
        <f t="shared" si="38"/>
        <v>2.8</v>
      </c>
      <c r="AY127">
        <f t="shared" si="39"/>
        <v>11.1</v>
      </c>
      <c r="AZ127">
        <f t="shared" si="40"/>
        <v>86.3</v>
      </c>
      <c r="BA127" t="s">
        <v>104</v>
      </c>
      <c r="BB127">
        <f t="shared" si="41"/>
        <v>17.7</v>
      </c>
      <c r="BC127">
        <f t="shared" si="42"/>
        <v>4.0999999999999996</v>
      </c>
      <c r="BD127">
        <f t="shared" si="43"/>
        <v>-2.2999999999999998</v>
      </c>
      <c r="BE127">
        <f t="shared" si="44"/>
        <v>25</v>
      </c>
      <c r="BF127" t="s">
        <v>104</v>
      </c>
      <c r="BG127">
        <f t="shared" si="45"/>
        <v>-3.8</v>
      </c>
      <c r="BH127">
        <f t="shared" si="46"/>
        <v>1.5</v>
      </c>
      <c r="BI127">
        <f t="shared" si="47"/>
        <v>0.87</v>
      </c>
      <c r="BJ127">
        <f t="shared" si="48"/>
        <v>2.83</v>
      </c>
      <c r="BK127">
        <f t="shared" si="49"/>
        <v>0</v>
      </c>
      <c r="BL127">
        <f t="shared" si="50"/>
        <v>0</v>
      </c>
      <c r="BM127">
        <f t="shared" si="51"/>
        <v>0.33</v>
      </c>
      <c r="BN127">
        <f t="shared" si="52"/>
        <v>0.99</v>
      </c>
    </row>
    <row r="128" spans="1:66" x14ac:dyDescent="0.25">
      <c r="A128">
        <v>2024</v>
      </c>
      <c r="B128" s="1">
        <f t="shared" si="55"/>
        <v>45414</v>
      </c>
      <c r="C128">
        <v>123</v>
      </c>
      <c r="D128">
        <v>70</v>
      </c>
      <c r="E128" s="6">
        <v>12.99</v>
      </c>
      <c r="F128" s="6">
        <v>5.2210000000000001</v>
      </c>
      <c r="G128" s="6">
        <v>17.47</v>
      </c>
      <c r="H128" s="6">
        <v>-3.3250000000000002</v>
      </c>
      <c r="I128" s="6">
        <v>19.059999999999999</v>
      </c>
      <c r="J128" s="6">
        <v>5.9119999999999999</v>
      </c>
      <c r="K128" s="6">
        <v>54.93</v>
      </c>
      <c r="L128" s="6"/>
      <c r="M128" s="6">
        <v>6.33</v>
      </c>
      <c r="N128" s="6">
        <v>3.8069999999999999</v>
      </c>
      <c r="O128" s="6">
        <v>15.05</v>
      </c>
      <c r="P128" s="6">
        <v>89.5</v>
      </c>
      <c r="Q128" s="6"/>
      <c r="R128" s="6">
        <v>27.55</v>
      </c>
      <c r="S128" s="6">
        <v>6.048</v>
      </c>
      <c r="T128" s="6">
        <v>-1.6479999999999999</v>
      </c>
      <c r="U128" s="6">
        <v>22.25</v>
      </c>
      <c r="V128" s="6"/>
      <c r="W128" s="6">
        <v>-3.0790000000000002</v>
      </c>
      <c r="X128" s="6">
        <v>2.1779999999999999</v>
      </c>
      <c r="Y128" s="6">
        <v>0.625</v>
      </c>
      <c r="Z128" s="6">
        <v>2.1269999999999998</v>
      </c>
      <c r="AA128" s="6">
        <v>0</v>
      </c>
      <c r="AB128" s="6">
        <v>2.044</v>
      </c>
      <c r="AC128" s="6">
        <v>17.66</v>
      </c>
      <c r="AD128" s="6">
        <v>-3.2349999999999999</v>
      </c>
      <c r="AE128" s="6">
        <v>0.01</v>
      </c>
      <c r="AF128" s="6">
        <v>7.0000000000000001E-3</v>
      </c>
      <c r="AG128" s="6">
        <v>2.0299999999999998</v>
      </c>
      <c r="AH128" s="6"/>
      <c r="AI128" s="6"/>
      <c r="AK128" s="22">
        <f t="shared" si="59"/>
        <v>0</v>
      </c>
      <c r="AL128">
        <f t="shared" si="57"/>
        <v>220.40000000000003</v>
      </c>
      <c r="AM128" s="4">
        <v>28.52</v>
      </c>
      <c r="AN128">
        <v>19.05</v>
      </c>
      <c r="AP128" s="7">
        <f t="shared" si="54"/>
        <v>0.38100000000000001</v>
      </c>
      <c r="AQ128" s="7">
        <f t="shared" si="33"/>
        <v>1.331</v>
      </c>
      <c r="AS128">
        <f t="shared" si="34"/>
        <v>19.05</v>
      </c>
      <c r="AT128">
        <f t="shared" si="35"/>
        <v>5.9</v>
      </c>
      <c r="AU128">
        <f t="shared" si="36"/>
        <v>54.9</v>
      </c>
      <c r="AV128" t="s">
        <v>104</v>
      </c>
      <c r="AW128">
        <f t="shared" si="37"/>
        <v>6.3</v>
      </c>
      <c r="AX128">
        <f t="shared" si="38"/>
        <v>3.8</v>
      </c>
      <c r="AY128">
        <f t="shared" si="39"/>
        <v>15.1</v>
      </c>
      <c r="AZ128">
        <f t="shared" si="40"/>
        <v>89.5</v>
      </c>
      <c r="BA128" t="s">
        <v>104</v>
      </c>
      <c r="BB128">
        <f t="shared" si="41"/>
        <v>27.6</v>
      </c>
      <c r="BC128">
        <f t="shared" si="42"/>
        <v>6</v>
      </c>
      <c r="BD128">
        <f t="shared" si="43"/>
        <v>-1.6</v>
      </c>
      <c r="BE128">
        <f t="shared" si="44"/>
        <v>22.3</v>
      </c>
      <c r="BF128" t="s">
        <v>104</v>
      </c>
      <c r="BG128">
        <f t="shared" si="45"/>
        <v>-3.1</v>
      </c>
      <c r="BH128">
        <f t="shared" si="46"/>
        <v>2.2000000000000002</v>
      </c>
      <c r="BI128">
        <f t="shared" si="47"/>
        <v>0.63</v>
      </c>
      <c r="BJ128">
        <f t="shared" si="48"/>
        <v>2.13</v>
      </c>
      <c r="BK128">
        <f t="shared" si="49"/>
        <v>0</v>
      </c>
      <c r="BL128">
        <f t="shared" si="50"/>
        <v>0</v>
      </c>
      <c r="BM128">
        <f t="shared" si="51"/>
        <v>0.38100000000000001</v>
      </c>
      <c r="BN128">
        <f t="shared" si="52"/>
        <v>1.331</v>
      </c>
    </row>
    <row r="129" spans="1:66" x14ac:dyDescent="0.25">
      <c r="A129">
        <v>2024</v>
      </c>
      <c r="B129" s="1">
        <f t="shared" si="55"/>
        <v>45415</v>
      </c>
      <c r="C129">
        <v>124</v>
      </c>
      <c r="D129">
        <v>70</v>
      </c>
      <c r="E129" s="6">
        <v>12.93</v>
      </c>
      <c r="F129" s="6">
        <v>6.6879999999999997</v>
      </c>
      <c r="G129" s="6">
        <v>17.87</v>
      </c>
      <c r="H129" s="6">
        <v>-0.81399999999999995</v>
      </c>
      <c r="I129" s="6">
        <v>11.22</v>
      </c>
      <c r="J129" s="6">
        <v>7.74</v>
      </c>
      <c r="K129" s="6">
        <v>47.88</v>
      </c>
      <c r="L129" s="6"/>
      <c r="M129" s="6">
        <v>7.65</v>
      </c>
      <c r="N129" s="6">
        <v>4.4779999999999998</v>
      </c>
      <c r="O129" s="6">
        <v>16.920000000000002</v>
      </c>
      <c r="P129" s="6">
        <v>69.48</v>
      </c>
      <c r="Q129" s="6"/>
      <c r="R129" s="6">
        <v>26.94</v>
      </c>
      <c r="S129" s="6">
        <v>6.3550000000000004</v>
      </c>
      <c r="T129" s="6">
        <v>1.232</v>
      </c>
      <c r="U129" s="6">
        <v>22.18</v>
      </c>
      <c r="V129" s="6"/>
      <c r="W129" s="6">
        <v>-0.82899999999999996</v>
      </c>
      <c r="X129" s="6">
        <v>3.0990000000000002</v>
      </c>
      <c r="Y129" s="6">
        <v>0.60499999999999998</v>
      </c>
      <c r="Z129" s="6">
        <v>2.4470000000000001</v>
      </c>
      <c r="AA129" s="6">
        <v>0</v>
      </c>
      <c r="AB129" s="6">
        <v>1.8939999999999999</v>
      </c>
      <c r="AC129" s="6">
        <v>17.45</v>
      </c>
      <c r="AD129" s="6">
        <v>-0.64800000000000002</v>
      </c>
      <c r="AE129" s="6">
        <v>8.9999999999999993E-3</v>
      </c>
      <c r="AF129" s="6">
        <v>7.0000000000000001E-3</v>
      </c>
      <c r="AG129" s="6">
        <v>1.875</v>
      </c>
      <c r="AH129" s="6"/>
      <c r="AI129" s="6"/>
      <c r="AK129" s="22">
        <f t="shared" si="59"/>
        <v>0</v>
      </c>
      <c r="AL129">
        <f t="shared" si="57"/>
        <v>220.40000000000003</v>
      </c>
      <c r="AM129" s="4">
        <v>28.7</v>
      </c>
      <c r="AN129">
        <v>11.21</v>
      </c>
      <c r="AP129" s="7">
        <f t="shared" si="54"/>
        <v>0.42699999999999999</v>
      </c>
      <c r="AQ129" s="7">
        <f t="shared" si="33"/>
        <v>1.498</v>
      </c>
      <c r="AS129">
        <f t="shared" si="34"/>
        <v>11.21</v>
      </c>
      <c r="AT129">
        <f t="shared" si="35"/>
        <v>7.7</v>
      </c>
      <c r="AU129">
        <f t="shared" si="36"/>
        <v>47.9</v>
      </c>
      <c r="AV129" t="s">
        <v>104</v>
      </c>
      <c r="AW129">
        <f t="shared" si="37"/>
        <v>7.7</v>
      </c>
      <c r="AX129">
        <f t="shared" si="38"/>
        <v>4.5</v>
      </c>
      <c r="AY129">
        <f t="shared" si="39"/>
        <v>16.899999999999999</v>
      </c>
      <c r="AZ129">
        <f t="shared" si="40"/>
        <v>69.5</v>
      </c>
      <c r="BA129" t="s">
        <v>104</v>
      </c>
      <c r="BB129">
        <f t="shared" si="41"/>
        <v>26.9</v>
      </c>
      <c r="BC129">
        <f t="shared" si="42"/>
        <v>6.4</v>
      </c>
      <c r="BD129">
        <f t="shared" si="43"/>
        <v>1.2</v>
      </c>
      <c r="BE129">
        <f t="shared" si="44"/>
        <v>22.2</v>
      </c>
      <c r="BF129" t="s">
        <v>104</v>
      </c>
      <c r="BG129">
        <f t="shared" si="45"/>
        <v>-0.8</v>
      </c>
      <c r="BH129">
        <f t="shared" si="46"/>
        <v>3.1</v>
      </c>
      <c r="BI129">
        <f t="shared" si="47"/>
        <v>0.61</v>
      </c>
      <c r="BJ129">
        <f t="shared" si="48"/>
        <v>2.4500000000000002</v>
      </c>
      <c r="BK129">
        <f t="shared" si="49"/>
        <v>0</v>
      </c>
      <c r="BL129">
        <f t="shared" si="50"/>
        <v>0</v>
      </c>
      <c r="BM129">
        <f t="shared" si="51"/>
        <v>0.42699999999999999</v>
      </c>
      <c r="BN129">
        <f t="shared" si="52"/>
        <v>1.498</v>
      </c>
    </row>
    <row r="130" spans="1:66" x14ac:dyDescent="0.25">
      <c r="A130">
        <v>2024</v>
      </c>
      <c r="B130" s="1">
        <f t="shared" si="55"/>
        <v>45416</v>
      </c>
      <c r="C130">
        <v>125</v>
      </c>
      <c r="D130">
        <v>70</v>
      </c>
      <c r="E130" s="6">
        <v>12.9</v>
      </c>
      <c r="F130" s="6">
        <v>9.24</v>
      </c>
      <c r="G130" s="6">
        <v>19.16</v>
      </c>
      <c r="H130" s="6">
        <v>2.5990000000000002</v>
      </c>
      <c r="I130" s="6">
        <v>15.34</v>
      </c>
      <c r="J130" s="6">
        <v>9.6</v>
      </c>
      <c r="K130" s="6">
        <v>41.68</v>
      </c>
      <c r="L130" s="6"/>
      <c r="M130" s="6">
        <v>10.02</v>
      </c>
      <c r="N130" s="6">
        <v>5.4539999999999997</v>
      </c>
      <c r="O130" s="6">
        <v>16.98</v>
      </c>
      <c r="P130" s="6">
        <v>63.43</v>
      </c>
      <c r="Q130" s="6"/>
      <c r="R130" s="6">
        <v>24.92</v>
      </c>
      <c r="S130" s="6">
        <v>7.07</v>
      </c>
      <c r="T130" s="6">
        <v>4.056</v>
      </c>
      <c r="U130" s="6">
        <v>20.76</v>
      </c>
      <c r="V130" s="6"/>
      <c r="W130" s="6">
        <v>2.3650000000000002</v>
      </c>
      <c r="X130" s="6">
        <v>3.9830000000000001</v>
      </c>
      <c r="Y130" s="6">
        <v>0.68799999999999994</v>
      </c>
      <c r="Z130" s="6">
        <v>2.06</v>
      </c>
      <c r="AA130" s="6">
        <v>0</v>
      </c>
      <c r="AB130" s="6">
        <v>1.889</v>
      </c>
      <c r="AC130" s="6">
        <v>19.52</v>
      </c>
      <c r="AD130" s="6">
        <v>2.819</v>
      </c>
      <c r="AE130" s="6">
        <v>0.01</v>
      </c>
      <c r="AF130" s="6">
        <v>7.0000000000000001E-3</v>
      </c>
      <c r="AG130" s="6">
        <v>1.869</v>
      </c>
      <c r="AH130" s="6"/>
      <c r="AI130" s="6"/>
      <c r="AK130" s="22">
        <f t="shared" si="59"/>
        <v>0</v>
      </c>
      <c r="AL130">
        <f t="shared" si="57"/>
        <v>220.40000000000003</v>
      </c>
      <c r="AM130" s="4">
        <v>28.88</v>
      </c>
      <c r="AN130">
        <v>15.33</v>
      </c>
      <c r="AP130" s="7">
        <f t="shared" si="54"/>
        <v>0.40200000000000002</v>
      </c>
      <c r="AQ130" s="7">
        <f t="shared" si="33"/>
        <v>1.534</v>
      </c>
      <c r="AS130">
        <f t="shared" si="34"/>
        <v>15.33</v>
      </c>
      <c r="AT130">
        <f t="shared" si="35"/>
        <v>9.6</v>
      </c>
      <c r="AU130">
        <f t="shared" si="36"/>
        <v>41.7</v>
      </c>
      <c r="AV130" t="s">
        <v>104</v>
      </c>
      <c r="AW130">
        <f t="shared" si="37"/>
        <v>10</v>
      </c>
      <c r="AX130">
        <f t="shared" si="38"/>
        <v>5.5</v>
      </c>
      <c r="AY130">
        <f t="shared" si="39"/>
        <v>17</v>
      </c>
      <c r="AZ130">
        <f t="shared" si="40"/>
        <v>63.4</v>
      </c>
      <c r="BA130" t="s">
        <v>104</v>
      </c>
      <c r="BB130">
        <f t="shared" si="41"/>
        <v>24.9</v>
      </c>
      <c r="BC130">
        <f t="shared" si="42"/>
        <v>7.1</v>
      </c>
      <c r="BD130">
        <f t="shared" si="43"/>
        <v>4.0999999999999996</v>
      </c>
      <c r="BE130">
        <f t="shared" si="44"/>
        <v>20.8</v>
      </c>
      <c r="BF130" t="s">
        <v>104</v>
      </c>
      <c r="BG130">
        <f t="shared" si="45"/>
        <v>2.4</v>
      </c>
      <c r="BH130">
        <f t="shared" si="46"/>
        <v>4</v>
      </c>
      <c r="BI130">
        <f t="shared" si="47"/>
        <v>0.69</v>
      </c>
      <c r="BJ130">
        <f t="shared" si="48"/>
        <v>2.06</v>
      </c>
      <c r="BK130">
        <f t="shared" si="49"/>
        <v>0</v>
      </c>
      <c r="BL130">
        <f t="shared" si="50"/>
        <v>0</v>
      </c>
      <c r="BM130">
        <f t="shared" si="51"/>
        <v>0.40200000000000002</v>
      </c>
      <c r="BN130">
        <f t="shared" si="52"/>
        <v>1.534</v>
      </c>
    </row>
    <row r="131" spans="1:66" x14ac:dyDescent="0.25">
      <c r="A131">
        <v>2024</v>
      </c>
      <c r="B131" s="1">
        <f t="shared" si="55"/>
        <v>45417</v>
      </c>
      <c r="C131">
        <v>126</v>
      </c>
      <c r="D131">
        <v>70</v>
      </c>
      <c r="E131" s="6">
        <v>12.84</v>
      </c>
      <c r="F131" s="6">
        <v>8.9</v>
      </c>
      <c r="G131" s="6">
        <v>18.04</v>
      </c>
      <c r="H131" s="6">
        <v>3.4860000000000002</v>
      </c>
      <c r="I131" s="6">
        <v>12.15</v>
      </c>
      <c r="J131" s="6">
        <v>9.0399999999999991</v>
      </c>
      <c r="K131" s="6">
        <v>52.67</v>
      </c>
      <c r="L131" s="6"/>
      <c r="M131" s="6">
        <v>9.4499999999999993</v>
      </c>
      <c r="N131" s="6">
        <v>6.08</v>
      </c>
      <c r="O131" s="6">
        <v>16.579999999999998</v>
      </c>
      <c r="P131" s="6">
        <v>71.400000000000006</v>
      </c>
      <c r="Q131" s="6"/>
      <c r="R131" s="6">
        <v>22.97</v>
      </c>
      <c r="S131" s="6">
        <v>7.47</v>
      </c>
      <c r="T131" s="6">
        <v>4.0549999999999997</v>
      </c>
      <c r="U131" s="6">
        <v>29.83</v>
      </c>
      <c r="V131" s="6"/>
      <c r="W131" s="6">
        <v>3.5249999999999999</v>
      </c>
      <c r="X131" s="6">
        <v>4.9690000000000003</v>
      </c>
      <c r="Y131" s="6">
        <v>0.873</v>
      </c>
      <c r="Z131" s="6">
        <v>2.5939999999999999</v>
      </c>
      <c r="AA131" s="6">
        <v>0</v>
      </c>
      <c r="AB131" s="6">
        <v>1.8240000000000001</v>
      </c>
      <c r="AC131" s="6">
        <v>18.27</v>
      </c>
      <c r="AD131" s="6">
        <v>3.673</v>
      </c>
      <c r="AE131" s="6">
        <v>8.9999999999999993E-3</v>
      </c>
      <c r="AF131" s="6">
        <v>7.0000000000000001E-3</v>
      </c>
      <c r="AG131" s="6">
        <v>1.8089999999999999</v>
      </c>
      <c r="AH131" s="6"/>
      <c r="AI131" s="6"/>
      <c r="AK131" s="22">
        <f t="shared" si="59"/>
        <v>0</v>
      </c>
      <c r="AL131">
        <f t="shared" si="57"/>
        <v>220.40000000000003</v>
      </c>
      <c r="AM131" s="4">
        <v>29.05</v>
      </c>
      <c r="AN131">
        <v>12.14</v>
      </c>
      <c r="AP131" s="7">
        <f t="shared" si="54"/>
        <v>0.56299999999999994</v>
      </c>
      <c r="AQ131" s="7">
        <f t="shared" si="33"/>
        <v>1.3240000000000001</v>
      </c>
      <c r="AS131">
        <f t="shared" si="34"/>
        <v>12.14</v>
      </c>
      <c r="AT131">
        <f t="shared" si="35"/>
        <v>9</v>
      </c>
      <c r="AU131">
        <f t="shared" si="36"/>
        <v>52.7</v>
      </c>
      <c r="AV131" t="s">
        <v>104</v>
      </c>
      <c r="AW131">
        <f t="shared" si="37"/>
        <v>9.5</v>
      </c>
      <c r="AX131">
        <f t="shared" si="38"/>
        <v>6.1</v>
      </c>
      <c r="AY131">
        <f t="shared" si="39"/>
        <v>16.600000000000001</v>
      </c>
      <c r="AZ131">
        <f t="shared" si="40"/>
        <v>71.400000000000006</v>
      </c>
      <c r="BA131" t="s">
        <v>104</v>
      </c>
      <c r="BB131">
        <f t="shared" si="41"/>
        <v>23</v>
      </c>
      <c r="BC131">
        <f t="shared" si="42"/>
        <v>7.5</v>
      </c>
      <c r="BD131">
        <f t="shared" si="43"/>
        <v>4.0999999999999996</v>
      </c>
      <c r="BE131">
        <f t="shared" si="44"/>
        <v>29.8</v>
      </c>
      <c r="BF131" t="s">
        <v>104</v>
      </c>
      <c r="BG131">
        <f t="shared" si="45"/>
        <v>3.5</v>
      </c>
      <c r="BH131">
        <f t="shared" si="46"/>
        <v>5</v>
      </c>
      <c r="BI131">
        <f t="shared" si="47"/>
        <v>0.87</v>
      </c>
      <c r="BJ131">
        <f t="shared" si="48"/>
        <v>2.59</v>
      </c>
      <c r="BK131">
        <f t="shared" si="49"/>
        <v>0</v>
      </c>
      <c r="BL131">
        <f t="shared" si="50"/>
        <v>0</v>
      </c>
      <c r="BM131">
        <f t="shared" si="51"/>
        <v>0.56299999999999994</v>
      </c>
      <c r="BN131">
        <f t="shared" si="52"/>
        <v>1.3240000000000001</v>
      </c>
    </row>
    <row r="132" spans="1:66" x14ac:dyDescent="0.25">
      <c r="A132">
        <v>2024</v>
      </c>
      <c r="B132" s="1">
        <f t="shared" si="55"/>
        <v>45418</v>
      </c>
      <c r="C132">
        <v>127</v>
      </c>
      <c r="D132">
        <v>70</v>
      </c>
      <c r="E132" s="6">
        <v>12.86</v>
      </c>
      <c r="F132" s="6">
        <v>4.6859999999999999</v>
      </c>
      <c r="G132" s="6">
        <v>12.43</v>
      </c>
      <c r="H132" s="6">
        <v>-1.546</v>
      </c>
      <c r="I132" s="6">
        <v>11.35</v>
      </c>
      <c r="J132" s="6">
        <v>5.2110000000000003</v>
      </c>
      <c r="K132" s="6">
        <v>54.07</v>
      </c>
      <c r="L132" s="6"/>
      <c r="M132" s="6">
        <v>5.3230000000000004</v>
      </c>
      <c r="N132" s="6">
        <v>5.44</v>
      </c>
      <c r="O132" s="6">
        <v>12.91</v>
      </c>
      <c r="P132" s="6">
        <v>74.2</v>
      </c>
      <c r="Q132" s="6"/>
      <c r="R132" s="6">
        <v>22.68</v>
      </c>
      <c r="S132" s="6">
        <v>7.05</v>
      </c>
      <c r="T132" s="6">
        <v>-0.17499999999999999</v>
      </c>
      <c r="U132" s="6">
        <v>27.23</v>
      </c>
      <c r="V132" s="6"/>
      <c r="W132" s="6">
        <v>-1.794</v>
      </c>
      <c r="X132" s="6">
        <v>4.6399999999999997</v>
      </c>
      <c r="Y132" s="6">
        <v>1.1870000000000001</v>
      </c>
      <c r="Z132" s="6">
        <v>2.7</v>
      </c>
      <c r="AA132" s="6">
        <v>0.2</v>
      </c>
      <c r="AB132" s="6">
        <v>1.883</v>
      </c>
      <c r="AC132" s="6">
        <v>11.69</v>
      </c>
      <c r="AD132" s="6">
        <v>-1.325</v>
      </c>
      <c r="AE132" s="6">
        <v>8.9999999999999993E-3</v>
      </c>
      <c r="AF132" s="6">
        <v>7.0000000000000001E-3</v>
      </c>
      <c r="AG132" s="6">
        <v>1.8819999999999999</v>
      </c>
      <c r="AH132" s="6"/>
      <c r="AI132" s="6"/>
      <c r="AK132" s="22">
        <f t="shared" si="59"/>
        <v>0.2</v>
      </c>
      <c r="AL132">
        <f t="shared" si="57"/>
        <v>220.60000000000002</v>
      </c>
      <c r="AM132" s="4">
        <v>29.22</v>
      </c>
      <c r="AN132">
        <v>11.34</v>
      </c>
      <c r="AP132" s="7">
        <f t="shared" si="54"/>
        <v>0.40500000000000003</v>
      </c>
      <c r="AQ132" s="7">
        <f t="shared" si="33"/>
        <v>1.0820000000000001</v>
      </c>
      <c r="AS132">
        <f t="shared" si="34"/>
        <v>11.34</v>
      </c>
      <c r="AT132">
        <f t="shared" si="35"/>
        <v>5.2</v>
      </c>
      <c r="AU132">
        <f t="shared" si="36"/>
        <v>54.1</v>
      </c>
      <c r="AV132" t="s">
        <v>104</v>
      </c>
      <c r="AW132">
        <f t="shared" si="37"/>
        <v>5.3</v>
      </c>
      <c r="AX132">
        <f t="shared" si="38"/>
        <v>5.4</v>
      </c>
      <c r="AY132">
        <f t="shared" si="39"/>
        <v>12.9</v>
      </c>
      <c r="AZ132">
        <f t="shared" si="40"/>
        <v>74.2</v>
      </c>
      <c r="BA132" t="s">
        <v>104</v>
      </c>
      <c r="BB132">
        <f t="shared" si="41"/>
        <v>22.7</v>
      </c>
      <c r="BC132">
        <f t="shared" si="42"/>
        <v>7.1</v>
      </c>
      <c r="BD132">
        <f t="shared" si="43"/>
        <v>-0.2</v>
      </c>
      <c r="BE132">
        <f t="shared" si="44"/>
        <v>27.2</v>
      </c>
      <c r="BF132" t="s">
        <v>104</v>
      </c>
      <c r="BG132">
        <f t="shared" si="45"/>
        <v>-1.8</v>
      </c>
      <c r="BH132">
        <f t="shared" si="46"/>
        <v>4.5999999999999996</v>
      </c>
      <c r="BI132">
        <f t="shared" si="47"/>
        <v>1.19</v>
      </c>
      <c r="BJ132">
        <f t="shared" si="48"/>
        <v>2.7</v>
      </c>
      <c r="BK132">
        <f t="shared" si="49"/>
        <v>0</v>
      </c>
      <c r="BL132">
        <f t="shared" si="50"/>
        <v>0.2</v>
      </c>
      <c r="BM132">
        <f t="shared" si="51"/>
        <v>0.40500000000000003</v>
      </c>
      <c r="BN132">
        <f t="shared" si="52"/>
        <v>1.0820000000000001</v>
      </c>
    </row>
    <row r="133" spans="1:66" x14ac:dyDescent="0.25">
      <c r="A133">
        <v>2024</v>
      </c>
      <c r="B133" s="1">
        <f t="shared" si="55"/>
        <v>45419</v>
      </c>
      <c r="C133">
        <v>128</v>
      </c>
      <c r="D133">
        <v>70</v>
      </c>
      <c r="E133" s="6">
        <v>12.94</v>
      </c>
      <c r="F133" s="6">
        <v>3.73</v>
      </c>
      <c r="G133" s="6">
        <v>13.35</v>
      </c>
      <c r="H133" s="6">
        <v>-2.7530000000000001</v>
      </c>
      <c r="I133" s="6">
        <v>13.45</v>
      </c>
      <c r="J133" s="6">
        <v>4.0359999999999996</v>
      </c>
      <c r="K133" s="6">
        <v>58.42</v>
      </c>
      <c r="L133" s="6"/>
      <c r="M133" s="6">
        <v>4.4880000000000004</v>
      </c>
      <c r="N133" s="6">
        <v>4.8940000000000001</v>
      </c>
      <c r="O133" s="6">
        <v>12.1</v>
      </c>
      <c r="P133" s="6">
        <v>89.6</v>
      </c>
      <c r="Q133" s="6"/>
      <c r="R133" s="6">
        <v>21.85</v>
      </c>
      <c r="S133" s="6">
        <v>7.26</v>
      </c>
      <c r="T133" s="6">
        <v>-0.97599999999999998</v>
      </c>
      <c r="U133" s="6">
        <v>24.14</v>
      </c>
      <c r="V133" s="6"/>
      <c r="W133" s="6">
        <v>-3.0310000000000001</v>
      </c>
      <c r="X133" s="6">
        <v>3.7290000000000001</v>
      </c>
      <c r="Y133" s="6">
        <v>1.179</v>
      </c>
      <c r="Z133" s="6">
        <v>3.5670000000000002</v>
      </c>
      <c r="AA133" s="6">
        <v>0</v>
      </c>
      <c r="AB133" s="6">
        <v>2.2799999999999998</v>
      </c>
      <c r="AC133" s="6">
        <v>13.25</v>
      </c>
      <c r="AD133" s="6">
        <v>-2.2570000000000001</v>
      </c>
      <c r="AE133" s="6">
        <v>8.9999999999999993E-3</v>
      </c>
      <c r="AF133" s="6">
        <v>7.0000000000000001E-3</v>
      </c>
      <c r="AG133" s="6">
        <v>2.282</v>
      </c>
      <c r="AH133" s="6"/>
      <c r="AI133" s="6"/>
      <c r="AK133" s="22">
        <f t="shared" si="59"/>
        <v>0</v>
      </c>
      <c r="AL133">
        <f t="shared" si="57"/>
        <v>220.60000000000002</v>
      </c>
      <c r="AM133" s="4">
        <v>29.39</v>
      </c>
      <c r="AN133">
        <v>13.45</v>
      </c>
      <c r="AP133" s="7">
        <f t="shared" si="54"/>
        <v>0.34100000000000003</v>
      </c>
      <c r="AQ133" s="7">
        <f t="shared" si="33"/>
        <v>1.0720000000000001</v>
      </c>
      <c r="AS133">
        <f t="shared" si="34"/>
        <v>13.45</v>
      </c>
      <c r="AT133">
        <f t="shared" si="35"/>
        <v>4</v>
      </c>
      <c r="AU133">
        <f t="shared" si="36"/>
        <v>58.4</v>
      </c>
      <c r="AV133" t="s">
        <v>104</v>
      </c>
      <c r="AW133">
        <f t="shared" si="37"/>
        <v>4.5</v>
      </c>
      <c r="AX133">
        <f t="shared" si="38"/>
        <v>4.9000000000000004</v>
      </c>
      <c r="AY133">
        <f t="shared" si="39"/>
        <v>12.1</v>
      </c>
      <c r="AZ133">
        <f t="shared" si="40"/>
        <v>89.6</v>
      </c>
      <c r="BA133" t="s">
        <v>104</v>
      </c>
      <c r="BB133">
        <f t="shared" si="41"/>
        <v>21.9</v>
      </c>
      <c r="BC133">
        <f t="shared" si="42"/>
        <v>7.3</v>
      </c>
      <c r="BD133">
        <f t="shared" si="43"/>
        <v>-1</v>
      </c>
      <c r="BE133">
        <f t="shared" si="44"/>
        <v>24.1</v>
      </c>
      <c r="BF133" t="s">
        <v>104</v>
      </c>
      <c r="BG133">
        <f t="shared" si="45"/>
        <v>-3</v>
      </c>
      <c r="BH133">
        <f t="shared" si="46"/>
        <v>3.7</v>
      </c>
      <c r="BI133">
        <f t="shared" si="47"/>
        <v>1.18</v>
      </c>
      <c r="BJ133">
        <f t="shared" si="48"/>
        <v>3.57</v>
      </c>
      <c r="BK133">
        <f t="shared" si="49"/>
        <v>0</v>
      </c>
      <c r="BL133">
        <f t="shared" si="50"/>
        <v>0</v>
      </c>
      <c r="BM133">
        <f t="shared" si="51"/>
        <v>0.34100000000000003</v>
      </c>
      <c r="BN133">
        <f t="shared" si="52"/>
        <v>1.0720000000000001</v>
      </c>
    </row>
    <row r="134" spans="1:66" x14ac:dyDescent="0.25">
      <c r="A134">
        <v>2024</v>
      </c>
      <c r="B134" s="1">
        <f t="shared" si="55"/>
        <v>45420</v>
      </c>
      <c r="C134">
        <v>129</v>
      </c>
      <c r="D134">
        <v>70</v>
      </c>
      <c r="E134" s="6">
        <v>12.92</v>
      </c>
      <c r="F134" s="6">
        <v>7.04</v>
      </c>
      <c r="G134" s="6">
        <v>20.39</v>
      </c>
      <c r="H134" s="6">
        <v>-4.3159999999999998</v>
      </c>
      <c r="I134" s="6">
        <v>23.25</v>
      </c>
      <c r="J134" s="6">
        <v>7.79</v>
      </c>
      <c r="K134" s="6">
        <v>41.53</v>
      </c>
      <c r="L134" s="6"/>
      <c r="M134" s="6">
        <v>8.52</v>
      </c>
      <c r="N134" s="6">
        <v>5.4820000000000002</v>
      </c>
      <c r="O134" s="6">
        <v>18.32</v>
      </c>
      <c r="P134" s="6">
        <v>70.400000000000006</v>
      </c>
      <c r="Q134" s="6"/>
      <c r="R134" s="6">
        <v>30.61</v>
      </c>
      <c r="S134" s="6">
        <v>8.41</v>
      </c>
      <c r="T134" s="6">
        <v>-2.1869999999999998</v>
      </c>
      <c r="U134" s="6">
        <v>19.62</v>
      </c>
      <c r="V134" s="6"/>
      <c r="W134" s="6">
        <v>-4.1790000000000003</v>
      </c>
      <c r="X134" s="6">
        <v>3.3769999999999998</v>
      </c>
      <c r="Y134" s="6">
        <v>0.84299999999999997</v>
      </c>
      <c r="Z134" s="6">
        <v>2.5270000000000001</v>
      </c>
      <c r="AA134" s="6">
        <v>0</v>
      </c>
      <c r="AB134" s="6">
        <v>2.17</v>
      </c>
      <c r="AC134" s="6">
        <v>20.56</v>
      </c>
      <c r="AD134" s="6">
        <v>-4.2169999999999996</v>
      </c>
      <c r="AE134" s="6">
        <v>0.01</v>
      </c>
      <c r="AF134" s="6">
        <v>7.0000000000000001E-3</v>
      </c>
      <c r="AG134" s="6">
        <v>2.1459999999999999</v>
      </c>
      <c r="AH134" s="6"/>
      <c r="AI134" s="6"/>
      <c r="AK134" s="22">
        <f t="shared" si="59"/>
        <v>0</v>
      </c>
      <c r="AL134">
        <f t="shared" si="57"/>
        <v>220.60000000000002</v>
      </c>
      <c r="AM134" s="4">
        <v>29.56</v>
      </c>
      <c r="AN134">
        <v>23.24</v>
      </c>
      <c r="AP134" s="7">
        <f t="shared" si="54"/>
        <v>0.41299999999999998</v>
      </c>
      <c r="AQ134" s="7">
        <f t="shared" ref="AQ134:AQ197" si="60">ROUND(AP134/U134*(100-U134),3)</f>
        <v>1.6919999999999999</v>
      </c>
      <c r="AS134">
        <f t="shared" ref="AS134:AS197" si="61">AN134</f>
        <v>23.24</v>
      </c>
      <c r="AT134">
        <f t="shared" ref="AT134:AT197" si="62">ROUND(J134,1)</f>
        <v>7.8</v>
      </c>
      <c r="AU134">
        <f t="shared" ref="AU134:AU197" si="63">ROUND(K134,1)</f>
        <v>41.5</v>
      </c>
      <c r="AV134" t="s">
        <v>104</v>
      </c>
      <c r="AW134">
        <f t="shared" ref="AW134:AW197" si="64">ROUND(M134,1)</f>
        <v>8.5</v>
      </c>
      <c r="AX134">
        <f t="shared" ref="AX134:AX197" si="65">ROUND(N134,1)</f>
        <v>5.5</v>
      </c>
      <c r="AY134">
        <f t="shared" ref="AY134:AY197" si="66">ROUND(O134,1)</f>
        <v>18.3</v>
      </c>
      <c r="AZ134">
        <f t="shared" ref="AZ134:AZ197" si="67">ROUND(P134,1)</f>
        <v>70.400000000000006</v>
      </c>
      <c r="BA134" t="s">
        <v>104</v>
      </c>
      <c r="BB134">
        <f t="shared" ref="BB134:BB197" si="68">ROUND(R134,1)</f>
        <v>30.6</v>
      </c>
      <c r="BC134">
        <f t="shared" ref="BC134:BC197" si="69">ROUND(S134,1)</f>
        <v>8.4</v>
      </c>
      <c r="BD134">
        <f t="shared" ref="BD134:BD197" si="70">ROUND(T134,1)</f>
        <v>-2.2000000000000002</v>
      </c>
      <c r="BE134">
        <f t="shared" ref="BE134:BE197" si="71">ROUND(U134,1)</f>
        <v>19.600000000000001</v>
      </c>
      <c r="BF134" t="s">
        <v>104</v>
      </c>
      <c r="BG134">
        <f t="shared" ref="BG134:BG197" si="72">ROUND(W134,1)</f>
        <v>-4.2</v>
      </c>
      <c r="BH134">
        <f t="shared" ref="BH134:BH197" si="73">ROUND(X134,1)</f>
        <v>3.4</v>
      </c>
      <c r="BI134">
        <f t="shared" ref="BI134:BI197" si="74">ROUND(Y134,2)</f>
        <v>0.84</v>
      </c>
      <c r="BJ134">
        <f t="shared" ref="BJ134:BJ197" si="75">ROUND(Z134,2)</f>
        <v>2.5299999999999998</v>
      </c>
      <c r="BK134">
        <f t="shared" ref="BK134:BK197" si="76">AI134</f>
        <v>0</v>
      </c>
      <c r="BL134">
        <f t="shared" ref="BL134:BL197" si="77">ROUND(AK134,1)</f>
        <v>0</v>
      </c>
      <c r="BM134">
        <f t="shared" ref="BM134:BM197" si="78">ROUND(AP134,3)</f>
        <v>0.41299999999999998</v>
      </c>
      <c r="BN134">
        <f t="shared" ref="BN134:BN197" si="79">ROUND(AQ134,3)</f>
        <v>1.6919999999999999</v>
      </c>
    </row>
    <row r="135" spans="1:66" x14ac:dyDescent="0.25">
      <c r="A135">
        <v>2024</v>
      </c>
      <c r="B135" s="1">
        <f t="shared" si="55"/>
        <v>45421</v>
      </c>
      <c r="C135">
        <v>130</v>
      </c>
      <c r="D135">
        <v>70</v>
      </c>
      <c r="E135" s="6">
        <v>12.94</v>
      </c>
      <c r="F135" s="6">
        <v>12.29</v>
      </c>
      <c r="G135" s="6">
        <v>25.48</v>
      </c>
      <c r="H135" s="6">
        <v>1.837</v>
      </c>
      <c r="I135" s="6">
        <v>23.48</v>
      </c>
      <c r="J135" s="6">
        <v>13.19</v>
      </c>
      <c r="K135" s="6">
        <v>33.75</v>
      </c>
      <c r="L135" s="6"/>
      <c r="M135" s="6">
        <v>13.59</v>
      </c>
      <c r="N135" s="6">
        <v>7.22</v>
      </c>
      <c r="O135" s="6">
        <v>23.28</v>
      </c>
      <c r="P135" s="6">
        <v>59.19</v>
      </c>
      <c r="Q135" s="6"/>
      <c r="R135" s="6">
        <v>37.11</v>
      </c>
      <c r="S135" s="6">
        <v>10.09</v>
      </c>
      <c r="T135" s="6">
        <v>3.8540000000000001</v>
      </c>
      <c r="U135" s="6">
        <v>14.78</v>
      </c>
      <c r="V135" s="6"/>
      <c r="W135" s="6">
        <v>1.36</v>
      </c>
      <c r="X135" s="6">
        <v>5.09</v>
      </c>
      <c r="Y135" s="6">
        <v>0.70399999999999996</v>
      </c>
      <c r="Z135" s="6">
        <v>2.3940000000000001</v>
      </c>
      <c r="AA135" s="6">
        <v>0</v>
      </c>
      <c r="AB135" s="6">
        <v>2.0459999999999998</v>
      </c>
      <c r="AC135" s="6">
        <v>25.68</v>
      </c>
      <c r="AD135" s="6">
        <v>1.9870000000000001</v>
      </c>
      <c r="AE135" s="6">
        <v>0.01</v>
      </c>
      <c r="AF135" s="6">
        <v>7.0000000000000001E-3</v>
      </c>
      <c r="AG135" s="6">
        <v>2.0070000000000001</v>
      </c>
      <c r="AH135" s="6"/>
      <c r="AI135" s="6"/>
      <c r="AK135" s="22">
        <f t="shared" si="59"/>
        <v>0</v>
      </c>
      <c r="AL135">
        <f t="shared" si="57"/>
        <v>220.60000000000002</v>
      </c>
      <c r="AM135" s="4">
        <v>29.71</v>
      </c>
      <c r="AN135">
        <v>23.47</v>
      </c>
      <c r="AP135" s="7">
        <f t="shared" ref="AP135:AP198" si="80">ROUND((0.6105*(EXP((17.273*O135)/(O135+237.3))))*U135/100,3)</f>
        <v>0.42199999999999999</v>
      </c>
      <c r="AQ135" s="7">
        <f t="shared" si="60"/>
        <v>2.4329999999999998</v>
      </c>
      <c r="AS135">
        <f t="shared" si="61"/>
        <v>23.47</v>
      </c>
      <c r="AT135">
        <f t="shared" si="62"/>
        <v>13.2</v>
      </c>
      <c r="AU135">
        <f t="shared" si="63"/>
        <v>33.799999999999997</v>
      </c>
      <c r="AV135" t="s">
        <v>104</v>
      </c>
      <c r="AW135">
        <f t="shared" si="64"/>
        <v>13.6</v>
      </c>
      <c r="AX135">
        <f t="shared" si="65"/>
        <v>7.2</v>
      </c>
      <c r="AY135">
        <f t="shared" si="66"/>
        <v>23.3</v>
      </c>
      <c r="AZ135">
        <f t="shared" si="67"/>
        <v>59.2</v>
      </c>
      <c r="BA135" t="s">
        <v>104</v>
      </c>
      <c r="BB135">
        <f t="shared" si="68"/>
        <v>37.1</v>
      </c>
      <c r="BC135">
        <f t="shared" si="69"/>
        <v>10.1</v>
      </c>
      <c r="BD135">
        <f t="shared" si="70"/>
        <v>3.9</v>
      </c>
      <c r="BE135">
        <f t="shared" si="71"/>
        <v>14.8</v>
      </c>
      <c r="BF135" t="s">
        <v>104</v>
      </c>
      <c r="BG135">
        <f t="shared" si="72"/>
        <v>1.4</v>
      </c>
      <c r="BH135">
        <f t="shared" si="73"/>
        <v>5.0999999999999996</v>
      </c>
      <c r="BI135">
        <f t="shared" si="74"/>
        <v>0.7</v>
      </c>
      <c r="BJ135">
        <f t="shared" si="75"/>
        <v>2.39</v>
      </c>
      <c r="BK135">
        <f t="shared" si="76"/>
        <v>0</v>
      </c>
      <c r="BL135">
        <f t="shared" si="77"/>
        <v>0</v>
      </c>
      <c r="BM135">
        <f t="shared" si="78"/>
        <v>0.42199999999999999</v>
      </c>
      <c r="BN135">
        <f t="shared" si="79"/>
        <v>2.4329999999999998</v>
      </c>
    </row>
    <row r="136" spans="1:66" x14ac:dyDescent="0.25">
      <c r="A136">
        <v>2024</v>
      </c>
      <c r="B136" s="1">
        <f t="shared" ref="B136:B199" si="81">B135+1</f>
        <v>45422</v>
      </c>
      <c r="C136">
        <v>131</v>
      </c>
      <c r="D136">
        <v>70</v>
      </c>
      <c r="E136" s="6">
        <v>12.92</v>
      </c>
      <c r="F136" s="6">
        <v>15.49</v>
      </c>
      <c r="G136" s="6">
        <v>28.73</v>
      </c>
      <c r="H136" s="6">
        <v>5.7560000000000002</v>
      </c>
      <c r="I136" s="6">
        <v>22.6</v>
      </c>
      <c r="J136" s="6">
        <v>16.53</v>
      </c>
      <c r="K136" s="6">
        <v>32.28</v>
      </c>
      <c r="L136" s="6"/>
      <c r="M136" s="6">
        <v>16.37</v>
      </c>
      <c r="N136" s="6">
        <v>8.5</v>
      </c>
      <c r="O136" s="6">
        <v>27.78</v>
      </c>
      <c r="P136" s="6">
        <v>57.02</v>
      </c>
      <c r="Q136" s="6"/>
      <c r="R136" s="6">
        <v>40.450000000000003</v>
      </c>
      <c r="S136" s="6">
        <v>11.09</v>
      </c>
      <c r="T136" s="6">
        <v>7.94</v>
      </c>
      <c r="U136" s="6">
        <v>12.36</v>
      </c>
      <c r="V136" s="6"/>
      <c r="W136" s="6">
        <v>4.5720000000000001</v>
      </c>
      <c r="X136" s="6">
        <v>6.5620000000000003</v>
      </c>
      <c r="Y136" s="6">
        <v>0.61399999999999999</v>
      </c>
      <c r="Z136" s="6">
        <v>2.2069999999999999</v>
      </c>
      <c r="AA136" s="6">
        <v>0</v>
      </c>
      <c r="AB136" s="6">
        <v>2.048</v>
      </c>
      <c r="AC136" s="6">
        <v>29.22</v>
      </c>
      <c r="AD136" s="6">
        <v>5.923</v>
      </c>
      <c r="AE136" s="6">
        <v>0.01</v>
      </c>
      <c r="AF136" s="6">
        <v>7.0000000000000001E-3</v>
      </c>
      <c r="AG136" s="6">
        <v>2.004</v>
      </c>
      <c r="AH136" s="6"/>
      <c r="AI136" s="6"/>
      <c r="AK136" s="22">
        <f t="shared" si="59"/>
        <v>0</v>
      </c>
      <c r="AL136">
        <f t="shared" ref="AL136:AL199" si="82">AL135+AK136</f>
        <v>220.60000000000002</v>
      </c>
      <c r="AM136" s="4">
        <v>29.87</v>
      </c>
      <c r="AN136">
        <v>22.59</v>
      </c>
      <c r="AP136" s="7">
        <f t="shared" si="80"/>
        <v>0.46100000000000002</v>
      </c>
      <c r="AQ136" s="7">
        <f t="shared" si="60"/>
        <v>3.2690000000000001</v>
      </c>
      <c r="AS136">
        <f t="shared" si="61"/>
        <v>22.59</v>
      </c>
      <c r="AT136">
        <f t="shared" si="62"/>
        <v>16.5</v>
      </c>
      <c r="AU136">
        <f t="shared" si="63"/>
        <v>32.299999999999997</v>
      </c>
      <c r="AV136" t="s">
        <v>104</v>
      </c>
      <c r="AW136">
        <f t="shared" si="64"/>
        <v>16.399999999999999</v>
      </c>
      <c r="AX136">
        <f t="shared" si="65"/>
        <v>8.5</v>
      </c>
      <c r="AY136">
        <f t="shared" si="66"/>
        <v>27.8</v>
      </c>
      <c r="AZ136">
        <f t="shared" si="67"/>
        <v>57</v>
      </c>
      <c r="BA136" t="s">
        <v>104</v>
      </c>
      <c r="BB136">
        <f t="shared" si="68"/>
        <v>40.5</v>
      </c>
      <c r="BC136">
        <f t="shared" si="69"/>
        <v>11.1</v>
      </c>
      <c r="BD136">
        <f t="shared" si="70"/>
        <v>7.9</v>
      </c>
      <c r="BE136">
        <f t="shared" si="71"/>
        <v>12.4</v>
      </c>
      <c r="BF136" t="s">
        <v>104</v>
      </c>
      <c r="BG136">
        <f t="shared" si="72"/>
        <v>4.5999999999999996</v>
      </c>
      <c r="BH136">
        <f t="shared" si="73"/>
        <v>6.6</v>
      </c>
      <c r="BI136">
        <f t="shared" si="74"/>
        <v>0.61</v>
      </c>
      <c r="BJ136">
        <f t="shared" si="75"/>
        <v>2.21</v>
      </c>
      <c r="BK136">
        <f t="shared" si="76"/>
        <v>0</v>
      </c>
      <c r="BL136">
        <f t="shared" si="77"/>
        <v>0</v>
      </c>
      <c r="BM136">
        <f t="shared" si="78"/>
        <v>0.46100000000000002</v>
      </c>
      <c r="BN136">
        <f t="shared" si="79"/>
        <v>3.2690000000000001</v>
      </c>
    </row>
    <row r="137" spans="1:66" x14ac:dyDescent="0.25">
      <c r="A137">
        <v>2024</v>
      </c>
      <c r="B137" s="1">
        <f t="shared" si="81"/>
        <v>45423</v>
      </c>
      <c r="C137">
        <v>132</v>
      </c>
      <c r="D137">
        <v>70</v>
      </c>
      <c r="E137" s="6">
        <v>12.92</v>
      </c>
      <c r="F137" s="6">
        <v>16.41</v>
      </c>
      <c r="G137" s="6">
        <v>29.31</v>
      </c>
      <c r="H137" s="6">
        <v>6.5369999999999999</v>
      </c>
      <c r="I137" s="6">
        <v>23.03</v>
      </c>
      <c r="J137" s="6">
        <v>17.28</v>
      </c>
      <c r="K137" s="6">
        <v>32.979999999999997</v>
      </c>
      <c r="L137" s="6"/>
      <c r="M137" s="6">
        <v>17.55</v>
      </c>
      <c r="N137" s="6">
        <v>9.3800000000000008</v>
      </c>
      <c r="O137" s="6">
        <v>27.44</v>
      </c>
      <c r="P137" s="6">
        <v>59.71</v>
      </c>
      <c r="Q137" s="6"/>
      <c r="R137" s="6">
        <v>39.130000000000003</v>
      </c>
      <c r="S137" s="6">
        <v>11.89</v>
      </c>
      <c r="T137" s="6">
        <v>8.41</v>
      </c>
      <c r="U137" s="6">
        <v>13.57</v>
      </c>
      <c r="V137" s="6"/>
      <c r="W137" s="6">
        <v>5.33</v>
      </c>
      <c r="X137" s="6">
        <v>7.45</v>
      </c>
      <c r="Y137" s="6">
        <v>0.97699999999999998</v>
      </c>
      <c r="Z137" s="6">
        <v>2.5270000000000001</v>
      </c>
      <c r="AA137" s="6">
        <v>0</v>
      </c>
      <c r="AB137" s="6">
        <v>2.202</v>
      </c>
      <c r="AC137" s="6">
        <v>29.38</v>
      </c>
      <c r="AD137" s="6">
        <v>6.7859999999999996</v>
      </c>
      <c r="AE137" s="6">
        <v>0.01</v>
      </c>
      <c r="AF137" s="6">
        <v>7.0000000000000001E-3</v>
      </c>
      <c r="AG137" s="6">
        <v>2.16</v>
      </c>
      <c r="AH137" s="6"/>
      <c r="AI137" s="6"/>
      <c r="AK137" s="22">
        <f t="shared" si="59"/>
        <v>0</v>
      </c>
      <c r="AL137">
        <f t="shared" si="82"/>
        <v>220.60000000000002</v>
      </c>
      <c r="AM137" s="4">
        <v>30.03</v>
      </c>
      <c r="AN137">
        <v>23.02</v>
      </c>
      <c r="AP137" s="7">
        <f t="shared" si="80"/>
        <v>0.496</v>
      </c>
      <c r="AQ137" s="7">
        <f t="shared" si="60"/>
        <v>3.1589999999999998</v>
      </c>
      <c r="AS137">
        <f t="shared" si="61"/>
        <v>23.02</v>
      </c>
      <c r="AT137">
        <f t="shared" si="62"/>
        <v>17.3</v>
      </c>
      <c r="AU137">
        <f t="shared" si="63"/>
        <v>33</v>
      </c>
      <c r="AV137" t="s">
        <v>104</v>
      </c>
      <c r="AW137">
        <f t="shared" si="64"/>
        <v>17.600000000000001</v>
      </c>
      <c r="AX137">
        <f t="shared" si="65"/>
        <v>9.4</v>
      </c>
      <c r="AY137">
        <f t="shared" si="66"/>
        <v>27.4</v>
      </c>
      <c r="AZ137">
        <f t="shared" si="67"/>
        <v>59.7</v>
      </c>
      <c r="BA137" t="s">
        <v>104</v>
      </c>
      <c r="BB137">
        <f t="shared" si="68"/>
        <v>39.1</v>
      </c>
      <c r="BC137">
        <f t="shared" si="69"/>
        <v>11.9</v>
      </c>
      <c r="BD137">
        <f t="shared" si="70"/>
        <v>8.4</v>
      </c>
      <c r="BE137">
        <f t="shared" si="71"/>
        <v>13.6</v>
      </c>
      <c r="BF137" t="s">
        <v>104</v>
      </c>
      <c r="BG137">
        <f t="shared" si="72"/>
        <v>5.3</v>
      </c>
      <c r="BH137">
        <f t="shared" si="73"/>
        <v>7.5</v>
      </c>
      <c r="BI137">
        <f t="shared" si="74"/>
        <v>0.98</v>
      </c>
      <c r="BJ137">
        <f t="shared" si="75"/>
        <v>2.5299999999999998</v>
      </c>
      <c r="BK137">
        <f t="shared" si="76"/>
        <v>0</v>
      </c>
      <c r="BL137">
        <f t="shared" si="77"/>
        <v>0</v>
      </c>
      <c r="BM137">
        <f t="shared" si="78"/>
        <v>0.496</v>
      </c>
      <c r="BN137">
        <f t="shared" si="79"/>
        <v>3.1589999999999998</v>
      </c>
    </row>
    <row r="138" spans="1:66" x14ac:dyDescent="0.25">
      <c r="A138">
        <v>2024</v>
      </c>
      <c r="B138" s="1">
        <f t="shared" si="81"/>
        <v>45424</v>
      </c>
      <c r="C138">
        <v>133</v>
      </c>
      <c r="D138">
        <v>70</v>
      </c>
      <c r="E138" s="6">
        <v>12.9</v>
      </c>
      <c r="F138" s="6">
        <v>14.01</v>
      </c>
      <c r="G138" s="6">
        <v>25.92</v>
      </c>
      <c r="H138" s="6">
        <v>5.9720000000000004</v>
      </c>
      <c r="I138" s="6">
        <v>16.97</v>
      </c>
      <c r="J138" s="6">
        <v>14.68</v>
      </c>
      <c r="K138" s="6">
        <v>45.54</v>
      </c>
      <c r="L138" s="6"/>
      <c r="M138" s="6">
        <v>14.54</v>
      </c>
      <c r="N138" s="6">
        <v>9.31</v>
      </c>
      <c r="O138" s="6">
        <v>23.5</v>
      </c>
      <c r="P138" s="6">
        <v>81.7</v>
      </c>
      <c r="Q138" s="6"/>
      <c r="R138" s="6">
        <v>32.9</v>
      </c>
      <c r="S138" s="6">
        <v>10.86</v>
      </c>
      <c r="T138" s="6">
        <v>8.08</v>
      </c>
      <c r="U138" s="6">
        <v>20.29</v>
      </c>
      <c r="V138" s="6"/>
      <c r="W138" s="6">
        <v>5.4690000000000003</v>
      </c>
      <c r="X138" s="6">
        <v>7.77</v>
      </c>
      <c r="Y138" s="6">
        <v>0.95799999999999996</v>
      </c>
      <c r="Z138" s="6">
        <v>3.367</v>
      </c>
      <c r="AA138" s="6">
        <v>0.2</v>
      </c>
      <c r="AB138" s="6">
        <v>1.976</v>
      </c>
      <c r="AC138" s="6">
        <v>26.18</v>
      </c>
      <c r="AD138" s="6">
        <v>6.1340000000000003</v>
      </c>
      <c r="AE138" s="6">
        <v>0.01</v>
      </c>
      <c r="AF138" s="6">
        <v>7.0000000000000001E-3</v>
      </c>
      <c r="AG138" s="6">
        <v>1.9430000000000001</v>
      </c>
      <c r="AH138" s="6"/>
      <c r="AI138" s="6"/>
      <c r="AK138" s="22">
        <f t="shared" si="59"/>
        <v>0.2</v>
      </c>
      <c r="AL138">
        <f t="shared" si="82"/>
        <v>220.8</v>
      </c>
      <c r="AM138" s="4">
        <v>30.18</v>
      </c>
      <c r="AN138">
        <v>16.96</v>
      </c>
      <c r="AP138" s="7">
        <f t="shared" si="80"/>
        <v>0.58699999999999997</v>
      </c>
      <c r="AQ138" s="7">
        <f t="shared" si="60"/>
        <v>2.306</v>
      </c>
      <c r="AS138">
        <f t="shared" si="61"/>
        <v>16.96</v>
      </c>
      <c r="AT138">
        <f t="shared" si="62"/>
        <v>14.7</v>
      </c>
      <c r="AU138">
        <f t="shared" si="63"/>
        <v>45.5</v>
      </c>
      <c r="AV138" t="s">
        <v>104</v>
      </c>
      <c r="AW138">
        <f t="shared" si="64"/>
        <v>14.5</v>
      </c>
      <c r="AX138">
        <f t="shared" si="65"/>
        <v>9.3000000000000007</v>
      </c>
      <c r="AY138">
        <f t="shared" si="66"/>
        <v>23.5</v>
      </c>
      <c r="AZ138">
        <f t="shared" si="67"/>
        <v>81.7</v>
      </c>
      <c r="BA138" t="s">
        <v>104</v>
      </c>
      <c r="BB138">
        <f t="shared" si="68"/>
        <v>32.9</v>
      </c>
      <c r="BC138">
        <f t="shared" si="69"/>
        <v>10.9</v>
      </c>
      <c r="BD138">
        <f t="shared" si="70"/>
        <v>8.1</v>
      </c>
      <c r="BE138">
        <f t="shared" si="71"/>
        <v>20.3</v>
      </c>
      <c r="BF138" t="s">
        <v>104</v>
      </c>
      <c r="BG138">
        <f t="shared" si="72"/>
        <v>5.5</v>
      </c>
      <c r="BH138">
        <f t="shared" si="73"/>
        <v>7.8</v>
      </c>
      <c r="BI138">
        <f t="shared" si="74"/>
        <v>0.96</v>
      </c>
      <c r="BJ138">
        <f t="shared" si="75"/>
        <v>3.37</v>
      </c>
      <c r="BK138">
        <f t="shared" si="76"/>
        <v>0</v>
      </c>
      <c r="BL138">
        <f t="shared" si="77"/>
        <v>0.2</v>
      </c>
      <c r="BM138">
        <f t="shared" si="78"/>
        <v>0.58699999999999997</v>
      </c>
      <c r="BN138">
        <f t="shared" si="79"/>
        <v>2.306</v>
      </c>
    </row>
    <row r="139" spans="1:66" x14ac:dyDescent="0.25">
      <c r="A139">
        <v>2024</v>
      </c>
      <c r="B139" s="1">
        <f t="shared" si="81"/>
        <v>45425</v>
      </c>
      <c r="C139">
        <v>134</v>
      </c>
      <c r="D139">
        <v>70</v>
      </c>
      <c r="E139" s="6">
        <v>12.79</v>
      </c>
      <c r="F139" s="6">
        <v>7.88</v>
      </c>
      <c r="G139" s="6">
        <v>13.94</v>
      </c>
      <c r="H139" s="6">
        <v>1.264</v>
      </c>
      <c r="I139" s="6">
        <v>8.66</v>
      </c>
      <c r="J139" s="6">
        <v>8.11</v>
      </c>
      <c r="K139" s="6">
        <v>83.4</v>
      </c>
      <c r="L139" s="6"/>
      <c r="M139" s="6">
        <v>8.39</v>
      </c>
      <c r="N139" s="6">
        <v>8.66</v>
      </c>
      <c r="O139" s="6">
        <v>14.51</v>
      </c>
      <c r="P139" s="6">
        <v>93.6</v>
      </c>
      <c r="Q139" s="6"/>
      <c r="R139" s="6">
        <v>18.64</v>
      </c>
      <c r="S139" s="6">
        <v>9.4</v>
      </c>
      <c r="T139" s="6">
        <v>2.2400000000000002</v>
      </c>
      <c r="U139" s="6">
        <v>53.57</v>
      </c>
      <c r="V139" s="6"/>
      <c r="W139" s="6">
        <v>1.349</v>
      </c>
      <c r="X139" s="6">
        <v>7.67</v>
      </c>
      <c r="Y139" s="6">
        <v>0.55100000000000005</v>
      </c>
      <c r="Z139" s="6">
        <v>2.4870000000000001</v>
      </c>
      <c r="AA139" s="6">
        <v>6.8</v>
      </c>
      <c r="AB139" s="6">
        <v>1.911</v>
      </c>
      <c r="AC139" s="6">
        <v>13.83</v>
      </c>
      <c r="AD139" s="6">
        <v>1.655</v>
      </c>
      <c r="AE139" s="6">
        <v>8.9999999999999993E-3</v>
      </c>
      <c r="AF139" s="6">
        <v>7.0000000000000001E-3</v>
      </c>
      <c r="AG139" s="6">
        <v>1.9019999999999999</v>
      </c>
      <c r="AH139" s="6"/>
      <c r="AI139" s="6"/>
      <c r="AK139" s="22">
        <f t="shared" si="59"/>
        <v>6.8</v>
      </c>
      <c r="AL139">
        <f t="shared" si="82"/>
        <v>227.60000000000002</v>
      </c>
      <c r="AM139" s="4">
        <v>30.32</v>
      </c>
      <c r="AN139">
        <v>8.65</v>
      </c>
      <c r="AP139" s="7">
        <f t="shared" si="80"/>
        <v>0.88500000000000001</v>
      </c>
      <c r="AQ139" s="7">
        <f t="shared" si="60"/>
        <v>0.76700000000000002</v>
      </c>
      <c r="AS139">
        <f t="shared" si="61"/>
        <v>8.65</v>
      </c>
      <c r="AT139">
        <f t="shared" si="62"/>
        <v>8.1</v>
      </c>
      <c r="AU139">
        <f t="shared" si="63"/>
        <v>83.4</v>
      </c>
      <c r="AV139" t="s">
        <v>104</v>
      </c>
      <c r="AW139">
        <f t="shared" si="64"/>
        <v>8.4</v>
      </c>
      <c r="AX139">
        <f t="shared" si="65"/>
        <v>8.6999999999999993</v>
      </c>
      <c r="AY139">
        <f t="shared" si="66"/>
        <v>14.5</v>
      </c>
      <c r="AZ139">
        <f t="shared" si="67"/>
        <v>93.6</v>
      </c>
      <c r="BA139" t="s">
        <v>104</v>
      </c>
      <c r="BB139">
        <f t="shared" si="68"/>
        <v>18.600000000000001</v>
      </c>
      <c r="BC139">
        <f t="shared" si="69"/>
        <v>9.4</v>
      </c>
      <c r="BD139">
        <f t="shared" si="70"/>
        <v>2.2000000000000002</v>
      </c>
      <c r="BE139">
        <f t="shared" si="71"/>
        <v>53.6</v>
      </c>
      <c r="BF139" t="s">
        <v>104</v>
      </c>
      <c r="BG139">
        <f t="shared" si="72"/>
        <v>1.3</v>
      </c>
      <c r="BH139">
        <f t="shared" si="73"/>
        <v>7.7</v>
      </c>
      <c r="BI139">
        <f t="shared" si="74"/>
        <v>0.55000000000000004</v>
      </c>
      <c r="BJ139">
        <f t="shared" si="75"/>
        <v>2.4900000000000002</v>
      </c>
      <c r="BK139">
        <f t="shared" si="76"/>
        <v>0</v>
      </c>
      <c r="BL139">
        <f t="shared" si="77"/>
        <v>6.8</v>
      </c>
      <c r="BM139">
        <f t="shared" si="78"/>
        <v>0.88500000000000001</v>
      </c>
      <c r="BN139">
        <f t="shared" si="79"/>
        <v>0.76700000000000002</v>
      </c>
    </row>
    <row r="140" spans="1:66" x14ac:dyDescent="0.25">
      <c r="A140">
        <v>2024</v>
      </c>
      <c r="B140" s="1">
        <f t="shared" si="81"/>
        <v>45426</v>
      </c>
      <c r="C140">
        <v>135</v>
      </c>
      <c r="D140">
        <v>70</v>
      </c>
      <c r="E140" s="6">
        <v>12.92</v>
      </c>
      <c r="F140" s="6">
        <v>8.5</v>
      </c>
      <c r="G140" s="6">
        <v>19.239999999999998</v>
      </c>
      <c r="H140" s="6">
        <v>1.4E-2</v>
      </c>
      <c r="I140" s="6">
        <v>15.63</v>
      </c>
      <c r="J140" s="6">
        <v>9.17</v>
      </c>
      <c r="K140" s="6">
        <v>68.150000000000006</v>
      </c>
      <c r="L140" s="6"/>
      <c r="M140" s="6">
        <v>8.9700000000000006</v>
      </c>
      <c r="N140" s="6">
        <v>7.75</v>
      </c>
      <c r="O140" s="6">
        <v>18.61</v>
      </c>
      <c r="P140" s="6">
        <v>94.1</v>
      </c>
      <c r="Q140" s="6"/>
      <c r="R140" s="6">
        <v>28.68</v>
      </c>
      <c r="S140" s="6">
        <v>10.06</v>
      </c>
      <c r="T140" s="6">
        <v>1.2330000000000001</v>
      </c>
      <c r="U140" s="6">
        <v>30.38</v>
      </c>
      <c r="V140" s="6"/>
      <c r="W140" s="6">
        <v>-7.9000000000000001E-2</v>
      </c>
      <c r="X140" s="6">
        <v>6.3570000000000002</v>
      </c>
      <c r="Y140" s="6">
        <v>0.59299999999999997</v>
      </c>
      <c r="Z140" s="6">
        <v>2.5139999999999998</v>
      </c>
      <c r="AA140" s="6">
        <v>0.1</v>
      </c>
      <c r="AB140" s="6">
        <v>1.9690000000000001</v>
      </c>
      <c r="AC140" s="6">
        <v>18.38</v>
      </c>
      <c r="AD140" s="6">
        <v>0.182</v>
      </c>
      <c r="AE140" s="6">
        <v>8.9999999999999993E-3</v>
      </c>
      <c r="AF140" s="6">
        <v>7.0000000000000001E-3</v>
      </c>
      <c r="AG140" s="6">
        <v>1.9350000000000001</v>
      </c>
      <c r="AH140" s="6"/>
      <c r="AI140" s="6"/>
      <c r="AK140" s="22">
        <f t="shared" si="59"/>
        <v>0.1</v>
      </c>
      <c r="AL140">
        <f t="shared" si="82"/>
        <v>227.70000000000002</v>
      </c>
      <c r="AM140" s="4">
        <v>30.47</v>
      </c>
      <c r="AN140">
        <v>15.62</v>
      </c>
      <c r="AP140" s="7">
        <f t="shared" si="80"/>
        <v>0.65100000000000002</v>
      </c>
      <c r="AQ140" s="7">
        <f t="shared" si="60"/>
        <v>1.492</v>
      </c>
      <c r="AS140">
        <f t="shared" si="61"/>
        <v>15.62</v>
      </c>
      <c r="AT140">
        <f t="shared" si="62"/>
        <v>9.1999999999999993</v>
      </c>
      <c r="AU140">
        <f t="shared" si="63"/>
        <v>68.2</v>
      </c>
      <c r="AV140" t="s">
        <v>104</v>
      </c>
      <c r="AW140">
        <f t="shared" si="64"/>
        <v>9</v>
      </c>
      <c r="AX140">
        <f t="shared" si="65"/>
        <v>7.8</v>
      </c>
      <c r="AY140">
        <f t="shared" si="66"/>
        <v>18.600000000000001</v>
      </c>
      <c r="AZ140">
        <f t="shared" si="67"/>
        <v>94.1</v>
      </c>
      <c r="BA140" t="s">
        <v>104</v>
      </c>
      <c r="BB140">
        <f t="shared" si="68"/>
        <v>28.7</v>
      </c>
      <c r="BC140">
        <f t="shared" si="69"/>
        <v>10.1</v>
      </c>
      <c r="BD140">
        <f t="shared" si="70"/>
        <v>1.2</v>
      </c>
      <c r="BE140">
        <f t="shared" si="71"/>
        <v>30.4</v>
      </c>
      <c r="BF140" t="s">
        <v>104</v>
      </c>
      <c r="BG140">
        <f t="shared" si="72"/>
        <v>-0.1</v>
      </c>
      <c r="BH140">
        <f t="shared" si="73"/>
        <v>6.4</v>
      </c>
      <c r="BI140">
        <f t="shared" si="74"/>
        <v>0.59</v>
      </c>
      <c r="BJ140">
        <f t="shared" si="75"/>
        <v>2.5099999999999998</v>
      </c>
      <c r="BK140">
        <f t="shared" si="76"/>
        <v>0</v>
      </c>
      <c r="BL140">
        <f t="shared" si="77"/>
        <v>0.1</v>
      </c>
      <c r="BM140">
        <f t="shared" si="78"/>
        <v>0.65100000000000002</v>
      </c>
      <c r="BN140">
        <f t="shared" si="79"/>
        <v>1.492</v>
      </c>
    </row>
    <row r="141" spans="1:66" x14ac:dyDescent="0.25">
      <c r="A141">
        <v>2024</v>
      </c>
      <c r="B141" s="1">
        <f t="shared" si="81"/>
        <v>45427</v>
      </c>
      <c r="C141">
        <v>136</v>
      </c>
      <c r="D141">
        <v>70</v>
      </c>
      <c r="E141" s="6">
        <v>12.9</v>
      </c>
      <c r="F141" s="6">
        <v>11.36</v>
      </c>
      <c r="G141" s="6">
        <v>19.82</v>
      </c>
      <c r="H141" s="6">
        <v>6.2430000000000003</v>
      </c>
      <c r="I141" s="6">
        <v>11.96</v>
      </c>
      <c r="J141" s="6">
        <v>11.66</v>
      </c>
      <c r="K141" s="6">
        <v>61.19</v>
      </c>
      <c r="L141" s="6"/>
      <c r="M141" s="6">
        <v>12.13</v>
      </c>
      <c r="N141" s="6">
        <v>8.51</v>
      </c>
      <c r="O141" s="6">
        <v>19.420000000000002</v>
      </c>
      <c r="P141" s="6">
        <v>79.5</v>
      </c>
      <c r="Q141" s="6"/>
      <c r="R141" s="6">
        <v>30.48</v>
      </c>
      <c r="S141" s="6">
        <v>10.15</v>
      </c>
      <c r="T141" s="6">
        <v>6.8650000000000002</v>
      </c>
      <c r="U141" s="6">
        <v>34.880000000000003</v>
      </c>
      <c r="V141" s="6"/>
      <c r="W141" s="6">
        <v>5.2430000000000003</v>
      </c>
      <c r="X141" s="6">
        <v>7.42</v>
      </c>
      <c r="Y141" s="6">
        <v>0.89300000000000002</v>
      </c>
      <c r="Z141" s="6">
        <v>2.46</v>
      </c>
      <c r="AA141" s="6">
        <v>0</v>
      </c>
      <c r="AB141" s="6">
        <v>1.94</v>
      </c>
      <c r="AC141" s="6">
        <v>19.07</v>
      </c>
      <c r="AD141" s="6">
        <v>6.47</v>
      </c>
      <c r="AE141" s="6">
        <v>0.01</v>
      </c>
      <c r="AF141" s="6">
        <v>7.0000000000000001E-3</v>
      </c>
      <c r="AG141" s="6">
        <v>1.905</v>
      </c>
      <c r="AH141" s="6"/>
      <c r="AI141" s="6"/>
      <c r="AK141" s="22">
        <f t="shared" si="59"/>
        <v>0</v>
      </c>
      <c r="AL141">
        <f t="shared" si="82"/>
        <v>227.70000000000002</v>
      </c>
      <c r="AM141" s="4">
        <v>30.6</v>
      </c>
      <c r="AN141">
        <v>11.95</v>
      </c>
      <c r="AP141" s="7">
        <f t="shared" si="80"/>
        <v>0.78700000000000003</v>
      </c>
      <c r="AQ141" s="7">
        <f t="shared" si="60"/>
        <v>1.4690000000000001</v>
      </c>
      <c r="AS141">
        <f t="shared" si="61"/>
        <v>11.95</v>
      </c>
      <c r="AT141">
        <f t="shared" si="62"/>
        <v>11.7</v>
      </c>
      <c r="AU141">
        <f t="shared" si="63"/>
        <v>61.2</v>
      </c>
      <c r="AV141" t="s">
        <v>104</v>
      </c>
      <c r="AW141">
        <f t="shared" si="64"/>
        <v>12.1</v>
      </c>
      <c r="AX141">
        <f t="shared" si="65"/>
        <v>8.5</v>
      </c>
      <c r="AY141">
        <f t="shared" si="66"/>
        <v>19.399999999999999</v>
      </c>
      <c r="AZ141">
        <f t="shared" si="67"/>
        <v>79.5</v>
      </c>
      <c r="BA141" t="s">
        <v>104</v>
      </c>
      <c r="BB141">
        <f t="shared" si="68"/>
        <v>30.5</v>
      </c>
      <c r="BC141">
        <f t="shared" si="69"/>
        <v>10.199999999999999</v>
      </c>
      <c r="BD141">
        <f t="shared" si="70"/>
        <v>6.9</v>
      </c>
      <c r="BE141">
        <f t="shared" si="71"/>
        <v>34.9</v>
      </c>
      <c r="BF141" t="s">
        <v>104</v>
      </c>
      <c r="BG141">
        <f t="shared" si="72"/>
        <v>5.2</v>
      </c>
      <c r="BH141">
        <f t="shared" si="73"/>
        <v>7.4</v>
      </c>
      <c r="BI141">
        <f t="shared" si="74"/>
        <v>0.89</v>
      </c>
      <c r="BJ141">
        <f t="shared" si="75"/>
        <v>2.46</v>
      </c>
      <c r="BK141">
        <f t="shared" si="76"/>
        <v>0</v>
      </c>
      <c r="BL141">
        <f t="shared" si="77"/>
        <v>0</v>
      </c>
      <c r="BM141">
        <f t="shared" si="78"/>
        <v>0.78700000000000003</v>
      </c>
      <c r="BN141">
        <f t="shared" si="79"/>
        <v>1.4690000000000001</v>
      </c>
    </row>
    <row r="142" spans="1:66" x14ac:dyDescent="0.25">
      <c r="A142">
        <v>2024</v>
      </c>
      <c r="B142" s="1">
        <f t="shared" si="81"/>
        <v>45428</v>
      </c>
      <c r="C142">
        <v>137</v>
      </c>
      <c r="D142">
        <v>70</v>
      </c>
      <c r="E142" s="6">
        <v>12.77</v>
      </c>
      <c r="F142" s="6">
        <v>6.9130000000000003</v>
      </c>
      <c r="G142" s="6">
        <v>13.61</v>
      </c>
      <c r="H142" s="6">
        <v>-1.4999999999999999E-2</v>
      </c>
      <c r="I142" s="6">
        <v>8.7799999999999994</v>
      </c>
      <c r="J142" s="6">
        <v>7.04</v>
      </c>
      <c r="K142" s="6">
        <v>77.599999999999994</v>
      </c>
      <c r="L142" s="6"/>
      <c r="M142" s="6">
        <v>7.24</v>
      </c>
      <c r="N142" s="6">
        <v>8.0399999999999991</v>
      </c>
      <c r="O142" s="6">
        <v>14.11</v>
      </c>
      <c r="P142" s="6">
        <v>93.6</v>
      </c>
      <c r="Q142" s="6"/>
      <c r="R142" s="6">
        <v>19.05</v>
      </c>
      <c r="S142" s="6">
        <v>9.31</v>
      </c>
      <c r="T142" s="6">
        <v>0.29099999999999998</v>
      </c>
      <c r="U142" s="6">
        <v>46.85</v>
      </c>
      <c r="V142" s="6"/>
      <c r="W142" s="6">
        <v>-0.14199999999999999</v>
      </c>
      <c r="X142" s="6">
        <v>6.23</v>
      </c>
      <c r="Y142" s="6">
        <v>1.0409999999999999</v>
      </c>
      <c r="Z142" s="6">
        <v>3.1</v>
      </c>
      <c r="AA142" s="6">
        <v>13.9</v>
      </c>
      <c r="AB142" s="6">
        <v>2.012</v>
      </c>
      <c r="AC142" s="6">
        <v>13.47</v>
      </c>
      <c r="AD142" s="6">
        <v>9.9000000000000005E-2</v>
      </c>
      <c r="AE142" s="6">
        <v>0.01</v>
      </c>
      <c r="AF142" s="6">
        <v>7.0000000000000001E-3</v>
      </c>
      <c r="AG142" s="6">
        <v>2.0089999999999999</v>
      </c>
      <c r="AH142" s="6"/>
      <c r="AI142" s="6"/>
      <c r="AK142" s="22">
        <f t="shared" si="59"/>
        <v>13.9</v>
      </c>
      <c r="AL142">
        <f t="shared" si="82"/>
        <v>241.60000000000002</v>
      </c>
      <c r="AM142" s="4">
        <v>30.73</v>
      </c>
      <c r="AN142">
        <v>8.77</v>
      </c>
      <c r="AP142" s="7">
        <f t="shared" si="80"/>
        <v>0.754</v>
      </c>
      <c r="AQ142" s="7">
        <f t="shared" si="60"/>
        <v>0.85499999999999998</v>
      </c>
      <c r="AS142">
        <f t="shared" si="61"/>
        <v>8.77</v>
      </c>
      <c r="AT142">
        <f t="shared" si="62"/>
        <v>7</v>
      </c>
      <c r="AU142">
        <f t="shared" si="63"/>
        <v>77.599999999999994</v>
      </c>
      <c r="AV142" t="s">
        <v>104</v>
      </c>
      <c r="AW142">
        <f t="shared" si="64"/>
        <v>7.2</v>
      </c>
      <c r="AX142">
        <f t="shared" si="65"/>
        <v>8</v>
      </c>
      <c r="AY142">
        <f t="shared" si="66"/>
        <v>14.1</v>
      </c>
      <c r="AZ142">
        <f t="shared" si="67"/>
        <v>93.6</v>
      </c>
      <c r="BA142" t="s">
        <v>104</v>
      </c>
      <c r="BB142">
        <f t="shared" si="68"/>
        <v>19.100000000000001</v>
      </c>
      <c r="BC142">
        <f t="shared" si="69"/>
        <v>9.3000000000000007</v>
      </c>
      <c r="BD142">
        <f t="shared" si="70"/>
        <v>0.3</v>
      </c>
      <c r="BE142">
        <f t="shared" si="71"/>
        <v>46.9</v>
      </c>
      <c r="BF142" t="s">
        <v>104</v>
      </c>
      <c r="BG142">
        <f t="shared" si="72"/>
        <v>-0.1</v>
      </c>
      <c r="BH142">
        <f t="shared" si="73"/>
        <v>6.2</v>
      </c>
      <c r="BI142">
        <f t="shared" si="74"/>
        <v>1.04</v>
      </c>
      <c r="BJ142">
        <f t="shared" si="75"/>
        <v>3.1</v>
      </c>
      <c r="BK142">
        <f t="shared" si="76"/>
        <v>0</v>
      </c>
      <c r="BL142">
        <f t="shared" si="77"/>
        <v>13.9</v>
      </c>
      <c r="BM142">
        <f t="shared" si="78"/>
        <v>0.754</v>
      </c>
      <c r="BN142">
        <f t="shared" si="79"/>
        <v>0.85499999999999998</v>
      </c>
    </row>
    <row r="143" spans="1:66" x14ac:dyDescent="0.25">
      <c r="A143">
        <v>2024</v>
      </c>
      <c r="B143" s="1">
        <f t="shared" si="81"/>
        <v>45429</v>
      </c>
      <c r="C143">
        <v>138</v>
      </c>
      <c r="D143">
        <v>70</v>
      </c>
      <c r="E143" s="6">
        <v>12.92</v>
      </c>
      <c r="F143" s="6">
        <v>2.073</v>
      </c>
      <c r="G143" s="6">
        <v>8.42</v>
      </c>
      <c r="H143" s="6">
        <v>-0.32300000000000001</v>
      </c>
      <c r="I143" s="6">
        <v>10.97</v>
      </c>
      <c r="J143" s="6">
        <v>2.3439999999999999</v>
      </c>
      <c r="K143" s="6">
        <v>85</v>
      </c>
      <c r="L143" s="6"/>
      <c r="M143" s="6">
        <v>2.3330000000000002</v>
      </c>
      <c r="N143" s="6">
        <v>6.48</v>
      </c>
      <c r="O143" s="6">
        <v>7.74</v>
      </c>
      <c r="P143" s="6">
        <v>93.6</v>
      </c>
      <c r="Q143" s="6"/>
      <c r="R143" s="6">
        <v>13.54</v>
      </c>
      <c r="S143" s="6">
        <v>8.02</v>
      </c>
      <c r="T143" s="6">
        <v>9.2999999999999999E-2</v>
      </c>
      <c r="U143" s="6">
        <v>64.209999999999994</v>
      </c>
      <c r="V143" s="6"/>
      <c r="W143" s="6">
        <v>-0.71099999999999997</v>
      </c>
      <c r="X143" s="6">
        <v>5.1849999999999996</v>
      </c>
      <c r="Y143" s="6">
        <v>1.1399999999999999</v>
      </c>
      <c r="Z143" s="6">
        <v>3.234</v>
      </c>
      <c r="AA143" s="6">
        <v>8.5</v>
      </c>
      <c r="AB143" s="6">
        <v>1.9590000000000001</v>
      </c>
      <c r="AC143" s="6">
        <v>7.57</v>
      </c>
      <c r="AD143" s="6">
        <v>-0.127</v>
      </c>
      <c r="AE143" s="6">
        <v>8.9999999999999993E-3</v>
      </c>
      <c r="AF143" s="6">
        <v>7.0000000000000001E-3</v>
      </c>
      <c r="AG143" s="6">
        <v>1.954</v>
      </c>
      <c r="AH143" s="6"/>
      <c r="AI143" s="6"/>
      <c r="AK143" s="22">
        <f t="shared" si="59"/>
        <v>8.5</v>
      </c>
      <c r="AL143">
        <f t="shared" si="82"/>
        <v>250.10000000000002</v>
      </c>
      <c r="AM143" s="4">
        <v>30.87</v>
      </c>
      <c r="AN143">
        <v>10.96</v>
      </c>
      <c r="AP143" s="7">
        <f t="shared" si="80"/>
        <v>0.67600000000000005</v>
      </c>
      <c r="AQ143" s="7">
        <f t="shared" si="60"/>
        <v>0.377</v>
      </c>
      <c r="AS143">
        <f t="shared" si="61"/>
        <v>10.96</v>
      </c>
      <c r="AT143">
        <f t="shared" si="62"/>
        <v>2.2999999999999998</v>
      </c>
      <c r="AU143">
        <f t="shared" si="63"/>
        <v>85</v>
      </c>
      <c r="AV143" t="s">
        <v>104</v>
      </c>
      <c r="AW143">
        <f t="shared" si="64"/>
        <v>2.2999999999999998</v>
      </c>
      <c r="AX143">
        <f t="shared" si="65"/>
        <v>6.5</v>
      </c>
      <c r="AY143">
        <f t="shared" si="66"/>
        <v>7.7</v>
      </c>
      <c r="AZ143">
        <f t="shared" si="67"/>
        <v>93.6</v>
      </c>
      <c r="BA143" t="s">
        <v>104</v>
      </c>
      <c r="BB143">
        <f t="shared" si="68"/>
        <v>13.5</v>
      </c>
      <c r="BC143">
        <f t="shared" si="69"/>
        <v>8</v>
      </c>
      <c r="BD143">
        <f t="shared" si="70"/>
        <v>0.1</v>
      </c>
      <c r="BE143">
        <f t="shared" si="71"/>
        <v>64.2</v>
      </c>
      <c r="BF143" t="s">
        <v>104</v>
      </c>
      <c r="BG143">
        <f t="shared" si="72"/>
        <v>-0.7</v>
      </c>
      <c r="BH143">
        <f t="shared" si="73"/>
        <v>5.2</v>
      </c>
      <c r="BI143">
        <f t="shared" si="74"/>
        <v>1.1399999999999999</v>
      </c>
      <c r="BJ143">
        <f t="shared" si="75"/>
        <v>3.23</v>
      </c>
      <c r="BK143">
        <f t="shared" si="76"/>
        <v>0</v>
      </c>
      <c r="BL143">
        <f t="shared" si="77"/>
        <v>8.5</v>
      </c>
      <c r="BM143">
        <f t="shared" si="78"/>
        <v>0.67600000000000005</v>
      </c>
      <c r="BN143">
        <f t="shared" si="79"/>
        <v>0.377</v>
      </c>
    </row>
    <row r="144" spans="1:66" x14ac:dyDescent="0.25">
      <c r="A144">
        <v>2024</v>
      </c>
      <c r="B144" s="1">
        <f t="shared" si="81"/>
        <v>45430</v>
      </c>
      <c r="C144">
        <v>139</v>
      </c>
      <c r="D144">
        <v>70</v>
      </c>
      <c r="E144" s="6">
        <v>12.93</v>
      </c>
      <c r="F144" s="6">
        <v>3.9319999999999999</v>
      </c>
      <c r="G144" s="6">
        <v>13.74</v>
      </c>
      <c r="H144" s="6">
        <v>-1.1319999999999999</v>
      </c>
      <c r="I144" s="6">
        <v>12.55</v>
      </c>
      <c r="J144" s="6">
        <v>4.0869999999999997</v>
      </c>
      <c r="K144" s="6">
        <v>74.3</v>
      </c>
      <c r="L144" s="6"/>
      <c r="M144" s="6">
        <v>4.625</v>
      </c>
      <c r="N144" s="6">
        <v>6.6029999999999998</v>
      </c>
      <c r="O144" s="6">
        <v>12.11</v>
      </c>
      <c r="P144" s="6">
        <v>91.8</v>
      </c>
      <c r="Q144" s="6"/>
      <c r="R144" s="6">
        <v>24.51</v>
      </c>
      <c r="S144" s="6">
        <v>8.0399999999999991</v>
      </c>
      <c r="T144" s="6">
        <v>-0.17799999999999999</v>
      </c>
      <c r="U144" s="6">
        <v>43.49</v>
      </c>
      <c r="V144" s="6"/>
      <c r="W144" s="6">
        <v>-1.3959999999999999</v>
      </c>
      <c r="X144" s="6">
        <v>5.5869999999999997</v>
      </c>
      <c r="Y144" s="6">
        <v>0.72399999999999998</v>
      </c>
      <c r="Z144" s="6">
        <v>2.0470000000000002</v>
      </c>
      <c r="AA144" s="6">
        <v>0.1</v>
      </c>
      <c r="AB144" s="6">
        <v>1.9239999999999999</v>
      </c>
      <c r="AC144" s="6">
        <v>12.83</v>
      </c>
      <c r="AD144" s="6">
        <v>-0.499</v>
      </c>
      <c r="AE144" s="6">
        <v>8.9999999999999993E-3</v>
      </c>
      <c r="AF144" s="6">
        <v>7.0000000000000001E-3</v>
      </c>
      <c r="AG144" s="6">
        <v>1.923</v>
      </c>
      <c r="AH144" s="6"/>
      <c r="AI144" s="6"/>
      <c r="AK144" s="22">
        <f t="shared" si="59"/>
        <v>0.1</v>
      </c>
      <c r="AL144">
        <f t="shared" si="82"/>
        <v>250.20000000000002</v>
      </c>
      <c r="AM144" s="4">
        <v>30.99</v>
      </c>
      <c r="AN144">
        <v>12.54</v>
      </c>
      <c r="AP144" s="7">
        <f t="shared" si="80"/>
        <v>0.61399999999999999</v>
      </c>
      <c r="AQ144" s="7">
        <f t="shared" si="60"/>
        <v>0.79800000000000004</v>
      </c>
      <c r="AS144">
        <f t="shared" si="61"/>
        <v>12.54</v>
      </c>
      <c r="AT144">
        <f t="shared" si="62"/>
        <v>4.0999999999999996</v>
      </c>
      <c r="AU144">
        <f t="shared" si="63"/>
        <v>74.3</v>
      </c>
      <c r="AV144" t="s">
        <v>104</v>
      </c>
      <c r="AW144">
        <f t="shared" si="64"/>
        <v>4.5999999999999996</v>
      </c>
      <c r="AX144">
        <f t="shared" si="65"/>
        <v>6.6</v>
      </c>
      <c r="AY144">
        <f t="shared" si="66"/>
        <v>12.1</v>
      </c>
      <c r="AZ144">
        <f t="shared" si="67"/>
        <v>91.8</v>
      </c>
      <c r="BA144" t="s">
        <v>104</v>
      </c>
      <c r="BB144">
        <f t="shared" si="68"/>
        <v>24.5</v>
      </c>
      <c r="BC144">
        <f t="shared" si="69"/>
        <v>8</v>
      </c>
      <c r="BD144">
        <f t="shared" si="70"/>
        <v>-0.2</v>
      </c>
      <c r="BE144">
        <f t="shared" si="71"/>
        <v>43.5</v>
      </c>
      <c r="BF144" t="s">
        <v>104</v>
      </c>
      <c r="BG144">
        <f t="shared" si="72"/>
        <v>-1.4</v>
      </c>
      <c r="BH144">
        <f t="shared" si="73"/>
        <v>5.6</v>
      </c>
      <c r="BI144">
        <f t="shared" si="74"/>
        <v>0.72</v>
      </c>
      <c r="BJ144">
        <f t="shared" si="75"/>
        <v>2.0499999999999998</v>
      </c>
      <c r="BK144">
        <f t="shared" si="76"/>
        <v>0</v>
      </c>
      <c r="BL144">
        <f t="shared" si="77"/>
        <v>0.1</v>
      </c>
      <c r="BM144">
        <f t="shared" si="78"/>
        <v>0.61399999999999999</v>
      </c>
      <c r="BN144">
        <f t="shared" si="79"/>
        <v>0.79800000000000004</v>
      </c>
    </row>
    <row r="145" spans="1:66" x14ac:dyDescent="0.25">
      <c r="A145">
        <v>2024</v>
      </c>
      <c r="B145" s="1">
        <f t="shared" si="81"/>
        <v>45431</v>
      </c>
      <c r="C145">
        <v>140</v>
      </c>
      <c r="D145">
        <v>70</v>
      </c>
      <c r="E145" s="6">
        <v>12.93</v>
      </c>
      <c r="F145" s="6">
        <v>5.0949999999999998</v>
      </c>
      <c r="G145" s="6">
        <v>15.58</v>
      </c>
      <c r="H145" s="6">
        <v>-2.0579999999999998</v>
      </c>
      <c r="I145" s="6">
        <v>18.04</v>
      </c>
      <c r="J145" s="6">
        <v>5.1859999999999999</v>
      </c>
      <c r="K145" s="6">
        <v>73.400000000000006</v>
      </c>
      <c r="L145" s="6"/>
      <c r="M145" s="6">
        <v>6.21</v>
      </c>
      <c r="N145" s="6">
        <v>7.31</v>
      </c>
      <c r="O145" s="6">
        <v>13.5</v>
      </c>
      <c r="P145" s="6">
        <v>93.6</v>
      </c>
      <c r="Q145" s="6"/>
      <c r="R145" s="6">
        <v>25</v>
      </c>
      <c r="S145" s="6">
        <v>9.89</v>
      </c>
      <c r="T145" s="6">
        <v>-0.84199999999999997</v>
      </c>
      <c r="U145" s="6">
        <v>37.17</v>
      </c>
      <c r="V145" s="6"/>
      <c r="W145" s="6">
        <v>-2.1779999999999999</v>
      </c>
      <c r="X145" s="6">
        <v>4.9450000000000003</v>
      </c>
      <c r="Y145" s="6">
        <v>0.85</v>
      </c>
      <c r="Z145" s="6">
        <v>2.9940000000000002</v>
      </c>
      <c r="AA145" s="6">
        <v>1.4</v>
      </c>
      <c r="AB145" s="6">
        <v>1.911</v>
      </c>
      <c r="AC145" s="6">
        <v>14.92</v>
      </c>
      <c r="AD145" s="6">
        <v>-1.8620000000000001</v>
      </c>
      <c r="AE145" s="6">
        <v>0.01</v>
      </c>
      <c r="AF145" s="6">
        <v>7.0000000000000001E-3</v>
      </c>
      <c r="AG145" s="6">
        <v>1.905</v>
      </c>
      <c r="AH145" s="6"/>
      <c r="AI145" s="6"/>
      <c r="AK145" s="22">
        <f t="shared" si="59"/>
        <v>1.4</v>
      </c>
      <c r="AL145">
        <f t="shared" si="82"/>
        <v>251.60000000000002</v>
      </c>
      <c r="AM145" s="4">
        <v>31.11</v>
      </c>
      <c r="AN145">
        <v>18.03</v>
      </c>
      <c r="AP145" s="7">
        <f t="shared" si="80"/>
        <v>0.57499999999999996</v>
      </c>
      <c r="AQ145" s="7">
        <f t="shared" si="60"/>
        <v>0.97199999999999998</v>
      </c>
      <c r="AS145">
        <f t="shared" si="61"/>
        <v>18.03</v>
      </c>
      <c r="AT145">
        <f t="shared" si="62"/>
        <v>5.2</v>
      </c>
      <c r="AU145">
        <f t="shared" si="63"/>
        <v>73.400000000000006</v>
      </c>
      <c r="AV145" t="s">
        <v>104</v>
      </c>
      <c r="AW145">
        <f t="shared" si="64"/>
        <v>6.2</v>
      </c>
      <c r="AX145">
        <f t="shared" si="65"/>
        <v>7.3</v>
      </c>
      <c r="AY145">
        <f t="shared" si="66"/>
        <v>13.5</v>
      </c>
      <c r="AZ145">
        <f t="shared" si="67"/>
        <v>93.6</v>
      </c>
      <c r="BA145" t="s">
        <v>104</v>
      </c>
      <c r="BB145">
        <f t="shared" si="68"/>
        <v>25</v>
      </c>
      <c r="BC145">
        <f t="shared" si="69"/>
        <v>9.9</v>
      </c>
      <c r="BD145">
        <f t="shared" si="70"/>
        <v>-0.8</v>
      </c>
      <c r="BE145">
        <f t="shared" si="71"/>
        <v>37.200000000000003</v>
      </c>
      <c r="BF145" t="s">
        <v>104</v>
      </c>
      <c r="BG145">
        <f t="shared" si="72"/>
        <v>-2.2000000000000002</v>
      </c>
      <c r="BH145">
        <f t="shared" si="73"/>
        <v>4.9000000000000004</v>
      </c>
      <c r="BI145">
        <f t="shared" si="74"/>
        <v>0.85</v>
      </c>
      <c r="BJ145">
        <f t="shared" si="75"/>
        <v>2.99</v>
      </c>
      <c r="BK145">
        <f t="shared" si="76"/>
        <v>0</v>
      </c>
      <c r="BL145">
        <f t="shared" si="77"/>
        <v>1.4</v>
      </c>
      <c r="BM145">
        <f t="shared" si="78"/>
        <v>0.57499999999999996</v>
      </c>
      <c r="BN145">
        <f t="shared" si="79"/>
        <v>0.97199999999999998</v>
      </c>
    </row>
    <row r="146" spans="1:66" x14ac:dyDescent="0.25">
      <c r="A146">
        <v>2024</v>
      </c>
      <c r="B146" s="1">
        <f t="shared" si="81"/>
        <v>45432</v>
      </c>
      <c r="C146">
        <v>141</v>
      </c>
      <c r="D146">
        <v>70</v>
      </c>
      <c r="E146" s="6">
        <v>12.94</v>
      </c>
      <c r="F146" s="6">
        <v>7.67</v>
      </c>
      <c r="G146" s="6">
        <v>19.100000000000001</v>
      </c>
      <c r="H146" s="6">
        <v>-1.5369999999999999</v>
      </c>
      <c r="I146" s="6">
        <v>18.79</v>
      </c>
      <c r="J146" s="6">
        <v>8.2200000000000006</v>
      </c>
      <c r="K146" s="6">
        <v>57.41</v>
      </c>
      <c r="L146" s="6"/>
      <c r="M146" s="6">
        <v>8.76</v>
      </c>
      <c r="N146" s="6">
        <v>7.62</v>
      </c>
      <c r="O146" s="6">
        <v>17.329999999999998</v>
      </c>
      <c r="P146" s="6">
        <v>92</v>
      </c>
      <c r="Q146" s="6"/>
      <c r="R146" s="6">
        <v>30.96</v>
      </c>
      <c r="S146" s="6">
        <v>10.16</v>
      </c>
      <c r="T146" s="6">
        <v>3.4000000000000002E-2</v>
      </c>
      <c r="U146" s="6">
        <v>23.86</v>
      </c>
      <c r="V146" s="6"/>
      <c r="W146" s="6">
        <v>-1.891</v>
      </c>
      <c r="X146" s="6">
        <v>5.8410000000000002</v>
      </c>
      <c r="Y146" s="6">
        <v>0.99199999999999999</v>
      </c>
      <c r="Z146" s="6">
        <v>2.754</v>
      </c>
      <c r="AA146" s="6">
        <v>0</v>
      </c>
      <c r="AB146" s="6">
        <v>1.9350000000000001</v>
      </c>
      <c r="AC146" s="6">
        <v>18.399999999999999</v>
      </c>
      <c r="AD146" s="6">
        <v>-1.4259999999999999</v>
      </c>
      <c r="AE146" s="6">
        <v>0.01</v>
      </c>
      <c r="AF146" s="6">
        <v>7.0000000000000001E-3</v>
      </c>
      <c r="AG146" s="6">
        <v>1.915</v>
      </c>
      <c r="AH146" s="6"/>
      <c r="AI146" s="6"/>
      <c r="AK146" s="22">
        <f t="shared" si="59"/>
        <v>0</v>
      </c>
      <c r="AL146">
        <f t="shared" si="82"/>
        <v>251.60000000000002</v>
      </c>
      <c r="AM146" s="4">
        <v>31.24</v>
      </c>
      <c r="AN146">
        <v>18.78</v>
      </c>
      <c r="AP146" s="7">
        <f t="shared" si="80"/>
        <v>0.47199999999999998</v>
      </c>
      <c r="AQ146" s="7">
        <f t="shared" si="60"/>
        <v>1.506</v>
      </c>
      <c r="AS146">
        <f t="shared" si="61"/>
        <v>18.78</v>
      </c>
      <c r="AT146">
        <f t="shared" si="62"/>
        <v>8.1999999999999993</v>
      </c>
      <c r="AU146">
        <f t="shared" si="63"/>
        <v>57.4</v>
      </c>
      <c r="AV146" t="s">
        <v>104</v>
      </c>
      <c r="AW146">
        <f t="shared" si="64"/>
        <v>8.8000000000000007</v>
      </c>
      <c r="AX146">
        <f t="shared" si="65"/>
        <v>7.6</v>
      </c>
      <c r="AY146">
        <f t="shared" si="66"/>
        <v>17.3</v>
      </c>
      <c r="AZ146">
        <f t="shared" si="67"/>
        <v>92</v>
      </c>
      <c r="BA146" t="s">
        <v>104</v>
      </c>
      <c r="BB146">
        <f t="shared" si="68"/>
        <v>31</v>
      </c>
      <c r="BC146">
        <f t="shared" si="69"/>
        <v>10.199999999999999</v>
      </c>
      <c r="BD146">
        <f t="shared" si="70"/>
        <v>0</v>
      </c>
      <c r="BE146">
        <f t="shared" si="71"/>
        <v>23.9</v>
      </c>
      <c r="BF146" t="s">
        <v>104</v>
      </c>
      <c r="BG146">
        <f t="shared" si="72"/>
        <v>-1.9</v>
      </c>
      <c r="BH146">
        <f t="shared" si="73"/>
        <v>5.8</v>
      </c>
      <c r="BI146">
        <f t="shared" si="74"/>
        <v>0.99</v>
      </c>
      <c r="BJ146">
        <f t="shared" si="75"/>
        <v>2.75</v>
      </c>
      <c r="BK146">
        <f t="shared" si="76"/>
        <v>0</v>
      </c>
      <c r="BL146">
        <f t="shared" si="77"/>
        <v>0</v>
      </c>
      <c r="BM146">
        <f t="shared" si="78"/>
        <v>0.47199999999999998</v>
      </c>
      <c r="BN146">
        <f t="shared" si="79"/>
        <v>1.506</v>
      </c>
    </row>
    <row r="147" spans="1:66" x14ac:dyDescent="0.25">
      <c r="A147">
        <v>2024</v>
      </c>
      <c r="B147" s="1">
        <f t="shared" si="81"/>
        <v>45433</v>
      </c>
      <c r="C147">
        <v>142</v>
      </c>
      <c r="D147">
        <v>70</v>
      </c>
      <c r="E147" s="6">
        <v>12.94</v>
      </c>
      <c r="F147" s="6">
        <v>6.1609999999999996</v>
      </c>
      <c r="G147" s="6">
        <v>12.37</v>
      </c>
      <c r="H147" s="6">
        <v>3.3460000000000001</v>
      </c>
      <c r="I147" s="6">
        <v>12.76</v>
      </c>
      <c r="J147" s="6">
        <v>6.2320000000000002</v>
      </c>
      <c r="K147" s="6">
        <v>74.900000000000006</v>
      </c>
      <c r="L147" s="6"/>
      <c r="M147" s="6">
        <v>7.28</v>
      </c>
      <c r="N147" s="6">
        <v>8</v>
      </c>
      <c r="O147" s="6">
        <v>11.02</v>
      </c>
      <c r="P147" s="6">
        <v>86.3</v>
      </c>
      <c r="Q147" s="6"/>
      <c r="R147" s="6">
        <v>19.920000000000002</v>
      </c>
      <c r="S147" s="6">
        <v>9.2799999999999994</v>
      </c>
      <c r="T147" s="6">
        <v>4.056</v>
      </c>
      <c r="U147" s="6">
        <v>57.6</v>
      </c>
      <c r="V147" s="6"/>
      <c r="W147" s="6">
        <v>3.577</v>
      </c>
      <c r="X147" s="6">
        <v>6.8860000000000001</v>
      </c>
      <c r="Y147" s="6">
        <v>0.88500000000000001</v>
      </c>
      <c r="Z147" s="6">
        <v>2.2200000000000002</v>
      </c>
      <c r="AA147" s="6">
        <v>1</v>
      </c>
      <c r="AB147" s="6">
        <v>1.931</v>
      </c>
      <c r="AC147" s="6">
        <v>12.33</v>
      </c>
      <c r="AD147" s="6">
        <v>3.528</v>
      </c>
      <c r="AE147" s="6">
        <v>8.9999999999999993E-3</v>
      </c>
      <c r="AF147" s="6">
        <v>7.0000000000000001E-3</v>
      </c>
      <c r="AG147" s="6">
        <v>1.915</v>
      </c>
      <c r="AH147" s="6"/>
      <c r="AI147" s="6"/>
      <c r="AK147" s="22">
        <f t="shared" si="59"/>
        <v>1</v>
      </c>
      <c r="AL147">
        <f t="shared" si="82"/>
        <v>252.60000000000002</v>
      </c>
      <c r="AM147" s="4">
        <v>31.35</v>
      </c>
      <c r="AN147">
        <v>12.75</v>
      </c>
      <c r="AP147" s="7">
        <f t="shared" si="80"/>
        <v>0.75700000000000001</v>
      </c>
      <c r="AQ147" s="7">
        <f t="shared" si="60"/>
        <v>0.55700000000000005</v>
      </c>
      <c r="AS147">
        <f t="shared" si="61"/>
        <v>12.75</v>
      </c>
      <c r="AT147">
        <f t="shared" si="62"/>
        <v>6.2</v>
      </c>
      <c r="AU147">
        <f t="shared" si="63"/>
        <v>74.900000000000006</v>
      </c>
      <c r="AV147" t="s">
        <v>104</v>
      </c>
      <c r="AW147">
        <f t="shared" si="64"/>
        <v>7.3</v>
      </c>
      <c r="AX147">
        <f t="shared" si="65"/>
        <v>8</v>
      </c>
      <c r="AY147">
        <f t="shared" si="66"/>
        <v>11</v>
      </c>
      <c r="AZ147">
        <f t="shared" si="67"/>
        <v>86.3</v>
      </c>
      <c r="BA147" t="s">
        <v>104</v>
      </c>
      <c r="BB147">
        <f t="shared" si="68"/>
        <v>19.899999999999999</v>
      </c>
      <c r="BC147">
        <f t="shared" si="69"/>
        <v>9.3000000000000007</v>
      </c>
      <c r="BD147">
        <f t="shared" si="70"/>
        <v>4.0999999999999996</v>
      </c>
      <c r="BE147">
        <f t="shared" si="71"/>
        <v>57.6</v>
      </c>
      <c r="BF147" t="s">
        <v>104</v>
      </c>
      <c r="BG147">
        <f t="shared" si="72"/>
        <v>3.6</v>
      </c>
      <c r="BH147">
        <f t="shared" si="73"/>
        <v>6.9</v>
      </c>
      <c r="BI147">
        <f t="shared" si="74"/>
        <v>0.89</v>
      </c>
      <c r="BJ147">
        <f t="shared" si="75"/>
        <v>2.2200000000000002</v>
      </c>
      <c r="BK147">
        <f t="shared" si="76"/>
        <v>0</v>
      </c>
      <c r="BL147">
        <f t="shared" si="77"/>
        <v>1</v>
      </c>
      <c r="BM147">
        <f t="shared" si="78"/>
        <v>0.75700000000000001</v>
      </c>
      <c r="BN147">
        <f t="shared" si="79"/>
        <v>0.55700000000000005</v>
      </c>
    </row>
    <row r="148" spans="1:66" x14ac:dyDescent="0.25">
      <c r="A148">
        <v>2024</v>
      </c>
      <c r="B148" s="1">
        <f t="shared" si="81"/>
        <v>45434</v>
      </c>
      <c r="C148">
        <v>143</v>
      </c>
      <c r="D148">
        <v>70</v>
      </c>
      <c r="E148" s="6">
        <v>12.92</v>
      </c>
      <c r="F148" s="6">
        <v>7.91</v>
      </c>
      <c r="G148" s="6">
        <v>18.77</v>
      </c>
      <c r="H148" s="6">
        <v>2.5350000000000001</v>
      </c>
      <c r="I148" s="6">
        <v>14.96</v>
      </c>
      <c r="J148" s="6">
        <v>7.65</v>
      </c>
      <c r="K148" s="6">
        <v>77.2</v>
      </c>
      <c r="L148" s="6"/>
      <c r="M148" s="6">
        <v>9.0399999999999991</v>
      </c>
      <c r="N148" s="6">
        <v>8.4600000000000009</v>
      </c>
      <c r="O148" s="6">
        <v>16.46</v>
      </c>
      <c r="P148" s="6">
        <v>91.2</v>
      </c>
      <c r="Q148" s="6"/>
      <c r="R148" s="6">
        <v>28.43</v>
      </c>
      <c r="S148" s="6">
        <v>10.83</v>
      </c>
      <c r="T148" s="6">
        <v>2.5760000000000001</v>
      </c>
      <c r="U148" s="6">
        <v>41.59</v>
      </c>
      <c r="V148" s="6"/>
      <c r="W148" s="6">
        <v>2.3980000000000001</v>
      </c>
      <c r="X148" s="6">
        <v>7.08</v>
      </c>
      <c r="Y148" s="6">
        <v>0.53100000000000003</v>
      </c>
      <c r="Z148" s="6">
        <v>2.74</v>
      </c>
      <c r="AA148" s="6">
        <v>1</v>
      </c>
      <c r="AB148" s="6">
        <v>1.919</v>
      </c>
      <c r="AC148" s="6">
        <v>18.420000000000002</v>
      </c>
      <c r="AD148" s="6">
        <v>2.673</v>
      </c>
      <c r="AE148" s="6">
        <v>0.01</v>
      </c>
      <c r="AF148" s="6">
        <v>7.0000000000000001E-3</v>
      </c>
      <c r="AG148" s="6">
        <v>1.901</v>
      </c>
      <c r="AH148" s="6"/>
      <c r="AI148" s="6"/>
      <c r="AK148" s="22">
        <f t="shared" si="59"/>
        <v>1</v>
      </c>
      <c r="AL148">
        <f t="shared" si="82"/>
        <v>253.60000000000002</v>
      </c>
      <c r="AM148" s="4">
        <v>31.47</v>
      </c>
      <c r="AN148">
        <v>14.95</v>
      </c>
      <c r="AP148" s="7">
        <f t="shared" si="80"/>
        <v>0.77900000000000003</v>
      </c>
      <c r="AQ148" s="7">
        <f t="shared" si="60"/>
        <v>1.0940000000000001</v>
      </c>
      <c r="AS148">
        <f t="shared" si="61"/>
        <v>14.95</v>
      </c>
      <c r="AT148">
        <f t="shared" si="62"/>
        <v>7.7</v>
      </c>
      <c r="AU148">
        <f t="shared" si="63"/>
        <v>77.2</v>
      </c>
      <c r="AV148" t="s">
        <v>104</v>
      </c>
      <c r="AW148">
        <f t="shared" si="64"/>
        <v>9</v>
      </c>
      <c r="AX148">
        <f t="shared" si="65"/>
        <v>8.5</v>
      </c>
      <c r="AY148">
        <f t="shared" si="66"/>
        <v>16.5</v>
      </c>
      <c r="AZ148">
        <f t="shared" si="67"/>
        <v>91.2</v>
      </c>
      <c r="BA148" t="s">
        <v>104</v>
      </c>
      <c r="BB148">
        <f t="shared" si="68"/>
        <v>28.4</v>
      </c>
      <c r="BC148">
        <f t="shared" si="69"/>
        <v>10.8</v>
      </c>
      <c r="BD148">
        <f t="shared" si="70"/>
        <v>2.6</v>
      </c>
      <c r="BE148">
        <f t="shared" si="71"/>
        <v>41.6</v>
      </c>
      <c r="BF148" t="s">
        <v>104</v>
      </c>
      <c r="BG148">
        <f t="shared" si="72"/>
        <v>2.4</v>
      </c>
      <c r="BH148">
        <f t="shared" si="73"/>
        <v>7.1</v>
      </c>
      <c r="BI148">
        <f t="shared" si="74"/>
        <v>0.53</v>
      </c>
      <c r="BJ148">
        <f t="shared" si="75"/>
        <v>2.74</v>
      </c>
      <c r="BK148">
        <f t="shared" si="76"/>
        <v>0</v>
      </c>
      <c r="BL148">
        <f t="shared" si="77"/>
        <v>1</v>
      </c>
      <c r="BM148">
        <f t="shared" si="78"/>
        <v>0.77900000000000003</v>
      </c>
      <c r="BN148">
        <f t="shared" si="79"/>
        <v>1.0940000000000001</v>
      </c>
    </row>
    <row r="149" spans="1:66" x14ac:dyDescent="0.25">
      <c r="A149">
        <v>2024</v>
      </c>
      <c r="B149" s="1">
        <f t="shared" si="81"/>
        <v>45435</v>
      </c>
      <c r="C149">
        <v>144</v>
      </c>
      <c r="D149">
        <v>70</v>
      </c>
      <c r="E149" s="6">
        <v>12.92</v>
      </c>
      <c r="F149" s="6">
        <v>8.98</v>
      </c>
      <c r="G149" s="6">
        <v>19.75</v>
      </c>
      <c r="H149" s="6">
        <v>1.679</v>
      </c>
      <c r="I149" s="6">
        <v>14.68</v>
      </c>
      <c r="J149" s="6">
        <v>9.48</v>
      </c>
      <c r="K149" s="6">
        <v>66.3</v>
      </c>
      <c r="L149" s="6"/>
      <c r="M149" s="6">
        <v>9.89</v>
      </c>
      <c r="N149" s="6">
        <v>8.68</v>
      </c>
      <c r="O149" s="6">
        <v>19.28</v>
      </c>
      <c r="P149" s="6">
        <v>92.9</v>
      </c>
      <c r="Q149" s="6"/>
      <c r="R149" s="6">
        <v>29.43</v>
      </c>
      <c r="S149" s="6">
        <v>11.04</v>
      </c>
      <c r="T149" s="6">
        <v>2.98</v>
      </c>
      <c r="U149" s="6">
        <v>28.97</v>
      </c>
      <c r="V149" s="6"/>
      <c r="W149" s="6">
        <v>1.2569999999999999</v>
      </c>
      <c r="X149" s="6">
        <v>7.37</v>
      </c>
      <c r="Y149" s="6">
        <v>0.94</v>
      </c>
      <c r="Z149" s="6">
        <v>2.887</v>
      </c>
      <c r="AA149" s="6">
        <v>0.6</v>
      </c>
      <c r="AB149" s="6">
        <v>1.9079999999999999</v>
      </c>
      <c r="AC149" s="6">
        <v>18.850000000000001</v>
      </c>
      <c r="AD149" s="6">
        <v>1.8420000000000001</v>
      </c>
      <c r="AE149" s="6">
        <v>0.01</v>
      </c>
      <c r="AF149" s="6">
        <v>7.0000000000000001E-3</v>
      </c>
      <c r="AG149" s="6">
        <v>1.889</v>
      </c>
      <c r="AH149" s="6"/>
      <c r="AI149" s="6"/>
      <c r="AK149" s="22">
        <f t="shared" si="59"/>
        <v>0.6</v>
      </c>
      <c r="AL149">
        <f t="shared" si="82"/>
        <v>254.20000000000002</v>
      </c>
      <c r="AM149" s="4">
        <v>31.57</v>
      </c>
      <c r="AN149">
        <v>14.66</v>
      </c>
      <c r="AP149" s="7">
        <f t="shared" si="80"/>
        <v>0.64800000000000002</v>
      </c>
      <c r="AQ149" s="7">
        <f t="shared" si="60"/>
        <v>1.589</v>
      </c>
      <c r="AS149">
        <f t="shared" si="61"/>
        <v>14.66</v>
      </c>
      <c r="AT149">
        <f t="shared" si="62"/>
        <v>9.5</v>
      </c>
      <c r="AU149">
        <f t="shared" si="63"/>
        <v>66.3</v>
      </c>
      <c r="AV149" t="s">
        <v>104</v>
      </c>
      <c r="AW149">
        <f t="shared" si="64"/>
        <v>9.9</v>
      </c>
      <c r="AX149">
        <f t="shared" si="65"/>
        <v>8.6999999999999993</v>
      </c>
      <c r="AY149">
        <f t="shared" si="66"/>
        <v>19.3</v>
      </c>
      <c r="AZ149">
        <f t="shared" si="67"/>
        <v>92.9</v>
      </c>
      <c r="BA149" t="s">
        <v>104</v>
      </c>
      <c r="BB149">
        <f t="shared" si="68"/>
        <v>29.4</v>
      </c>
      <c r="BC149">
        <f t="shared" si="69"/>
        <v>11</v>
      </c>
      <c r="BD149">
        <f t="shared" si="70"/>
        <v>3</v>
      </c>
      <c r="BE149">
        <f t="shared" si="71"/>
        <v>29</v>
      </c>
      <c r="BF149" t="s">
        <v>104</v>
      </c>
      <c r="BG149">
        <f t="shared" si="72"/>
        <v>1.3</v>
      </c>
      <c r="BH149">
        <f t="shared" si="73"/>
        <v>7.4</v>
      </c>
      <c r="BI149">
        <f t="shared" si="74"/>
        <v>0.94</v>
      </c>
      <c r="BJ149">
        <f t="shared" si="75"/>
        <v>2.89</v>
      </c>
      <c r="BK149">
        <f t="shared" si="76"/>
        <v>0</v>
      </c>
      <c r="BL149">
        <f t="shared" si="77"/>
        <v>0.6</v>
      </c>
      <c r="BM149">
        <f t="shared" si="78"/>
        <v>0.64800000000000002</v>
      </c>
      <c r="BN149">
        <f t="shared" si="79"/>
        <v>1.589</v>
      </c>
    </row>
    <row r="150" spans="1:66" x14ac:dyDescent="0.25">
      <c r="A150">
        <v>2024</v>
      </c>
      <c r="B150" s="1">
        <f t="shared" si="81"/>
        <v>45436</v>
      </c>
      <c r="C150">
        <v>145</v>
      </c>
      <c r="D150">
        <v>70</v>
      </c>
      <c r="E150" s="6">
        <v>12.88</v>
      </c>
      <c r="F150" s="6">
        <v>8.1199999999999992</v>
      </c>
      <c r="G150" s="6">
        <v>17.329999999999998</v>
      </c>
      <c r="H150" s="6">
        <v>3.577</v>
      </c>
      <c r="I150" s="6">
        <v>12.08</v>
      </c>
      <c r="J150" s="6">
        <v>8.0500000000000007</v>
      </c>
      <c r="K150" s="6">
        <v>75</v>
      </c>
      <c r="L150" s="6"/>
      <c r="M150" s="6">
        <v>8.92</v>
      </c>
      <c r="N150" s="6">
        <v>8.76</v>
      </c>
      <c r="O150" s="6">
        <v>16.600000000000001</v>
      </c>
      <c r="P150" s="6">
        <v>92</v>
      </c>
      <c r="Q150" s="6"/>
      <c r="R150" s="6">
        <v>27.96</v>
      </c>
      <c r="S150" s="6">
        <v>10.119999999999999</v>
      </c>
      <c r="T150" s="6">
        <v>3.9889999999999999</v>
      </c>
      <c r="U150" s="6">
        <v>41.81</v>
      </c>
      <c r="V150" s="6"/>
      <c r="W150" s="6">
        <v>4.093</v>
      </c>
      <c r="X150" s="6">
        <v>7.61</v>
      </c>
      <c r="Y150" s="6">
        <v>0.41799999999999998</v>
      </c>
      <c r="Z150" s="6">
        <v>2.1</v>
      </c>
      <c r="AA150" s="6">
        <v>5</v>
      </c>
      <c r="AB150" s="6">
        <v>1.9490000000000001</v>
      </c>
      <c r="AC150" s="6">
        <v>16.649999999999999</v>
      </c>
      <c r="AD150" s="6">
        <v>3.7360000000000002</v>
      </c>
      <c r="AE150" s="6">
        <v>8.9999999999999993E-3</v>
      </c>
      <c r="AF150" s="6">
        <v>7.0000000000000001E-3</v>
      </c>
      <c r="AG150" s="6">
        <v>1.931</v>
      </c>
      <c r="AH150" s="6"/>
      <c r="AI150" s="6"/>
      <c r="AK150" s="22">
        <f t="shared" si="59"/>
        <v>5</v>
      </c>
      <c r="AL150">
        <f t="shared" si="82"/>
        <v>259.20000000000005</v>
      </c>
      <c r="AM150" s="4">
        <v>31.67</v>
      </c>
      <c r="AN150">
        <v>12.07</v>
      </c>
      <c r="AP150" s="7">
        <f t="shared" si="80"/>
        <v>0.79</v>
      </c>
      <c r="AQ150" s="7">
        <f t="shared" si="60"/>
        <v>1.1000000000000001</v>
      </c>
      <c r="AS150">
        <f t="shared" si="61"/>
        <v>12.07</v>
      </c>
      <c r="AT150">
        <f t="shared" si="62"/>
        <v>8.1</v>
      </c>
      <c r="AU150">
        <f t="shared" si="63"/>
        <v>75</v>
      </c>
      <c r="AV150" t="s">
        <v>104</v>
      </c>
      <c r="AW150">
        <f t="shared" si="64"/>
        <v>8.9</v>
      </c>
      <c r="AX150">
        <f t="shared" si="65"/>
        <v>8.8000000000000007</v>
      </c>
      <c r="AY150">
        <f t="shared" si="66"/>
        <v>16.600000000000001</v>
      </c>
      <c r="AZ150">
        <f t="shared" si="67"/>
        <v>92</v>
      </c>
      <c r="BA150" t="s">
        <v>104</v>
      </c>
      <c r="BB150">
        <f t="shared" si="68"/>
        <v>28</v>
      </c>
      <c r="BC150">
        <f t="shared" si="69"/>
        <v>10.1</v>
      </c>
      <c r="BD150">
        <f t="shared" si="70"/>
        <v>4</v>
      </c>
      <c r="BE150">
        <f t="shared" si="71"/>
        <v>41.8</v>
      </c>
      <c r="BF150" t="s">
        <v>104</v>
      </c>
      <c r="BG150">
        <f t="shared" si="72"/>
        <v>4.0999999999999996</v>
      </c>
      <c r="BH150">
        <f t="shared" si="73"/>
        <v>7.6</v>
      </c>
      <c r="BI150">
        <f t="shared" si="74"/>
        <v>0.42</v>
      </c>
      <c r="BJ150">
        <f t="shared" si="75"/>
        <v>2.1</v>
      </c>
      <c r="BK150">
        <f t="shared" si="76"/>
        <v>0</v>
      </c>
      <c r="BL150">
        <f t="shared" si="77"/>
        <v>5</v>
      </c>
      <c r="BM150">
        <f t="shared" si="78"/>
        <v>0.79</v>
      </c>
      <c r="BN150">
        <f t="shared" si="79"/>
        <v>1.1000000000000001</v>
      </c>
    </row>
    <row r="151" spans="1:66" x14ac:dyDescent="0.25">
      <c r="A151">
        <v>2024</v>
      </c>
      <c r="B151" s="1">
        <f t="shared" si="81"/>
        <v>45437</v>
      </c>
      <c r="C151">
        <v>146</v>
      </c>
      <c r="D151">
        <v>70</v>
      </c>
      <c r="E151" s="6">
        <v>12.9</v>
      </c>
      <c r="F151" s="6">
        <v>5.6379999999999999</v>
      </c>
      <c r="G151" s="6">
        <v>12.52</v>
      </c>
      <c r="H151" s="6">
        <v>1.2170000000000001</v>
      </c>
      <c r="I151" s="6">
        <v>12.05</v>
      </c>
      <c r="J151" s="6">
        <v>5.6950000000000003</v>
      </c>
      <c r="K151" s="6">
        <v>75.099999999999994</v>
      </c>
      <c r="L151" s="6"/>
      <c r="M151" s="6">
        <v>6.6349999999999998</v>
      </c>
      <c r="N151" s="6">
        <v>8.5500000000000007</v>
      </c>
      <c r="O151" s="6">
        <v>11.5</v>
      </c>
      <c r="P151" s="6">
        <v>87.5</v>
      </c>
      <c r="Q151" s="6"/>
      <c r="R151" s="6">
        <v>19.84</v>
      </c>
      <c r="S151" s="6">
        <v>9.66</v>
      </c>
      <c r="T151" s="6">
        <v>2.4420000000000002</v>
      </c>
      <c r="U151" s="6">
        <v>55.73</v>
      </c>
      <c r="V151" s="6"/>
      <c r="W151" s="6">
        <v>1.319</v>
      </c>
      <c r="X151" s="6">
        <v>7.54</v>
      </c>
      <c r="Y151" s="6">
        <v>0.98799999999999999</v>
      </c>
      <c r="Z151" s="6">
        <v>2.754</v>
      </c>
      <c r="AA151" s="6">
        <v>0.8</v>
      </c>
      <c r="AB151" s="6">
        <v>1.9370000000000001</v>
      </c>
      <c r="AC151" s="6">
        <v>12.04</v>
      </c>
      <c r="AD151" s="6">
        <v>1.4259999999999999</v>
      </c>
      <c r="AE151" s="6">
        <v>0.01</v>
      </c>
      <c r="AF151" s="6">
        <v>7.0000000000000001E-3</v>
      </c>
      <c r="AG151" s="6">
        <v>1.927</v>
      </c>
      <c r="AH151" s="6"/>
      <c r="AI151" s="6"/>
      <c r="AK151" s="22">
        <f t="shared" si="59"/>
        <v>0.8</v>
      </c>
      <c r="AL151">
        <f t="shared" si="82"/>
        <v>260.00000000000006</v>
      </c>
      <c r="AM151" s="4">
        <v>31.77</v>
      </c>
      <c r="AN151">
        <v>12.04</v>
      </c>
      <c r="AP151" s="7">
        <f t="shared" si="80"/>
        <v>0.75600000000000001</v>
      </c>
      <c r="AQ151" s="7">
        <f t="shared" si="60"/>
        <v>0.60099999999999998</v>
      </c>
      <c r="AS151">
        <f t="shared" si="61"/>
        <v>12.04</v>
      </c>
      <c r="AT151">
        <f t="shared" si="62"/>
        <v>5.7</v>
      </c>
      <c r="AU151">
        <f t="shared" si="63"/>
        <v>75.099999999999994</v>
      </c>
      <c r="AV151" t="s">
        <v>104</v>
      </c>
      <c r="AW151">
        <f t="shared" si="64"/>
        <v>6.6</v>
      </c>
      <c r="AX151">
        <f t="shared" si="65"/>
        <v>8.6</v>
      </c>
      <c r="AY151">
        <f t="shared" si="66"/>
        <v>11.5</v>
      </c>
      <c r="AZ151">
        <f t="shared" si="67"/>
        <v>87.5</v>
      </c>
      <c r="BA151" t="s">
        <v>104</v>
      </c>
      <c r="BB151">
        <f t="shared" si="68"/>
        <v>19.8</v>
      </c>
      <c r="BC151">
        <f t="shared" si="69"/>
        <v>9.6999999999999993</v>
      </c>
      <c r="BD151">
        <f t="shared" si="70"/>
        <v>2.4</v>
      </c>
      <c r="BE151">
        <f t="shared" si="71"/>
        <v>55.7</v>
      </c>
      <c r="BF151" t="s">
        <v>104</v>
      </c>
      <c r="BG151">
        <f t="shared" si="72"/>
        <v>1.3</v>
      </c>
      <c r="BH151">
        <f t="shared" si="73"/>
        <v>7.5</v>
      </c>
      <c r="BI151">
        <f t="shared" si="74"/>
        <v>0.99</v>
      </c>
      <c r="BJ151">
        <f t="shared" si="75"/>
        <v>2.75</v>
      </c>
      <c r="BK151">
        <f t="shared" si="76"/>
        <v>0</v>
      </c>
      <c r="BL151">
        <f t="shared" si="77"/>
        <v>0.8</v>
      </c>
      <c r="BM151">
        <f t="shared" si="78"/>
        <v>0.75600000000000001</v>
      </c>
      <c r="BN151">
        <f t="shared" si="79"/>
        <v>0.60099999999999998</v>
      </c>
    </row>
    <row r="152" spans="1:66" x14ac:dyDescent="0.25">
      <c r="A152">
        <v>2024</v>
      </c>
      <c r="B152" s="1">
        <f t="shared" si="81"/>
        <v>45438</v>
      </c>
      <c r="C152">
        <v>147</v>
      </c>
      <c r="D152">
        <v>70</v>
      </c>
      <c r="E152" s="6">
        <v>12.94</v>
      </c>
      <c r="F152" s="6">
        <v>6.1520000000000001</v>
      </c>
      <c r="G152" s="6">
        <v>14.17</v>
      </c>
      <c r="H152" s="6">
        <v>-0.217</v>
      </c>
      <c r="I152" s="6">
        <v>14.76</v>
      </c>
      <c r="J152" s="6">
        <v>6.2839999999999998</v>
      </c>
      <c r="K152" s="6">
        <v>64.02</v>
      </c>
      <c r="L152" s="6"/>
      <c r="M152" s="6">
        <v>7.37</v>
      </c>
      <c r="N152" s="6">
        <v>8.2799999999999994</v>
      </c>
      <c r="O152" s="6">
        <v>14.58</v>
      </c>
      <c r="P152" s="6">
        <v>81.099999999999994</v>
      </c>
      <c r="Q152" s="6"/>
      <c r="R152" s="6">
        <v>22.77</v>
      </c>
      <c r="S152" s="6">
        <v>10.57</v>
      </c>
      <c r="T152" s="6">
        <v>0.89600000000000002</v>
      </c>
      <c r="U152" s="6">
        <v>40.26</v>
      </c>
      <c r="V152" s="6"/>
      <c r="W152" s="6">
        <v>-0.113</v>
      </c>
      <c r="X152" s="6">
        <v>7.07</v>
      </c>
      <c r="Y152" s="6">
        <v>1.089</v>
      </c>
      <c r="Z152" s="6">
        <v>2.34</v>
      </c>
      <c r="AA152" s="6">
        <v>0</v>
      </c>
      <c r="AB152" s="6">
        <v>1.9239999999999999</v>
      </c>
      <c r="AC152" s="6">
        <v>13.98</v>
      </c>
      <c r="AD152" s="6">
        <v>-6.6000000000000003E-2</v>
      </c>
      <c r="AE152" s="6">
        <v>8.9999999999999993E-3</v>
      </c>
      <c r="AF152" s="6">
        <v>7.0000000000000001E-3</v>
      </c>
      <c r="AG152" s="6">
        <v>1.905</v>
      </c>
      <c r="AH152" s="6"/>
      <c r="AI152" s="6"/>
      <c r="AK152" s="22">
        <f t="shared" si="59"/>
        <v>0</v>
      </c>
      <c r="AL152">
        <f t="shared" si="82"/>
        <v>260.00000000000006</v>
      </c>
      <c r="AM152" s="4">
        <v>31.86</v>
      </c>
      <c r="AN152">
        <v>14.75</v>
      </c>
      <c r="AP152" s="7">
        <f t="shared" si="80"/>
        <v>0.66800000000000004</v>
      </c>
      <c r="AQ152" s="7">
        <f t="shared" si="60"/>
        <v>0.99099999999999999</v>
      </c>
      <c r="AS152">
        <f t="shared" si="61"/>
        <v>14.75</v>
      </c>
      <c r="AT152">
        <f t="shared" si="62"/>
        <v>6.3</v>
      </c>
      <c r="AU152">
        <f t="shared" si="63"/>
        <v>64</v>
      </c>
      <c r="AV152" t="s">
        <v>104</v>
      </c>
      <c r="AW152">
        <f t="shared" si="64"/>
        <v>7.4</v>
      </c>
      <c r="AX152">
        <f t="shared" si="65"/>
        <v>8.3000000000000007</v>
      </c>
      <c r="AY152">
        <f t="shared" si="66"/>
        <v>14.6</v>
      </c>
      <c r="AZ152">
        <f t="shared" si="67"/>
        <v>81.099999999999994</v>
      </c>
      <c r="BA152" t="s">
        <v>104</v>
      </c>
      <c r="BB152">
        <f t="shared" si="68"/>
        <v>22.8</v>
      </c>
      <c r="BC152">
        <f t="shared" si="69"/>
        <v>10.6</v>
      </c>
      <c r="BD152">
        <f t="shared" si="70"/>
        <v>0.9</v>
      </c>
      <c r="BE152">
        <f t="shared" si="71"/>
        <v>40.299999999999997</v>
      </c>
      <c r="BF152" t="s">
        <v>104</v>
      </c>
      <c r="BG152">
        <f t="shared" si="72"/>
        <v>-0.1</v>
      </c>
      <c r="BH152">
        <f t="shared" si="73"/>
        <v>7.1</v>
      </c>
      <c r="BI152">
        <f t="shared" si="74"/>
        <v>1.0900000000000001</v>
      </c>
      <c r="BJ152">
        <f t="shared" si="75"/>
        <v>2.34</v>
      </c>
      <c r="BK152">
        <f t="shared" si="76"/>
        <v>0</v>
      </c>
      <c r="BL152">
        <f t="shared" si="77"/>
        <v>0</v>
      </c>
      <c r="BM152">
        <f t="shared" si="78"/>
        <v>0.66800000000000004</v>
      </c>
      <c r="BN152">
        <f t="shared" si="79"/>
        <v>0.99099999999999999</v>
      </c>
    </row>
    <row r="153" spans="1:66" x14ac:dyDescent="0.25">
      <c r="A153">
        <v>2024</v>
      </c>
      <c r="B153" s="1">
        <f t="shared" si="81"/>
        <v>45439</v>
      </c>
      <c r="C153">
        <v>148</v>
      </c>
      <c r="D153">
        <v>70</v>
      </c>
      <c r="E153" s="6">
        <v>12.79</v>
      </c>
      <c r="F153" s="6">
        <v>8.26</v>
      </c>
      <c r="G153" s="6">
        <v>13.3</v>
      </c>
      <c r="H153" s="6">
        <v>1.9</v>
      </c>
      <c r="I153" s="6">
        <v>9.66</v>
      </c>
      <c r="J153" s="6">
        <v>8.8000000000000007</v>
      </c>
      <c r="K153" s="6">
        <v>64.25</v>
      </c>
      <c r="L153" s="6"/>
      <c r="M153" s="6">
        <v>9.14</v>
      </c>
      <c r="N153" s="6">
        <v>8.1199999999999992</v>
      </c>
      <c r="O153" s="6">
        <v>13.37</v>
      </c>
      <c r="P153" s="6">
        <v>82.9</v>
      </c>
      <c r="Q153" s="6"/>
      <c r="R153" s="6">
        <v>17.149999999999999</v>
      </c>
      <c r="S153" s="6">
        <v>8.9</v>
      </c>
      <c r="T153" s="6">
        <v>3.0470000000000002</v>
      </c>
      <c r="U153" s="6">
        <v>44.83</v>
      </c>
      <c r="V153" s="6"/>
      <c r="W153" s="6">
        <v>1.6879999999999999</v>
      </c>
      <c r="X153" s="6">
        <v>7.23</v>
      </c>
      <c r="Y153" s="6">
        <v>0.622</v>
      </c>
      <c r="Z153" s="6">
        <v>2.1269999999999998</v>
      </c>
      <c r="AA153" s="6">
        <v>0</v>
      </c>
      <c r="AB153" s="6">
        <v>1.9570000000000001</v>
      </c>
      <c r="AC153" s="6">
        <v>13.32</v>
      </c>
      <c r="AD153" s="6">
        <v>2.1120000000000001</v>
      </c>
      <c r="AE153" s="6">
        <v>0.01</v>
      </c>
      <c r="AF153" s="6">
        <v>7.0000000000000001E-3</v>
      </c>
      <c r="AG153" s="6">
        <v>1.9319999999999999</v>
      </c>
      <c r="AH153" s="6"/>
      <c r="AI153" s="6"/>
      <c r="AK153" s="22">
        <f t="shared" si="59"/>
        <v>0</v>
      </c>
      <c r="AL153">
        <f t="shared" si="82"/>
        <v>260.00000000000006</v>
      </c>
      <c r="AM153" s="4">
        <v>31.96</v>
      </c>
      <c r="AN153">
        <v>9.65</v>
      </c>
      <c r="AP153" s="7">
        <f t="shared" si="80"/>
        <v>0.68799999999999994</v>
      </c>
      <c r="AQ153" s="7">
        <f t="shared" si="60"/>
        <v>0.84699999999999998</v>
      </c>
      <c r="AS153">
        <f t="shared" si="61"/>
        <v>9.65</v>
      </c>
      <c r="AT153">
        <f t="shared" si="62"/>
        <v>8.8000000000000007</v>
      </c>
      <c r="AU153">
        <f t="shared" si="63"/>
        <v>64.3</v>
      </c>
      <c r="AV153" t="s">
        <v>104</v>
      </c>
      <c r="AW153">
        <f t="shared" si="64"/>
        <v>9.1</v>
      </c>
      <c r="AX153">
        <f t="shared" si="65"/>
        <v>8.1</v>
      </c>
      <c r="AY153">
        <f t="shared" si="66"/>
        <v>13.4</v>
      </c>
      <c r="AZ153">
        <f t="shared" si="67"/>
        <v>82.9</v>
      </c>
      <c r="BA153" t="s">
        <v>104</v>
      </c>
      <c r="BB153">
        <f t="shared" si="68"/>
        <v>17.2</v>
      </c>
      <c r="BC153">
        <f t="shared" si="69"/>
        <v>8.9</v>
      </c>
      <c r="BD153">
        <f t="shared" si="70"/>
        <v>3</v>
      </c>
      <c r="BE153">
        <f t="shared" si="71"/>
        <v>44.8</v>
      </c>
      <c r="BF153" t="s">
        <v>104</v>
      </c>
      <c r="BG153">
        <f t="shared" si="72"/>
        <v>1.7</v>
      </c>
      <c r="BH153">
        <f t="shared" si="73"/>
        <v>7.2</v>
      </c>
      <c r="BI153">
        <f t="shared" si="74"/>
        <v>0.62</v>
      </c>
      <c r="BJ153">
        <f t="shared" si="75"/>
        <v>2.13</v>
      </c>
      <c r="BK153">
        <f t="shared" si="76"/>
        <v>0</v>
      </c>
      <c r="BL153">
        <f t="shared" si="77"/>
        <v>0</v>
      </c>
      <c r="BM153">
        <f t="shared" si="78"/>
        <v>0.68799999999999994</v>
      </c>
      <c r="BN153">
        <f t="shared" si="79"/>
        <v>0.84699999999999998</v>
      </c>
    </row>
    <row r="154" spans="1:66" x14ac:dyDescent="0.25">
      <c r="A154">
        <v>2024</v>
      </c>
      <c r="B154" s="1">
        <f t="shared" si="81"/>
        <v>45440</v>
      </c>
      <c r="C154">
        <v>149</v>
      </c>
      <c r="D154">
        <v>70</v>
      </c>
      <c r="E154" s="6">
        <v>12.73</v>
      </c>
      <c r="F154" s="6">
        <v>7.35</v>
      </c>
      <c r="G154" s="6">
        <v>11.89</v>
      </c>
      <c r="H154" s="6">
        <v>-0.314</v>
      </c>
      <c r="I154" s="6">
        <v>8.6</v>
      </c>
      <c r="J154" s="6">
        <v>7.79</v>
      </c>
      <c r="K154" s="6">
        <v>78.7</v>
      </c>
      <c r="L154" s="6"/>
      <c r="M154" s="6">
        <v>7.4</v>
      </c>
      <c r="N154" s="6">
        <v>8.4600000000000009</v>
      </c>
      <c r="O154" s="6">
        <v>12.57</v>
      </c>
      <c r="P154" s="6">
        <v>91.4</v>
      </c>
      <c r="Q154" s="6"/>
      <c r="R154" s="6">
        <v>14.74</v>
      </c>
      <c r="S154" s="6">
        <v>9.4499999999999993</v>
      </c>
      <c r="T154" s="6">
        <v>1.165</v>
      </c>
      <c r="U154" s="6">
        <v>56.01</v>
      </c>
      <c r="V154" s="6"/>
      <c r="W154" s="6">
        <v>-0.57399999999999995</v>
      </c>
      <c r="X154" s="6">
        <v>7.63</v>
      </c>
      <c r="Y154" s="6">
        <v>0.83</v>
      </c>
      <c r="Z154" s="6">
        <v>3.3540000000000001</v>
      </c>
      <c r="AA154" s="6">
        <v>6.7</v>
      </c>
      <c r="AB154" s="6">
        <v>1.917</v>
      </c>
      <c r="AC154" s="6">
        <v>11.95</v>
      </c>
      <c r="AD154" s="6">
        <v>7.8E-2</v>
      </c>
      <c r="AE154" s="6">
        <v>8.9999999999999993E-3</v>
      </c>
      <c r="AF154" s="6">
        <v>7.0000000000000001E-3</v>
      </c>
      <c r="AG154" s="6">
        <v>1.911</v>
      </c>
      <c r="AH154" s="6"/>
      <c r="AI154" s="6"/>
      <c r="AK154" s="22">
        <f t="shared" si="59"/>
        <v>6.7</v>
      </c>
      <c r="AL154">
        <f t="shared" si="82"/>
        <v>266.70000000000005</v>
      </c>
      <c r="AM154" s="4">
        <v>32.04</v>
      </c>
      <c r="AN154">
        <v>8.59</v>
      </c>
      <c r="AP154" s="7">
        <f t="shared" si="80"/>
        <v>0.81499999999999995</v>
      </c>
      <c r="AQ154" s="7">
        <f t="shared" si="60"/>
        <v>0.64</v>
      </c>
      <c r="AS154">
        <f t="shared" si="61"/>
        <v>8.59</v>
      </c>
      <c r="AT154">
        <f t="shared" si="62"/>
        <v>7.8</v>
      </c>
      <c r="AU154">
        <f t="shared" si="63"/>
        <v>78.7</v>
      </c>
      <c r="AV154" t="s">
        <v>104</v>
      </c>
      <c r="AW154">
        <f t="shared" si="64"/>
        <v>7.4</v>
      </c>
      <c r="AX154">
        <f t="shared" si="65"/>
        <v>8.5</v>
      </c>
      <c r="AY154">
        <f t="shared" si="66"/>
        <v>12.6</v>
      </c>
      <c r="AZ154">
        <f t="shared" si="67"/>
        <v>91.4</v>
      </c>
      <c r="BA154" t="s">
        <v>104</v>
      </c>
      <c r="BB154">
        <f t="shared" si="68"/>
        <v>14.7</v>
      </c>
      <c r="BC154">
        <f t="shared" si="69"/>
        <v>9.5</v>
      </c>
      <c r="BD154">
        <f t="shared" si="70"/>
        <v>1.2</v>
      </c>
      <c r="BE154">
        <f t="shared" si="71"/>
        <v>56</v>
      </c>
      <c r="BF154" t="s">
        <v>104</v>
      </c>
      <c r="BG154">
        <f t="shared" si="72"/>
        <v>-0.6</v>
      </c>
      <c r="BH154">
        <f t="shared" si="73"/>
        <v>7.6</v>
      </c>
      <c r="BI154">
        <f t="shared" si="74"/>
        <v>0.83</v>
      </c>
      <c r="BJ154">
        <f t="shared" si="75"/>
        <v>3.35</v>
      </c>
      <c r="BK154">
        <f t="shared" si="76"/>
        <v>0</v>
      </c>
      <c r="BL154">
        <f t="shared" si="77"/>
        <v>6.7</v>
      </c>
      <c r="BM154">
        <f t="shared" si="78"/>
        <v>0.81499999999999995</v>
      </c>
      <c r="BN154">
        <f t="shared" si="79"/>
        <v>0.64</v>
      </c>
    </row>
    <row r="155" spans="1:66" x14ac:dyDescent="0.25">
      <c r="A155">
        <v>2024</v>
      </c>
      <c r="B155" s="1">
        <f t="shared" si="81"/>
        <v>45441</v>
      </c>
      <c r="C155">
        <v>150</v>
      </c>
      <c r="D155">
        <v>70</v>
      </c>
      <c r="E155" s="6">
        <v>12.9</v>
      </c>
      <c r="F155" s="6">
        <v>3.5</v>
      </c>
      <c r="G155" s="6">
        <v>11.82</v>
      </c>
      <c r="H155" s="6">
        <v>-1.0649999999999999</v>
      </c>
      <c r="I155" s="6">
        <v>14.96</v>
      </c>
      <c r="J155" s="6">
        <v>3.7429999999999999</v>
      </c>
      <c r="K155" s="6">
        <v>73.400000000000006</v>
      </c>
      <c r="L155" s="6"/>
      <c r="M155" s="6">
        <v>4.2939999999999996</v>
      </c>
      <c r="N155" s="6">
        <v>7.64</v>
      </c>
      <c r="O155" s="6">
        <v>10.43</v>
      </c>
      <c r="P155" s="6">
        <v>93</v>
      </c>
      <c r="Q155" s="6"/>
      <c r="R155" s="6">
        <v>21.41</v>
      </c>
      <c r="S155" s="6">
        <v>9.8699999999999992</v>
      </c>
      <c r="T155" s="6">
        <v>-0.11</v>
      </c>
      <c r="U155" s="6">
        <v>41.22</v>
      </c>
      <c r="V155" s="6"/>
      <c r="W155" s="6">
        <v>-0.98299999999999998</v>
      </c>
      <c r="X155" s="6">
        <v>5.7789999999999999</v>
      </c>
      <c r="Y155" s="6">
        <v>0.94199999999999995</v>
      </c>
      <c r="Z155" s="6">
        <v>2.4870000000000001</v>
      </c>
      <c r="AA155" s="6">
        <v>2.5</v>
      </c>
      <c r="AB155" s="6">
        <v>1.9390000000000001</v>
      </c>
      <c r="AC155" s="6">
        <v>11.18</v>
      </c>
      <c r="AD155" s="6">
        <v>-0.93</v>
      </c>
      <c r="AE155" s="6">
        <v>8.9999999999999993E-3</v>
      </c>
      <c r="AF155" s="6">
        <v>7.0000000000000001E-3</v>
      </c>
      <c r="AG155" s="6">
        <v>1.9379999999999999</v>
      </c>
      <c r="AH155" s="6"/>
      <c r="AI155" s="6"/>
      <c r="AK155" s="22">
        <f t="shared" si="59"/>
        <v>2.5</v>
      </c>
      <c r="AL155">
        <f t="shared" si="82"/>
        <v>269.20000000000005</v>
      </c>
      <c r="AM155" s="4">
        <v>32.130000000000003</v>
      </c>
      <c r="AN155">
        <v>14.95</v>
      </c>
      <c r="AP155" s="7">
        <f t="shared" si="80"/>
        <v>0.52100000000000002</v>
      </c>
      <c r="AQ155" s="7">
        <f t="shared" si="60"/>
        <v>0.74299999999999999</v>
      </c>
      <c r="AS155">
        <f t="shared" si="61"/>
        <v>14.95</v>
      </c>
      <c r="AT155">
        <f t="shared" si="62"/>
        <v>3.7</v>
      </c>
      <c r="AU155">
        <f t="shared" si="63"/>
        <v>73.400000000000006</v>
      </c>
      <c r="AV155" t="s">
        <v>104</v>
      </c>
      <c r="AW155">
        <f t="shared" si="64"/>
        <v>4.3</v>
      </c>
      <c r="AX155">
        <f t="shared" si="65"/>
        <v>7.6</v>
      </c>
      <c r="AY155">
        <f t="shared" si="66"/>
        <v>10.4</v>
      </c>
      <c r="AZ155">
        <f t="shared" si="67"/>
        <v>93</v>
      </c>
      <c r="BA155" t="s">
        <v>104</v>
      </c>
      <c r="BB155">
        <f t="shared" si="68"/>
        <v>21.4</v>
      </c>
      <c r="BC155">
        <f t="shared" si="69"/>
        <v>9.9</v>
      </c>
      <c r="BD155">
        <f t="shared" si="70"/>
        <v>-0.1</v>
      </c>
      <c r="BE155">
        <f t="shared" si="71"/>
        <v>41.2</v>
      </c>
      <c r="BF155" t="s">
        <v>104</v>
      </c>
      <c r="BG155">
        <f t="shared" si="72"/>
        <v>-1</v>
      </c>
      <c r="BH155">
        <f t="shared" si="73"/>
        <v>5.8</v>
      </c>
      <c r="BI155">
        <f t="shared" si="74"/>
        <v>0.94</v>
      </c>
      <c r="BJ155">
        <f t="shared" si="75"/>
        <v>2.4900000000000002</v>
      </c>
      <c r="BK155">
        <f t="shared" si="76"/>
        <v>0</v>
      </c>
      <c r="BL155">
        <f t="shared" si="77"/>
        <v>2.5</v>
      </c>
      <c r="BM155">
        <f t="shared" si="78"/>
        <v>0.52100000000000002</v>
      </c>
      <c r="BN155">
        <f t="shared" si="79"/>
        <v>0.74299999999999999</v>
      </c>
    </row>
    <row r="156" spans="1:66" x14ac:dyDescent="0.25">
      <c r="A156">
        <v>2024</v>
      </c>
      <c r="B156" s="1">
        <f t="shared" si="81"/>
        <v>45442</v>
      </c>
      <c r="C156">
        <v>151</v>
      </c>
      <c r="D156">
        <v>70</v>
      </c>
      <c r="E156" s="6">
        <v>12.92</v>
      </c>
      <c r="F156" s="6">
        <v>4.5659999999999998</v>
      </c>
      <c r="G156" s="6">
        <v>14.1</v>
      </c>
      <c r="H156" s="6">
        <v>-2</v>
      </c>
      <c r="I156" s="6">
        <v>15.09</v>
      </c>
      <c r="J156" s="6">
        <v>4.9409999999999998</v>
      </c>
      <c r="K156" s="6">
        <v>72.400000000000006</v>
      </c>
      <c r="L156" s="6"/>
      <c r="M156" s="6">
        <v>5.4630000000000001</v>
      </c>
      <c r="N156" s="6">
        <v>7.58</v>
      </c>
      <c r="O156" s="6">
        <v>12.63</v>
      </c>
      <c r="P156" s="6">
        <v>93.9</v>
      </c>
      <c r="Q156" s="6"/>
      <c r="R156" s="6">
        <v>23.26</v>
      </c>
      <c r="S156" s="6">
        <v>9.84</v>
      </c>
      <c r="T156" s="6">
        <v>-0.57199999999999995</v>
      </c>
      <c r="U156" s="6">
        <v>36.700000000000003</v>
      </c>
      <c r="V156" s="6"/>
      <c r="W156" s="6">
        <v>-1.5980000000000001</v>
      </c>
      <c r="X156" s="6">
        <v>6.2249999999999996</v>
      </c>
      <c r="Y156" s="6">
        <v>0.74399999999999999</v>
      </c>
      <c r="Z156" s="6">
        <v>2.8069999999999999</v>
      </c>
      <c r="AA156" s="6">
        <v>0.6</v>
      </c>
      <c r="AB156" s="6">
        <v>1.925</v>
      </c>
      <c r="AC156" s="6">
        <v>13.4</v>
      </c>
      <c r="AD156" s="6">
        <v>-1.82</v>
      </c>
      <c r="AE156" s="6">
        <v>8.9999999999999993E-3</v>
      </c>
      <c r="AF156" s="6">
        <v>7.0000000000000001E-3</v>
      </c>
      <c r="AG156" s="6">
        <v>1.9119999999999999</v>
      </c>
      <c r="AH156" s="6"/>
      <c r="AI156" s="6"/>
      <c r="AK156" s="22">
        <f t="shared" si="59"/>
        <v>0.6</v>
      </c>
      <c r="AL156">
        <f t="shared" si="82"/>
        <v>269.80000000000007</v>
      </c>
      <c r="AM156" s="4">
        <v>32.21</v>
      </c>
      <c r="AN156">
        <v>15.08</v>
      </c>
      <c r="AP156" s="7">
        <f t="shared" si="80"/>
        <v>0.53600000000000003</v>
      </c>
      <c r="AQ156" s="7">
        <f t="shared" si="60"/>
        <v>0.92400000000000004</v>
      </c>
      <c r="AS156">
        <f t="shared" si="61"/>
        <v>15.08</v>
      </c>
      <c r="AT156">
        <f t="shared" si="62"/>
        <v>4.9000000000000004</v>
      </c>
      <c r="AU156">
        <f t="shared" si="63"/>
        <v>72.400000000000006</v>
      </c>
      <c r="AV156" t="s">
        <v>104</v>
      </c>
      <c r="AW156">
        <f t="shared" si="64"/>
        <v>5.5</v>
      </c>
      <c r="AX156">
        <f t="shared" si="65"/>
        <v>7.6</v>
      </c>
      <c r="AY156">
        <f t="shared" si="66"/>
        <v>12.6</v>
      </c>
      <c r="AZ156">
        <f t="shared" si="67"/>
        <v>93.9</v>
      </c>
      <c r="BA156" t="s">
        <v>104</v>
      </c>
      <c r="BB156">
        <f t="shared" si="68"/>
        <v>23.3</v>
      </c>
      <c r="BC156">
        <f t="shared" si="69"/>
        <v>9.8000000000000007</v>
      </c>
      <c r="BD156">
        <f t="shared" si="70"/>
        <v>-0.6</v>
      </c>
      <c r="BE156">
        <f t="shared" si="71"/>
        <v>36.700000000000003</v>
      </c>
      <c r="BF156" t="s">
        <v>104</v>
      </c>
      <c r="BG156">
        <f t="shared" si="72"/>
        <v>-1.6</v>
      </c>
      <c r="BH156">
        <f t="shared" si="73"/>
        <v>6.2</v>
      </c>
      <c r="BI156">
        <f t="shared" si="74"/>
        <v>0.74</v>
      </c>
      <c r="BJ156">
        <f t="shared" si="75"/>
        <v>2.81</v>
      </c>
      <c r="BK156">
        <f t="shared" si="76"/>
        <v>0</v>
      </c>
      <c r="BL156">
        <f t="shared" si="77"/>
        <v>0.6</v>
      </c>
      <c r="BM156">
        <f t="shared" si="78"/>
        <v>0.53600000000000003</v>
      </c>
      <c r="BN156">
        <f t="shared" si="79"/>
        <v>0.92400000000000004</v>
      </c>
    </row>
    <row r="157" spans="1:66" x14ac:dyDescent="0.25">
      <c r="A157">
        <v>2024</v>
      </c>
      <c r="B157" s="1">
        <f t="shared" si="81"/>
        <v>45443</v>
      </c>
      <c r="C157">
        <v>152</v>
      </c>
      <c r="D157">
        <v>70</v>
      </c>
      <c r="E157" s="6">
        <v>12.93</v>
      </c>
      <c r="F157" s="6">
        <v>8.77</v>
      </c>
      <c r="G157" s="6">
        <v>17.18</v>
      </c>
      <c r="H157" s="6">
        <v>1.014</v>
      </c>
      <c r="I157" s="6">
        <v>16.54</v>
      </c>
      <c r="J157" s="6">
        <v>9.0399999999999991</v>
      </c>
      <c r="K157" s="6">
        <v>54.21</v>
      </c>
      <c r="L157" s="6"/>
      <c r="M157" s="6">
        <v>9.59</v>
      </c>
      <c r="N157" s="6">
        <v>8.31</v>
      </c>
      <c r="O157" s="6">
        <v>16.8</v>
      </c>
      <c r="P157" s="6">
        <v>82.7</v>
      </c>
      <c r="Q157" s="6"/>
      <c r="R157" s="6">
        <v>25.09</v>
      </c>
      <c r="S157" s="6">
        <v>10.33</v>
      </c>
      <c r="T157" s="6">
        <v>2.105</v>
      </c>
      <c r="U157" s="6">
        <v>23.93</v>
      </c>
      <c r="V157" s="6"/>
      <c r="W157" s="6">
        <v>0.97799999999999998</v>
      </c>
      <c r="X157" s="6">
        <v>6.9850000000000003</v>
      </c>
      <c r="Y157" s="6">
        <v>0.52700000000000002</v>
      </c>
      <c r="Z157" s="6">
        <v>2.1139999999999999</v>
      </c>
      <c r="AA157" s="6">
        <v>0</v>
      </c>
      <c r="AB157" s="6">
        <v>1.794</v>
      </c>
      <c r="AC157" s="6">
        <v>16.77</v>
      </c>
      <c r="AD157" s="6">
        <v>1.2190000000000001</v>
      </c>
      <c r="AE157" s="6">
        <v>0.01</v>
      </c>
      <c r="AF157" s="6">
        <v>7.0000000000000001E-3</v>
      </c>
      <c r="AG157" s="6">
        <v>1.7649999999999999</v>
      </c>
      <c r="AH157" s="6"/>
      <c r="AI157" s="6"/>
      <c r="AK157" s="22">
        <f t="shared" si="59"/>
        <v>0</v>
      </c>
      <c r="AL157">
        <f t="shared" si="82"/>
        <v>269.80000000000007</v>
      </c>
      <c r="AM157" s="4">
        <v>32.28</v>
      </c>
      <c r="AN157">
        <v>16.52</v>
      </c>
      <c r="AP157" s="7">
        <f t="shared" si="80"/>
        <v>0.45800000000000002</v>
      </c>
      <c r="AQ157" s="7">
        <f t="shared" si="60"/>
        <v>1.456</v>
      </c>
      <c r="AS157">
        <f t="shared" si="61"/>
        <v>16.52</v>
      </c>
      <c r="AT157">
        <f t="shared" si="62"/>
        <v>9</v>
      </c>
      <c r="AU157">
        <f t="shared" si="63"/>
        <v>54.2</v>
      </c>
      <c r="AV157" t="s">
        <v>104</v>
      </c>
      <c r="AW157">
        <f t="shared" si="64"/>
        <v>9.6</v>
      </c>
      <c r="AX157">
        <f t="shared" si="65"/>
        <v>8.3000000000000007</v>
      </c>
      <c r="AY157">
        <f t="shared" si="66"/>
        <v>16.8</v>
      </c>
      <c r="AZ157">
        <f t="shared" si="67"/>
        <v>82.7</v>
      </c>
      <c r="BA157" t="s">
        <v>104</v>
      </c>
      <c r="BB157">
        <f t="shared" si="68"/>
        <v>25.1</v>
      </c>
      <c r="BC157">
        <f t="shared" si="69"/>
        <v>10.3</v>
      </c>
      <c r="BD157">
        <f t="shared" si="70"/>
        <v>2.1</v>
      </c>
      <c r="BE157">
        <f t="shared" si="71"/>
        <v>23.9</v>
      </c>
      <c r="BF157" t="s">
        <v>104</v>
      </c>
      <c r="BG157">
        <f t="shared" si="72"/>
        <v>1</v>
      </c>
      <c r="BH157">
        <f t="shared" si="73"/>
        <v>7</v>
      </c>
      <c r="BI157">
        <f t="shared" si="74"/>
        <v>0.53</v>
      </c>
      <c r="BJ157">
        <f t="shared" si="75"/>
        <v>2.11</v>
      </c>
      <c r="BK157">
        <f t="shared" si="76"/>
        <v>0</v>
      </c>
      <c r="BL157">
        <f t="shared" si="77"/>
        <v>0</v>
      </c>
      <c r="BM157">
        <f t="shared" si="78"/>
        <v>0.45800000000000002</v>
      </c>
      <c r="BN157">
        <f t="shared" si="79"/>
        <v>1.456</v>
      </c>
    </row>
    <row r="158" spans="1:66" x14ac:dyDescent="0.25">
      <c r="A158">
        <v>2024</v>
      </c>
      <c r="B158" s="1">
        <f t="shared" si="81"/>
        <v>45444</v>
      </c>
      <c r="C158">
        <v>153</v>
      </c>
      <c r="D158">
        <v>70</v>
      </c>
      <c r="E158" s="6">
        <v>12.82</v>
      </c>
      <c r="F158" s="6">
        <v>8.4600000000000009</v>
      </c>
      <c r="G158" s="6">
        <v>14.61</v>
      </c>
      <c r="H158" s="6">
        <v>4.7649999999999997</v>
      </c>
      <c r="I158" s="6">
        <v>9.9600000000000009</v>
      </c>
      <c r="J158" s="6">
        <v>8.6999999999999993</v>
      </c>
      <c r="K158" s="6">
        <v>74.8</v>
      </c>
      <c r="L158" s="6"/>
      <c r="M158" s="6">
        <v>9.01</v>
      </c>
      <c r="N158" s="6">
        <v>8.77</v>
      </c>
      <c r="O158" s="6">
        <v>14.71</v>
      </c>
      <c r="P158" s="6">
        <v>90.7</v>
      </c>
      <c r="Q158" s="6"/>
      <c r="R158" s="6">
        <v>21.92</v>
      </c>
      <c r="S158" s="6">
        <v>10.3</v>
      </c>
      <c r="T158" s="6">
        <v>5.0519999999999996</v>
      </c>
      <c r="U158" s="6">
        <v>47.27</v>
      </c>
      <c r="V158" s="6"/>
      <c r="W158" s="6">
        <v>4.5419999999999998</v>
      </c>
      <c r="X158" s="6">
        <v>7.82</v>
      </c>
      <c r="Y158" s="6">
        <v>0.58599999999999997</v>
      </c>
      <c r="Z158" s="6">
        <v>1.8340000000000001</v>
      </c>
      <c r="AA158" s="6">
        <v>3.6</v>
      </c>
      <c r="AB158" s="6">
        <v>1.927</v>
      </c>
      <c r="AC158" s="6">
        <v>14.54</v>
      </c>
      <c r="AD158" s="6">
        <v>4.944</v>
      </c>
      <c r="AE158" s="6">
        <v>0.01</v>
      </c>
      <c r="AF158" s="6">
        <v>7.0000000000000001E-3</v>
      </c>
      <c r="AG158" s="6">
        <v>1.907</v>
      </c>
      <c r="AH158" s="6"/>
      <c r="AI158" s="6"/>
      <c r="AK158" s="22">
        <f t="shared" si="59"/>
        <v>3.6</v>
      </c>
      <c r="AL158">
        <f t="shared" si="82"/>
        <v>273.40000000000009</v>
      </c>
      <c r="AM158" s="4">
        <v>32.35</v>
      </c>
      <c r="AN158">
        <v>9.9499999999999993</v>
      </c>
      <c r="AP158" s="7">
        <f t="shared" si="80"/>
        <v>0.79100000000000004</v>
      </c>
      <c r="AQ158" s="7">
        <f t="shared" si="60"/>
        <v>0.88200000000000001</v>
      </c>
      <c r="AS158">
        <f t="shared" si="61"/>
        <v>9.9499999999999993</v>
      </c>
      <c r="AT158">
        <f t="shared" si="62"/>
        <v>8.6999999999999993</v>
      </c>
      <c r="AU158">
        <f t="shared" si="63"/>
        <v>74.8</v>
      </c>
      <c r="AV158" t="s">
        <v>104</v>
      </c>
      <c r="AW158">
        <f t="shared" si="64"/>
        <v>9</v>
      </c>
      <c r="AX158">
        <f t="shared" si="65"/>
        <v>8.8000000000000007</v>
      </c>
      <c r="AY158">
        <f t="shared" si="66"/>
        <v>14.7</v>
      </c>
      <c r="AZ158">
        <f t="shared" si="67"/>
        <v>90.7</v>
      </c>
      <c r="BA158" t="s">
        <v>104</v>
      </c>
      <c r="BB158">
        <f t="shared" si="68"/>
        <v>21.9</v>
      </c>
      <c r="BC158">
        <f t="shared" si="69"/>
        <v>10.3</v>
      </c>
      <c r="BD158">
        <f t="shared" si="70"/>
        <v>5.0999999999999996</v>
      </c>
      <c r="BE158">
        <f t="shared" si="71"/>
        <v>47.3</v>
      </c>
      <c r="BF158" t="s">
        <v>104</v>
      </c>
      <c r="BG158">
        <f t="shared" si="72"/>
        <v>4.5</v>
      </c>
      <c r="BH158">
        <f t="shared" si="73"/>
        <v>7.8</v>
      </c>
      <c r="BI158">
        <f t="shared" si="74"/>
        <v>0.59</v>
      </c>
      <c r="BJ158">
        <f t="shared" si="75"/>
        <v>1.83</v>
      </c>
      <c r="BK158">
        <f t="shared" si="76"/>
        <v>0</v>
      </c>
      <c r="BL158">
        <f t="shared" si="77"/>
        <v>3.6</v>
      </c>
      <c r="BM158">
        <f t="shared" si="78"/>
        <v>0.79100000000000004</v>
      </c>
      <c r="BN158">
        <f t="shared" si="79"/>
        <v>0.88200000000000001</v>
      </c>
    </row>
    <row r="159" spans="1:66" x14ac:dyDescent="0.25">
      <c r="A159">
        <v>2024</v>
      </c>
      <c r="B159" s="1">
        <f t="shared" si="81"/>
        <v>45445</v>
      </c>
      <c r="C159">
        <v>154</v>
      </c>
      <c r="D159">
        <v>70</v>
      </c>
      <c r="E159" s="6">
        <v>12.68</v>
      </c>
      <c r="F159" s="6">
        <v>7.22</v>
      </c>
      <c r="G159" s="6">
        <v>12.01</v>
      </c>
      <c r="H159" s="6">
        <v>1.7849999999999999</v>
      </c>
      <c r="I159" s="6">
        <v>7.77</v>
      </c>
      <c r="J159" s="6">
        <v>7.86</v>
      </c>
      <c r="K159" s="6">
        <v>79.3</v>
      </c>
      <c r="L159" s="6"/>
      <c r="M159" s="6">
        <v>7.79</v>
      </c>
      <c r="N159" s="6">
        <v>8.41</v>
      </c>
      <c r="O159" s="6">
        <v>12.29</v>
      </c>
      <c r="P159" s="6">
        <v>91.2</v>
      </c>
      <c r="Q159" s="6"/>
      <c r="R159" s="6">
        <v>14.2</v>
      </c>
      <c r="S159" s="6">
        <v>8.86</v>
      </c>
      <c r="T159" s="6">
        <v>2.9119999999999999</v>
      </c>
      <c r="U159" s="6">
        <v>55.33</v>
      </c>
      <c r="V159" s="6"/>
      <c r="W159" s="6">
        <v>1.823</v>
      </c>
      <c r="X159" s="6">
        <v>7.73</v>
      </c>
      <c r="Y159" s="6">
        <v>0.67500000000000004</v>
      </c>
      <c r="Z159" s="6">
        <v>1.927</v>
      </c>
      <c r="AA159" s="6">
        <v>8.5</v>
      </c>
      <c r="AB159" s="6">
        <v>1.9059999999999999</v>
      </c>
      <c r="AC159" s="6">
        <v>12.13</v>
      </c>
      <c r="AD159" s="6">
        <v>1.9870000000000001</v>
      </c>
      <c r="AE159" s="6">
        <v>0.01</v>
      </c>
      <c r="AF159" s="6">
        <v>7.0000000000000001E-3</v>
      </c>
      <c r="AG159" s="6">
        <v>1.8839999999999999</v>
      </c>
      <c r="AH159" s="6"/>
      <c r="AI159" s="6"/>
      <c r="AK159" s="22">
        <f t="shared" si="59"/>
        <v>8.5</v>
      </c>
      <c r="AL159">
        <f t="shared" si="82"/>
        <v>281.90000000000009</v>
      </c>
      <c r="AM159" s="4">
        <v>32.42</v>
      </c>
      <c r="AN159">
        <v>7.76</v>
      </c>
      <c r="AP159" s="7">
        <f t="shared" si="80"/>
        <v>0.79100000000000004</v>
      </c>
      <c r="AQ159" s="7">
        <f t="shared" si="60"/>
        <v>0.63900000000000001</v>
      </c>
      <c r="AS159">
        <f t="shared" si="61"/>
        <v>7.76</v>
      </c>
      <c r="AT159">
        <f t="shared" si="62"/>
        <v>7.9</v>
      </c>
      <c r="AU159">
        <f t="shared" si="63"/>
        <v>79.3</v>
      </c>
      <c r="AV159" t="s">
        <v>104</v>
      </c>
      <c r="AW159">
        <f t="shared" si="64"/>
        <v>7.8</v>
      </c>
      <c r="AX159">
        <f t="shared" si="65"/>
        <v>8.4</v>
      </c>
      <c r="AY159">
        <f t="shared" si="66"/>
        <v>12.3</v>
      </c>
      <c r="AZ159">
        <f t="shared" si="67"/>
        <v>91.2</v>
      </c>
      <c r="BA159" t="s">
        <v>104</v>
      </c>
      <c r="BB159">
        <f t="shared" si="68"/>
        <v>14.2</v>
      </c>
      <c r="BC159">
        <f t="shared" si="69"/>
        <v>8.9</v>
      </c>
      <c r="BD159">
        <f t="shared" si="70"/>
        <v>2.9</v>
      </c>
      <c r="BE159">
        <f t="shared" si="71"/>
        <v>55.3</v>
      </c>
      <c r="BF159" t="s">
        <v>104</v>
      </c>
      <c r="BG159">
        <f t="shared" si="72"/>
        <v>1.8</v>
      </c>
      <c r="BH159">
        <f t="shared" si="73"/>
        <v>7.7</v>
      </c>
      <c r="BI159">
        <f t="shared" si="74"/>
        <v>0.68</v>
      </c>
      <c r="BJ159">
        <f t="shared" si="75"/>
        <v>1.93</v>
      </c>
      <c r="BK159">
        <f t="shared" si="76"/>
        <v>0</v>
      </c>
      <c r="BL159">
        <f t="shared" si="77"/>
        <v>8.5</v>
      </c>
      <c r="BM159">
        <f t="shared" si="78"/>
        <v>0.79100000000000004</v>
      </c>
      <c r="BN159">
        <f t="shared" si="79"/>
        <v>0.63900000000000001</v>
      </c>
    </row>
    <row r="160" spans="1:66" x14ac:dyDescent="0.25">
      <c r="A160">
        <v>2024</v>
      </c>
      <c r="B160" s="1">
        <f t="shared" si="81"/>
        <v>45446</v>
      </c>
      <c r="C160">
        <v>155</v>
      </c>
      <c r="D160">
        <v>70</v>
      </c>
      <c r="E160" s="6">
        <v>12.72</v>
      </c>
      <c r="F160" s="6">
        <v>5.5759999999999996</v>
      </c>
      <c r="G160" s="6">
        <v>10.55</v>
      </c>
      <c r="H160" s="6">
        <v>0.88900000000000001</v>
      </c>
      <c r="I160" s="6">
        <v>9.3699999999999992</v>
      </c>
      <c r="J160" s="6">
        <v>6.0839999999999996</v>
      </c>
      <c r="K160" s="6">
        <v>78.5</v>
      </c>
      <c r="L160" s="6"/>
      <c r="M160" s="6">
        <v>5.8979999999999997</v>
      </c>
      <c r="N160" s="6">
        <v>8.14</v>
      </c>
      <c r="O160" s="6">
        <v>10.36</v>
      </c>
      <c r="P160" s="6">
        <v>91.4</v>
      </c>
      <c r="Q160" s="6"/>
      <c r="R160" s="6">
        <v>14.27</v>
      </c>
      <c r="S160" s="6">
        <v>9.2899999999999991</v>
      </c>
      <c r="T160" s="6">
        <v>2.5089999999999999</v>
      </c>
      <c r="U160" s="6">
        <v>55.34</v>
      </c>
      <c r="V160" s="6"/>
      <c r="W160" s="6">
        <v>0.52200000000000002</v>
      </c>
      <c r="X160" s="6">
        <v>7.21</v>
      </c>
      <c r="Y160" s="6">
        <v>1.0620000000000001</v>
      </c>
      <c r="Z160" s="6">
        <v>2.5670000000000002</v>
      </c>
      <c r="AA160" s="6">
        <v>6.6</v>
      </c>
      <c r="AB160" s="6">
        <v>1.94</v>
      </c>
      <c r="AC160" s="6">
        <v>10.210000000000001</v>
      </c>
      <c r="AD160" s="6">
        <v>1.177</v>
      </c>
      <c r="AE160" s="6">
        <v>8.9999999999999993E-3</v>
      </c>
      <c r="AF160" s="6">
        <v>7.0000000000000001E-3</v>
      </c>
      <c r="AG160" s="6">
        <v>1.929</v>
      </c>
      <c r="AH160" s="6"/>
      <c r="AI160" s="6"/>
      <c r="AK160" s="22">
        <f t="shared" si="59"/>
        <v>6.6</v>
      </c>
      <c r="AL160">
        <f t="shared" si="82"/>
        <v>288.50000000000011</v>
      </c>
      <c r="AM160" s="4">
        <v>32.479999999999997</v>
      </c>
      <c r="AN160">
        <v>9.36</v>
      </c>
      <c r="AP160" s="7">
        <f t="shared" si="80"/>
        <v>0.69599999999999995</v>
      </c>
      <c r="AQ160" s="7">
        <f t="shared" si="60"/>
        <v>0.56200000000000006</v>
      </c>
      <c r="AS160">
        <f t="shared" si="61"/>
        <v>9.36</v>
      </c>
      <c r="AT160">
        <f t="shared" si="62"/>
        <v>6.1</v>
      </c>
      <c r="AU160">
        <f t="shared" si="63"/>
        <v>78.5</v>
      </c>
      <c r="AV160" t="s">
        <v>104</v>
      </c>
      <c r="AW160">
        <f t="shared" si="64"/>
        <v>5.9</v>
      </c>
      <c r="AX160">
        <f t="shared" si="65"/>
        <v>8.1</v>
      </c>
      <c r="AY160">
        <f t="shared" si="66"/>
        <v>10.4</v>
      </c>
      <c r="AZ160">
        <f t="shared" si="67"/>
        <v>91.4</v>
      </c>
      <c r="BA160" t="s">
        <v>104</v>
      </c>
      <c r="BB160">
        <f t="shared" si="68"/>
        <v>14.3</v>
      </c>
      <c r="BC160">
        <f t="shared" si="69"/>
        <v>9.3000000000000007</v>
      </c>
      <c r="BD160">
        <f t="shared" si="70"/>
        <v>2.5</v>
      </c>
      <c r="BE160">
        <f t="shared" si="71"/>
        <v>55.3</v>
      </c>
      <c r="BF160" t="s">
        <v>104</v>
      </c>
      <c r="BG160">
        <f t="shared" si="72"/>
        <v>0.5</v>
      </c>
      <c r="BH160">
        <f t="shared" si="73"/>
        <v>7.2</v>
      </c>
      <c r="BI160">
        <f t="shared" si="74"/>
        <v>1.06</v>
      </c>
      <c r="BJ160">
        <f t="shared" si="75"/>
        <v>2.57</v>
      </c>
      <c r="BK160">
        <f t="shared" si="76"/>
        <v>0</v>
      </c>
      <c r="BL160">
        <f t="shared" si="77"/>
        <v>6.6</v>
      </c>
      <c r="BM160">
        <f t="shared" si="78"/>
        <v>0.69599999999999995</v>
      </c>
      <c r="BN160">
        <f t="shared" si="79"/>
        <v>0.56200000000000006</v>
      </c>
    </row>
    <row r="161" spans="1:66" x14ac:dyDescent="0.25">
      <c r="A161">
        <v>2024</v>
      </c>
      <c r="B161" s="1">
        <f t="shared" si="81"/>
        <v>45447</v>
      </c>
      <c r="C161">
        <v>156</v>
      </c>
      <c r="D161">
        <v>70</v>
      </c>
      <c r="E161" s="6">
        <v>12.97</v>
      </c>
      <c r="F161" s="6">
        <v>6.7729999999999997</v>
      </c>
      <c r="G161" s="6">
        <v>15.72</v>
      </c>
      <c r="H161" s="6">
        <v>0.47599999999999998</v>
      </c>
      <c r="I161" s="6">
        <v>16.579999999999998</v>
      </c>
      <c r="J161" s="6">
        <v>7.14</v>
      </c>
      <c r="K161" s="6">
        <v>59.6</v>
      </c>
      <c r="L161" s="6"/>
      <c r="M161" s="6">
        <v>7.66</v>
      </c>
      <c r="N161" s="6">
        <v>7.95</v>
      </c>
      <c r="O161" s="6">
        <v>14.53</v>
      </c>
      <c r="P161" s="6">
        <v>79.599999999999994</v>
      </c>
      <c r="Q161" s="6"/>
      <c r="R161" s="6">
        <v>25.13</v>
      </c>
      <c r="S161" s="6">
        <v>10.44</v>
      </c>
      <c r="T161" s="6">
        <v>2.173</v>
      </c>
      <c r="U161" s="6">
        <v>27.69</v>
      </c>
      <c r="V161" s="6"/>
      <c r="W161" s="6">
        <v>0.108</v>
      </c>
      <c r="X161" s="6">
        <v>6.47</v>
      </c>
      <c r="Y161" s="6">
        <v>1.5669999999999999</v>
      </c>
      <c r="Z161" s="6">
        <v>4.5140000000000002</v>
      </c>
      <c r="AA161" s="6">
        <v>0.4</v>
      </c>
      <c r="AB161" s="6">
        <v>1.887</v>
      </c>
      <c r="AC161" s="6">
        <v>15.65</v>
      </c>
      <c r="AD161" s="6">
        <v>0.67900000000000005</v>
      </c>
      <c r="AE161" s="6">
        <v>8.9999999999999993E-3</v>
      </c>
      <c r="AF161" s="6">
        <v>7.0000000000000001E-3</v>
      </c>
      <c r="AG161" s="6">
        <v>1.877</v>
      </c>
      <c r="AH161" s="6"/>
      <c r="AI161" s="6"/>
      <c r="AK161" s="22">
        <f t="shared" si="59"/>
        <v>0.4</v>
      </c>
      <c r="AL161">
        <f t="shared" si="82"/>
        <v>288.90000000000009</v>
      </c>
      <c r="AM161" s="4">
        <v>32.549999999999997</v>
      </c>
      <c r="AN161">
        <v>16.57</v>
      </c>
      <c r="AP161" s="7">
        <f t="shared" si="80"/>
        <v>0.45800000000000002</v>
      </c>
      <c r="AQ161" s="7">
        <f t="shared" si="60"/>
        <v>1.196</v>
      </c>
      <c r="AS161">
        <f t="shared" si="61"/>
        <v>16.57</v>
      </c>
      <c r="AT161">
        <f t="shared" si="62"/>
        <v>7.1</v>
      </c>
      <c r="AU161">
        <f t="shared" si="63"/>
        <v>59.6</v>
      </c>
      <c r="AV161" t="s">
        <v>104</v>
      </c>
      <c r="AW161">
        <f t="shared" si="64"/>
        <v>7.7</v>
      </c>
      <c r="AX161">
        <f t="shared" si="65"/>
        <v>8</v>
      </c>
      <c r="AY161">
        <f t="shared" si="66"/>
        <v>14.5</v>
      </c>
      <c r="AZ161">
        <f t="shared" si="67"/>
        <v>79.599999999999994</v>
      </c>
      <c r="BA161" t="s">
        <v>104</v>
      </c>
      <c r="BB161">
        <f t="shared" si="68"/>
        <v>25.1</v>
      </c>
      <c r="BC161">
        <f t="shared" si="69"/>
        <v>10.4</v>
      </c>
      <c r="BD161">
        <f t="shared" si="70"/>
        <v>2.2000000000000002</v>
      </c>
      <c r="BE161">
        <f t="shared" si="71"/>
        <v>27.7</v>
      </c>
      <c r="BF161" t="s">
        <v>104</v>
      </c>
      <c r="BG161">
        <f t="shared" si="72"/>
        <v>0.1</v>
      </c>
      <c r="BH161">
        <f t="shared" si="73"/>
        <v>6.5</v>
      </c>
      <c r="BI161">
        <f t="shared" si="74"/>
        <v>1.57</v>
      </c>
      <c r="BJ161">
        <f t="shared" si="75"/>
        <v>4.51</v>
      </c>
      <c r="BK161">
        <f t="shared" si="76"/>
        <v>0</v>
      </c>
      <c r="BL161">
        <f t="shared" si="77"/>
        <v>0.4</v>
      </c>
      <c r="BM161">
        <f t="shared" si="78"/>
        <v>0.45800000000000002</v>
      </c>
      <c r="BN161">
        <f t="shared" si="79"/>
        <v>1.196</v>
      </c>
    </row>
    <row r="162" spans="1:66" x14ac:dyDescent="0.25">
      <c r="A162">
        <v>2024</v>
      </c>
      <c r="B162" s="1">
        <f t="shared" si="81"/>
        <v>45448</v>
      </c>
      <c r="C162">
        <v>157</v>
      </c>
      <c r="D162">
        <v>70</v>
      </c>
      <c r="E162" s="6">
        <v>12.92</v>
      </c>
      <c r="F162" s="6">
        <v>7.09</v>
      </c>
      <c r="G162" s="6">
        <v>18.73</v>
      </c>
      <c r="H162" s="6">
        <v>-1.026</v>
      </c>
      <c r="I162" s="6">
        <v>15.81</v>
      </c>
      <c r="J162" s="6">
        <v>7.65</v>
      </c>
      <c r="K162" s="6">
        <v>55.78</v>
      </c>
      <c r="L162" s="6"/>
      <c r="M162" s="6">
        <v>8.09</v>
      </c>
      <c r="N162" s="6">
        <v>8</v>
      </c>
      <c r="O162" s="6">
        <v>17.47</v>
      </c>
      <c r="P162" s="6">
        <v>83.5</v>
      </c>
      <c r="Q162" s="6"/>
      <c r="R162" s="6">
        <v>29.22</v>
      </c>
      <c r="S162" s="6">
        <v>9.7100000000000009</v>
      </c>
      <c r="T162" s="6">
        <v>0.496</v>
      </c>
      <c r="U162" s="6">
        <v>25.34</v>
      </c>
      <c r="V162" s="6"/>
      <c r="W162" s="6">
        <v>-1.194</v>
      </c>
      <c r="X162" s="6">
        <v>6.444</v>
      </c>
      <c r="Y162" s="6">
        <v>0.80300000000000005</v>
      </c>
      <c r="Z162" s="6">
        <v>2.1539999999999999</v>
      </c>
      <c r="AA162" s="6">
        <v>0</v>
      </c>
      <c r="AB162" s="6">
        <v>1.923</v>
      </c>
      <c r="AC162" s="6">
        <v>18.09</v>
      </c>
      <c r="AD162" s="6">
        <v>-0.82799999999999996</v>
      </c>
      <c r="AE162" s="6">
        <v>8.9999999999999993E-3</v>
      </c>
      <c r="AF162" s="6">
        <v>7.0000000000000001E-3</v>
      </c>
      <c r="AG162" s="6">
        <v>1.911</v>
      </c>
      <c r="AH162" s="6"/>
      <c r="AI162" s="6"/>
      <c r="AK162" s="22">
        <f t="shared" si="59"/>
        <v>0</v>
      </c>
      <c r="AL162">
        <f t="shared" si="82"/>
        <v>288.90000000000009</v>
      </c>
      <c r="AM162" s="4">
        <v>32.61</v>
      </c>
      <c r="AN162">
        <v>15.8</v>
      </c>
      <c r="AP162" s="7">
        <f t="shared" si="80"/>
        <v>0.50600000000000001</v>
      </c>
      <c r="AQ162" s="7">
        <f t="shared" si="60"/>
        <v>1.4910000000000001</v>
      </c>
      <c r="AS162">
        <f t="shared" si="61"/>
        <v>15.8</v>
      </c>
      <c r="AT162">
        <f t="shared" si="62"/>
        <v>7.7</v>
      </c>
      <c r="AU162">
        <f t="shared" si="63"/>
        <v>55.8</v>
      </c>
      <c r="AV162" t="s">
        <v>104</v>
      </c>
      <c r="AW162">
        <f t="shared" si="64"/>
        <v>8.1</v>
      </c>
      <c r="AX162">
        <f t="shared" si="65"/>
        <v>8</v>
      </c>
      <c r="AY162">
        <f t="shared" si="66"/>
        <v>17.5</v>
      </c>
      <c r="AZ162">
        <f t="shared" si="67"/>
        <v>83.5</v>
      </c>
      <c r="BA162" t="s">
        <v>104</v>
      </c>
      <c r="BB162">
        <f t="shared" si="68"/>
        <v>29.2</v>
      </c>
      <c r="BC162">
        <f t="shared" si="69"/>
        <v>9.6999999999999993</v>
      </c>
      <c r="BD162">
        <f t="shared" si="70"/>
        <v>0.5</v>
      </c>
      <c r="BE162">
        <f t="shared" si="71"/>
        <v>25.3</v>
      </c>
      <c r="BF162" t="s">
        <v>104</v>
      </c>
      <c r="BG162">
        <f t="shared" si="72"/>
        <v>-1.2</v>
      </c>
      <c r="BH162">
        <f t="shared" si="73"/>
        <v>6.4</v>
      </c>
      <c r="BI162">
        <f t="shared" si="74"/>
        <v>0.8</v>
      </c>
      <c r="BJ162">
        <f t="shared" si="75"/>
        <v>2.15</v>
      </c>
      <c r="BK162">
        <f t="shared" si="76"/>
        <v>0</v>
      </c>
      <c r="BL162">
        <f t="shared" si="77"/>
        <v>0</v>
      </c>
      <c r="BM162">
        <f t="shared" si="78"/>
        <v>0.50600000000000001</v>
      </c>
      <c r="BN162">
        <f t="shared" si="79"/>
        <v>1.4910000000000001</v>
      </c>
    </row>
    <row r="163" spans="1:66" x14ac:dyDescent="0.25">
      <c r="A163">
        <v>2024</v>
      </c>
      <c r="B163" s="1">
        <f t="shared" si="81"/>
        <v>45449</v>
      </c>
      <c r="C163">
        <v>158</v>
      </c>
      <c r="D163">
        <v>70</v>
      </c>
      <c r="E163" s="6">
        <v>12.9</v>
      </c>
      <c r="F163" s="6">
        <v>9.8699999999999992</v>
      </c>
      <c r="G163" s="6">
        <v>20.99</v>
      </c>
      <c r="H163" s="6">
        <v>-0.13100000000000001</v>
      </c>
      <c r="I163" s="6">
        <v>19.649999999999999</v>
      </c>
      <c r="J163" s="6">
        <v>10.050000000000001</v>
      </c>
      <c r="K163" s="6">
        <v>52.98</v>
      </c>
      <c r="L163" s="6"/>
      <c r="M163" s="6">
        <v>10.73</v>
      </c>
      <c r="N163" s="6">
        <v>8.6</v>
      </c>
      <c r="O163" s="6">
        <v>19.87</v>
      </c>
      <c r="P163" s="6">
        <v>78.5</v>
      </c>
      <c r="Q163" s="6"/>
      <c r="R163" s="6">
        <v>32.81</v>
      </c>
      <c r="S163" s="6">
        <v>10.76</v>
      </c>
      <c r="T163" s="6">
        <v>1.772</v>
      </c>
      <c r="U163" s="6">
        <v>24.66</v>
      </c>
      <c r="V163" s="6"/>
      <c r="W163" s="6">
        <v>-0.56699999999999995</v>
      </c>
      <c r="X163" s="6">
        <v>7.16</v>
      </c>
      <c r="Y163" s="6">
        <v>0.52700000000000002</v>
      </c>
      <c r="Z163" s="6">
        <v>2.0870000000000002</v>
      </c>
      <c r="AA163" s="6">
        <v>0</v>
      </c>
      <c r="AB163" s="6">
        <v>1.9219999999999999</v>
      </c>
      <c r="AC163" s="6">
        <v>20.23</v>
      </c>
      <c r="AD163" s="6">
        <v>-4.0000000000000001E-3</v>
      </c>
      <c r="AE163" s="6">
        <v>0.01</v>
      </c>
      <c r="AF163" s="6">
        <v>7.0000000000000001E-3</v>
      </c>
      <c r="AG163" s="6">
        <v>1.8959999999999999</v>
      </c>
      <c r="AH163" s="6"/>
      <c r="AI163" s="6"/>
      <c r="AK163" s="22">
        <f t="shared" si="59"/>
        <v>0</v>
      </c>
      <c r="AL163">
        <f t="shared" si="82"/>
        <v>288.90000000000009</v>
      </c>
      <c r="AM163" s="4">
        <v>32.65</v>
      </c>
      <c r="AN163">
        <v>19.64</v>
      </c>
      <c r="AP163" s="7">
        <f t="shared" si="80"/>
        <v>0.57199999999999995</v>
      </c>
      <c r="AQ163" s="7">
        <f t="shared" si="60"/>
        <v>1.748</v>
      </c>
      <c r="AS163">
        <f t="shared" si="61"/>
        <v>19.64</v>
      </c>
      <c r="AT163">
        <f t="shared" si="62"/>
        <v>10.1</v>
      </c>
      <c r="AU163">
        <f t="shared" si="63"/>
        <v>53</v>
      </c>
      <c r="AV163" t="s">
        <v>104</v>
      </c>
      <c r="AW163">
        <f t="shared" si="64"/>
        <v>10.7</v>
      </c>
      <c r="AX163">
        <f t="shared" si="65"/>
        <v>8.6</v>
      </c>
      <c r="AY163">
        <f t="shared" si="66"/>
        <v>19.899999999999999</v>
      </c>
      <c r="AZ163">
        <f t="shared" si="67"/>
        <v>78.5</v>
      </c>
      <c r="BA163" t="s">
        <v>104</v>
      </c>
      <c r="BB163">
        <f t="shared" si="68"/>
        <v>32.799999999999997</v>
      </c>
      <c r="BC163">
        <f t="shared" si="69"/>
        <v>10.8</v>
      </c>
      <c r="BD163">
        <f t="shared" si="70"/>
        <v>1.8</v>
      </c>
      <c r="BE163">
        <f t="shared" si="71"/>
        <v>24.7</v>
      </c>
      <c r="BF163" t="s">
        <v>104</v>
      </c>
      <c r="BG163">
        <f t="shared" si="72"/>
        <v>-0.6</v>
      </c>
      <c r="BH163">
        <f t="shared" si="73"/>
        <v>7.2</v>
      </c>
      <c r="BI163">
        <f t="shared" si="74"/>
        <v>0.53</v>
      </c>
      <c r="BJ163">
        <f t="shared" si="75"/>
        <v>2.09</v>
      </c>
      <c r="BK163">
        <f t="shared" si="76"/>
        <v>0</v>
      </c>
      <c r="BL163">
        <f t="shared" si="77"/>
        <v>0</v>
      </c>
      <c r="BM163">
        <f t="shared" si="78"/>
        <v>0.57199999999999995</v>
      </c>
      <c r="BN163">
        <f t="shared" si="79"/>
        <v>1.748</v>
      </c>
    </row>
    <row r="164" spans="1:66" x14ac:dyDescent="0.25">
      <c r="A164">
        <v>2024</v>
      </c>
      <c r="B164" s="1">
        <f t="shared" si="81"/>
        <v>45450</v>
      </c>
      <c r="C164">
        <v>159</v>
      </c>
      <c r="D164">
        <v>70</v>
      </c>
      <c r="E164" s="6">
        <v>12.91</v>
      </c>
      <c r="F164" s="6">
        <v>11.54</v>
      </c>
      <c r="G164" s="6">
        <v>23.34</v>
      </c>
      <c r="H164" s="6">
        <v>1.1679999999999999</v>
      </c>
      <c r="I164" s="6">
        <v>26.91</v>
      </c>
      <c r="J164" s="6">
        <v>11.96</v>
      </c>
      <c r="K164" s="6">
        <v>38.86</v>
      </c>
      <c r="L164" s="6"/>
      <c r="M164" s="6">
        <v>13</v>
      </c>
      <c r="N164" s="6">
        <v>9.7200000000000006</v>
      </c>
      <c r="O164" s="6">
        <v>21.15</v>
      </c>
      <c r="P164" s="6">
        <v>71.599999999999994</v>
      </c>
      <c r="Q164" s="6"/>
      <c r="R164" s="6">
        <v>36.590000000000003</v>
      </c>
      <c r="S164" s="6">
        <v>12.76</v>
      </c>
      <c r="T164" s="6">
        <v>2.98</v>
      </c>
      <c r="U164" s="6">
        <v>15.59</v>
      </c>
      <c r="V164" s="6"/>
      <c r="W164" s="6">
        <v>1.236</v>
      </c>
      <c r="X164" s="6">
        <v>7.84</v>
      </c>
      <c r="Y164" s="6">
        <v>0.91300000000000003</v>
      </c>
      <c r="Z164" s="6">
        <v>2.46</v>
      </c>
      <c r="AA164" s="6">
        <v>0</v>
      </c>
      <c r="AB164" s="6">
        <v>1.7949999999999999</v>
      </c>
      <c r="AC164" s="6">
        <v>23.28</v>
      </c>
      <c r="AD164" s="6">
        <v>1.302</v>
      </c>
      <c r="AE164" s="6">
        <v>0.01</v>
      </c>
      <c r="AF164" s="6">
        <v>6.0000000000000001E-3</v>
      </c>
      <c r="AG164" s="6">
        <v>1.7709999999999999</v>
      </c>
      <c r="AH164" s="6"/>
      <c r="AI164" s="6"/>
      <c r="AK164" s="22">
        <f t="shared" si="59"/>
        <v>0</v>
      </c>
      <c r="AL164">
        <f t="shared" si="82"/>
        <v>288.90000000000009</v>
      </c>
      <c r="AM164" s="4">
        <v>32.700000000000003</v>
      </c>
      <c r="AN164">
        <v>26.91</v>
      </c>
      <c r="AP164" s="7">
        <f t="shared" si="80"/>
        <v>0.39100000000000001</v>
      </c>
      <c r="AQ164" s="7">
        <f t="shared" si="60"/>
        <v>2.117</v>
      </c>
      <c r="AS164">
        <f t="shared" si="61"/>
        <v>26.91</v>
      </c>
      <c r="AT164">
        <f t="shared" si="62"/>
        <v>12</v>
      </c>
      <c r="AU164">
        <f t="shared" si="63"/>
        <v>38.9</v>
      </c>
      <c r="AV164" t="s">
        <v>104</v>
      </c>
      <c r="AW164">
        <f t="shared" si="64"/>
        <v>13</v>
      </c>
      <c r="AX164">
        <f t="shared" si="65"/>
        <v>9.6999999999999993</v>
      </c>
      <c r="AY164">
        <f t="shared" si="66"/>
        <v>21.2</v>
      </c>
      <c r="AZ164">
        <f t="shared" si="67"/>
        <v>71.599999999999994</v>
      </c>
      <c r="BA164" t="s">
        <v>104</v>
      </c>
      <c r="BB164">
        <f t="shared" si="68"/>
        <v>36.6</v>
      </c>
      <c r="BC164">
        <f t="shared" si="69"/>
        <v>12.8</v>
      </c>
      <c r="BD164">
        <f t="shared" si="70"/>
        <v>3</v>
      </c>
      <c r="BE164">
        <f t="shared" si="71"/>
        <v>15.6</v>
      </c>
      <c r="BF164" t="s">
        <v>104</v>
      </c>
      <c r="BG164">
        <f t="shared" si="72"/>
        <v>1.2</v>
      </c>
      <c r="BH164">
        <f t="shared" si="73"/>
        <v>7.8</v>
      </c>
      <c r="BI164">
        <f t="shared" si="74"/>
        <v>0.91</v>
      </c>
      <c r="BJ164">
        <f t="shared" si="75"/>
        <v>2.46</v>
      </c>
      <c r="BK164">
        <f t="shared" si="76"/>
        <v>0</v>
      </c>
      <c r="BL164">
        <f t="shared" si="77"/>
        <v>0</v>
      </c>
      <c r="BM164">
        <f t="shared" si="78"/>
        <v>0.39100000000000001</v>
      </c>
      <c r="BN164">
        <f t="shared" si="79"/>
        <v>2.117</v>
      </c>
    </row>
    <row r="165" spans="1:66" x14ac:dyDescent="0.25">
      <c r="A165">
        <v>2024</v>
      </c>
      <c r="B165" s="1">
        <f t="shared" si="81"/>
        <v>45451</v>
      </c>
      <c r="C165">
        <v>160</v>
      </c>
      <c r="D165">
        <v>70</v>
      </c>
      <c r="E165" s="6">
        <v>12.92</v>
      </c>
      <c r="F165" s="6">
        <v>13.43</v>
      </c>
      <c r="G165" s="6">
        <v>25.81</v>
      </c>
      <c r="H165" s="6">
        <v>2.9590000000000001</v>
      </c>
      <c r="I165" s="6">
        <v>26.03</v>
      </c>
      <c r="J165" s="6">
        <v>14.2</v>
      </c>
      <c r="K165" s="6">
        <v>32.369999999999997</v>
      </c>
      <c r="L165" s="6"/>
      <c r="M165" s="6">
        <v>14.77</v>
      </c>
      <c r="N165" s="6">
        <v>10.41</v>
      </c>
      <c r="O165" s="6">
        <v>23.89</v>
      </c>
      <c r="P165" s="6">
        <v>58.05</v>
      </c>
      <c r="Q165" s="6"/>
      <c r="R165" s="6">
        <v>38.770000000000003</v>
      </c>
      <c r="S165" s="6">
        <v>12.76</v>
      </c>
      <c r="T165" s="6">
        <v>5.3339999999999996</v>
      </c>
      <c r="U165" s="6">
        <v>14.04</v>
      </c>
      <c r="V165" s="6"/>
      <c r="W165" s="6">
        <v>2.754</v>
      </c>
      <c r="X165" s="6">
        <v>8.4499999999999993</v>
      </c>
      <c r="Y165" s="6">
        <v>0.79700000000000004</v>
      </c>
      <c r="Z165" s="6">
        <v>2.194</v>
      </c>
      <c r="AA165" s="6">
        <v>0</v>
      </c>
      <c r="AB165" s="6">
        <v>1.788</v>
      </c>
      <c r="AC165" s="6">
        <v>25.84</v>
      </c>
      <c r="AD165" s="6">
        <v>3.09</v>
      </c>
      <c r="AE165" s="6">
        <v>0.01</v>
      </c>
      <c r="AF165" s="6">
        <v>7.0000000000000001E-3</v>
      </c>
      <c r="AG165" s="6">
        <v>1.754</v>
      </c>
      <c r="AH165" s="6"/>
      <c r="AI165" s="6"/>
      <c r="AK165" s="22">
        <f t="shared" si="59"/>
        <v>0</v>
      </c>
      <c r="AL165">
        <f t="shared" si="82"/>
        <v>288.90000000000009</v>
      </c>
      <c r="AM165" s="4">
        <v>32.75</v>
      </c>
      <c r="AN165">
        <v>26.02</v>
      </c>
      <c r="AP165" s="7">
        <f t="shared" si="80"/>
        <v>0.41599999999999998</v>
      </c>
      <c r="AQ165" s="7">
        <f t="shared" si="60"/>
        <v>2.5470000000000002</v>
      </c>
      <c r="AS165">
        <f t="shared" si="61"/>
        <v>26.02</v>
      </c>
      <c r="AT165">
        <f t="shared" si="62"/>
        <v>14.2</v>
      </c>
      <c r="AU165">
        <f t="shared" si="63"/>
        <v>32.4</v>
      </c>
      <c r="AV165" t="s">
        <v>104</v>
      </c>
      <c r="AW165">
        <f t="shared" si="64"/>
        <v>14.8</v>
      </c>
      <c r="AX165">
        <f t="shared" si="65"/>
        <v>10.4</v>
      </c>
      <c r="AY165">
        <f t="shared" si="66"/>
        <v>23.9</v>
      </c>
      <c r="AZ165">
        <f t="shared" si="67"/>
        <v>58.1</v>
      </c>
      <c r="BA165" t="s">
        <v>104</v>
      </c>
      <c r="BB165">
        <f t="shared" si="68"/>
        <v>38.799999999999997</v>
      </c>
      <c r="BC165">
        <f t="shared" si="69"/>
        <v>12.8</v>
      </c>
      <c r="BD165">
        <f t="shared" si="70"/>
        <v>5.3</v>
      </c>
      <c r="BE165">
        <f t="shared" si="71"/>
        <v>14</v>
      </c>
      <c r="BF165" t="s">
        <v>104</v>
      </c>
      <c r="BG165">
        <f t="shared" si="72"/>
        <v>2.8</v>
      </c>
      <c r="BH165">
        <f t="shared" si="73"/>
        <v>8.5</v>
      </c>
      <c r="BI165">
        <f t="shared" si="74"/>
        <v>0.8</v>
      </c>
      <c r="BJ165">
        <f t="shared" si="75"/>
        <v>2.19</v>
      </c>
      <c r="BK165">
        <f t="shared" si="76"/>
        <v>0</v>
      </c>
      <c r="BL165">
        <f t="shared" si="77"/>
        <v>0</v>
      </c>
      <c r="BM165">
        <f t="shared" si="78"/>
        <v>0.41599999999999998</v>
      </c>
      <c r="BN165">
        <f t="shared" si="79"/>
        <v>2.5470000000000002</v>
      </c>
    </row>
    <row r="166" spans="1:66" x14ac:dyDescent="0.25">
      <c r="A166">
        <v>2024</v>
      </c>
      <c r="B166" s="1">
        <f t="shared" si="81"/>
        <v>45452</v>
      </c>
      <c r="C166">
        <v>161</v>
      </c>
      <c r="D166">
        <v>70</v>
      </c>
      <c r="E166" s="6">
        <v>12.88</v>
      </c>
      <c r="F166" s="6">
        <v>14.65</v>
      </c>
      <c r="G166" s="6">
        <v>25.77</v>
      </c>
      <c r="H166" s="6">
        <v>7.19</v>
      </c>
      <c r="I166" s="6">
        <v>15.06</v>
      </c>
      <c r="J166" s="6">
        <v>15.31</v>
      </c>
      <c r="K166" s="6">
        <v>41.54</v>
      </c>
      <c r="L166" s="6"/>
      <c r="M166" s="6">
        <v>15.33</v>
      </c>
      <c r="N166" s="6">
        <v>10.98</v>
      </c>
      <c r="O166" s="6">
        <v>24.3</v>
      </c>
      <c r="P166" s="6">
        <v>63.19</v>
      </c>
      <c r="Q166" s="6"/>
      <c r="R166" s="6">
        <v>32.54</v>
      </c>
      <c r="S166" s="6">
        <v>12.48</v>
      </c>
      <c r="T166" s="6">
        <v>8.81</v>
      </c>
      <c r="U166" s="6">
        <v>21.5</v>
      </c>
      <c r="V166" s="6"/>
      <c r="W166" s="6">
        <v>6.1790000000000003</v>
      </c>
      <c r="X166" s="6">
        <v>9.82</v>
      </c>
      <c r="Y166" s="6">
        <v>0.38400000000000001</v>
      </c>
      <c r="Z166" s="6">
        <v>2.194</v>
      </c>
      <c r="AA166" s="6">
        <v>0</v>
      </c>
      <c r="AB166" s="6">
        <v>2.2109999999999999</v>
      </c>
      <c r="AC166" s="6">
        <v>26.06</v>
      </c>
      <c r="AD166" s="6">
        <v>7.42</v>
      </c>
      <c r="AE166" s="6">
        <v>0.01</v>
      </c>
      <c r="AF166" s="6">
        <v>7.0000000000000001E-3</v>
      </c>
      <c r="AG166" s="6">
        <v>2.165</v>
      </c>
      <c r="AH166" s="6"/>
      <c r="AI166" s="6"/>
      <c r="AK166" s="22">
        <f t="shared" si="59"/>
        <v>0</v>
      </c>
      <c r="AL166">
        <f t="shared" si="82"/>
        <v>288.90000000000009</v>
      </c>
      <c r="AM166" s="4">
        <v>32.79</v>
      </c>
      <c r="AN166">
        <v>15.05</v>
      </c>
      <c r="AP166" s="7">
        <f t="shared" si="80"/>
        <v>0.65300000000000002</v>
      </c>
      <c r="AQ166" s="7">
        <f t="shared" si="60"/>
        <v>2.3839999999999999</v>
      </c>
      <c r="AS166">
        <f t="shared" si="61"/>
        <v>15.05</v>
      </c>
      <c r="AT166">
        <f t="shared" si="62"/>
        <v>15.3</v>
      </c>
      <c r="AU166">
        <f t="shared" si="63"/>
        <v>41.5</v>
      </c>
      <c r="AV166" t="s">
        <v>104</v>
      </c>
      <c r="AW166">
        <f t="shared" si="64"/>
        <v>15.3</v>
      </c>
      <c r="AX166">
        <f t="shared" si="65"/>
        <v>11</v>
      </c>
      <c r="AY166">
        <f t="shared" si="66"/>
        <v>24.3</v>
      </c>
      <c r="AZ166">
        <f t="shared" si="67"/>
        <v>63.2</v>
      </c>
      <c r="BA166" t="s">
        <v>104</v>
      </c>
      <c r="BB166">
        <f t="shared" si="68"/>
        <v>32.5</v>
      </c>
      <c r="BC166">
        <f t="shared" si="69"/>
        <v>12.5</v>
      </c>
      <c r="BD166">
        <f t="shared" si="70"/>
        <v>8.8000000000000007</v>
      </c>
      <c r="BE166">
        <f t="shared" si="71"/>
        <v>21.5</v>
      </c>
      <c r="BF166" t="s">
        <v>104</v>
      </c>
      <c r="BG166">
        <f t="shared" si="72"/>
        <v>6.2</v>
      </c>
      <c r="BH166">
        <f t="shared" si="73"/>
        <v>9.8000000000000007</v>
      </c>
      <c r="BI166">
        <f t="shared" si="74"/>
        <v>0.38</v>
      </c>
      <c r="BJ166">
        <f t="shared" si="75"/>
        <v>2.19</v>
      </c>
      <c r="BK166">
        <f t="shared" si="76"/>
        <v>0</v>
      </c>
      <c r="BL166">
        <f t="shared" si="77"/>
        <v>0</v>
      </c>
      <c r="BM166">
        <f t="shared" si="78"/>
        <v>0.65300000000000002</v>
      </c>
      <c r="BN166">
        <f t="shared" si="79"/>
        <v>2.3839999999999999</v>
      </c>
    </row>
    <row r="167" spans="1:66" x14ac:dyDescent="0.25">
      <c r="A167">
        <v>2024</v>
      </c>
      <c r="B167" s="1">
        <f t="shared" si="81"/>
        <v>45453</v>
      </c>
      <c r="C167">
        <v>162</v>
      </c>
      <c r="D167">
        <v>70</v>
      </c>
      <c r="E167" s="6">
        <v>12.93</v>
      </c>
      <c r="F167" s="6">
        <v>14.09</v>
      </c>
      <c r="G167" s="6">
        <v>23.7</v>
      </c>
      <c r="H167" s="6">
        <v>6.08</v>
      </c>
      <c r="I167" s="6">
        <v>18.12</v>
      </c>
      <c r="J167" s="6">
        <v>14.68</v>
      </c>
      <c r="K167" s="6">
        <v>51.54</v>
      </c>
      <c r="L167" s="6"/>
      <c r="M167" s="6">
        <v>14.89</v>
      </c>
      <c r="N167" s="6">
        <v>10.96</v>
      </c>
      <c r="O167" s="6">
        <v>23.23</v>
      </c>
      <c r="P167" s="6">
        <v>81.400000000000006</v>
      </c>
      <c r="Q167" s="6"/>
      <c r="R167" s="6">
        <v>35.61</v>
      </c>
      <c r="S167" s="6">
        <v>12.69</v>
      </c>
      <c r="T167" s="6">
        <v>7.6</v>
      </c>
      <c r="U167" s="6">
        <v>21.43</v>
      </c>
      <c r="V167" s="6"/>
      <c r="W167" s="6">
        <v>5.226</v>
      </c>
      <c r="X167" s="6">
        <v>9.64</v>
      </c>
      <c r="Y167" s="6">
        <v>1.02</v>
      </c>
      <c r="Z167" s="6">
        <v>2.6070000000000002</v>
      </c>
      <c r="AA167" s="6">
        <v>0</v>
      </c>
      <c r="AB167" s="6">
        <v>2.202</v>
      </c>
      <c r="AC167" s="6">
        <v>22.91</v>
      </c>
      <c r="AD167" s="6">
        <v>6.3220000000000001</v>
      </c>
      <c r="AE167" s="6">
        <v>0.01</v>
      </c>
      <c r="AF167" s="6">
        <v>7.0000000000000001E-3</v>
      </c>
      <c r="AG167" s="6">
        <v>2.1589999999999998</v>
      </c>
      <c r="AH167" s="6"/>
      <c r="AI167" s="6"/>
      <c r="AK167" s="22">
        <f t="shared" si="59"/>
        <v>0</v>
      </c>
      <c r="AL167">
        <f t="shared" si="82"/>
        <v>288.90000000000009</v>
      </c>
      <c r="AM167" s="4">
        <v>32.82</v>
      </c>
      <c r="AN167">
        <v>18.11</v>
      </c>
      <c r="AP167" s="7">
        <f t="shared" si="80"/>
        <v>0.61</v>
      </c>
      <c r="AQ167" s="7">
        <f t="shared" si="60"/>
        <v>2.2360000000000002</v>
      </c>
      <c r="AS167">
        <f t="shared" si="61"/>
        <v>18.11</v>
      </c>
      <c r="AT167">
        <f t="shared" si="62"/>
        <v>14.7</v>
      </c>
      <c r="AU167">
        <f t="shared" si="63"/>
        <v>51.5</v>
      </c>
      <c r="AV167" t="s">
        <v>104</v>
      </c>
      <c r="AW167">
        <f t="shared" si="64"/>
        <v>14.9</v>
      </c>
      <c r="AX167">
        <f t="shared" si="65"/>
        <v>11</v>
      </c>
      <c r="AY167">
        <f t="shared" si="66"/>
        <v>23.2</v>
      </c>
      <c r="AZ167">
        <f t="shared" si="67"/>
        <v>81.400000000000006</v>
      </c>
      <c r="BA167" t="s">
        <v>104</v>
      </c>
      <c r="BB167">
        <f t="shared" si="68"/>
        <v>35.6</v>
      </c>
      <c r="BC167">
        <f t="shared" si="69"/>
        <v>12.7</v>
      </c>
      <c r="BD167">
        <f t="shared" si="70"/>
        <v>7.6</v>
      </c>
      <c r="BE167">
        <f t="shared" si="71"/>
        <v>21.4</v>
      </c>
      <c r="BF167" t="s">
        <v>104</v>
      </c>
      <c r="BG167">
        <f t="shared" si="72"/>
        <v>5.2</v>
      </c>
      <c r="BH167">
        <f t="shared" si="73"/>
        <v>9.6</v>
      </c>
      <c r="BI167">
        <f t="shared" si="74"/>
        <v>1.02</v>
      </c>
      <c r="BJ167">
        <f t="shared" si="75"/>
        <v>2.61</v>
      </c>
      <c r="BK167">
        <f t="shared" si="76"/>
        <v>0</v>
      </c>
      <c r="BL167">
        <f t="shared" si="77"/>
        <v>0</v>
      </c>
      <c r="BM167">
        <f t="shared" si="78"/>
        <v>0.61</v>
      </c>
      <c r="BN167">
        <f t="shared" si="79"/>
        <v>2.2360000000000002</v>
      </c>
    </row>
    <row r="168" spans="1:66" x14ac:dyDescent="0.25">
      <c r="A168">
        <v>2024</v>
      </c>
      <c r="B168" s="1">
        <f t="shared" si="81"/>
        <v>45454</v>
      </c>
      <c r="C168">
        <v>163</v>
      </c>
      <c r="D168">
        <v>70</v>
      </c>
      <c r="E168" s="6">
        <v>12.89</v>
      </c>
      <c r="F168" s="6">
        <v>12.17</v>
      </c>
      <c r="G168" s="6">
        <v>22.32</v>
      </c>
      <c r="H168" s="6">
        <v>4.5679999999999996</v>
      </c>
      <c r="I168" s="6">
        <v>25.43</v>
      </c>
      <c r="J168" s="6">
        <v>12.23</v>
      </c>
      <c r="K168" s="6">
        <v>45.01</v>
      </c>
      <c r="L168" s="6"/>
      <c r="M168" s="6">
        <v>13.58</v>
      </c>
      <c r="N168" s="6">
        <v>11.19</v>
      </c>
      <c r="O168" s="6">
        <v>20.14</v>
      </c>
      <c r="P168" s="6">
        <v>67.37</v>
      </c>
      <c r="Q168" s="6"/>
      <c r="R168" s="6">
        <v>32.479999999999997</v>
      </c>
      <c r="S168" s="6">
        <v>13.7</v>
      </c>
      <c r="T168" s="6">
        <v>5.8710000000000004</v>
      </c>
      <c r="U168" s="6">
        <v>23.25</v>
      </c>
      <c r="V168" s="6"/>
      <c r="W168" s="6">
        <v>4.726</v>
      </c>
      <c r="X168" s="6">
        <v>9.5500000000000007</v>
      </c>
      <c r="Y168" s="6">
        <v>1.611</v>
      </c>
      <c r="Z168" s="6">
        <v>4.5540000000000003</v>
      </c>
      <c r="AA168" s="6">
        <v>0</v>
      </c>
      <c r="AB168" s="6">
        <v>1.91</v>
      </c>
      <c r="AC168" s="6">
        <v>22.33</v>
      </c>
      <c r="AD168" s="6">
        <v>4.8019999999999996</v>
      </c>
      <c r="AE168" s="6">
        <v>0.01</v>
      </c>
      <c r="AF168" s="6">
        <v>7.0000000000000001E-3</v>
      </c>
      <c r="AG168" s="6">
        <v>1.8879999999999999</v>
      </c>
      <c r="AH168" s="6"/>
      <c r="AI168" s="6"/>
      <c r="AK168" s="22">
        <f t="shared" si="59"/>
        <v>0</v>
      </c>
      <c r="AL168">
        <f t="shared" si="82"/>
        <v>288.90000000000009</v>
      </c>
      <c r="AM168" s="4">
        <v>32.85</v>
      </c>
      <c r="AN168">
        <v>25.42</v>
      </c>
      <c r="AP168" s="7">
        <f t="shared" si="80"/>
        <v>0.54800000000000004</v>
      </c>
      <c r="AQ168" s="7">
        <f t="shared" si="60"/>
        <v>1.8089999999999999</v>
      </c>
      <c r="AS168">
        <f t="shared" si="61"/>
        <v>25.42</v>
      </c>
      <c r="AT168">
        <f t="shared" si="62"/>
        <v>12.2</v>
      </c>
      <c r="AU168">
        <f t="shared" si="63"/>
        <v>45</v>
      </c>
      <c r="AV168" t="s">
        <v>104</v>
      </c>
      <c r="AW168">
        <f t="shared" si="64"/>
        <v>13.6</v>
      </c>
      <c r="AX168">
        <f t="shared" si="65"/>
        <v>11.2</v>
      </c>
      <c r="AY168">
        <f t="shared" si="66"/>
        <v>20.100000000000001</v>
      </c>
      <c r="AZ168">
        <f t="shared" si="67"/>
        <v>67.400000000000006</v>
      </c>
      <c r="BA168" t="s">
        <v>104</v>
      </c>
      <c r="BB168">
        <f t="shared" si="68"/>
        <v>32.5</v>
      </c>
      <c r="BC168">
        <f t="shared" si="69"/>
        <v>13.7</v>
      </c>
      <c r="BD168">
        <f t="shared" si="70"/>
        <v>5.9</v>
      </c>
      <c r="BE168">
        <f t="shared" si="71"/>
        <v>23.3</v>
      </c>
      <c r="BF168" t="s">
        <v>104</v>
      </c>
      <c r="BG168">
        <f t="shared" si="72"/>
        <v>4.7</v>
      </c>
      <c r="BH168">
        <f t="shared" si="73"/>
        <v>9.6</v>
      </c>
      <c r="BI168">
        <f t="shared" si="74"/>
        <v>1.61</v>
      </c>
      <c r="BJ168">
        <f t="shared" si="75"/>
        <v>4.55</v>
      </c>
      <c r="BK168">
        <f t="shared" si="76"/>
        <v>0</v>
      </c>
      <c r="BL168">
        <f t="shared" si="77"/>
        <v>0</v>
      </c>
      <c r="BM168">
        <f t="shared" si="78"/>
        <v>0.54800000000000004</v>
      </c>
      <c r="BN168">
        <f t="shared" si="79"/>
        <v>1.8089999999999999</v>
      </c>
    </row>
    <row r="169" spans="1:66" x14ac:dyDescent="0.25">
      <c r="A169">
        <v>2024</v>
      </c>
      <c r="B169" s="1">
        <f t="shared" si="81"/>
        <v>45455</v>
      </c>
      <c r="C169">
        <v>164</v>
      </c>
      <c r="D169">
        <v>70</v>
      </c>
      <c r="E169" s="6">
        <v>12.89</v>
      </c>
      <c r="F169" s="6">
        <v>8.16</v>
      </c>
      <c r="G169" s="6">
        <v>18.14</v>
      </c>
      <c r="H169" s="6">
        <v>0.40799999999999997</v>
      </c>
      <c r="I169" s="6">
        <v>14.13</v>
      </c>
      <c r="J169" s="6">
        <v>8.75</v>
      </c>
      <c r="K169" s="6">
        <v>56.92</v>
      </c>
      <c r="L169" s="6"/>
      <c r="M169" s="6">
        <v>9.14</v>
      </c>
      <c r="N169" s="6">
        <v>10.1</v>
      </c>
      <c r="O169" s="6">
        <v>16.53</v>
      </c>
      <c r="P169" s="6">
        <v>83.5</v>
      </c>
      <c r="Q169" s="6"/>
      <c r="R169" s="6">
        <v>26.17</v>
      </c>
      <c r="S169" s="6">
        <v>11.41</v>
      </c>
      <c r="T169" s="6">
        <v>1.8360000000000001</v>
      </c>
      <c r="U169" s="6">
        <v>29.84</v>
      </c>
      <c r="V169" s="6"/>
      <c r="W169" s="6">
        <v>0.57099999999999995</v>
      </c>
      <c r="X169" s="6">
        <v>9.06</v>
      </c>
      <c r="Y169" s="6">
        <v>0.57299999999999995</v>
      </c>
      <c r="Z169" s="6">
        <v>2.3140000000000001</v>
      </c>
      <c r="AA169" s="6">
        <v>0</v>
      </c>
      <c r="AB169" s="6">
        <v>2.2040000000000002</v>
      </c>
      <c r="AC169" s="6">
        <v>17.75</v>
      </c>
      <c r="AD169" s="6">
        <v>0.65800000000000003</v>
      </c>
      <c r="AE169" s="6">
        <v>0.01</v>
      </c>
      <c r="AF169" s="6">
        <v>7.0000000000000001E-3</v>
      </c>
      <c r="AG169" s="6">
        <v>2.1840000000000002</v>
      </c>
      <c r="AH169" s="6"/>
      <c r="AI169" s="6"/>
      <c r="AK169" s="22">
        <f t="shared" si="59"/>
        <v>0</v>
      </c>
      <c r="AL169">
        <f t="shared" si="82"/>
        <v>288.90000000000009</v>
      </c>
      <c r="AM169" s="4">
        <v>32.880000000000003</v>
      </c>
      <c r="AN169">
        <v>14.13</v>
      </c>
      <c r="AP169" s="7">
        <f t="shared" si="80"/>
        <v>0.56100000000000005</v>
      </c>
      <c r="AQ169" s="7">
        <f t="shared" si="60"/>
        <v>1.319</v>
      </c>
      <c r="AS169">
        <f t="shared" si="61"/>
        <v>14.13</v>
      </c>
      <c r="AT169">
        <f t="shared" si="62"/>
        <v>8.8000000000000007</v>
      </c>
      <c r="AU169">
        <f t="shared" si="63"/>
        <v>56.9</v>
      </c>
      <c r="AV169" t="s">
        <v>104</v>
      </c>
      <c r="AW169">
        <f t="shared" si="64"/>
        <v>9.1</v>
      </c>
      <c r="AX169">
        <f t="shared" si="65"/>
        <v>10.1</v>
      </c>
      <c r="AY169">
        <f t="shared" si="66"/>
        <v>16.5</v>
      </c>
      <c r="AZ169">
        <f t="shared" si="67"/>
        <v>83.5</v>
      </c>
      <c r="BA169" t="s">
        <v>104</v>
      </c>
      <c r="BB169">
        <f t="shared" si="68"/>
        <v>26.2</v>
      </c>
      <c r="BC169">
        <f t="shared" si="69"/>
        <v>11.4</v>
      </c>
      <c r="BD169">
        <f t="shared" si="70"/>
        <v>1.8</v>
      </c>
      <c r="BE169">
        <f t="shared" si="71"/>
        <v>29.8</v>
      </c>
      <c r="BF169" t="s">
        <v>104</v>
      </c>
      <c r="BG169">
        <f t="shared" si="72"/>
        <v>0.6</v>
      </c>
      <c r="BH169">
        <f t="shared" si="73"/>
        <v>9.1</v>
      </c>
      <c r="BI169">
        <f t="shared" si="74"/>
        <v>0.56999999999999995</v>
      </c>
      <c r="BJ169">
        <f t="shared" si="75"/>
        <v>2.31</v>
      </c>
      <c r="BK169">
        <f t="shared" si="76"/>
        <v>0</v>
      </c>
      <c r="BL169">
        <f t="shared" si="77"/>
        <v>0</v>
      </c>
      <c r="BM169">
        <f t="shared" si="78"/>
        <v>0.56100000000000005</v>
      </c>
      <c r="BN169">
        <f t="shared" si="79"/>
        <v>1.319</v>
      </c>
    </row>
    <row r="170" spans="1:66" x14ac:dyDescent="0.25">
      <c r="A170">
        <v>2024</v>
      </c>
      <c r="B170" s="1">
        <f t="shared" si="81"/>
        <v>45456</v>
      </c>
      <c r="C170">
        <v>165</v>
      </c>
      <c r="D170">
        <v>70</v>
      </c>
      <c r="E170" s="6">
        <v>12.94</v>
      </c>
      <c r="F170" s="6">
        <v>13.07</v>
      </c>
      <c r="G170" s="6">
        <v>26.39</v>
      </c>
      <c r="H170" s="6">
        <v>0.72599999999999998</v>
      </c>
      <c r="I170" s="6">
        <v>25.11</v>
      </c>
      <c r="J170" s="6">
        <v>13.71</v>
      </c>
      <c r="K170" s="6">
        <v>42.03</v>
      </c>
      <c r="L170" s="6"/>
      <c r="M170" s="6">
        <v>14.55</v>
      </c>
      <c r="N170" s="6">
        <v>10.199999999999999</v>
      </c>
      <c r="O170" s="6">
        <v>24.56</v>
      </c>
      <c r="P170" s="6">
        <v>81.900000000000006</v>
      </c>
      <c r="Q170" s="6"/>
      <c r="R170" s="6">
        <v>38.659999999999997</v>
      </c>
      <c r="S170" s="6">
        <v>12.51</v>
      </c>
      <c r="T170" s="6">
        <v>2.5760000000000001</v>
      </c>
      <c r="U170" s="6">
        <v>15.25</v>
      </c>
      <c r="V170" s="6"/>
      <c r="W170" s="6">
        <v>0.434</v>
      </c>
      <c r="X170" s="6">
        <v>8.44</v>
      </c>
      <c r="Y170" s="6">
        <v>0.84</v>
      </c>
      <c r="Z170" s="6">
        <v>2.5539999999999998</v>
      </c>
      <c r="AA170" s="6">
        <v>0</v>
      </c>
      <c r="AB170" s="6">
        <v>1.853</v>
      </c>
      <c r="AC170" s="6">
        <v>26.52</v>
      </c>
      <c r="AD170" s="6">
        <v>0.82399999999999995</v>
      </c>
      <c r="AE170" s="6">
        <v>0.01</v>
      </c>
      <c r="AF170" s="6">
        <v>6.0000000000000001E-3</v>
      </c>
      <c r="AG170" s="6">
        <v>1.8169999999999999</v>
      </c>
      <c r="AH170" s="6"/>
      <c r="AI170" s="6"/>
      <c r="AK170" s="22">
        <f t="shared" si="59"/>
        <v>0</v>
      </c>
      <c r="AL170">
        <f t="shared" si="82"/>
        <v>288.90000000000009</v>
      </c>
      <c r="AM170" s="4">
        <v>32.9</v>
      </c>
      <c r="AN170">
        <v>25.11</v>
      </c>
      <c r="AP170" s="7">
        <f t="shared" si="80"/>
        <v>0.47</v>
      </c>
      <c r="AQ170" s="7">
        <f t="shared" si="60"/>
        <v>2.6120000000000001</v>
      </c>
      <c r="AS170">
        <f t="shared" si="61"/>
        <v>25.11</v>
      </c>
      <c r="AT170">
        <f t="shared" si="62"/>
        <v>13.7</v>
      </c>
      <c r="AU170">
        <f t="shared" si="63"/>
        <v>42</v>
      </c>
      <c r="AV170" t="s">
        <v>104</v>
      </c>
      <c r="AW170">
        <f t="shared" si="64"/>
        <v>14.6</v>
      </c>
      <c r="AX170">
        <f t="shared" si="65"/>
        <v>10.199999999999999</v>
      </c>
      <c r="AY170">
        <f t="shared" si="66"/>
        <v>24.6</v>
      </c>
      <c r="AZ170">
        <f t="shared" si="67"/>
        <v>81.900000000000006</v>
      </c>
      <c r="BA170" t="s">
        <v>104</v>
      </c>
      <c r="BB170">
        <f t="shared" si="68"/>
        <v>38.700000000000003</v>
      </c>
      <c r="BC170">
        <f t="shared" si="69"/>
        <v>12.5</v>
      </c>
      <c r="BD170">
        <f t="shared" si="70"/>
        <v>2.6</v>
      </c>
      <c r="BE170">
        <f t="shared" si="71"/>
        <v>15.3</v>
      </c>
      <c r="BF170" t="s">
        <v>104</v>
      </c>
      <c r="BG170">
        <f t="shared" si="72"/>
        <v>0.4</v>
      </c>
      <c r="BH170">
        <f t="shared" si="73"/>
        <v>8.4</v>
      </c>
      <c r="BI170">
        <f t="shared" si="74"/>
        <v>0.84</v>
      </c>
      <c r="BJ170">
        <f t="shared" si="75"/>
        <v>2.5499999999999998</v>
      </c>
      <c r="BK170">
        <f t="shared" si="76"/>
        <v>0</v>
      </c>
      <c r="BL170">
        <f t="shared" si="77"/>
        <v>0</v>
      </c>
      <c r="BM170">
        <f t="shared" si="78"/>
        <v>0.47</v>
      </c>
      <c r="BN170">
        <f t="shared" si="79"/>
        <v>2.6120000000000001</v>
      </c>
    </row>
    <row r="171" spans="1:66" x14ac:dyDescent="0.25">
      <c r="A171">
        <v>2024</v>
      </c>
      <c r="B171" s="1">
        <f t="shared" si="81"/>
        <v>45457</v>
      </c>
      <c r="C171">
        <v>166</v>
      </c>
      <c r="D171">
        <v>70</v>
      </c>
      <c r="E171" s="6">
        <v>12.87</v>
      </c>
      <c r="F171" s="6">
        <v>10.59</v>
      </c>
      <c r="G171" s="6">
        <v>20.93</v>
      </c>
      <c r="H171" s="6">
        <v>1.526</v>
      </c>
      <c r="I171" s="6">
        <v>22.93</v>
      </c>
      <c r="J171" s="6">
        <v>10.66</v>
      </c>
      <c r="K171" s="6">
        <v>40.909999999999997</v>
      </c>
      <c r="L171" s="6"/>
      <c r="M171" s="6">
        <v>12.17</v>
      </c>
      <c r="N171" s="6">
        <v>10.92</v>
      </c>
      <c r="O171" s="6">
        <v>19.2</v>
      </c>
      <c r="P171" s="6">
        <v>66.05</v>
      </c>
      <c r="Q171" s="6"/>
      <c r="R171" s="6">
        <v>33.340000000000003</v>
      </c>
      <c r="S171" s="6">
        <v>13.61</v>
      </c>
      <c r="T171" s="6">
        <v>3.383</v>
      </c>
      <c r="U171" s="6">
        <v>23.25</v>
      </c>
      <c r="V171" s="6"/>
      <c r="W171" s="6">
        <v>1.6080000000000001</v>
      </c>
      <c r="X171" s="6">
        <v>9.44</v>
      </c>
      <c r="Y171" s="6">
        <v>1.421</v>
      </c>
      <c r="Z171" s="6">
        <v>3.4340000000000002</v>
      </c>
      <c r="AA171" s="6">
        <v>0</v>
      </c>
      <c r="AB171" s="6">
        <v>1.7769999999999999</v>
      </c>
      <c r="AC171" s="6">
        <v>21.01</v>
      </c>
      <c r="AD171" s="6">
        <v>1.738</v>
      </c>
      <c r="AE171" s="6">
        <v>0.01</v>
      </c>
      <c r="AF171" s="6">
        <v>7.0000000000000001E-3</v>
      </c>
      <c r="AG171" s="6">
        <v>1.76</v>
      </c>
      <c r="AH171" s="6"/>
      <c r="AI171" s="6"/>
      <c r="AK171" s="22">
        <f t="shared" si="59"/>
        <v>0</v>
      </c>
      <c r="AL171">
        <f t="shared" si="82"/>
        <v>288.90000000000009</v>
      </c>
      <c r="AM171" s="4">
        <v>32.92</v>
      </c>
      <c r="AN171">
        <v>22.93</v>
      </c>
      <c r="AP171" s="7">
        <f t="shared" si="80"/>
        <v>0.51700000000000002</v>
      </c>
      <c r="AQ171" s="7">
        <f t="shared" si="60"/>
        <v>1.7070000000000001</v>
      </c>
      <c r="AS171">
        <f t="shared" si="61"/>
        <v>22.93</v>
      </c>
      <c r="AT171">
        <f t="shared" si="62"/>
        <v>10.7</v>
      </c>
      <c r="AU171">
        <f t="shared" si="63"/>
        <v>40.9</v>
      </c>
      <c r="AV171" t="s">
        <v>104</v>
      </c>
      <c r="AW171">
        <f t="shared" si="64"/>
        <v>12.2</v>
      </c>
      <c r="AX171">
        <f t="shared" si="65"/>
        <v>10.9</v>
      </c>
      <c r="AY171">
        <f t="shared" si="66"/>
        <v>19.2</v>
      </c>
      <c r="AZ171">
        <f t="shared" si="67"/>
        <v>66.099999999999994</v>
      </c>
      <c r="BA171" t="s">
        <v>104</v>
      </c>
      <c r="BB171">
        <f t="shared" si="68"/>
        <v>33.299999999999997</v>
      </c>
      <c r="BC171">
        <f t="shared" si="69"/>
        <v>13.6</v>
      </c>
      <c r="BD171">
        <f t="shared" si="70"/>
        <v>3.4</v>
      </c>
      <c r="BE171">
        <f t="shared" si="71"/>
        <v>23.3</v>
      </c>
      <c r="BF171" t="s">
        <v>104</v>
      </c>
      <c r="BG171">
        <f t="shared" si="72"/>
        <v>1.6</v>
      </c>
      <c r="BH171">
        <f t="shared" si="73"/>
        <v>9.4</v>
      </c>
      <c r="BI171">
        <f t="shared" si="74"/>
        <v>1.42</v>
      </c>
      <c r="BJ171">
        <f t="shared" si="75"/>
        <v>3.43</v>
      </c>
      <c r="BK171">
        <f t="shared" si="76"/>
        <v>0</v>
      </c>
      <c r="BL171">
        <f t="shared" si="77"/>
        <v>0</v>
      </c>
      <c r="BM171">
        <f t="shared" si="78"/>
        <v>0.51700000000000002</v>
      </c>
      <c r="BN171">
        <f t="shared" si="79"/>
        <v>1.7070000000000001</v>
      </c>
    </row>
    <row r="172" spans="1:66" x14ac:dyDescent="0.25">
      <c r="A172">
        <v>2024</v>
      </c>
      <c r="B172" s="1">
        <f t="shared" si="81"/>
        <v>45458</v>
      </c>
      <c r="C172">
        <v>167</v>
      </c>
      <c r="D172">
        <v>70</v>
      </c>
      <c r="E172" s="6">
        <v>12.87</v>
      </c>
      <c r="F172" s="6">
        <v>4.8819999999999997</v>
      </c>
      <c r="G172" s="6">
        <v>12.22</v>
      </c>
      <c r="H172" s="6">
        <v>1.929</v>
      </c>
      <c r="I172" s="6">
        <v>9.98</v>
      </c>
      <c r="J172" s="6">
        <v>5.1920000000000002</v>
      </c>
      <c r="K172" s="6">
        <v>75.3</v>
      </c>
      <c r="L172" s="6"/>
      <c r="M172" s="6">
        <v>6.0890000000000004</v>
      </c>
      <c r="N172" s="6">
        <v>9.56</v>
      </c>
      <c r="O172" s="6">
        <v>11.84</v>
      </c>
      <c r="P172" s="6">
        <v>92</v>
      </c>
      <c r="Q172" s="6"/>
      <c r="R172" s="6">
        <v>20.86</v>
      </c>
      <c r="S172" s="6">
        <v>10.77</v>
      </c>
      <c r="T172" s="6">
        <v>2.173</v>
      </c>
      <c r="U172" s="6">
        <v>50.16</v>
      </c>
      <c r="V172" s="6"/>
      <c r="W172" s="6">
        <v>2.2229999999999999</v>
      </c>
      <c r="X172" s="6">
        <v>8.7899999999999991</v>
      </c>
      <c r="Y172" s="6">
        <v>0.70299999999999996</v>
      </c>
      <c r="Z172" s="6">
        <v>2.7</v>
      </c>
      <c r="AA172" s="6">
        <v>9.3000000000000007</v>
      </c>
      <c r="AB172" s="6">
        <v>1.899</v>
      </c>
      <c r="AC172" s="6">
        <v>11.35</v>
      </c>
      <c r="AD172" s="6">
        <v>1.946</v>
      </c>
      <c r="AE172" s="6">
        <v>8.9999999999999993E-3</v>
      </c>
      <c r="AF172" s="6">
        <v>7.0000000000000001E-3</v>
      </c>
      <c r="AG172" s="6">
        <v>1.89</v>
      </c>
      <c r="AH172" s="6"/>
      <c r="AI172" s="6"/>
      <c r="AK172" s="22">
        <f t="shared" si="59"/>
        <v>9.3000000000000007</v>
      </c>
      <c r="AL172">
        <f t="shared" si="82"/>
        <v>298.2000000000001</v>
      </c>
      <c r="AM172" s="4">
        <v>32.93</v>
      </c>
      <c r="AN172">
        <v>9.9700000000000006</v>
      </c>
      <c r="AP172" s="7">
        <f t="shared" si="80"/>
        <v>0.69599999999999995</v>
      </c>
      <c r="AQ172" s="7">
        <f t="shared" si="60"/>
        <v>0.69199999999999995</v>
      </c>
      <c r="AS172">
        <f t="shared" si="61"/>
        <v>9.9700000000000006</v>
      </c>
      <c r="AT172">
        <f t="shared" si="62"/>
        <v>5.2</v>
      </c>
      <c r="AU172">
        <f t="shared" si="63"/>
        <v>75.3</v>
      </c>
      <c r="AV172" t="s">
        <v>104</v>
      </c>
      <c r="AW172">
        <f t="shared" si="64"/>
        <v>6.1</v>
      </c>
      <c r="AX172">
        <f t="shared" si="65"/>
        <v>9.6</v>
      </c>
      <c r="AY172">
        <f t="shared" si="66"/>
        <v>11.8</v>
      </c>
      <c r="AZ172">
        <f t="shared" si="67"/>
        <v>92</v>
      </c>
      <c r="BA172" t="s">
        <v>104</v>
      </c>
      <c r="BB172">
        <f t="shared" si="68"/>
        <v>20.9</v>
      </c>
      <c r="BC172">
        <f t="shared" si="69"/>
        <v>10.8</v>
      </c>
      <c r="BD172">
        <f t="shared" si="70"/>
        <v>2.2000000000000002</v>
      </c>
      <c r="BE172">
        <f t="shared" si="71"/>
        <v>50.2</v>
      </c>
      <c r="BF172" t="s">
        <v>104</v>
      </c>
      <c r="BG172">
        <f t="shared" si="72"/>
        <v>2.2000000000000002</v>
      </c>
      <c r="BH172">
        <f t="shared" si="73"/>
        <v>8.8000000000000007</v>
      </c>
      <c r="BI172">
        <f t="shared" si="74"/>
        <v>0.7</v>
      </c>
      <c r="BJ172">
        <f t="shared" si="75"/>
        <v>2.7</v>
      </c>
      <c r="BK172">
        <f t="shared" si="76"/>
        <v>0</v>
      </c>
      <c r="BL172">
        <f t="shared" si="77"/>
        <v>9.3000000000000007</v>
      </c>
      <c r="BM172">
        <f t="shared" si="78"/>
        <v>0.69599999999999995</v>
      </c>
      <c r="BN172">
        <f t="shared" si="79"/>
        <v>0.69199999999999995</v>
      </c>
    </row>
    <row r="173" spans="1:66" x14ac:dyDescent="0.25">
      <c r="A173">
        <v>2024</v>
      </c>
      <c r="B173" s="1">
        <f t="shared" si="81"/>
        <v>45459</v>
      </c>
      <c r="C173">
        <v>168</v>
      </c>
      <c r="D173">
        <v>70</v>
      </c>
      <c r="E173" s="6">
        <v>12.8</v>
      </c>
      <c r="F173" s="6">
        <v>4.7640000000000002</v>
      </c>
      <c r="G173" s="6">
        <v>9.6300000000000008</v>
      </c>
      <c r="H173" s="6">
        <v>1.486</v>
      </c>
      <c r="I173" s="6">
        <v>8.27</v>
      </c>
      <c r="J173" s="6">
        <v>4.8280000000000003</v>
      </c>
      <c r="K173" s="6">
        <v>89.1</v>
      </c>
      <c r="L173" s="6"/>
      <c r="M173" s="6">
        <v>5.5810000000000004</v>
      </c>
      <c r="N173" s="6">
        <v>8.65</v>
      </c>
      <c r="O173" s="6">
        <v>9.35</v>
      </c>
      <c r="P173" s="6">
        <v>92.7</v>
      </c>
      <c r="Q173" s="6"/>
      <c r="R173" s="6">
        <v>12.66</v>
      </c>
      <c r="S173" s="6">
        <v>9.4600000000000009</v>
      </c>
      <c r="T173" s="6">
        <v>1.7689999999999999</v>
      </c>
      <c r="U173" s="6">
        <v>74.8</v>
      </c>
      <c r="V173" s="6"/>
      <c r="W173" s="6">
        <v>1.952</v>
      </c>
      <c r="X173" s="6">
        <v>8.0299999999999994</v>
      </c>
      <c r="Y173" s="6">
        <v>0.48399999999999999</v>
      </c>
      <c r="Z173" s="6">
        <v>1.514</v>
      </c>
      <c r="AA173" s="6">
        <v>8.5</v>
      </c>
      <c r="AB173" s="6">
        <v>1.9</v>
      </c>
      <c r="AC173" s="6">
        <v>9.66</v>
      </c>
      <c r="AD173" s="6">
        <v>1.613</v>
      </c>
      <c r="AE173" s="6">
        <v>8.9999999999999993E-3</v>
      </c>
      <c r="AF173" s="6">
        <v>6.0000000000000001E-3</v>
      </c>
      <c r="AG173" s="6">
        <v>1.885</v>
      </c>
      <c r="AH173" s="6"/>
      <c r="AI173" s="6"/>
      <c r="AK173" s="22">
        <f t="shared" si="59"/>
        <v>8.5</v>
      </c>
      <c r="AL173">
        <f t="shared" si="82"/>
        <v>306.7000000000001</v>
      </c>
      <c r="AM173" s="4">
        <v>32.94</v>
      </c>
      <c r="AN173">
        <v>8.26</v>
      </c>
      <c r="AP173" s="7">
        <f t="shared" si="80"/>
        <v>0.879</v>
      </c>
      <c r="AQ173" s="7">
        <f t="shared" si="60"/>
        <v>0.29599999999999999</v>
      </c>
      <c r="AS173">
        <f t="shared" si="61"/>
        <v>8.26</v>
      </c>
      <c r="AT173">
        <f t="shared" si="62"/>
        <v>4.8</v>
      </c>
      <c r="AU173">
        <f t="shared" si="63"/>
        <v>89.1</v>
      </c>
      <c r="AV173" t="s">
        <v>104</v>
      </c>
      <c r="AW173">
        <f t="shared" si="64"/>
        <v>5.6</v>
      </c>
      <c r="AX173">
        <f t="shared" si="65"/>
        <v>8.6999999999999993</v>
      </c>
      <c r="AY173">
        <f t="shared" si="66"/>
        <v>9.4</v>
      </c>
      <c r="AZ173">
        <f t="shared" si="67"/>
        <v>92.7</v>
      </c>
      <c r="BA173" t="s">
        <v>104</v>
      </c>
      <c r="BB173">
        <f t="shared" si="68"/>
        <v>12.7</v>
      </c>
      <c r="BC173">
        <f t="shared" si="69"/>
        <v>9.5</v>
      </c>
      <c r="BD173">
        <f t="shared" si="70"/>
        <v>1.8</v>
      </c>
      <c r="BE173">
        <f t="shared" si="71"/>
        <v>74.8</v>
      </c>
      <c r="BF173" t="s">
        <v>104</v>
      </c>
      <c r="BG173">
        <f t="shared" si="72"/>
        <v>2</v>
      </c>
      <c r="BH173">
        <f t="shared" si="73"/>
        <v>8</v>
      </c>
      <c r="BI173">
        <f t="shared" si="74"/>
        <v>0.48</v>
      </c>
      <c r="BJ173">
        <f t="shared" si="75"/>
        <v>1.51</v>
      </c>
      <c r="BK173">
        <f t="shared" si="76"/>
        <v>0</v>
      </c>
      <c r="BL173">
        <f t="shared" si="77"/>
        <v>8.5</v>
      </c>
      <c r="BM173">
        <f t="shared" si="78"/>
        <v>0.879</v>
      </c>
      <c r="BN173">
        <f t="shared" si="79"/>
        <v>0.29599999999999999</v>
      </c>
    </row>
    <row r="174" spans="1:66" x14ac:dyDescent="0.25">
      <c r="A174">
        <v>2024</v>
      </c>
      <c r="B174" s="1">
        <f t="shared" si="81"/>
        <v>45460</v>
      </c>
      <c r="C174">
        <v>169</v>
      </c>
      <c r="D174">
        <v>70</v>
      </c>
      <c r="E174" s="6">
        <v>12.93</v>
      </c>
      <c r="F174" s="6">
        <v>6.9420000000000002</v>
      </c>
      <c r="G174" s="6">
        <v>13.89</v>
      </c>
      <c r="H174" s="6">
        <v>3.335</v>
      </c>
      <c r="I174" s="6">
        <v>12.59</v>
      </c>
      <c r="J174" s="6">
        <v>6.9550000000000001</v>
      </c>
      <c r="K174" s="6">
        <v>84.3</v>
      </c>
      <c r="L174" s="6"/>
      <c r="M174" s="6">
        <v>7.7</v>
      </c>
      <c r="N174" s="6">
        <v>9.25</v>
      </c>
      <c r="O174" s="6">
        <v>12.9</v>
      </c>
      <c r="P174" s="6">
        <v>92.3</v>
      </c>
      <c r="Q174" s="6"/>
      <c r="R174" s="6">
        <v>19.89</v>
      </c>
      <c r="S174" s="6">
        <v>11.28</v>
      </c>
      <c r="T174" s="6">
        <v>3.8540000000000001</v>
      </c>
      <c r="U174" s="6">
        <v>58.61</v>
      </c>
      <c r="V174" s="6"/>
      <c r="W174" s="6">
        <v>3.7010000000000001</v>
      </c>
      <c r="X174" s="6">
        <v>8.16</v>
      </c>
      <c r="Y174" s="6">
        <v>0.55800000000000005</v>
      </c>
      <c r="Z174" s="6">
        <v>2.234</v>
      </c>
      <c r="AA174" s="6">
        <v>2.7</v>
      </c>
      <c r="AB174" s="6">
        <v>1.89</v>
      </c>
      <c r="AC174" s="6">
        <v>12.96</v>
      </c>
      <c r="AD174" s="6">
        <v>3.5070000000000001</v>
      </c>
      <c r="AE174" s="6">
        <v>8.9999999999999993E-3</v>
      </c>
      <c r="AF174" s="6">
        <v>7.0000000000000001E-3</v>
      </c>
      <c r="AG174" s="6">
        <v>1.8740000000000001</v>
      </c>
      <c r="AH174" s="6"/>
      <c r="AI174" s="6"/>
      <c r="AK174" s="22">
        <f t="shared" si="59"/>
        <v>2.7</v>
      </c>
      <c r="AL174">
        <f t="shared" si="82"/>
        <v>309.40000000000009</v>
      </c>
      <c r="AM174" s="4">
        <v>32.94</v>
      </c>
      <c r="AN174">
        <v>12.58</v>
      </c>
      <c r="AP174" s="7">
        <f t="shared" si="80"/>
        <v>0.872</v>
      </c>
      <c r="AQ174" s="7">
        <f t="shared" si="60"/>
        <v>0.61599999999999999</v>
      </c>
      <c r="AS174">
        <f t="shared" si="61"/>
        <v>12.58</v>
      </c>
      <c r="AT174">
        <f t="shared" si="62"/>
        <v>7</v>
      </c>
      <c r="AU174">
        <f t="shared" si="63"/>
        <v>84.3</v>
      </c>
      <c r="AV174" t="s">
        <v>104</v>
      </c>
      <c r="AW174">
        <f t="shared" si="64"/>
        <v>7.7</v>
      </c>
      <c r="AX174">
        <f t="shared" si="65"/>
        <v>9.3000000000000007</v>
      </c>
      <c r="AY174">
        <f t="shared" si="66"/>
        <v>12.9</v>
      </c>
      <c r="AZ174">
        <f t="shared" si="67"/>
        <v>92.3</v>
      </c>
      <c r="BA174" t="s">
        <v>104</v>
      </c>
      <c r="BB174">
        <f t="shared" si="68"/>
        <v>19.899999999999999</v>
      </c>
      <c r="BC174">
        <f t="shared" si="69"/>
        <v>11.3</v>
      </c>
      <c r="BD174">
        <f t="shared" si="70"/>
        <v>3.9</v>
      </c>
      <c r="BE174">
        <f t="shared" si="71"/>
        <v>58.6</v>
      </c>
      <c r="BF174" t="s">
        <v>104</v>
      </c>
      <c r="BG174">
        <f t="shared" si="72"/>
        <v>3.7</v>
      </c>
      <c r="BH174">
        <f t="shared" si="73"/>
        <v>8.1999999999999993</v>
      </c>
      <c r="BI174">
        <f t="shared" si="74"/>
        <v>0.56000000000000005</v>
      </c>
      <c r="BJ174">
        <f t="shared" si="75"/>
        <v>2.23</v>
      </c>
      <c r="BK174">
        <f t="shared" si="76"/>
        <v>0</v>
      </c>
      <c r="BL174">
        <f t="shared" si="77"/>
        <v>2.7</v>
      </c>
      <c r="BM174">
        <f t="shared" si="78"/>
        <v>0.872</v>
      </c>
      <c r="BN174">
        <f t="shared" si="79"/>
        <v>0.61599999999999999</v>
      </c>
    </row>
    <row r="175" spans="1:66" x14ac:dyDescent="0.25">
      <c r="A175">
        <v>2024</v>
      </c>
      <c r="B175" s="1">
        <f t="shared" si="81"/>
        <v>45461</v>
      </c>
      <c r="C175">
        <v>170</v>
      </c>
      <c r="D175">
        <v>70</v>
      </c>
      <c r="E175" s="6">
        <v>12.91</v>
      </c>
      <c r="F175" s="6">
        <v>6.6840000000000002</v>
      </c>
      <c r="G175" s="6">
        <v>16.21</v>
      </c>
      <c r="H175" s="6">
        <v>1.2929999999999999</v>
      </c>
      <c r="I175" s="6">
        <v>12.57</v>
      </c>
      <c r="J175" s="6">
        <v>6.9530000000000003</v>
      </c>
      <c r="K175" s="6">
        <v>78.599999999999994</v>
      </c>
      <c r="L175" s="6"/>
      <c r="M175" s="6">
        <v>7.68</v>
      </c>
      <c r="N175" s="6">
        <v>9.3699999999999992</v>
      </c>
      <c r="O175" s="6">
        <v>14.31</v>
      </c>
      <c r="P175" s="6">
        <v>92</v>
      </c>
      <c r="Q175" s="6"/>
      <c r="R175" s="6">
        <v>23.33</v>
      </c>
      <c r="S175" s="6">
        <v>10.64</v>
      </c>
      <c r="T175" s="6">
        <v>2.7109999999999999</v>
      </c>
      <c r="U175" s="6">
        <v>41.14</v>
      </c>
      <c r="V175" s="6"/>
      <c r="W175" s="6">
        <v>1.6180000000000001</v>
      </c>
      <c r="X175" s="6">
        <v>8.49</v>
      </c>
      <c r="Y175" s="6">
        <v>0.58399999999999996</v>
      </c>
      <c r="Z175" s="6">
        <v>2.234</v>
      </c>
      <c r="AA175" s="6">
        <v>2.1</v>
      </c>
      <c r="AB175" s="6">
        <v>1.893</v>
      </c>
      <c r="AC175" s="6">
        <v>16.190000000000001</v>
      </c>
      <c r="AD175" s="6">
        <v>1.405</v>
      </c>
      <c r="AE175" s="6">
        <v>0.01</v>
      </c>
      <c r="AF175" s="6">
        <v>7.0000000000000001E-3</v>
      </c>
      <c r="AG175" s="6">
        <v>1.881</v>
      </c>
      <c r="AH175" s="6"/>
      <c r="AI175" s="6"/>
      <c r="AK175" s="22">
        <f t="shared" si="59"/>
        <v>2.1</v>
      </c>
      <c r="AL175">
        <f t="shared" si="82"/>
        <v>311.50000000000011</v>
      </c>
      <c r="AM175" s="4">
        <v>32.94</v>
      </c>
      <c r="AN175">
        <v>12.57</v>
      </c>
      <c r="AP175" s="7">
        <f t="shared" si="80"/>
        <v>0.67100000000000004</v>
      </c>
      <c r="AQ175" s="7">
        <f t="shared" si="60"/>
        <v>0.96</v>
      </c>
      <c r="AS175">
        <f t="shared" si="61"/>
        <v>12.57</v>
      </c>
      <c r="AT175">
        <f t="shared" si="62"/>
        <v>7</v>
      </c>
      <c r="AU175">
        <f t="shared" si="63"/>
        <v>78.599999999999994</v>
      </c>
      <c r="AV175" t="s">
        <v>104</v>
      </c>
      <c r="AW175">
        <f t="shared" si="64"/>
        <v>7.7</v>
      </c>
      <c r="AX175">
        <f t="shared" si="65"/>
        <v>9.4</v>
      </c>
      <c r="AY175">
        <f t="shared" si="66"/>
        <v>14.3</v>
      </c>
      <c r="AZ175">
        <f t="shared" si="67"/>
        <v>92</v>
      </c>
      <c r="BA175" t="s">
        <v>104</v>
      </c>
      <c r="BB175">
        <f t="shared" si="68"/>
        <v>23.3</v>
      </c>
      <c r="BC175">
        <f t="shared" si="69"/>
        <v>10.6</v>
      </c>
      <c r="BD175">
        <f t="shared" si="70"/>
        <v>2.7</v>
      </c>
      <c r="BE175">
        <f t="shared" si="71"/>
        <v>41.1</v>
      </c>
      <c r="BF175" t="s">
        <v>104</v>
      </c>
      <c r="BG175">
        <f t="shared" si="72"/>
        <v>1.6</v>
      </c>
      <c r="BH175">
        <f t="shared" si="73"/>
        <v>8.5</v>
      </c>
      <c r="BI175">
        <f t="shared" si="74"/>
        <v>0.57999999999999996</v>
      </c>
      <c r="BJ175">
        <f t="shared" si="75"/>
        <v>2.23</v>
      </c>
      <c r="BK175">
        <f t="shared" si="76"/>
        <v>0</v>
      </c>
      <c r="BL175">
        <f t="shared" si="77"/>
        <v>2.1</v>
      </c>
      <c r="BM175">
        <f t="shared" si="78"/>
        <v>0.67100000000000004</v>
      </c>
      <c r="BN175">
        <f t="shared" si="79"/>
        <v>0.96</v>
      </c>
    </row>
    <row r="176" spans="1:66" x14ac:dyDescent="0.25">
      <c r="A176">
        <v>2024</v>
      </c>
      <c r="B176" s="1">
        <f t="shared" si="81"/>
        <v>45462</v>
      </c>
      <c r="C176">
        <v>171</v>
      </c>
      <c r="D176">
        <v>70</v>
      </c>
      <c r="E176" s="6">
        <v>12.94</v>
      </c>
      <c r="F176" s="6">
        <v>8.9499999999999993</v>
      </c>
      <c r="G176" s="6">
        <v>20.059999999999999</v>
      </c>
      <c r="H176" s="6">
        <v>0.87</v>
      </c>
      <c r="I176" s="6">
        <v>17.079999999999998</v>
      </c>
      <c r="J176" s="6">
        <v>9.69</v>
      </c>
      <c r="K176" s="6">
        <v>62.55</v>
      </c>
      <c r="L176" s="6"/>
      <c r="M176" s="6">
        <v>9.6</v>
      </c>
      <c r="N176" s="6">
        <v>9.15</v>
      </c>
      <c r="O176" s="6">
        <v>18.940000000000001</v>
      </c>
      <c r="P176" s="6">
        <v>92.1</v>
      </c>
      <c r="Q176" s="6"/>
      <c r="R176" s="6">
        <v>31.7</v>
      </c>
      <c r="S176" s="6">
        <v>10.7</v>
      </c>
      <c r="T176" s="6">
        <v>2.3740000000000001</v>
      </c>
      <c r="U176" s="6">
        <v>28.23</v>
      </c>
      <c r="V176" s="6"/>
      <c r="W176" s="6">
        <v>0.85499999999999998</v>
      </c>
      <c r="X176" s="6">
        <v>7.76</v>
      </c>
      <c r="Y176" s="6">
        <v>0.49199999999999999</v>
      </c>
      <c r="Z176" s="6">
        <v>1.754</v>
      </c>
      <c r="AA176" s="6">
        <v>0.1</v>
      </c>
      <c r="AB176" s="6">
        <v>1.889</v>
      </c>
      <c r="AC176" s="6">
        <v>19.48</v>
      </c>
      <c r="AD176" s="6">
        <v>0.97</v>
      </c>
      <c r="AE176" s="6">
        <v>0.01</v>
      </c>
      <c r="AF176" s="6">
        <v>7.0000000000000001E-3</v>
      </c>
      <c r="AG176" s="6">
        <v>1.8620000000000001</v>
      </c>
      <c r="AH176" s="6"/>
      <c r="AI176" s="6"/>
      <c r="AK176" s="22">
        <f t="shared" si="59"/>
        <v>0.1</v>
      </c>
      <c r="AL176">
        <f t="shared" si="82"/>
        <v>311.60000000000014</v>
      </c>
      <c r="AM176" s="4">
        <v>32.94</v>
      </c>
      <c r="AN176">
        <v>17.07</v>
      </c>
      <c r="AP176" s="7">
        <f t="shared" si="80"/>
        <v>0.61799999999999999</v>
      </c>
      <c r="AQ176" s="7">
        <f t="shared" si="60"/>
        <v>1.571</v>
      </c>
      <c r="AS176">
        <f t="shared" si="61"/>
        <v>17.07</v>
      </c>
      <c r="AT176">
        <f t="shared" si="62"/>
        <v>9.6999999999999993</v>
      </c>
      <c r="AU176">
        <f t="shared" si="63"/>
        <v>62.6</v>
      </c>
      <c r="AV176" t="s">
        <v>104</v>
      </c>
      <c r="AW176">
        <f t="shared" si="64"/>
        <v>9.6</v>
      </c>
      <c r="AX176">
        <f t="shared" si="65"/>
        <v>9.1999999999999993</v>
      </c>
      <c r="AY176">
        <f t="shared" si="66"/>
        <v>18.899999999999999</v>
      </c>
      <c r="AZ176">
        <f t="shared" si="67"/>
        <v>92.1</v>
      </c>
      <c r="BA176" t="s">
        <v>104</v>
      </c>
      <c r="BB176">
        <f t="shared" si="68"/>
        <v>31.7</v>
      </c>
      <c r="BC176">
        <f t="shared" si="69"/>
        <v>10.7</v>
      </c>
      <c r="BD176">
        <f t="shared" si="70"/>
        <v>2.4</v>
      </c>
      <c r="BE176">
        <f t="shared" si="71"/>
        <v>28.2</v>
      </c>
      <c r="BF176" t="s">
        <v>104</v>
      </c>
      <c r="BG176">
        <f t="shared" si="72"/>
        <v>0.9</v>
      </c>
      <c r="BH176">
        <f t="shared" si="73"/>
        <v>7.8</v>
      </c>
      <c r="BI176">
        <f t="shared" si="74"/>
        <v>0.49</v>
      </c>
      <c r="BJ176">
        <f t="shared" si="75"/>
        <v>1.75</v>
      </c>
      <c r="BK176">
        <f t="shared" si="76"/>
        <v>0</v>
      </c>
      <c r="BL176">
        <f t="shared" si="77"/>
        <v>0.1</v>
      </c>
      <c r="BM176">
        <f t="shared" si="78"/>
        <v>0.61799999999999999</v>
      </c>
      <c r="BN176">
        <f t="shared" si="79"/>
        <v>1.571</v>
      </c>
    </row>
    <row r="177" spans="1:66" x14ac:dyDescent="0.25">
      <c r="A177">
        <v>2024</v>
      </c>
      <c r="B177" s="1">
        <f t="shared" si="81"/>
        <v>45463</v>
      </c>
      <c r="C177">
        <v>172</v>
      </c>
      <c r="D177">
        <v>70</v>
      </c>
      <c r="E177" s="6">
        <v>12.94</v>
      </c>
      <c r="F177" s="6">
        <v>12.35</v>
      </c>
      <c r="G177" s="6">
        <v>24.56</v>
      </c>
      <c r="H177" s="6">
        <v>3.508</v>
      </c>
      <c r="I177" s="6">
        <v>19.23</v>
      </c>
      <c r="J177" s="6">
        <v>13.37</v>
      </c>
      <c r="K177" s="6">
        <v>45.65</v>
      </c>
      <c r="L177" s="6"/>
      <c r="M177" s="6">
        <v>12.72</v>
      </c>
      <c r="N177" s="6">
        <v>9.8000000000000007</v>
      </c>
      <c r="O177" s="6">
        <v>23.09</v>
      </c>
      <c r="P177" s="6">
        <v>71</v>
      </c>
      <c r="Q177" s="6"/>
      <c r="R177" s="6">
        <v>35.74</v>
      </c>
      <c r="S177" s="6">
        <v>12.21</v>
      </c>
      <c r="T177" s="6">
        <v>5.3339999999999996</v>
      </c>
      <c r="U177" s="6">
        <v>21.7</v>
      </c>
      <c r="V177" s="6"/>
      <c r="W177" s="6">
        <v>3.2789999999999999</v>
      </c>
      <c r="X177" s="6">
        <v>7.83</v>
      </c>
      <c r="Y177" s="6">
        <v>0.372</v>
      </c>
      <c r="Z177" s="6">
        <v>2.0339999999999998</v>
      </c>
      <c r="AA177" s="6">
        <v>0</v>
      </c>
      <c r="AB177" s="6">
        <v>2.222</v>
      </c>
      <c r="AC177" s="6">
        <v>24.14</v>
      </c>
      <c r="AD177" s="6">
        <v>3.653</v>
      </c>
      <c r="AE177" s="6">
        <v>0.01</v>
      </c>
      <c r="AF177" s="6">
        <v>7.0000000000000001E-3</v>
      </c>
      <c r="AG177" s="6">
        <v>2.1829999999999998</v>
      </c>
      <c r="AH177" s="6"/>
      <c r="AI177" s="6"/>
      <c r="AK177" s="22">
        <f t="shared" si="59"/>
        <v>0</v>
      </c>
      <c r="AL177">
        <f t="shared" si="82"/>
        <v>311.60000000000014</v>
      </c>
      <c r="AM177" s="4">
        <v>32.93</v>
      </c>
      <c r="AN177">
        <v>19.22</v>
      </c>
      <c r="AP177" s="7">
        <f t="shared" si="80"/>
        <v>0.61299999999999999</v>
      </c>
      <c r="AQ177" s="7">
        <f t="shared" si="60"/>
        <v>2.2120000000000002</v>
      </c>
      <c r="AS177">
        <f t="shared" si="61"/>
        <v>19.22</v>
      </c>
      <c r="AT177">
        <f t="shared" si="62"/>
        <v>13.4</v>
      </c>
      <c r="AU177">
        <f t="shared" si="63"/>
        <v>45.7</v>
      </c>
      <c r="AV177" t="s">
        <v>104</v>
      </c>
      <c r="AW177">
        <f t="shared" si="64"/>
        <v>12.7</v>
      </c>
      <c r="AX177">
        <f t="shared" si="65"/>
        <v>9.8000000000000007</v>
      </c>
      <c r="AY177">
        <f t="shared" si="66"/>
        <v>23.1</v>
      </c>
      <c r="AZ177">
        <f t="shared" si="67"/>
        <v>71</v>
      </c>
      <c r="BA177" t="s">
        <v>104</v>
      </c>
      <c r="BB177">
        <f t="shared" si="68"/>
        <v>35.700000000000003</v>
      </c>
      <c r="BC177">
        <f t="shared" si="69"/>
        <v>12.2</v>
      </c>
      <c r="BD177">
        <f t="shared" si="70"/>
        <v>5.3</v>
      </c>
      <c r="BE177">
        <f t="shared" si="71"/>
        <v>21.7</v>
      </c>
      <c r="BF177" t="s">
        <v>104</v>
      </c>
      <c r="BG177">
        <f t="shared" si="72"/>
        <v>3.3</v>
      </c>
      <c r="BH177">
        <f t="shared" si="73"/>
        <v>7.8</v>
      </c>
      <c r="BI177">
        <f t="shared" si="74"/>
        <v>0.37</v>
      </c>
      <c r="BJ177">
        <f t="shared" si="75"/>
        <v>2.0299999999999998</v>
      </c>
      <c r="BK177">
        <f t="shared" si="76"/>
        <v>0</v>
      </c>
      <c r="BL177">
        <f t="shared" si="77"/>
        <v>0</v>
      </c>
      <c r="BM177">
        <f t="shared" si="78"/>
        <v>0.61299999999999999</v>
      </c>
      <c r="BN177">
        <f t="shared" si="79"/>
        <v>2.2120000000000002</v>
      </c>
    </row>
    <row r="178" spans="1:66" x14ac:dyDescent="0.25">
      <c r="A178">
        <v>2024</v>
      </c>
      <c r="B178" s="1">
        <f t="shared" si="81"/>
        <v>45464</v>
      </c>
      <c r="C178">
        <v>173</v>
      </c>
      <c r="D178">
        <v>70</v>
      </c>
      <c r="E178" s="6">
        <v>12.95</v>
      </c>
      <c r="F178" s="6">
        <v>15.25</v>
      </c>
      <c r="G178" s="6">
        <v>27.7</v>
      </c>
      <c r="H178" s="6">
        <v>5.931</v>
      </c>
      <c r="I178" s="6">
        <v>21.44</v>
      </c>
      <c r="J178" s="6">
        <v>16.28</v>
      </c>
      <c r="K178" s="6">
        <v>37.840000000000003</v>
      </c>
      <c r="L178" s="6"/>
      <c r="M178" s="6">
        <v>15.57</v>
      </c>
      <c r="N178" s="6">
        <v>10.49</v>
      </c>
      <c r="O178" s="6">
        <v>26.38</v>
      </c>
      <c r="P178" s="6">
        <v>66.37</v>
      </c>
      <c r="Q178" s="6"/>
      <c r="R178" s="6">
        <v>40.28</v>
      </c>
      <c r="S178" s="6">
        <v>12.52</v>
      </c>
      <c r="T178" s="6">
        <v>8.08</v>
      </c>
      <c r="U178" s="6">
        <v>15.18</v>
      </c>
      <c r="V178" s="6"/>
      <c r="W178" s="6">
        <v>5.032</v>
      </c>
      <c r="X178" s="6">
        <v>8.0399999999999991</v>
      </c>
      <c r="Y178" s="6">
        <v>0.56299999999999994</v>
      </c>
      <c r="Z178" s="6">
        <v>2.2869999999999999</v>
      </c>
      <c r="AA178" s="6">
        <v>0</v>
      </c>
      <c r="AB178" s="6">
        <v>2.1930000000000001</v>
      </c>
      <c r="AC178" s="6">
        <v>27.25</v>
      </c>
      <c r="AD178" s="6">
        <v>6.0919999999999996</v>
      </c>
      <c r="AE178" s="6">
        <v>0.01</v>
      </c>
      <c r="AF178" s="6">
        <v>7.0000000000000001E-3</v>
      </c>
      <c r="AG178" s="6">
        <v>2.1440000000000001</v>
      </c>
      <c r="AH178" s="6"/>
      <c r="AI178" s="6"/>
      <c r="AK178" s="22">
        <f t="shared" ref="AK178:AK241" si="83">AA178</f>
        <v>0</v>
      </c>
      <c r="AL178">
        <f t="shared" si="82"/>
        <v>311.60000000000014</v>
      </c>
      <c r="AM178" s="4">
        <v>32.909999999999997</v>
      </c>
      <c r="AN178">
        <v>21.43</v>
      </c>
      <c r="AP178" s="7">
        <f t="shared" si="80"/>
        <v>0.52200000000000002</v>
      </c>
      <c r="AQ178" s="7">
        <f t="shared" si="60"/>
        <v>2.9169999999999998</v>
      </c>
      <c r="AS178">
        <f t="shared" si="61"/>
        <v>21.43</v>
      </c>
      <c r="AT178">
        <f t="shared" si="62"/>
        <v>16.3</v>
      </c>
      <c r="AU178">
        <f t="shared" si="63"/>
        <v>37.799999999999997</v>
      </c>
      <c r="AV178" t="s">
        <v>104</v>
      </c>
      <c r="AW178">
        <f t="shared" si="64"/>
        <v>15.6</v>
      </c>
      <c r="AX178">
        <f t="shared" si="65"/>
        <v>10.5</v>
      </c>
      <c r="AY178">
        <f t="shared" si="66"/>
        <v>26.4</v>
      </c>
      <c r="AZ178">
        <f t="shared" si="67"/>
        <v>66.400000000000006</v>
      </c>
      <c r="BA178" t="s">
        <v>104</v>
      </c>
      <c r="BB178">
        <f t="shared" si="68"/>
        <v>40.299999999999997</v>
      </c>
      <c r="BC178">
        <f t="shared" si="69"/>
        <v>12.5</v>
      </c>
      <c r="BD178">
        <f t="shared" si="70"/>
        <v>8.1</v>
      </c>
      <c r="BE178">
        <f t="shared" si="71"/>
        <v>15.2</v>
      </c>
      <c r="BF178" t="s">
        <v>104</v>
      </c>
      <c r="BG178">
        <f t="shared" si="72"/>
        <v>5</v>
      </c>
      <c r="BH178">
        <f t="shared" si="73"/>
        <v>8</v>
      </c>
      <c r="BI178">
        <f t="shared" si="74"/>
        <v>0.56000000000000005</v>
      </c>
      <c r="BJ178">
        <f t="shared" si="75"/>
        <v>2.29</v>
      </c>
      <c r="BK178">
        <f t="shared" si="76"/>
        <v>0</v>
      </c>
      <c r="BL178">
        <f t="shared" si="77"/>
        <v>0</v>
      </c>
      <c r="BM178">
        <f t="shared" si="78"/>
        <v>0.52200000000000002</v>
      </c>
      <c r="BN178">
        <f t="shared" si="79"/>
        <v>2.9169999999999998</v>
      </c>
    </row>
    <row r="179" spans="1:66" x14ac:dyDescent="0.25">
      <c r="A179">
        <v>2024</v>
      </c>
      <c r="B179" s="1">
        <f t="shared" si="81"/>
        <v>45465</v>
      </c>
      <c r="C179">
        <v>174</v>
      </c>
      <c r="D179">
        <v>70</v>
      </c>
      <c r="E179" s="6">
        <v>12.89</v>
      </c>
      <c r="F179" s="6">
        <v>14.46</v>
      </c>
      <c r="G179" s="6">
        <v>24.86</v>
      </c>
      <c r="H179" s="6">
        <v>9.18</v>
      </c>
      <c r="I179" s="6">
        <v>12.27</v>
      </c>
      <c r="J179" s="6">
        <v>15.1</v>
      </c>
      <c r="K179" s="6">
        <v>51.71</v>
      </c>
      <c r="L179" s="6"/>
      <c r="M179" s="6">
        <v>14.91</v>
      </c>
      <c r="N179" s="6">
        <v>11.21</v>
      </c>
      <c r="O179" s="6">
        <v>24.64</v>
      </c>
      <c r="P179" s="6">
        <v>89</v>
      </c>
      <c r="Q179" s="6"/>
      <c r="R179" s="6">
        <v>34.36</v>
      </c>
      <c r="S179" s="6">
        <v>12.92</v>
      </c>
      <c r="T179" s="6">
        <v>10.43</v>
      </c>
      <c r="U179" s="6">
        <v>22.85</v>
      </c>
      <c r="V179" s="6"/>
      <c r="W179" s="6">
        <v>7.7</v>
      </c>
      <c r="X179" s="6">
        <v>10.18</v>
      </c>
      <c r="Y179" s="6">
        <v>0.623</v>
      </c>
      <c r="Z179" s="6">
        <v>1.9670000000000001</v>
      </c>
      <c r="AA179" s="6">
        <v>0.8</v>
      </c>
      <c r="AB179" s="6">
        <v>1.8420000000000001</v>
      </c>
      <c r="AC179" s="6">
        <v>24.61</v>
      </c>
      <c r="AD179" s="6">
        <v>9.42</v>
      </c>
      <c r="AE179" s="6">
        <v>0.01</v>
      </c>
      <c r="AF179" s="6">
        <v>7.0000000000000001E-3</v>
      </c>
      <c r="AG179" s="6">
        <v>1.806</v>
      </c>
      <c r="AH179" s="6"/>
      <c r="AI179" s="6"/>
      <c r="AK179" s="22">
        <f t="shared" si="83"/>
        <v>0.8</v>
      </c>
      <c r="AL179">
        <f t="shared" si="82"/>
        <v>312.40000000000015</v>
      </c>
      <c r="AM179" s="4">
        <v>32.89</v>
      </c>
      <c r="AN179">
        <v>12.26</v>
      </c>
      <c r="AP179" s="7">
        <f t="shared" si="80"/>
        <v>0.70799999999999996</v>
      </c>
      <c r="AQ179" s="7">
        <f t="shared" si="60"/>
        <v>2.39</v>
      </c>
      <c r="AS179">
        <f t="shared" si="61"/>
        <v>12.26</v>
      </c>
      <c r="AT179">
        <f t="shared" si="62"/>
        <v>15.1</v>
      </c>
      <c r="AU179">
        <f t="shared" si="63"/>
        <v>51.7</v>
      </c>
      <c r="AV179" t="s">
        <v>104</v>
      </c>
      <c r="AW179">
        <f t="shared" si="64"/>
        <v>14.9</v>
      </c>
      <c r="AX179">
        <f t="shared" si="65"/>
        <v>11.2</v>
      </c>
      <c r="AY179">
        <f t="shared" si="66"/>
        <v>24.6</v>
      </c>
      <c r="AZ179">
        <f t="shared" si="67"/>
        <v>89</v>
      </c>
      <c r="BA179" t="s">
        <v>104</v>
      </c>
      <c r="BB179">
        <f t="shared" si="68"/>
        <v>34.4</v>
      </c>
      <c r="BC179">
        <f t="shared" si="69"/>
        <v>12.9</v>
      </c>
      <c r="BD179">
        <f t="shared" si="70"/>
        <v>10.4</v>
      </c>
      <c r="BE179">
        <f t="shared" si="71"/>
        <v>22.9</v>
      </c>
      <c r="BF179" t="s">
        <v>104</v>
      </c>
      <c r="BG179">
        <f t="shared" si="72"/>
        <v>7.7</v>
      </c>
      <c r="BH179">
        <f t="shared" si="73"/>
        <v>10.199999999999999</v>
      </c>
      <c r="BI179">
        <f t="shared" si="74"/>
        <v>0.62</v>
      </c>
      <c r="BJ179">
        <f t="shared" si="75"/>
        <v>1.97</v>
      </c>
      <c r="BK179">
        <f t="shared" si="76"/>
        <v>0</v>
      </c>
      <c r="BL179">
        <f t="shared" si="77"/>
        <v>0.8</v>
      </c>
      <c r="BM179">
        <f t="shared" si="78"/>
        <v>0.70799999999999996</v>
      </c>
      <c r="BN179">
        <f t="shared" si="79"/>
        <v>2.39</v>
      </c>
    </row>
    <row r="180" spans="1:66" x14ac:dyDescent="0.25">
      <c r="A180">
        <v>2024</v>
      </c>
      <c r="B180" s="1">
        <f t="shared" si="81"/>
        <v>45466</v>
      </c>
      <c r="C180">
        <v>175</v>
      </c>
      <c r="D180">
        <v>70</v>
      </c>
      <c r="E180" s="6">
        <v>12.93</v>
      </c>
      <c r="F180" s="6">
        <v>11.81</v>
      </c>
      <c r="G180" s="6">
        <v>20.37</v>
      </c>
      <c r="H180" s="6">
        <v>5.827</v>
      </c>
      <c r="I180" s="6">
        <v>20.71</v>
      </c>
      <c r="J180" s="6">
        <v>11.88</v>
      </c>
      <c r="K180" s="6">
        <v>55.98</v>
      </c>
      <c r="L180" s="6"/>
      <c r="M180" s="6">
        <v>13.06</v>
      </c>
      <c r="N180" s="6">
        <v>11.25</v>
      </c>
      <c r="O180" s="6">
        <v>19.22</v>
      </c>
      <c r="P180" s="6">
        <v>77.400000000000006</v>
      </c>
      <c r="Q180" s="6"/>
      <c r="R180" s="6">
        <v>32.229999999999997</v>
      </c>
      <c r="S180" s="6">
        <v>13.19</v>
      </c>
      <c r="T180" s="6">
        <v>6.3970000000000002</v>
      </c>
      <c r="U180" s="6">
        <v>29.17</v>
      </c>
      <c r="V180" s="6"/>
      <c r="W180" s="6">
        <v>5.0949999999999998</v>
      </c>
      <c r="X180" s="6">
        <v>10.039999999999999</v>
      </c>
      <c r="Y180" s="6">
        <v>1.141</v>
      </c>
      <c r="Z180" s="6">
        <v>3.06</v>
      </c>
      <c r="AA180" s="6">
        <v>0</v>
      </c>
      <c r="AB180" s="6">
        <v>1.8029999999999999</v>
      </c>
      <c r="AC180" s="6">
        <v>20.260000000000002</v>
      </c>
      <c r="AD180" s="6">
        <v>6.133</v>
      </c>
      <c r="AE180" s="6">
        <v>0.01</v>
      </c>
      <c r="AF180" s="6">
        <v>7.0000000000000001E-3</v>
      </c>
      <c r="AG180" s="6">
        <v>1.7809999999999999</v>
      </c>
      <c r="AH180" s="6"/>
      <c r="AI180" s="6"/>
      <c r="AK180" s="22">
        <f t="shared" si="83"/>
        <v>0</v>
      </c>
      <c r="AL180">
        <f t="shared" si="82"/>
        <v>312.40000000000015</v>
      </c>
      <c r="AM180" s="4">
        <v>32.869999999999997</v>
      </c>
      <c r="AN180">
        <v>20.7</v>
      </c>
      <c r="AP180" s="7">
        <f t="shared" si="80"/>
        <v>0.65</v>
      </c>
      <c r="AQ180" s="7">
        <f t="shared" si="60"/>
        <v>1.5780000000000001</v>
      </c>
      <c r="AS180">
        <f t="shared" si="61"/>
        <v>20.7</v>
      </c>
      <c r="AT180">
        <f t="shared" si="62"/>
        <v>11.9</v>
      </c>
      <c r="AU180">
        <f t="shared" si="63"/>
        <v>56</v>
      </c>
      <c r="AV180" t="s">
        <v>104</v>
      </c>
      <c r="AW180">
        <f t="shared" si="64"/>
        <v>13.1</v>
      </c>
      <c r="AX180">
        <f t="shared" si="65"/>
        <v>11.3</v>
      </c>
      <c r="AY180">
        <f t="shared" si="66"/>
        <v>19.2</v>
      </c>
      <c r="AZ180">
        <f t="shared" si="67"/>
        <v>77.400000000000006</v>
      </c>
      <c r="BA180" t="s">
        <v>104</v>
      </c>
      <c r="BB180">
        <f t="shared" si="68"/>
        <v>32.200000000000003</v>
      </c>
      <c r="BC180">
        <f t="shared" si="69"/>
        <v>13.2</v>
      </c>
      <c r="BD180">
        <f t="shared" si="70"/>
        <v>6.4</v>
      </c>
      <c r="BE180">
        <f t="shared" si="71"/>
        <v>29.2</v>
      </c>
      <c r="BF180" t="s">
        <v>104</v>
      </c>
      <c r="BG180">
        <f t="shared" si="72"/>
        <v>5.0999999999999996</v>
      </c>
      <c r="BH180">
        <f t="shared" si="73"/>
        <v>10</v>
      </c>
      <c r="BI180">
        <f t="shared" si="74"/>
        <v>1.1399999999999999</v>
      </c>
      <c r="BJ180">
        <f t="shared" si="75"/>
        <v>3.06</v>
      </c>
      <c r="BK180">
        <f t="shared" si="76"/>
        <v>0</v>
      </c>
      <c r="BL180">
        <f t="shared" si="77"/>
        <v>0</v>
      </c>
      <c r="BM180">
        <f t="shared" si="78"/>
        <v>0.65</v>
      </c>
      <c r="BN180">
        <f t="shared" si="79"/>
        <v>1.5780000000000001</v>
      </c>
    </row>
    <row r="181" spans="1:66" x14ac:dyDescent="0.25">
      <c r="A181">
        <v>2024</v>
      </c>
      <c r="B181" s="1">
        <f t="shared" si="81"/>
        <v>45467</v>
      </c>
      <c r="C181">
        <v>176</v>
      </c>
      <c r="D181">
        <v>70</v>
      </c>
      <c r="E181" s="6">
        <v>12.9</v>
      </c>
      <c r="F181" s="6">
        <v>9.73</v>
      </c>
      <c r="G181" s="6">
        <v>17.59</v>
      </c>
      <c r="H181" s="6">
        <v>3.9649999999999999</v>
      </c>
      <c r="I181" s="6">
        <v>11.23</v>
      </c>
      <c r="J181" s="6">
        <v>9.9700000000000006</v>
      </c>
      <c r="K181" s="6">
        <v>67.599999999999994</v>
      </c>
      <c r="L181" s="6"/>
      <c r="M181" s="6">
        <v>10.8</v>
      </c>
      <c r="N181" s="6">
        <v>10.74</v>
      </c>
      <c r="O181" s="6">
        <v>18.61</v>
      </c>
      <c r="P181" s="6">
        <v>91.9</v>
      </c>
      <c r="Q181" s="6"/>
      <c r="R181" s="6">
        <v>30.82</v>
      </c>
      <c r="S181" s="6">
        <v>12.14</v>
      </c>
      <c r="T181" s="6">
        <v>4.7229999999999999</v>
      </c>
      <c r="U181" s="6">
        <v>34.880000000000003</v>
      </c>
      <c r="V181" s="6"/>
      <c r="W181" s="6">
        <v>4.2610000000000001</v>
      </c>
      <c r="X181" s="6">
        <v>10.06</v>
      </c>
      <c r="Y181" s="6">
        <v>0.57899999999999996</v>
      </c>
      <c r="Z181" s="6">
        <v>1.8069999999999999</v>
      </c>
      <c r="AA181" s="6">
        <v>4.7</v>
      </c>
      <c r="AB181" s="6">
        <v>1.8959999999999999</v>
      </c>
      <c r="AC181" s="6">
        <v>17.07</v>
      </c>
      <c r="AD181" s="6">
        <v>4.4669999999999996</v>
      </c>
      <c r="AE181" s="6">
        <v>0.01</v>
      </c>
      <c r="AF181" s="6">
        <v>7.0000000000000001E-3</v>
      </c>
      <c r="AG181" s="6">
        <v>1.8779999999999999</v>
      </c>
      <c r="AH181" s="6"/>
      <c r="AI181" s="6"/>
      <c r="AK181" s="22">
        <f t="shared" si="83"/>
        <v>4.7</v>
      </c>
      <c r="AL181">
        <f t="shared" si="82"/>
        <v>317.10000000000014</v>
      </c>
      <c r="AM181" s="4">
        <v>32.840000000000003</v>
      </c>
      <c r="AN181">
        <v>11.22</v>
      </c>
      <c r="AP181" s="7">
        <f t="shared" si="80"/>
        <v>0.748</v>
      </c>
      <c r="AQ181" s="7">
        <f t="shared" si="60"/>
        <v>1.3959999999999999</v>
      </c>
      <c r="AS181">
        <f t="shared" si="61"/>
        <v>11.22</v>
      </c>
      <c r="AT181">
        <f t="shared" si="62"/>
        <v>10</v>
      </c>
      <c r="AU181">
        <f t="shared" si="63"/>
        <v>67.599999999999994</v>
      </c>
      <c r="AV181" t="s">
        <v>104</v>
      </c>
      <c r="AW181">
        <f t="shared" si="64"/>
        <v>10.8</v>
      </c>
      <c r="AX181">
        <f t="shared" si="65"/>
        <v>10.7</v>
      </c>
      <c r="AY181">
        <f t="shared" si="66"/>
        <v>18.600000000000001</v>
      </c>
      <c r="AZ181">
        <f t="shared" si="67"/>
        <v>91.9</v>
      </c>
      <c r="BA181" t="s">
        <v>104</v>
      </c>
      <c r="BB181">
        <f t="shared" si="68"/>
        <v>30.8</v>
      </c>
      <c r="BC181">
        <f t="shared" si="69"/>
        <v>12.1</v>
      </c>
      <c r="BD181">
        <f t="shared" si="70"/>
        <v>4.7</v>
      </c>
      <c r="BE181">
        <f t="shared" si="71"/>
        <v>34.9</v>
      </c>
      <c r="BF181" t="s">
        <v>104</v>
      </c>
      <c r="BG181">
        <f t="shared" si="72"/>
        <v>4.3</v>
      </c>
      <c r="BH181">
        <f t="shared" si="73"/>
        <v>10.1</v>
      </c>
      <c r="BI181">
        <f t="shared" si="74"/>
        <v>0.57999999999999996</v>
      </c>
      <c r="BJ181">
        <f t="shared" si="75"/>
        <v>1.81</v>
      </c>
      <c r="BK181">
        <f t="shared" si="76"/>
        <v>0</v>
      </c>
      <c r="BL181">
        <f t="shared" si="77"/>
        <v>4.7</v>
      </c>
      <c r="BM181">
        <f t="shared" si="78"/>
        <v>0.748</v>
      </c>
      <c r="BN181">
        <f t="shared" si="79"/>
        <v>1.3959999999999999</v>
      </c>
    </row>
    <row r="182" spans="1:66" x14ac:dyDescent="0.25">
      <c r="A182">
        <v>2024</v>
      </c>
      <c r="B182" s="1">
        <f t="shared" si="81"/>
        <v>45468</v>
      </c>
      <c r="C182">
        <v>177</v>
      </c>
      <c r="D182">
        <v>70</v>
      </c>
      <c r="E182" s="6">
        <v>12.97</v>
      </c>
      <c r="F182" s="6">
        <v>12.83</v>
      </c>
      <c r="G182" s="6">
        <v>25.41</v>
      </c>
      <c r="H182" s="6">
        <v>1.978</v>
      </c>
      <c r="I182" s="6">
        <v>24.48</v>
      </c>
      <c r="J182" s="6">
        <v>13.21</v>
      </c>
      <c r="K182" s="6">
        <v>61.9</v>
      </c>
      <c r="L182" s="6"/>
      <c r="M182" s="6">
        <v>13.77</v>
      </c>
      <c r="N182" s="6">
        <v>10.9</v>
      </c>
      <c r="O182" s="6">
        <v>24.1</v>
      </c>
      <c r="P182" s="6">
        <v>93.6</v>
      </c>
      <c r="Q182" s="6"/>
      <c r="R182" s="6">
        <v>37.450000000000003</v>
      </c>
      <c r="S182" s="6">
        <v>13.43</v>
      </c>
      <c r="T182" s="6">
        <v>3.3159999999999998</v>
      </c>
      <c r="U182" s="6">
        <v>23.25</v>
      </c>
      <c r="V182" s="6"/>
      <c r="W182" s="6">
        <v>2.1779999999999999</v>
      </c>
      <c r="X182" s="6">
        <v>9.25</v>
      </c>
      <c r="Y182" s="6">
        <v>0.56499999999999995</v>
      </c>
      <c r="Z182" s="6">
        <v>2.2069999999999999</v>
      </c>
      <c r="AA182" s="6">
        <v>0.1</v>
      </c>
      <c r="AB182" s="6">
        <v>1.825</v>
      </c>
      <c r="AC182" s="6">
        <v>25.44</v>
      </c>
      <c r="AD182" s="6">
        <v>2.0910000000000002</v>
      </c>
      <c r="AE182" s="6">
        <v>0.01</v>
      </c>
      <c r="AF182" s="6">
        <v>7.0000000000000001E-3</v>
      </c>
      <c r="AG182" s="6">
        <v>1.7849999999999999</v>
      </c>
      <c r="AH182" s="6"/>
      <c r="AI182" s="6"/>
      <c r="AK182" s="22">
        <f t="shared" si="83"/>
        <v>0.1</v>
      </c>
      <c r="AL182">
        <f t="shared" si="82"/>
        <v>317.20000000000016</v>
      </c>
      <c r="AM182" s="4">
        <v>32.81</v>
      </c>
      <c r="AN182">
        <v>24.47</v>
      </c>
      <c r="AP182" s="7">
        <f t="shared" si="80"/>
        <v>0.69799999999999995</v>
      </c>
      <c r="AQ182" s="7">
        <f t="shared" si="60"/>
        <v>2.3039999999999998</v>
      </c>
      <c r="AS182">
        <f t="shared" si="61"/>
        <v>24.47</v>
      </c>
      <c r="AT182">
        <f t="shared" si="62"/>
        <v>13.2</v>
      </c>
      <c r="AU182">
        <f t="shared" si="63"/>
        <v>61.9</v>
      </c>
      <c r="AV182" t="s">
        <v>104</v>
      </c>
      <c r="AW182">
        <f t="shared" si="64"/>
        <v>13.8</v>
      </c>
      <c r="AX182">
        <f t="shared" si="65"/>
        <v>10.9</v>
      </c>
      <c r="AY182">
        <f t="shared" si="66"/>
        <v>24.1</v>
      </c>
      <c r="AZ182">
        <f t="shared" si="67"/>
        <v>93.6</v>
      </c>
      <c r="BA182" t="s">
        <v>104</v>
      </c>
      <c r="BB182">
        <f t="shared" si="68"/>
        <v>37.5</v>
      </c>
      <c r="BC182">
        <f t="shared" si="69"/>
        <v>13.4</v>
      </c>
      <c r="BD182">
        <f t="shared" si="70"/>
        <v>3.3</v>
      </c>
      <c r="BE182">
        <f t="shared" si="71"/>
        <v>23.3</v>
      </c>
      <c r="BF182" t="s">
        <v>104</v>
      </c>
      <c r="BG182">
        <f t="shared" si="72"/>
        <v>2.2000000000000002</v>
      </c>
      <c r="BH182">
        <f t="shared" si="73"/>
        <v>9.3000000000000007</v>
      </c>
      <c r="BI182">
        <f t="shared" si="74"/>
        <v>0.56999999999999995</v>
      </c>
      <c r="BJ182">
        <f t="shared" si="75"/>
        <v>2.21</v>
      </c>
      <c r="BK182">
        <f t="shared" si="76"/>
        <v>0</v>
      </c>
      <c r="BL182">
        <f t="shared" si="77"/>
        <v>0.1</v>
      </c>
      <c r="BM182">
        <f t="shared" si="78"/>
        <v>0.69799999999999995</v>
      </c>
      <c r="BN182">
        <f t="shared" si="79"/>
        <v>2.3039999999999998</v>
      </c>
    </row>
    <row r="183" spans="1:66" x14ac:dyDescent="0.25">
      <c r="A183">
        <v>2024</v>
      </c>
      <c r="B183" s="1">
        <f t="shared" si="81"/>
        <v>45469</v>
      </c>
      <c r="C183">
        <v>178</v>
      </c>
      <c r="D183">
        <v>70</v>
      </c>
      <c r="E183" s="6">
        <v>12.8</v>
      </c>
      <c r="F183" s="6">
        <v>13.18</v>
      </c>
      <c r="G183" s="6">
        <v>24.33</v>
      </c>
      <c r="H183" s="6">
        <v>5.4269999999999996</v>
      </c>
      <c r="I183" s="6">
        <v>10.94</v>
      </c>
      <c r="J183" s="6">
        <v>14.08</v>
      </c>
      <c r="K183" s="6">
        <v>63.62</v>
      </c>
      <c r="L183" s="6"/>
      <c r="M183" s="6">
        <v>12.68</v>
      </c>
      <c r="N183" s="6">
        <v>11.47</v>
      </c>
      <c r="O183" s="6">
        <v>24.57</v>
      </c>
      <c r="P183" s="6">
        <v>92</v>
      </c>
      <c r="Q183" s="6"/>
      <c r="R183" s="6">
        <v>25.3</v>
      </c>
      <c r="S183" s="6">
        <v>12.98</v>
      </c>
      <c r="T183" s="6">
        <v>6.3339999999999996</v>
      </c>
      <c r="U183" s="6">
        <v>25.2</v>
      </c>
      <c r="V183" s="6"/>
      <c r="W183" s="6">
        <v>5.5010000000000003</v>
      </c>
      <c r="X183" s="6">
        <v>10.210000000000001</v>
      </c>
      <c r="Y183" s="6">
        <v>0.84099999999999997</v>
      </c>
      <c r="Z183" s="6">
        <v>2.9670000000000001</v>
      </c>
      <c r="AA183" s="6">
        <v>13.1</v>
      </c>
      <c r="AB183" s="6">
        <v>1.8979999999999999</v>
      </c>
      <c r="AC183" s="6">
        <v>24.44</v>
      </c>
      <c r="AD183" s="6">
        <v>5.7610000000000001</v>
      </c>
      <c r="AE183" s="6">
        <v>0.01</v>
      </c>
      <c r="AF183" s="6">
        <v>7.0000000000000001E-3</v>
      </c>
      <c r="AG183" s="6">
        <v>1.875</v>
      </c>
      <c r="AH183" s="6"/>
      <c r="AI183" s="6"/>
      <c r="AK183" s="22">
        <f t="shared" si="83"/>
        <v>13.1</v>
      </c>
      <c r="AL183">
        <f t="shared" si="82"/>
        <v>330.30000000000018</v>
      </c>
      <c r="AM183" s="4">
        <v>32.78</v>
      </c>
      <c r="AN183">
        <v>10.93</v>
      </c>
      <c r="AP183" s="7">
        <f t="shared" si="80"/>
        <v>0.77800000000000002</v>
      </c>
      <c r="AQ183" s="7">
        <f t="shared" si="60"/>
        <v>2.3090000000000002</v>
      </c>
      <c r="AS183">
        <f t="shared" si="61"/>
        <v>10.93</v>
      </c>
      <c r="AT183">
        <f t="shared" si="62"/>
        <v>14.1</v>
      </c>
      <c r="AU183">
        <f t="shared" si="63"/>
        <v>63.6</v>
      </c>
      <c r="AV183" t="s">
        <v>104</v>
      </c>
      <c r="AW183">
        <f t="shared" si="64"/>
        <v>12.7</v>
      </c>
      <c r="AX183">
        <f t="shared" si="65"/>
        <v>11.5</v>
      </c>
      <c r="AY183">
        <f t="shared" si="66"/>
        <v>24.6</v>
      </c>
      <c r="AZ183">
        <f t="shared" si="67"/>
        <v>92</v>
      </c>
      <c r="BA183" t="s">
        <v>104</v>
      </c>
      <c r="BB183">
        <f t="shared" si="68"/>
        <v>25.3</v>
      </c>
      <c r="BC183">
        <f t="shared" si="69"/>
        <v>13</v>
      </c>
      <c r="BD183">
        <f t="shared" si="70"/>
        <v>6.3</v>
      </c>
      <c r="BE183">
        <f t="shared" si="71"/>
        <v>25.2</v>
      </c>
      <c r="BF183" t="s">
        <v>104</v>
      </c>
      <c r="BG183">
        <f t="shared" si="72"/>
        <v>5.5</v>
      </c>
      <c r="BH183">
        <f t="shared" si="73"/>
        <v>10.199999999999999</v>
      </c>
      <c r="BI183">
        <f t="shared" si="74"/>
        <v>0.84</v>
      </c>
      <c r="BJ183">
        <f t="shared" si="75"/>
        <v>2.97</v>
      </c>
      <c r="BK183">
        <f t="shared" si="76"/>
        <v>0</v>
      </c>
      <c r="BL183">
        <f t="shared" si="77"/>
        <v>13.1</v>
      </c>
      <c r="BM183">
        <f t="shared" si="78"/>
        <v>0.77800000000000002</v>
      </c>
      <c r="BN183">
        <f t="shared" si="79"/>
        <v>2.3090000000000002</v>
      </c>
    </row>
    <row r="184" spans="1:66" x14ac:dyDescent="0.25">
      <c r="A184">
        <v>2024</v>
      </c>
      <c r="B184" s="1">
        <f t="shared" si="81"/>
        <v>45470</v>
      </c>
      <c r="C184">
        <v>179</v>
      </c>
      <c r="D184">
        <v>70</v>
      </c>
      <c r="E184" s="6">
        <v>12.93</v>
      </c>
      <c r="F184" s="6">
        <v>10.72</v>
      </c>
      <c r="G184" s="6">
        <v>20.149999999999999</v>
      </c>
      <c r="H184" s="6">
        <v>4.1680000000000001</v>
      </c>
      <c r="I184" s="6">
        <v>19.13</v>
      </c>
      <c r="J184" s="6">
        <v>10.36</v>
      </c>
      <c r="K184" s="6">
        <v>74</v>
      </c>
      <c r="L184" s="6"/>
      <c r="M184" s="6">
        <v>12.05</v>
      </c>
      <c r="N184" s="6">
        <v>11.4</v>
      </c>
      <c r="O184" s="6">
        <v>17.86</v>
      </c>
      <c r="P184" s="6">
        <v>91.7</v>
      </c>
      <c r="Q184" s="6"/>
      <c r="R184" s="6">
        <v>33.04</v>
      </c>
      <c r="S184" s="6">
        <v>13.08</v>
      </c>
      <c r="T184" s="6">
        <v>5.3339999999999996</v>
      </c>
      <c r="U184" s="6">
        <v>44.55</v>
      </c>
      <c r="V184" s="6"/>
      <c r="W184" s="6">
        <v>4.4790000000000001</v>
      </c>
      <c r="X184" s="6">
        <v>10.199999999999999</v>
      </c>
      <c r="Y184" s="6">
        <v>0.89100000000000001</v>
      </c>
      <c r="Z184" s="6">
        <v>3.0070000000000001</v>
      </c>
      <c r="AA184" s="6">
        <v>0.1</v>
      </c>
      <c r="AB184" s="6">
        <v>2.1970000000000001</v>
      </c>
      <c r="AC184" s="6">
        <v>19.670000000000002</v>
      </c>
      <c r="AD184" s="6">
        <v>4.4880000000000004</v>
      </c>
      <c r="AE184" s="6">
        <v>0.01</v>
      </c>
      <c r="AF184" s="6">
        <v>7.0000000000000001E-3</v>
      </c>
      <c r="AG184" s="6">
        <v>2.1739999999999999</v>
      </c>
      <c r="AH184" s="6"/>
      <c r="AI184" s="6"/>
      <c r="AK184" s="22">
        <f t="shared" si="83"/>
        <v>0.1</v>
      </c>
      <c r="AL184">
        <f t="shared" si="82"/>
        <v>330.4000000000002</v>
      </c>
      <c r="AM184" s="4">
        <v>32.74</v>
      </c>
      <c r="AN184">
        <v>19.12</v>
      </c>
      <c r="AP184" s="7">
        <f t="shared" si="80"/>
        <v>0.91100000000000003</v>
      </c>
      <c r="AQ184" s="7">
        <f t="shared" si="60"/>
        <v>1.1339999999999999</v>
      </c>
      <c r="AS184">
        <f t="shared" si="61"/>
        <v>19.12</v>
      </c>
      <c r="AT184">
        <f t="shared" si="62"/>
        <v>10.4</v>
      </c>
      <c r="AU184">
        <f t="shared" si="63"/>
        <v>74</v>
      </c>
      <c r="AV184" t="s">
        <v>104</v>
      </c>
      <c r="AW184">
        <f t="shared" si="64"/>
        <v>12.1</v>
      </c>
      <c r="AX184">
        <f t="shared" si="65"/>
        <v>11.4</v>
      </c>
      <c r="AY184">
        <f t="shared" si="66"/>
        <v>17.899999999999999</v>
      </c>
      <c r="AZ184">
        <f t="shared" si="67"/>
        <v>91.7</v>
      </c>
      <c r="BA184" t="s">
        <v>104</v>
      </c>
      <c r="BB184">
        <f t="shared" si="68"/>
        <v>33</v>
      </c>
      <c r="BC184">
        <f t="shared" si="69"/>
        <v>13.1</v>
      </c>
      <c r="BD184">
        <f t="shared" si="70"/>
        <v>5.3</v>
      </c>
      <c r="BE184">
        <f t="shared" si="71"/>
        <v>44.6</v>
      </c>
      <c r="BF184" t="s">
        <v>104</v>
      </c>
      <c r="BG184">
        <f t="shared" si="72"/>
        <v>4.5</v>
      </c>
      <c r="BH184">
        <f t="shared" si="73"/>
        <v>10.199999999999999</v>
      </c>
      <c r="BI184">
        <f t="shared" si="74"/>
        <v>0.89</v>
      </c>
      <c r="BJ184">
        <f t="shared" si="75"/>
        <v>3.01</v>
      </c>
      <c r="BK184">
        <f t="shared" si="76"/>
        <v>0</v>
      </c>
      <c r="BL184">
        <f t="shared" si="77"/>
        <v>0.1</v>
      </c>
      <c r="BM184">
        <f t="shared" si="78"/>
        <v>0.91100000000000003</v>
      </c>
      <c r="BN184">
        <f t="shared" si="79"/>
        <v>1.1339999999999999</v>
      </c>
    </row>
    <row r="185" spans="1:66" x14ac:dyDescent="0.25">
      <c r="A185">
        <v>2024</v>
      </c>
      <c r="B185" s="1">
        <f t="shared" si="81"/>
        <v>45471</v>
      </c>
      <c r="C185">
        <v>180</v>
      </c>
      <c r="D185">
        <v>70</v>
      </c>
      <c r="E185" s="6">
        <v>12.94</v>
      </c>
      <c r="F185" s="6">
        <v>12.9</v>
      </c>
      <c r="G185" s="6">
        <v>23.65</v>
      </c>
      <c r="H185" s="6">
        <v>4.0519999999999996</v>
      </c>
      <c r="I185" s="6">
        <v>18.559999999999999</v>
      </c>
      <c r="J185" s="6">
        <v>12.99</v>
      </c>
      <c r="K185" s="6">
        <v>66.38</v>
      </c>
      <c r="L185" s="6"/>
      <c r="M185" s="6">
        <v>14.13</v>
      </c>
      <c r="N185" s="6">
        <v>11.81</v>
      </c>
      <c r="O185" s="6">
        <v>22.89</v>
      </c>
      <c r="P185" s="6">
        <v>88.8</v>
      </c>
      <c r="Q185" s="6"/>
      <c r="R185" s="6">
        <v>36.32</v>
      </c>
      <c r="S185" s="6">
        <v>13.98</v>
      </c>
      <c r="T185" s="6">
        <v>4.93</v>
      </c>
      <c r="U185" s="6">
        <v>36.82</v>
      </c>
      <c r="V185" s="6"/>
      <c r="W185" s="6">
        <v>3.8769999999999998</v>
      </c>
      <c r="X185" s="6">
        <v>10.67</v>
      </c>
      <c r="Y185" s="6">
        <v>0.56100000000000005</v>
      </c>
      <c r="Z185" s="6">
        <v>3.34</v>
      </c>
      <c r="AA185" s="6">
        <v>0</v>
      </c>
      <c r="AB185" s="6">
        <v>1.851</v>
      </c>
      <c r="AC185" s="6">
        <v>23.07</v>
      </c>
      <c r="AD185" s="6">
        <v>4.2370000000000001</v>
      </c>
      <c r="AE185" s="6">
        <v>0.01</v>
      </c>
      <c r="AF185" s="6">
        <v>7.0000000000000001E-3</v>
      </c>
      <c r="AG185" s="6">
        <v>1.8069999999999999</v>
      </c>
      <c r="AH185" s="6"/>
      <c r="AI185" s="6"/>
      <c r="AK185" s="22">
        <f t="shared" si="83"/>
        <v>0</v>
      </c>
      <c r="AL185">
        <f t="shared" si="82"/>
        <v>330.4000000000002</v>
      </c>
      <c r="AM185" s="4">
        <v>32.700000000000003</v>
      </c>
      <c r="AN185">
        <v>18.55</v>
      </c>
      <c r="AP185" s="7">
        <f t="shared" si="80"/>
        <v>1.0269999999999999</v>
      </c>
      <c r="AQ185" s="7">
        <f t="shared" si="60"/>
        <v>1.762</v>
      </c>
      <c r="AS185">
        <f t="shared" si="61"/>
        <v>18.55</v>
      </c>
      <c r="AT185">
        <f t="shared" si="62"/>
        <v>13</v>
      </c>
      <c r="AU185">
        <f t="shared" si="63"/>
        <v>66.400000000000006</v>
      </c>
      <c r="AV185" t="s">
        <v>104</v>
      </c>
      <c r="AW185">
        <f t="shared" si="64"/>
        <v>14.1</v>
      </c>
      <c r="AX185">
        <f t="shared" si="65"/>
        <v>11.8</v>
      </c>
      <c r="AY185">
        <f t="shared" si="66"/>
        <v>22.9</v>
      </c>
      <c r="AZ185">
        <f t="shared" si="67"/>
        <v>88.8</v>
      </c>
      <c r="BA185" t="s">
        <v>104</v>
      </c>
      <c r="BB185">
        <f t="shared" si="68"/>
        <v>36.299999999999997</v>
      </c>
      <c r="BC185">
        <f t="shared" si="69"/>
        <v>14</v>
      </c>
      <c r="BD185">
        <f t="shared" si="70"/>
        <v>4.9000000000000004</v>
      </c>
      <c r="BE185">
        <f t="shared" si="71"/>
        <v>36.799999999999997</v>
      </c>
      <c r="BF185" t="s">
        <v>104</v>
      </c>
      <c r="BG185">
        <f t="shared" si="72"/>
        <v>3.9</v>
      </c>
      <c r="BH185">
        <f t="shared" si="73"/>
        <v>10.7</v>
      </c>
      <c r="BI185">
        <f t="shared" si="74"/>
        <v>0.56000000000000005</v>
      </c>
      <c r="BJ185">
        <f t="shared" si="75"/>
        <v>3.34</v>
      </c>
      <c r="BK185">
        <f t="shared" si="76"/>
        <v>0</v>
      </c>
      <c r="BL185">
        <f t="shared" si="77"/>
        <v>0</v>
      </c>
      <c r="BM185">
        <f t="shared" si="78"/>
        <v>1.0269999999999999</v>
      </c>
      <c r="BN185">
        <f t="shared" si="79"/>
        <v>1.762</v>
      </c>
    </row>
    <row r="186" spans="1:66" x14ac:dyDescent="0.25">
      <c r="A186">
        <v>2024</v>
      </c>
      <c r="B186" s="1">
        <f t="shared" si="81"/>
        <v>45472</v>
      </c>
      <c r="C186">
        <v>181</v>
      </c>
      <c r="D186">
        <v>70</v>
      </c>
      <c r="E186" s="6">
        <v>12.91</v>
      </c>
      <c r="F186" s="6">
        <v>15.41</v>
      </c>
      <c r="G186" s="6">
        <v>23.54</v>
      </c>
      <c r="H186" s="6">
        <v>8.5500000000000007</v>
      </c>
      <c r="I186" s="6">
        <v>14.66</v>
      </c>
      <c r="J186" s="6">
        <v>15.81</v>
      </c>
      <c r="K186" s="6">
        <v>58.49</v>
      </c>
      <c r="L186" s="6"/>
      <c r="M186" s="6">
        <v>16.34</v>
      </c>
      <c r="N186" s="6">
        <v>12.33</v>
      </c>
      <c r="O186" s="6">
        <v>22.83</v>
      </c>
      <c r="P186" s="6">
        <v>77.7</v>
      </c>
      <c r="Q186" s="6"/>
      <c r="R186" s="6">
        <v>35.369999999999997</v>
      </c>
      <c r="S186" s="6">
        <v>13.38</v>
      </c>
      <c r="T186" s="6">
        <v>9.6199999999999992</v>
      </c>
      <c r="U186" s="6">
        <v>32.659999999999997</v>
      </c>
      <c r="V186" s="6"/>
      <c r="W186" s="6">
        <v>8.5</v>
      </c>
      <c r="X186" s="6">
        <v>11.26</v>
      </c>
      <c r="Y186" s="6">
        <v>0.437</v>
      </c>
      <c r="Z186" s="6">
        <v>1.98</v>
      </c>
      <c r="AA186" s="6">
        <v>0</v>
      </c>
      <c r="AB186" s="6">
        <v>1.841</v>
      </c>
      <c r="AC186" s="6">
        <v>23.49</v>
      </c>
      <c r="AD186" s="6">
        <v>8.8699999999999992</v>
      </c>
      <c r="AE186" s="6">
        <v>0.01</v>
      </c>
      <c r="AF186" s="6">
        <v>7.0000000000000001E-3</v>
      </c>
      <c r="AG186" s="6">
        <v>1.7949999999999999</v>
      </c>
      <c r="AH186" s="6"/>
      <c r="AI186" s="6"/>
      <c r="AK186" s="22">
        <f t="shared" si="83"/>
        <v>0</v>
      </c>
      <c r="AL186">
        <f t="shared" si="82"/>
        <v>330.4000000000002</v>
      </c>
      <c r="AM186" s="4">
        <v>32.65</v>
      </c>
      <c r="AN186">
        <v>14.66</v>
      </c>
      <c r="AP186" s="7">
        <f t="shared" si="80"/>
        <v>0.90800000000000003</v>
      </c>
      <c r="AQ186" s="7">
        <f t="shared" si="60"/>
        <v>1.8720000000000001</v>
      </c>
      <c r="AS186">
        <f t="shared" si="61"/>
        <v>14.66</v>
      </c>
      <c r="AT186">
        <f t="shared" si="62"/>
        <v>15.8</v>
      </c>
      <c r="AU186">
        <f t="shared" si="63"/>
        <v>58.5</v>
      </c>
      <c r="AV186" t="s">
        <v>104</v>
      </c>
      <c r="AW186">
        <f t="shared" si="64"/>
        <v>16.3</v>
      </c>
      <c r="AX186">
        <f t="shared" si="65"/>
        <v>12.3</v>
      </c>
      <c r="AY186">
        <f t="shared" si="66"/>
        <v>22.8</v>
      </c>
      <c r="AZ186">
        <f t="shared" si="67"/>
        <v>77.7</v>
      </c>
      <c r="BA186" t="s">
        <v>104</v>
      </c>
      <c r="BB186">
        <f t="shared" si="68"/>
        <v>35.4</v>
      </c>
      <c r="BC186">
        <f t="shared" si="69"/>
        <v>13.4</v>
      </c>
      <c r="BD186">
        <f t="shared" si="70"/>
        <v>9.6</v>
      </c>
      <c r="BE186">
        <f t="shared" si="71"/>
        <v>32.700000000000003</v>
      </c>
      <c r="BF186" t="s">
        <v>104</v>
      </c>
      <c r="BG186">
        <f t="shared" si="72"/>
        <v>8.5</v>
      </c>
      <c r="BH186">
        <f t="shared" si="73"/>
        <v>11.3</v>
      </c>
      <c r="BI186">
        <f t="shared" si="74"/>
        <v>0.44</v>
      </c>
      <c r="BJ186">
        <f t="shared" si="75"/>
        <v>1.98</v>
      </c>
      <c r="BK186">
        <f t="shared" si="76"/>
        <v>0</v>
      </c>
      <c r="BL186">
        <f t="shared" si="77"/>
        <v>0</v>
      </c>
      <c r="BM186">
        <f t="shared" si="78"/>
        <v>0.90800000000000003</v>
      </c>
      <c r="BN186">
        <f t="shared" si="79"/>
        <v>1.8720000000000001</v>
      </c>
    </row>
    <row r="187" spans="1:66" x14ac:dyDescent="0.25">
      <c r="A187">
        <v>2024</v>
      </c>
      <c r="B187" s="1">
        <f t="shared" si="81"/>
        <v>45473</v>
      </c>
      <c r="C187">
        <v>182</v>
      </c>
      <c r="D187">
        <v>70</v>
      </c>
      <c r="E187" s="6">
        <v>12.93</v>
      </c>
      <c r="F187" s="6">
        <v>11.75</v>
      </c>
      <c r="G187" s="6">
        <v>18.149999999999999</v>
      </c>
      <c r="H187" s="6">
        <v>9.1</v>
      </c>
      <c r="I187" s="6">
        <v>9.14</v>
      </c>
      <c r="J187" s="6">
        <v>11.85</v>
      </c>
      <c r="K187" s="6">
        <v>86.2</v>
      </c>
      <c r="L187" s="6"/>
      <c r="M187" s="6">
        <v>12.55</v>
      </c>
      <c r="N187" s="6">
        <v>12.22</v>
      </c>
      <c r="O187" s="6">
        <v>17.27</v>
      </c>
      <c r="P187" s="6">
        <v>92.3</v>
      </c>
      <c r="Q187" s="6"/>
      <c r="R187" s="6">
        <v>25.14</v>
      </c>
      <c r="S187" s="6">
        <v>12.92</v>
      </c>
      <c r="T187" s="6">
        <v>9.49</v>
      </c>
      <c r="U187" s="6">
        <v>61.84</v>
      </c>
      <c r="V187" s="6"/>
      <c r="W187" s="6">
        <v>9.75</v>
      </c>
      <c r="X187" s="6">
        <v>11.59</v>
      </c>
      <c r="Y187" s="6">
        <v>0.44900000000000001</v>
      </c>
      <c r="Z187" s="6">
        <v>1.58</v>
      </c>
      <c r="AA187" s="6">
        <v>19.399999999999999</v>
      </c>
      <c r="AB187" s="6">
        <v>1.9059999999999999</v>
      </c>
      <c r="AC187" s="6">
        <v>18.05</v>
      </c>
      <c r="AD187" s="6">
        <v>9.34</v>
      </c>
      <c r="AE187" s="6">
        <v>0.01</v>
      </c>
      <c r="AF187" s="6">
        <v>7.0000000000000001E-3</v>
      </c>
      <c r="AG187" s="6">
        <v>1.87</v>
      </c>
      <c r="AH187" s="6"/>
      <c r="AI187" s="6"/>
      <c r="AK187" s="22">
        <f t="shared" si="83"/>
        <v>19.399999999999999</v>
      </c>
      <c r="AL187">
        <f t="shared" si="82"/>
        <v>349.80000000000018</v>
      </c>
      <c r="AM187" s="4">
        <v>32.6</v>
      </c>
      <c r="AN187">
        <v>9.1300000000000008</v>
      </c>
      <c r="AP187" s="7">
        <f t="shared" si="80"/>
        <v>1.2190000000000001</v>
      </c>
      <c r="AQ187" s="7">
        <f t="shared" si="60"/>
        <v>0.752</v>
      </c>
      <c r="AS187">
        <f t="shared" si="61"/>
        <v>9.1300000000000008</v>
      </c>
      <c r="AT187">
        <f t="shared" si="62"/>
        <v>11.9</v>
      </c>
      <c r="AU187">
        <f t="shared" si="63"/>
        <v>86.2</v>
      </c>
      <c r="AV187" t="s">
        <v>104</v>
      </c>
      <c r="AW187">
        <f t="shared" si="64"/>
        <v>12.6</v>
      </c>
      <c r="AX187">
        <f t="shared" si="65"/>
        <v>12.2</v>
      </c>
      <c r="AY187">
        <f t="shared" si="66"/>
        <v>17.3</v>
      </c>
      <c r="AZ187">
        <f t="shared" si="67"/>
        <v>92.3</v>
      </c>
      <c r="BA187" t="s">
        <v>104</v>
      </c>
      <c r="BB187">
        <f t="shared" si="68"/>
        <v>25.1</v>
      </c>
      <c r="BC187">
        <f t="shared" si="69"/>
        <v>12.9</v>
      </c>
      <c r="BD187">
        <f t="shared" si="70"/>
        <v>9.5</v>
      </c>
      <c r="BE187">
        <f t="shared" si="71"/>
        <v>61.8</v>
      </c>
      <c r="BF187" t="s">
        <v>104</v>
      </c>
      <c r="BG187">
        <f t="shared" si="72"/>
        <v>9.8000000000000007</v>
      </c>
      <c r="BH187">
        <f t="shared" si="73"/>
        <v>11.6</v>
      </c>
      <c r="BI187">
        <f t="shared" si="74"/>
        <v>0.45</v>
      </c>
      <c r="BJ187">
        <f t="shared" si="75"/>
        <v>1.58</v>
      </c>
      <c r="BK187">
        <f t="shared" si="76"/>
        <v>0</v>
      </c>
      <c r="BL187">
        <f t="shared" si="77"/>
        <v>19.399999999999999</v>
      </c>
      <c r="BM187">
        <f t="shared" si="78"/>
        <v>1.2190000000000001</v>
      </c>
      <c r="BN187">
        <f t="shared" si="79"/>
        <v>0.752</v>
      </c>
    </row>
    <row r="188" spans="1:66" x14ac:dyDescent="0.25">
      <c r="A188">
        <v>2024</v>
      </c>
      <c r="B188" s="1">
        <f t="shared" si="81"/>
        <v>45474</v>
      </c>
      <c r="C188">
        <v>183</v>
      </c>
      <c r="D188">
        <v>70</v>
      </c>
      <c r="E188" s="6">
        <v>12.97</v>
      </c>
      <c r="F188" s="6">
        <v>12.27</v>
      </c>
      <c r="G188" s="6">
        <v>21.42</v>
      </c>
      <c r="H188" s="6">
        <v>8.83</v>
      </c>
      <c r="I188" s="6">
        <v>15.13</v>
      </c>
      <c r="J188" s="6">
        <v>12.3</v>
      </c>
      <c r="K188" s="6">
        <v>82.6</v>
      </c>
      <c r="L188" s="6"/>
      <c r="M188" s="6">
        <v>13.23</v>
      </c>
      <c r="N188" s="6">
        <v>12.56</v>
      </c>
      <c r="O188" s="6">
        <v>20.21</v>
      </c>
      <c r="P188" s="6">
        <v>92.6</v>
      </c>
      <c r="Q188" s="6"/>
      <c r="R188" s="6">
        <v>33.33</v>
      </c>
      <c r="S188" s="6">
        <v>14.54</v>
      </c>
      <c r="T188" s="6">
        <v>9.42</v>
      </c>
      <c r="U188" s="6">
        <v>44.48</v>
      </c>
      <c r="V188" s="6"/>
      <c r="W188" s="6">
        <v>8.93</v>
      </c>
      <c r="X188" s="6">
        <v>11.1</v>
      </c>
      <c r="Y188" s="6">
        <v>0.623</v>
      </c>
      <c r="Z188" s="6">
        <v>2.38</v>
      </c>
      <c r="AA188" s="6">
        <v>3.7</v>
      </c>
      <c r="AB188" s="6">
        <v>1.9019999999999999</v>
      </c>
      <c r="AC188" s="6">
        <v>20.63</v>
      </c>
      <c r="AD188" s="6">
        <v>9.06</v>
      </c>
      <c r="AE188" s="6">
        <v>0.01</v>
      </c>
      <c r="AF188" s="6">
        <v>7.0000000000000001E-3</v>
      </c>
      <c r="AG188" s="6">
        <v>1.8680000000000001</v>
      </c>
      <c r="AH188" s="6"/>
      <c r="AI188" s="6"/>
      <c r="AK188" s="22">
        <f t="shared" si="83"/>
        <v>3.7</v>
      </c>
      <c r="AL188">
        <f t="shared" si="82"/>
        <v>353.50000000000017</v>
      </c>
      <c r="AM188" s="4">
        <v>32.54</v>
      </c>
      <c r="AN188">
        <v>15.12</v>
      </c>
      <c r="AP188" s="7">
        <f t="shared" si="80"/>
        <v>1.0529999999999999</v>
      </c>
      <c r="AQ188" s="7">
        <f t="shared" si="60"/>
        <v>1.3140000000000001</v>
      </c>
      <c r="AS188">
        <f t="shared" si="61"/>
        <v>15.12</v>
      </c>
      <c r="AT188">
        <f t="shared" si="62"/>
        <v>12.3</v>
      </c>
      <c r="AU188">
        <f t="shared" si="63"/>
        <v>82.6</v>
      </c>
      <c r="AV188" t="s">
        <v>104</v>
      </c>
      <c r="AW188">
        <f t="shared" si="64"/>
        <v>13.2</v>
      </c>
      <c r="AX188">
        <f t="shared" si="65"/>
        <v>12.6</v>
      </c>
      <c r="AY188">
        <f t="shared" si="66"/>
        <v>20.2</v>
      </c>
      <c r="AZ188">
        <f t="shared" si="67"/>
        <v>92.6</v>
      </c>
      <c r="BA188" t="s">
        <v>104</v>
      </c>
      <c r="BB188">
        <f t="shared" si="68"/>
        <v>33.299999999999997</v>
      </c>
      <c r="BC188">
        <f t="shared" si="69"/>
        <v>14.5</v>
      </c>
      <c r="BD188">
        <f t="shared" si="70"/>
        <v>9.4</v>
      </c>
      <c r="BE188">
        <f t="shared" si="71"/>
        <v>44.5</v>
      </c>
      <c r="BF188" t="s">
        <v>104</v>
      </c>
      <c r="BG188">
        <f t="shared" si="72"/>
        <v>8.9</v>
      </c>
      <c r="BH188">
        <f t="shared" si="73"/>
        <v>11.1</v>
      </c>
      <c r="BI188">
        <f t="shared" si="74"/>
        <v>0.62</v>
      </c>
      <c r="BJ188">
        <f t="shared" si="75"/>
        <v>2.38</v>
      </c>
      <c r="BK188">
        <f t="shared" si="76"/>
        <v>0</v>
      </c>
      <c r="BL188">
        <f t="shared" si="77"/>
        <v>3.7</v>
      </c>
      <c r="BM188">
        <f t="shared" si="78"/>
        <v>1.0529999999999999</v>
      </c>
      <c r="BN188">
        <f t="shared" si="79"/>
        <v>1.3140000000000001</v>
      </c>
    </row>
    <row r="189" spans="1:66" x14ac:dyDescent="0.25">
      <c r="A189">
        <v>2024</v>
      </c>
      <c r="B189" s="1">
        <f t="shared" si="81"/>
        <v>45475</v>
      </c>
      <c r="C189">
        <v>184</v>
      </c>
      <c r="D189">
        <v>70</v>
      </c>
      <c r="E189" s="6">
        <v>12.94</v>
      </c>
      <c r="F189" s="6">
        <v>12.03</v>
      </c>
      <c r="G189" s="6">
        <v>21.34</v>
      </c>
      <c r="H189" s="6">
        <v>4.3609999999999998</v>
      </c>
      <c r="I189" s="6">
        <v>18.39</v>
      </c>
      <c r="J189" s="6">
        <v>12.04</v>
      </c>
      <c r="K189" s="6">
        <v>75.2</v>
      </c>
      <c r="L189" s="6"/>
      <c r="M189" s="6">
        <v>13.04</v>
      </c>
      <c r="N189" s="6">
        <v>12.81</v>
      </c>
      <c r="O189" s="6">
        <v>19.940000000000001</v>
      </c>
      <c r="P189" s="6">
        <v>92.7</v>
      </c>
      <c r="Q189" s="6"/>
      <c r="R189" s="6">
        <v>32.01</v>
      </c>
      <c r="S189" s="6">
        <v>14.45</v>
      </c>
      <c r="T189" s="6">
        <v>5.8719999999999999</v>
      </c>
      <c r="U189" s="6">
        <v>40.520000000000003</v>
      </c>
      <c r="V189" s="6"/>
      <c r="W189" s="6">
        <v>5.056</v>
      </c>
      <c r="X189" s="6">
        <v>11.63</v>
      </c>
      <c r="Y189" s="6">
        <v>0.70899999999999996</v>
      </c>
      <c r="Z189" s="6">
        <v>2.42</v>
      </c>
      <c r="AA189" s="6">
        <v>3.3</v>
      </c>
      <c r="AB189" s="6">
        <v>1.8939999999999999</v>
      </c>
      <c r="AC189" s="6">
        <v>20.78</v>
      </c>
      <c r="AD189" s="6">
        <v>4.5720000000000001</v>
      </c>
      <c r="AE189" s="6">
        <v>0.01</v>
      </c>
      <c r="AF189" s="6">
        <v>7.0000000000000001E-3</v>
      </c>
      <c r="AG189" s="6">
        <v>1.8720000000000001</v>
      </c>
      <c r="AH189" s="6"/>
      <c r="AI189" s="6"/>
      <c r="AK189" s="22">
        <f t="shared" si="83"/>
        <v>3.3</v>
      </c>
      <c r="AL189">
        <f t="shared" si="82"/>
        <v>356.80000000000018</v>
      </c>
      <c r="AM189" s="4">
        <v>32.49</v>
      </c>
      <c r="AN189">
        <v>18.38</v>
      </c>
      <c r="AP189" s="7">
        <f t="shared" si="80"/>
        <v>0.94399999999999995</v>
      </c>
      <c r="AQ189" s="7">
        <f t="shared" si="60"/>
        <v>1.3859999999999999</v>
      </c>
      <c r="AS189">
        <f t="shared" si="61"/>
        <v>18.38</v>
      </c>
      <c r="AT189">
        <f t="shared" si="62"/>
        <v>12</v>
      </c>
      <c r="AU189">
        <f t="shared" si="63"/>
        <v>75.2</v>
      </c>
      <c r="AV189" t="s">
        <v>104</v>
      </c>
      <c r="AW189">
        <f t="shared" si="64"/>
        <v>13</v>
      </c>
      <c r="AX189">
        <f t="shared" si="65"/>
        <v>12.8</v>
      </c>
      <c r="AY189">
        <f t="shared" si="66"/>
        <v>19.899999999999999</v>
      </c>
      <c r="AZ189">
        <f t="shared" si="67"/>
        <v>92.7</v>
      </c>
      <c r="BA189" t="s">
        <v>104</v>
      </c>
      <c r="BB189">
        <f t="shared" si="68"/>
        <v>32</v>
      </c>
      <c r="BC189">
        <f t="shared" si="69"/>
        <v>14.5</v>
      </c>
      <c r="BD189">
        <f t="shared" si="70"/>
        <v>5.9</v>
      </c>
      <c r="BE189">
        <f t="shared" si="71"/>
        <v>40.5</v>
      </c>
      <c r="BF189" t="s">
        <v>104</v>
      </c>
      <c r="BG189">
        <f t="shared" si="72"/>
        <v>5.0999999999999996</v>
      </c>
      <c r="BH189">
        <f t="shared" si="73"/>
        <v>11.6</v>
      </c>
      <c r="BI189">
        <f t="shared" si="74"/>
        <v>0.71</v>
      </c>
      <c r="BJ189">
        <f t="shared" si="75"/>
        <v>2.42</v>
      </c>
      <c r="BK189">
        <f t="shared" si="76"/>
        <v>0</v>
      </c>
      <c r="BL189">
        <f t="shared" si="77"/>
        <v>3.3</v>
      </c>
      <c r="BM189">
        <f t="shared" si="78"/>
        <v>0.94399999999999995</v>
      </c>
      <c r="BN189">
        <f t="shared" si="79"/>
        <v>1.3859999999999999</v>
      </c>
    </row>
    <row r="190" spans="1:66" x14ac:dyDescent="0.25">
      <c r="A190">
        <v>2024</v>
      </c>
      <c r="B190" s="1">
        <f t="shared" si="81"/>
        <v>45476</v>
      </c>
      <c r="C190" s="2">
        <v>185</v>
      </c>
      <c r="D190">
        <v>70</v>
      </c>
      <c r="E190" s="6">
        <v>12.95</v>
      </c>
      <c r="F190" s="6">
        <v>12.74</v>
      </c>
      <c r="G190" s="6">
        <v>24.61</v>
      </c>
      <c r="H190" s="6">
        <v>4.016</v>
      </c>
      <c r="I190" s="6">
        <v>22.46</v>
      </c>
      <c r="J190" s="6">
        <v>13.07</v>
      </c>
      <c r="K190" s="6">
        <v>58.21</v>
      </c>
      <c r="L190" s="6"/>
      <c r="M190" s="6">
        <v>14.11</v>
      </c>
      <c r="N190" s="6">
        <v>12.43</v>
      </c>
      <c r="O190" s="6">
        <v>22.56</v>
      </c>
      <c r="P190" s="6">
        <v>89.9</v>
      </c>
      <c r="Q190" s="6"/>
      <c r="R190" s="6">
        <v>37.520000000000003</v>
      </c>
      <c r="S190" s="6">
        <v>14.29</v>
      </c>
      <c r="T190" s="6">
        <v>5.0650000000000004</v>
      </c>
      <c r="U190" s="6">
        <v>26.74</v>
      </c>
      <c r="V190" s="6"/>
      <c r="W190" s="6">
        <v>3.7290000000000001</v>
      </c>
      <c r="X190" s="6">
        <v>10.89</v>
      </c>
      <c r="Y190" s="6">
        <v>0.90100000000000002</v>
      </c>
      <c r="Z190" s="6">
        <v>2.9140000000000001</v>
      </c>
      <c r="AA190" s="6">
        <v>0</v>
      </c>
      <c r="AB190" s="6">
        <v>1.855</v>
      </c>
      <c r="AC190" s="6">
        <v>24.01</v>
      </c>
      <c r="AD190" s="6">
        <v>4.258</v>
      </c>
      <c r="AE190" s="6">
        <v>0.01</v>
      </c>
      <c r="AF190" s="6">
        <v>7.0000000000000001E-3</v>
      </c>
      <c r="AG190" s="6">
        <v>1.8260000000000001</v>
      </c>
      <c r="AH190" s="6"/>
      <c r="AI190" s="6"/>
      <c r="AK190" s="22">
        <f t="shared" si="83"/>
        <v>0</v>
      </c>
      <c r="AL190">
        <f t="shared" si="82"/>
        <v>356.80000000000018</v>
      </c>
      <c r="AM190" s="4">
        <v>32.42</v>
      </c>
      <c r="AN190">
        <v>22.46</v>
      </c>
      <c r="AP190" s="7">
        <f t="shared" si="80"/>
        <v>0.73099999999999998</v>
      </c>
      <c r="AQ190" s="7">
        <f t="shared" si="60"/>
        <v>2.0030000000000001</v>
      </c>
      <c r="AS190">
        <f t="shared" si="61"/>
        <v>22.46</v>
      </c>
      <c r="AT190">
        <f t="shared" si="62"/>
        <v>13.1</v>
      </c>
      <c r="AU190">
        <f t="shared" si="63"/>
        <v>58.2</v>
      </c>
      <c r="AV190" t="s">
        <v>104</v>
      </c>
      <c r="AW190">
        <f t="shared" si="64"/>
        <v>14.1</v>
      </c>
      <c r="AX190">
        <f t="shared" si="65"/>
        <v>12.4</v>
      </c>
      <c r="AY190">
        <f t="shared" si="66"/>
        <v>22.6</v>
      </c>
      <c r="AZ190">
        <f t="shared" si="67"/>
        <v>89.9</v>
      </c>
      <c r="BA190" t="s">
        <v>104</v>
      </c>
      <c r="BB190">
        <f t="shared" si="68"/>
        <v>37.5</v>
      </c>
      <c r="BC190">
        <f t="shared" si="69"/>
        <v>14.3</v>
      </c>
      <c r="BD190">
        <f t="shared" si="70"/>
        <v>5.0999999999999996</v>
      </c>
      <c r="BE190">
        <f t="shared" si="71"/>
        <v>26.7</v>
      </c>
      <c r="BF190" t="s">
        <v>104</v>
      </c>
      <c r="BG190">
        <f t="shared" si="72"/>
        <v>3.7</v>
      </c>
      <c r="BH190">
        <f t="shared" si="73"/>
        <v>10.9</v>
      </c>
      <c r="BI190">
        <f t="shared" si="74"/>
        <v>0.9</v>
      </c>
      <c r="BJ190">
        <f t="shared" si="75"/>
        <v>2.91</v>
      </c>
      <c r="BK190">
        <f t="shared" si="76"/>
        <v>0</v>
      </c>
      <c r="BL190">
        <f t="shared" si="77"/>
        <v>0</v>
      </c>
      <c r="BM190">
        <f t="shared" si="78"/>
        <v>0.73099999999999998</v>
      </c>
      <c r="BN190">
        <f t="shared" si="79"/>
        <v>2.0030000000000001</v>
      </c>
    </row>
    <row r="191" spans="1:66" x14ac:dyDescent="0.25">
      <c r="A191">
        <v>2024</v>
      </c>
      <c r="B191" s="1">
        <f t="shared" si="81"/>
        <v>45477</v>
      </c>
      <c r="C191" s="2">
        <v>186</v>
      </c>
      <c r="D191">
        <v>70</v>
      </c>
      <c r="E191" s="6">
        <v>12.93</v>
      </c>
      <c r="F191" s="6">
        <v>15.78</v>
      </c>
      <c r="G191" s="6">
        <v>28.12</v>
      </c>
      <c r="H191" s="6">
        <v>5.4660000000000002</v>
      </c>
      <c r="I191" s="6">
        <v>23.89</v>
      </c>
      <c r="J191" s="6">
        <v>16.36</v>
      </c>
      <c r="K191" s="6">
        <v>47.88</v>
      </c>
      <c r="L191" s="6"/>
      <c r="M191" s="6">
        <v>17.07</v>
      </c>
      <c r="N191" s="6">
        <v>12.68</v>
      </c>
      <c r="O191" s="6">
        <v>26.12</v>
      </c>
      <c r="P191" s="6">
        <v>76.2</v>
      </c>
      <c r="Q191" s="6"/>
      <c r="R191" s="6">
        <v>40.880000000000003</v>
      </c>
      <c r="S191" s="6">
        <v>14.55</v>
      </c>
      <c r="T191" s="6">
        <v>7.14</v>
      </c>
      <c r="U191" s="6">
        <v>18.14</v>
      </c>
      <c r="V191" s="6"/>
      <c r="W191" s="6">
        <v>5.4989999999999997</v>
      </c>
      <c r="X191" s="6">
        <v>10.78</v>
      </c>
      <c r="Y191" s="6">
        <v>0.57799999999999996</v>
      </c>
      <c r="Z191" s="6">
        <v>2.5270000000000001</v>
      </c>
      <c r="AA191" s="6">
        <v>0</v>
      </c>
      <c r="AB191" s="6">
        <v>1.8440000000000001</v>
      </c>
      <c r="AC191" s="6">
        <v>28.12</v>
      </c>
      <c r="AD191" s="6">
        <v>5.6740000000000004</v>
      </c>
      <c r="AE191" s="6">
        <v>0.01</v>
      </c>
      <c r="AF191" s="6">
        <v>7.0000000000000001E-3</v>
      </c>
      <c r="AG191" s="6">
        <v>1.8</v>
      </c>
      <c r="AH191" s="6"/>
      <c r="AI191" s="6"/>
      <c r="AK191" s="22">
        <f t="shared" si="83"/>
        <v>0</v>
      </c>
      <c r="AL191">
        <f t="shared" si="82"/>
        <v>356.80000000000018</v>
      </c>
      <c r="AM191" s="4">
        <v>32.35</v>
      </c>
      <c r="AN191">
        <v>23.89</v>
      </c>
      <c r="AP191" s="7">
        <f t="shared" si="80"/>
        <v>0.61399999999999999</v>
      </c>
      <c r="AQ191" s="7">
        <f t="shared" si="60"/>
        <v>2.7709999999999999</v>
      </c>
      <c r="AS191">
        <f t="shared" si="61"/>
        <v>23.89</v>
      </c>
      <c r="AT191">
        <f t="shared" si="62"/>
        <v>16.399999999999999</v>
      </c>
      <c r="AU191">
        <f t="shared" si="63"/>
        <v>47.9</v>
      </c>
      <c r="AV191" t="s">
        <v>104</v>
      </c>
      <c r="AW191">
        <f t="shared" si="64"/>
        <v>17.100000000000001</v>
      </c>
      <c r="AX191">
        <f t="shared" si="65"/>
        <v>12.7</v>
      </c>
      <c r="AY191">
        <f t="shared" si="66"/>
        <v>26.1</v>
      </c>
      <c r="AZ191">
        <f t="shared" si="67"/>
        <v>76.2</v>
      </c>
      <c r="BA191" t="s">
        <v>104</v>
      </c>
      <c r="BB191">
        <f t="shared" si="68"/>
        <v>40.9</v>
      </c>
      <c r="BC191">
        <f t="shared" si="69"/>
        <v>14.6</v>
      </c>
      <c r="BD191">
        <f t="shared" si="70"/>
        <v>7.1</v>
      </c>
      <c r="BE191">
        <f t="shared" si="71"/>
        <v>18.100000000000001</v>
      </c>
      <c r="BF191" t="s">
        <v>104</v>
      </c>
      <c r="BG191">
        <f t="shared" si="72"/>
        <v>5.5</v>
      </c>
      <c r="BH191">
        <f t="shared" si="73"/>
        <v>10.8</v>
      </c>
      <c r="BI191">
        <f t="shared" si="74"/>
        <v>0.57999999999999996</v>
      </c>
      <c r="BJ191">
        <f t="shared" si="75"/>
        <v>2.5299999999999998</v>
      </c>
      <c r="BK191">
        <f t="shared" si="76"/>
        <v>0</v>
      </c>
      <c r="BL191">
        <f t="shared" si="77"/>
        <v>0</v>
      </c>
      <c r="BM191">
        <f t="shared" si="78"/>
        <v>0.61399999999999999</v>
      </c>
      <c r="BN191">
        <f t="shared" si="79"/>
        <v>2.7709999999999999</v>
      </c>
    </row>
    <row r="192" spans="1:66" x14ac:dyDescent="0.25">
      <c r="A192">
        <v>2024</v>
      </c>
      <c r="B192" s="1">
        <f t="shared" si="81"/>
        <v>45478</v>
      </c>
      <c r="C192" s="2">
        <v>187</v>
      </c>
      <c r="D192">
        <v>70</v>
      </c>
      <c r="E192" s="6">
        <v>12.9</v>
      </c>
      <c r="F192" s="6">
        <v>18.03</v>
      </c>
      <c r="G192" s="6">
        <v>29.37</v>
      </c>
      <c r="H192" s="6">
        <v>8.26</v>
      </c>
      <c r="I192" s="6">
        <v>25.35</v>
      </c>
      <c r="J192" s="6">
        <v>18.559999999999999</v>
      </c>
      <c r="K192" s="6">
        <v>43.22</v>
      </c>
      <c r="L192" s="6"/>
      <c r="M192" s="6">
        <v>19.5</v>
      </c>
      <c r="N192" s="6">
        <v>13.53</v>
      </c>
      <c r="O192" s="6">
        <v>27.51</v>
      </c>
      <c r="P192" s="6">
        <v>76.599999999999994</v>
      </c>
      <c r="Q192" s="6"/>
      <c r="R192" s="6">
        <v>43.19</v>
      </c>
      <c r="S192" s="6">
        <v>15.24</v>
      </c>
      <c r="T192" s="6">
        <v>9.9600000000000009</v>
      </c>
      <c r="U192" s="6">
        <v>19.41</v>
      </c>
      <c r="V192" s="6"/>
      <c r="W192" s="6">
        <v>7.91</v>
      </c>
      <c r="X192" s="6">
        <v>11.99</v>
      </c>
      <c r="Y192" s="6">
        <v>0.77900000000000003</v>
      </c>
      <c r="Z192" s="6">
        <v>2.4870000000000001</v>
      </c>
      <c r="AA192" s="6">
        <v>0.1</v>
      </c>
      <c r="AB192" s="6">
        <v>1.91</v>
      </c>
      <c r="AC192" s="6">
        <v>29.5</v>
      </c>
      <c r="AD192" s="6">
        <v>8.4600000000000009</v>
      </c>
      <c r="AE192" s="6">
        <v>0.01</v>
      </c>
      <c r="AF192" s="6">
        <v>7.0000000000000001E-3</v>
      </c>
      <c r="AG192" s="6">
        <v>1.8620000000000001</v>
      </c>
      <c r="AH192" s="6"/>
      <c r="AI192" s="6"/>
      <c r="AK192" s="22">
        <f t="shared" si="83"/>
        <v>0.1</v>
      </c>
      <c r="AL192">
        <f t="shared" si="82"/>
        <v>356.9000000000002</v>
      </c>
      <c r="AM192" s="4">
        <v>32.28</v>
      </c>
      <c r="AN192">
        <v>25.35</v>
      </c>
      <c r="AP192" s="7">
        <f t="shared" si="80"/>
        <v>0.71299999999999997</v>
      </c>
      <c r="AQ192" s="7">
        <f t="shared" si="60"/>
        <v>2.96</v>
      </c>
      <c r="AS192">
        <f t="shared" si="61"/>
        <v>25.35</v>
      </c>
      <c r="AT192">
        <f t="shared" si="62"/>
        <v>18.600000000000001</v>
      </c>
      <c r="AU192">
        <f t="shared" si="63"/>
        <v>43.2</v>
      </c>
      <c r="AV192" t="s">
        <v>104</v>
      </c>
      <c r="AW192">
        <f t="shared" si="64"/>
        <v>19.5</v>
      </c>
      <c r="AX192">
        <f t="shared" si="65"/>
        <v>13.5</v>
      </c>
      <c r="AY192">
        <f t="shared" si="66"/>
        <v>27.5</v>
      </c>
      <c r="AZ192">
        <f t="shared" si="67"/>
        <v>76.599999999999994</v>
      </c>
      <c r="BA192" t="s">
        <v>104</v>
      </c>
      <c r="BB192">
        <f t="shared" si="68"/>
        <v>43.2</v>
      </c>
      <c r="BC192">
        <f t="shared" si="69"/>
        <v>15.2</v>
      </c>
      <c r="BD192">
        <f t="shared" si="70"/>
        <v>10</v>
      </c>
      <c r="BE192">
        <f t="shared" si="71"/>
        <v>19.399999999999999</v>
      </c>
      <c r="BF192" t="s">
        <v>104</v>
      </c>
      <c r="BG192">
        <f t="shared" si="72"/>
        <v>7.9</v>
      </c>
      <c r="BH192">
        <f t="shared" si="73"/>
        <v>12</v>
      </c>
      <c r="BI192">
        <f t="shared" si="74"/>
        <v>0.78</v>
      </c>
      <c r="BJ192">
        <f t="shared" si="75"/>
        <v>2.4900000000000002</v>
      </c>
      <c r="BK192">
        <f t="shared" si="76"/>
        <v>0</v>
      </c>
      <c r="BL192">
        <f t="shared" si="77"/>
        <v>0.1</v>
      </c>
      <c r="BM192">
        <f t="shared" si="78"/>
        <v>0.71299999999999997</v>
      </c>
      <c r="BN192">
        <f t="shared" si="79"/>
        <v>2.96</v>
      </c>
    </row>
    <row r="193" spans="1:66" x14ac:dyDescent="0.25">
      <c r="A193">
        <v>2024</v>
      </c>
      <c r="B193" s="1">
        <f t="shared" si="81"/>
        <v>45479</v>
      </c>
      <c r="C193" s="2">
        <v>188</v>
      </c>
      <c r="D193">
        <v>70</v>
      </c>
      <c r="E193" s="6">
        <v>12.88</v>
      </c>
      <c r="F193" s="6">
        <v>17.89</v>
      </c>
      <c r="G193" s="6">
        <v>29.31</v>
      </c>
      <c r="H193" s="6">
        <v>8.86</v>
      </c>
      <c r="I193" s="6">
        <v>25.45</v>
      </c>
      <c r="J193" s="6">
        <v>18.559999999999999</v>
      </c>
      <c r="K193" s="6">
        <v>42.04</v>
      </c>
      <c r="L193" s="6"/>
      <c r="M193" s="6">
        <v>19.350000000000001</v>
      </c>
      <c r="N193" s="6">
        <v>13.98</v>
      </c>
      <c r="O193" s="6">
        <v>27.51</v>
      </c>
      <c r="P193" s="6">
        <v>70.7</v>
      </c>
      <c r="Q193" s="6"/>
      <c r="R193" s="6">
        <v>43.32</v>
      </c>
      <c r="S193" s="6">
        <v>15.97</v>
      </c>
      <c r="T193" s="6">
        <v>10.7</v>
      </c>
      <c r="U193" s="6">
        <v>17.8</v>
      </c>
      <c r="V193" s="6"/>
      <c r="W193" s="6">
        <v>8.4700000000000006</v>
      </c>
      <c r="X193" s="6">
        <v>12.58</v>
      </c>
      <c r="Y193" s="6">
        <v>0.76300000000000001</v>
      </c>
      <c r="Z193" s="6">
        <v>2.327</v>
      </c>
      <c r="AA193" s="6">
        <v>0</v>
      </c>
      <c r="AB193" s="6">
        <v>1.831</v>
      </c>
      <c r="AC193" s="6">
        <v>29.5</v>
      </c>
      <c r="AD193" s="6">
        <v>9.1199999999999992</v>
      </c>
      <c r="AE193" s="6">
        <v>0.01</v>
      </c>
      <c r="AF193" s="6">
        <v>7.0000000000000001E-3</v>
      </c>
      <c r="AG193" s="6">
        <v>1.7849999999999999</v>
      </c>
      <c r="AH193" s="6"/>
      <c r="AI193" s="6"/>
      <c r="AK193" s="22">
        <f t="shared" si="83"/>
        <v>0</v>
      </c>
      <c r="AL193">
        <f t="shared" si="82"/>
        <v>356.9000000000002</v>
      </c>
      <c r="AM193" s="4">
        <v>32.21</v>
      </c>
      <c r="AN193">
        <v>25.45</v>
      </c>
      <c r="AP193" s="7">
        <f t="shared" si="80"/>
        <v>0.65400000000000003</v>
      </c>
      <c r="AQ193" s="7">
        <f t="shared" si="60"/>
        <v>3.02</v>
      </c>
      <c r="AS193">
        <f t="shared" si="61"/>
        <v>25.45</v>
      </c>
      <c r="AT193">
        <f t="shared" si="62"/>
        <v>18.600000000000001</v>
      </c>
      <c r="AU193">
        <f t="shared" si="63"/>
        <v>42</v>
      </c>
      <c r="AV193" t="s">
        <v>104</v>
      </c>
      <c r="AW193">
        <f t="shared" si="64"/>
        <v>19.399999999999999</v>
      </c>
      <c r="AX193">
        <f t="shared" si="65"/>
        <v>14</v>
      </c>
      <c r="AY193">
        <f t="shared" si="66"/>
        <v>27.5</v>
      </c>
      <c r="AZ193">
        <f t="shared" si="67"/>
        <v>70.7</v>
      </c>
      <c r="BA193" t="s">
        <v>104</v>
      </c>
      <c r="BB193">
        <f t="shared" si="68"/>
        <v>43.3</v>
      </c>
      <c r="BC193">
        <f t="shared" si="69"/>
        <v>16</v>
      </c>
      <c r="BD193">
        <f t="shared" si="70"/>
        <v>10.7</v>
      </c>
      <c r="BE193">
        <f t="shared" si="71"/>
        <v>17.8</v>
      </c>
      <c r="BF193" t="s">
        <v>104</v>
      </c>
      <c r="BG193">
        <f t="shared" si="72"/>
        <v>8.5</v>
      </c>
      <c r="BH193">
        <f t="shared" si="73"/>
        <v>12.6</v>
      </c>
      <c r="BI193">
        <f t="shared" si="74"/>
        <v>0.76</v>
      </c>
      <c r="BJ193">
        <f t="shared" si="75"/>
        <v>2.33</v>
      </c>
      <c r="BK193">
        <f t="shared" si="76"/>
        <v>0</v>
      </c>
      <c r="BL193">
        <f t="shared" si="77"/>
        <v>0</v>
      </c>
      <c r="BM193">
        <f t="shared" si="78"/>
        <v>0.65400000000000003</v>
      </c>
      <c r="BN193">
        <f t="shared" si="79"/>
        <v>3.02</v>
      </c>
    </row>
    <row r="194" spans="1:66" x14ac:dyDescent="0.25">
      <c r="A194">
        <v>2024</v>
      </c>
      <c r="B194" s="1">
        <f t="shared" si="81"/>
        <v>45480</v>
      </c>
      <c r="C194" s="2">
        <v>189</v>
      </c>
      <c r="D194">
        <v>70</v>
      </c>
      <c r="E194" s="6">
        <v>12.88</v>
      </c>
      <c r="F194" s="6">
        <v>20.67</v>
      </c>
      <c r="G194" s="6">
        <v>33.42</v>
      </c>
      <c r="H194" s="6">
        <v>10.52</v>
      </c>
      <c r="I194" s="6">
        <v>25.12</v>
      </c>
      <c r="J194" s="6">
        <v>21.75</v>
      </c>
      <c r="K194" s="6">
        <v>36.090000000000003</v>
      </c>
      <c r="L194" s="6"/>
      <c r="M194" s="6">
        <v>21.53</v>
      </c>
      <c r="N194" s="6">
        <v>14.26</v>
      </c>
      <c r="O194" s="6">
        <v>31.81</v>
      </c>
      <c r="P194" s="6">
        <v>61.39</v>
      </c>
      <c r="Q194" s="6"/>
      <c r="R194" s="6">
        <v>47.42</v>
      </c>
      <c r="S194" s="6">
        <v>16.38</v>
      </c>
      <c r="T194" s="6">
        <v>12.58</v>
      </c>
      <c r="U194" s="6">
        <v>16.93</v>
      </c>
      <c r="V194" s="6"/>
      <c r="W194" s="6">
        <v>9.57</v>
      </c>
      <c r="X194" s="6">
        <v>12.8</v>
      </c>
      <c r="Y194" s="6">
        <v>0.49099999999999999</v>
      </c>
      <c r="Z194" s="6">
        <v>2.194</v>
      </c>
      <c r="AA194" s="6">
        <v>0</v>
      </c>
      <c r="AB194" s="6">
        <v>1.8340000000000001</v>
      </c>
      <c r="AC194" s="6">
        <v>33.76</v>
      </c>
      <c r="AD194" s="6">
        <v>10.73</v>
      </c>
      <c r="AE194" s="6">
        <v>0.01</v>
      </c>
      <c r="AF194" s="6">
        <v>7.0000000000000001E-3</v>
      </c>
      <c r="AG194" s="6">
        <v>1.7769999999999999</v>
      </c>
      <c r="AH194" s="6"/>
      <c r="AI194" s="6"/>
      <c r="AK194" s="22">
        <f t="shared" si="83"/>
        <v>0</v>
      </c>
      <c r="AL194">
        <f t="shared" si="82"/>
        <v>356.9000000000002</v>
      </c>
      <c r="AM194" s="4">
        <v>32.130000000000003</v>
      </c>
      <c r="AN194">
        <v>25.12</v>
      </c>
      <c r="AP194" s="7">
        <f t="shared" si="80"/>
        <v>0.79600000000000004</v>
      </c>
      <c r="AQ194" s="7">
        <f t="shared" si="60"/>
        <v>3.9060000000000001</v>
      </c>
      <c r="AS194">
        <f t="shared" si="61"/>
        <v>25.12</v>
      </c>
      <c r="AT194">
        <f t="shared" si="62"/>
        <v>21.8</v>
      </c>
      <c r="AU194">
        <f t="shared" si="63"/>
        <v>36.1</v>
      </c>
      <c r="AV194" t="s">
        <v>104</v>
      </c>
      <c r="AW194">
        <f t="shared" si="64"/>
        <v>21.5</v>
      </c>
      <c r="AX194">
        <f t="shared" si="65"/>
        <v>14.3</v>
      </c>
      <c r="AY194">
        <f t="shared" si="66"/>
        <v>31.8</v>
      </c>
      <c r="AZ194">
        <f t="shared" si="67"/>
        <v>61.4</v>
      </c>
      <c r="BA194" t="s">
        <v>104</v>
      </c>
      <c r="BB194">
        <f t="shared" si="68"/>
        <v>47.4</v>
      </c>
      <c r="BC194">
        <f t="shared" si="69"/>
        <v>16.399999999999999</v>
      </c>
      <c r="BD194">
        <f t="shared" si="70"/>
        <v>12.6</v>
      </c>
      <c r="BE194">
        <f t="shared" si="71"/>
        <v>16.899999999999999</v>
      </c>
      <c r="BF194" t="s">
        <v>104</v>
      </c>
      <c r="BG194">
        <f t="shared" si="72"/>
        <v>9.6</v>
      </c>
      <c r="BH194">
        <f t="shared" si="73"/>
        <v>12.8</v>
      </c>
      <c r="BI194">
        <f t="shared" si="74"/>
        <v>0.49</v>
      </c>
      <c r="BJ194">
        <f t="shared" si="75"/>
        <v>2.19</v>
      </c>
      <c r="BK194">
        <f t="shared" si="76"/>
        <v>0</v>
      </c>
      <c r="BL194">
        <f t="shared" si="77"/>
        <v>0</v>
      </c>
      <c r="BM194">
        <f t="shared" si="78"/>
        <v>0.79600000000000004</v>
      </c>
      <c r="BN194">
        <f t="shared" si="79"/>
        <v>3.9060000000000001</v>
      </c>
    </row>
    <row r="195" spans="1:66" x14ac:dyDescent="0.25">
      <c r="A195">
        <v>2024</v>
      </c>
      <c r="B195" s="1">
        <f t="shared" si="81"/>
        <v>45481</v>
      </c>
      <c r="C195" s="2">
        <v>190</v>
      </c>
      <c r="D195">
        <v>70</v>
      </c>
      <c r="E195" s="6">
        <v>12.84</v>
      </c>
      <c r="F195" s="6">
        <v>21.91</v>
      </c>
      <c r="G195" s="6">
        <v>34.799999999999997</v>
      </c>
      <c r="H195" s="6">
        <v>12.86</v>
      </c>
      <c r="I195" s="6">
        <v>23.86</v>
      </c>
      <c r="J195" s="6">
        <v>22.95</v>
      </c>
      <c r="K195" s="6">
        <v>33.21</v>
      </c>
      <c r="L195" s="6"/>
      <c r="M195" s="6">
        <v>22.87</v>
      </c>
      <c r="N195" s="6">
        <v>14.86</v>
      </c>
      <c r="O195" s="6">
        <v>32.950000000000003</v>
      </c>
      <c r="P195" s="6">
        <v>60.23</v>
      </c>
      <c r="Q195" s="6"/>
      <c r="R195" s="6">
        <v>47.7</v>
      </c>
      <c r="S195" s="6">
        <v>16.84</v>
      </c>
      <c r="T195" s="6">
        <v>14.45</v>
      </c>
      <c r="U195" s="6">
        <v>13.23</v>
      </c>
      <c r="V195" s="6"/>
      <c r="W195" s="6">
        <v>11.37</v>
      </c>
      <c r="X195" s="6">
        <v>13.08</v>
      </c>
      <c r="Y195" s="6">
        <v>0.48399999999999999</v>
      </c>
      <c r="Z195" s="6">
        <v>1.794</v>
      </c>
      <c r="AA195" s="6">
        <v>0</v>
      </c>
      <c r="AB195" s="6">
        <v>1.8660000000000001</v>
      </c>
      <c r="AC195" s="6">
        <v>35.07</v>
      </c>
      <c r="AD195" s="6">
        <v>13.12</v>
      </c>
      <c r="AE195" s="6">
        <v>1.0999999999999999E-2</v>
      </c>
      <c r="AF195" s="6">
        <v>7.0000000000000001E-3</v>
      </c>
      <c r="AG195" s="6">
        <v>1.8049999999999999</v>
      </c>
      <c r="AH195" s="6"/>
      <c r="AI195" s="6"/>
      <c r="AK195" s="22">
        <f t="shared" si="83"/>
        <v>0</v>
      </c>
      <c r="AL195">
        <f t="shared" si="82"/>
        <v>356.9000000000002</v>
      </c>
      <c r="AM195" s="4">
        <v>32.049999999999997</v>
      </c>
      <c r="AN195">
        <v>23.86</v>
      </c>
      <c r="AP195" s="7">
        <f t="shared" si="80"/>
        <v>0.66400000000000003</v>
      </c>
      <c r="AQ195" s="7">
        <f t="shared" si="60"/>
        <v>4.3550000000000004</v>
      </c>
      <c r="AS195">
        <f t="shared" si="61"/>
        <v>23.86</v>
      </c>
      <c r="AT195">
        <f t="shared" si="62"/>
        <v>23</v>
      </c>
      <c r="AU195">
        <f t="shared" si="63"/>
        <v>33.200000000000003</v>
      </c>
      <c r="AV195" t="s">
        <v>104</v>
      </c>
      <c r="AW195">
        <f t="shared" si="64"/>
        <v>22.9</v>
      </c>
      <c r="AX195">
        <f t="shared" si="65"/>
        <v>14.9</v>
      </c>
      <c r="AY195">
        <f t="shared" si="66"/>
        <v>33</v>
      </c>
      <c r="AZ195">
        <f t="shared" si="67"/>
        <v>60.2</v>
      </c>
      <c r="BA195" t="s">
        <v>104</v>
      </c>
      <c r="BB195">
        <f t="shared" si="68"/>
        <v>47.7</v>
      </c>
      <c r="BC195">
        <f t="shared" si="69"/>
        <v>16.8</v>
      </c>
      <c r="BD195">
        <f t="shared" si="70"/>
        <v>14.5</v>
      </c>
      <c r="BE195">
        <f t="shared" si="71"/>
        <v>13.2</v>
      </c>
      <c r="BF195" t="s">
        <v>104</v>
      </c>
      <c r="BG195">
        <f t="shared" si="72"/>
        <v>11.4</v>
      </c>
      <c r="BH195">
        <f t="shared" si="73"/>
        <v>13.1</v>
      </c>
      <c r="BI195">
        <f t="shared" si="74"/>
        <v>0.48</v>
      </c>
      <c r="BJ195">
        <f t="shared" si="75"/>
        <v>1.79</v>
      </c>
      <c r="BK195">
        <f t="shared" si="76"/>
        <v>0</v>
      </c>
      <c r="BL195">
        <f t="shared" si="77"/>
        <v>0</v>
      </c>
      <c r="BM195">
        <f t="shared" si="78"/>
        <v>0.66400000000000003</v>
      </c>
      <c r="BN195">
        <f t="shared" si="79"/>
        <v>4.3550000000000004</v>
      </c>
    </row>
    <row r="196" spans="1:66" x14ac:dyDescent="0.25">
      <c r="A196">
        <v>2024</v>
      </c>
      <c r="B196" s="1">
        <f t="shared" si="81"/>
        <v>45482</v>
      </c>
      <c r="C196" s="2">
        <v>191</v>
      </c>
      <c r="D196">
        <v>70</v>
      </c>
      <c r="E196" s="6">
        <v>12.83</v>
      </c>
      <c r="F196" s="6">
        <v>23.82</v>
      </c>
      <c r="G196" s="6">
        <v>37.520000000000003</v>
      </c>
      <c r="H196" s="6">
        <v>14.27</v>
      </c>
      <c r="I196" s="6">
        <v>24.22</v>
      </c>
      <c r="J196" s="6">
        <v>25.03</v>
      </c>
      <c r="K196" s="6">
        <v>33.03</v>
      </c>
      <c r="L196" s="6"/>
      <c r="M196" s="6">
        <v>24.47</v>
      </c>
      <c r="N196" s="6">
        <v>15.36</v>
      </c>
      <c r="O196" s="6">
        <v>35.9</v>
      </c>
      <c r="P196" s="6">
        <v>57.74</v>
      </c>
      <c r="Q196" s="6"/>
      <c r="R196" s="6">
        <v>49.11</v>
      </c>
      <c r="S196" s="6">
        <v>17.36</v>
      </c>
      <c r="T196" s="6">
        <v>16.190000000000001</v>
      </c>
      <c r="U196" s="6">
        <v>13.97</v>
      </c>
      <c r="V196" s="6"/>
      <c r="W196" s="6">
        <v>12.94</v>
      </c>
      <c r="X196" s="6">
        <v>13.9</v>
      </c>
      <c r="Y196" s="6">
        <v>0.47</v>
      </c>
      <c r="Z196" s="6">
        <v>1.78</v>
      </c>
      <c r="AA196" s="6">
        <v>0</v>
      </c>
      <c r="AB196" s="6">
        <v>1.833</v>
      </c>
      <c r="AC196" s="6">
        <v>37.840000000000003</v>
      </c>
      <c r="AD196" s="6">
        <v>14.47</v>
      </c>
      <c r="AE196" s="6">
        <v>1.0999999999999999E-2</v>
      </c>
      <c r="AF196" s="6">
        <v>7.0000000000000001E-3</v>
      </c>
      <c r="AG196" s="6">
        <v>1.7709999999999999</v>
      </c>
      <c r="AH196" s="6"/>
      <c r="AI196" s="6"/>
      <c r="AK196" s="22">
        <f t="shared" si="83"/>
        <v>0</v>
      </c>
      <c r="AL196">
        <f t="shared" si="82"/>
        <v>356.9000000000002</v>
      </c>
      <c r="AM196" s="4">
        <v>31.96</v>
      </c>
      <c r="AN196">
        <v>24.22</v>
      </c>
      <c r="AP196" s="7">
        <f t="shared" si="80"/>
        <v>0.82499999999999996</v>
      </c>
      <c r="AQ196" s="7">
        <f t="shared" si="60"/>
        <v>5.0810000000000004</v>
      </c>
      <c r="AS196">
        <f t="shared" si="61"/>
        <v>24.22</v>
      </c>
      <c r="AT196">
        <f t="shared" si="62"/>
        <v>25</v>
      </c>
      <c r="AU196">
        <f t="shared" si="63"/>
        <v>33</v>
      </c>
      <c r="AV196" t="s">
        <v>104</v>
      </c>
      <c r="AW196">
        <f t="shared" si="64"/>
        <v>24.5</v>
      </c>
      <c r="AX196">
        <f t="shared" si="65"/>
        <v>15.4</v>
      </c>
      <c r="AY196">
        <f t="shared" si="66"/>
        <v>35.9</v>
      </c>
      <c r="AZ196">
        <f t="shared" si="67"/>
        <v>57.7</v>
      </c>
      <c r="BA196" t="s">
        <v>104</v>
      </c>
      <c r="BB196">
        <f t="shared" si="68"/>
        <v>49.1</v>
      </c>
      <c r="BC196">
        <f t="shared" si="69"/>
        <v>17.399999999999999</v>
      </c>
      <c r="BD196">
        <f t="shared" si="70"/>
        <v>16.2</v>
      </c>
      <c r="BE196">
        <f t="shared" si="71"/>
        <v>14</v>
      </c>
      <c r="BF196" t="s">
        <v>104</v>
      </c>
      <c r="BG196">
        <f t="shared" si="72"/>
        <v>12.9</v>
      </c>
      <c r="BH196">
        <f t="shared" si="73"/>
        <v>13.9</v>
      </c>
      <c r="BI196">
        <f t="shared" si="74"/>
        <v>0.47</v>
      </c>
      <c r="BJ196">
        <f t="shared" si="75"/>
        <v>1.78</v>
      </c>
      <c r="BK196">
        <f t="shared" si="76"/>
        <v>0</v>
      </c>
      <c r="BL196">
        <f t="shared" si="77"/>
        <v>0</v>
      </c>
      <c r="BM196">
        <f t="shared" si="78"/>
        <v>0.82499999999999996</v>
      </c>
      <c r="BN196">
        <f t="shared" si="79"/>
        <v>5.0810000000000004</v>
      </c>
    </row>
    <row r="197" spans="1:66" x14ac:dyDescent="0.25">
      <c r="A197">
        <v>2024</v>
      </c>
      <c r="B197" s="1">
        <f t="shared" si="81"/>
        <v>45483</v>
      </c>
      <c r="C197" s="2">
        <v>192</v>
      </c>
      <c r="D197">
        <v>70</v>
      </c>
      <c r="E197" s="6">
        <v>12.84</v>
      </c>
      <c r="F197" s="6">
        <v>22.63</v>
      </c>
      <c r="G197" s="6">
        <v>35.08</v>
      </c>
      <c r="H197" s="6">
        <v>13.08</v>
      </c>
      <c r="I197" s="6">
        <v>24.76</v>
      </c>
      <c r="J197" s="6">
        <v>23.8</v>
      </c>
      <c r="K197" s="6">
        <v>25.14</v>
      </c>
      <c r="L197" s="6"/>
      <c r="M197" s="6">
        <v>23.57</v>
      </c>
      <c r="N197" s="6">
        <v>15.55</v>
      </c>
      <c r="O197" s="6">
        <v>33.479999999999997</v>
      </c>
      <c r="P197" s="6">
        <v>44.9</v>
      </c>
      <c r="Q197" s="6"/>
      <c r="R197" s="6">
        <v>48.17</v>
      </c>
      <c r="S197" s="6">
        <v>17.5</v>
      </c>
      <c r="T197" s="6">
        <v>14.92</v>
      </c>
      <c r="U197" s="6">
        <v>11.62</v>
      </c>
      <c r="V197" s="6"/>
      <c r="W197" s="6">
        <v>11.56</v>
      </c>
      <c r="X197" s="6">
        <v>14.3</v>
      </c>
      <c r="Y197" s="6">
        <v>0.86799999999999999</v>
      </c>
      <c r="Z197" s="6">
        <v>2.2999999999999998</v>
      </c>
      <c r="AA197" s="6">
        <v>0</v>
      </c>
      <c r="AB197" s="6">
        <v>1.8919999999999999</v>
      </c>
      <c r="AC197" s="6">
        <v>35.46</v>
      </c>
      <c r="AD197" s="6">
        <v>13.61</v>
      </c>
      <c r="AE197" s="6">
        <v>1.0999999999999999E-2</v>
      </c>
      <c r="AF197" s="6">
        <v>7.0000000000000001E-3</v>
      </c>
      <c r="AG197" s="6">
        <v>1.841</v>
      </c>
      <c r="AH197" s="6"/>
      <c r="AI197" s="6"/>
      <c r="AK197" s="22">
        <f t="shared" si="83"/>
        <v>0</v>
      </c>
      <c r="AL197">
        <f t="shared" si="82"/>
        <v>356.9000000000002</v>
      </c>
      <c r="AM197" s="4">
        <v>31.87</v>
      </c>
      <c r="AN197">
        <v>24.75</v>
      </c>
      <c r="AP197" s="7">
        <f t="shared" si="80"/>
        <v>0.6</v>
      </c>
      <c r="AQ197" s="7">
        <f t="shared" si="60"/>
        <v>4.5640000000000001</v>
      </c>
      <c r="AS197">
        <f t="shared" si="61"/>
        <v>24.75</v>
      </c>
      <c r="AT197">
        <f t="shared" si="62"/>
        <v>23.8</v>
      </c>
      <c r="AU197">
        <f t="shared" si="63"/>
        <v>25.1</v>
      </c>
      <c r="AV197" t="s">
        <v>104</v>
      </c>
      <c r="AW197">
        <f t="shared" si="64"/>
        <v>23.6</v>
      </c>
      <c r="AX197">
        <f t="shared" si="65"/>
        <v>15.6</v>
      </c>
      <c r="AY197">
        <f t="shared" si="66"/>
        <v>33.5</v>
      </c>
      <c r="AZ197">
        <f t="shared" si="67"/>
        <v>44.9</v>
      </c>
      <c r="BA197" t="s">
        <v>104</v>
      </c>
      <c r="BB197">
        <f t="shared" si="68"/>
        <v>48.2</v>
      </c>
      <c r="BC197">
        <f t="shared" si="69"/>
        <v>17.5</v>
      </c>
      <c r="BD197">
        <f t="shared" si="70"/>
        <v>14.9</v>
      </c>
      <c r="BE197">
        <f t="shared" si="71"/>
        <v>11.6</v>
      </c>
      <c r="BF197" t="s">
        <v>104</v>
      </c>
      <c r="BG197">
        <f t="shared" si="72"/>
        <v>11.6</v>
      </c>
      <c r="BH197">
        <f t="shared" si="73"/>
        <v>14.3</v>
      </c>
      <c r="BI197">
        <f t="shared" si="74"/>
        <v>0.87</v>
      </c>
      <c r="BJ197">
        <f t="shared" si="75"/>
        <v>2.2999999999999998</v>
      </c>
      <c r="BK197">
        <f t="shared" si="76"/>
        <v>0</v>
      </c>
      <c r="BL197">
        <f t="shared" si="77"/>
        <v>0</v>
      </c>
      <c r="BM197">
        <f t="shared" si="78"/>
        <v>0.6</v>
      </c>
      <c r="BN197">
        <f t="shared" si="79"/>
        <v>4.5640000000000001</v>
      </c>
    </row>
    <row r="198" spans="1:66" x14ac:dyDescent="0.25">
      <c r="A198">
        <v>2024</v>
      </c>
      <c r="B198" s="1">
        <f t="shared" si="81"/>
        <v>45484</v>
      </c>
      <c r="C198" s="2">
        <v>193</v>
      </c>
      <c r="D198">
        <v>70</v>
      </c>
      <c r="E198" s="6">
        <v>12.86</v>
      </c>
      <c r="F198" s="6">
        <v>18.53</v>
      </c>
      <c r="G198" s="6">
        <v>29.6</v>
      </c>
      <c r="H198" s="6">
        <v>9.9</v>
      </c>
      <c r="I198" s="6">
        <v>24.42</v>
      </c>
      <c r="J198" s="6">
        <v>19.37</v>
      </c>
      <c r="K198" s="6">
        <v>36.479999999999997</v>
      </c>
      <c r="L198" s="6"/>
      <c r="M198" s="6">
        <v>20.03</v>
      </c>
      <c r="N198" s="6">
        <v>15.02</v>
      </c>
      <c r="O198" s="6">
        <v>27.66</v>
      </c>
      <c r="P198" s="6">
        <v>62.53</v>
      </c>
      <c r="Q198" s="6"/>
      <c r="R198" s="6">
        <v>43.99</v>
      </c>
      <c r="S198" s="6">
        <v>16.940000000000001</v>
      </c>
      <c r="T198" s="6">
        <v>11.64</v>
      </c>
      <c r="U198" s="6">
        <v>17.670000000000002</v>
      </c>
      <c r="V198" s="6"/>
      <c r="W198" s="6">
        <v>9.25</v>
      </c>
      <c r="X198" s="6">
        <v>13.68</v>
      </c>
      <c r="Y198" s="6">
        <v>0.753</v>
      </c>
      <c r="Z198" s="6">
        <v>2.5270000000000001</v>
      </c>
      <c r="AA198" s="6">
        <v>0</v>
      </c>
      <c r="AB198" s="6">
        <v>1.881</v>
      </c>
      <c r="AC198" s="6">
        <v>29.85</v>
      </c>
      <c r="AD198" s="6">
        <v>10.130000000000001</v>
      </c>
      <c r="AE198" s="6">
        <v>0.01</v>
      </c>
      <c r="AF198" s="6">
        <v>7.0000000000000001E-3</v>
      </c>
      <c r="AG198" s="6">
        <v>1.8340000000000001</v>
      </c>
      <c r="AH198" s="6"/>
      <c r="AI198" s="6"/>
      <c r="AK198" s="22">
        <f t="shared" si="83"/>
        <v>0</v>
      </c>
      <c r="AL198">
        <f t="shared" si="82"/>
        <v>356.9000000000002</v>
      </c>
      <c r="AM198" s="4">
        <v>31.78</v>
      </c>
      <c r="AN198">
        <v>24.41</v>
      </c>
      <c r="AP198" s="7">
        <f t="shared" si="80"/>
        <v>0.65500000000000003</v>
      </c>
      <c r="AQ198" s="7">
        <f t="shared" ref="AQ198:AQ261" si="84">ROUND(AP198/U198*(100-U198),3)</f>
        <v>3.052</v>
      </c>
      <c r="AS198">
        <f t="shared" ref="AS198:AS261" si="85">AN198</f>
        <v>24.41</v>
      </c>
      <c r="AT198">
        <f t="shared" ref="AT198:AT261" si="86">ROUND(J198,1)</f>
        <v>19.399999999999999</v>
      </c>
      <c r="AU198">
        <f t="shared" ref="AU198:AU261" si="87">ROUND(K198,1)</f>
        <v>36.5</v>
      </c>
      <c r="AV198" t="s">
        <v>104</v>
      </c>
      <c r="AW198">
        <f t="shared" ref="AW198:AW261" si="88">ROUND(M198,1)</f>
        <v>20</v>
      </c>
      <c r="AX198">
        <f t="shared" ref="AX198:AX261" si="89">ROUND(N198,1)</f>
        <v>15</v>
      </c>
      <c r="AY198">
        <f t="shared" ref="AY198:AY261" si="90">ROUND(O198,1)</f>
        <v>27.7</v>
      </c>
      <c r="AZ198">
        <f t="shared" ref="AZ198:AZ261" si="91">ROUND(P198,1)</f>
        <v>62.5</v>
      </c>
      <c r="BA198" t="s">
        <v>104</v>
      </c>
      <c r="BB198">
        <f t="shared" ref="BB198:BB261" si="92">ROUND(R198,1)</f>
        <v>44</v>
      </c>
      <c r="BC198">
        <f t="shared" ref="BC198:BC261" si="93">ROUND(S198,1)</f>
        <v>16.899999999999999</v>
      </c>
      <c r="BD198">
        <f t="shared" ref="BD198:BD261" si="94">ROUND(T198,1)</f>
        <v>11.6</v>
      </c>
      <c r="BE198">
        <f t="shared" ref="BE198:BE261" si="95">ROUND(U198,1)</f>
        <v>17.7</v>
      </c>
      <c r="BF198" t="s">
        <v>104</v>
      </c>
      <c r="BG198">
        <f t="shared" ref="BG198:BG261" si="96">ROUND(W198,1)</f>
        <v>9.3000000000000007</v>
      </c>
      <c r="BH198">
        <f t="shared" ref="BH198:BH261" si="97">ROUND(X198,1)</f>
        <v>13.7</v>
      </c>
      <c r="BI198">
        <f t="shared" ref="BI198:BI261" si="98">ROUND(Y198,2)</f>
        <v>0.75</v>
      </c>
      <c r="BJ198">
        <f t="shared" ref="BJ198:BJ261" si="99">ROUND(Z198,2)</f>
        <v>2.5299999999999998</v>
      </c>
      <c r="BK198">
        <f t="shared" ref="BK198:BK261" si="100">AI198</f>
        <v>0</v>
      </c>
      <c r="BL198">
        <f t="shared" ref="BL198:BL261" si="101">ROUND(AK198,1)</f>
        <v>0</v>
      </c>
      <c r="BM198">
        <f t="shared" ref="BM198:BM261" si="102">ROUND(AP198,3)</f>
        <v>0.65500000000000003</v>
      </c>
      <c r="BN198">
        <f t="shared" ref="BN198:BN261" si="103">ROUND(AQ198,3)</f>
        <v>3.052</v>
      </c>
    </row>
    <row r="199" spans="1:66" x14ac:dyDescent="0.25">
      <c r="A199">
        <v>2024</v>
      </c>
      <c r="B199" s="1">
        <f t="shared" si="81"/>
        <v>45485</v>
      </c>
      <c r="C199" s="2">
        <v>194</v>
      </c>
      <c r="D199">
        <v>70</v>
      </c>
      <c r="E199" s="6">
        <v>12.86</v>
      </c>
      <c r="F199" s="6">
        <v>18.8</v>
      </c>
      <c r="G199" s="6">
        <v>30.8</v>
      </c>
      <c r="H199" s="6">
        <v>10.119999999999999</v>
      </c>
      <c r="I199" s="6">
        <v>24.19</v>
      </c>
      <c r="J199" s="6">
        <v>19.5</v>
      </c>
      <c r="K199" s="6">
        <v>41.29</v>
      </c>
      <c r="L199" s="6"/>
      <c r="M199" s="6">
        <v>20.49</v>
      </c>
      <c r="N199" s="6">
        <v>14.88</v>
      </c>
      <c r="O199" s="6">
        <v>28.79</v>
      </c>
      <c r="P199" s="6">
        <v>66.77</v>
      </c>
      <c r="Q199" s="6"/>
      <c r="R199" s="6">
        <v>44.78</v>
      </c>
      <c r="S199" s="6">
        <v>16.850000000000001</v>
      </c>
      <c r="T199" s="6">
        <v>11.91</v>
      </c>
      <c r="U199" s="6">
        <v>19.68</v>
      </c>
      <c r="V199" s="6"/>
      <c r="W199" s="6">
        <v>9.64</v>
      </c>
      <c r="X199" s="6">
        <v>13.47</v>
      </c>
      <c r="Y199" s="6">
        <v>0.56699999999999995</v>
      </c>
      <c r="Z199" s="6">
        <v>2.367</v>
      </c>
      <c r="AA199" s="6">
        <v>0</v>
      </c>
      <c r="AB199" s="6">
        <v>1.883</v>
      </c>
      <c r="AC199" s="6">
        <v>30.92</v>
      </c>
      <c r="AD199" s="6">
        <v>10.32</v>
      </c>
      <c r="AE199" s="6">
        <v>1.0999999999999999E-2</v>
      </c>
      <c r="AF199" s="6">
        <v>7.0000000000000001E-3</v>
      </c>
      <c r="AG199" s="6">
        <v>1.835</v>
      </c>
      <c r="AH199" s="6"/>
      <c r="AI199" s="6"/>
      <c r="AK199" s="22">
        <f t="shared" si="83"/>
        <v>0</v>
      </c>
      <c r="AL199">
        <f t="shared" si="82"/>
        <v>356.9000000000002</v>
      </c>
      <c r="AM199" s="4">
        <v>31.67</v>
      </c>
      <c r="AN199">
        <v>24.19</v>
      </c>
      <c r="AP199" s="7">
        <f t="shared" ref="AP199:AP262" si="104">ROUND((0.6105*(EXP((17.273*O199)/(O199+237.3))))*U199/100,3)</f>
        <v>0.77900000000000003</v>
      </c>
      <c r="AQ199" s="7">
        <f t="shared" si="84"/>
        <v>3.1789999999999998</v>
      </c>
      <c r="AS199">
        <f t="shared" si="85"/>
        <v>24.19</v>
      </c>
      <c r="AT199">
        <f t="shared" si="86"/>
        <v>19.5</v>
      </c>
      <c r="AU199">
        <f t="shared" si="87"/>
        <v>41.3</v>
      </c>
      <c r="AV199" t="s">
        <v>104</v>
      </c>
      <c r="AW199">
        <f t="shared" si="88"/>
        <v>20.5</v>
      </c>
      <c r="AX199">
        <f t="shared" si="89"/>
        <v>14.9</v>
      </c>
      <c r="AY199">
        <f t="shared" si="90"/>
        <v>28.8</v>
      </c>
      <c r="AZ199">
        <f t="shared" si="91"/>
        <v>66.8</v>
      </c>
      <c r="BA199" t="s">
        <v>104</v>
      </c>
      <c r="BB199">
        <f t="shared" si="92"/>
        <v>44.8</v>
      </c>
      <c r="BC199">
        <f t="shared" si="93"/>
        <v>16.899999999999999</v>
      </c>
      <c r="BD199">
        <f t="shared" si="94"/>
        <v>11.9</v>
      </c>
      <c r="BE199">
        <f t="shared" si="95"/>
        <v>19.7</v>
      </c>
      <c r="BF199" t="s">
        <v>104</v>
      </c>
      <c r="BG199">
        <f t="shared" si="96"/>
        <v>9.6</v>
      </c>
      <c r="BH199">
        <f t="shared" si="97"/>
        <v>13.5</v>
      </c>
      <c r="BI199">
        <f t="shared" si="98"/>
        <v>0.56999999999999995</v>
      </c>
      <c r="BJ199">
        <f t="shared" si="99"/>
        <v>2.37</v>
      </c>
      <c r="BK199">
        <f t="shared" si="100"/>
        <v>0</v>
      </c>
      <c r="BL199">
        <f t="shared" si="101"/>
        <v>0</v>
      </c>
      <c r="BM199">
        <f t="shared" si="102"/>
        <v>0.77900000000000003</v>
      </c>
      <c r="BN199">
        <f t="shared" si="103"/>
        <v>3.1789999999999998</v>
      </c>
    </row>
    <row r="200" spans="1:66" x14ac:dyDescent="0.25">
      <c r="A200">
        <v>2024</v>
      </c>
      <c r="B200" s="1">
        <f t="shared" ref="B200:B263" si="105">B199+1</f>
        <v>45486</v>
      </c>
      <c r="C200" s="2">
        <v>195</v>
      </c>
      <c r="D200">
        <v>70</v>
      </c>
      <c r="E200" s="6">
        <v>12.86</v>
      </c>
      <c r="F200" s="6">
        <v>19.91</v>
      </c>
      <c r="G200" s="6">
        <v>32.29</v>
      </c>
      <c r="H200" s="6">
        <v>11.05</v>
      </c>
      <c r="I200" s="6">
        <v>23.41</v>
      </c>
      <c r="J200" s="6">
        <v>20.79</v>
      </c>
      <c r="K200" s="6">
        <v>40.96</v>
      </c>
      <c r="L200" s="6"/>
      <c r="M200" s="6">
        <v>21.36</v>
      </c>
      <c r="N200" s="6">
        <v>15.07</v>
      </c>
      <c r="O200" s="6">
        <v>30.33</v>
      </c>
      <c r="P200" s="6">
        <v>62.6</v>
      </c>
      <c r="Q200" s="6"/>
      <c r="R200" s="6">
        <v>46.84</v>
      </c>
      <c r="S200" s="6">
        <v>17.13</v>
      </c>
      <c r="T200" s="6">
        <v>12.85</v>
      </c>
      <c r="U200" s="6">
        <v>18.54</v>
      </c>
      <c r="V200" s="6"/>
      <c r="W200" s="6">
        <v>10.57</v>
      </c>
      <c r="X200" s="6">
        <v>13.64</v>
      </c>
      <c r="Y200" s="6">
        <v>0.59299999999999997</v>
      </c>
      <c r="Z200" s="6">
        <v>2.3140000000000001</v>
      </c>
      <c r="AA200" s="6">
        <v>0</v>
      </c>
      <c r="AB200" s="6">
        <v>1.8939999999999999</v>
      </c>
      <c r="AC200" s="6">
        <v>32.53</v>
      </c>
      <c r="AD200" s="6">
        <v>11.27</v>
      </c>
      <c r="AE200" s="6">
        <v>0.01</v>
      </c>
      <c r="AF200" s="6">
        <v>7.0000000000000001E-3</v>
      </c>
      <c r="AG200" s="6">
        <v>1.841</v>
      </c>
      <c r="AH200" s="6"/>
      <c r="AI200" s="6"/>
      <c r="AK200" s="22">
        <f t="shared" si="83"/>
        <v>0</v>
      </c>
      <c r="AL200">
        <f t="shared" ref="AL200:AL263" si="106">AL199+AK200</f>
        <v>356.9000000000002</v>
      </c>
      <c r="AM200" s="4">
        <v>31.57</v>
      </c>
      <c r="AN200">
        <v>23.4</v>
      </c>
      <c r="AP200" s="7">
        <f t="shared" si="104"/>
        <v>0.80200000000000005</v>
      </c>
      <c r="AQ200" s="7">
        <f t="shared" si="84"/>
        <v>3.524</v>
      </c>
      <c r="AS200">
        <f t="shared" si="85"/>
        <v>23.4</v>
      </c>
      <c r="AT200">
        <f t="shared" si="86"/>
        <v>20.8</v>
      </c>
      <c r="AU200">
        <f t="shared" si="87"/>
        <v>41</v>
      </c>
      <c r="AV200" t="s">
        <v>104</v>
      </c>
      <c r="AW200">
        <f t="shared" si="88"/>
        <v>21.4</v>
      </c>
      <c r="AX200">
        <f t="shared" si="89"/>
        <v>15.1</v>
      </c>
      <c r="AY200">
        <f t="shared" si="90"/>
        <v>30.3</v>
      </c>
      <c r="AZ200">
        <f t="shared" si="91"/>
        <v>62.6</v>
      </c>
      <c r="BA200" t="s">
        <v>104</v>
      </c>
      <c r="BB200">
        <f t="shared" si="92"/>
        <v>46.8</v>
      </c>
      <c r="BC200">
        <f t="shared" si="93"/>
        <v>17.100000000000001</v>
      </c>
      <c r="BD200">
        <f t="shared" si="94"/>
        <v>12.9</v>
      </c>
      <c r="BE200">
        <f t="shared" si="95"/>
        <v>18.5</v>
      </c>
      <c r="BF200" t="s">
        <v>104</v>
      </c>
      <c r="BG200">
        <f t="shared" si="96"/>
        <v>10.6</v>
      </c>
      <c r="BH200">
        <f t="shared" si="97"/>
        <v>13.6</v>
      </c>
      <c r="BI200">
        <f t="shared" si="98"/>
        <v>0.59</v>
      </c>
      <c r="BJ200">
        <f t="shared" si="99"/>
        <v>2.31</v>
      </c>
      <c r="BK200">
        <f t="shared" si="100"/>
        <v>0</v>
      </c>
      <c r="BL200">
        <f t="shared" si="101"/>
        <v>0</v>
      </c>
      <c r="BM200">
        <f t="shared" si="102"/>
        <v>0.80200000000000005</v>
      </c>
      <c r="BN200">
        <f t="shared" si="103"/>
        <v>3.524</v>
      </c>
    </row>
    <row r="201" spans="1:66" x14ac:dyDescent="0.25">
      <c r="A201">
        <v>2024</v>
      </c>
      <c r="B201" s="1">
        <f t="shared" si="105"/>
        <v>45487</v>
      </c>
      <c r="C201" s="2">
        <v>196</v>
      </c>
      <c r="D201">
        <v>70</v>
      </c>
      <c r="E201" s="6">
        <v>12.9</v>
      </c>
      <c r="F201" s="6">
        <v>20.23</v>
      </c>
      <c r="G201" s="6">
        <v>33.119999999999997</v>
      </c>
      <c r="H201" s="6">
        <v>11.57</v>
      </c>
      <c r="I201" s="6">
        <v>21.8</v>
      </c>
      <c r="J201" s="6">
        <v>21.15</v>
      </c>
      <c r="K201" s="6">
        <v>42.84</v>
      </c>
      <c r="L201" s="6"/>
      <c r="M201" s="6">
        <v>21.34</v>
      </c>
      <c r="N201" s="6">
        <v>15.15</v>
      </c>
      <c r="O201" s="6">
        <v>30.87</v>
      </c>
      <c r="P201" s="6">
        <v>69.73</v>
      </c>
      <c r="Q201" s="6"/>
      <c r="R201" s="6">
        <v>45.63</v>
      </c>
      <c r="S201" s="6">
        <v>17.02</v>
      </c>
      <c r="T201" s="6">
        <v>13.39</v>
      </c>
      <c r="U201" s="6">
        <v>18.07</v>
      </c>
      <c r="V201" s="6"/>
      <c r="W201" s="6">
        <v>11.1</v>
      </c>
      <c r="X201" s="6">
        <v>13.09</v>
      </c>
      <c r="Y201" s="6">
        <v>0.505</v>
      </c>
      <c r="Z201" s="6">
        <v>1.9139999999999999</v>
      </c>
      <c r="AA201" s="6">
        <v>0</v>
      </c>
      <c r="AB201" s="6">
        <v>2.2810000000000001</v>
      </c>
      <c r="AC201" s="6">
        <v>32.89</v>
      </c>
      <c r="AD201" s="6">
        <v>11.8</v>
      </c>
      <c r="AE201" s="6">
        <v>1.0999999999999999E-2</v>
      </c>
      <c r="AF201" s="6">
        <v>7.0000000000000001E-3</v>
      </c>
      <c r="AG201" s="6">
        <v>2.2149999999999999</v>
      </c>
      <c r="AH201" s="6"/>
      <c r="AI201" s="6"/>
      <c r="AK201" s="22">
        <f t="shared" si="83"/>
        <v>0</v>
      </c>
      <c r="AL201">
        <f t="shared" si="106"/>
        <v>356.9000000000002</v>
      </c>
      <c r="AM201" s="4">
        <v>31.46</v>
      </c>
      <c r="AN201">
        <v>21.8</v>
      </c>
      <c r="AP201" s="7">
        <f t="shared" si="104"/>
        <v>0.80600000000000005</v>
      </c>
      <c r="AQ201" s="7">
        <f t="shared" si="84"/>
        <v>3.6539999999999999</v>
      </c>
      <c r="AS201">
        <f t="shared" si="85"/>
        <v>21.8</v>
      </c>
      <c r="AT201">
        <f t="shared" si="86"/>
        <v>21.2</v>
      </c>
      <c r="AU201">
        <f t="shared" si="87"/>
        <v>42.8</v>
      </c>
      <c r="AV201" t="s">
        <v>104</v>
      </c>
      <c r="AW201">
        <f t="shared" si="88"/>
        <v>21.3</v>
      </c>
      <c r="AX201">
        <f t="shared" si="89"/>
        <v>15.2</v>
      </c>
      <c r="AY201">
        <f t="shared" si="90"/>
        <v>30.9</v>
      </c>
      <c r="AZ201">
        <f t="shared" si="91"/>
        <v>69.7</v>
      </c>
      <c r="BA201" t="s">
        <v>104</v>
      </c>
      <c r="BB201">
        <f t="shared" si="92"/>
        <v>45.6</v>
      </c>
      <c r="BC201">
        <f t="shared" si="93"/>
        <v>17</v>
      </c>
      <c r="BD201">
        <f t="shared" si="94"/>
        <v>13.4</v>
      </c>
      <c r="BE201">
        <f t="shared" si="95"/>
        <v>18.100000000000001</v>
      </c>
      <c r="BF201" t="s">
        <v>104</v>
      </c>
      <c r="BG201">
        <f t="shared" si="96"/>
        <v>11.1</v>
      </c>
      <c r="BH201">
        <f t="shared" si="97"/>
        <v>13.1</v>
      </c>
      <c r="BI201">
        <f t="shared" si="98"/>
        <v>0.51</v>
      </c>
      <c r="BJ201">
        <f t="shared" si="99"/>
        <v>1.91</v>
      </c>
      <c r="BK201">
        <f t="shared" si="100"/>
        <v>0</v>
      </c>
      <c r="BL201">
        <f t="shared" si="101"/>
        <v>0</v>
      </c>
      <c r="BM201">
        <f t="shared" si="102"/>
        <v>0.80600000000000005</v>
      </c>
      <c r="BN201">
        <f t="shared" si="103"/>
        <v>3.6539999999999999</v>
      </c>
    </row>
    <row r="202" spans="1:66" x14ac:dyDescent="0.25">
      <c r="A202">
        <v>2024</v>
      </c>
      <c r="B202" s="1">
        <f t="shared" si="105"/>
        <v>45488</v>
      </c>
      <c r="C202" s="2">
        <v>197</v>
      </c>
      <c r="D202">
        <v>70</v>
      </c>
      <c r="E202" s="6">
        <v>12.9</v>
      </c>
      <c r="F202" s="6">
        <v>20.74</v>
      </c>
      <c r="G202" s="6">
        <v>33.520000000000003</v>
      </c>
      <c r="H202" s="6">
        <v>12.61</v>
      </c>
      <c r="I202" s="6">
        <v>20.7</v>
      </c>
      <c r="J202" s="6">
        <v>21.68</v>
      </c>
      <c r="K202" s="6">
        <v>41.91</v>
      </c>
      <c r="L202" s="6"/>
      <c r="M202" s="6">
        <v>21.55</v>
      </c>
      <c r="N202" s="6">
        <v>15.16</v>
      </c>
      <c r="O202" s="6">
        <v>32.49</v>
      </c>
      <c r="P202" s="6">
        <v>66.150000000000006</v>
      </c>
      <c r="Q202" s="6"/>
      <c r="R202" s="6">
        <v>46.31</v>
      </c>
      <c r="S202" s="6">
        <v>16.670000000000002</v>
      </c>
      <c r="T202" s="6">
        <v>14.32</v>
      </c>
      <c r="U202" s="6">
        <v>15.52</v>
      </c>
      <c r="V202" s="6"/>
      <c r="W202" s="6">
        <v>11.1</v>
      </c>
      <c r="X202" s="6">
        <v>13.15</v>
      </c>
      <c r="Y202" s="6">
        <v>0.59599999999999997</v>
      </c>
      <c r="Z202" s="6">
        <v>1.954</v>
      </c>
      <c r="AA202" s="6">
        <v>0</v>
      </c>
      <c r="AB202" s="6">
        <v>1.8759999999999999</v>
      </c>
      <c r="AC202" s="6">
        <v>33.5</v>
      </c>
      <c r="AD202" s="6">
        <v>12.89</v>
      </c>
      <c r="AE202" s="6">
        <v>1.0999999999999999E-2</v>
      </c>
      <c r="AF202" s="6">
        <v>7.0000000000000001E-3</v>
      </c>
      <c r="AG202" s="6">
        <v>1.8149999999999999</v>
      </c>
      <c r="AH202" s="6"/>
      <c r="AI202" s="6"/>
      <c r="AK202" s="22">
        <f t="shared" si="83"/>
        <v>0</v>
      </c>
      <c r="AL202">
        <f t="shared" si="106"/>
        <v>356.9000000000002</v>
      </c>
      <c r="AM202" s="4">
        <v>31.35</v>
      </c>
      <c r="AN202">
        <v>20.7</v>
      </c>
      <c r="AP202" s="7">
        <f t="shared" si="104"/>
        <v>0.75900000000000001</v>
      </c>
      <c r="AQ202" s="7">
        <f t="shared" si="84"/>
        <v>4.1310000000000002</v>
      </c>
      <c r="AS202">
        <f t="shared" si="85"/>
        <v>20.7</v>
      </c>
      <c r="AT202">
        <f t="shared" si="86"/>
        <v>21.7</v>
      </c>
      <c r="AU202">
        <f t="shared" si="87"/>
        <v>41.9</v>
      </c>
      <c r="AV202" t="s">
        <v>104</v>
      </c>
      <c r="AW202">
        <f t="shared" si="88"/>
        <v>21.6</v>
      </c>
      <c r="AX202">
        <f t="shared" si="89"/>
        <v>15.2</v>
      </c>
      <c r="AY202">
        <f t="shared" si="90"/>
        <v>32.5</v>
      </c>
      <c r="AZ202">
        <f t="shared" si="91"/>
        <v>66.2</v>
      </c>
      <c r="BA202" t="s">
        <v>104</v>
      </c>
      <c r="BB202">
        <f t="shared" si="92"/>
        <v>46.3</v>
      </c>
      <c r="BC202">
        <f t="shared" si="93"/>
        <v>16.7</v>
      </c>
      <c r="BD202">
        <f t="shared" si="94"/>
        <v>14.3</v>
      </c>
      <c r="BE202">
        <f t="shared" si="95"/>
        <v>15.5</v>
      </c>
      <c r="BF202" t="s">
        <v>104</v>
      </c>
      <c r="BG202">
        <f t="shared" si="96"/>
        <v>11.1</v>
      </c>
      <c r="BH202">
        <f t="shared" si="97"/>
        <v>13.2</v>
      </c>
      <c r="BI202">
        <f t="shared" si="98"/>
        <v>0.6</v>
      </c>
      <c r="BJ202">
        <f t="shared" si="99"/>
        <v>1.95</v>
      </c>
      <c r="BK202">
        <f t="shared" si="100"/>
        <v>0</v>
      </c>
      <c r="BL202">
        <f t="shared" si="101"/>
        <v>0</v>
      </c>
      <c r="BM202">
        <f t="shared" si="102"/>
        <v>0.75900000000000001</v>
      </c>
      <c r="BN202">
        <f t="shared" si="103"/>
        <v>4.1310000000000002</v>
      </c>
    </row>
    <row r="203" spans="1:66" x14ac:dyDescent="0.25">
      <c r="A203">
        <v>2024</v>
      </c>
      <c r="B203" s="1">
        <f t="shared" si="105"/>
        <v>45489</v>
      </c>
      <c r="C203" s="2">
        <v>198</v>
      </c>
      <c r="D203">
        <v>70</v>
      </c>
      <c r="E203" s="6">
        <v>12.9</v>
      </c>
      <c r="F203" s="6">
        <v>21.2</v>
      </c>
      <c r="G203" s="6">
        <v>34.06</v>
      </c>
      <c r="H203" s="6">
        <v>12.35</v>
      </c>
      <c r="I203" s="6">
        <v>22.23</v>
      </c>
      <c r="J203" s="6">
        <v>22.13</v>
      </c>
      <c r="K203" s="6">
        <v>43.64</v>
      </c>
      <c r="L203" s="6"/>
      <c r="M203" s="6">
        <v>22.14</v>
      </c>
      <c r="N203" s="6">
        <v>15.35</v>
      </c>
      <c r="O203" s="6">
        <v>31.54</v>
      </c>
      <c r="P203" s="6">
        <v>71.7</v>
      </c>
      <c r="Q203" s="6"/>
      <c r="R203" s="6">
        <v>45.66</v>
      </c>
      <c r="S203" s="6">
        <v>17.36</v>
      </c>
      <c r="T203" s="6">
        <v>14.05</v>
      </c>
      <c r="U203" s="6">
        <v>22.17</v>
      </c>
      <c r="V203" s="6"/>
      <c r="W203" s="6">
        <v>11.7</v>
      </c>
      <c r="X203" s="6">
        <v>14.17</v>
      </c>
      <c r="Y203" s="6">
        <v>0.63700000000000001</v>
      </c>
      <c r="Z203" s="6">
        <v>3.18</v>
      </c>
      <c r="AA203" s="6">
        <v>0</v>
      </c>
      <c r="AB203" s="6">
        <v>1.8939999999999999</v>
      </c>
      <c r="AC203" s="6">
        <v>34.31</v>
      </c>
      <c r="AD203" s="6">
        <v>12.6</v>
      </c>
      <c r="AE203" s="6">
        <v>0.01</v>
      </c>
      <c r="AF203" s="6">
        <v>7.0000000000000001E-3</v>
      </c>
      <c r="AG203" s="6">
        <v>1.831</v>
      </c>
      <c r="AH203" s="6"/>
      <c r="AI203" s="6"/>
      <c r="AK203" s="22">
        <f t="shared" si="83"/>
        <v>0</v>
      </c>
      <c r="AL203">
        <f t="shared" si="106"/>
        <v>356.9000000000002</v>
      </c>
      <c r="AM203" s="4">
        <v>31.23</v>
      </c>
      <c r="AN203">
        <v>22.23</v>
      </c>
      <c r="AP203" s="7">
        <f t="shared" si="104"/>
        <v>1.0269999999999999</v>
      </c>
      <c r="AQ203" s="7">
        <f t="shared" si="84"/>
        <v>3.605</v>
      </c>
      <c r="AS203">
        <f t="shared" si="85"/>
        <v>22.23</v>
      </c>
      <c r="AT203">
        <f t="shared" si="86"/>
        <v>22.1</v>
      </c>
      <c r="AU203">
        <f t="shared" si="87"/>
        <v>43.6</v>
      </c>
      <c r="AV203" t="s">
        <v>104</v>
      </c>
      <c r="AW203">
        <f t="shared" si="88"/>
        <v>22.1</v>
      </c>
      <c r="AX203">
        <f t="shared" si="89"/>
        <v>15.4</v>
      </c>
      <c r="AY203">
        <f t="shared" si="90"/>
        <v>31.5</v>
      </c>
      <c r="AZ203">
        <f t="shared" si="91"/>
        <v>71.7</v>
      </c>
      <c r="BA203" t="s">
        <v>104</v>
      </c>
      <c r="BB203">
        <f t="shared" si="92"/>
        <v>45.7</v>
      </c>
      <c r="BC203">
        <f t="shared" si="93"/>
        <v>17.399999999999999</v>
      </c>
      <c r="BD203">
        <f t="shared" si="94"/>
        <v>14.1</v>
      </c>
      <c r="BE203">
        <f t="shared" si="95"/>
        <v>22.2</v>
      </c>
      <c r="BF203" t="s">
        <v>104</v>
      </c>
      <c r="BG203">
        <f t="shared" si="96"/>
        <v>11.7</v>
      </c>
      <c r="BH203">
        <f t="shared" si="97"/>
        <v>14.2</v>
      </c>
      <c r="BI203">
        <f t="shared" si="98"/>
        <v>0.64</v>
      </c>
      <c r="BJ203">
        <f t="shared" si="99"/>
        <v>3.18</v>
      </c>
      <c r="BK203">
        <f t="shared" si="100"/>
        <v>0</v>
      </c>
      <c r="BL203">
        <f t="shared" si="101"/>
        <v>0</v>
      </c>
      <c r="BM203">
        <f t="shared" si="102"/>
        <v>1.0269999999999999</v>
      </c>
      <c r="BN203">
        <f t="shared" si="103"/>
        <v>3.605</v>
      </c>
    </row>
    <row r="204" spans="1:66" x14ac:dyDescent="0.25">
      <c r="A204">
        <v>2024</v>
      </c>
      <c r="B204" s="1">
        <f t="shared" si="105"/>
        <v>45490</v>
      </c>
      <c r="C204" s="2">
        <v>199</v>
      </c>
      <c r="D204">
        <v>70</v>
      </c>
      <c r="E204" s="6">
        <v>12.87</v>
      </c>
      <c r="F204" s="6">
        <v>22.26</v>
      </c>
      <c r="G204" s="6">
        <v>32.33</v>
      </c>
      <c r="H204" s="6">
        <v>15.54</v>
      </c>
      <c r="I204" s="6">
        <v>14.77</v>
      </c>
      <c r="J204" s="6">
        <v>23.76</v>
      </c>
      <c r="K204" s="6">
        <v>37.83</v>
      </c>
      <c r="L204" s="6"/>
      <c r="M204" s="6">
        <v>22.34</v>
      </c>
      <c r="N204" s="6">
        <v>15.41</v>
      </c>
      <c r="O204" s="6">
        <v>33.85</v>
      </c>
      <c r="P204" s="6">
        <v>56.8</v>
      </c>
      <c r="Q204" s="6"/>
      <c r="R204" s="6">
        <v>43.39</v>
      </c>
      <c r="S204" s="6">
        <v>17.149999999999999</v>
      </c>
      <c r="T204" s="6">
        <v>17.399999999999999</v>
      </c>
      <c r="U204" s="6">
        <v>19.079999999999998</v>
      </c>
      <c r="V204" s="6"/>
      <c r="W204" s="6">
        <v>14.17</v>
      </c>
      <c r="X204" s="6">
        <v>14.1</v>
      </c>
      <c r="Y204" s="6">
        <v>0.28899999999999998</v>
      </c>
      <c r="Z204" s="6">
        <v>1.4470000000000001</v>
      </c>
      <c r="AA204" s="6">
        <v>0</v>
      </c>
      <c r="AB204" s="6">
        <v>1.915</v>
      </c>
      <c r="AC204" s="6">
        <v>31.33</v>
      </c>
      <c r="AD204" s="6">
        <v>15.81</v>
      </c>
      <c r="AE204" s="6">
        <v>0.01</v>
      </c>
      <c r="AF204" s="6">
        <v>7.0000000000000001E-3</v>
      </c>
      <c r="AG204" s="6">
        <v>1.845</v>
      </c>
      <c r="AH204" s="6"/>
      <c r="AI204" s="6"/>
      <c r="AK204" s="22">
        <f t="shared" si="83"/>
        <v>0</v>
      </c>
      <c r="AL204">
        <f t="shared" si="106"/>
        <v>356.9000000000002</v>
      </c>
      <c r="AM204" s="4">
        <v>31.12</v>
      </c>
      <c r="AN204">
        <v>14.76</v>
      </c>
      <c r="AP204" s="7">
        <f t="shared" si="104"/>
        <v>1.006</v>
      </c>
      <c r="AQ204" s="7">
        <f t="shared" si="84"/>
        <v>4.2670000000000003</v>
      </c>
      <c r="AS204">
        <f t="shared" si="85"/>
        <v>14.76</v>
      </c>
      <c r="AT204">
        <f t="shared" si="86"/>
        <v>23.8</v>
      </c>
      <c r="AU204">
        <f t="shared" si="87"/>
        <v>37.799999999999997</v>
      </c>
      <c r="AV204" t="s">
        <v>104</v>
      </c>
      <c r="AW204">
        <f t="shared" si="88"/>
        <v>22.3</v>
      </c>
      <c r="AX204">
        <f t="shared" si="89"/>
        <v>15.4</v>
      </c>
      <c r="AY204">
        <f t="shared" si="90"/>
        <v>33.9</v>
      </c>
      <c r="AZ204">
        <f t="shared" si="91"/>
        <v>56.8</v>
      </c>
      <c r="BA204" t="s">
        <v>104</v>
      </c>
      <c r="BB204">
        <f t="shared" si="92"/>
        <v>43.4</v>
      </c>
      <c r="BC204">
        <f t="shared" si="93"/>
        <v>17.2</v>
      </c>
      <c r="BD204">
        <f t="shared" si="94"/>
        <v>17.399999999999999</v>
      </c>
      <c r="BE204">
        <f t="shared" si="95"/>
        <v>19.100000000000001</v>
      </c>
      <c r="BF204" t="s">
        <v>104</v>
      </c>
      <c r="BG204">
        <f t="shared" si="96"/>
        <v>14.2</v>
      </c>
      <c r="BH204">
        <f t="shared" si="97"/>
        <v>14.1</v>
      </c>
      <c r="BI204">
        <f t="shared" si="98"/>
        <v>0.28999999999999998</v>
      </c>
      <c r="BJ204">
        <f t="shared" si="99"/>
        <v>1.45</v>
      </c>
      <c r="BK204">
        <f t="shared" si="100"/>
        <v>0</v>
      </c>
      <c r="BL204">
        <f t="shared" si="101"/>
        <v>0</v>
      </c>
      <c r="BM204">
        <f t="shared" si="102"/>
        <v>1.006</v>
      </c>
      <c r="BN204">
        <f t="shared" si="103"/>
        <v>4.2670000000000003</v>
      </c>
    </row>
    <row r="205" spans="1:66" x14ac:dyDescent="0.25">
      <c r="A205">
        <v>2024</v>
      </c>
      <c r="B205" s="1">
        <f t="shared" si="105"/>
        <v>45491</v>
      </c>
      <c r="C205" s="2">
        <v>200</v>
      </c>
      <c r="D205">
        <v>70</v>
      </c>
      <c r="E205" s="6">
        <v>12.88</v>
      </c>
      <c r="F205" s="6">
        <v>23.42</v>
      </c>
      <c r="G205" s="6">
        <v>35.369999999999997</v>
      </c>
      <c r="H205" s="6">
        <v>15.63</v>
      </c>
      <c r="I205" s="6">
        <v>22.79</v>
      </c>
      <c r="J205" s="6">
        <v>23.89</v>
      </c>
      <c r="K205" s="6">
        <v>42.32</v>
      </c>
      <c r="L205" s="6"/>
      <c r="M205" s="6">
        <v>24.83</v>
      </c>
      <c r="N205" s="6">
        <v>16.13</v>
      </c>
      <c r="O205" s="6">
        <v>33.22</v>
      </c>
      <c r="P205" s="6">
        <v>66.81</v>
      </c>
      <c r="Q205" s="6"/>
      <c r="R205" s="6">
        <v>47.58</v>
      </c>
      <c r="S205" s="6">
        <v>17.93</v>
      </c>
      <c r="T205" s="6">
        <v>16.39</v>
      </c>
      <c r="U205" s="6">
        <v>15.18</v>
      </c>
      <c r="V205" s="6"/>
      <c r="W205" s="6">
        <v>15.08</v>
      </c>
      <c r="X205" s="6">
        <v>14.71</v>
      </c>
      <c r="Y205" s="6">
        <v>0.41099999999999998</v>
      </c>
      <c r="Z205" s="6">
        <v>2.6469999999999998</v>
      </c>
      <c r="AA205" s="6">
        <v>0</v>
      </c>
      <c r="AB205" s="6">
        <v>1.899</v>
      </c>
      <c r="AC205" s="6">
        <v>35.61</v>
      </c>
      <c r="AD205" s="6">
        <v>15.99</v>
      </c>
      <c r="AE205" s="6">
        <v>0.01</v>
      </c>
      <c r="AF205" s="6">
        <v>7.0000000000000001E-3</v>
      </c>
      <c r="AG205" s="6">
        <v>1.8320000000000001</v>
      </c>
      <c r="AH205" s="6"/>
      <c r="AI205" s="6"/>
      <c r="AK205" s="22">
        <f t="shared" si="83"/>
        <v>0</v>
      </c>
      <c r="AL205">
        <f t="shared" si="106"/>
        <v>356.9000000000002</v>
      </c>
      <c r="AM205" s="4">
        <v>30.99</v>
      </c>
      <c r="AN205">
        <v>22.79</v>
      </c>
      <c r="AP205" s="7">
        <f t="shared" si="104"/>
        <v>0.77300000000000002</v>
      </c>
      <c r="AQ205" s="7">
        <f t="shared" si="84"/>
        <v>4.319</v>
      </c>
      <c r="AS205">
        <f t="shared" si="85"/>
        <v>22.79</v>
      </c>
      <c r="AT205">
        <f t="shared" si="86"/>
        <v>23.9</v>
      </c>
      <c r="AU205">
        <f t="shared" si="87"/>
        <v>42.3</v>
      </c>
      <c r="AV205" t="s">
        <v>104</v>
      </c>
      <c r="AW205">
        <f t="shared" si="88"/>
        <v>24.8</v>
      </c>
      <c r="AX205">
        <f t="shared" si="89"/>
        <v>16.100000000000001</v>
      </c>
      <c r="AY205">
        <f t="shared" si="90"/>
        <v>33.200000000000003</v>
      </c>
      <c r="AZ205">
        <f t="shared" si="91"/>
        <v>66.8</v>
      </c>
      <c r="BA205" t="s">
        <v>104</v>
      </c>
      <c r="BB205">
        <f t="shared" si="92"/>
        <v>47.6</v>
      </c>
      <c r="BC205">
        <f t="shared" si="93"/>
        <v>17.899999999999999</v>
      </c>
      <c r="BD205">
        <f t="shared" si="94"/>
        <v>16.399999999999999</v>
      </c>
      <c r="BE205">
        <f t="shared" si="95"/>
        <v>15.2</v>
      </c>
      <c r="BF205" t="s">
        <v>104</v>
      </c>
      <c r="BG205">
        <f t="shared" si="96"/>
        <v>15.1</v>
      </c>
      <c r="BH205">
        <f t="shared" si="97"/>
        <v>14.7</v>
      </c>
      <c r="BI205">
        <f t="shared" si="98"/>
        <v>0.41</v>
      </c>
      <c r="BJ205">
        <f t="shared" si="99"/>
        <v>2.65</v>
      </c>
      <c r="BK205">
        <f t="shared" si="100"/>
        <v>0</v>
      </c>
      <c r="BL205">
        <f t="shared" si="101"/>
        <v>0</v>
      </c>
      <c r="BM205">
        <f t="shared" si="102"/>
        <v>0.77300000000000002</v>
      </c>
      <c r="BN205">
        <f t="shared" si="103"/>
        <v>4.319</v>
      </c>
    </row>
    <row r="206" spans="1:66" x14ac:dyDescent="0.25">
      <c r="A206">
        <v>2024</v>
      </c>
      <c r="B206" s="1">
        <f t="shared" si="105"/>
        <v>45492</v>
      </c>
      <c r="C206" s="2">
        <v>201</v>
      </c>
      <c r="D206">
        <v>70</v>
      </c>
      <c r="E206" s="6">
        <v>12.87</v>
      </c>
      <c r="F206" s="6">
        <v>22.15</v>
      </c>
      <c r="G206" s="6">
        <v>34.32</v>
      </c>
      <c r="H206" s="6">
        <v>14.16</v>
      </c>
      <c r="I206" s="6">
        <v>23.87</v>
      </c>
      <c r="J206" s="6">
        <v>22.96</v>
      </c>
      <c r="K206" s="6">
        <v>36.18</v>
      </c>
      <c r="L206" s="6"/>
      <c r="M206" s="6">
        <v>23.63</v>
      </c>
      <c r="N206" s="6">
        <v>16.07</v>
      </c>
      <c r="O206" s="6">
        <v>32.340000000000003</v>
      </c>
      <c r="P206" s="6">
        <v>69.5</v>
      </c>
      <c r="Q206" s="6"/>
      <c r="R206" s="6">
        <v>46.92</v>
      </c>
      <c r="S206" s="6">
        <v>17.78</v>
      </c>
      <c r="T206" s="6">
        <v>15.86</v>
      </c>
      <c r="U206" s="6">
        <v>15.85</v>
      </c>
      <c r="V206" s="6"/>
      <c r="W206" s="6">
        <v>13.15</v>
      </c>
      <c r="X206" s="6">
        <v>14.98</v>
      </c>
      <c r="Y206" s="6">
        <v>0.69099999999999995</v>
      </c>
      <c r="Z206" s="6">
        <v>2.1669999999999998</v>
      </c>
      <c r="AA206" s="6">
        <v>0</v>
      </c>
      <c r="AB206" s="6">
        <v>1.903</v>
      </c>
      <c r="AC206" s="6">
        <v>34.65</v>
      </c>
      <c r="AD206" s="6">
        <v>14.5</v>
      </c>
      <c r="AE206" s="6">
        <v>0.01</v>
      </c>
      <c r="AF206" s="6">
        <v>7.0000000000000001E-3</v>
      </c>
      <c r="AG206" s="6">
        <v>1.847</v>
      </c>
      <c r="AH206" s="6"/>
      <c r="AI206" s="6"/>
      <c r="AK206" s="22">
        <f t="shared" si="83"/>
        <v>0</v>
      </c>
      <c r="AL206">
        <f t="shared" si="106"/>
        <v>356.9000000000002</v>
      </c>
      <c r="AM206" s="4">
        <v>30.87</v>
      </c>
      <c r="AN206">
        <v>23.87</v>
      </c>
      <c r="AP206" s="7">
        <f t="shared" si="104"/>
        <v>0.76800000000000002</v>
      </c>
      <c r="AQ206" s="7">
        <f t="shared" si="84"/>
        <v>4.077</v>
      </c>
      <c r="AS206">
        <f t="shared" si="85"/>
        <v>23.87</v>
      </c>
      <c r="AT206">
        <f t="shared" si="86"/>
        <v>23</v>
      </c>
      <c r="AU206">
        <f t="shared" si="87"/>
        <v>36.200000000000003</v>
      </c>
      <c r="AV206" t="s">
        <v>104</v>
      </c>
      <c r="AW206">
        <f t="shared" si="88"/>
        <v>23.6</v>
      </c>
      <c r="AX206">
        <f t="shared" si="89"/>
        <v>16.100000000000001</v>
      </c>
      <c r="AY206">
        <f t="shared" si="90"/>
        <v>32.299999999999997</v>
      </c>
      <c r="AZ206">
        <f t="shared" si="91"/>
        <v>69.5</v>
      </c>
      <c r="BA206" t="s">
        <v>104</v>
      </c>
      <c r="BB206">
        <f t="shared" si="92"/>
        <v>46.9</v>
      </c>
      <c r="BC206">
        <f t="shared" si="93"/>
        <v>17.8</v>
      </c>
      <c r="BD206">
        <f t="shared" si="94"/>
        <v>15.9</v>
      </c>
      <c r="BE206">
        <f t="shared" si="95"/>
        <v>15.9</v>
      </c>
      <c r="BF206" t="s">
        <v>104</v>
      </c>
      <c r="BG206">
        <f t="shared" si="96"/>
        <v>13.2</v>
      </c>
      <c r="BH206">
        <f t="shared" si="97"/>
        <v>15</v>
      </c>
      <c r="BI206">
        <f t="shared" si="98"/>
        <v>0.69</v>
      </c>
      <c r="BJ206">
        <f t="shared" si="99"/>
        <v>2.17</v>
      </c>
      <c r="BK206">
        <f t="shared" si="100"/>
        <v>0</v>
      </c>
      <c r="BL206">
        <f t="shared" si="101"/>
        <v>0</v>
      </c>
      <c r="BM206">
        <f t="shared" si="102"/>
        <v>0.76800000000000002</v>
      </c>
      <c r="BN206">
        <f t="shared" si="103"/>
        <v>4.077</v>
      </c>
    </row>
    <row r="207" spans="1:66" x14ac:dyDescent="0.25">
      <c r="A207">
        <v>2024</v>
      </c>
      <c r="B207" s="1">
        <f t="shared" si="105"/>
        <v>45493</v>
      </c>
      <c r="C207" s="2">
        <v>202</v>
      </c>
      <c r="D207">
        <v>70</v>
      </c>
      <c r="E207" s="6">
        <v>12.85</v>
      </c>
      <c r="F207" s="6">
        <v>22.33</v>
      </c>
      <c r="G207" s="6">
        <v>36.549999999999997</v>
      </c>
      <c r="H207" s="6">
        <v>11.79</v>
      </c>
      <c r="I207" s="6">
        <v>23.75</v>
      </c>
      <c r="J207" s="6">
        <v>23.47</v>
      </c>
      <c r="K207" s="6">
        <v>32.81</v>
      </c>
      <c r="L207" s="6"/>
      <c r="M207" s="6">
        <v>23.57</v>
      </c>
      <c r="N207" s="6">
        <v>15.72</v>
      </c>
      <c r="O207" s="6">
        <v>35.03</v>
      </c>
      <c r="P207" s="6">
        <v>54.66</v>
      </c>
      <c r="Q207" s="6"/>
      <c r="R207" s="6">
        <v>50.15</v>
      </c>
      <c r="S207" s="6">
        <v>17.66</v>
      </c>
      <c r="T207" s="6">
        <v>13.72</v>
      </c>
      <c r="U207" s="6">
        <v>13.97</v>
      </c>
      <c r="V207" s="6"/>
      <c r="W207" s="6">
        <v>10.83</v>
      </c>
      <c r="X207" s="6">
        <v>14.35</v>
      </c>
      <c r="Y207" s="6">
        <v>0.35499999999999998</v>
      </c>
      <c r="Z207" s="6">
        <v>1.794</v>
      </c>
      <c r="AA207" s="6">
        <v>0</v>
      </c>
      <c r="AB207" s="6">
        <v>1.8919999999999999</v>
      </c>
      <c r="AC207" s="6">
        <v>36.97</v>
      </c>
      <c r="AD207" s="6">
        <v>12.04</v>
      </c>
      <c r="AE207" s="6">
        <v>1.0999999999999999E-2</v>
      </c>
      <c r="AF207" s="6">
        <v>7.0000000000000001E-3</v>
      </c>
      <c r="AG207" s="6">
        <v>1.8260000000000001</v>
      </c>
      <c r="AH207" s="6"/>
      <c r="AI207" s="6"/>
      <c r="AK207" s="22">
        <f t="shared" si="83"/>
        <v>0</v>
      </c>
      <c r="AL207">
        <f t="shared" si="106"/>
        <v>356.9000000000002</v>
      </c>
      <c r="AM207" s="4">
        <v>30.73</v>
      </c>
      <c r="AN207">
        <v>23.75</v>
      </c>
      <c r="AP207" s="7">
        <f t="shared" si="104"/>
        <v>0.78700000000000003</v>
      </c>
      <c r="AQ207" s="7">
        <f t="shared" si="84"/>
        <v>4.8470000000000004</v>
      </c>
      <c r="AS207">
        <f t="shared" si="85"/>
        <v>23.75</v>
      </c>
      <c r="AT207">
        <f t="shared" si="86"/>
        <v>23.5</v>
      </c>
      <c r="AU207">
        <f t="shared" si="87"/>
        <v>32.799999999999997</v>
      </c>
      <c r="AV207" t="s">
        <v>104</v>
      </c>
      <c r="AW207">
        <f t="shared" si="88"/>
        <v>23.6</v>
      </c>
      <c r="AX207">
        <f t="shared" si="89"/>
        <v>15.7</v>
      </c>
      <c r="AY207">
        <f t="shared" si="90"/>
        <v>35</v>
      </c>
      <c r="AZ207">
        <f t="shared" si="91"/>
        <v>54.7</v>
      </c>
      <c r="BA207" t="s">
        <v>104</v>
      </c>
      <c r="BB207">
        <f t="shared" si="92"/>
        <v>50.2</v>
      </c>
      <c r="BC207">
        <f t="shared" si="93"/>
        <v>17.7</v>
      </c>
      <c r="BD207">
        <f t="shared" si="94"/>
        <v>13.7</v>
      </c>
      <c r="BE207">
        <f t="shared" si="95"/>
        <v>14</v>
      </c>
      <c r="BF207" t="s">
        <v>104</v>
      </c>
      <c r="BG207">
        <f t="shared" si="96"/>
        <v>10.8</v>
      </c>
      <c r="BH207">
        <f t="shared" si="97"/>
        <v>14.4</v>
      </c>
      <c r="BI207">
        <f t="shared" si="98"/>
        <v>0.36</v>
      </c>
      <c r="BJ207">
        <f t="shared" si="99"/>
        <v>1.79</v>
      </c>
      <c r="BK207">
        <f t="shared" si="100"/>
        <v>0</v>
      </c>
      <c r="BL207">
        <f t="shared" si="101"/>
        <v>0</v>
      </c>
      <c r="BM207">
        <f t="shared" si="102"/>
        <v>0.78700000000000003</v>
      </c>
      <c r="BN207">
        <f t="shared" si="103"/>
        <v>4.8470000000000004</v>
      </c>
    </row>
    <row r="208" spans="1:66" x14ac:dyDescent="0.25">
      <c r="A208">
        <v>2024</v>
      </c>
      <c r="B208" s="1">
        <f t="shared" si="105"/>
        <v>45494</v>
      </c>
      <c r="C208" s="2">
        <v>203</v>
      </c>
      <c r="D208">
        <v>70</v>
      </c>
      <c r="E208" s="6">
        <v>12.86</v>
      </c>
      <c r="F208" s="6">
        <v>25.07</v>
      </c>
      <c r="G208" s="6">
        <v>38.51</v>
      </c>
      <c r="H208" s="6">
        <v>15.95</v>
      </c>
      <c r="I208" s="6">
        <v>22.43</v>
      </c>
      <c r="J208" s="6">
        <v>26.21</v>
      </c>
      <c r="K208" s="6">
        <v>30.99</v>
      </c>
      <c r="L208" s="6"/>
      <c r="M208" s="6">
        <v>26.2</v>
      </c>
      <c r="N208" s="6">
        <v>16.260000000000002</v>
      </c>
      <c r="O208" s="6">
        <v>36.71</v>
      </c>
      <c r="P208" s="6">
        <v>52.56</v>
      </c>
      <c r="Q208" s="6"/>
      <c r="R208" s="6">
        <v>50.84</v>
      </c>
      <c r="S208" s="6">
        <v>18.11</v>
      </c>
      <c r="T208" s="6">
        <v>18.28</v>
      </c>
      <c r="U208" s="6">
        <v>14.58</v>
      </c>
      <c r="V208" s="6"/>
      <c r="W208" s="6">
        <v>14.6</v>
      </c>
      <c r="X208" s="6">
        <v>14.86</v>
      </c>
      <c r="Y208" s="6">
        <v>0.61299999999999999</v>
      </c>
      <c r="Z208" s="6">
        <v>1.94</v>
      </c>
      <c r="AA208" s="6">
        <v>0</v>
      </c>
      <c r="AB208" s="6">
        <v>1.8979999999999999</v>
      </c>
      <c r="AC208" s="6">
        <v>38.950000000000003</v>
      </c>
      <c r="AD208" s="6">
        <v>16.190000000000001</v>
      </c>
      <c r="AE208" s="6">
        <v>1.0999999999999999E-2</v>
      </c>
      <c r="AF208" s="6">
        <v>7.0000000000000001E-3</v>
      </c>
      <c r="AG208" s="6">
        <v>1.827</v>
      </c>
      <c r="AH208" s="6"/>
      <c r="AI208" s="6"/>
      <c r="AK208" s="22">
        <f t="shared" si="83"/>
        <v>0</v>
      </c>
      <c r="AL208">
        <f t="shared" si="106"/>
        <v>356.9000000000002</v>
      </c>
      <c r="AM208" s="4">
        <v>30.6</v>
      </c>
      <c r="AN208">
        <v>22.43</v>
      </c>
      <c r="AP208" s="7">
        <f t="shared" si="104"/>
        <v>0.9</v>
      </c>
      <c r="AQ208" s="7">
        <f t="shared" si="84"/>
        <v>5.2729999999999997</v>
      </c>
      <c r="AS208">
        <f t="shared" si="85"/>
        <v>22.43</v>
      </c>
      <c r="AT208">
        <f t="shared" si="86"/>
        <v>26.2</v>
      </c>
      <c r="AU208">
        <f t="shared" si="87"/>
        <v>31</v>
      </c>
      <c r="AV208" t="s">
        <v>104</v>
      </c>
      <c r="AW208">
        <f t="shared" si="88"/>
        <v>26.2</v>
      </c>
      <c r="AX208">
        <f t="shared" si="89"/>
        <v>16.3</v>
      </c>
      <c r="AY208">
        <f t="shared" si="90"/>
        <v>36.700000000000003</v>
      </c>
      <c r="AZ208">
        <f t="shared" si="91"/>
        <v>52.6</v>
      </c>
      <c r="BA208" t="s">
        <v>104</v>
      </c>
      <c r="BB208">
        <f t="shared" si="92"/>
        <v>50.8</v>
      </c>
      <c r="BC208">
        <f t="shared" si="93"/>
        <v>18.100000000000001</v>
      </c>
      <c r="BD208">
        <f t="shared" si="94"/>
        <v>18.3</v>
      </c>
      <c r="BE208">
        <f t="shared" si="95"/>
        <v>14.6</v>
      </c>
      <c r="BF208" t="s">
        <v>104</v>
      </c>
      <c r="BG208">
        <f t="shared" si="96"/>
        <v>14.6</v>
      </c>
      <c r="BH208">
        <f t="shared" si="97"/>
        <v>14.9</v>
      </c>
      <c r="BI208">
        <f t="shared" si="98"/>
        <v>0.61</v>
      </c>
      <c r="BJ208">
        <f t="shared" si="99"/>
        <v>1.94</v>
      </c>
      <c r="BK208">
        <f t="shared" si="100"/>
        <v>0</v>
      </c>
      <c r="BL208">
        <f t="shared" si="101"/>
        <v>0</v>
      </c>
      <c r="BM208">
        <f t="shared" si="102"/>
        <v>0.9</v>
      </c>
      <c r="BN208">
        <f t="shared" si="103"/>
        <v>5.2729999999999997</v>
      </c>
    </row>
    <row r="209" spans="1:66" x14ac:dyDescent="0.25">
      <c r="A209">
        <v>2024</v>
      </c>
      <c r="B209" s="1">
        <f t="shared" si="105"/>
        <v>45495</v>
      </c>
      <c r="C209" s="2">
        <v>204</v>
      </c>
      <c r="D209">
        <v>70</v>
      </c>
      <c r="E209" s="6">
        <v>12.84</v>
      </c>
      <c r="F209" s="6">
        <v>21.75</v>
      </c>
      <c r="G209" s="6">
        <v>32.6</v>
      </c>
      <c r="H209" s="6">
        <v>12</v>
      </c>
      <c r="I209" s="6">
        <v>15.8</v>
      </c>
      <c r="J209" s="6">
        <v>22.33</v>
      </c>
      <c r="K209" s="6">
        <v>42.47</v>
      </c>
      <c r="L209" s="6"/>
      <c r="M209" s="6">
        <v>22.68</v>
      </c>
      <c r="N209" s="6">
        <v>16.53</v>
      </c>
      <c r="O209" s="6">
        <v>31.69</v>
      </c>
      <c r="P209" s="6">
        <v>85.3</v>
      </c>
      <c r="Q209" s="6"/>
      <c r="R209" s="6">
        <v>42.57</v>
      </c>
      <c r="S209" s="6">
        <v>17.97</v>
      </c>
      <c r="T209" s="6">
        <v>13.18</v>
      </c>
      <c r="U209" s="6">
        <v>24.73</v>
      </c>
      <c r="V209" s="6"/>
      <c r="W209" s="6">
        <v>10.87</v>
      </c>
      <c r="X209" s="6">
        <v>14.64</v>
      </c>
      <c r="Y209" s="6">
        <v>0.94299999999999995</v>
      </c>
      <c r="Z209" s="6">
        <v>2.7269999999999999</v>
      </c>
      <c r="AA209" s="6">
        <v>0.5</v>
      </c>
      <c r="AB209" s="6">
        <v>1.91</v>
      </c>
      <c r="AC209" s="6">
        <v>32.76</v>
      </c>
      <c r="AD209" s="6">
        <v>12.82</v>
      </c>
      <c r="AE209" s="6">
        <v>0.01</v>
      </c>
      <c r="AF209" s="6">
        <v>7.0000000000000001E-3</v>
      </c>
      <c r="AG209" s="6">
        <v>1.8640000000000001</v>
      </c>
      <c r="AH209" s="6"/>
      <c r="AI209" s="6"/>
      <c r="AK209" s="22">
        <f t="shared" si="83"/>
        <v>0.5</v>
      </c>
      <c r="AL209">
        <f t="shared" si="106"/>
        <v>357.4000000000002</v>
      </c>
      <c r="AM209" s="4">
        <v>30.46</v>
      </c>
      <c r="AN209">
        <v>15.8</v>
      </c>
      <c r="AP209" s="7">
        <f t="shared" si="104"/>
        <v>1.155</v>
      </c>
      <c r="AQ209" s="7">
        <f t="shared" si="84"/>
        <v>3.5150000000000001</v>
      </c>
      <c r="AS209">
        <f t="shared" si="85"/>
        <v>15.8</v>
      </c>
      <c r="AT209">
        <f t="shared" si="86"/>
        <v>22.3</v>
      </c>
      <c r="AU209">
        <f t="shared" si="87"/>
        <v>42.5</v>
      </c>
      <c r="AV209" t="s">
        <v>104</v>
      </c>
      <c r="AW209">
        <f t="shared" si="88"/>
        <v>22.7</v>
      </c>
      <c r="AX209">
        <f t="shared" si="89"/>
        <v>16.5</v>
      </c>
      <c r="AY209">
        <f t="shared" si="90"/>
        <v>31.7</v>
      </c>
      <c r="AZ209">
        <f t="shared" si="91"/>
        <v>85.3</v>
      </c>
      <c r="BA209" t="s">
        <v>104</v>
      </c>
      <c r="BB209">
        <f t="shared" si="92"/>
        <v>42.6</v>
      </c>
      <c r="BC209">
        <f t="shared" si="93"/>
        <v>18</v>
      </c>
      <c r="BD209">
        <f t="shared" si="94"/>
        <v>13.2</v>
      </c>
      <c r="BE209">
        <f t="shared" si="95"/>
        <v>24.7</v>
      </c>
      <c r="BF209" t="s">
        <v>104</v>
      </c>
      <c r="BG209">
        <f t="shared" si="96"/>
        <v>10.9</v>
      </c>
      <c r="BH209">
        <f t="shared" si="97"/>
        <v>14.6</v>
      </c>
      <c r="BI209">
        <f t="shared" si="98"/>
        <v>0.94</v>
      </c>
      <c r="BJ209">
        <f t="shared" si="99"/>
        <v>2.73</v>
      </c>
      <c r="BK209">
        <f t="shared" si="100"/>
        <v>0</v>
      </c>
      <c r="BL209">
        <f t="shared" si="101"/>
        <v>0.5</v>
      </c>
      <c r="BM209">
        <f t="shared" si="102"/>
        <v>1.155</v>
      </c>
      <c r="BN209">
        <f t="shared" si="103"/>
        <v>3.5150000000000001</v>
      </c>
    </row>
    <row r="210" spans="1:66" x14ac:dyDescent="0.25">
      <c r="A210">
        <v>2024</v>
      </c>
      <c r="B210" s="1">
        <f t="shared" si="105"/>
        <v>45496</v>
      </c>
      <c r="C210" s="2">
        <v>205</v>
      </c>
      <c r="D210">
        <v>70</v>
      </c>
      <c r="E210" s="6">
        <v>12.87</v>
      </c>
      <c r="F210" s="6">
        <v>15.48</v>
      </c>
      <c r="G210" s="6">
        <v>28.26</v>
      </c>
      <c r="H210" s="6">
        <v>4.2030000000000003</v>
      </c>
      <c r="I210" s="6">
        <v>23.15</v>
      </c>
      <c r="J210" s="6">
        <v>16.170000000000002</v>
      </c>
      <c r="K210" s="6">
        <v>40.130000000000003</v>
      </c>
      <c r="L210" s="6"/>
      <c r="M210" s="6">
        <v>17.61</v>
      </c>
      <c r="N210" s="6">
        <v>15.02</v>
      </c>
      <c r="O210" s="6">
        <v>26.25</v>
      </c>
      <c r="P210" s="6">
        <v>73.400000000000006</v>
      </c>
      <c r="Q210" s="6"/>
      <c r="R210" s="6">
        <v>42.09</v>
      </c>
      <c r="S210" s="6">
        <v>16.739999999999998</v>
      </c>
      <c r="T210" s="6">
        <v>6.2080000000000002</v>
      </c>
      <c r="U210" s="6">
        <v>18.61</v>
      </c>
      <c r="V210" s="6"/>
      <c r="W210" s="6">
        <v>4.5199999999999996</v>
      </c>
      <c r="X210" s="6">
        <v>13.62</v>
      </c>
      <c r="Y210" s="6">
        <v>0.95299999999999996</v>
      </c>
      <c r="Z210" s="6">
        <v>2.367</v>
      </c>
      <c r="AA210" s="6">
        <v>0</v>
      </c>
      <c r="AB210" s="6">
        <v>1.8879999999999999</v>
      </c>
      <c r="AC210" s="6">
        <v>28.4</v>
      </c>
      <c r="AD210" s="6">
        <v>4.4260000000000002</v>
      </c>
      <c r="AE210" s="6">
        <v>0.01</v>
      </c>
      <c r="AF210" s="6">
        <v>7.0000000000000001E-3</v>
      </c>
      <c r="AG210" s="6">
        <v>1.84</v>
      </c>
      <c r="AH210" s="6"/>
      <c r="AI210" s="6"/>
      <c r="AK210" s="22">
        <f t="shared" si="83"/>
        <v>0</v>
      </c>
      <c r="AL210">
        <f t="shared" si="106"/>
        <v>357.4000000000002</v>
      </c>
      <c r="AM210" s="4">
        <v>30.32</v>
      </c>
      <c r="AN210">
        <v>23.15</v>
      </c>
      <c r="AP210" s="7">
        <f t="shared" si="104"/>
        <v>0.63500000000000001</v>
      </c>
      <c r="AQ210" s="7">
        <f t="shared" si="84"/>
        <v>2.7770000000000001</v>
      </c>
      <c r="AS210">
        <f t="shared" si="85"/>
        <v>23.15</v>
      </c>
      <c r="AT210">
        <f t="shared" si="86"/>
        <v>16.2</v>
      </c>
      <c r="AU210">
        <f t="shared" si="87"/>
        <v>40.1</v>
      </c>
      <c r="AV210" t="s">
        <v>104</v>
      </c>
      <c r="AW210">
        <f t="shared" si="88"/>
        <v>17.600000000000001</v>
      </c>
      <c r="AX210">
        <f t="shared" si="89"/>
        <v>15</v>
      </c>
      <c r="AY210">
        <f t="shared" si="90"/>
        <v>26.3</v>
      </c>
      <c r="AZ210">
        <f t="shared" si="91"/>
        <v>73.400000000000006</v>
      </c>
      <c r="BA210" t="s">
        <v>104</v>
      </c>
      <c r="BB210">
        <f t="shared" si="92"/>
        <v>42.1</v>
      </c>
      <c r="BC210">
        <f t="shared" si="93"/>
        <v>16.7</v>
      </c>
      <c r="BD210">
        <f t="shared" si="94"/>
        <v>6.2</v>
      </c>
      <c r="BE210">
        <f t="shared" si="95"/>
        <v>18.600000000000001</v>
      </c>
      <c r="BF210" t="s">
        <v>104</v>
      </c>
      <c r="BG210">
        <f t="shared" si="96"/>
        <v>4.5</v>
      </c>
      <c r="BH210">
        <f t="shared" si="97"/>
        <v>13.6</v>
      </c>
      <c r="BI210">
        <f t="shared" si="98"/>
        <v>0.95</v>
      </c>
      <c r="BJ210">
        <f t="shared" si="99"/>
        <v>2.37</v>
      </c>
      <c r="BK210">
        <f t="shared" si="100"/>
        <v>0</v>
      </c>
      <c r="BL210">
        <f t="shared" si="101"/>
        <v>0</v>
      </c>
      <c r="BM210">
        <f t="shared" si="102"/>
        <v>0.63500000000000001</v>
      </c>
      <c r="BN210">
        <f t="shared" si="103"/>
        <v>2.7770000000000001</v>
      </c>
    </row>
    <row r="211" spans="1:66" x14ac:dyDescent="0.25">
      <c r="A211">
        <v>2024</v>
      </c>
      <c r="B211" s="1">
        <f t="shared" si="105"/>
        <v>45497</v>
      </c>
      <c r="C211" s="2">
        <v>206</v>
      </c>
      <c r="D211">
        <v>70</v>
      </c>
      <c r="E211" s="6">
        <v>12.87</v>
      </c>
      <c r="F211" s="6">
        <v>14.68</v>
      </c>
      <c r="G211" s="6">
        <v>26.19</v>
      </c>
      <c r="H211" s="6">
        <v>7.5</v>
      </c>
      <c r="I211" s="6">
        <v>16.09</v>
      </c>
      <c r="J211" s="6">
        <v>15.22</v>
      </c>
      <c r="K211" s="6">
        <v>45.57</v>
      </c>
      <c r="L211" s="6"/>
      <c r="M211" s="6">
        <v>15.58</v>
      </c>
      <c r="N211" s="6">
        <v>14.26</v>
      </c>
      <c r="O211" s="6">
        <v>24.64</v>
      </c>
      <c r="P211" s="6">
        <v>72.3</v>
      </c>
      <c r="Q211" s="6"/>
      <c r="R211" s="6">
        <v>36.46</v>
      </c>
      <c r="S211" s="6">
        <v>15.33</v>
      </c>
      <c r="T211" s="6">
        <v>9.2899999999999991</v>
      </c>
      <c r="U211" s="6">
        <v>24.06</v>
      </c>
      <c r="V211" s="6"/>
      <c r="W211" s="6">
        <v>6.92</v>
      </c>
      <c r="X211" s="6">
        <v>13.04</v>
      </c>
      <c r="Y211" s="6">
        <v>0.96399999999999997</v>
      </c>
      <c r="Z211" s="6">
        <v>2.407</v>
      </c>
      <c r="AA211" s="6">
        <v>0.1</v>
      </c>
      <c r="AB211" s="6">
        <v>1.913</v>
      </c>
      <c r="AC211" s="6">
        <v>26.39</v>
      </c>
      <c r="AD211" s="6">
        <v>7.77</v>
      </c>
      <c r="AE211" s="6">
        <v>0.01</v>
      </c>
      <c r="AF211" s="6">
        <v>7.0000000000000001E-3</v>
      </c>
      <c r="AG211" s="6">
        <v>1.8740000000000001</v>
      </c>
      <c r="AH211" s="6"/>
      <c r="AI211" s="6"/>
      <c r="AK211" s="22">
        <f t="shared" si="83"/>
        <v>0.1</v>
      </c>
      <c r="AL211">
        <f t="shared" si="106"/>
        <v>357.50000000000023</v>
      </c>
      <c r="AM211" s="4">
        <v>30.17</v>
      </c>
      <c r="AN211">
        <v>16.09</v>
      </c>
      <c r="AP211" s="7">
        <f t="shared" si="104"/>
        <v>0.746</v>
      </c>
      <c r="AQ211" s="7">
        <f t="shared" si="84"/>
        <v>2.355</v>
      </c>
      <c r="AS211">
        <f t="shared" si="85"/>
        <v>16.09</v>
      </c>
      <c r="AT211">
        <f t="shared" si="86"/>
        <v>15.2</v>
      </c>
      <c r="AU211">
        <f t="shared" si="87"/>
        <v>45.6</v>
      </c>
      <c r="AV211" t="s">
        <v>104</v>
      </c>
      <c r="AW211">
        <f t="shared" si="88"/>
        <v>15.6</v>
      </c>
      <c r="AX211">
        <f t="shared" si="89"/>
        <v>14.3</v>
      </c>
      <c r="AY211">
        <f t="shared" si="90"/>
        <v>24.6</v>
      </c>
      <c r="AZ211">
        <f t="shared" si="91"/>
        <v>72.3</v>
      </c>
      <c r="BA211" t="s">
        <v>104</v>
      </c>
      <c r="BB211">
        <f t="shared" si="92"/>
        <v>36.5</v>
      </c>
      <c r="BC211">
        <f t="shared" si="93"/>
        <v>15.3</v>
      </c>
      <c r="BD211">
        <f t="shared" si="94"/>
        <v>9.3000000000000007</v>
      </c>
      <c r="BE211">
        <f t="shared" si="95"/>
        <v>24.1</v>
      </c>
      <c r="BF211" t="s">
        <v>104</v>
      </c>
      <c r="BG211">
        <f t="shared" si="96"/>
        <v>6.9</v>
      </c>
      <c r="BH211">
        <f t="shared" si="97"/>
        <v>13</v>
      </c>
      <c r="BI211">
        <f t="shared" si="98"/>
        <v>0.96</v>
      </c>
      <c r="BJ211">
        <f t="shared" si="99"/>
        <v>2.41</v>
      </c>
      <c r="BK211">
        <f t="shared" si="100"/>
        <v>0</v>
      </c>
      <c r="BL211">
        <f t="shared" si="101"/>
        <v>0.1</v>
      </c>
      <c r="BM211">
        <f t="shared" si="102"/>
        <v>0.746</v>
      </c>
      <c r="BN211">
        <f t="shared" si="103"/>
        <v>2.355</v>
      </c>
    </row>
    <row r="212" spans="1:66" x14ac:dyDescent="0.25">
      <c r="A212">
        <v>2024</v>
      </c>
      <c r="B212" s="1">
        <f t="shared" si="105"/>
        <v>45498</v>
      </c>
      <c r="C212" s="2">
        <v>207</v>
      </c>
      <c r="D212">
        <v>70</v>
      </c>
      <c r="E212" s="6">
        <v>12.85</v>
      </c>
      <c r="F212" s="6">
        <v>9.92</v>
      </c>
      <c r="G212" s="6">
        <v>18.850000000000001</v>
      </c>
      <c r="H212" s="6">
        <v>5.2210000000000001</v>
      </c>
      <c r="I212" s="6">
        <v>12.46</v>
      </c>
      <c r="J212" s="6">
        <v>10.050000000000001</v>
      </c>
      <c r="K212" s="6">
        <v>73.400000000000006</v>
      </c>
      <c r="L212" s="6"/>
      <c r="M212" s="6">
        <v>10.77</v>
      </c>
      <c r="N212" s="6">
        <v>13.56</v>
      </c>
      <c r="O212" s="6">
        <v>18.61</v>
      </c>
      <c r="P212" s="6">
        <v>91.8</v>
      </c>
      <c r="Q212" s="6"/>
      <c r="R212" s="6">
        <v>28.71</v>
      </c>
      <c r="S212" s="6">
        <v>15.1</v>
      </c>
      <c r="T212" s="6">
        <v>6.2080000000000002</v>
      </c>
      <c r="U212" s="6">
        <v>37.979999999999997</v>
      </c>
      <c r="V212" s="6"/>
      <c r="W212" s="6">
        <v>5.0209999999999999</v>
      </c>
      <c r="X212" s="6">
        <v>11.49</v>
      </c>
      <c r="Y212" s="6">
        <v>0.76200000000000001</v>
      </c>
      <c r="Z212" s="6">
        <v>2.58</v>
      </c>
      <c r="AA212" s="6">
        <v>1.9</v>
      </c>
      <c r="AB212" s="6">
        <v>1.9690000000000001</v>
      </c>
      <c r="AC212" s="6">
        <v>18.2</v>
      </c>
      <c r="AD212" s="6">
        <v>5.5149999999999997</v>
      </c>
      <c r="AE212" s="6">
        <v>0.01</v>
      </c>
      <c r="AF212" s="6">
        <v>7.0000000000000001E-3</v>
      </c>
      <c r="AG212" s="6">
        <v>1.944</v>
      </c>
      <c r="AH212" s="6"/>
      <c r="AI212" s="6"/>
      <c r="AK212" s="22">
        <f t="shared" si="83"/>
        <v>1.9</v>
      </c>
      <c r="AL212">
        <f t="shared" si="106"/>
        <v>359.4000000000002</v>
      </c>
      <c r="AM212" s="4">
        <v>30.02</v>
      </c>
      <c r="AN212">
        <v>12.45</v>
      </c>
      <c r="AP212" s="7">
        <f t="shared" si="104"/>
        <v>0.81399999999999995</v>
      </c>
      <c r="AQ212" s="7">
        <f t="shared" si="84"/>
        <v>1.329</v>
      </c>
      <c r="AS212">
        <f t="shared" si="85"/>
        <v>12.45</v>
      </c>
      <c r="AT212">
        <f t="shared" si="86"/>
        <v>10.1</v>
      </c>
      <c r="AU212">
        <f t="shared" si="87"/>
        <v>73.400000000000006</v>
      </c>
      <c r="AV212" t="s">
        <v>104</v>
      </c>
      <c r="AW212">
        <f t="shared" si="88"/>
        <v>10.8</v>
      </c>
      <c r="AX212">
        <f t="shared" si="89"/>
        <v>13.6</v>
      </c>
      <c r="AY212">
        <f t="shared" si="90"/>
        <v>18.600000000000001</v>
      </c>
      <c r="AZ212">
        <f t="shared" si="91"/>
        <v>91.8</v>
      </c>
      <c r="BA212" t="s">
        <v>104</v>
      </c>
      <c r="BB212">
        <f t="shared" si="92"/>
        <v>28.7</v>
      </c>
      <c r="BC212">
        <f t="shared" si="93"/>
        <v>15.1</v>
      </c>
      <c r="BD212">
        <f t="shared" si="94"/>
        <v>6.2</v>
      </c>
      <c r="BE212">
        <f t="shared" si="95"/>
        <v>38</v>
      </c>
      <c r="BF212" t="s">
        <v>104</v>
      </c>
      <c r="BG212">
        <f t="shared" si="96"/>
        <v>5</v>
      </c>
      <c r="BH212">
        <f t="shared" si="97"/>
        <v>11.5</v>
      </c>
      <c r="BI212">
        <f t="shared" si="98"/>
        <v>0.76</v>
      </c>
      <c r="BJ212">
        <f t="shared" si="99"/>
        <v>2.58</v>
      </c>
      <c r="BK212">
        <f t="shared" si="100"/>
        <v>0</v>
      </c>
      <c r="BL212">
        <f t="shared" si="101"/>
        <v>1.9</v>
      </c>
      <c r="BM212">
        <f t="shared" si="102"/>
        <v>0.81399999999999995</v>
      </c>
      <c r="BN212">
        <f t="shared" si="103"/>
        <v>1.329</v>
      </c>
    </row>
    <row r="213" spans="1:66" x14ac:dyDescent="0.25">
      <c r="A213">
        <v>2024</v>
      </c>
      <c r="B213" s="1">
        <f t="shared" si="105"/>
        <v>45499</v>
      </c>
      <c r="C213" s="2">
        <v>208</v>
      </c>
      <c r="D213">
        <v>70</v>
      </c>
      <c r="E213" s="6">
        <v>12.88</v>
      </c>
      <c r="F213" s="6">
        <v>11.96</v>
      </c>
      <c r="G213" s="6">
        <v>24.74</v>
      </c>
      <c r="H213" s="6">
        <v>4.4059999999999997</v>
      </c>
      <c r="I213" s="6">
        <v>17.36</v>
      </c>
      <c r="J213" s="6">
        <v>12.4</v>
      </c>
      <c r="K213" s="6">
        <v>67.349999999999994</v>
      </c>
      <c r="L213" s="6"/>
      <c r="M213" s="6">
        <v>13.5</v>
      </c>
      <c r="N213" s="6">
        <v>13.21</v>
      </c>
      <c r="O213" s="6">
        <v>22.7</v>
      </c>
      <c r="P213" s="6">
        <v>91.5</v>
      </c>
      <c r="Q213" s="6"/>
      <c r="R213" s="6">
        <v>35.36</v>
      </c>
      <c r="S213" s="6">
        <v>14.98</v>
      </c>
      <c r="T213" s="6">
        <v>5.468</v>
      </c>
      <c r="U213" s="6">
        <v>29.09</v>
      </c>
      <c r="V213" s="6"/>
      <c r="W213" s="6">
        <v>4.0289999999999999</v>
      </c>
      <c r="X213" s="6">
        <v>11.71</v>
      </c>
      <c r="Y213" s="6">
        <v>0.52800000000000002</v>
      </c>
      <c r="Z213" s="6">
        <v>2.1539999999999999</v>
      </c>
      <c r="AA213" s="6">
        <v>0</v>
      </c>
      <c r="AB213" s="6">
        <v>2.2090000000000001</v>
      </c>
      <c r="AC213" s="6">
        <v>24.14</v>
      </c>
      <c r="AD213" s="6">
        <v>4.6559999999999997</v>
      </c>
      <c r="AE213" s="6">
        <v>0.01</v>
      </c>
      <c r="AF213" s="6">
        <v>7.0000000000000001E-3</v>
      </c>
      <c r="AG213" s="6">
        <v>2.1739999999999999</v>
      </c>
      <c r="AH213" s="6"/>
      <c r="AI213" s="6"/>
      <c r="AK213" s="22">
        <f t="shared" si="83"/>
        <v>0</v>
      </c>
      <c r="AL213">
        <f t="shared" si="106"/>
        <v>359.4000000000002</v>
      </c>
      <c r="AM213" s="4">
        <v>29.86</v>
      </c>
      <c r="AN213">
        <v>17.36</v>
      </c>
      <c r="AP213" s="7">
        <f t="shared" si="104"/>
        <v>0.80200000000000005</v>
      </c>
      <c r="AQ213" s="7">
        <f t="shared" si="84"/>
        <v>1.9550000000000001</v>
      </c>
      <c r="AS213">
        <f t="shared" si="85"/>
        <v>17.36</v>
      </c>
      <c r="AT213">
        <f t="shared" si="86"/>
        <v>12.4</v>
      </c>
      <c r="AU213">
        <f t="shared" si="87"/>
        <v>67.400000000000006</v>
      </c>
      <c r="AV213" t="s">
        <v>104</v>
      </c>
      <c r="AW213">
        <f t="shared" si="88"/>
        <v>13.5</v>
      </c>
      <c r="AX213">
        <f t="shared" si="89"/>
        <v>13.2</v>
      </c>
      <c r="AY213">
        <f t="shared" si="90"/>
        <v>22.7</v>
      </c>
      <c r="AZ213">
        <f t="shared" si="91"/>
        <v>91.5</v>
      </c>
      <c r="BA213" t="s">
        <v>104</v>
      </c>
      <c r="BB213">
        <f t="shared" si="92"/>
        <v>35.4</v>
      </c>
      <c r="BC213">
        <f t="shared" si="93"/>
        <v>15</v>
      </c>
      <c r="BD213">
        <f t="shared" si="94"/>
        <v>5.5</v>
      </c>
      <c r="BE213">
        <f t="shared" si="95"/>
        <v>29.1</v>
      </c>
      <c r="BF213" t="s">
        <v>104</v>
      </c>
      <c r="BG213">
        <f t="shared" si="96"/>
        <v>4</v>
      </c>
      <c r="BH213">
        <f t="shared" si="97"/>
        <v>11.7</v>
      </c>
      <c r="BI213">
        <f t="shared" si="98"/>
        <v>0.53</v>
      </c>
      <c r="BJ213">
        <f t="shared" si="99"/>
        <v>2.15</v>
      </c>
      <c r="BK213">
        <f t="shared" si="100"/>
        <v>0</v>
      </c>
      <c r="BL213">
        <f t="shared" si="101"/>
        <v>0</v>
      </c>
      <c r="BM213">
        <f t="shared" si="102"/>
        <v>0.80200000000000005</v>
      </c>
      <c r="BN213">
        <f t="shared" si="103"/>
        <v>1.9550000000000001</v>
      </c>
    </row>
    <row r="214" spans="1:66" x14ac:dyDescent="0.25">
      <c r="A214">
        <v>2024</v>
      </c>
      <c r="B214" s="1">
        <f t="shared" si="105"/>
        <v>45500</v>
      </c>
      <c r="C214" s="2">
        <v>209</v>
      </c>
      <c r="D214">
        <v>70</v>
      </c>
      <c r="E214" s="6">
        <v>12.91</v>
      </c>
      <c r="F214" s="6">
        <v>14.31</v>
      </c>
      <c r="G214" s="6">
        <v>26.46</v>
      </c>
      <c r="H214" s="6">
        <v>5.6390000000000002</v>
      </c>
      <c r="I214" s="6">
        <v>18.05</v>
      </c>
      <c r="J214" s="6">
        <v>15.05</v>
      </c>
      <c r="K214" s="6">
        <v>58.32</v>
      </c>
      <c r="L214" s="6"/>
      <c r="M214" s="6">
        <v>15.69</v>
      </c>
      <c r="N214" s="6">
        <v>13.44</v>
      </c>
      <c r="O214" s="6">
        <v>24.91</v>
      </c>
      <c r="P214" s="6">
        <v>84.1</v>
      </c>
      <c r="Q214" s="6"/>
      <c r="R214" s="6">
        <v>36.53</v>
      </c>
      <c r="S214" s="6">
        <v>15.11</v>
      </c>
      <c r="T214" s="6">
        <v>7.22</v>
      </c>
      <c r="U214" s="6">
        <v>28.69</v>
      </c>
      <c r="V214" s="6"/>
      <c r="W214" s="6">
        <v>5.3869999999999996</v>
      </c>
      <c r="X214" s="6">
        <v>11.77</v>
      </c>
      <c r="Y214" s="6">
        <v>0.376</v>
      </c>
      <c r="Z214" s="6">
        <v>1.794</v>
      </c>
      <c r="AA214" s="6">
        <v>0</v>
      </c>
      <c r="AB214" s="6">
        <v>1.863</v>
      </c>
      <c r="AC214" s="6">
        <v>26.36</v>
      </c>
      <c r="AD214" s="6">
        <v>5.83</v>
      </c>
      <c r="AE214" s="6">
        <v>0.01</v>
      </c>
      <c r="AF214" s="6">
        <v>7.0000000000000001E-3</v>
      </c>
      <c r="AG214" s="6">
        <v>1.819</v>
      </c>
      <c r="AH214" s="6"/>
      <c r="AI214" s="6"/>
      <c r="AK214" s="22">
        <f t="shared" si="83"/>
        <v>0</v>
      </c>
      <c r="AL214">
        <f t="shared" si="106"/>
        <v>359.4000000000002</v>
      </c>
      <c r="AM214" s="4">
        <v>29.71</v>
      </c>
      <c r="AN214">
        <v>18.04</v>
      </c>
      <c r="AP214" s="7">
        <f t="shared" si="104"/>
        <v>0.90400000000000003</v>
      </c>
      <c r="AQ214" s="7">
        <f t="shared" si="84"/>
        <v>2.2469999999999999</v>
      </c>
      <c r="AS214">
        <f t="shared" si="85"/>
        <v>18.04</v>
      </c>
      <c r="AT214">
        <f t="shared" si="86"/>
        <v>15.1</v>
      </c>
      <c r="AU214">
        <f t="shared" si="87"/>
        <v>58.3</v>
      </c>
      <c r="AV214" t="s">
        <v>104</v>
      </c>
      <c r="AW214">
        <f t="shared" si="88"/>
        <v>15.7</v>
      </c>
      <c r="AX214">
        <f t="shared" si="89"/>
        <v>13.4</v>
      </c>
      <c r="AY214">
        <f t="shared" si="90"/>
        <v>24.9</v>
      </c>
      <c r="AZ214">
        <f t="shared" si="91"/>
        <v>84.1</v>
      </c>
      <c r="BA214" t="s">
        <v>104</v>
      </c>
      <c r="BB214">
        <f t="shared" si="92"/>
        <v>36.5</v>
      </c>
      <c r="BC214">
        <f t="shared" si="93"/>
        <v>15.1</v>
      </c>
      <c r="BD214">
        <f t="shared" si="94"/>
        <v>7.2</v>
      </c>
      <c r="BE214">
        <f t="shared" si="95"/>
        <v>28.7</v>
      </c>
      <c r="BF214" t="s">
        <v>104</v>
      </c>
      <c r="BG214">
        <f t="shared" si="96"/>
        <v>5.4</v>
      </c>
      <c r="BH214">
        <f t="shared" si="97"/>
        <v>11.8</v>
      </c>
      <c r="BI214">
        <f t="shared" si="98"/>
        <v>0.38</v>
      </c>
      <c r="BJ214">
        <f t="shared" si="99"/>
        <v>1.79</v>
      </c>
      <c r="BK214">
        <f t="shared" si="100"/>
        <v>0</v>
      </c>
      <c r="BL214">
        <f t="shared" si="101"/>
        <v>0</v>
      </c>
      <c r="BM214">
        <f t="shared" si="102"/>
        <v>0.90400000000000003</v>
      </c>
      <c r="BN214">
        <f t="shared" si="103"/>
        <v>2.2469999999999999</v>
      </c>
    </row>
    <row r="215" spans="1:66" x14ac:dyDescent="0.25">
      <c r="A215">
        <v>2024</v>
      </c>
      <c r="B215" s="1">
        <f t="shared" si="105"/>
        <v>45501</v>
      </c>
      <c r="C215" s="2">
        <v>210</v>
      </c>
      <c r="D215">
        <v>70</v>
      </c>
      <c r="E215" s="6">
        <v>12.9</v>
      </c>
      <c r="F215" s="6">
        <v>17.27</v>
      </c>
      <c r="G215" s="6">
        <v>30.03</v>
      </c>
      <c r="H215" s="6">
        <v>8.5</v>
      </c>
      <c r="I215" s="6">
        <v>19.559999999999999</v>
      </c>
      <c r="J215" s="6">
        <v>17.95</v>
      </c>
      <c r="K215" s="6">
        <v>50.2</v>
      </c>
      <c r="L215" s="6"/>
      <c r="M215" s="6">
        <v>18.78</v>
      </c>
      <c r="N215" s="6">
        <v>13.98</v>
      </c>
      <c r="O215" s="6">
        <v>27.8</v>
      </c>
      <c r="P215" s="6">
        <v>78.8</v>
      </c>
      <c r="Q215" s="6"/>
      <c r="R215" s="6">
        <v>41.3</v>
      </c>
      <c r="S215" s="6">
        <v>16.059999999999999</v>
      </c>
      <c r="T215" s="6">
        <v>10.16</v>
      </c>
      <c r="U215" s="6">
        <v>22.85</v>
      </c>
      <c r="V215" s="6"/>
      <c r="W215" s="6">
        <v>7.6</v>
      </c>
      <c r="X215" s="6">
        <v>12.5</v>
      </c>
      <c r="Y215" s="6">
        <v>0.76300000000000001</v>
      </c>
      <c r="Z215" s="6">
        <v>1.994</v>
      </c>
      <c r="AA215" s="6">
        <v>0</v>
      </c>
      <c r="AB215" s="6">
        <v>1.8979999999999999</v>
      </c>
      <c r="AC215" s="6">
        <v>30.27</v>
      </c>
      <c r="AD215" s="6">
        <v>8.74</v>
      </c>
      <c r="AE215" s="6">
        <v>0.01</v>
      </c>
      <c r="AF215" s="6">
        <v>7.0000000000000001E-3</v>
      </c>
      <c r="AG215" s="6">
        <v>1.851</v>
      </c>
      <c r="AH215" s="6"/>
      <c r="AI215" s="6"/>
      <c r="AK215" s="22">
        <f t="shared" si="83"/>
        <v>0</v>
      </c>
      <c r="AL215">
        <f t="shared" si="106"/>
        <v>359.4000000000002</v>
      </c>
      <c r="AM215" s="4">
        <v>29.55</v>
      </c>
      <c r="AN215">
        <v>19.559999999999999</v>
      </c>
      <c r="AP215" s="7">
        <f t="shared" si="104"/>
        <v>0.85399999999999998</v>
      </c>
      <c r="AQ215" s="7">
        <f t="shared" si="84"/>
        <v>2.883</v>
      </c>
      <c r="AS215">
        <f t="shared" si="85"/>
        <v>19.559999999999999</v>
      </c>
      <c r="AT215">
        <f t="shared" si="86"/>
        <v>18</v>
      </c>
      <c r="AU215">
        <f t="shared" si="87"/>
        <v>50.2</v>
      </c>
      <c r="AV215" t="s">
        <v>104</v>
      </c>
      <c r="AW215">
        <f t="shared" si="88"/>
        <v>18.8</v>
      </c>
      <c r="AX215">
        <f t="shared" si="89"/>
        <v>14</v>
      </c>
      <c r="AY215">
        <f t="shared" si="90"/>
        <v>27.8</v>
      </c>
      <c r="AZ215">
        <f t="shared" si="91"/>
        <v>78.8</v>
      </c>
      <c r="BA215" t="s">
        <v>104</v>
      </c>
      <c r="BB215">
        <f t="shared" si="92"/>
        <v>41.3</v>
      </c>
      <c r="BC215">
        <f t="shared" si="93"/>
        <v>16.100000000000001</v>
      </c>
      <c r="BD215">
        <f t="shared" si="94"/>
        <v>10.199999999999999</v>
      </c>
      <c r="BE215">
        <f t="shared" si="95"/>
        <v>22.9</v>
      </c>
      <c r="BF215" t="s">
        <v>104</v>
      </c>
      <c r="BG215">
        <f t="shared" si="96"/>
        <v>7.6</v>
      </c>
      <c r="BH215">
        <f t="shared" si="97"/>
        <v>12.5</v>
      </c>
      <c r="BI215">
        <f t="shared" si="98"/>
        <v>0.76</v>
      </c>
      <c r="BJ215">
        <f t="shared" si="99"/>
        <v>1.99</v>
      </c>
      <c r="BK215">
        <f t="shared" si="100"/>
        <v>0</v>
      </c>
      <c r="BL215">
        <f t="shared" si="101"/>
        <v>0</v>
      </c>
      <c r="BM215">
        <f t="shared" si="102"/>
        <v>0.85399999999999998</v>
      </c>
      <c r="BN215">
        <f t="shared" si="103"/>
        <v>2.883</v>
      </c>
    </row>
    <row r="216" spans="1:66" x14ac:dyDescent="0.25">
      <c r="A216">
        <v>2024</v>
      </c>
      <c r="B216" s="1">
        <f t="shared" si="105"/>
        <v>45502</v>
      </c>
      <c r="C216" s="2">
        <v>211</v>
      </c>
      <c r="D216">
        <v>70</v>
      </c>
      <c r="E216" s="6">
        <v>12.8</v>
      </c>
      <c r="F216" s="6">
        <v>12.76</v>
      </c>
      <c r="G216" s="6">
        <v>18.64</v>
      </c>
      <c r="H216" s="6">
        <v>10.46</v>
      </c>
      <c r="I216" s="6">
        <v>7.46</v>
      </c>
      <c r="J216" s="6">
        <v>13.14</v>
      </c>
      <c r="K216" s="6">
        <v>79.900000000000006</v>
      </c>
      <c r="L216" s="6"/>
      <c r="M216" s="6">
        <v>13.38</v>
      </c>
      <c r="N216" s="6">
        <v>13.87</v>
      </c>
      <c r="O216" s="6">
        <v>19.96</v>
      </c>
      <c r="P216" s="6">
        <v>90</v>
      </c>
      <c r="Q216" s="6"/>
      <c r="R216" s="6">
        <v>28.07</v>
      </c>
      <c r="S216" s="6">
        <v>15.18</v>
      </c>
      <c r="T216" s="6">
        <v>10.9</v>
      </c>
      <c r="U216" s="6">
        <v>58.01</v>
      </c>
      <c r="V216" s="6"/>
      <c r="W216" s="6">
        <v>10.6</v>
      </c>
      <c r="X216" s="6">
        <v>13.17</v>
      </c>
      <c r="Y216" s="6">
        <v>0.72199999999999998</v>
      </c>
      <c r="Z216" s="6">
        <v>2.14</v>
      </c>
      <c r="AA216" s="6">
        <v>4</v>
      </c>
      <c r="AB216" s="6">
        <v>1.9039999999999999</v>
      </c>
      <c r="AC216" s="6">
        <v>18.149999999999999</v>
      </c>
      <c r="AD216" s="6">
        <v>10.73</v>
      </c>
      <c r="AE216" s="6">
        <v>0.01</v>
      </c>
      <c r="AF216" s="6">
        <v>7.0000000000000001E-3</v>
      </c>
      <c r="AG216" s="6">
        <v>1.865</v>
      </c>
      <c r="AH216" s="6"/>
      <c r="AI216" s="6"/>
      <c r="AK216" s="22">
        <f t="shared" si="83"/>
        <v>4</v>
      </c>
      <c r="AL216">
        <f t="shared" si="106"/>
        <v>363.4000000000002</v>
      </c>
      <c r="AM216" s="4">
        <v>29.39</v>
      </c>
      <c r="AN216">
        <v>7.46</v>
      </c>
      <c r="AP216" s="7">
        <f t="shared" si="104"/>
        <v>1.353</v>
      </c>
      <c r="AQ216" s="7">
        <f t="shared" si="84"/>
        <v>0.97899999999999998</v>
      </c>
      <c r="AS216">
        <f t="shared" si="85"/>
        <v>7.46</v>
      </c>
      <c r="AT216">
        <f t="shared" si="86"/>
        <v>13.1</v>
      </c>
      <c r="AU216">
        <f t="shared" si="87"/>
        <v>79.900000000000006</v>
      </c>
      <c r="AV216" t="s">
        <v>104</v>
      </c>
      <c r="AW216">
        <f t="shared" si="88"/>
        <v>13.4</v>
      </c>
      <c r="AX216">
        <f t="shared" si="89"/>
        <v>13.9</v>
      </c>
      <c r="AY216">
        <f t="shared" si="90"/>
        <v>20</v>
      </c>
      <c r="AZ216">
        <f t="shared" si="91"/>
        <v>90</v>
      </c>
      <c r="BA216" t="s">
        <v>104</v>
      </c>
      <c r="BB216">
        <f t="shared" si="92"/>
        <v>28.1</v>
      </c>
      <c r="BC216">
        <f t="shared" si="93"/>
        <v>15.2</v>
      </c>
      <c r="BD216">
        <f t="shared" si="94"/>
        <v>10.9</v>
      </c>
      <c r="BE216">
        <f t="shared" si="95"/>
        <v>58</v>
      </c>
      <c r="BF216" t="s">
        <v>104</v>
      </c>
      <c r="BG216">
        <f t="shared" si="96"/>
        <v>10.6</v>
      </c>
      <c r="BH216">
        <f t="shared" si="97"/>
        <v>13.2</v>
      </c>
      <c r="BI216">
        <f t="shared" si="98"/>
        <v>0.72</v>
      </c>
      <c r="BJ216">
        <f t="shared" si="99"/>
        <v>2.14</v>
      </c>
      <c r="BK216">
        <f t="shared" si="100"/>
        <v>0</v>
      </c>
      <c r="BL216">
        <f t="shared" si="101"/>
        <v>4</v>
      </c>
      <c r="BM216">
        <f t="shared" si="102"/>
        <v>1.353</v>
      </c>
      <c r="BN216">
        <f t="shared" si="103"/>
        <v>0.97899999999999998</v>
      </c>
    </row>
    <row r="217" spans="1:66" x14ac:dyDescent="0.25">
      <c r="A217">
        <v>2024</v>
      </c>
      <c r="B217" s="1">
        <f t="shared" si="105"/>
        <v>45503</v>
      </c>
      <c r="C217" s="2">
        <v>212</v>
      </c>
      <c r="D217">
        <v>70</v>
      </c>
      <c r="E217" s="6">
        <v>12.87</v>
      </c>
      <c r="F217" s="6">
        <v>14.97</v>
      </c>
      <c r="G217" s="6">
        <v>22.32</v>
      </c>
      <c r="H217" s="6">
        <v>9.07</v>
      </c>
      <c r="I217" s="6">
        <v>11.19</v>
      </c>
      <c r="J217" s="6">
        <v>15.32</v>
      </c>
      <c r="K217" s="6">
        <v>70.8</v>
      </c>
      <c r="L217" s="6"/>
      <c r="M217" s="6">
        <v>15.45</v>
      </c>
      <c r="N217" s="6">
        <v>13.99</v>
      </c>
      <c r="O217" s="6">
        <v>22.31</v>
      </c>
      <c r="P217" s="6">
        <v>91.9</v>
      </c>
      <c r="Q217" s="6"/>
      <c r="R217" s="6">
        <v>29.94</v>
      </c>
      <c r="S217" s="6">
        <v>15.24</v>
      </c>
      <c r="T217" s="6">
        <v>9.76</v>
      </c>
      <c r="U217" s="6">
        <v>44.09</v>
      </c>
      <c r="V217" s="6"/>
      <c r="W217" s="6">
        <v>9</v>
      </c>
      <c r="X217" s="6">
        <v>12.94</v>
      </c>
      <c r="Y217" s="6">
        <v>0.56299999999999994</v>
      </c>
      <c r="Z217" s="6">
        <v>2.4340000000000002</v>
      </c>
      <c r="AA217" s="6">
        <v>0.1</v>
      </c>
      <c r="AB217" s="6">
        <v>1.919</v>
      </c>
      <c r="AC217" s="6">
        <v>22.21</v>
      </c>
      <c r="AD217" s="6">
        <v>9.31</v>
      </c>
      <c r="AE217" s="6">
        <v>0.01</v>
      </c>
      <c r="AF217" s="6">
        <v>7.0000000000000001E-3</v>
      </c>
      <c r="AG217" s="6">
        <v>1.879</v>
      </c>
      <c r="AH217" s="6"/>
      <c r="AI217" s="6"/>
      <c r="AK217" s="22">
        <f t="shared" si="83"/>
        <v>0.1</v>
      </c>
      <c r="AL217">
        <f t="shared" si="106"/>
        <v>363.50000000000023</v>
      </c>
      <c r="AM217" s="4">
        <v>29.22</v>
      </c>
      <c r="AN217">
        <v>11.18</v>
      </c>
      <c r="AP217" s="7">
        <f t="shared" si="104"/>
        <v>1.1879999999999999</v>
      </c>
      <c r="AQ217" s="7">
        <f t="shared" si="84"/>
        <v>1.506</v>
      </c>
      <c r="AS217">
        <f t="shared" si="85"/>
        <v>11.18</v>
      </c>
      <c r="AT217">
        <f t="shared" si="86"/>
        <v>15.3</v>
      </c>
      <c r="AU217">
        <f t="shared" si="87"/>
        <v>70.8</v>
      </c>
      <c r="AV217" t="s">
        <v>104</v>
      </c>
      <c r="AW217">
        <f t="shared" si="88"/>
        <v>15.5</v>
      </c>
      <c r="AX217">
        <f t="shared" si="89"/>
        <v>14</v>
      </c>
      <c r="AY217">
        <f t="shared" si="90"/>
        <v>22.3</v>
      </c>
      <c r="AZ217">
        <f t="shared" si="91"/>
        <v>91.9</v>
      </c>
      <c r="BA217" t="s">
        <v>104</v>
      </c>
      <c r="BB217">
        <f t="shared" si="92"/>
        <v>29.9</v>
      </c>
      <c r="BC217">
        <f t="shared" si="93"/>
        <v>15.2</v>
      </c>
      <c r="BD217">
        <f t="shared" si="94"/>
        <v>9.8000000000000007</v>
      </c>
      <c r="BE217">
        <f t="shared" si="95"/>
        <v>44.1</v>
      </c>
      <c r="BF217" t="s">
        <v>104</v>
      </c>
      <c r="BG217">
        <f t="shared" si="96"/>
        <v>9</v>
      </c>
      <c r="BH217">
        <f t="shared" si="97"/>
        <v>12.9</v>
      </c>
      <c r="BI217">
        <f t="shared" si="98"/>
        <v>0.56000000000000005</v>
      </c>
      <c r="BJ217">
        <f t="shared" si="99"/>
        <v>2.4300000000000002</v>
      </c>
      <c r="BK217">
        <f t="shared" si="100"/>
        <v>0</v>
      </c>
      <c r="BL217">
        <f t="shared" si="101"/>
        <v>0.1</v>
      </c>
      <c r="BM217">
        <f t="shared" si="102"/>
        <v>1.1879999999999999</v>
      </c>
      <c r="BN217">
        <f t="shared" si="103"/>
        <v>1.506</v>
      </c>
    </row>
    <row r="218" spans="1:66" x14ac:dyDescent="0.25">
      <c r="A218">
        <v>2024</v>
      </c>
      <c r="B218" s="1">
        <f t="shared" si="105"/>
        <v>45504</v>
      </c>
      <c r="C218" s="2">
        <v>213</v>
      </c>
      <c r="D218">
        <v>70</v>
      </c>
      <c r="E218" s="6">
        <v>12.92</v>
      </c>
      <c r="F218" s="6">
        <v>17.54</v>
      </c>
      <c r="G218" s="6">
        <v>30.52</v>
      </c>
      <c r="H218" s="6">
        <v>7.93</v>
      </c>
      <c r="I218" s="6">
        <v>21.41</v>
      </c>
      <c r="J218" s="6">
        <v>18.059999999999999</v>
      </c>
      <c r="K218" s="6">
        <v>59.29</v>
      </c>
      <c r="L218" s="6"/>
      <c r="M218" s="6">
        <v>19.43</v>
      </c>
      <c r="N218" s="6">
        <v>14.38</v>
      </c>
      <c r="O218" s="6">
        <v>29.21</v>
      </c>
      <c r="P218" s="6">
        <v>90</v>
      </c>
      <c r="Q218" s="6"/>
      <c r="R218" s="6">
        <v>44.25</v>
      </c>
      <c r="S218" s="6">
        <v>17.04</v>
      </c>
      <c r="T218" s="6">
        <v>9.2899999999999991</v>
      </c>
      <c r="U218" s="6">
        <v>26.41</v>
      </c>
      <c r="V218" s="6"/>
      <c r="W218" s="6">
        <v>7.33</v>
      </c>
      <c r="X218" s="6">
        <v>12.48</v>
      </c>
      <c r="Y218" s="6">
        <v>0.752</v>
      </c>
      <c r="Z218" s="6">
        <v>2.2069999999999999</v>
      </c>
      <c r="AA218" s="6">
        <v>0</v>
      </c>
      <c r="AB218" s="6">
        <v>1.867</v>
      </c>
      <c r="AC218" s="6">
        <v>30.47</v>
      </c>
      <c r="AD218" s="6">
        <v>8.1199999999999992</v>
      </c>
      <c r="AE218" s="6">
        <v>1.0999999999999999E-2</v>
      </c>
      <c r="AF218" s="6">
        <v>7.0000000000000001E-3</v>
      </c>
      <c r="AG218" s="6">
        <v>1.8180000000000001</v>
      </c>
      <c r="AH218" s="6"/>
      <c r="AI218" s="6"/>
      <c r="AK218" s="22">
        <f t="shared" si="83"/>
        <v>0</v>
      </c>
      <c r="AL218">
        <f t="shared" si="106"/>
        <v>363.50000000000023</v>
      </c>
      <c r="AM218" s="4">
        <v>29.05</v>
      </c>
      <c r="AN218">
        <v>21.41</v>
      </c>
      <c r="AP218" s="7">
        <f t="shared" si="104"/>
        <v>1.071</v>
      </c>
      <c r="AQ218" s="7">
        <f t="shared" si="84"/>
        <v>2.984</v>
      </c>
      <c r="AS218">
        <f t="shared" si="85"/>
        <v>21.41</v>
      </c>
      <c r="AT218">
        <f t="shared" si="86"/>
        <v>18.100000000000001</v>
      </c>
      <c r="AU218">
        <f t="shared" si="87"/>
        <v>59.3</v>
      </c>
      <c r="AV218" t="s">
        <v>104</v>
      </c>
      <c r="AW218">
        <f t="shared" si="88"/>
        <v>19.399999999999999</v>
      </c>
      <c r="AX218">
        <f t="shared" si="89"/>
        <v>14.4</v>
      </c>
      <c r="AY218">
        <f t="shared" si="90"/>
        <v>29.2</v>
      </c>
      <c r="AZ218">
        <f t="shared" si="91"/>
        <v>90</v>
      </c>
      <c r="BA218" t="s">
        <v>104</v>
      </c>
      <c r="BB218">
        <f t="shared" si="92"/>
        <v>44.3</v>
      </c>
      <c r="BC218">
        <f t="shared" si="93"/>
        <v>17</v>
      </c>
      <c r="BD218">
        <f t="shared" si="94"/>
        <v>9.3000000000000007</v>
      </c>
      <c r="BE218">
        <f t="shared" si="95"/>
        <v>26.4</v>
      </c>
      <c r="BF218" t="s">
        <v>104</v>
      </c>
      <c r="BG218">
        <f t="shared" si="96"/>
        <v>7.3</v>
      </c>
      <c r="BH218">
        <f t="shared" si="97"/>
        <v>12.5</v>
      </c>
      <c r="BI218">
        <f t="shared" si="98"/>
        <v>0.75</v>
      </c>
      <c r="BJ218">
        <f t="shared" si="99"/>
        <v>2.21</v>
      </c>
      <c r="BK218">
        <f t="shared" si="100"/>
        <v>0</v>
      </c>
      <c r="BL218">
        <f t="shared" si="101"/>
        <v>0</v>
      </c>
      <c r="BM218">
        <f t="shared" si="102"/>
        <v>1.071</v>
      </c>
      <c r="BN218">
        <f t="shared" si="103"/>
        <v>2.984</v>
      </c>
    </row>
    <row r="219" spans="1:66" x14ac:dyDescent="0.25">
      <c r="A219">
        <v>2024</v>
      </c>
      <c r="B219" s="1">
        <f t="shared" si="105"/>
        <v>45505</v>
      </c>
      <c r="C219" s="2">
        <v>214</v>
      </c>
      <c r="D219">
        <v>70</v>
      </c>
      <c r="E219" s="6">
        <v>12.9</v>
      </c>
      <c r="F219" s="6">
        <v>19.920000000000002</v>
      </c>
      <c r="G219" s="6">
        <v>33.909999999999997</v>
      </c>
      <c r="H219" s="6">
        <v>9.57</v>
      </c>
      <c r="I219" s="6">
        <v>21.73</v>
      </c>
      <c r="J219" s="6">
        <v>20.93</v>
      </c>
      <c r="K219" s="6">
        <v>43.66</v>
      </c>
      <c r="L219" s="6"/>
      <c r="M219" s="6">
        <v>21.73</v>
      </c>
      <c r="N219" s="6">
        <v>14.86</v>
      </c>
      <c r="O219" s="6">
        <v>32.880000000000003</v>
      </c>
      <c r="P219" s="6">
        <v>76.7</v>
      </c>
      <c r="Q219" s="6"/>
      <c r="R219" s="6">
        <v>48.05</v>
      </c>
      <c r="S219" s="6">
        <v>16.97</v>
      </c>
      <c r="T219" s="6">
        <v>11.5</v>
      </c>
      <c r="U219" s="6">
        <v>12.43</v>
      </c>
      <c r="V219" s="6"/>
      <c r="W219" s="6">
        <v>8.9600000000000009</v>
      </c>
      <c r="X219" s="6">
        <v>13.23</v>
      </c>
      <c r="Y219" s="6">
        <v>0.51100000000000001</v>
      </c>
      <c r="Z219" s="6">
        <v>2.5139999999999998</v>
      </c>
      <c r="AA219" s="6">
        <v>0</v>
      </c>
      <c r="AB219" s="6">
        <v>1.893</v>
      </c>
      <c r="AC219" s="6">
        <v>34.24</v>
      </c>
      <c r="AD219" s="6">
        <v>9.76</v>
      </c>
      <c r="AE219" s="6">
        <v>0.01</v>
      </c>
      <c r="AF219" s="6">
        <v>7.0000000000000001E-3</v>
      </c>
      <c r="AG219" s="6">
        <v>1.833</v>
      </c>
      <c r="AH219" s="6"/>
      <c r="AI219" s="6"/>
      <c r="AK219" s="22">
        <f t="shared" si="83"/>
        <v>0</v>
      </c>
      <c r="AL219">
        <f t="shared" si="106"/>
        <v>363.50000000000023</v>
      </c>
      <c r="AM219" s="4">
        <v>28.88</v>
      </c>
      <c r="AN219">
        <v>21.73</v>
      </c>
      <c r="AP219" s="7">
        <f t="shared" si="104"/>
        <v>0.621</v>
      </c>
      <c r="AQ219" s="7">
        <f t="shared" si="84"/>
        <v>4.375</v>
      </c>
      <c r="AS219">
        <f t="shared" si="85"/>
        <v>21.73</v>
      </c>
      <c r="AT219">
        <f t="shared" si="86"/>
        <v>20.9</v>
      </c>
      <c r="AU219">
        <f t="shared" si="87"/>
        <v>43.7</v>
      </c>
      <c r="AV219" t="s">
        <v>104</v>
      </c>
      <c r="AW219">
        <f t="shared" si="88"/>
        <v>21.7</v>
      </c>
      <c r="AX219">
        <f t="shared" si="89"/>
        <v>14.9</v>
      </c>
      <c r="AY219">
        <f t="shared" si="90"/>
        <v>32.9</v>
      </c>
      <c r="AZ219">
        <f t="shared" si="91"/>
        <v>76.7</v>
      </c>
      <c r="BA219" t="s">
        <v>104</v>
      </c>
      <c r="BB219">
        <f t="shared" si="92"/>
        <v>48.1</v>
      </c>
      <c r="BC219">
        <f t="shared" si="93"/>
        <v>17</v>
      </c>
      <c r="BD219">
        <f t="shared" si="94"/>
        <v>11.5</v>
      </c>
      <c r="BE219">
        <f t="shared" si="95"/>
        <v>12.4</v>
      </c>
      <c r="BF219" t="s">
        <v>104</v>
      </c>
      <c r="BG219">
        <f t="shared" si="96"/>
        <v>9</v>
      </c>
      <c r="BH219">
        <f t="shared" si="97"/>
        <v>13.2</v>
      </c>
      <c r="BI219">
        <f t="shared" si="98"/>
        <v>0.51</v>
      </c>
      <c r="BJ219">
        <f t="shared" si="99"/>
        <v>2.5099999999999998</v>
      </c>
      <c r="BK219">
        <f t="shared" si="100"/>
        <v>0</v>
      </c>
      <c r="BL219">
        <f t="shared" si="101"/>
        <v>0</v>
      </c>
      <c r="BM219">
        <f t="shared" si="102"/>
        <v>0.621</v>
      </c>
      <c r="BN219">
        <f t="shared" si="103"/>
        <v>4.375</v>
      </c>
    </row>
    <row r="220" spans="1:66" x14ac:dyDescent="0.25">
      <c r="A220">
        <v>2024</v>
      </c>
      <c r="B220" s="1">
        <f t="shared" si="105"/>
        <v>45506</v>
      </c>
      <c r="C220" s="2">
        <v>215</v>
      </c>
      <c r="D220">
        <v>70</v>
      </c>
      <c r="E220" s="6">
        <v>12.9</v>
      </c>
      <c r="F220" s="6">
        <v>22.13</v>
      </c>
      <c r="G220" s="6">
        <v>34.520000000000003</v>
      </c>
      <c r="H220" s="6">
        <v>13.84</v>
      </c>
      <c r="I220" s="6">
        <v>16.43</v>
      </c>
      <c r="J220" s="6">
        <v>23.37</v>
      </c>
      <c r="K220" s="6">
        <v>34.86</v>
      </c>
      <c r="L220" s="6"/>
      <c r="M220" s="6">
        <v>22.65</v>
      </c>
      <c r="N220" s="6">
        <v>15.19</v>
      </c>
      <c r="O220" s="6">
        <v>33.619999999999997</v>
      </c>
      <c r="P220" s="6">
        <v>54.32</v>
      </c>
      <c r="Q220" s="6"/>
      <c r="R220" s="6">
        <v>45.31</v>
      </c>
      <c r="S220" s="6">
        <v>16.7</v>
      </c>
      <c r="T220" s="6">
        <v>15.79</v>
      </c>
      <c r="U220" s="6">
        <v>15.25</v>
      </c>
      <c r="V220" s="6"/>
      <c r="W220" s="6">
        <v>12.84</v>
      </c>
      <c r="X220" s="6">
        <v>13.35</v>
      </c>
      <c r="Y220" s="6">
        <v>0.42899999999999999</v>
      </c>
      <c r="Z220" s="6">
        <v>1.86</v>
      </c>
      <c r="AA220" s="6">
        <v>0</v>
      </c>
      <c r="AB220" s="6">
        <v>1.9219999999999999</v>
      </c>
      <c r="AC220" s="6">
        <v>34.46</v>
      </c>
      <c r="AD220" s="6">
        <v>14.1</v>
      </c>
      <c r="AE220" s="6">
        <v>0.01</v>
      </c>
      <c r="AF220" s="6">
        <v>7.0000000000000001E-3</v>
      </c>
      <c r="AG220" s="6">
        <v>1.855</v>
      </c>
      <c r="AH220" s="6"/>
      <c r="AI220" s="6"/>
      <c r="AK220" s="22">
        <f t="shared" si="83"/>
        <v>0</v>
      </c>
      <c r="AL220">
        <f t="shared" si="106"/>
        <v>363.50000000000023</v>
      </c>
      <c r="AM220" s="4">
        <v>28.71</v>
      </c>
      <c r="AN220">
        <v>16.43</v>
      </c>
      <c r="AP220" s="7">
        <f t="shared" si="104"/>
        <v>0.79400000000000004</v>
      </c>
      <c r="AQ220" s="7">
        <f t="shared" si="84"/>
        <v>4.4130000000000003</v>
      </c>
      <c r="AS220">
        <f t="shared" si="85"/>
        <v>16.43</v>
      </c>
      <c r="AT220">
        <f t="shared" si="86"/>
        <v>23.4</v>
      </c>
      <c r="AU220">
        <f t="shared" si="87"/>
        <v>34.9</v>
      </c>
      <c r="AV220" t="s">
        <v>104</v>
      </c>
      <c r="AW220">
        <f t="shared" si="88"/>
        <v>22.7</v>
      </c>
      <c r="AX220">
        <f t="shared" si="89"/>
        <v>15.2</v>
      </c>
      <c r="AY220">
        <f t="shared" si="90"/>
        <v>33.6</v>
      </c>
      <c r="AZ220">
        <f t="shared" si="91"/>
        <v>54.3</v>
      </c>
      <c r="BA220" t="s">
        <v>104</v>
      </c>
      <c r="BB220">
        <f t="shared" si="92"/>
        <v>45.3</v>
      </c>
      <c r="BC220">
        <f t="shared" si="93"/>
        <v>16.7</v>
      </c>
      <c r="BD220">
        <f t="shared" si="94"/>
        <v>15.8</v>
      </c>
      <c r="BE220">
        <f t="shared" si="95"/>
        <v>15.3</v>
      </c>
      <c r="BF220" t="s">
        <v>104</v>
      </c>
      <c r="BG220">
        <f t="shared" si="96"/>
        <v>12.8</v>
      </c>
      <c r="BH220">
        <f t="shared" si="97"/>
        <v>13.4</v>
      </c>
      <c r="BI220">
        <f t="shared" si="98"/>
        <v>0.43</v>
      </c>
      <c r="BJ220">
        <f t="shared" si="99"/>
        <v>1.86</v>
      </c>
      <c r="BK220">
        <f t="shared" si="100"/>
        <v>0</v>
      </c>
      <c r="BL220">
        <f t="shared" si="101"/>
        <v>0</v>
      </c>
      <c r="BM220">
        <f t="shared" si="102"/>
        <v>0.79400000000000004</v>
      </c>
      <c r="BN220">
        <f t="shared" si="103"/>
        <v>4.4130000000000003</v>
      </c>
    </row>
    <row r="221" spans="1:66" x14ac:dyDescent="0.25">
      <c r="A221">
        <v>2024</v>
      </c>
      <c r="B221" s="1">
        <f t="shared" si="105"/>
        <v>45507</v>
      </c>
      <c r="C221" s="2">
        <v>216</v>
      </c>
      <c r="D221">
        <v>70</v>
      </c>
      <c r="E221" s="6">
        <v>12.9</v>
      </c>
      <c r="F221" s="6">
        <v>22.63</v>
      </c>
      <c r="G221" s="6">
        <v>35.770000000000003</v>
      </c>
      <c r="H221" s="6">
        <v>15.39</v>
      </c>
      <c r="I221" s="6">
        <v>20.41</v>
      </c>
      <c r="J221" s="6">
        <v>23.36</v>
      </c>
      <c r="K221" s="6">
        <v>38.5</v>
      </c>
      <c r="L221" s="6"/>
      <c r="M221" s="6">
        <v>23.8</v>
      </c>
      <c r="N221" s="6">
        <v>15.74</v>
      </c>
      <c r="O221" s="6">
        <v>33.08</v>
      </c>
      <c r="P221" s="6">
        <v>62.11</v>
      </c>
      <c r="Q221" s="6"/>
      <c r="R221" s="6">
        <v>47.21</v>
      </c>
      <c r="S221" s="6">
        <v>17.72</v>
      </c>
      <c r="T221" s="6">
        <v>17.07</v>
      </c>
      <c r="U221" s="6">
        <v>18.27</v>
      </c>
      <c r="V221" s="6"/>
      <c r="W221" s="6">
        <v>14.26</v>
      </c>
      <c r="X221" s="6">
        <v>14.36</v>
      </c>
      <c r="Y221" s="6">
        <v>0.55100000000000005</v>
      </c>
      <c r="Z221" s="6">
        <v>1.994</v>
      </c>
      <c r="AA221" s="6">
        <v>0</v>
      </c>
      <c r="AB221" s="6">
        <v>1.9119999999999999</v>
      </c>
      <c r="AC221" s="6">
        <v>35.89</v>
      </c>
      <c r="AD221" s="6">
        <v>15.81</v>
      </c>
      <c r="AE221" s="6">
        <v>1.0999999999999999E-2</v>
      </c>
      <c r="AF221" s="6">
        <v>7.0000000000000001E-3</v>
      </c>
      <c r="AG221" s="6">
        <v>1.8520000000000001</v>
      </c>
      <c r="AH221" s="6"/>
      <c r="AI221" s="6"/>
      <c r="AK221" s="22">
        <f t="shared" si="83"/>
        <v>0</v>
      </c>
      <c r="AL221">
        <f t="shared" si="106"/>
        <v>363.50000000000023</v>
      </c>
      <c r="AM221" s="4">
        <v>28.53</v>
      </c>
      <c r="AN221">
        <v>20.41</v>
      </c>
      <c r="AP221" s="7">
        <f t="shared" si="104"/>
        <v>0.92300000000000004</v>
      </c>
      <c r="AQ221" s="7">
        <f t="shared" si="84"/>
        <v>4.1289999999999996</v>
      </c>
      <c r="AS221">
        <f t="shared" si="85"/>
        <v>20.41</v>
      </c>
      <c r="AT221">
        <f t="shared" si="86"/>
        <v>23.4</v>
      </c>
      <c r="AU221">
        <f t="shared" si="87"/>
        <v>38.5</v>
      </c>
      <c r="AV221" t="s">
        <v>104</v>
      </c>
      <c r="AW221">
        <f t="shared" si="88"/>
        <v>23.8</v>
      </c>
      <c r="AX221">
        <f t="shared" si="89"/>
        <v>15.7</v>
      </c>
      <c r="AY221">
        <f t="shared" si="90"/>
        <v>33.1</v>
      </c>
      <c r="AZ221">
        <f t="shared" si="91"/>
        <v>62.1</v>
      </c>
      <c r="BA221" t="s">
        <v>104</v>
      </c>
      <c r="BB221">
        <f t="shared" si="92"/>
        <v>47.2</v>
      </c>
      <c r="BC221">
        <f t="shared" si="93"/>
        <v>17.7</v>
      </c>
      <c r="BD221">
        <f t="shared" si="94"/>
        <v>17.100000000000001</v>
      </c>
      <c r="BE221">
        <f t="shared" si="95"/>
        <v>18.3</v>
      </c>
      <c r="BF221" t="s">
        <v>104</v>
      </c>
      <c r="BG221">
        <f t="shared" si="96"/>
        <v>14.3</v>
      </c>
      <c r="BH221">
        <f t="shared" si="97"/>
        <v>14.4</v>
      </c>
      <c r="BI221">
        <f t="shared" si="98"/>
        <v>0.55000000000000004</v>
      </c>
      <c r="BJ221">
        <f t="shared" si="99"/>
        <v>1.99</v>
      </c>
      <c r="BK221">
        <f t="shared" si="100"/>
        <v>0</v>
      </c>
      <c r="BL221">
        <f t="shared" si="101"/>
        <v>0</v>
      </c>
      <c r="BM221">
        <f t="shared" si="102"/>
        <v>0.92300000000000004</v>
      </c>
      <c r="BN221">
        <f t="shared" si="103"/>
        <v>4.1289999999999996</v>
      </c>
    </row>
    <row r="222" spans="1:66" x14ac:dyDescent="0.25">
      <c r="A222">
        <v>2024</v>
      </c>
      <c r="B222" s="1">
        <f t="shared" si="105"/>
        <v>45508</v>
      </c>
      <c r="C222" s="2">
        <v>217</v>
      </c>
      <c r="D222">
        <v>70</v>
      </c>
      <c r="E222" s="6">
        <v>12.91</v>
      </c>
      <c r="F222" s="6">
        <v>21.65</v>
      </c>
      <c r="G222" s="6">
        <v>33.74</v>
      </c>
      <c r="H222" s="6">
        <v>13.82</v>
      </c>
      <c r="I222" s="6">
        <v>16.97</v>
      </c>
      <c r="J222" s="6">
        <v>22.69</v>
      </c>
      <c r="K222" s="6">
        <v>40.700000000000003</v>
      </c>
      <c r="L222" s="6"/>
      <c r="M222" s="6">
        <v>22.45</v>
      </c>
      <c r="N222" s="6">
        <v>15.57</v>
      </c>
      <c r="O222" s="6">
        <v>32.21</v>
      </c>
      <c r="P222" s="6">
        <v>62.92</v>
      </c>
      <c r="Q222" s="6"/>
      <c r="R222" s="6">
        <v>43.06</v>
      </c>
      <c r="S222" s="6">
        <v>17.32</v>
      </c>
      <c r="T222" s="6">
        <v>15.59</v>
      </c>
      <c r="U222" s="6">
        <v>16.32</v>
      </c>
      <c r="V222" s="6"/>
      <c r="W222" s="6">
        <v>13.11</v>
      </c>
      <c r="X222" s="6">
        <v>14.3</v>
      </c>
      <c r="Y222" s="6">
        <v>0.49</v>
      </c>
      <c r="Z222" s="6">
        <v>2.3940000000000001</v>
      </c>
      <c r="AA222" s="6">
        <v>0</v>
      </c>
      <c r="AB222" s="6">
        <v>2.1949999999999998</v>
      </c>
      <c r="AC222" s="6">
        <v>33.94</v>
      </c>
      <c r="AD222" s="6">
        <v>14.1</v>
      </c>
      <c r="AE222" s="6">
        <v>1.0999999999999999E-2</v>
      </c>
      <c r="AF222" s="6">
        <v>7.0000000000000001E-3</v>
      </c>
      <c r="AG222" s="6">
        <v>2.1240000000000001</v>
      </c>
      <c r="AH222" s="6"/>
      <c r="AI222" s="6"/>
      <c r="AK222" s="22">
        <f t="shared" si="83"/>
        <v>0</v>
      </c>
      <c r="AL222">
        <f t="shared" si="106"/>
        <v>363.50000000000023</v>
      </c>
      <c r="AM222" s="4">
        <v>28.35</v>
      </c>
      <c r="AN222">
        <v>16.97</v>
      </c>
      <c r="AP222" s="7">
        <f t="shared" si="104"/>
        <v>0.78500000000000003</v>
      </c>
      <c r="AQ222" s="7">
        <f t="shared" si="84"/>
        <v>4.0250000000000004</v>
      </c>
      <c r="AS222">
        <f t="shared" si="85"/>
        <v>16.97</v>
      </c>
      <c r="AT222">
        <f t="shared" si="86"/>
        <v>22.7</v>
      </c>
      <c r="AU222">
        <f t="shared" si="87"/>
        <v>40.700000000000003</v>
      </c>
      <c r="AV222" t="s">
        <v>104</v>
      </c>
      <c r="AW222">
        <f t="shared" si="88"/>
        <v>22.5</v>
      </c>
      <c r="AX222">
        <f t="shared" si="89"/>
        <v>15.6</v>
      </c>
      <c r="AY222">
        <f t="shared" si="90"/>
        <v>32.200000000000003</v>
      </c>
      <c r="AZ222">
        <f t="shared" si="91"/>
        <v>62.9</v>
      </c>
      <c r="BA222" t="s">
        <v>104</v>
      </c>
      <c r="BB222">
        <f t="shared" si="92"/>
        <v>43.1</v>
      </c>
      <c r="BC222">
        <f t="shared" si="93"/>
        <v>17.3</v>
      </c>
      <c r="BD222">
        <f t="shared" si="94"/>
        <v>15.6</v>
      </c>
      <c r="BE222">
        <f t="shared" si="95"/>
        <v>16.3</v>
      </c>
      <c r="BF222" t="s">
        <v>104</v>
      </c>
      <c r="BG222">
        <f t="shared" si="96"/>
        <v>13.1</v>
      </c>
      <c r="BH222">
        <f t="shared" si="97"/>
        <v>14.3</v>
      </c>
      <c r="BI222">
        <f t="shared" si="98"/>
        <v>0.49</v>
      </c>
      <c r="BJ222">
        <f t="shared" si="99"/>
        <v>2.39</v>
      </c>
      <c r="BK222">
        <f t="shared" si="100"/>
        <v>0</v>
      </c>
      <c r="BL222">
        <f t="shared" si="101"/>
        <v>0</v>
      </c>
      <c r="BM222">
        <f t="shared" si="102"/>
        <v>0.78500000000000003</v>
      </c>
      <c r="BN222">
        <f t="shared" si="103"/>
        <v>4.0250000000000004</v>
      </c>
    </row>
    <row r="223" spans="1:66" x14ac:dyDescent="0.25">
      <c r="A223">
        <v>2024</v>
      </c>
      <c r="B223" s="1">
        <f t="shared" si="105"/>
        <v>45509</v>
      </c>
      <c r="C223" s="2">
        <v>218</v>
      </c>
      <c r="D223">
        <v>70</v>
      </c>
      <c r="E223" s="6">
        <v>12.92</v>
      </c>
      <c r="F223" s="6">
        <v>18.899999999999999</v>
      </c>
      <c r="G223" s="6">
        <v>29.83</v>
      </c>
      <c r="H223" s="6">
        <v>11.75</v>
      </c>
      <c r="I223" s="6">
        <v>17.71</v>
      </c>
      <c r="J223" s="6">
        <v>19.38</v>
      </c>
      <c r="K223" s="6">
        <v>53.53</v>
      </c>
      <c r="L223" s="6"/>
      <c r="M223" s="6">
        <v>20.13</v>
      </c>
      <c r="N223" s="6">
        <v>15.52</v>
      </c>
      <c r="O223" s="6">
        <v>29.21</v>
      </c>
      <c r="P223" s="6">
        <v>90.1</v>
      </c>
      <c r="Q223" s="6"/>
      <c r="R223" s="6">
        <v>41.31</v>
      </c>
      <c r="S223" s="6">
        <v>16.93</v>
      </c>
      <c r="T223" s="6">
        <v>12.45</v>
      </c>
      <c r="U223" s="6">
        <v>24.79</v>
      </c>
      <c r="V223" s="6"/>
      <c r="W223" s="6">
        <v>11.79</v>
      </c>
      <c r="X223" s="6">
        <v>13.87</v>
      </c>
      <c r="Y223" s="6">
        <v>0.81</v>
      </c>
      <c r="Z223" s="6">
        <v>2.54</v>
      </c>
      <c r="AA223" s="6">
        <v>0.7</v>
      </c>
      <c r="AB223" s="6">
        <v>1.9119999999999999</v>
      </c>
      <c r="AC223" s="6">
        <v>29.89</v>
      </c>
      <c r="AD223" s="6">
        <v>11.97</v>
      </c>
      <c r="AE223" s="6">
        <v>1.0999999999999999E-2</v>
      </c>
      <c r="AF223" s="6">
        <v>7.0000000000000001E-3</v>
      </c>
      <c r="AG223" s="6">
        <v>1.865</v>
      </c>
      <c r="AH223" s="6"/>
      <c r="AI223" s="6"/>
      <c r="AK223" s="22">
        <f t="shared" si="83"/>
        <v>0.7</v>
      </c>
      <c r="AL223">
        <f t="shared" si="106"/>
        <v>364.20000000000022</v>
      </c>
      <c r="AM223" s="4">
        <v>28.16</v>
      </c>
      <c r="AN223">
        <v>17.71</v>
      </c>
      <c r="AP223" s="7">
        <f t="shared" si="104"/>
        <v>1.0049999999999999</v>
      </c>
      <c r="AQ223" s="7">
        <f t="shared" si="84"/>
        <v>3.0489999999999999</v>
      </c>
      <c r="AS223">
        <f t="shared" si="85"/>
        <v>17.71</v>
      </c>
      <c r="AT223">
        <f t="shared" si="86"/>
        <v>19.399999999999999</v>
      </c>
      <c r="AU223">
        <f t="shared" si="87"/>
        <v>53.5</v>
      </c>
      <c r="AV223" t="s">
        <v>104</v>
      </c>
      <c r="AW223">
        <f t="shared" si="88"/>
        <v>20.100000000000001</v>
      </c>
      <c r="AX223">
        <f t="shared" si="89"/>
        <v>15.5</v>
      </c>
      <c r="AY223">
        <f t="shared" si="90"/>
        <v>29.2</v>
      </c>
      <c r="AZ223">
        <f t="shared" si="91"/>
        <v>90.1</v>
      </c>
      <c r="BA223" t="s">
        <v>104</v>
      </c>
      <c r="BB223">
        <f t="shared" si="92"/>
        <v>41.3</v>
      </c>
      <c r="BC223">
        <f t="shared" si="93"/>
        <v>16.899999999999999</v>
      </c>
      <c r="BD223">
        <f t="shared" si="94"/>
        <v>12.5</v>
      </c>
      <c r="BE223">
        <f t="shared" si="95"/>
        <v>24.8</v>
      </c>
      <c r="BF223" t="s">
        <v>104</v>
      </c>
      <c r="BG223">
        <f t="shared" si="96"/>
        <v>11.8</v>
      </c>
      <c r="BH223">
        <f t="shared" si="97"/>
        <v>13.9</v>
      </c>
      <c r="BI223">
        <f t="shared" si="98"/>
        <v>0.81</v>
      </c>
      <c r="BJ223">
        <f t="shared" si="99"/>
        <v>2.54</v>
      </c>
      <c r="BK223">
        <f t="shared" si="100"/>
        <v>0</v>
      </c>
      <c r="BL223">
        <f t="shared" si="101"/>
        <v>0.7</v>
      </c>
      <c r="BM223">
        <f t="shared" si="102"/>
        <v>1.0049999999999999</v>
      </c>
      <c r="BN223">
        <f t="shared" si="103"/>
        <v>3.0489999999999999</v>
      </c>
    </row>
    <row r="224" spans="1:66" x14ac:dyDescent="0.25">
      <c r="A224">
        <v>2024</v>
      </c>
      <c r="B224" s="1">
        <f t="shared" si="105"/>
        <v>45510</v>
      </c>
      <c r="C224" s="2">
        <v>219</v>
      </c>
      <c r="D224">
        <v>70</v>
      </c>
      <c r="E224" s="6">
        <v>12.87</v>
      </c>
      <c r="F224" s="6">
        <v>15.8</v>
      </c>
      <c r="G224" s="6">
        <v>27.6</v>
      </c>
      <c r="H224" s="6">
        <v>7.12</v>
      </c>
      <c r="I224" s="6">
        <v>20.75</v>
      </c>
      <c r="J224" s="6">
        <v>16.239999999999998</v>
      </c>
      <c r="K224" s="6">
        <v>53.63</v>
      </c>
      <c r="L224" s="6"/>
      <c r="M224" s="6">
        <v>17.920000000000002</v>
      </c>
      <c r="N224" s="6">
        <v>14.7</v>
      </c>
      <c r="O224" s="6">
        <v>25.04</v>
      </c>
      <c r="P224" s="6">
        <v>88.6</v>
      </c>
      <c r="Q224" s="6"/>
      <c r="R224" s="6">
        <v>39.92</v>
      </c>
      <c r="S224" s="6">
        <v>16.510000000000002</v>
      </c>
      <c r="T224" s="6">
        <v>8.69</v>
      </c>
      <c r="U224" s="6">
        <v>24.53</v>
      </c>
      <c r="V224" s="6"/>
      <c r="W224" s="6">
        <v>7.39</v>
      </c>
      <c r="X224" s="6">
        <v>13.03</v>
      </c>
      <c r="Y224" s="6">
        <v>0.78100000000000003</v>
      </c>
      <c r="Z224" s="6">
        <v>2.54</v>
      </c>
      <c r="AA224" s="6">
        <v>0</v>
      </c>
      <c r="AB224" s="6">
        <v>1.8839999999999999</v>
      </c>
      <c r="AC224" s="6">
        <v>27.88</v>
      </c>
      <c r="AD224" s="6">
        <v>7.35</v>
      </c>
      <c r="AE224" s="6">
        <v>0.01</v>
      </c>
      <c r="AF224" s="6">
        <v>7.0000000000000001E-3</v>
      </c>
      <c r="AG224" s="6">
        <v>1.847</v>
      </c>
      <c r="AH224" s="6"/>
      <c r="AI224" s="6"/>
      <c r="AK224" s="22">
        <f t="shared" si="83"/>
        <v>0</v>
      </c>
      <c r="AL224">
        <f t="shared" si="106"/>
        <v>364.20000000000022</v>
      </c>
      <c r="AM224" s="4">
        <v>27.98</v>
      </c>
      <c r="AN224">
        <v>20.75</v>
      </c>
      <c r="AP224" s="7">
        <f t="shared" si="104"/>
        <v>0.77900000000000003</v>
      </c>
      <c r="AQ224" s="7">
        <f t="shared" si="84"/>
        <v>2.3969999999999998</v>
      </c>
      <c r="AS224">
        <f t="shared" si="85"/>
        <v>20.75</v>
      </c>
      <c r="AT224">
        <f t="shared" si="86"/>
        <v>16.2</v>
      </c>
      <c r="AU224">
        <f t="shared" si="87"/>
        <v>53.6</v>
      </c>
      <c r="AV224" t="s">
        <v>104</v>
      </c>
      <c r="AW224">
        <f t="shared" si="88"/>
        <v>17.899999999999999</v>
      </c>
      <c r="AX224">
        <f t="shared" si="89"/>
        <v>14.7</v>
      </c>
      <c r="AY224">
        <f t="shared" si="90"/>
        <v>25</v>
      </c>
      <c r="AZ224">
        <f t="shared" si="91"/>
        <v>88.6</v>
      </c>
      <c r="BA224" t="s">
        <v>104</v>
      </c>
      <c r="BB224">
        <f t="shared" si="92"/>
        <v>39.9</v>
      </c>
      <c r="BC224">
        <f t="shared" si="93"/>
        <v>16.5</v>
      </c>
      <c r="BD224">
        <f t="shared" si="94"/>
        <v>8.6999999999999993</v>
      </c>
      <c r="BE224">
        <f t="shared" si="95"/>
        <v>24.5</v>
      </c>
      <c r="BF224" t="s">
        <v>104</v>
      </c>
      <c r="BG224">
        <f t="shared" si="96"/>
        <v>7.4</v>
      </c>
      <c r="BH224">
        <f t="shared" si="97"/>
        <v>13</v>
      </c>
      <c r="BI224">
        <f t="shared" si="98"/>
        <v>0.78</v>
      </c>
      <c r="BJ224">
        <f t="shared" si="99"/>
        <v>2.54</v>
      </c>
      <c r="BK224">
        <f t="shared" si="100"/>
        <v>0</v>
      </c>
      <c r="BL224">
        <f t="shared" si="101"/>
        <v>0</v>
      </c>
      <c r="BM224">
        <f t="shared" si="102"/>
        <v>0.77900000000000003</v>
      </c>
      <c r="BN224">
        <f t="shared" si="103"/>
        <v>2.3969999999999998</v>
      </c>
    </row>
    <row r="225" spans="1:66" x14ac:dyDescent="0.25">
      <c r="A225">
        <v>2024</v>
      </c>
      <c r="B225" s="1">
        <f t="shared" si="105"/>
        <v>45511</v>
      </c>
      <c r="C225" s="2">
        <v>220</v>
      </c>
      <c r="D225">
        <v>70</v>
      </c>
      <c r="E225" s="6">
        <v>12.91</v>
      </c>
      <c r="F225" s="6">
        <v>15.53</v>
      </c>
      <c r="G225" s="6">
        <v>28.5</v>
      </c>
      <c r="H225" s="6">
        <v>6.5960000000000001</v>
      </c>
      <c r="I225" s="6">
        <v>17.18</v>
      </c>
      <c r="J225" s="6">
        <v>16.57</v>
      </c>
      <c r="K225" s="6">
        <v>50.96</v>
      </c>
      <c r="L225" s="6"/>
      <c r="M225" s="6">
        <v>16.899999999999999</v>
      </c>
      <c r="N225" s="6">
        <v>13.98</v>
      </c>
      <c r="O225" s="6">
        <v>26.79</v>
      </c>
      <c r="P225" s="6">
        <v>80.2</v>
      </c>
      <c r="Q225" s="6"/>
      <c r="R225" s="6">
        <v>41.35</v>
      </c>
      <c r="S225" s="6">
        <v>16.09</v>
      </c>
      <c r="T225" s="6">
        <v>8.49</v>
      </c>
      <c r="U225" s="6">
        <v>23.05</v>
      </c>
      <c r="V225" s="6"/>
      <c r="W225" s="6">
        <v>6.601</v>
      </c>
      <c r="X225" s="6">
        <v>12.47</v>
      </c>
      <c r="Y225" s="6">
        <v>0.46200000000000002</v>
      </c>
      <c r="Z225" s="6">
        <v>2.2599999999999998</v>
      </c>
      <c r="AA225" s="6">
        <v>0</v>
      </c>
      <c r="AB225" s="6">
        <v>1.8919999999999999</v>
      </c>
      <c r="AC225" s="6">
        <v>28.28</v>
      </c>
      <c r="AD225" s="6">
        <v>6.82</v>
      </c>
      <c r="AE225" s="6">
        <v>0.01</v>
      </c>
      <c r="AF225" s="6">
        <v>7.0000000000000001E-3</v>
      </c>
      <c r="AG225" s="6">
        <v>1.8460000000000001</v>
      </c>
      <c r="AH225" s="6"/>
      <c r="AI225" s="6"/>
      <c r="AK225" s="22">
        <f t="shared" si="83"/>
        <v>0</v>
      </c>
      <c r="AL225">
        <f t="shared" si="106"/>
        <v>364.20000000000022</v>
      </c>
      <c r="AM225" s="4">
        <v>27.78</v>
      </c>
      <c r="AN225">
        <v>17.18</v>
      </c>
      <c r="AP225" s="7">
        <f t="shared" si="104"/>
        <v>0.81200000000000006</v>
      </c>
      <c r="AQ225" s="7">
        <f t="shared" si="84"/>
        <v>2.7109999999999999</v>
      </c>
      <c r="AS225">
        <f t="shared" si="85"/>
        <v>17.18</v>
      </c>
      <c r="AT225">
        <f t="shared" si="86"/>
        <v>16.600000000000001</v>
      </c>
      <c r="AU225">
        <f t="shared" si="87"/>
        <v>51</v>
      </c>
      <c r="AV225" t="s">
        <v>104</v>
      </c>
      <c r="AW225">
        <f t="shared" si="88"/>
        <v>16.899999999999999</v>
      </c>
      <c r="AX225">
        <f t="shared" si="89"/>
        <v>14</v>
      </c>
      <c r="AY225">
        <f t="shared" si="90"/>
        <v>26.8</v>
      </c>
      <c r="AZ225">
        <f t="shared" si="91"/>
        <v>80.2</v>
      </c>
      <c r="BA225" t="s">
        <v>104</v>
      </c>
      <c r="BB225">
        <f t="shared" si="92"/>
        <v>41.4</v>
      </c>
      <c r="BC225">
        <f t="shared" si="93"/>
        <v>16.100000000000001</v>
      </c>
      <c r="BD225">
        <f t="shared" si="94"/>
        <v>8.5</v>
      </c>
      <c r="BE225">
        <f t="shared" si="95"/>
        <v>23.1</v>
      </c>
      <c r="BF225" t="s">
        <v>104</v>
      </c>
      <c r="BG225">
        <f t="shared" si="96"/>
        <v>6.6</v>
      </c>
      <c r="BH225">
        <f t="shared" si="97"/>
        <v>12.5</v>
      </c>
      <c r="BI225">
        <f t="shared" si="98"/>
        <v>0.46</v>
      </c>
      <c r="BJ225">
        <f t="shared" si="99"/>
        <v>2.2599999999999998</v>
      </c>
      <c r="BK225">
        <f t="shared" si="100"/>
        <v>0</v>
      </c>
      <c r="BL225">
        <f t="shared" si="101"/>
        <v>0</v>
      </c>
      <c r="BM225">
        <f t="shared" si="102"/>
        <v>0.81200000000000006</v>
      </c>
      <c r="BN225">
        <f t="shared" si="103"/>
        <v>2.7109999999999999</v>
      </c>
    </row>
    <row r="226" spans="1:66" x14ac:dyDescent="0.25">
      <c r="A226">
        <v>2024</v>
      </c>
      <c r="B226" s="1">
        <f t="shared" si="105"/>
        <v>45512</v>
      </c>
      <c r="C226" s="2">
        <v>221</v>
      </c>
      <c r="D226">
        <v>70</v>
      </c>
      <c r="E226" s="6">
        <v>12.93</v>
      </c>
      <c r="F226" s="6">
        <v>17.8</v>
      </c>
      <c r="G226" s="6">
        <v>29.37</v>
      </c>
      <c r="H226" s="6">
        <v>9.7100000000000009</v>
      </c>
      <c r="I226" s="6">
        <v>16.66</v>
      </c>
      <c r="J226" s="6">
        <v>18.84</v>
      </c>
      <c r="K226" s="6">
        <v>43.75</v>
      </c>
      <c r="L226" s="6"/>
      <c r="M226" s="6">
        <v>18.670000000000002</v>
      </c>
      <c r="N226" s="6">
        <v>14</v>
      </c>
      <c r="O226" s="6">
        <v>28.87</v>
      </c>
      <c r="P226" s="6">
        <v>65.760000000000005</v>
      </c>
      <c r="Q226" s="6"/>
      <c r="R226" s="6">
        <v>42.38</v>
      </c>
      <c r="S226" s="6">
        <v>16.22</v>
      </c>
      <c r="T226" s="6">
        <v>11.77</v>
      </c>
      <c r="U226" s="6">
        <v>20.49</v>
      </c>
      <c r="V226" s="6"/>
      <c r="W226" s="6">
        <v>9.1199999999999992</v>
      </c>
      <c r="X226" s="6">
        <v>12.13</v>
      </c>
      <c r="Y226" s="6">
        <v>0.41799999999999998</v>
      </c>
      <c r="Z226" s="6">
        <v>1.78</v>
      </c>
      <c r="AA226" s="6">
        <v>0</v>
      </c>
      <c r="AB226" s="6">
        <v>1.89</v>
      </c>
      <c r="AC226" s="6">
        <v>29.18</v>
      </c>
      <c r="AD226" s="6">
        <v>9.94</v>
      </c>
      <c r="AE226" s="6">
        <v>0.01</v>
      </c>
      <c r="AF226" s="6">
        <v>7.0000000000000001E-3</v>
      </c>
      <c r="AG226" s="6">
        <v>1.8340000000000001</v>
      </c>
      <c r="AH226" s="6"/>
      <c r="AI226" s="6"/>
      <c r="AK226" s="22">
        <f t="shared" si="83"/>
        <v>0</v>
      </c>
      <c r="AL226">
        <f t="shared" si="106"/>
        <v>364.20000000000022</v>
      </c>
      <c r="AM226" s="4">
        <v>27.59</v>
      </c>
      <c r="AN226">
        <v>16.66</v>
      </c>
      <c r="AP226" s="7">
        <f t="shared" si="104"/>
        <v>0.81399999999999995</v>
      </c>
      <c r="AQ226" s="7">
        <f t="shared" si="84"/>
        <v>3.1589999999999998</v>
      </c>
      <c r="AS226">
        <f t="shared" si="85"/>
        <v>16.66</v>
      </c>
      <c r="AT226">
        <f t="shared" si="86"/>
        <v>18.8</v>
      </c>
      <c r="AU226">
        <f t="shared" si="87"/>
        <v>43.8</v>
      </c>
      <c r="AV226" t="s">
        <v>104</v>
      </c>
      <c r="AW226">
        <f t="shared" si="88"/>
        <v>18.7</v>
      </c>
      <c r="AX226">
        <f t="shared" si="89"/>
        <v>14</v>
      </c>
      <c r="AY226">
        <f t="shared" si="90"/>
        <v>28.9</v>
      </c>
      <c r="AZ226">
        <f t="shared" si="91"/>
        <v>65.8</v>
      </c>
      <c r="BA226" t="s">
        <v>104</v>
      </c>
      <c r="BB226">
        <f t="shared" si="92"/>
        <v>42.4</v>
      </c>
      <c r="BC226">
        <f t="shared" si="93"/>
        <v>16.2</v>
      </c>
      <c r="BD226">
        <f t="shared" si="94"/>
        <v>11.8</v>
      </c>
      <c r="BE226">
        <f t="shared" si="95"/>
        <v>20.5</v>
      </c>
      <c r="BF226" t="s">
        <v>104</v>
      </c>
      <c r="BG226">
        <f t="shared" si="96"/>
        <v>9.1</v>
      </c>
      <c r="BH226">
        <f t="shared" si="97"/>
        <v>12.1</v>
      </c>
      <c r="BI226">
        <f t="shared" si="98"/>
        <v>0.42</v>
      </c>
      <c r="BJ226">
        <f t="shared" si="99"/>
        <v>1.78</v>
      </c>
      <c r="BK226">
        <f t="shared" si="100"/>
        <v>0</v>
      </c>
      <c r="BL226">
        <f t="shared" si="101"/>
        <v>0</v>
      </c>
      <c r="BM226">
        <f t="shared" si="102"/>
        <v>0.81399999999999995</v>
      </c>
      <c r="BN226">
        <f t="shared" si="103"/>
        <v>3.1589999999999998</v>
      </c>
    </row>
    <row r="227" spans="1:66" x14ac:dyDescent="0.25">
      <c r="A227">
        <v>2024</v>
      </c>
      <c r="B227" s="1">
        <f t="shared" si="105"/>
        <v>45513</v>
      </c>
      <c r="C227" s="2">
        <v>222</v>
      </c>
      <c r="D227">
        <v>70</v>
      </c>
      <c r="E227" s="6">
        <v>12.83</v>
      </c>
      <c r="F227" s="6">
        <v>16.86</v>
      </c>
      <c r="G227" s="6">
        <v>29.42</v>
      </c>
      <c r="H227" s="6">
        <v>9.73</v>
      </c>
      <c r="I227" s="6">
        <v>11.82</v>
      </c>
      <c r="J227" s="6">
        <v>17.82</v>
      </c>
      <c r="K227" s="6">
        <v>52.65</v>
      </c>
      <c r="L227" s="6"/>
      <c r="M227" s="6">
        <v>17.5</v>
      </c>
      <c r="N227" s="6">
        <v>14.19</v>
      </c>
      <c r="O227" s="6">
        <v>27.73</v>
      </c>
      <c r="P227" s="6">
        <v>85.7</v>
      </c>
      <c r="Q227" s="6"/>
      <c r="R227" s="6">
        <v>35.56</v>
      </c>
      <c r="S227" s="6">
        <v>16.27</v>
      </c>
      <c r="T227" s="6">
        <v>11.5</v>
      </c>
      <c r="U227" s="6">
        <v>25.94</v>
      </c>
      <c r="V227" s="6"/>
      <c r="W227" s="6">
        <v>9.6300000000000008</v>
      </c>
      <c r="X227" s="6">
        <v>12.85</v>
      </c>
      <c r="Y227" s="6">
        <v>0.45100000000000001</v>
      </c>
      <c r="Z227" s="6">
        <v>2.0739999999999998</v>
      </c>
      <c r="AA227" s="6">
        <v>0.4</v>
      </c>
      <c r="AB227" s="6">
        <v>1.899</v>
      </c>
      <c r="AC227" s="6">
        <v>29.44</v>
      </c>
      <c r="AD227" s="6">
        <v>10</v>
      </c>
      <c r="AE227" s="6">
        <v>0.01</v>
      </c>
      <c r="AF227" s="6">
        <v>7.0000000000000001E-3</v>
      </c>
      <c r="AG227" s="6">
        <v>1.8580000000000001</v>
      </c>
      <c r="AH227" s="6"/>
      <c r="AI227" s="6"/>
      <c r="AK227" s="22">
        <f t="shared" si="83"/>
        <v>0.4</v>
      </c>
      <c r="AL227">
        <f t="shared" si="106"/>
        <v>364.60000000000019</v>
      </c>
      <c r="AM227" s="4">
        <v>27.39</v>
      </c>
      <c r="AN227">
        <v>11.82</v>
      </c>
      <c r="AP227" s="7">
        <f t="shared" si="104"/>
        <v>0.96499999999999997</v>
      </c>
      <c r="AQ227" s="7">
        <f t="shared" si="84"/>
        <v>2.7549999999999999</v>
      </c>
      <c r="AS227">
        <f t="shared" si="85"/>
        <v>11.82</v>
      </c>
      <c r="AT227">
        <f t="shared" si="86"/>
        <v>17.8</v>
      </c>
      <c r="AU227">
        <f t="shared" si="87"/>
        <v>52.7</v>
      </c>
      <c r="AV227" t="s">
        <v>104</v>
      </c>
      <c r="AW227">
        <f t="shared" si="88"/>
        <v>17.5</v>
      </c>
      <c r="AX227">
        <f t="shared" si="89"/>
        <v>14.2</v>
      </c>
      <c r="AY227">
        <f t="shared" si="90"/>
        <v>27.7</v>
      </c>
      <c r="AZ227">
        <f t="shared" si="91"/>
        <v>85.7</v>
      </c>
      <c r="BA227" t="s">
        <v>104</v>
      </c>
      <c r="BB227">
        <f t="shared" si="92"/>
        <v>35.6</v>
      </c>
      <c r="BC227">
        <f t="shared" si="93"/>
        <v>16.3</v>
      </c>
      <c r="BD227">
        <f t="shared" si="94"/>
        <v>11.5</v>
      </c>
      <c r="BE227">
        <f t="shared" si="95"/>
        <v>25.9</v>
      </c>
      <c r="BF227" t="s">
        <v>104</v>
      </c>
      <c r="BG227">
        <f t="shared" si="96"/>
        <v>9.6</v>
      </c>
      <c r="BH227">
        <f t="shared" si="97"/>
        <v>12.9</v>
      </c>
      <c r="BI227">
        <f t="shared" si="98"/>
        <v>0.45</v>
      </c>
      <c r="BJ227">
        <f t="shared" si="99"/>
        <v>2.0699999999999998</v>
      </c>
      <c r="BK227">
        <f t="shared" si="100"/>
        <v>0</v>
      </c>
      <c r="BL227">
        <f t="shared" si="101"/>
        <v>0.4</v>
      </c>
      <c r="BM227">
        <f t="shared" si="102"/>
        <v>0.96499999999999997</v>
      </c>
      <c r="BN227">
        <f t="shared" si="103"/>
        <v>2.7549999999999999</v>
      </c>
    </row>
    <row r="228" spans="1:66" x14ac:dyDescent="0.25">
      <c r="A228">
        <v>2024</v>
      </c>
      <c r="B228" s="1">
        <f t="shared" si="105"/>
        <v>45514</v>
      </c>
      <c r="C228" s="2">
        <v>223</v>
      </c>
      <c r="D228">
        <v>70</v>
      </c>
      <c r="E228" s="6">
        <v>12.92</v>
      </c>
      <c r="F228" s="6">
        <v>16.98</v>
      </c>
      <c r="G228" s="6">
        <v>30.18</v>
      </c>
      <c r="H228" s="6">
        <v>8.7799999999999994</v>
      </c>
      <c r="I228" s="6">
        <v>15.51</v>
      </c>
      <c r="J228" s="6">
        <v>17.97</v>
      </c>
      <c r="K228" s="6">
        <v>50.72</v>
      </c>
      <c r="L228" s="6"/>
      <c r="M228" s="6">
        <v>18.09</v>
      </c>
      <c r="N228" s="6">
        <v>13.79</v>
      </c>
      <c r="O228" s="6">
        <v>28.2</v>
      </c>
      <c r="P228" s="6">
        <v>72.8</v>
      </c>
      <c r="Q228" s="6"/>
      <c r="R228" s="6">
        <v>41.79</v>
      </c>
      <c r="S228" s="6">
        <v>15.55</v>
      </c>
      <c r="T228" s="6">
        <v>10.7</v>
      </c>
      <c r="U228" s="6">
        <v>21.9</v>
      </c>
      <c r="V228" s="6"/>
      <c r="W228" s="6">
        <v>8.34</v>
      </c>
      <c r="X228" s="6">
        <v>11.82</v>
      </c>
      <c r="Y228" s="6">
        <v>0.46100000000000002</v>
      </c>
      <c r="Z228" s="6">
        <v>2.327</v>
      </c>
      <c r="AA228" s="6">
        <v>0</v>
      </c>
      <c r="AB228" s="6">
        <v>1.899</v>
      </c>
      <c r="AC228" s="6">
        <v>29.92</v>
      </c>
      <c r="AD228" s="6">
        <v>8.99</v>
      </c>
      <c r="AE228" s="6">
        <v>0.01</v>
      </c>
      <c r="AF228" s="6">
        <v>7.0000000000000001E-3</v>
      </c>
      <c r="AG228" s="6">
        <v>1.8520000000000001</v>
      </c>
      <c r="AH228" s="6"/>
      <c r="AI228" s="6"/>
      <c r="AK228" s="22">
        <f t="shared" si="83"/>
        <v>0</v>
      </c>
      <c r="AL228">
        <f t="shared" si="106"/>
        <v>364.60000000000019</v>
      </c>
      <c r="AM228" s="4">
        <v>27.2</v>
      </c>
      <c r="AN228">
        <v>15.5</v>
      </c>
      <c r="AP228" s="7">
        <f t="shared" si="104"/>
        <v>0.83699999999999997</v>
      </c>
      <c r="AQ228" s="7">
        <f t="shared" si="84"/>
        <v>2.9849999999999999</v>
      </c>
      <c r="AS228">
        <f t="shared" si="85"/>
        <v>15.5</v>
      </c>
      <c r="AT228">
        <f t="shared" si="86"/>
        <v>18</v>
      </c>
      <c r="AU228">
        <f t="shared" si="87"/>
        <v>50.7</v>
      </c>
      <c r="AV228" t="s">
        <v>104</v>
      </c>
      <c r="AW228">
        <f t="shared" si="88"/>
        <v>18.100000000000001</v>
      </c>
      <c r="AX228">
        <f t="shared" si="89"/>
        <v>13.8</v>
      </c>
      <c r="AY228">
        <f t="shared" si="90"/>
        <v>28.2</v>
      </c>
      <c r="AZ228">
        <f t="shared" si="91"/>
        <v>72.8</v>
      </c>
      <c r="BA228" t="s">
        <v>104</v>
      </c>
      <c r="BB228">
        <f t="shared" si="92"/>
        <v>41.8</v>
      </c>
      <c r="BC228">
        <f t="shared" si="93"/>
        <v>15.6</v>
      </c>
      <c r="BD228">
        <f t="shared" si="94"/>
        <v>10.7</v>
      </c>
      <c r="BE228">
        <f t="shared" si="95"/>
        <v>21.9</v>
      </c>
      <c r="BF228" t="s">
        <v>104</v>
      </c>
      <c r="BG228">
        <f t="shared" si="96"/>
        <v>8.3000000000000007</v>
      </c>
      <c r="BH228">
        <f t="shared" si="97"/>
        <v>11.8</v>
      </c>
      <c r="BI228">
        <f t="shared" si="98"/>
        <v>0.46</v>
      </c>
      <c r="BJ228">
        <f t="shared" si="99"/>
        <v>2.33</v>
      </c>
      <c r="BK228">
        <f t="shared" si="100"/>
        <v>0</v>
      </c>
      <c r="BL228">
        <f t="shared" si="101"/>
        <v>0</v>
      </c>
      <c r="BM228">
        <f t="shared" si="102"/>
        <v>0.83699999999999997</v>
      </c>
      <c r="BN228">
        <f t="shared" si="103"/>
        <v>2.9849999999999999</v>
      </c>
    </row>
    <row r="229" spans="1:66" x14ac:dyDescent="0.25">
      <c r="A229">
        <v>2024</v>
      </c>
      <c r="B229" s="1">
        <f t="shared" si="105"/>
        <v>45515</v>
      </c>
      <c r="C229" s="2">
        <v>224</v>
      </c>
      <c r="D229">
        <v>70</v>
      </c>
      <c r="E229" s="6">
        <v>12.92</v>
      </c>
      <c r="F229" s="6">
        <v>17.239999999999998</v>
      </c>
      <c r="G229" s="6">
        <v>31.91</v>
      </c>
      <c r="H229" s="6">
        <v>9.33</v>
      </c>
      <c r="I229" s="6">
        <v>17.93</v>
      </c>
      <c r="J229" s="6">
        <v>18.07</v>
      </c>
      <c r="K229" s="6">
        <v>52.65</v>
      </c>
      <c r="L229" s="6"/>
      <c r="M229" s="6">
        <v>18.36</v>
      </c>
      <c r="N229" s="6">
        <v>14</v>
      </c>
      <c r="O229" s="6">
        <v>29.4</v>
      </c>
      <c r="P229" s="6">
        <v>72</v>
      </c>
      <c r="Q229" s="6"/>
      <c r="R229" s="6">
        <v>42.13</v>
      </c>
      <c r="S229" s="6">
        <v>16.29</v>
      </c>
      <c r="T229" s="6">
        <v>11.3</v>
      </c>
      <c r="U229" s="6">
        <v>23.85</v>
      </c>
      <c r="V229" s="6"/>
      <c r="W229" s="6">
        <v>9.1199999999999992</v>
      </c>
      <c r="X229" s="6">
        <v>12.66</v>
      </c>
      <c r="Y229" s="6">
        <v>0.51600000000000001</v>
      </c>
      <c r="Z229" s="6">
        <v>2.3140000000000001</v>
      </c>
      <c r="AA229" s="6">
        <v>0.1</v>
      </c>
      <c r="AB229" s="6">
        <v>1.91</v>
      </c>
      <c r="AC229" s="6">
        <v>32.32</v>
      </c>
      <c r="AD229" s="6">
        <v>9.5500000000000007</v>
      </c>
      <c r="AE229" s="6">
        <v>0.01</v>
      </c>
      <c r="AF229" s="6">
        <v>7.0000000000000001E-3</v>
      </c>
      <c r="AG229" s="6">
        <v>1.859</v>
      </c>
      <c r="AH229" s="6"/>
      <c r="AI229" s="6"/>
      <c r="AK229" s="22">
        <f t="shared" si="83"/>
        <v>0.1</v>
      </c>
      <c r="AL229">
        <f t="shared" si="106"/>
        <v>364.70000000000022</v>
      </c>
      <c r="AM229" s="4">
        <v>26.99</v>
      </c>
      <c r="AN229">
        <v>17.93</v>
      </c>
      <c r="AP229" s="7">
        <f t="shared" si="104"/>
        <v>0.97799999999999998</v>
      </c>
      <c r="AQ229" s="7">
        <f t="shared" si="84"/>
        <v>3.1230000000000002</v>
      </c>
      <c r="AS229">
        <f t="shared" si="85"/>
        <v>17.93</v>
      </c>
      <c r="AT229">
        <f t="shared" si="86"/>
        <v>18.100000000000001</v>
      </c>
      <c r="AU229">
        <f t="shared" si="87"/>
        <v>52.7</v>
      </c>
      <c r="AV229" t="s">
        <v>104</v>
      </c>
      <c r="AW229">
        <f t="shared" si="88"/>
        <v>18.399999999999999</v>
      </c>
      <c r="AX229">
        <f t="shared" si="89"/>
        <v>14</v>
      </c>
      <c r="AY229">
        <f t="shared" si="90"/>
        <v>29.4</v>
      </c>
      <c r="AZ229">
        <f t="shared" si="91"/>
        <v>72</v>
      </c>
      <c r="BA229" t="s">
        <v>104</v>
      </c>
      <c r="BB229">
        <f t="shared" si="92"/>
        <v>42.1</v>
      </c>
      <c r="BC229">
        <f t="shared" si="93"/>
        <v>16.3</v>
      </c>
      <c r="BD229">
        <f t="shared" si="94"/>
        <v>11.3</v>
      </c>
      <c r="BE229">
        <f t="shared" si="95"/>
        <v>23.9</v>
      </c>
      <c r="BF229" t="s">
        <v>104</v>
      </c>
      <c r="BG229">
        <f t="shared" si="96"/>
        <v>9.1</v>
      </c>
      <c r="BH229">
        <f t="shared" si="97"/>
        <v>12.7</v>
      </c>
      <c r="BI229">
        <f t="shared" si="98"/>
        <v>0.52</v>
      </c>
      <c r="BJ229">
        <f t="shared" si="99"/>
        <v>2.31</v>
      </c>
      <c r="BK229">
        <f t="shared" si="100"/>
        <v>0</v>
      </c>
      <c r="BL229">
        <f t="shared" si="101"/>
        <v>0.1</v>
      </c>
      <c r="BM229">
        <f t="shared" si="102"/>
        <v>0.97799999999999998</v>
      </c>
      <c r="BN229">
        <f t="shared" si="103"/>
        <v>3.1230000000000002</v>
      </c>
    </row>
    <row r="230" spans="1:66" x14ac:dyDescent="0.25">
      <c r="A230">
        <v>2024</v>
      </c>
      <c r="B230" s="1">
        <f t="shared" si="105"/>
        <v>45516</v>
      </c>
      <c r="C230" s="2">
        <v>225</v>
      </c>
      <c r="D230">
        <v>70</v>
      </c>
      <c r="E230" s="6">
        <v>12.91</v>
      </c>
      <c r="F230" s="6">
        <v>15.59</v>
      </c>
      <c r="G230" s="6">
        <v>27.16</v>
      </c>
      <c r="H230" s="6">
        <v>10.19</v>
      </c>
      <c r="I230" s="6">
        <v>9.6300000000000008</v>
      </c>
      <c r="J230" s="6">
        <v>16.34</v>
      </c>
      <c r="K230" s="6">
        <v>63.67</v>
      </c>
      <c r="L230" s="6"/>
      <c r="M230" s="6">
        <v>16.350000000000001</v>
      </c>
      <c r="N230" s="6">
        <v>14.18</v>
      </c>
      <c r="O230" s="6">
        <v>26.86</v>
      </c>
      <c r="P230" s="6">
        <v>89.1</v>
      </c>
      <c r="Q230" s="6"/>
      <c r="R230" s="6">
        <v>38.049999999999997</v>
      </c>
      <c r="S230" s="6">
        <v>15.57</v>
      </c>
      <c r="T230" s="6">
        <v>11.71</v>
      </c>
      <c r="U230" s="6">
        <v>31.24</v>
      </c>
      <c r="V230" s="6"/>
      <c r="W230" s="6">
        <v>9.65</v>
      </c>
      <c r="X230" s="6">
        <v>13.21</v>
      </c>
      <c r="Y230" s="6">
        <v>0.216</v>
      </c>
      <c r="Z230" s="6">
        <v>1.74</v>
      </c>
      <c r="AA230" s="6">
        <v>1.1000000000000001</v>
      </c>
      <c r="AB230" s="6">
        <v>1.8680000000000001</v>
      </c>
      <c r="AC230" s="6">
        <v>26.62</v>
      </c>
      <c r="AD230" s="6">
        <v>10.62</v>
      </c>
      <c r="AE230" s="6">
        <v>0.01</v>
      </c>
      <c r="AF230" s="6">
        <v>7.0000000000000001E-3</v>
      </c>
      <c r="AG230" s="6">
        <v>1.8280000000000001</v>
      </c>
      <c r="AH230" s="6"/>
      <c r="AI230" s="6"/>
      <c r="AK230" s="22">
        <f t="shared" si="83"/>
        <v>1.1000000000000001</v>
      </c>
      <c r="AL230">
        <f t="shared" si="106"/>
        <v>365.80000000000024</v>
      </c>
      <c r="AM230" s="4">
        <v>26.79</v>
      </c>
      <c r="AN230">
        <v>9.6300000000000008</v>
      </c>
      <c r="AP230" s="7">
        <f t="shared" si="104"/>
        <v>1.1040000000000001</v>
      </c>
      <c r="AQ230" s="7">
        <f t="shared" si="84"/>
        <v>2.4300000000000002</v>
      </c>
      <c r="AS230">
        <f t="shared" si="85"/>
        <v>9.6300000000000008</v>
      </c>
      <c r="AT230">
        <f t="shared" si="86"/>
        <v>16.3</v>
      </c>
      <c r="AU230">
        <f t="shared" si="87"/>
        <v>63.7</v>
      </c>
      <c r="AV230" t="s">
        <v>104</v>
      </c>
      <c r="AW230">
        <f t="shared" si="88"/>
        <v>16.399999999999999</v>
      </c>
      <c r="AX230">
        <f t="shared" si="89"/>
        <v>14.2</v>
      </c>
      <c r="AY230">
        <f t="shared" si="90"/>
        <v>26.9</v>
      </c>
      <c r="AZ230">
        <f t="shared" si="91"/>
        <v>89.1</v>
      </c>
      <c r="BA230" t="s">
        <v>104</v>
      </c>
      <c r="BB230">
        <f t="shared" si="92"/>
        <v>38.1</v>
      </c>
      <c r="BC230">
        <f t="shared" si="93"/>
        <v>15.6</v>
      </c>
      <c r="BD230">
        <f t="shared" si="94"/>
        <v>11.7</v>
      </c>
      <c r="BE230">
        <f t="shared" si="95"/>
        <v>31.2</v>
      </c>
      <c r="BF230" t="s">
        <v>104</v>
      </c>
      <c r="BG230">
        <f t="shared" si="96"/>
        <v>9.6999999999999993</v>
      </c>
      <c r="BH230">
        <f t="shared" si="97"/>
        <v>13.2</v>
      </c>
      <c r="BI230">
        <f t="shared" si="98"/>
        <v>0.22</v>
      </c>
      <c r="BJ230">
        <f t="shared" si="99"/>
        <v>1.74</v>
      </c>
      <c r="BK230">
        <f t="shared" si="100"/>
        <v>0</v>
      </c>
      <c r="BL230">
        <f t="shared" si="101"/>
        <v>1.1000000000000001</v>
      </c>
      <c r="BM230">
        <f t="shared" si="102"/>
        <v>1.1040000000000001</v>
      </c>
      <c r="BN230">
        <f t="shared" si="103"/>
        <v>2.4300000000000002</v>
      </c>
    </row>
    <row r="231" spans="1:66" x14ac:dyDescent="0.25">
      <c r="A231">
        <v>2024</v>
      </c>
      <c r="B231" s="1">
        <f t="shared" si="105"/>
        <v>45517</v>
      </c>
      <c r="C231" s="2">
        <v>226</v>
      </c>
      <c r="D231">
        <v>70</v>
      </c>
      <c r="E231" s="6">
        <v>12.95</v>
      </c>
      <c r="F231" s="6">
        <v>16.88</v>
      </c>
      <c r="G231" s="6">
        <v>28.27</v>
      </c>
      <c r="H231" s="6">
        <v>8.3000000000000007</v>
      </c>
      <c r="I231" s="6">
        <v>16.22</v>
      </c>
      <c r="J231" s="6">
        <v>17.489999999999998</v>
      </c>
      <c r="K231" s="6">
        <v>60.93</v>
      </c>
      <c r="L231" s="6"/>
      <c r="M231" s="6">
        <v>17.91</v>
      </c>
      <c r="N231" s="6">
        <v>13.81</v>
      </c>
      <c r="O231" s="6">
        <v>27.46</v>
      </c>
      <c r="P231" s="6">
        <v>86.3</v>
      </c>
      <c r="Q231" s="6"/>
      <c r="R231" s="6">
        <v>37.619999999999997</v>
      </c>
      <c r="S231" s="6">
        <v>15.41</v>
      </c>
      <c r="T231" s="6">
        <v>9.82</v>
      </c>
      <c r="U231" s="6">
        <v>30.24</v>
      </c>
      <c r="V231" s="6"/>
      <c r="W231" s="6">
        <v>7.84</v>
      </c>
      <c r="X231" s="6">
        <v>12.32</v>
      </c>
      <c r="Y231" s="6">
        <v>0.51800000000000002</v>
      </c>
      <c r="Z231" s="6">
        <v>2.7269999999999999</v>
      </c>
      <c r="AA231" s="6">
        <v>0</v>
      </c>
      <c r="AB231" s="6">
        <v>2.2240000000000002</v>
      </c>
      <c r="AC231" s="6">
        <v>28.4</v>
      </c>
      <c r="AD231" s="6">
        <v>8.5</v>
      </c>
      <c r="AE231" s="6">
        <v>0.01</v>
      </c>
      <c r="AF231" s="6">
        <v>7.0000000000000001E-3</v>
      </c>
      <c r="AG231" s="6">
        <v>2.1640000000000001</v>
      </c>
      <c r="AH231" s="6"/>
      <c r="AI231" s="6"/>
      <c r="AK231" s="22">
        <f t="shared" si="83"/>
        <v>0</v>
      </c>
      <c r="AL231">
        <f t="shared" si="106"/>
        <v>365.80000000000024</v>
      </c>
      <c r="AM231" s="4">
        <v>26.59</v>
      </c>
      <c r="AN231">
        <v>16.22</v>
      </c>
      <c r="AP231" s="7">
        <f t="shared" si="104"/>
        <v>1.107</v>
      </c>
      <c r="AQ231" s="7">
        <f t="shared" si="84"/>
        <v>2.5539999999999998</v>
      </c>
      <c r="AS231">
        <f t="shared" si="85"/>
        <v>16.22</v>
      </c>
      <c r="AT231">
        <f t="shared" si="86"/>
        <v>17.5</v>
      </c>
      <c r="AU231">
        <f t="shared" si="87"/>
        <v>60.9</v>
      </c>
      <c r="AV231" t="s">
        <v>104</v>
      </c>
      <c r="AW231">
        <f t="shared" si="88"/>
        <v>17.899999999999999</v>
      </c>
      <c r="AX231">
        <f t="shared" si="89"/>
        <v>13.8</v>
      </c>
      <c r="AY231">
        <f t="shared" si="90"/>
        <v>27.5</v>
      </c>
      <c r="AZ231">
        <f t="shared" si="91"/>
        <v>86.3</v>
      </c>
      <c r="BA231" t="s">
        <v>104</v>
      </c>
      <c r="BB231">
        <f t="shared" si="92"/>
        <v>37.6</v>
      </c>
      <c r="BC231">
        <f t="shared" si="93"/>
        <v>15.4</v>
      </c>
      <c r="BD231">
        <f t="shared" si="94"/>
        <v>9.8000000000000007</v>
      </c>
      <c r="BE231">
        <f t="shared" si="95"/>
        <v>30.2</v>
      </c>
      <c r="BF231" t="s">
        <v>104</v>
      </c>
      <c r="BG231">
        <f t="shared" si="96"/>
        <v>7.8</v>
      </c>
      <c r="BH231">
        <f t="shared" si="97"/>
        <v>12.3</v>
      </c>
      <c r="BI231">
        <f t="shared" si="98"/>
        <v>0.52</v>
      </c>
      <c r="BJ231">
        <f t="shared" si="99"/>
        <v>2.73</v>
      </c>
      <c r="BK231">
        <f t="shared" si="100"/>
        <v>0</v>
      </c>
      <c r="BL231">
        <f t="shared" si="101"/>
        <v>0</v>
      </c>
      <c r="BM231">
        <f t="shared" si="102"/>
        <v>1.107</v>
      </c>
      <c r="BN231">
        <f t="shared" si="103"/>
        <v>2.5539999999999998</v>
      </c>
    </row>
    <row r="232" spans="1:66" x14ac:dyDescent="0.25">
      <c r="A232">
        <v>2024</v>
      </c>
      <c r="B232" s="1">
        <f t="shared" si="105"/>
        <v>45518</v>
      </c>
      <c r="C232" s="2">
        <v>227</v>
      </c>
      <c r="D232">
        <v>70</v>
      </c>
      <c r="E232" s="6">
        <v>12.92</v>
      </c>
      <c r="F232" s="6">
        <v>17.82</v>
      </c>
      <c r="G232" s="6">
        <v>29.79</v>
      </c>
      <c r="H232" s="6">
        <v>9.27</v>
      </c>
      <c r="I232" s="6">
        <v>16.52</v>
      </c>
      <c r="J232" s="6">
        <v>18.25</v>
      </c>
      <c r="K232" s="6">
        <v>59.11</v>
      </c>
      <c r="L232" s="6"/>
      <c r="M232" s="6">
        <v>19.079999999999998</v>
      </c>
      <c r="N232" s="6">
        <v>14.37</v>
      </c>
      <c r="O232" s="6">
        <v>27.6</v>
      </c>
      <c r="P232" s="6">
        <v>81.5</v>
      </c>
      <c r="Q232" s="6"/>
      <c r="R232" s="6">
        <v>39.83</v>
      </c>
      <c r="S232" s="6">
        <v>16.329999999999998</v>
      </c>
      <c r="T232" s="6">
        <v>10.9</v>
      </c>
      <c r="U232" s="6">
        <v>32.39</v>
      </c>
      <c r="V232" s="6"/>
      <c r="W232" s="6">
        <v>9.3000000000000007</v>
      </c>
      <c r="X232" s="6">
        <v>13.13</v>
      </c>
      <c r="Y232" s="6">
        <v>0.46</v>
      </c>
      <c r="Z232" s="6">
        <v>1.8740000000000001</v>
      </c>
      <c r="AA232" s="6">
        <v>0</v>
      </c>
      <c r="AB232" s="6">
        <v>1.885</v>
      </c>
      <c r="AC232" s="6">
        <v>29.98</v>
      </c>
      <c r="AD232" s="6">
        <v>9.51</v>
      </c>
      <c r="AE232" s="6">
        <v>0.01</v>
      </c>
      <c r="AF232" s="6">
        <v>7.0000000000000001E-3</v>
      </c>
      <c r="AG232" s="6">
        <v>1.837</v>
      </c>
      <c r="AH232" s="6"/>
      <c r="AI232" s="6"/>
      <c r="AK232" s="22">
        <f t="shared" si="83"/>
        <v>0</v>
      </c>
      <c r="AL232">
        <f t="shared" si="106"/>
        <v>365.80000000000024</v>
      </c>
      <c r="AM232" s="4">
        <v>26.37</v>
      </c>
      <c r="AN232">
        <v>16.52</v>
      </c>
      <c r="AP232" s="7">
        <f t="shared" si="104"/>
        <v>1.196</v>
      </c>
      <c r="AQ232" s="7">
        <f t="shared" si="84"/>
        <v>2.496</v>
      </c>
      <c r="AS232">
        <f t="shared" si="85"/>
        <v>16.52</v>
      </c>
      <c r="AT232">
        <f t="shared" si="86"/>
        <v>18.3</v>
      </c>
      <c r="AU232">
        <f t="shared" si="87"/>
        <v>59.1</v>
      </c>
      <c r="AV232" t="s">
        <v>104</v>
      </c>
      <c r="AW232">
        <f t="shared" si="88"/>
        <v>19.100000000000001</v>
      </c>
      <c r="AX232">
        <f t="shared" si="89"/>
        <v>14.4</v>
      </c>
      <c r="AY232">
        <f t="shared" si="90"/>
        <v>27.6</v>
      </c>
      <c r="AZ232">
        <f t="shared" si="91"/>
        <v>81.5</v>
      </c>
      <c r="BA232" t="s">
        <v>104</v>
      </c>
      <c r="BB232">
        <f t="shared" si="92"/>
        <v>39.799999999999997</v>
      </c>
      <c r="BC232">
        <f t="shared" si="93"/>
        <v>16.3</v>
      </c>
      <c r="BD232">
        <f t="shared" si="94"/>
        <v>10.9</v>
      </c>
      <c r="BE232">
        <f t="shared" si="95"/>
        <v>32.4</v>
      </c>
      <c r="BF232" t="s">
        <v>104</v>
      </c>
      <c r="BG232">
        <f t="shared" si="96"/>
        <v>9.3000000000000007</v>
      </c>
      <c r="BH232">
        <f t="shared" si="97"/>
        <v>13.1</v>
      </c>
      <c r="BI232">
        <f t="shared" si="98"/>
        <v>0.46</v>
      </c>
      <c r="BJ232">
        <f t="shared" si="99"/>
        <v>1.87</v>
      </c>
      <c r="BK232">
        <f t="shared" si="100"/>
        <v>0</v>
      </c>
      <c r="BL232">
        <f t="shared" si="101"/>
        <v>0</v>
      </c>
      <c r="BM232">
        <f t="shared" si="102"/>
        <v>1.196</v>
      </c>
      <c r="BN232">
        <f t="shared" si="103"/>
        <v>2.496</v>
      </c>
    </row>
    <row r="233" spans="1:66" x14ac:dyDescent="0.25">
      <c r="A233">
        <v>2024</v>
      </c>
      <c r="B233" s="1">
        <f t="shared" si="105"/>
        <v>45519</v>
      </c>
      <c r="C233" s="2">
        <v>228</v>
      </c>
      <c r="D233">
        <v>70</v>
      </c>
      <c r="E233" s="6">
        <v>12.92</v>
      </c>
      <c r="F233" s="6">
        <v>16.989999999999998</v>
      </c>
      <c r="G233" s="6">
        <v>29.14</v>
      </c>
      <c r="H233" s="6">
        <v>10.42</v>
      </c>
      <c r="I233" s="6">
        <v>12.74</v>
      </c>
      <c r="J233" s="6">
        <v>17.71</v>
      </c>
      <c r="K233" s="6">
        <v>59.98</v>
      </c>
      <c r="L233" s="6"/>
      <c r="M233" s="6">
        <v>17.66</v>
      </c>
      <c r="N233" s="6">
        <v>14.21</v>
      </c>
      <c r="O233" s="6">
        <v>28.47</v>
      </c>
      <c r="P233" s="6">
        <v>92.3</v>
      </c>
      <c r="Q233" s="6"/>
      <c r="R233" s="6">
        <v>40.590000000000003</v>
      </c>
      <c r="S233" s="6">
        <v>16.010000000000002</v>
      </c>
      <c r="T233" s="6">
        <v>12.11</v>
      </c>
      <c r="U233" s="6">
        <v>27.28</v>
      </c>
      <c r="V233" s="6"/>
      <c r="W233" s="6">
        <v>10.1</v>
      </c>
      <c r="X233" s="6">
        <v>12.89</v>
      </c>
      <c r="Y233" s="6">
        <v>0.60499999999999998</v>
      </c>
      <c r="Z233" s="6">
        <v>2.5539999999999998</v>
      </c>
      <c r="AA233" s="6">
        <v>2.9</v>
      </c>
      <c r="AB233" s="6">
        <v>1.948</v>
      </c>
      <c r="AC233" s="6">
        <v>28.9</v>
      </c>
      <c r="AD233" s="6">
        <v>10.67</v>
      </c>
      <c r="AE233" s="6">
        <v>0.01</v>
      </c>
      <c r="AF233" s="6">
        <v>7.0000000000000001E-3</v>
      </c>
      <c r="AG233" s="6">
        <v>1.901</v>
      </c>
      <c r="AH233" s="6"/>
      <c r="AI233" s="6"/>
      <c r="AK233" s="22">
        <f t="shared" si="83"/>
        <v>2.9</v>
      </c>
      <c r="AL233">
        <f t="shared" si="106"/>
        <v>368.70000000000022</v>
      </c>
      <c r="AM233" s="4">
        <v>26.16</v>
      </c>
      <c r="AN233">
        <v>12.74</v>
      </c>
      <c r="AP233" s="7">
        <f t="shared" si="104"/>
        <v>1.06</v>
      </c>
      <c r="AQ233" s="7">
        <f t="shared" si="84"/>
        <v>2.8260000000000001</v>
      </c>
      <c r="AS233">
        <f t="shared" si="85"/>
        <v>12.74</v>
      </c>
      <c r="AT233">
        <f t="shared" si="86"/>
        <v>17.7</v>
      </c>
      <c r="AU233">
        <f t="shared" si="87"/>
        <v>60</v>
      </c>
      <c r="AV233" t="s">
        <v>104</v>
      </c>
      <c r="AW233">
        <f t="shared" si="88"/>
        <v>17.7</v>
      </c>
      <c r="AX233">
        <f t="shared" si="89"/>
        <v>14.2</v>
      </c>
      <c r="AY233">
        <f t="shared" si="90"/>
        <v>28.5</v>
      </c>
      <c r="AZ233">
        <f t="shared" si="91"/>
        <v>92.3</v>
      </c>
      <c r="BA233" t="s">
        <v>104</v>
      </c>
      <c r="BB233">
        <f t="shared" si="92"/>
        <v>40.6</v>
      </c>
      <c r="BC233">
        <f t="shared" si="93"/>
        <v>16</v>
      </c>
      <c r="BD233">
        <f t="shared" si="94"/>
        <v>12.1</v>
      </c>
      <c r="BE233">
        <f t="shared" si="95"/>
        <v>27.3</v>
      </c>
      <c r="BF233" t="s">
        <v>104</v>
      </c>
      <c r="BG233">
        <f t="shared" si="96"/>
        <v>10.1</v>
      </c>
      <c r="BH233">
        <f t="shared" si="97"/>
        <v>12.9</v>
      </c>
      <c r="BI233">
        <f t="shared" si="98"/>
        <v>0.61</v>
      </c>
      <c r="BJ233">
        <f t="shared" si="99"/>
        <v>2.5499999999999998</v>
      </c>
      <c r="BK233">
        <f t="shared" si="100"/>
        <v>0</v>
      </c>
      <c r="BL233">
        <f t="shared" si="101"/>
        <v>2.9</v>
      </c>
      <c r="BM233">
        <f t="shared" si="102"/>
        <v>1.06</v>
      </c>
      <c r="BN233">
        <f t="shared" si="103"/>
        <v>2.8260000000000001</v>
      </c>
    </row>
    <row r="234" spans="1:66" x14ac:dyDescent="0.25">
      <c r="A234">
        <v>2024</v>
      </c>
      <c r="B234" s="1">
        <f t="shared" si="105"/>
        <v>45520</v>
      </c>
      <c r="C234" s="2">
        <v>229</v>
      </c>
      <c r="D234">
        <v>70</v>
      </c>
      <c r="E234" s="6">
        <v>12.75</v>
      </c>
      <c r="F234" s="6">
        <v>12.59</v>
      </c>
      <c r="G234" s="6">
        <v>14.52</v>
      </c>
      <c r="H234" s="6">
        <v>10.1</v>
      </c>
      <c r="I234" s="6">
        <v>4.6559999999999997</v>
      </c>
      <c r="J234" s="6">
        <v>13.13</v>
      </c>
      <c r="K234" s="6">
        <v>87.9</v>
      </c>
      <c r="L234" s="6"/>
      <c r="M234" s="6">
        <v>13.28</v>
      </c>
      <c r="N234" s="6">
        <v>14.04</v>
      </c>
      <c r="O234" s="6">
        <v>15.19</v>
      </c>
      <c r="P234" s="6">
        <v>93</v>
      </c>
      <c r="Q234" s="6"/>
      <c r="R234" s="6">
        <v>16.25</v>
      </c>
      <c r="S234" s="6">
        <v>14.66</v>
      </c>
      <c r="T234" s="6">
        <v>10.63</v>
      </c>
      <c r="U234" s="6">
        <v>70.900000000000006</v>
      </c>
      <c r="V234" s="6"/>
      <c r="W234" s="6">
        <v>10.34</v>
      </c>
      <c r="X234" s="6">
        <v>13.44</v>
      </c>
      <c r="Y234" s="6">
        <v>0.19400000000000001</v>
      </c>
      <c r="Z234" s="6">
        <v>1.2470000000000001</v>
      </c>
      <c r="AA234" s="6">
        <v>2.5</v>
      </c>
      <c r="AB234" s="6">
        <v>1.9039999999999999</v>
      </c>
      <c r="AC234" s="6">
        <v>14.5</v>
      </c>
      <c r="AD234" s="6">
        <v>10.47</v>
      </c>
      <c r="AE234" s="6">
        <v>8.9999999999999993E-3</v>
      </c>
      <c r="AF234" s="6">
        <v>7.0000000000000001E-3</v>
      </c>
      <c r="AG234" s="6">
        <v>1.8660000000000001</v>
      </c>
      <c r="AH234" s="6"/>
      <c r="AI234" s="6"/>
      <c r="AK234" s="22">
        <f t="shared" si="83"/>
        <v>2.5</v>
      </c>
      <c r="AL234">
        <f t="shared" si="106"/>
        <v>371.20000000000022</v>
      </c>
      <c r="AM234" s="4">
        <v>25.95</v>
      </c>
      <c r="AN234">
        <v>4.6500000000000004</v>
      </c>
      <c r="AP234" s="7">
        <f t="shared" si="104"/>
        <v>1.224</v>
      </c>
      <c r="AQ234" s="7">
        <f t="shared" si="84"/>
        <v>0.502</v>
      </c>
      <c r="AS234">
        <f t="shared" si="85"/>
        <v>4.6500000000000004</v>
      </c>
      <c r="AT234">
        <f t="shared" si="86"/>
        <v>13.1</v>
      </c>
      <c r="AU234">
        <f t="shared" si="87"/>
        <v>87.9</v>
      </c>
      <c r="AV234" t="s">
        <v>104</v>
      </c>
      <c r="AW234">
        <f t="shared" si="88"/>
        <v>13.3</v>
      </c>
      <c r="AX234">
        <f t="shared" si="89"/>
        <v>14</v>
      </c>
      <c r="AY234">
        <f t="shared" si="90"/>
        <v>15.2</v>
      </c>
      <c r="AZ234">
        <f t="shared" si="91"/>
        <v>93</v>
      </c>
      <c r="BA234" t="s">
        <v>104</v>
      </c>
      <c r="BB234">
        <f t="shared" si="92"/>
        <v>16.3</v>
      </c>
      <c r="BC234">
        <f t="shared" si="93"/>
        <v>14.7</v>
      </c>
      <c r="BD234">
        <f t="shared" si="94"/>
        <v>10.6</v>
      </c>
      <c r="BE234">
        <f t="shared" si="95"/>
        <v>70.900000000000006</v>
      </c>
      <c r="BF234" t="s">
        <v>104</v>
      </c>
      <c r="BG234">
        <f t="shared" si="96"/>
        <v>10.3</v>
      </c>
      <c r="BH234">
        <f t="shared" si="97"/>
        <v>13.4</v>
      </c>
      <c r="BI234">
        <f t="shared" si="98"/>
        <v>0.19</v>
      </c>
      <c r="BJ234">
        <f t="shared" si="99"/>
        <v>1.25</v>
      </c>
      <c r="BK234">
        <f t="shared" si="100"/>
        <v>0</v>
      </c>
      <c r="BL234">
        <f t="shared" si="101"/>
        <v>2.5</v>
      </c>
      <c r="BM234">
        <f t="shared" si="102"/>
        <v>1.224</v>
      </c>
      <c r="BN234">
        <f t="shared" si="103"/>
        <v>0.502</v>
      </c>
    </row>
    <row r="235" spans="1:66" x14ac:dyDescent="0.25">
      <c r="A235">
        <v>2024</v>
      </c>
      <c r="B235" s="1">
        <f t="shared" si="105"/>
        <v>45521</v>
      </c>
      <c r="C235" s="2">
        <v>230</v>
      </c>
      <c r="D235">
        <v>70</v>
      </c>
      <c r="E235" s="6">
        <v>12.97</v>
      </c>
      <c r="F235" s="6">
        <v>14.43</v>
      </c>
      <c r="G235" s="6">
        <v>24.04</v>
      </c>
      <c r="H235" s="6">
        <v>8.7799999999999994</v>
      </c>
      <c r="I235" s="6">
        <v>12.19</v>
      </c>
      <c r="J235" s="6">
        <v>15.14</v>
      </c>
      <c r="K235" s="6">
        <v>76.900000000000006</v>
      </c>
      <c r="L235" s="6"/>
      <c r="M235" s="6">
        <v>15.17</v>
      </c>
      <c r="N235" s="6">
        <v>13.6</v>
      </c>
      <c r="O235" s="6">
        <v>24.17</v>
      </c>
      <c r="P235" s="6">
        <v>93.8</v>
      </c>
      <c r="Q235" s="6"/>
      <c r="R235" s="6">
        <v>31.87</v>
      </c>
      <c r="S235" s="6">
        <v>15.3</v>
      </c>
      <c r="T235" s="6">
        <v>9.76</v>
      </c>
      <c r="U235" s="6">
        <v>39.979999999999997</v>
      </c>
      <c r="V235" s="6"/>
      <c r="W235" s="6">
        <v>8.8000000000000007</v>
      </c>
      <c r="X235" s="6">
        <v>12.37</v>
      </c>
      <c r="Y235" s="6">
        <v>0.38500000000000001</v>
      </c>
      <c r="Z235" s="6">
        <v>2.06</v>
      </c>
      <c r="AA235" s="6">
        <v>0.2</v>
      </c>
      <c r="AB235" s="6">
        <v>1.8859999999999999</v>
      </c>
      <c r="AC235" s="6">
        <v>23.98</v>
      </c>
      <c r="AD235" s="6">
        <v>9.01</v>
      </c>
      <c r="AE235" s="6">
        <v>0.01</v>
      </c>
      <c r="AF235" s="6">
        <v>7.0000000000000001E-3</v>
      </c>
      <c r="AG235" s="6">
        <v>1.8440000000000001</v>
      </c>
      <c r="AH235" s="6"/>
      <c r="AI235" s="6"/>
      <c r="AK235" s="22">
        <f t="shared" si="83"/>
        <v>0.2</v>
      </c>
      <c r="AL235">
        <f t="shared" si="106"/>
        <v>371.4000000000002</v>
      </c>
      <c r="AM235" s="4">
        <v>25.73</v>
      </c>
      <c r="AN235">
        <v>12.19</v>
      </c>
      <c r="AP235" s="7">
        <f t="shared" si="104"/>
        <v>1.2050000000000001</v>
      </c>
      <c r="AQ235" s="7">
        <f t="shared" si="84"/>
        <v>1.8089999999999999</v>
      </c>
      <c r="AS235">
        <f t="shared" si="85"/>
        <v>12.19</v>
      </c>
      <c r="AT235">
        <f t="shared" si="86"/>
        <v>15.1</v>
      </c>
      <c r="AU235">
        <f t="shared" si="87"/>
        <v>76.900000000000006</v>
      </c>
      <c r="AV235" t="s">
        <v>104</v>
      </c>
      <c r="AW235">
        <f t="shared" si="88"/>
        <v>15.2</v>
      </c>
      <c r="AX235">
        <f t="shared" si="89"/>
        <v>13.6</v>
      </c>
      <c r="AY235">
        <f t="shared" si="90"/>
        <v>24.2</v>
      </c>
      <c r="AZ235">
        <f t="shared" si="91"/>
        <v>93.8</v>
      </c>
      <c r="BA235" t="s">
        <v>104</v>
      </c>
      <c r="BB235">
        <f t="shared" si="92"/>
        <v>31.9</v>
      </c>
      <c r="BC235">
        <f t="shared" si="93"/>
        <v>15.3</v>
      </c>
      <c r="BD235">
        <f t="shared" si="94"/>
        <v>9.8000000000000007</v>
      </c>
      <c r="BE235">
        <f t="shared" si="95"/>
        <v>40</v>
      </c>
      <c r="BF235" t="s">
        <v>104</v>
      </c>
      <c r="BG235">
        <f t="shared" si="96"/>
        <v>8.8000000000000007</v>
      </c>
      <c r="BH235">
        <f t="shared" si="97"/>
        <v>12.4</v>
      </c>
      <c r="BI235">
        <f t="shared" si="98"/>
        <v>0.39</v>
      </c>
      <c r="BJ235">
        <f t="shared" si="99"/>
        <v>2.06</v>
      </c>
      <c r="BK235">
        <f t="shared" si="100"/>
        <v>0</v>
      </c>
      <c r="BL235">
        <f t="shared" si="101"/>
        <v>0.2</v>
      </c>
      <c r="BM235">
        <f t="shared" si="102"/>
        <v>1.2050000000000001</v>
      </c>
      <c r="BN235">
        <f t="shared" si="103"/>
        <v>1.8089999999999999</v>
      </c>
    </row>
    <row r="236" spans="1:66" x14ac:dyDescent="0.25">
      <c r="A236">
        <v>2024</v>
      </c>
      <c r="B236" s="1">
        <f t="shared" si="105"/>
        <v>45522</v>
      </c>
      <c r="C236" s="2">
        <v>231</v>
      </c>
      <c r="D236">
        <v>70</v>
      </c>
      <c r="E236" s="6">
        <v>12.94</v>
      </c>
      <c r="F236" s="6">
        <v>17.079999999999998</v>
      </c>
      <c r="G236" s="6">
        <v>29.73</v>
      </c>
      <c r="H236" s="6">
        <v>7.79</v>
      </c>
      <c r="I236" s="6">
        <v>17.36</v>
      </c>
      <c r="J236" s="6">
        <v>17.66</v>
      </c>
      <c r="K236" s="6">
        <v>60.6</v>
      </c>
      <c r="L236" s="6"/>
      <c r="M236" s="6">
        <v>18.309999999999999</v>
      </c>
      <c r="N236" s="6">
        <v>14</v>
      </c>
      <c r="O236" s="6">
        <v>27.93</v>
      </c>
      <c r="P236" s="6">
        <v>87.7</v>
      </c>
      <c r="Q236" s="6"/>
      <c r="R236" s="6">
        <v>41.45</v>
      </c>
      <c r="S236" s="6">
        <v>16.18</v>
      </c>
      <c r="T236" s="6">
        <v>9.15</v>
      </c>
      <c r="U236" s="6">
        <v>25.8</v>
      </c>
      <c r="V236" s="6"/>
      <c r="W236" s="6">
        <v>7.89</v>
      </c>
      <c r="X236" s="6">
        <v>12.42</v>
      </c>
      <c r="Y236" s="6">
        <v>0.85699999999999998</v>
      </c>
      <c r="Z236" s="6">
        <v>2.7269999999999999</v>
      </c>
      <c r="AA236" s="6">
        <v>0</v>
      </c>
      <c r="AB236" s="6">
        <v>1.8939999999999999</v>
      </c>
      <c r="AC236" s="6">
        <v>29.85</v>
      </c>
      <c r="AD236" s="6">
        <v>8.35</v>
      </c>
      <c r="AE236" s="6">
        <v>0.01</v>
      </c>
      <c r="AF236" s="6">
        <v>7.0000000000000001E-3</v>
      </c>
      <c r="AG236" s="6">
        <v>1.8620000000000001</v>
      </c>
      <c r="AH236" s="6"/>
      <c r="AI236" s="6"/>
      <c r="AK236" s="22">
        <f t="shared" si="83"/>
        <v>0</v>
      </c>
      <c r="AL236">
        <f t="shared" si="106"/>
        <v>371.4000000000002</v>
      </c>
      <c r="AM236" s="4">
        <v>25.5</v>
      </c>
      <c r="AN236">
        <v>17.350000000000001</v>
      </c>
      <c r="AP236" s="7">
        <f t="shared" si="104"/>
        <v>0.97099999999999997</v>
      </c>
      <c r="AQ236" s="7">
        <f t="shared" si="84"/>
        <v>2.7930000000000001</v>
      </c>
      <c r="AS236">
        <f t="shared" si="85"/>
        <v>17.350000000000001</v>
      </c>
      <c r="AT236">
        <f t="shared" si="86"/>
        <v>17.7</v>
      </c>
      <c r="AU236">
        <f t="shared" si="87"/>
        <v>60.6</v>
      </c>
      <c r="AV236" t="s">
        <v>104</v>
      </c>
      <c r="AW236">
        <f t="shared" si="88"/>
        <v>18.3</v>
      </c>
      <c r="AX236">
        <f t="shared" si="89"/>
        <v>14</v>
      </c>
      <c r="AY236">
        <f t="shared" si="90"/>
        <v>27.9</v>
      </c>
      <c r="AZ236">
        <f t="shared" si="91"/>
        <v>87.7</v>
      </c>
      <c r="BA236" t="s">
        <v>104</v>
      </c>
      <c r="BB236">
        <f t="shared" si="92"/>
        <v>41.5</v>
      </c>
      <c r="BC236">
        <f t="shared" si="93"/>
        <v>16.2</v>
      </c>
      <c r="BD236">
        <f t="shared" si="94"/>
        <v>9.1999999999999993</v>
      </c>
      <c r="BE236">
        <f t="shared" si="95"/>
        <v>25.8</v>
      </c>
      <c r="BF236" t="s">
        <v>104</v>
      </c>
      <c r="BG236">
        <f t="shared" si="96"/>
        <v>7.9</v>
      </c>
      <c r="BH236">
        <f t="shared" si="97"/>
        <v>12.4</v>
      </c>
      <c r="BI236">
        <f t="shared" si="98"/>
        <v>0.86</v>
      </c>
      <c r="BJ236">
        <f t="shared" si="99"/>
        <v>2.73</v>
      </c>
      <c r="BK236">
        <f t="shared" si="100"/>
        <v>0</v>
      </c>
      <c r="BL236">
        <f t="shared" si="101"/>
        <v>0</v>
      </c>
      <c r="BM236">
        <f t="shared" si="102"/>
        <v>0.97099999999999997</v>
      </c>
      <c r="BN236">
        <f t="shared" si="103"/>
        <v>2.7930000000000001</v>
      </c>
    </row>
    <row r="237" spans="1:66" x14ac:dyDescent="0.25">
      <c r="A237">
        <v>2024</v>
      </c>
      <c r="B237" s="1">
        <f t="shared" si="105"/>
        <v>45523</v>
      </c>
      <c r="C237" s="2">
        <v>232</v>
      </c>
      <c r="D237">
        <v>70</v>
      </c>
      <c r="E237" s="6">
        <v>12.96</v>
      </c>
      <c r="F237" s="6">
        <v>14.06</v>
      </c>
      <c r="G237" s="6">
        <v>26.92</v>
      </c>
      <c r="H237" s="6">
        <v>5.008</v>
      </c>
      <c r="I237" s="6">
        <v>13.64</v>
      </c>
      <c r="J237" s="6">
        <v>15.04</v>
      </c>
      <c r="K237" s="6">
        <v>53.11</v>
      </c>
      <c r="L237" s="6"/>
      <c r="M237" s="6">
        <v>15.13</v>
      </c>
      <c r="N237" s="6">
        <v>13.38</v>
      </c>
      <c r="O237" s="6">
        <v>25.65</v>
      </c>
      <c r="P237" s="6">
        <v>84.3</v>
      </c>
      <c r="Q237" s="6"/>
      <c r="R237" s="6">
        <v>37.18</v>
      </c>
      <c r="S237" s="6">
        <v>14.87</v>
      </c>
      <c r="T237" s="6">
        <v>6.8810000000000002</v>
      </c>
      <c r="U237" s="6">
        <v>20.76</v>
      </c>
      <c r="V237" s="6"/>
      <c r="W237" s="6">
        <v>5.2229999999999999</v>
      </c>
      <c r="X237" s="6">
        <v>12</v>
      </c>
      <c r="Y237" s="6">
        <v>0.70099999999999996</v>
      </c>
      <c r="Z237" s="6">
        <v>2.62</v>
      </c>
      <c r="AA237" s="6">
        <v>0</v>
      </c>
      <c r="AB237" s="6">
        <v>1.8919999999999999</v>
      </c>
      <c r="AC237" s="6">
        <v>26.77</v>
      </c>
      <c r="AD237" s="6">
        <v>5.18</v>
      </c>
      <c r="AE237" s="6">
        <v>0.01</v>
      </c>
      <c r="AF237" s="6">
        <v>7.0000000000000001E-3</v>
      </c>
      <c r="AG237" s="6">
        <v>1.85</v>
      </c>
      <c r="AH237" s="6"/>
      <c r="AI237" s="6"/>
      <c r="AK237" s="22">
        <f t="shared" si="83"/>
        <v>0</v>
      </c>
      <c r="AL237">
        <f t="shared" si="106"/>
        <v>371.4000000000002</v>
      </c>
      <c r="AM237" s="4">
        <v>25.28</v>
      </c>
      <c r="AN237">
        <v>13.64</v>
      </c>
      <c r="AP237" s="7">
        <f t="shared" si="104"/>
        <v>0.68300000000000005</v>
      </c>
      <c r="AQ237" s="7">
        <f t="shared" si="84"/>
        <v>2.6070000000000002</v>
      </c>
      <c r="AS237">
        <f t="shared" si="85"/>
        <v>13.64</v>
      </c>
      <c r="AT237">
        <f t="shared" si="86"/>
        <v>15</v>
      </c>
      <c r="AU237">
        <f t="shared" si="87"/>
        <v>53.1</v>
      </c>
      <c r="AV237" t="s">
        <v>104</v>
      </c>
      <c r="AW237">
        <f t="shared" si="88"/>
        <v>15.1</v>
      </c>
      <c r="AX237">
        <f t="shared" si="89"/>
        <v>13.4</v>
      </c>
      <c r="AY237">
        <f t="shared" si="90"/>
        <v>25.7</v>
      </c>
      <c r="AZ237">
        <f t="shared" si="91"/>
        <v>84.3</v>
      </c>
      <c r="BA237" t="s">
        <v>104</v>
      </c>
      <c r="BB237">
        <f t="shared" si="92"/>
        <v>37.200000000000003</v>
      </c>
      <c r="BC237">
        <f t="shared" si="93"/>
        <v>14.9</v>
      </c>
      <c r="BD237">
        <f t="shared" si="94"/>
        <v>6.9</v>
      </c>
      <c r="BE237">
        <f t="shared" si="95"/>
        <v>20.8</v>
      </c>
      <c r="BF237" t="s">
        <v>104</v>
      </c>
      <c r="BG237">
        <f t="shared" si="96"/>
        <v>5.2</v>
      </c>
      <c r="BH237">
        <f t="shared" si="97"/>
        <v>12</v>
      </c>
      <c r="BI237">
        <f t="shared" si="98"/>
        <v>0.7</v>
      </c>
      <c r="BJ237">
        <f t="shared" si="99"/>
        <v>2.62</v>
      </c>
      <c r="BK237">
        <f t="shared" si="100"/>
        <v>0</v>
      </c>
      <c r="BL237">
        <f t="shared" si="101"/>
        <v>0</v>
      </c>
      <c r="BM237">
        <f t="shared" si="102"/>
        <v>0.68300000000000005</v>
      </c>
      <c r="BN237">
        <f t="shared" si="103"/>
        <v>2.6070000000000002</v>
      </c>
    </row>
    <row r="238" spans="1:66" x14ac:dyDescent="0.25">
      <c r="A238">
        <v>2024</v>
      </c>
      <c r="B238" s="1">
        <f t="shared" si="105"/>
        <v>45524</v>
      </c>
      <c r="C238" s="2">
        <v>233</v>
      </c>
      <c r="D238">
        <v>70</v>
      </c>
      <c r="E238" s="6">
        <v>12.94</v>
      </c>
      <c r="F238" s="6">
        <v>13.09</v>
      </c>
      <c r="G238" s="6">
        <v>23.62</v>
      </c>
      <c r="H238" s="6">
        <v>5.2119999999999997</v>
      </c>
      <c r="I238" s="6">
        <v>12.99</v>
      </c>
      <c r="J238" s="6">
        <v>13.81</v>
      </c>
      <c r="K238" s="6">
        <v>56.46</v>
      </c>
      <c r="L238" s="6"/>
      <c r="M238" s="6">
        <v>13.85</v>
      </c>
      <c r="N238" s="6">
        <v>12.8</v>
      </c>
      <c r="O238" s="6">
        <v>22.91</v>
      </c>
      <c r="P238" s="6">
        <v>79.2</v>
      </c>
      <c r="Q238" s="6"/>
      <c r="R238" s="6">
        <v>33.549999999999997</v>
      </c>
      <c r="S238" s="6">
        <v>13.85</v>
      </c>
      <c r="T238" s="6">
        <v>6.8789999999999996</v>
      </c>
      <c r="U238" s="6">
        <v>30.98</v>
      </c>
      <c r="V238" s="6"/>
      <c r="W238" s="6">
        <v>4.3120000000000003</v>
      </c>
      <c r="X238" s="6">
        <v>11.18</v>
      </c>
      <c r="Y238" s="6">
        <v>0.627</v>
      </c>
      <c r="Z238" s="6">
        <v>3.34</v>
      </c>
      <c r="AA238" s="6">
        <v>0</v>
      </c>
      <c r="AB238" s="6">
        <v>1.8819999999999999</v>
      </c>
      <c r="AC238" s="6">
        <v>23.02</v>
      </c>
      <c r="AD238" s="6">
        <v>5.452</v>
      </c>
      <c r="AE238" s="6">
        <v>0.01</v>
      </c>
      <c r="AF238" s="6">
        <v>7.0000000000000001E-3</v>
      </c>
      <c r="AG238" s="6">
        <v>1.843</v>
      </c>
      <c r="AH238" s="6"/>
      <c r="AI238" s="6"/>
      <c r="AK238" s="22">
        <f t="shared" si="83"/>
        <v>0</v>
      </c>
      <c r="AL238">
        <f t="shared" si="106"/>
        <v>371.4000000000002</v>
      </c>
      <c r="AM238" s="4">
        <v>25.06</v>
      </c>
      <c r="AN238">
        <v>12.99</v>
      </c>
      <c r="AP238" s="7">
        <f t="shared" si="104"/>
        <v>0.86499999999999999</v>
      </c>
      <c r="AQ238" s="7">
        <f t="shared" si="84"/>
        <v>1.927</v>
      </c>
      <c r="AS238">
        <f t="shared" si="85"/>
        <v>12.99</v>
      </c>
      <c r="AT238">
        <f t="shared" si="86"/>
        <v>13.8</v>
      </c>
      <c r="AU238">
        <f t="shared" si="87"/>
        <v>56.5</v>
      </c>
      <c r="AV238" t="s">
        <v>104</v>
      </c>
      <c r="AW238">
        <f t="shared" si="88"/>
        <v>13.9</v>
      </c>
      <c r="AX238">
        <f t="shared" si="89"/>
        <v>12.8</v>
      </c>
      <c r="AY238">
        <f t="shared" si="90"/>
        <v>22.9</v>
      </c>
      <c r="AZ238">
        <f t="shared" si="91"/>
        <v>79.2</v>
      </c>
      <c r="BA238" t="s">
        <v>104</v>
      </c>
      <c r="BB238">
        <f t="shared" si="92"/>
        <v>33.6</v>
      </c>
      <c r="BC238">
        <f t="shared" si="93"/>
        <v>13.9</v>
      </c>
      <c r="BD238">
        <f t="shared" si="94"/>
        <v>6.9</v>
      </c>
      <c r="BE238">
        <f t="shared" si="95"/>
        <v>31</v>
      </c>
      <c r="BF238" t="s">
        <v>104</v>
      </c>
      <c r="BG238">
        <f t="shared" si="96"/>
        <v>4.3</v>
      </c>
      <c r="BH238">
        <f t="shared" si="97"/>
        <v>11.2</v>
      </c>
      <c r="BI238">
        <f t="shared" si="98"/>
        <v>0.63</v>
      </c>
      <c r="BJ238">
        <f t="shared" si="99"/>
        <v>3.34</v>
      </c>
      <c r="BK238">
        <f t="shared" si="100"/>
        <v>0</v>
      </c>
      <c r="BL238">
        <f t="shared" si="101"/>
        <v>0</v>
      </c>
      <c r="BM238">
        <f t="shared" si="102"/>
        <v>0.86499999999999999</v>
      </c>
      <c r="BN238">
        <f t="shared" si="103"/>
        <v>1.927</v>
      </c>
    </row>
    <row r="239" spans="1:66" x14ac:dyDescent="0.25">
      <c r="A239">
        <v>2024</v>
      </c>
      <c r="B239" s="1">
        <f t="shared" si="105"/>
        <v>45525</v>
      </c>
      <c r="C239" s="2">
        <v>234</v>
      </c>
      <c r="D239">
        <v>70</v>
      </c>
      <c r="E239" s="6">
        <v>12.9</v>
      </c>
      <c r="F239" s="6">
        <v>12.01</v>
      </c>
      <c r="G239" s="6">
        <v>19.39</v>
      </c>
      <c r="H239" s="6">
        <v>7.52</v>
      </c>
      <c r="I239" s="6">
        <v>9.66</v>
      </c>
      <c r="J239" s="6">
        <v>12.37</v>
      </c>
      <c r="K239" s="6">
        <v>72.599999999999994</v>
      </c>
      <c r="L239" s="6"/>
      <c r="M239" s="6">
        <v>13.18</v>
      </c>
      <c r="N239" s="6">
        <v>12.93</v>
      </c>
      <c r="O239" s="6">
        <v>18.41</v>
      </c>
      <c r="P239" s="6">
        <v>87.3</v>
      </c>
      <c r="Q239" s="6"/>
      <c r="R239" s="6">
        <v>25.45</v>
      </c>
      <c r="S239" s="6">
        <v>14</v>
      </c>
      <c r="T239" s="6">
        <v>8.9499999999999993</v>
      </c>
      <c r="U239" s="6">
        <v>49.81</v>
      </c>
      <c r="V239" s="6"/>
      <c r="W239" s="6">
        <v>7.55</v>
      </c>
      <c r="X239" s="6">
        <v>12.14</v>
      </c>
      <c r="Y239" s="6">
        <v>0.48499999999999999</v>
      </c>
      <c r="Z239" s="6">
        <v>1.66</v>
      </c>
      <c r="AA239" s="6">
        <v>0.1</v>
      </c>
      <c r="AB239" s="6">
        <v>1.907</v>
      </c>
      <c r="AC239" s="6">
        <v>19.47</v>
      </c>
      <c r="AD239" s="6">
        <v>7.74</v>
      </c>
      <c r="AE239" s="6">
        <v>0.01</v>
      </c>
      <c r="AF239" s="6">
        <v>7.0000000000000001E-3</v>
      </c>
      <c r="AG239" s="6">
        <v>1.869</v>
      </c>
      <c r="AH239" s="6"/>
      <c r="AI239" s="6"/>
      <c r="AK239" s="22">
        <f t="shared" si="83"/>
        <v>0.1</v>
      </c>
      <c r="AL239">
        <f t="shared" si="106"/>
        <v>371.50000000000023</v>
      </c>
      <c r="AM239" s="4">
        <v>24.83</v>
      </c>
      <c r="AN239">
        <v>9.66</v>
      </c>
      <c r="AP239" s="7">
        <f t="shared" si="104"/>
        <v>1.0549999999999999</v>
      </c>
      <c r="AQ239" s="7">
        <f t="shared" si="84"/>
        <v>1.0629999999999999</v>
      </c>
      <c r="AS239">
        <f t="shared" si="85"/>
        <v>9.66</v>
      </c>
      <c r="AT239">
        <f t="shared" si="86"/>
        <v>12.4</v>
      </c>
      <c r="AU239">
        <f t="shared" si="87"/>
        <v>72.599999999999994</v>
      </c>
      <c r="AV239" t="s">
        <v>104</v>
      </c>
      <c r="AW239">
        <f t="shared" si="88"/>
        <v>13.2</v>
      </c>
      <c r="AX239">
        <f t="shared" si="89"/>
        <v>12.9</v>
      </c>
      <c r="AY239">
        <f t="shared" si="90"/>
        <v>18.399999999999999</v>
      </c>
      <c r="AZ239">
        <f t="shared" si="91"/>
        <v>87.3</v>
      </c>
      <c r="BA239" t="s">
        <v>104</v>
      </c>
      <c r="BB239">
        <f t="shared" si="92"/>
        <v>25.5</v>
      </c>
      <c r="BC239">
        <f t="shared" si="93"/>
        <v>14</v>
      </c>
      <c r="BD239">
        <f t="shared" si="94"/>
        <v>9</v>
      </c>
      <c r="BE239">
        <f t="shared" si="95"/>
        <v>49.8</v>
      </c>
      <c r="BF239" t="s">
        <v>104</v>
      </c>
      <c r="BG239">
        <f t="shared" si="96"/>
        <v>7.6</v>
      </c>
      <c r="BH239">
        <f t="shared" si="97"/>
        <v>12.1</v>
      </c>
      <c r="BI239">
        <f t="shared" si="98"/>
        <v>0.49</v>
      </c>
      <c r="BJ239">
        <f t="shared" si="99"/>
        <v>1.66</v>
      </c>
      <c r="BK239">
        <f t="shared" si="100"/>
        <v>0</v>
      </c>
      <c r="BL239">
        <f t="shared" si="101"/>
        <v>0.1</v>
      </c>
      <c r="BM239">
        <f t="shared" si="102"/>
        <v>1.0549999999999999</v>
      </c>
      <c r="BN239">
        <f t="shared" si="103"/>
        <v>1.0629999999999999</v>
      </c>
    </row>
    <row r="240" spans="1:66" x14ac:dyDescent="0.25">
      <c r="A240">
        <v>2024</v>
      </c>
      <c r="B240" s="1">
        <f t="shared" si="105"/>
        <v>45526</v>
      </c>
      <c r="C240" s="2">
        <v>235</v>
      </c>
      <c r="D240">
        <v>70</v>
      </c>
      <c r="E240" s="6">
        <v>12.97</v>
      </c>
      <c r="F240" s="6">
        <v>14.4</v>
      </c>
      <c r="G240" s="6">
        <v>25.53</v>
      </c>
      <c r="H240" s="6">
        <v>6.0880000000000001</v>
      </c>
      <c r="I240" s="6">
        <v>14.84</v>
      </c>
      <c r="J240" s="6">
        <v>15.19</v>
      </c>
      <c r="K240" s="6">
        <v>58.96</v>
      </c>
      <c r="L240" s="6"/>
      <c r="M240" s="6">
        <v>15.46</v>
      </c>
      <c r="N240" s="6">
        <v>12.85</v>
      </c>
      <c r="O240" s="6">
        <v>23.7</v>
      </c>
      <c r="P240" s="6">
        <v>88.5</v>
      </c>
      <c r="Q240" s="6"/>
      <c r="R240" s="6">
        <v>32.590000000000003</v>
      </c>
      <c r="S240" s="6">
        <v>14.51</v>
      </c>
      <c r="T240" s="6">
        <v>7.21</v>
      </c>
      <c r="U240" s="6">
        <v>30.1</v>
      </c>
      <c r="V240" s="6"/>
      <c r="W240" s="6">
        <v>6.14</v>
      </c>
      <c r="X240" s="6">
        <v>11.52</v>
      </c>
      <c r="Y240" s="6">
        <v>0.44600000000000001</v>
      </c>
      <c r="Z240" s="6">
        <v>1.7</v>
      </c>
      <c r="AA240" s="6">
        <v>0</v>
      </c>
      <c r="AB240" s="6">
        <v>2.25</v>
      </c>
      <c r="AC240" s="6">
        <v>25.76</v>
      </c>
      <c r="AD240" s="6">
        <v>6.3140000000000001</v>
      </c>
      <c r="AE240" s="6">
        <v>0.01</v>
      </c>
      <c r="AF240" s="6">
        <v>7.0000000000000001E-3</v>
      </c>
      <c r="AG240" s="6">
        <v>2.2040000000000002</v>
      </c>
      <c r="AH240" s="6"/>
      <c r="AI240" s="6"/>
      <c r="AK240" s="22">
        <f t="shared" si="83"/>
        <v>0</v>
      </c>
      <c r="AL240">
        <f t="shared" si="106"/>
        <v>371.50000000000023</v>
      </c>
      <c r="AM240" s="4">
        <v>24.61</v>
      </c>
      <c r="AN240">
        <v>14.83</v>
      </c>
      <c r="AP240" s="7">
        <f t="shared" si="104"/>
        <v>0.88200000000000001</v>
      </c>
      <c r="AQ240" s="7">
        <f t="shared" si="84"/>
        <v>2.048</v>
      </c>
      <c r="AS240">
        <f t="shared" si="85"/>
        <v>14.83</v>
      </c>
      <c r="AT240">
        <f t="shared" si="86"/>
        <v>15.2</v>
      </c>
      <c r="AU240">
        <f t="shared" si="87"/>
        <v>59</v>
      </c>
      <c r="AV240" t="s">
        <v>104</v>
      </c>
      <c r="AW240">
        <f t="shared" si="88"/>
        <v>15.5</v>
      </c>
      <c r="AX240">
        <f t="shared" si="89"/>
        <v>12.9</v>
      </c>
      <c r="AY240">
        <f t="shared" si="90"/>
        <v>23.7</v>
      </c>
      <c r="AZ240">
        <f t="shared" si="91"/>
        <v>88.5</v>
      </c>
      <c r="BA240" t="s">
        <v>104</v>
      </c>
      <c r="BB240">
        <f t="shared" si="92"/>
        <v>32.6</v>
      </c>
      <c r="BC240">
        <f t="shared" si="93"/>
        <v>14.5</v>
      </c>
      <c r="BD240">
        <f t="shared" si="94"/>
        <v>7.2</v>
      </c>
      <c r="BE240">
        <f t="shared" si="95"/>
        <v>30.1</v>
      </c>
      <c r="BF240" t="s">
        <v>104</v>
      </c>
      <c r="BG240">
        <f t="shared" si="96"/>
        <v>6.1</v>
      </c>
      <c r="BH240">
        <f t="shared" si="97"/>
        <v>11.5</v>
      </c>
      <c r="BI240">
        <f t="shared" si="98"/>
        <v>0.45</v>
      </c>
      <c r="BJ240">
        <f t="shared" si="99"/>
        <v>1.7</v>
      </c>
      <c r="BK240">
        <f t="shared" si="100"/>
        <v>0</v>
      </c>
      <c r="BL240">
        <f t="shared" si="101"/>
        <v>0</v>
      </c>
      <c r="BM240">
        <f t="shared" si="102"/>
        <v>0.88200000000000001</v>
      </c>
      <c r="BN240">
        <f t="shared" si="103"/>
        <v>2.048</v>
      </c>
    </row>
    <row r="241" spans="1:66" x14ac:dyDescent="0.25">
      <c r="A241">
        <v>2024</v>
      </c>
      <c r="B241" s="1">
        <f t="shared" si="105"/>
        <v>45527</v>
      </c>
      <c r="C241" s="2">
        <v>236</v>
      </c>
      <c r="D241">
        <v>70</v>
      </c>
      <c r="E241" s="6">
        <v>12.92</v>
      </c>
      <c r="F241" s="6">
        <v>15.85</v>
      </c>
      <c r="G241" s="6">
        <v>30.6</v>
      </c>
      <c r="H241" s="6">
        <v>8.75</v>
      </c>
      <c r="I241" s="6">
        <v>14.49</v>
      </c>
      <c r="J241" s="6">
        <v>16.38</v>
      </c>
      <c r="K241" s="6">
        <v>60.79</v>
      </c>
      <c r="L241" s="6"/>
      <c r="M241" s="6">
        <v>16.809999999999999</v>
      </c>
      <c r="N241" s="6">
        <v>13.25</v>
      </c>
      <c r="O241" s="6">
        <v>28.2</v>
      </c>
      <c r="P241" s="6">
        <v>91.8</v>
      </c>
      <c r="Q241" s="6"/>
      <c r="R241" s="6">
        <v>38.909999999999997</v>
      </c>
      <c r="S241" s="6">
        <v>14.85</v>
      </c>
      <c r="T241" s="6">
        <v>9.6199999999999992</v>
      </c>
      <c r="U241" s="6">
        <v>22.98</v>
      </c>
      <c r="V241" s="6"/>
      <c r="W241" s="6">
        <v>8.31</v>
      </c>
      <c r="X241" s="6">
        <v>12.17</v>
      </c>
      <c r="Y241" s="6">
        <v>0.52600000000000002</v>
      </c>
      <c r="Z241" s="6">
        <v>2.9140000000000001</v>
      </c>
      <c r="AA241" s="6">
        <v>3.3</v>
      </c>
      <c r="AB241" s="6">
        <v>1.9510000000000001</v>
      </c>
      <c r="AC241" s="6">
        <v>31.25</v>
      </c>
      <c r="AD241" s="6">
        <v>9.0399999999999991</v>
      </c>
      <c r="AE241" s="6">
        <v>0.01</v>
      </c>
      <c r="AF241" s="6">
        <v>7.0000000000000001E-3</v>
      </c>
      <c r="AG241" s="6">
        <v>1.9159999999999999</v>
      </c>
      <c r="AH241" s="6"/>
      <c r="AI241" s="6"/>
      <c r="AK241" s="22">
        <f t="shared" si="83"/>
        <v>3.3</v>
      </c>
      <c r="AL241">
        <f t="shared" si="106"/>
        <v>374.80000000000024</v>
      </c>
      <c r="AM241" s="4">
        <v>24.37</v>
      </c>
      <c r="AN241">
        <v>14.49</v>
      </c>
      <c r="AP241" s="7">
        <f t="shared" si="104"/>
        <v>0.879</v>
      </c>
      <c r="AQ241" s="7">
        <f t="shared" si="84"/>
        <v>2.9460000000000002</v>
      </c>
      <c r="AS241">
        <f t="shared" si="85"/>
        <v>14.49</v>
      </c>
      <c r="AT241">
        <f t="shared" si="86"/>
        <v>16.399999999999999</v>
      </c>
      <c r="AU241">
        <f t="shared" si="87"/>
        <v>60.8</v>
      </c>
      <c r="AV241" t="s">
        <v>104</v>
      </c>
      <c r="AW241">
        <f t="shared" si="88"/>
        <v>16.8</v>
      </c>
      <c r="AX241">
        <f t="shared" si="89"/>
        <v>13.3</v>
      </c>
      <c r="AY241">
        <f t="shared" si="90"/>
        <v>28.2</v>
      </c>
      <c r="AZ241">
        <f t="shared" si="91"/>
        <v>91.8</v>
      </c>
      <c r="BA241" t="s">
        <v>104</v>
      </c>
      <c r="BB241">
        <f t="shared" si="92"/>
        <v>38.9</v>
      </c>
      <c r="BC241">
        <f t="shared" si="93"/>
        <v>14.9</v>
      </c>
      <c r="BD241">
        <f t="shared" si="94"/>
        <v>9.6</v>
      </c>
      <c r="BE241">
        <f t="shared" si="95"/>
        <v>23</v>
      </c>
      <c r="BF241" t="s">
        <v>104</v>
      </c>
      <c r="BG241">
        <f t="shared" si="96"/>
        <v>8.3000000000000007</v>
      </c>
      <c r="BH241">
        <f t="shared" si="97"/>
        <v>12.2</v>
      </c>
      <c r="BI241">
        <f t="shared" si="98"/>
        <v>0.53</v>
      </c>
      <c r="BJ241">
        <f t="shared" si="99"/>
        <v>2.91</v>
      </c>
      <c r="BK241">
        <f t="shared" si="100"/>
        <v>0</v>
      </c>
      <c r="BL241">
        <f t="shared" si="101"/>
        <v>3.3</v>
      </c>
      <c r="BM241">
        <f t="shared" si="102"/>
        <v>0.879</v>
      </c>
      <c r="BN241">
        <f t="shared" si="103"/>
        <v>2.9460000000000002</v>
      </c>
    </row>
    <row r="242" spans="1:66" x14ac:dyDescent="0.25">
      <c r="A242">
        <v>2024</v>
      </c>
      <c r="B242" s="1">
        <f t="shared" si="105"/>
        <v>45528</v>
      </c>
      <c r="C242" s="2">
        <v>237</v>
      </c>
      <c r="D242">
        <v>70</v>
      </c>
      <c r="E242" s="6">
        <v>12.73</v>
      </c>
      <c r="F242" s="6">
        <v>8.27</v>
      </c>
      <c r="G242" s="6">
        <v>9.5</v>
      </c>
      <c r="H242" s="6">
        <v>6.87</v>
      </c>
      <c r="I242" s="6">
        <v>3.9359999999999999</v>
      </c>
      <c r="J242" s="6">
        <v>8.56</v>
      </c>
      <c r="K242" s="6">
        <v>89.6</v>
      </c>
      <c r="L242" s="6"/>
      <c r="M242" s="6">
        <v>9.07</v>
      </c>
      <c r="N242" s="6">
        <v>11.98</v>
      </c>
      <c r="O242" s="6">
        <v>10.16</v>
      </c>
      <c r="P242" s="6">
        <v>91.9</v>
      </c>
      <c r="Q242" s="6"/>
      <c r="R242" s="6">
        <v>11.46</v>
      </c>
      <c r="S242" s="6">
        <v>12.9</v>
      </c>
      <c r="T242" s="6">
        <v>7.21</v>
      </c>
      <c r="U242" s="6">
        <v>82.8</v>
      </c>
      <c r="V242" s="6"/>
      <c r="W242" s="6">
        <v>6.7690000000000001</v>
      </c>
      <c r="X242" s="6">
        <v>11.55</v>
      </c>
      <c r="Y242" s="6">
        <v>0.57199999999999995</v>
      </c>
      <c r="Z242" s="6">
        <v>1.954</v>
      </c>
      <c r="AA242" s="6">
        <v>8.5</v>
      </c>
      <c r="AB242" s="6">
        <v>1.8979999999999999</v>
      </c>
      <c r="AC242" s="6">
        <v>9.91</v>
      </c>
      <c r="AD242" s="6">
        <v>7.14</v>
      </c>
      <c r="AE242" s="6">
        <v>8.9999999999999993E-3</v>
      </c>
      <c r="AF242" s="6">
        <v>7.0000000000000001E-3</v>
      </c>
      <c r="AG242" s="6">
        <v>1.8720000000000001</v>
      </c>
      <c r="AH242" s="6"/>
      <c r="AI242" s="6"/>
      <c r="AK242" s="22">
        <f t="shared" ref="AK242:AK305" si="107">AA242</f>
        <v>8.5</v>
      </c>
      <c r="AL242">
        <f t="shared" si="106"/>
        <v>383.30000000000024</v>
      </c>
      <c r="AM242" s="4">
        <v>24.14</v>
      </c>
      <c r="AN242">
        <v>3.93</v>
      </c>
      <c r="AP242" s="7">
        <f t="shared" si="104"/>
        <v>1.0269999999999999</v>
      </c>
      <c r="AQ242" s="7">
        <f t="shared" si="84"/>
        <v>0.21299999999999999</v>
      </c>
      <c r="AS242">
        <f t="shared" si="85"/>
        <v>3.93</v>
      </c>
      <c r="AT242">
        <f t="shared" si="86"/>
        <v>8.6</v>
      </c>
      <c r="AU242">
        <f t="shared" si="87"/>
        <v>89.6</v>
      </c>
      <c r="AV242" t="s">
        <v>104</v>
      </c>
      <c r="AW242">
        <f t="shared" si="88"/>
        <v>9.1</v>
      </c>
      <c r="AX242">
        <f t="shared" si="89"/>
        <v>12</v>
      </c>
      <c r="AY242">
        <f t="shared" si="90"/>
        <v>10.199999999999999</v>
      </c>
      <c r="AZ242">
        <f t="shared" si="91"/>
        <v>91.9</v>
      </c>
      <c r="BA242" t="s">
        <v>104</v>
      </c>
      <c r="BB242">
        <f t="shared" si="92"/>
        <v>11.5</v>
      </c>
      <c r="BC242">
        <f t="shared" si="93"/>
        <v>12.9</v>
      </c>
      <c r="BD242">
        <f t="shared" si="94"/>
        <v>7.2</v>
      </c>
      <c r="BE242">
        <f t="shared" si="95"/>
        <v>82.8</v>
      </c>
      <c r="BF242" t="s">
        <v>104</v>
      </c>
      <c r="BG242">
        <f t="shared" si="96"/>
        <v>6.8</v>
      </c>
      <c r="BH242">
        <f t="shared" si="97"/>
        <v>11.6</v>
      </c>
      <c r="BI242">
        <f t="shared" si="98"/>
        <v>0.56999999999999995</v>
      </c>
      <c r="BJ242">
        <f t="shared" si="99"/>
        <v>1.95</v>
      </c>
      <c r="BK242">
        <f t="shared" si="100"/>
        <v>0</v>
      </c>
      <c r="BL242">
        <f t="shared" si="101"/>
        <v>8.5</v>
      </c>
      <c r="BM242">
        <f t="shared" si="102"/>
        <v>1.0269999999999999</v>
      </c>
      <c r="BN242">
        <f t="shared" si="103"/>
        <v>0.21299999999999999</v>
      </c>
    </row>
    <row r="243" spans="1:66" x14ac:dyDescent="0.25">
      <c r="A243">
        <v>2024</v>
      </c>
      <c r="B243" s="1">
        <f t="shared" si="105"/>
        <v>45529</v>
      </c>
      <c r="C243" s="2">
        <v>238</v>
      </c>
      <c r="D243">
        <v>70</v>
      </c>
      <c r="E243" s="6">
        <v>12.9</v>
      </c>
      <c r="F243" s="6">
        <v>10.18</v>
      </c>
      <c r="G243" s="6">
        <v>17.25</v>
      </c>
      <c r="H243" s="6">
        <v>4.0970000000000004</v>
      </c>
      <c r="I243" s="6">
        <v>10.42</v>
      </c>
      <c r="J243" s="6">
        <v>10.54</v>
      </c>
      <c r="K243" s="6">
        <v>79.900000000000006</v>
      </c>
      <c r="L243" s="6"/>
      <c r="M243" s="6">
        <v>10.52</v>
      </c>
      <c r="N243" s="6">
        <v>11.79</v>
      </c>
      <c r="O243" s="6">
        <v>16.8</v>
      </c>
      <c r="P243" s="6">
        <v>93.2</v>
      </c>
      <c r="Q243" s="6"/>
      <c r="R243" s="6">
        <v>26.07</v>
      </c>
      <c r="S243" s="6">
        <v>12.84</v>
      </c>
      <c r="T243" s="6">
        <v>5.1319999999999997</v>
      </c>
      <c r="U243" s="6">
        <v>59.15</v>
      </c>
      <c r="V243" s="6"/>
      <c r="W243" s="6">
        <v>4.0979999999999999</v>
      </c>
      <c r="X243" s="6">
        <v>10.75</v>
      </c>
      <c r="Y243" s="6">
        <v>0.47299999999999998</v>
      </c>
      <c r="Z243" s="6">
        <v>1.474</v>
      </c>
      <c r="AA243" s="6">
        <v>1.5</v>
      </c>
      <c r="AB243" s="6">
        <v>1.863</v>
      </c>
      <c r="AC243" s="6">
        <v>17.28</v>
      </c>
      <c r="AD243" s="6">
        <v>4.2789999999999999</v>
      </c>
      <c r="AE243" s="6">
        <v>0.01</v>
      </c>
      <c r="AF243" s="6">
        <v>7.0000000000000001E-3</v>
      </c>
      <c r="AG243" s="6">
        <v>1.8360000000000001</v>
      </c>
      <c r="AH243" s="6"/>
      <c r="AI243" s="6"/>
      <c r="AK243" s="22">
        <f t="shared" si="107"/>
        <v>1.5</v>
      </c>
      <c r="AL243">
        <f t="shared" si="106"/>
        <v>384.80000000000024</v>
      </c>
      <c r="AM243" s="4">
        <v>23.91</v>
      </c>
      <c r="AN243">
        <v>10.42</v>
      </c>
      <c r="AP243" s="7">
        <f t="shared" si="104"/>
        <v>1.131</v>
      </c>
      <c r="AQ243" s="7">
        <f t="shared" si="84"/>
        <v>0.78100000000000003</v>
      </c>
      <c r="AS243">
        <f t="shared" si="85"/>
        <v>10.42</v>
      </c>
      <c r="AT243">
        <f t="shared" si="86"/>
        <v>10.5</v>
      </c>
      <c r="AU243">
        <f t="shared" si="87"/>
        <v>79.900000000000006</v>
      </c>
      <c r="AV243" t="s">
        <v>104</v>
      </c>
      <c r="AW243">
        <f t="shared" si="88"/>
        <v>10.5</v>
      </c>
      <c r="AX243">
        <f t="shared" si="89"/>
        <v>11.8</v>
      </c>
      <c r="AY243">
        <f t="shared" si="90"/>
        <v>16.8</v>
      </c>
      <c r="AZ243">
        <f t="shared" si="91"/>
        <v>93.2</v>
      </c>
      <c r="BA243" t="s">
        <v>104</v>
      </c>
      <c r="BB243">
        <f t="shared" si="92"/>
        <v>26.1</v>
      </c>
      <c r="BC243">
        <f t="shared" si="93"/>
        <v>12.8</v>
      </c>
      <c r="BD243">
        <f t="shared" si="94"/>
        <v>5.0999999999999996</v>
      </c>
      <c r="BE243">
        <f t="shared" si="95"/>
        <v>59.2</v>
      </c>
      <c r="BF243" t="s">
        <v>104</v>
      </c>
      <c r="BG243">
        <f t="shared" si="96"/>
        <v>4.0999999999999996</v>
      </c>
      <c r="BH243">
        <f t="shared" si="97"/>
        <v>10.8</v>
      </c>
      <c r="BI243">
        <f t="shared" si="98"/>
        <v>0.47</v>
      </c>
      <c r="BJ243">
        <f t="shared" si="99"/>
        <v>1.47</v>
      </c>
      <c r="BK243">
        <f t="shared" si="100"/>
        <v>0</v>
      </c>
      <c r="BL243">
        <f t="shared" si="101"/>
        <v>1.5</v>
      </c>
      <c r="BM243">
        <f t="shared" si="102"/>
        <v>1.131</v>
      </c>
      <c r="BN243">
        <f t="shared" si="103"/>
        <v>0.78100000000000003</v>
      </c>
    </row>
    <row r="244" spans="1:66" x14ac:dyDescent="0.25">
      <c r="A244">
        <v>2024</v>
      </c>
      <c r="B244" s="1">
        <f t="shared" si="105"/>
        <v>45530</v>
      </c>
      <c r="C244" s="2">
        <v>239</v>
      </c>
      <c r="D244">
        <v>70</v>
      </c>
      <c r="E244" s="6">
        <v>12.78</v>
      </c>
      <c r="F244" s="6">
        <v>10.77</v>
      </c>
      <c r="G244" s="6">
        <v>18.940000000000001</v>
      </c>
      <c r="H244" s="6">
        <v>4.9400000000000004</v>
      </c>
      <c r="I244" s="6">
        <v>7.26</v>
      </c>
      <c r="J244" s="6">
        <v>11.34</v>
      </c>
      <c r="K244" s="6">
        <v>78.2</v>
      </c>
      <c r="L244" s="6"/>
      <c r="M244" s="6">
        <v>11.31</v>
      </c>
      <c r="N244" s="6">
        <v>11.95</v>
      </c>
      <c r="O244" s="6">
        <v>19.02</v>
      </c>
      <c r="P244" s="6">
        <v>92</v>
      </c>
      <c r="Q244" s="6"/>
      <c r="R244" s="6">
        <v>23.77</v>
      </c>
      <c r="S244" s="6">
        <v>12.87</v>
      </c>
      <c r="T244" s="6">
        <v>6.343</v>
      </c>
      <c r="U244" s="6">
        <v>42.28</v>
      </c>
      <c r="V244" s="6"/>
      <c r="W244" s="6">
        <v>5.3879999999999999</v>
      </c>
      <c r="X244" s="6">
        <v>11.25</v>
      </c>
      <c r="Y244" s="6">
        <v>0.58099999999999996</v>
      </c>
      <c r="Z244" s="6">
        <v>2.0739999999999998</v>
      </c>
      <c r="AA244" s="6">
        <v>0.8</v>
      </c>
      <c r="AB244" s="6">
        <v>1.9059999999999999</v>
      </c>
      <c r="AC244" s="6">
        <v>18.940000000000001</v>
      </c>
      <c r="AD244" s="6">
        <v>5.1379999999999999</v>
      </c>
      <c r="AE244" s="6">
        <v>0.01</v>
      </c>
      <c r="AF244" s="6">
        <v>7.0000000000000001E-3</v>
      </c>
      <c r="AG244" s="6">
        <v>1.8759999999999999</v>
      </c>
      <c r="AH244" s="6"/>
      <c r="AI244" s="6"/>
      <c r="AK244" s="22">
        <f t="shared" si="107"/>
        <v>0.8</v>
      </c>
      <c r="AL244">
        <f t="shared" si="106"/>
        <v>385.60000000000025</v>
      </c>
      <c r="AM244" s="4">
        <v>23.67</v>
      </c>
      <c r="AN244">
        <v>7.25</v>
      </c>
      <c r="AP244" s="7">
        <f t="shared" si="104"/>
        <v>0.93</v>
      </c>
      <c r="AQ244" s="7">
        <f t="shared" si="84"/>
        <v>1.27</v>
      </c>
      <c r="AS244">
        <f t="shared" si="85"/>
        <v>7.25</v>
      </c>
      <c r="AT244">
        <f t="shared" si="86"/>
        <v>11.3</v>
      </c>
      <c r="AU244">
        <f t="shared" si="87"/>
        <v>78.2</v>
      </c>
      <c r="AV244" t="s">
        <v>104</v>
      </c>
      <c r="AW244">
        <f t="shared" si="88"/>
        <v>11.3</v>
      </c>
      <c r="AX244">
        <f t="shared" si="89"/>
        <v>12</v>
      </c>
      <c r="AY244">
        <f t="shared" si="90"/>
        <v>19</v>
      </c>
      <c r="AZ244">
        <f t="shared" si="91"/>
        <v>92</v>
      </c>
      <c r="BA244" t="s">
        <v>104</v>
      </c>
      <c r="BB244">
        <f t="shared" si="92"/>
        <v>23.8</v>
      </c>
      <c r="BC244">
        <f t="shared" si="93"/>
        <v>12.9</v>
      </c>
      <c r="BD244">
        <f t="shared" si="94"/>
        <v>6.3</v>
      </c>
      <c r="BE244">
        <f t="shared" si="95"/>
        <v>42.3</v>
      </c>
      <c r="BF244" t="s">
        <v>104</v>
      </c>
      <c r="BG244">
        <f t="shared" si="96"/>
        <v>5.4</v>
      </c>
      <c r="BH244">
        <f t="shared" si="97"/>
        <v>11.3</v>
      </c>
      <c r="BI244">
        <f t="shared" si="98"/>
        <v>0.57999999999999996</v>
      </c>
      <c r="BJ244">
        <f t="shared" si="99"/>
        <v>2.0699999999999998</v>
      </c>
      <c r="BK244">
        <f t="shared" si="100"/>
        <v>0</v>
      </c>
      <c r="BL244">
        <f t="shared" si="101"/>
        <v>0.8</v>
      </c>
      <c r="BM244">
        <f t="shared" si="102"/>
        <v>0.93</v>
      </c>
      <c r="BN244">
        <f t="shared" si="103"/>
        <v>1.27</v>
      </c>
    </row>
    <row r="245" spans="1:66" x14ac:dyDescent="0.25">
      <c r="A245">
        <v>2024</v>
      </c>
      <c r="B245" s="1">
        <f t="shared" si="105"/>
        <v>45531</v>
      </c>
      <c r="C245" s="2">
        <v>240</v>
      </c>
      <c r="D245">
        <v>70</v>
      </c>
      <c r="E245" s="6">
        <v>12.76</v>
      </c>
      <c r="F245" s="6">
        <v>6.4089999999999998</v>
      </c>
      <c r="G245" s="6">
        <v>13.04</v>
      </c>
      <c r="H245" s="6">
        <v>3.911</v>
      </c>
      <c r="I245" s="6">
        <v>6.9260000000000002</v>
      </c>
      <c r="J245" s="6">
        <v>6.7389999999999999</v>
      </c>
      <c r="K245" s="6">
        <v>82.9</v>
      </c>
      <c r="L245" s="6"/>
      <c r="M245" s="6">
        <v>6.5430000000000001</v>
      </c>
      <c r="N245" s="6">
        <v>11.11</v>
      </c>
      <c r="O245" s="6">
        <v>11.77</v>
      </c>
      <c r="P245" s="6">
        <v>91.7</v>
      </c>
      <c r="Q245" s="6"/>
      <c r="R245" s="6">
        <v>13.08</v>
      </c>
      <c r="S245" s="6">
        <v>12.14</v>
      </c>
      <c r="T245" s="6">
        <v>3.7869999999999999</v>
      </c>
      <c r="U245" s="6">
        <v>56.82</v>
      </c>
      <c r="V245" s="6"/>
      <c r="W245" s="6">
        <v>4.3120000000000003</v>
      </c>
      <c r="X245" s="6">
        <v>10.14</v>
      </c>
      <c r="Y245" s="6">
        <v>0.999</v>
      </c>
      <c r="Z245" s="6">
        <v>2.8740000000000001</v>
      </c>
      <c r="AA245" s="6">
        <v>0.9</v>
      </c>
      <c r="AB245" s="6">
        <v>1.9410000000000001</v>
      </c>
      <c r="AC245" s="6">
        <v>13.26</v>
      </c>
      <c r="AD245" s="6">
        <v>4.1120000000000001</v>
      </c>
      <c r="AE245" s="6">
        <v>8.9999999999999993E-3</v>
      </c>
      <c r="AF245" s="6">
        <v>7.0000000000000001E-3</v>
      </c>
      <c r="AG245" s="6">
        <v>1.921</v>
      </c>
      <c r="AH245" s="6"/>
      <c r="AI245" s="6"/>
      <c r="AK245" s="22">
        <f t="shared" si="107"/>
        <v>0.9</v>
      </c>
      <c r="AL245">
        <f t="shared" si="106"/>
        <v>386.50000000000023</v>
      </c>
      <c r="AM245" s="4">
        <v>23.43</v>
      </c>
      <c r="AN245">
        <v>6.92</v>
      </c>
      <c r="AP245" s="7">
        <f t="shared" si="104"/>
        <v>0.78500000000000003</v>
      </c>
      <c r="AQ245" s="7">
        <f t="shared" si="84"/>
        <v>0.59699999999999998</v>
      </c>
      <c r="AS245">
        <f t="shared" si="85"/>
        <v>6.92</v>
      </c>
      <c r="AT245">
        <f t="shared" si="86"/>
        <v>6.7</v>
      </c>
      <c r="AU245">
        <f t="shared" si="87"/>
        <v>82.9</v>
      </c>
      <c r="AV245" t="s">
        <v>104</v>
      </c>
      <c r="AW245">
        <f t="shared" si="88"/>
        <v>6.5</v>
      </c>
      <c r="AX245">
        <f t="shared" si="89"/>
        <v>11.1</v>
      </c>
      <c r="AY245">
        <f t="shared" si="90"/>
        <v>11.8</v>
      </c>
      <c r="AZ245">
        <f t="shared" si="91"/>
        <v>91.7</v>
      </c>
      <c r="BA245" t="s">
        <v>104</v>
      </c>
      <c r="BB245">
        <f t="shared" si="92"/>
        <v>13.1</v>
      </c>
      <c r="BC245">
        <f t="shared" si="93"/>
        <v>12.1</v>
      </c>
      <c r="BD245">
        <f t="shared" si="94"/>
        <v>3.8</v>
      </c>
      <c r="BE245">
        <f t="shared" si="95"/>
        <v>56.8</v>
      </c>
      <c r="BF245" t="s">
        <v>104</v>
      </c>
      <c r="BG245">
        <f t="shared" si="96"/>
        <v>4.3</v>
      </c>
      <c r="BH245">
        <f t="shared" si="97"/>
        <v>10.1</v>
      </c>
      <c r="BI245">
        <f t="shared" si="98"/>
        <v>1</v>
      </c>
      <c r="BJ245">
        <f t="shared" si="99"/>
        <v>2.87</v>
      </c>
      <c r="BK245">
        <f t="shared" si="100"/>
        <v>0</v>
      </c>
      <c r="BL245">
        <f t="shared" si="101"/>
        <v>0.9</v>
      </c>
      <c r="BM245">
        <f t="shared" si="102"/>
        <v>0.78500000000000003</v>
      </c>
      <c r="BN245">
        <f t="shared" si="103"/>
        <v>0.59699999999999998</v>
      </c>
    </row>
    <row r="246" spans="1:66" x14ac:dyDescent="0.25">
      <c r="A246">
        <v>2024</v>
      </c>
      <c r="B246" s="1">
        <f t="shared" si="105"/>
        <v>45532</v>
      </c>
      <c r="C246" s="2">
        <v>241</v>
      </c>
      <c r="D246">
        <v>70</v>
      </c>
      <c r="E246" s="6">
        <v>12.98</v>
      </c>
      <c r="F246" s="6">
        <v>9.15</v>
      </c>
      <c r="G246" s="6">
        <v>19.690000000000001</v>
      </c>
      <c r="H246" s="6">
        <v>3.399</v>
      </c>
      <c r="I246" s="6">
        <v>15.65</v>
      </c>
      <c r="J246" s="6">
        <v>9.5299999999999994</v>
      </c>
      <c r="K246" s="6">
        <v>72</v>
      </c>
      <c r="L246" s="6"/>
      <c r="M246" s="6">
        <v>10.01</v>
      </c>
      <c r="N246" s="6">
        <v>10.59</v>
      </c>
      <c r="O246" s="6">
        <v>17.940000000000001</v>
      </c>
      <c r="P246" s="6">
        <v>92.4</v>
      </c>
      <c r="Q246" s="6"/>
      <c r="R246" s="6">
        <v>30.72</v>
      </c>
      <c r="S246" s="6">
        <v>11.94</v>
      </c>
      <c r="T246" s="6">
        <v>4.3250000000000002</v>
      </c>
      <c r="U246" s="6">
        <v>38.92</v>
      </c>
      <c r="V246" s="6"/>
      <c r="W246" s="6">
        <v>3.242</v>
      </c>
      <c r="X246" s="6">
        <v>9.3699999999999992</v>
      </c>
      <c r="Y246" s="6">
        <v>0.76400000000000001</v>
      </c>
      <c r="Z246" s="6">
        <v>2.42</v>
      </c>
      <c r="AA246" s="6">
        <v>1</v>
      </c>
      <c r="AB246" s="6">
        <v>1.8680000000000001</v>
      </c>
      <c r="AC246" s="6">
        <v>19.91</v>
      </c>
      <c r="AD246" s="6">
        <v>3.6110000000000002</v>
      </c>
      <c r="AE246" s="6">
        <v>0.01</v>
      </c>
      <c r="AF246" s="6">
        <v>7.0000000000000001E-3</v>
      </c>
      <c r="AG246" s="6">
        <v>1.845</v>
      </c>
      <c r="AH246" s="6"/>
      <c r="AI246" s="6"/>
      <c r="AK246" s="22">
        <f t="shared" si="107"/>
        <v>1</v>
      </c>
      <c r="AL246">
        <f t="shared" si="106"/>
        <v>387.50000000000023</v>
      </c>
      <c r="AM246" s="4">
        <v>23.19</v>
      </c>
      <c r="AN246">
        <v>15.65</v>
      </c>
      <c r="AP246" s="7">
        <f t="shared" si="104"/>
        <v>0.8</v>
      </c>
      <c r="AQ246" s="7">
        <f t="shared" si="84"/>
        <v>1.2549999999999999</v>
      </c>
      <c r="AS246">
        <f t="shared" si="85"/>
        <v>15.65</v>
      </c>
      <c r="AT246">
        <f t="shared" si="86"/>
        <v>9.5</v>
      </c>
      <c r="AU246">
        <f t="shared" si="87"/>
        <v>72</v>
      </c>
      <c r="AV246" t="s">
        <v>104</v>
      </c>
      <c r="AW246">
        <f t="shared" si="88"/>
        <v>10</v>
      </c>
      <c r="AX246">
        <f t="shared" si="89"/>
        <v>10.6</v>
      </c>
      <c r="AY246">
        <f t="shared" si="90"/>
        <v>17.899999999999999</v>
      </c>
      <c r="AZ246">
        <f t="shared" si="91"/>
        <v>92.4</v>
      </c>
      <c r="BA246" t="s">
        <v>104</v>
      </c>
      <c r="BB246">
        <f t="shared" si="92"/>
        <v>30.7</v>
      </c>
      <c r="BC246">
        <f t="shared" si="93"/>
        <v>11.9</v>
      </c>
      <c r="BD246">
        <f t="shared" si="94"/>
        <v>4.3</v>
      </c>
      <c r="BE246">
        <f t="shared" si="95"/>
        <v>38.9</v>
      </c>
      <c r="BF246" t="s">
        <v>104</v>
      </c>
      <c r="BG246">
        <f t="shared" si="96"/>
        <v>3.2</v>
      </c>
      <c r="BH246">
        <f t="shared" si="97"/>
        <v>9.4</v>
      </c>
      <c r="BI246">
        <f t="shared" si="98"/>
        <v>0.76</v>
      </c>
      <c r="BJ246">
        <f t="shared" si="99"/>
        <v>2.42</v>
      </c>
      <c r="BK246">
        <f t="shared" si="100"/>
        <v>0</v>
      </c>
      <c r="BL246">
        <f t="shared" si="101"/>
        <v>1</v>
      </c>
      <c r="BM246">
        <f t="shared" si="102"/>
        <v>0.8</v>
      </c>
      <c r="BN246">
        <f t="shared" si="103"/>
        <v>1.2549999999999999</v>
      </c>
    </row>
    <row r="247" spans="1:66" x14ac:dyDescent="0.25">
      <c r="A247">
        <v>2024</v>
      </c>
      <c r="B247" s="1">
        <f t="shared" si="105"/>
        <v>45533</v>
      </c>
      <c r="C247" s="2">
        <v>242</v>
      </c>
      <c r="D247">
        <v>70</v>
      </c>
      <c r="E247" s="6">
        <v>12.96</v>
      </c>
      <c r="F247" s="6">
        <v>13.3</v>
      </c>
      <c r="G247" s="6">
        <v>27.18</v>
      </c>
      <c r="H247" s="6">
        <v>4.0570000000000004</v>
      </c>
      <c r="I247" s="6">
        <v>18.18</v>
      </c>
      <c r="J247" s="6">
        <v>14.03</v>
      </c>
      <c r="K247" s="6">
        <v>60.85</v>
      </c>
      <c r="L247" s="6"/>
      <c r="M247" s="6">
        <v>14.31</v>
      </c>
      <c r="N247" s="6">
        <v>11.2</v>
      </c>
      <c r="O247" s="6">
        <v>24.24</v>
      </c>
      <c r="P247" s="6">
        <v>84.4</v>
      </c>
      <c r="Q247" s="6"/>
      <c r="R247" s="6">
        <v>37.18</v>
      </c>
      <c r="S247" s="6">
        <v>12.85</v>
      </c>
      <c r="T247" s="6">
        <v>5.67</v>
      </c>
      <c r="U247" s="6">
        <v>30.64</v>
      </c>
      <c r="V247" s="6"/>
      <c r="W247" s="6">
        <v>3.8740000000000001</v>
      </c>
      <c r="X247" s="6">
        <v>10.029999999999999</v>
      </c>
      <c r="Y247" s="6">
        <v>0.46800000000000003</v>
      </c>
      <c r="Z247" s="6">
        <v>1.78</v>
      </c>
      <c r="AA247" s="6">
        <v>1</v>
      </c>
      <c r="AB247" s="6">
        <v>1.885</v>
      </c>
      <c r="AC247" s="6">
        <v>27.76</v>
      </c>
      <c r="AD247" s="6">
        <v>4.1959999999999997</v>
      </c>
      <c r="AE247" s="6">
        <v>0.01</v>
      </c>
      <c r="AF247" s="6">
        <v>7.0000000000000001E-3</v>
      </c>
      <c r="AG247" s="6">
        <v>1.845</v>
      </c>
      <c r="AH247" s="6"/>
      <c r="AI247" s="6"/>
      <c r="AK247" s="22">
        <f t="shared" si="107"/>
        <v>1</v>
      </c>
      <c r="AL247">
        <f t="shared" si="106"/>
        <v>388.50000000000023</v>
      </c>
      <c r="AM247" s="4">
        <v>22.94</v>
      </c>
      <c r="AN247">
        <v>18.18</v>
      </c>
      <c r="AP247" s="7">
        <f t="shared" si="104"/>
        <v>0.92700000000000005</v>
      </c>
      <c r="AQ247" s="7">
        <f t="shared" si="84"/>
        <v>2.0979999999999999</v>
      </c>
      <c r="AS247">
        <f t="shared" si="85"/>
        <v>18.18</v>
      </c>
      <c r="AT247">
        <f t="shared" si="86"/>
        <v>14</v>
      </c>
      <c r="AU247">
        <f t="shared" si="87"/>
        <v>60.9</v>
      </c>
      <c r="AV247" t="s">
        <v>104</v>
      </c>
      <c r="AW247">
        <f t="shared" si="88"/>
        <v>14.3</v>
      </c>
      <c r="AX247">
        <f t="shared" si="89"/>
        <v>11.2</v>
      </c>
      <c r="AY247">
        <f t="shared" si="90"/>
        <v>24.2</v>
      </c>
      <c r="AZ247">
        <f t="shared" si="91"/>
        <v>84.4</v>
      </c>
      <c r="BA247" t="s">
        <v>104</v>
      </c>
      <c r="BB247">
        <f t="shared" si="92"/>
        <v>37.200000000000003</v>
      </c>
      <c r="BC247">
        <f t="shared" si="93"/>
        <v>12.9</v>
      </c>
      <c r="BD247">
        <f t="shared" si="94"/>
        <v>5.7</v>
      </c>
      <c r="BE247">
        <f t="shared" si="95"/>
        <v>30.6</v>
      </c>
      <c r="BF247" t="s">
        <v>104</v>
      </c>
      <c r="BG247">
        <f t="shared" si="96"/>
        <v>3.9</v>
      </c>
      <c r="BH247">
        <f t="shared" si="97"/>
        <v>10</v>
      </c>
      <c r="BI247">
        <f t="shared" si="98"/>
        <v>0.47</v>
      </c>
      <c r="BJ247">
        <f t="shared" si="99"/>
        <v>1.78</v>
      </c>
      <c r="BK247">
        <f t="shared" si="100"/>
        <v>0</v>
      </c>
      <c r="BL247">
        <f t="shared" si="101"/>
        <v>1</v>
      </c>
      <c r="BM247">
        <f t="shared" si="102"/>
        <v>0.92700000000000005</v>
      </c>
      <c r="BN247">
        <f t="shared" si="103"/>
        <v>2.0979999999999999</v>
      </c>
    </row>
    <row r="248" spans="1:66" x14ac:dyDescent="0.25">
      <c r="A248">
        <v>2024</v>
      </c>
      <c r="B248" s="1">
        <f t="shared" si="105"/>
        <v>45534</v>
      </c>
      <c r="C248" s="2">
        <v>243</v>
      </c>
      <c r="D248">
        <v>70</v>
      </c>
      <c r="E248" s="6">
        <v>12.96</v>
      </c>
      <c r="F248" s="6">
        <v>16.27</v>
      </c>
      <c r="G248" s="6">
        <v>29.88</v>
      </c>
      <c r="H248" s="6">
        <v>8.69</v>
      </c>
      <c r="I248" s="6">
        <v>17.350000000000001</v>
      </c>
      <c r="J248" s="6">
        <v>17.07</v>
      </c>
      <c r="K248" s="6">
        <v>54.34</v>
      </c>
      <c r="L248" s="6"/>
      <c r="M248" s="6">
        <v>17.07</v>
      </c>
      <c r="N248" s="6">
        <v>12.15</v>
      </c>
      <c r="O248" s="6">
        <v>26.85</v>
      </c>
      <c r="P248" s="6">
        <v>74.900000000000006</v>
      </c>
      <c r="Q248" s="6"/>
      <c r="R248" s="6">
        <v>41.65</v>
      </c>
      <c r="S248" s="6">
        <v>13.47</v>
      </c>
      <c r="T248" s="6">
        <v>10.5</v>
      </c>
      <c r="U248" s="6">
        <v>24.92</v>
      </c>
      <c r="V248" s="6"/>
      <c r="W248" s="6">
        <v>8.01</v>
      </c>
      <c r="X248" s="6">
        <v>10.89</v>
      </c>
      <c r="Y248" s="6">
        <v>0.39</v>
      </c>
      <c r="Z248" s="6">
        <v>1.994</v>
      </c>
      <c r="AA248" s="6">
        <v>0.8</v>
      </c>
      <c r="AB248" s="6">
        <v>1.8959999999999999</v>
      </c>
      <c r="AC248" s="6">
        <v>30.46</v>
      </c>
      <c r="AD248" s="6">
        <v>8.93</v>
      </c>
      <c r="AE248" s="6">
        <v>0.01</v>
      </c>
      <c r="AF248" s="6">
        <v>7.0000000000000001E-3</v>
      </c>
      <c r="AG248" s="6">
        <v>1.849</v>
      </c>
      <c r="AH248" s="6"/>
      <c r="AI248" s="6"/>
      <c r="AK248" s="22">
        <f t="shared" si="107"/>
        <v>0.8</v>
      </c>
      <c r="AL248">
        <f t="shared" si="106"/>
        <v>389.30000000000024</v>
      </c>
      <c r="AM248" s="4">
        <v>22.71</v>
      </c>
      <c r="AN248">
        <v>17.350000000000001</v>
      </c>
      <c r="AP248" s="7">
        <f t="shared" si="104"/>
        <v>0.88100000000000001</v>
      </c>
      <c r="AQ248" s="7">
        <f t="shared" si="84"/>
        <v>2.6539999999999999</v>
      </c>
      <c r="AS248">
        <f t="shared" si="85"/>
        <v>17.350000000000001</v>
      </c>
      <c r="AT248">
        <f t="shared" si="86"/>
        <v>17.100000000000001</v>
      </c>
      <c r="AU248">
        <f t="shared" si="87"/>
        <v>54.3</v>
      </c>
      <c r="AV248" t="s">
        <v>104</v>
      </c>
      <c r="AW248">
        <f t="shared" si="88"/>
        <v>17.100000000000001</v>
      </c>
      <c r="AX248">
        <f t="shared" si="89"/>
        <v>12.2</v>
      </c>
      <c r="AY248">
        <f t="shared" si="90"/>
        <v>26.9</v>
      </c>
      <c r="AZ248">
        <f t="shared" si="91"/>
        <v>74.900000000000006</v>
      </c>
      <c r="BA248" t="s">
        <v>104</v>
      </c>
      <c r="BB248">
        <f t="shared" si="92"/>
        <v>41.7</v>
      </c>
      <c r="BC248">
        <f t="shared" si="93"/>
        <v>13.5</v>
      </c>
      <c r="BD248">
        <f t="shared" si="94"/>
        <v>10.5</v>
      </c>
      <c r="BE248">
        <f t="shared" si="95"/>
        <v>24.9</v>
      </c>
      <c r="BF248" t="s">
        <v>104</v>
      </c>
      <c r="BG248">
        <f t="shared" si="96"/>
        <v>8</v>
      </c>
      <c r="BH248">
        <f t="shared" si="97"/>
        <v>10.9</v>
      </c>
      <c r="BI248">
        <f t="shared" si="98"/>
        <v>0.39</v>
      </c>
      <c r="BJ248">
        <f t="shared" si="99"/>
        <v>1.99</v>
      </c>
      <c r="BK248">
        <f t="shared" si="100"/>
        <v>0</v>
      </c>
      <c r="BL248">
        <f t="shared" si="101"/>
        <v>0.8</v>
      </c>
      <c r="BM248">
        <f t="shared" si="102"/>
        <v>0.88100000000000001</v>
      </c>
      <c r="BN248">
        <f t="shared" si="103"/>
        <v>2.6539999999999999</v>
      </c>
    </row>
    <row r="249" spans="1:66" x14ac:dyDescent="0.25">
      <c r="A249">
        <v>2024</v>
      </c>
      <c r="B249" s="1">
        <f t="shared" si="105"/>
        <v>45535</v>
      </c>
      <c r="C249" s="2">
        <v>244</v>
      </c>
      <c r="D249">
        <v>70</v>
      </c>
      <c r="E249" s="6">
        <v>12.95</v>
      </c>
      <c r="F249" s="6">
        <v>18.87</v>
      </c>
      <c r="G249" s="6">
        <v>32.97</v>
      </c>
      <c r="H249" s="6">
        <v>10.220000000000001</v>
      </c>
      <c r="I249" s="6">
        <v>18.05</v>
      </c>
      <c r="J249" s="6">
        <v>19.88</v>
      </c>
      <c r="K249" s="6">
        <v>48.77</v>
      </c>
      <c r="L249" s="6"/>
      <c r="M249" s="6">
        <v>19.68</v>
      </c>
      <c r="N249" s="6">
        <v>12.86</v>
      </c>
      <c r="O249" s="6">
        <v>30.39</v>
      </c>
      <c r="P249" s="6">
        <v>76.7</v>
      </c>
      <c r="Q249" s="6"/>
      <c r="R249" s="6">
        <v>44.99</v>
      </c>
      <c r="S249" s="6">
        <v>14.27</v>
      </c>
      <c r="T249" s="6">
        <v>12.04</v>
      </c>
      <c r="U249" s="6">
        <v>20.420000000000002</v>
      </c>
      <c r="V249" s="6"/>
      <c r="W249" s="6">
        <v>9.8000000000000007</v>
      </c>
      <c r="X249" s="6">
        <v>11.65</v>
      </c>
      <c r="Y249" s="6">
        <v>0.35699999999999998</v>
      </c>
      <c r="Z249" s="6">
        <v>2.0870000000000002</v>
      </c>
      <c r="AA249" s="6">
        <v>0.7</v>
      </c>
      <c r="AB249" s="6">
        <v>1.9359999999999999</v>
      </c>
      <c r="AC249" s="6">
        <v>33.57</v>
      </c>
      <c r="AD249" s="6">
        <v>10.49</v>
      </c>
      <c r="AE249" s="6">
        <v>1.0999999999999999E-2</v>
      </c>
      <c r="AF249" s="6">
        <v>7.0000000000000001E-3</v>
      </c>
      <c r="AG249" s="6">
        <v>1.88</v>
      </c>
      <c r="AH249" s="6"/>
      <c r="AI249" s="6"/>
      <c r="AK249" s="22">
        <f t="shared" si="107"/>
        <v>0.7</v>
      </c>
      <c r="AL249">
        <f t="shared" si="106"/>
        <v>390.00000000000023</v>
      </c>
      <c r="AM249" s="4">
        <v>22.46</v>
      </c>
      <c r="AN249">
        <v>18.05</v>
      </c>
      <c r="AP249" s="7">
        <f t="shared" si="104"/>
        <v>0.88600000000000001</v>
      </c>
      <c r="AQ249" s="7">
        <f t="shared" si="84"/>
        <v>3.4529999999999998</v>
      </c>
      <c r="AS249">
        <f t="shared" si="85"/>
        <v>18.05</v>
      </c>
      <c r="AT249">
        <f t="shared" si="86"/>
        <v>19.899999999999999</v>
      </c>
      <c r="AU249">
        <f t="shared" si="87"/>
        <v>48.8</v>
      </c>
      <c r="AV249" t="s">
        <v>104</v>
      </c>
      <c r="AW249">
        <f t="shared" si="88"/>
        <v>19.7</v>
      </c>
      <c r="AX249">
        <f t="shared" si="89"/>
        <v>12.9</v>
      </c>
      <c r="AY249">
        <f t="shared" si="90"/>
        <v>30.4</v>
      </c>
      <c r="AZ249">
        <f t="shared" si="91"/>
        <v>76.7</v>
      </c>
      <c r="BA249" t="s">
        <v>104</v>
      </c>
      <c r="BB249">
        <f t="shared" si="92"/>
        <v>45</v>
      </c>
      <c r="BC249">
        <f t="shared" si="93"/>
        <v>14.3</v>
      </c>
      <c r="BD249">
        <f t="shared" si="94"/>
        <v>12</v>
      </c>
      <c r="BE249">
        <f t="shared" si="95"/>
        <v>20.399999999999999</v>
      </c>
      <c r="BF249" t="s">
        <v>104</v>
      </c>
      <c r="BG249">
        <f t="shared" si="96"/>
        <v>9.8000000000000007</v>
      </c>
      <c r="BH249">
        <f t="shared" si="97"/>
        <v>11.7</v>
      </c>
      <c r="BI249">
        <f t="shared" si="98"/>
        <v>0.36</v>
      </c>
      <c r="BJ249">
        <f t="shared" si="99"/>
        <v>2.09</v>
      </c>
      <c r="BK249">
        <f t="shared" si="100"/>
        <v>0</v>
      </c>
      <c r="BL249">
        <f t="shared" si="101"/>
        <v>0.7</v>
      </c>
      <c r="BM249">
        <f t="shared" si="102"/>
        <v>0.88600000000000001</v>
      </c>
      <c r="BN249">
        <f t="shared" si="103"/>
        <v>3.4529999999999998</v>
      </c>
    </row>
    <row r="250" spans="1:66" x14ac:dyDescent="0.25">
      <c r="A250">
        <v>2024</v>
      </c>
      <c r="B250" s="1">
        <f t="shared" si="105"/>
        <v>45536</v>
      </c>
      <c r="C250" s="2">
        <v>245</v>
      </c>
      <c r="D250">
        <v>70</v>
      </c>
      <c r="E250" s="6">
        <v>12.94</v>
      </c>
      <c r="F250" s="6">
        <v>20.6</v>
      </c>
      <c r="G250" s="6">
        <v>34.6</v>
      </c>
      <c r="H250" s="6">
        <v>12.04</v>
      </c>
      <c r="I250" s="6">
        <v>17.48</v>
      </c>
      <c r="J250" s="6">
        <v>21.86</v>
      </c>
      <c r="K250" s="6">
        <v>39.28</v>
      </c>
      <c r="L250" s="6"/>
      <c r="M250" s="6">
        <v>20.9</v>
      </c>
      <c r="N250" s="6">
        <v>13.44</v>
      </c>
      <c r="O250" s="6">
        <v>33.01</v>
      </c>
      <c r="P250" s="6">
        <v>64.55</v>
      </c>
      <c r="Q250" s="6"/>
      <c r="R250" s="6">
        <v>46.49</v>
      </c>
      <c r="S250" s="6">
        <v>14.73</v>
      </c>
      <c r="T250" s="6">
        <v>14.06</v>
      </c>
      <c r="U250" s="6">
        <v>17.329999999999998</v>
      </c>
      <c r="V250" s="6"/>
      <c r="W250" s="6">
        <v>11</v>
      </c>
      <c r="X250" s="6">
        <v>12.3</v>
      </c>
      <c r="Y250" s="6">
        <v>0.61599999999999999</v>
      </c>
      <c r="Z250" s="6">
        <v>1.647</v>
      </c>
      <c r="AA250" s="6">
        <v>0.5</v>
      </c>
      <c r="AB250" s="6">
        <v>1.913</v>
      </c>
      <c r="AC250" s="6">
        <v>35.03</v>
      </c>
      <c r="AD250" s="6">
        <v>12.28</v>
      </c>
      <c r="AE250" s="6">
        <v>1.0999999999999999E-2</v>
      </c>
      <c r="AF250" s="6">
        <v>7.0000000000000001E-3</v>
      </c>
      <c r="AG250" s="6">
        <v>1.849</v>
      </c>
      <c r="AH250" s="6"/>
      <c r="AI250" s="6"/>
      <c r="AK250" s="22">
        <f t="shared" si="107"/>
        <v>0.5</v>
      </c>
      <c r="AL250">
        <f t="shared" si="106"/>
        <v>390.50000000000023</v>
      </c>
      <c r="AM250" s="4">
        <v>22.22</v>
      </c>
      <c r="AN250">
        <v>17.48</v>
      </c>
      <c r="AP250" s="7">
        <f t="shared" si="104"/>
        <v>0.872</v>
      </c>
      <c r="AQ250" s="7">
        <f t="shared" si="84"/>
        <v>4.16</v>
      </c>
      <c r="AS250">
        <f t="shared" si="85"/>
        <v>17.48</v>
      </c>
      <c r="AT250">
        <f t="shared" si="86"/>
        <v>21.9</v>
      </c>
      <c r="AU250">
        <f t="shared" si="87"/>
        <v>39.299999999999997</v>
      </c>
      <c r="AV250" t="s">
        <v>104</v>
      </c>
      <c r="AW250">
        <f t="shared" si="88"/>
        <v>20.9</v>
      </c>
      <c r="AX250">
        <f t="shared" si="89"/>
        <v>13.4</v>
      </c>
      <c r="AY250">
        <f t="shared" si="90"/>
        <v>33</v>
      </c>
      <c r="AZ250">
        <f t="shared" si="91"/>
        <v>64.599999999999994</v>
      </c>
      <c r="BA250" t="s">
        <v>104</v>
      </c>
      <c r="BB250">
        <f t="shared" si="92"/>
        <v>46.5</v>
      </c>
      <c r="BC250">
        <f t="shared" si="93"/>
        <v>14.7</v>
      </c>
      <c r="BD250">
        <f t="shared" si="94"/>
        <v>14.1</v>
      </c>
      <c r="BE250">
        <f t="shared" si="95"/>
        <v>17.3</v>
      </c>
      <c r="BF250" t="s">
        <v>104</v>
      </c>
      <c r="BG250">
        <f t="shared" si="96"/>
        <v>11</v>
      </c>
      <c r="BH250">
        <f t="shared" si="97"/>
        <v>12.3</v>
      </c>
      <c r="BI250">
        <f t="shared" si="98"/>
        <v>0.62</v>
      </c>
      <c r="BJ250">
        <f t="shared" si="99"/>
        <v>1.65</v>
      </c>
      <c r="BK250">
        <f t="shared" si="100"/>
        <v>0</v>
      </c>
      <c r="BL250">
        <f t="shared" si="101"/>
        <v>0.5</v>
      </c>
      <c r="BM250">
        <f t="shared" si="102"/>
        <v>0.872</v>
      </c>
      <c r="BN250">
        <f t="shared" si="103"/>
        <v>4.16</v>
      </c>
    </row>
    <row r="251" spans="1:66" x14ac:dyDescent="0.25">
      <c r="A251">
        <v>2024</v>
      </c>
      <c r="B251" s="1">
        <f t="shared" si="105"/>
        <v>45537</v>
      </c>
      <c r="C251" s="2">
        <v>246</v>
      </c>
      <c r="D251">
        <v>70</v>
      </c>
      <c r="E251" s="6">
        <v>12.9</v>
      </c>
      <c r="F251" s="6">
        <v>19.13</v>
      </c>
      <c r="G251" s="6">
        <v>27.81</v>
      </c>
      <c r="H251" s="6">
        <v>12.18</v>
      </c>
      <c r="I251" s="6">
        <v>9.08</v>
      </c>
      <c r="J251" s="6">
        <v>20.21</v>
      </c>
      <c r="K251" s="6">
        <v>40.869999999999997</v>
      </c>
      <c r="L251" s="6"/>
      <c r="M251" s="6">
        <v>19.27</v>
      </c>
      <c r="N251" s="6">
        <v>13.97</v>
      </c>
      <c r="O251" s="6">
        <v>28.2</v>
      </c>
      <c r="P251" s="6">
        <v>62.17</v>
      </c>
      <c r="Q251" s="6"/>
      <c r="R251" s="6">
        <v>35.43</v>
      </c>
      <c r="S251" s="6">
        <v>15.2</v>
      </c>
      <c r="T251" s="6">
        <v>13.79</v>
      </c>
      <c r="U251" s="6">
        <v>20.9</v>
      </c>
      <c r="V251" s="6"/>
      <c r="W251" s="6">
        <v>11.44</v>
      </c>
      <c r="X251" s="6">
        <v>13.05</v>
      </c>
      <c r="Y251" s="6">
        <v>0.54900000000000004</v>
      </c>
      <c r="Z251" s="6">
        <v>2.9540000000000002</v>
      </c>
      <c r="AA251" s="6">
        <v>0.3</v>
      </c>
      <c r="AB251" s="6">
        <v>1.8939999999999999</v>
      </c>
      <c r="AC251" s="6">
        <v>27.76</v>
      </c>
      <c r="AD251" s="6">
        <v>12.78</v>
      </c>
      <c r="AE251" s="6">
        <v>0.01</v>
      </c>
      <c r="AF251" s="6">
        <v>7.0000000000000001E-3</v>
      </c>
      <c r="AG251" s="6">
        <v>1.847</v>
      </c>
      <c r="AH251" s="6"/>
      <c r="AI251" s="6"/>
      <c r="AK251" s="22">
        <f t="shared" si="107"/>
        <v>0.3</v>
      </c>
      <c r="AL251">
        <f t="shared" si="106"/>
        <v>390.80000000000024</v>
      </c>
      <c r="AM251" s="4">
        <v>21.98</v>
      </c>
      <c r="AN251">
        <v>9.08</v>
      </c>
      <c r="AP251" s="7">
        <f t="shared" si="104"/>
        <v>0.79900000000000004</v>
      </c>
      <c r="AQ251" s="7">
        <f t="shared" si="84"/>
        <v>3.024</v>
      </c>
      <c r="AS251">
        <f t="shared" si="85"/>
        <v>9.08</v>
      </c>
      <c r="AT251">
        <f t="shared" si="86"/>
        <v>20.2</v>
      </c>
      <c r="AU251">
        <f t="shared" si="87"/>
        <v>40.9</v>
      </c>
      <c r="AV251" t="s">
        <v>104</v>
      </c>
      <c r="AW251">
        <f t="shared" si="88"/>
        <v>19.3</v>
      </c>
      <c r="AX251">
        <f t="shared" si="89"/>
        <v>14</v>
      </c>
      <c r="AY251">
        <f t="shared" si="90"/>
        <v>28.2</v>
      </c>
      <c r="AZ251">
        <f t="shared" si="91"/>
        <v>62.2</v>
      </c>
      <c r="BA251" t="s">
        <v>104</v>
      </c>
      <c r="BB251">
        <f t="shared" si="92"/>
        <v>35.4</v>
      </c>
      <c r="BC251">
        <f t="shared" si="93"/>
        <v>15.2</v>
      </c>
      <c r="BD251">
        <f t="shared" si="94"/>
        <v>13.8</v>
      </c>
      <c r="BE251">
        <f t="shared" si="95"/>
        <v>20.9</v>
      </c>
      <c r="BF251" t="s">
        <v>104</v>
      </c>
      <c r="BG251">
        <f t="shared" si="96"/>
        <v>11.4</v>
      </c>
      <c r="BH251">
        <f t="shared" si="97"/>
        <v>13.1</v>
      </c>
      <c r="BI251">
        <f t="shared" si="98"/>
        <v>0.55000000000000004</v>
      </c>
      <c r="BJ251">
        <f t="shared" si="99"/>
        <v>2.95</v>
      </c>
      <c r="BK251">
        <f t="shared" si="100"/>
        <v>0</v>
      </c>
      <c r="BL251">
        <f t="shared" si="101"/>
        <v>0.3</v>
      </c>
      <c r="BM251">
        <f t="shared" si="102"/>
        <v>0.79900000000000004</v>
      </c>
      <c r="BN251">
        <f t="shared" si="103"/>
        <v>3.024</v>
      </c>
    </row>
    <row r="252" spans="1:66" x14ac:dyDescent="0.25">
      <c r="A252">
        <v>2024</v>
      </c>
      <c r="B252" s="1">
        <f t="shared" si="105"/>
        <v>45538</v>
      </c>
      <c r="C252" s="2">
        <v>247</v>
      </c>
      <c r="D252">
        <v>70</v>
      </c>
      <c r="E252" s="6">
        <v>12.95</v>
      </c>
      <c r="F252" s="6">
        <v>15.92</v>
      </c>
      <c r="G252" s="6">
        <v>28.16</v>
      </c>
      <c r="H252" s="6">
        <v>9.0299999999999994</v>
      </c>
      <c r="I252" s="6">
        <v>16.46</v>
      </c>
      <c r="J252" s="6">
        <v>16.68</v>
      </c>
      <c r="K252" s="6">
        <v>53.16</v>
      </c>
      <c r="L252" s="6"/>
      <c r="M252" s="6">
        <v>16.739999999999998</v>
      </c>
      <c r="N252" s="6">
        <v>13.28</v>
      </c>
      <c r="O252" s="6">
        <v>25.58</v>
      </c>
      <c r="P252" s="6">
        <v>78.900000000000006</v>
      </c>
      <c r="Q252" s="6"/>
      <c r="R252" s="6">
        <v>39.56</v>
      </c>
      <c r="S252" s="6">
        <v>14.29</v>
      </c>
      <c r="T252" s="6">
        <v>10.43</v>
      </c>
      <c r="U252" s="6">
        <v>27.35</v>
      </c>
      <c r="V252" s="6"/>
      <c r="W252" s="6">
        <v>8.32</v>
      </c>
      <c r="X252" s="6">
        <v>12.39</v>
      </c>
      <c r="Y252" s="6">
        <v>0.72299999999999998</v>
      </c>
      <c r="Z252" s="6">
        <v>2.1</v>
      </c>
      <c r="AA252" s="6">
        <v>0.3</v>
      </c>
      <c r="AB252" s="6">
        <v>1.8959999999999999</v>
      </c>
      <c r="AC252" s="6">
        <v>28.49</v>
      </c>
      <c r="AD252" s="6">
        <v>9.36</v>
      </c>
      <c r="AE252" s="6">
        <v>0.01</v>
      </c>
      <c r="AF252" s="6">
        <v>7.0000000000000001E-3</v>
      </c>
      <c r="AG252" s="6">
        <v>1.8560000000000001</v>
      </c>
      <c r="AH252" s="6"/>
      <c r="AI252" s="6"/>
      <c r="AK252" s="22">
        <f t="shared" si="107"/>
        <v>0.3</v>
      </c>
      <c r="AL252">
        <f t="shared" si="106"/>
        <v>391.10000000000025</v>
      </c>
      <c r="AM252" s="4">
        <v>21.73</v>
      </c>
      <c r="AN252">
        <v>16.46</v>
      </c>
      <c r="AP252" s="7">
        <f t="shared" si="104"/>
        <v>0.89700000000000002</v>
      </c>
      <c r="AQ252" s="7">
        <f t="shared" si="84"/>
        <v>2.383</v>
      </c>
      <c r="AS252">
        <f t="shared" si="85"/>
        <v>16.46</v>
      </c>
      <c r="AT252">
        <f t="shared" si="86"/>
        <v>16.7</v>
      </c>
      <c r="AU252">
        <f t="shared" si="87"/>
        <v>53.2</v>
      </c>
      <c r="AV252" t="s">
        <v>104</v>
      </c>
      <c r="AW252">
        <f t="shared" si="88"/>
        <v>16.7</v>
      </c>
      <c r="AX252">
        <f t="shared" si="89"/>
        <v>13.3</v>
      </c>
      <c r="AY252">
        <f t="shared" si="90"/>
        <v>25.6</v>
      </c>
      <c r="AZ252">
        <f t="shared" si="91"/>
        <v>78.900000000000006</v>
      </c>
      <c r="BA252" t="s">
        <v>104</v>
      </c>
      <c r="BB252">
        <f t="shared" si="92"/>
        <v>39.6</v>
      </c>
      <c r="BC252">
        <f t="shared" si="93"/>
        <v>14.3</v>
      </c>
      <c r="BD252">
        <f t="shared" si="94"/>
        <v>10.4</v>
      </c>
      <c r="BE252">
        <f t="shared" si="95"/>
        <v>27.4</v>
      </c>
      <c r="BF252" t="s">
        <v>104</v>
      </c>
      <c r="BG252">
        <f t="shared" si="96"/>
        <v>8.3000000000000007</v>
      </c>
      <c r="BH252">
        <f t="shared" si="97"/>
        <v>12.4</v>
      </c>
      <c r="BI252">
        <f t="shared" si="98"/>
        <v>0.72</v>
      </c>
      <c r="BJ252">
        <f t="shared" si="99"/>
        <v>2.1</v>
      </c>
      <c r="BK252">
        <f t="shared" si="100"/>
        <v>0</v>
      </c>
      <c r="BL252">
        <f t="shared" si="101"/>
        <v>0.3</v>
      </c>
      <c r="BM252">
        <f t="shared" si="102"/>
        <v>0.89700000000000002</v>
      </c>
      <c r="BN252">
        <f t="shared" si="103"/>
        <v>2.383</v>
      </c>
    </row>
    <row r="253" spans="1:66" x14ac:dyDescent="0.25">
      <c r="A253">
        <v>2024</v>
      </c>
      <c r="B253" s="1">
        <f t="shared" si="105"/>
        <v>45539</v>
      </c>
      <c r="C253" s="2">
        <v>248</v>
      </c>
      <c r="D253">
        <v>70</v>
      </c>
      <c r="E253" s="6">
        <v>12.96</v>
      </c>
      <c r="F253" s="6">
        <v>16.239999999999998</v>
      </c>
      <c r="G253" s="6">
        <v>29.21</v>
      </c>
      <c r="H253" s="6">
        <v>8.2100000000000009</v>
      </c>
      <c r="I253" s="6">
        <v>16.86</v>
      </c>
      <c r="J253" s="6">
        <v>17.170000000000002</v>
      </c>
      <c r="K253" s="6">
        <v>47.76</v>
      </c>
      <c r="L253" s="6"/>
      <c r="M253" s="6">
        <v>16.809999999999999</v>
      </c>
      <c r="N253" s="6">
        <v>12.72</v>
      </c>
      <c r="O253" s="6">
        <v>27.06</v>
      </c>
      <c r="P253" s="6">
        <v>69.05</v>
      </c>
      <c r="Q253" s="6"/>
      <c r="R253" s="6">
        <v>40.869999999999997</v>
      </c>
      <c r="S253" s="6">
        <v>13.91</v>
      </c>
      <c r="T253" s="6">
        <v>9.89</v>
      </c>
      <c r="U253" s="6">
        <v>22.38</v>
      </c>
      <c r="V253" s="6"/>
      <c r="W253" s="6">
        <v>7.54</v>
      </c>
      <c r="X253" s="6">
        <v>11.7</v>
      </c>
      <c r="Y253" s="6">
        <v>0.433</v>
      </c>
      <c r="Z253" s="6">
        <v>2.14</v>
      </c>
      <c r="AA253" s="6">
        <v>0.3</v>
      </c>
      <c r="AB253" s="6">
        <v>1.9019999999999999</v>
      </c>
      <c r="AC253" s="6">
        <v>30.08</v>
      </c>
      <c r="AD253" s="6">
        <v>8.4</v>
      </c>
      <c r="AE253" s="6">
        <v>0.01</v>
      </c>
      <c r="AF253" s="6">
        <v>7.0000000000000001E-3</v>
      </c>
      <c r="AG253" s="6">
        <v>1.855</v>
      </c>
      <c r="AH253" s="6"/>
      <c r="AI253" s="6"/>
      <c r="AK253" s="22">
        <f t="shared" si="107"/>
        <v>0.3</v>
      </c>
      <c r="AL253">
        <f t="shared" si="106"/>
        <v>391.40000000000026</v>
      </c>
      <c r="AM253" s="4">
        <v>21.48</v>
      </c>
      <c r="AN253">
        <v>16.86</v>
      </c>
      <c r="AP253" s="7">
        <f t="shared" si="104"/>
        <v>0.80100000000000005</v>
      </c>
      <c r="AQ253" s="7">
        <f t="shared" si="84"/>
        <v>2.778</v>
      </c>
      <c r="AS253">
        <f t="shared" si="85"/>
        <v>16.86</v>
      </c>
      <c r="AT253">
        <f t="shared" si="86"/>
        <v>17.2</v>
      </c>
      <c r="AU253">
        <f t="shared" si="87"/>
        <v>47.8</v>
      </c>
      <c r="AV253" t="s">
        <v>104</v>
      </c>
      <c r="AW253">
        <f t="shared" si="88"/>
        <v>16.8</v>
      </c>
      <c r="AX253">
        <f t="shared" si="89"/>
        <v>12.7</v>
      </c>
      <c r="AY253">
        <f t="shared" si="90"/>
        <v>27.1</v>
      </c>
      <c r="AZ253">
        <f t="shared" si="91"/>
        <v>69.099999999999994</v>
      </c>
      <c r="BA253" t="s">
        <v>104</v>
      </c>
      <c r="BB253">
        <f t="shared" si="92"/>
        <v>40.9</v>
      </c>
      <c r="BC253">
        <f t="shared" si="93"/>
        <v>13.9</v>
      </c>
      <c r="BD253">
        <f t="shared" si="94"/>
        <v>9.9</v>
      </c>
      <c r="BE253">
        <f t="shared" si="95"/>
        <v>22.4</v>
      </c>
      <c r="BF253" t="s">
        <v>104</v>
      </c>
      <c r="BG253">
        <f t="shared" si="96"/>
        <v>7.5</v>
      </c>
      <c r="BH253">
        <f t="shared" si="97"/>
        <v>11.7</v>
      </c>
      <c r="BI253">
        <f t="shared" si="98"/>
        <v>0.43</v>
      </c>
      <c r="BJ253">
        <f t="shared" si="99"/>
        <v>2.14</v>
      </c>
      <c r="BK253">
        <f t="shared" si="100"/>
        <v>0</v>
      </c>
      <c r="BL253">
        <f t="shared" si="101"/>
        <v>0.3</v>
      </c>
      <c r="BM253">
        <f t="shared" si="102"/>
        <v>0.80100000000000005</v>
      </c>
      <c r="BN253">
        <f t="shared" si="103"/>
        <v>2.778</v>
      </c>
    </row>
    <row r="254" spans="1:66" x14ac:dyDescent="0.25">
      <c r="A254">
        <v>2024</v>
      </c>
      <c r="B254" s="1">
        <f t="shared" si="105"/>
        <v>45540</v>
      </c>
      <c r="C254" s="2">
        <v>249</v>
      </c>
      <c r="D254">
        <v>70</v>
      </c>
      <c r="E254" s="6">
        <v>12.96</v>
      </c>
      <c r="F254" s="6">
        <v>18.59</v>
      </c>
      <c r="G254" s="6">
        <v>33.01</v>
      </c>
      <c r="H254" s="6">
        <v>9.6300000000000008</v>
      </c>
      <c r="I254" s="6">
        <v>17.02</v>
      </c>
      <c r="J254" s="6">
        <v>19.79</v>
      </c>
      <c r="K254" s="6">
        <v>43.64</v>
      </c>
      <c r="L254" s="6"/>
      <c r="M254" s="6">
        <v>18.850000000000001</v>
      </c>
      <c r="N254" s="6">
        <v>12.89</v>
      </c>
      <c r="O254" s="6">
        <v>31.27</v>
      </c>
      <c r="P254" s="6">
        <v>67.98</v>
      </c>
      <c r="Q254" s="6"/>
      <c r="R254" s="6">
        <v>44.84</v>
      </c>
      <c r="S254" s="6">
        <v>14.17</v>
      </c>
      <c r="T254" s="6">
        <v>11.77</v>
      </c>
      <c r="U254" s="6">
        <v>16.39</v>
      </c>
      <c r="V254" s="6"/>
      <c r="W254" s="6">
        <v>8.9499999999999993</v>
      </c>
      <c r="X254" s="6">
        <v>11.8</v>
      </c>
      <c r="Y254" s="6">
        <v>0.33100000000000002</v>
      </c>
      <c r="Z254" s="6">
        <v>1.6339999999999999</v>
      </c>
      <c r="AA254" s="6">
        <v>0.1</v>
      </c>
      <c r="AB254" s="6">
        <v>1.895</v>
      </c>
      <c r="AC254" s="6">
        <v>33.46</v>
      </c>
      <c r="AD254" s="6">
        <v>9.8699999999999992</v>
      </c>
      <c r="AE254" s="6">
        <v>0.01</v>
      </c>
      <c r="AF254" s="6">
        <v>7.0000000000000001E-3</v>
      </c>
      <c r="AG254" s="6">
        <v>1.8380000000000001</v>
      </c>
      <c r="AH254" s="6"/>
      <c r="AI254" s="6"/>
      <c r="AK254" s="22">
        <f t="shared" si="107"/>
        <v>0.1</v>
      </c>
      <c r="AL254">
        <f t="shared" si="106"/>
        <v>391.50000000000028</v>
      </c>
      <c r="AM254" s="4">
        <v>21.23</v>
      </c>
      <c r="AN254">
        <v>17.02</v>
      </c>
      <c r="AP254" s="7">
        <f t="shared" si="104"/>
        <v>0.748</v>
      </c>
      <c r="AQ254" s="7">
        <f t="shared" si="84"/>
        <v>3.8159999999999998</v>
      </c>
      <c r="AS254">
        <f t="shared" si="85"/>
        <v>17.02</v>
      </c>
      <c r="AT254">
        <f t="shared" si="86"/>
        <v>19.8</v>
      </c>
      <c r="AU254">
        <f t="shared" si="87"/>
        <v>43.6</v>
      </c>
      <c r="AV254" t="s">
        <v>104</v>
      </c>
      <c r="AW254">
        <f t="shared" si="88"/>
        <v>18.899999999999999</v>
      </c>
      <c r="AX254">
        <f t="shared" si="89"/>
        <v>12.9</v>
      </c>
      <c r="AY254">
        <f t="shared" si="90"/>
        <v>31.3</v>
      </c>
      <c r="AZ254">
        <f t="shared" si="91"/>
        <v>68</v>
      </c>
      <c r="BA254" t="s">
        <v>104</v>
      </c>
      <c r="BB254">
        <f t="shared" si="92"/>
        <v>44.8</v>
      </c>
      <c r="BC254">
        <f t="shared" si="93"/>
        <v>14.2</v>
      </c>
      <c r="BD254">
        <f t="shared" si="94"/>
        <v>11.8</v>
      </c>
      <c r="BE254">
        <f t="shared" si="95"/>
        <v>16.399999999999999</v>
      </c>
      <c r="BF254" t="s">
        <v>104</v>
      </c>
      <c r="BG254">
        <f t="shared" si="96"/>
        <v>9</v>
      </c>
      <c r="BH254">
        <f t="shared" si="97"/>
        <v>11.8</v>
      </c>
      <c r="BI254">
        <f t="shared" si="98"/>
        <v>0.33</v>
      </c>
      <c r="BJ254">
        <f t="shared" si="99"/>
        <v>1.63</v>
      </c>
      <c r="BK254">
        <f t="shared" si="100"/>
        <v>0</v>
      </c>
      <c r="BL254">
        <f t="shared" si="101"/>
        <v>0.1</v>
      </c>
      <c r="BM254">
        <f t="shared" si="102"/>
        <v>0.748</v>
      </c>
      <c r="BN254">
        <f t="shared" si="103"/>
        <v>3.8159999999999998</v>
      </c>
    </row>
    <row r="255" spans="1:66" x14ac:dyDescent="0.25">
      <c r="A255">
        <v>2024</v>
      </c>
      <c r="B255" s="1">
        <f t="shared" si="105"/>
        <v>45541</v>
      </c>
      <c r="C255" s="2">
        <v>250</v>
      </c>
      <c r="D255">
        <v>70</v>
      </c>
      <c r="E255" s="6">
        <v>12.96</v>
      </c>
      <c r="F255" s="6">
        <v>20.63</v>
      </c>
      <c r="G255" s="6">
        <v>34.46</v>
      </c>
      <c r="H255" s="6">
        <v>12.36</v>
      </c>
      <c r="I255" s="6">
        <v>16.73</v>
      </c>
      <c r="J255" s="6">
        <v>21.89</v>
      </c>
      <c r="K255" s="6">
        <v>33.46</v>
      </c>
      <c r="L255" s="6"/>
      <c r="M255" s="6">
        <v>20.78</v>
      </c>
      <c r="N255" s="6">
        <v>13.22</v>
      </c>
      <c r="O255" s="6">
        <v>32.22</v>
      </c>
      <c r="P255" s="6">
        <v>51.44</v>
      </c>
      <c r="Q255" s="6"/>
      <c r="R255" s="6">
        <v>46.13</v>
      </c>
      <c r="S255" s="6">
        <v>14.4</v>
      </c>
      <c r="T255" s="6">
        <v>14.33</v>
      </c>
      <c r="U255" s="6">
        <v>14.17</v>
      </c>
      <c r="V255" s="6"/>
      <c r="W255" s="6">
        <v>11.22</v>
      </c>
      <c r="X255" s="6">
        <v>12.19</v>
      </c>
      <c r="Y255" s="6">
        <v>0.5</v>
      </c>
      <c r="Z255" s="6">
        <v>1.8340000000000001</v>
      </c>
      <c r="AA255" s="6">
        <v>0.1</v>
      </c>
      <c r="AB255" s="6">
        <v>1.9350000000000001</v>
      </c>
      <c r="AC255" s="6">
        <v>35.340000000000003</v>
      </c>
      <c r="AD255" s="6">
        <v>12.63</v>
      </c>
      <c r="AE255" s="6">
        <v>1.0999999999999999E-2</v>
      </c>
      <c r="AF255" s="6">
        <v>7.0000000000000001E-3</v>
      </c>
      <c r="AG255" s="6">
        <v>1.877</v>
      </c>
      <c r="AH255" s="6"/>
      <c r="AI255" s="6"/>
      <c r="AK255" s="22">
        <f t="shared" si="107"/>
        <v>0.1</v>
      </c>
      <c r="AL255">
        <f t="shared" si="106"/>
        <v>391.60000000000031</v>
      </c>
      <c r="AM255" s="4">
        <v>20.99</v>
      </c>
      <c r="AN255">
        <v>16.73</v>
      </c>
      <c r="AP255" s="7">
        <f t="shared" si="104"/>
        <v>0.68200000000000005</v>
      </c>
      <c r="AQ255" s="7">
        <f t="shared" si="84"/>
        <v>4.1310000000000002</v>
      </c>
      <c r="AS255">
        <f t="shared" si="85"/>
        <v>16.73</v>
      </c>
      <c r="AT255">
        <f t="shared" si="86"/>
        <v>21.9</v>
      </c>
      <c r="AU255">
        <f t="shared" si="87"/>
        <v>33.5</v>
      </c>
      <c r="AV255" t="s">
        <v>104</v>
      </c>
      <c r="AW255">
        <f t="shared" si="88"/>
        <v>20.8</v>
      </c>
      <c r="AX255">
        <f t="shared" si="89"/>
        <v>13.2</v>
      </c>
      <c r="AY255">
        <f t="shared" si="90"/>
        <v>32.200000000000003</v>
      </c>
      <c r="AZ255">
        <f t="shared" si="91"/>
        <v>51.4</v>
      </c>
      <c r="BA255" t="s">
        <v>104</v>
      </c>
      <c r="BB255">
        <f t="shared" si="92"/>
        <v>46.1</v>
      </c>
      <c r="BC255">
        <f t="shared" si="93"/>
        <v>14.4</v>
      </c>
      <c r="BD255">
        <f t="shared" si="94"/>
        <v>14.3</v>
      </c>
      <c r="BE255">
        <f t="shared" si="95"/>
        <v>14.2</v>
      </c>
      <c r="BF255" t="s">
        <v>104</v>
      </c>
      <c r="BG255">
        <f t="shared" si="96"/>
        <v>11.2</v>
      </c>
      <c r="BH255">
        <f t="shared" si="97"/>
        <v>12.2</v>
      </c>
      <c r="BI255">
        <f t="shared" si="98"/>
        <v>0.5</v>
      </c>
      <c r="BJ255">
        <f t="shared" si="99"/>
        <v>1.83</v>
      </c>
      <c r="BK255">
        <f t="shared" si="100"/>
        <v>0</v>
      </c>
      <c r="BL255">
        <f t="shared" si="101"/>
        <v>0.1</v>
      </c>
      <c r="BM255">
        <f t="shared" si="102"/>
        <v>0.68200000000000005</v>
      </c>
      <c r="BN255">
        <f t="shared" si="103"/>
        <v>4.1310000000000002</v>
      </c>
    </row>
    <row r="256" spans="1:66" x14ac:dyDescent="0.25">
      <c r="A256">
        <v>2024</v>
      </c>
      <c r="B256" s="1">
        <f t="shared" si="105"/>
        <v>45542</v>
      </c>
      <c r="C256" s="2">
        <v>251</v>
      </c>
      <c r="D256">
        <v>70</v>
      </c>
      <c r="E256" s="6">
        <v>12.95</v>
      </c>
      <c r="F256" s="6">
        <v>19.66</v>
      </c>
      <c r="G256" s="6">
        <v>33.549999999999997</v>
      </c>
      <c r="H256" s="6">
        <v>11.73</v>
      </c>
      <c r="I256" s="6">
        <v>16.010000000000002</v>
      </c>
      <c r="J256" s="6">
        <v>20.91</v>
      </c>
      <c r="K256" s="6">
        <v>33.89</v>
      </c>
      <c r="L256" s="6"/>
      <c r="M256" s="6">
        <v>19.760000000000002</v>
      </c>
      <c r="N256" s="6">
        <v>13.17</v>
      </c>
      <c r="O256" s="6">
        <v>30.86</v>
      </c>
      <c r="P256" s="6">
        <v>53.19</v>
      </c>
      <c r="Q256" s="6"/>
      <c r="R256" s="6">
        <v>43.59</v>
      </c>
      <c r="S256" s="6">
        <v>14.25</v>
      </c>
      <c r="T256" s="6">
        <v>13.99</v>
      </c>
      <c r="U256" s="6">
        <v>13.3</v>
      </c>
      <c r="V256" s="6"/>
      <c r="W256" s="6">
        <v>10.62</v>
      </c>
      <c r="X256" s="6">
        <v>12.21</v>
      </c>
      <c r="Y256" s="6">
        <v>0.36</v>
      </c>
      <c r="Z256" s="6">
        <v>2.887</v>
      </c>
      <c r="AA256" s="6">
        <v>0</v>
      </c>
      <c r="AB256" s="6">
        <v>2.2480000000000002</v>
      </c>
      <c r="AC256" s="6">
        <v>34.200000000000003</v>
      </c>
      <c r="AD256" s="6">
        <v>11.97</v>
      </c>
      <c r="AE256" s="6">
        <v>1.0999999999999999E-2</v>
      </c>
      <c r="AF256" s="6">
        <v>7.0000000000000001E-3</v>
      </c>
      <c r="AG256" s="6">
        <v>2.1800000000000002</v>
      </c>
      <c r="AH256" s="6"/>
      <c r="AI256" s="6"/>
      <c r="AK256" s="22">
        <f t="shared" si="107"/>
        <v>0</v>
      </c>
      <c r="AL256">
        <f t="shared" si="106"/>
        <v>391.60000000000031</v>
      </c>
      <c r="AM256" s="4">
        <v>20.74</v>
      </c>
      <c r="AN256">
        <v>16.010000000000002</v>
      </c>
      <c r="AP256" s="7">
        <f t="shared" si="104"/>
        <v>0.59299999999999997</v>
      </c>
      <c r="AQ256" s="7">
        <f t="shared" si="84"/>
        <v>3.8660000000000001</v>
      </c>
      <c r="AS256">
        <f t="shared" si="85"/>
        <v>16.010000000000002</v>
      </c>
      <c r="AT256">
        <f t="shared" si="86"/>
        <v>20.9</v>
      </c>
      <c r="AU256">
        <f t="shared" si="87"/>
        <v>33.9</v>
      </c>
      <c r="AV256" t="s">
        <v>104</v>
      </c>
      <c r="AW256">
        <f t="shared" si="88"/>
        <v>19.8</v>
      </c>
      <c r="AX256">
        <f t="shared" si="89"/>
        <v>13.2</v>
      </c>
      <c r="AY256">
        <f t="shared" si="90"/>
        <v>30.9</v>
      </c>
      <c r="AZ256">
        <f t="shared" si="91"/>
        <v>53.2</v>
      </c>
      <c r="BA256" t="s">
        <v>104</v>
      </c>
      <c r="BB256">
        <f t="shared" si="92"/>
        <v>43.6</v>
      </c>
      <c r="BC256">
        <f t="shared" si="93"/>
        <v>14.3</v>
      </c>
      <c r="BD256">
        <f t="shared" si="94"/>
        <v>14</v>
      </c>
      <c r="BE256">
        <f t="shared" si="95"/>
        <v>13.3</v>
      </c>
      <c r="BF256" t="s">
        <v>104</v>
      </c>
      <c r="BG256">
        <f t="shared" si="96"/>
        <v>10.6</v>
      </c>
      <c r="BH256">
        <f t="shared" si="97"/>
        <v>12.2</v>
      </c>
      <c r="BI256">
        <f t="shared" si="98"/>
        <v>0.36</v>
      </c>
      <c r="BJ256">
        <f t="shared" si="99"/>
        <v>2.89</v>
      </c>
      <c r="BK256">
        <f t="shared" si="100"/>
        <v>0</v>
      </c>
      <c r="BL256">
        <f t="shared" si="101"/>
        <v>0</v>
      </c>
      <c r="BM256">
        <f t="shared" si="102"/>
        <v>0.59299999999999997</v>
      </c>
      <c r="BN256">
        <f t="shared" si="103"/>
        <v>3.8660000000000001</v>
      </c>
    </row>
    <row r="257" spans="1:66" x14ac:dyDescent="0.25">
      <c r="A257">
        <v>2024</v>
      </c>
      <c r="B257" s="1">
        <f t="shared" si="105"/>
        <v>45543</v>
      </c>
      <c r="C257" s="2">
        <v>252</v>
      </c>
      <c r="D257">
        <v>70</v>
      </c>
      <c r="E257" s="6">
        <v>12.94</v>
      </c>
      <c r="F257" s="6">
        <v>19.420000000000002</v>
      </c>
      <c r="G257" s="6">
        <v>29.74</v>
      </c>
      <c r="H257" s="6">
        <v>14.31</v>
      </c>
      <c r="I257" s="6">
        <v>9.82</v>
      </c>
      <c r="J257" s="6">
        <v>20.89</v>
      </c>
      <c r="K257" s="6">
        <v>36.42</v>
      </c>
      <c r="L257" s="6"/>
      <c r="M257" s="6">
        <v>19.54</v>
      </c>
      <c r="N257" s="6">
        <v>13.47</v>
      </c>
      <c r="O257" s="6">
        <v>29.14</v>
      </c>
      <c r="P257" s="6">
        <v>52.63</v>
      </c>
      <c r="Q257" s="6"/>
      <c r="R257" s="6">
        <v>36.49</v>
      </c>
      <c r="S257" s="6">
        <v>14.82</v>
      </c>
      <c r="T257" s="6">
        <v>16.190000000000001</v>
      </c>
      <c r="U257" s="6">
        <v>21.84</v>
      </c>
      <c r="V257" s="6"/>
      <c r="W257" s="6">
        <v>12.99</v>
      </c>
      <c r="X257" s="6">
        <v>12.43</v>
      </c>
      <c r="Y257" s="6">
        <v>0.52500000000000002</v>
      </c>
      <c r="Z257" s="6">
        <v>2.38</v>
      </c>
      <c r="AA257" s="6">
        <v>0</v>
      </c>
      <c r="AB257" s="6">
        <v>1.905</v>
      </c>
      <c r="AC257" s="6">
        <v>29.92</v>
      </c>
      <c r="AD257" s="6">
        <v>14.54</v>
      </c>
      <c r="AE257" s="6">
        <v>0.01</v>
      </c>
      <c r="AF257" s="6">
        <v>7.0000000000000001E-3</v>
      </c>
      <c r="AG257" s="6">
        <v>1.8460000000000001</v>
      </c>
      <c r="AH257" s="6"/>
      <c r="AI257" s="6"/>
      <c r="AK257" s="22">
        <f t="shared" si="107"/>
        <v>0</v>
      </c>
      <c r="AL257">
        <f t="shared" si="106"/>
        <v>391.60000000000031</v>
      </c>
      <c r="AM257" s="4">
        <v>20.49</v>
      </c>
      <c r="AN257">
        <v>9.82</v>
      </c>
      <c r="AP257" s="7">
        <f t="shared" si="104"/>
        <v>0.88200000000000001</v>
      </c>
      <c r="AQ257" s="7">
        <f t="shared" si="84"/>
        <v>3.1560000000000001</v>
      </c>
      <c r="AS257">
        <f t="shared" si="85"/>
        <v>9.82</v>
      </c>
      <c r="AT257">
        <f t="shared" si="86"/>
        <v>20.9</v>
      </c>
      <c r="AU257">
        <f t="shared" si="87"/>
        <v>36.4</v>
      </c>
      <c r="AV257" t="s">
        <v>104</v>
      </c>
      <c r="AW257">
        <f t="shared" si="88"/>
        <v>19.5</v>
      </c>
      <c r="AX257">
        <f t="shared" si="89"/>
        <v>13.5</v>
      </c>
      <c r="AY257">
        <f t="shared" si="90"/>
        <v>29.1</v>
      </c>
      <c r="AZ257">
        <f t="shared" si="91"/>
        <v>52.6</v>
      </c>
      <c r="BA257" t="s">
        <v>104</v>
      </c>
      <c r="BB257">
        <f t="shared" si="92"/>
        <v>36.5</v>
      </c>
      <c r="BC257">
        <f t="shared" si="93"/>
        <v>14.8</v>
      </c>
      <c r="BD257">
        <f t="shared" si="94"/>
        <v>16.2</v>
      </c>
      <c r="BE257">
        <f t="shared" si="95"/>
        <v>21.8</v>
      </c>
      <c r="BF257" t="s">
        <v>104</v>
      </c>
      <c r="BG257">
        <f t="shared" si="96"/>
        <v>13</v>
      </c>
      <c r="BH257">
        <f t="shared" si="97"/>
        <v>12.4</v>
      </c>
      <c r="BI257">
        <f t="shared" si="98"/>
        <v>0.53</v>
      </c>
      <c r="BJ257">
        <f t="shared" si="99"/>
        <v>2.38</v>
      </c>
      <c r="BK257">
        <f t="shared" si="100"/>
        <v>0</v>
      </c>
      <c r="BL257">
        <f t="shared" si="101"/>
        <v>0</v>
      </c>
      <c r="BM257">
        <f t="shared" si="102"/>
        <v>0.88200000000000001</v>
      </c>
      <c r="BN257">
        <f t="shared" si="103"/>
        <v>3.1560000000000001</v>
      </c>
    </row>
    <row r="258" spans="1:66" x14ac:dyDescent="0.25">
      <c r="A258">
        <v>2024</v>
      </c>
      <c r="B258" s="1">
        <f t="shared" si="105"/>
        <v>45544</v>
      </c>
      <c r="C258" s="2">
        <v>253</v>
      </c>
      <c r="D258">
        <v>70</v>
      </c>
      <c r="E258" s="6">
        <v>12.95</v>
      </c>
      <c r="F258" s="6">
        <v>12.9</v>
      </c>
      <c r="G258" s="6">
        <v>20.83</v>
      </c>
      <c r="H258" s="6">
        <v>4.3680000000000003</v>
      </c>
      <c r="I258" s="6">
        <v>9.24</v>
      </c>
      <c r="J258" s="6">
        <v>13.4</v>
      </c>
      <c r="K258" s="6">
        <v>58.51</v>
      </c>
      <c r="L258" s="6"/>
      <c r="M258" s="6">
        <v>13.76</v>
      </c>
      <c r="N258" s="6">
        <v>12.92</v>
      </c>
      <c r="O258" s="6">
        <v>19.350000000000001</v>
      </c>
      <c r="P258" s="6">
        <v>75.900000000000006</v>
      </c>
      <c r="Q258" s="6"/>
      <c r="R258" s="6">
        <v>31.18</v>
      </c>
      <c r="S258" s="6">
        <v>13.84</v>
      </c>
      <c r="T258" s="6">
        <v>5.8719999999999999</v>
      </c>
      <c r="U258" s="6">
        <v>28.63</v>
      </c>
      <c r="V258" s="6"/>
      <c r="W258" s="6">
        <v>4.5880000000000001</v>
      </c>
      <c r="X258" s="6">
        <v>11.71</v>
      </c>
      <c r="Y258" s="6">
        <v>0.74299999999999999</v>
      </c>
      <c r="Z258" s="6">
        <v>2.5270000000000001</v>
      </c>
      <c r="AA258" s="6">
        <v>0</v>
      </c>
      <c r="AB258" s="6">
        <v>1.899</v>
      </c>
      <c r="AC258" s="6">
        <v>20.88</v>
      </c>
      <c r="AD258" s="6">
        <v>4.8440000000000003</v>
      </c>
      <c r="AE258" s="6">
        <v>0.01</v>
      </c>
      <c r="AF258" s="6">
        <v>7.0000000000000001E-3</v>
      </c>
      <c r="AG258" s="6">
        <v>1.8779999999999999</v>
      </c>
      <c r="AH258" s="6"/>
      <c r="AI258" s="6"/>
      <c r="AK258" s="22">
        <f t="shared" si="107"/>
        <v>0</v>
      </c>
      <c r="AL258">
        <f t="shared" si="106"/>
        <v>391.60000000000031</v>
      </c>
      <c r="AM258" s="4">
        <v>20.239999999999998</v>
      </c>
      <c r="AN258">
        <v>9.24</v>
      </c>
      <c r="AP258" s="7">
        <f t="shared" si="104"/>
        <v>0.64300000000000002</v>
      </c>
      <c r="AQ258" s="7">
        <f t="shared" si="84"/>
        <v>1.603</v>
      </c>
      <c r="AS258">
        <f t="shared" si="85"/>
        <v>9.24</v>
      </c>
      <c r="AT258">
        <f t="shared" si="86"/>
        <v>13.4</v>
      </c>
      <c r="AU258">
        <f t="shared" si="87"/>
        <v>58.5</v>
      </c>
      <c r="AV258" t="s">
        <v>104</v>
      </c>
      <c r="AW258">
        <f t="shared" si="88"/>
        <v>13.8</v>
      </c>
      <c r="AX258">
        <f t="shared" si="89"/>
        <v>12.9</v>
      </c>
      <c r="AY258">
        <f t="shared" si="90"/>
        <v>19.399999999999999</v>
      </c>
      <c r="AZ258">
        <f t="shared" si="91"/>
        <v>75.900000000000006</v>
      </c>
      <c r="BA258" t="s">
        <v>104</v>
      </c>
      <c r="BB258">
        <f t="shared" si="92"/>
        <v>31.2</v>
      </c>
      <c r="BC258">
        <f t="shared" si="93"/>
        <v>13.8</v>
      </c>
      <c r="BD258">
        <f t="shared" si="94"/>
        <v>5.9</v>
      </c>
      <c r="BE258">
        <f t="shared" si="95"/>
        <v>28.6</v>
      </c>
      <c r="BF258" t="s">
        <v>104</v>
      </c>
      <c r="BG258">
        <f t="shared" si="96"/>
        <v>4.5999999999999996</v>
      </c>
      <c r="BH258">
        <f t="shared" si="97"/>
        <v>11.7</v>
      </c>
      <c r="BI258">
        <f t="shared" si="98"/>
        <v>0.74</v>
      </c>
      <c r="BJ258">
        <f t="shared" si="99"/>
        <v>2.5299999999999998</v>
      </c>
      <c r="BK258">
        <f t="shared" si="100"/>
        <v>0</v>
      </c>
      <c r="BL258">
        <f t="shared" si="101"/>
        <v>0</v>
      </c>
      <c r="BM258">
        <f t="shared" si="102"/>
        <v>0.64300000000000002</v>
      </c>
      <c r="BN258">
        <f t="shared" si="103"/>
        <v>1.603</v>
      </c>
    </row>
    <row r="259" spans="1:66" x14ac:dyDescent="0.25">
      <c r="A259">
        <v>2024</v>
      </c>
      <c r="B259" s="1">
        <f t="shared" si="105"/>
        <v>45545</v>
      </c>
      <c r="C259" s="2">
        <v>254</v>
      </c>
      <c r="D259">
        <v>70</v>
      </c>
      <c r="E259" s="6">
        <v>12.97</v>
      </c>
      <c r="F259" s="6">
        <v>10.8</v>
      </c>
      <c r="G259" s="6">
        <v>24.47</v>
      </c>
      <c r="H259" s="6">
        <v>2.714</v>
      </c>
      <c r="I259" s="6">
        <v>14.59</v>
      </c>
      <c r="J259" s="6">
        <v>11.77</v>
      </c>
      <c r="K259" s="6">
        <v>52.44</v>
      </c>
      <c r="L259" s="6"/>
      <c r="M259" s="6">
        <v>11.59</v>
      </c>
      <c r="N259" s="6">
        <v>11.46</v>
      </c>
      <c r="O259" s="6">
        <v>21.82</v>
      </c>
      <c r="P259" s="6">
        <v>77.400000000000006</v>
      </c>
      <c r="Q259" s="6"/>
      <c r="R259" s="6">
        <v>32.64</v>
      </c>
      <c r="S259" s="6">
        <v>12.97</v>
      </c>
      <c r="T259" s="6">
        <v>4.8630000000000004</v>
      </c>
      <c r="U259" s="6">
        <v>23.79</v>
      </c>
      <c r="V259" s="6"/>
      <c r="W259" s="6">
        <v>2.6739999999999999</v>
      </c>
      <c r="X259" s="6">
        <v>10.4</v>
      </c>
      <c r="Y259" s="6">
        <v>0.40699999999999997</v>
      </c>
      <c r="Z259" s="6">
        <v>1.887</v>
      </c>
      <c r="AA259" s="6">
        <v>0</v>
      </c>
      <c r="AB259" s="6">
        <v>1.909</v>
      </c>
      <c r="AC259" s="6">
        <v>25.11</v>
      </c>
      <c r="AD259" s="6">
        <v>2.84</v>
      </c>
      <c r="AE259" s="6">
        <v>0.01</v>
      </c>
      <c r="AF259" s="6">
        <v>7.0000000000000001E-3</v>
      </c>
      <c r="AG259" s="6">
        <v>1.877</v>
      </c>
      <c r="AH259" s="6"/>
      <c r="AI259" s="6"/>
      <c r="AK259" s="22">
        <f t="shared" si="107"/>
        <v>0</v>
      </c>
      <c r="AL259">
        <f t="shared" si="106"/>
        <v>391.60000000000031</v>
      </c>
      <c r="AM259" s="4">
        <v>19.989999999999998</v>
      </c>
      <c r="AN259">
        <v>14.59</v>
      </c>
      <c r="AP259" s="7">
        <f t="shared" si="104"/>
        <v>0.622</v>
      </c>
      <c r="AQ259" s="7">
        <f t="shared" si="84"/>
        <v>1.9930000000000001</v>
      </c>
      <c r="AS259">
        <f t="shared" si="85"/>
        <v>14.59</v>
      </c>
      <c r="AT259">
        <f t="shared" si="86"/>
        <v>11.8</v>
      </c>
      <c r="AU259">
        <f t="shared" si="87"/>
        <v>52.4</v>
      </c>
      <c r="AV259" t="s">
        <v>104</v>
      </c>
      <c r="AW259">
        <f t="shared" si="88"/>
        <v>11.6</v>
      </c>
      <c r="AX259">
        <f t="shared" si="89"/>
        <v>11.5</v>
      </c>
      <c r="AY259">
        <f t="shared" si="90"/>
        <v>21.8</v>
      </c>
      <c r="AZ259">
        <f t="shared" si="91"/>
        <v>77.400000000000006</v>
      </c>
      <c r="BA259" t="s">
        <v>104</v>
      </c>
      <c r="BB259">
        <f t="shared" si="92"/>
        <v>32.6</v>
      </c>
      <c r="BC259">
        <f t="shared" si="93"/>
        <v>13</v>
      </c>
      <c r="BD259">
        <f t="shared" si="94"/>
        <v>4.9000000000000004</v>
      </c>
      <c r="BE259">
        <f t="shared" si="95"/>
        <v>23.8</v>
      </c>
      <c r="BF259" t="s">
        <v>104</v>
      </c>
      <c r="BG259">
        <f t="shared" si="96"/>
        <v>2.7</v>
      </c>
      <c r="BH259">
        <f t="shared" si="97"/>
        <v>10.4</v>
      </c>
      <c r="BI259">
        <f t="shared" si="98"/>
        <v>0.41</v>
      </c>
      <c r="BJ259">
        <f t="shared" si="99"/>
        <v>1.89</v>
      </c>
      <c r="BK259">
        <f t="shared" si="100"/>
        <v>0</v>
      </c>
      <c r="BL259">
        <f t="shared" si="101"/>
        <v>0</v>
      </c>
      <c r="BM259">
        <f t="shared" si="102"/>
        <v>0.622</v>
      </c>
      <c r="BN259">
        <f t="shared" si="103"/>
        <v>1.9930000000000001</v>
      </c>
    </row>
    <row r="260" spans="1:66" x14ac:dyDescent="0.25">
      <c r="A260">
        <v>2024</v>
      </c>
      <c r="B260" s="1">
        <f t="shared" si="105"/>
        <v>45546</v>
      </c>
      <c r="C260" s="2">
        <v>255</v>
      </c>
      <c r="D260">
        <v>70</v>
      </c>
      <c r="E260" s="6">
        <v>12.81</v>
      </c>
      <c r="F260" s="6">
        <v>9.06</v>
      </c>
      <c r="G260" s="6">
        <v>14.81</v>
      </c>
      <c r="H260" s="6">
        <v>6.3520000000000003</v>
      </c>
      <c r="I260" s="6">
        <v>6.4829999999999997</v>
      </c>
      <c r="J260" s="6">
        <v>9.68</v>
      </c>
      <c r="K260" s="6">
        <v>73.3</v>
      </c>
      <c r="L260" s="6"/>
      <c r="M260" s="6">
        <v>9.7799999999999994</v>
      </c>
      <c r="N260" s="6">
        <v>11.4</v>
      </c>
      <c r="O260" s="6">
        <v>14.92</v>
      </c>
      <c r="P260" s="6">
        <v>86.1</v>
      </c>
      <c r="Q260" s="6"/>
      <c r="R260" s="6">
        <v>21.27</v>
      </c>
      <c r="S260" s="6">
        <v>12.42</v>
      </c>
      <c r="T260" s="6">
        <v>7.08</v>
      </c>
      <c r="U260" s="6">
        <v>52.93</v>
      </c>
      <c r="V260" s="6"/>
      <c r="W260" s="6">
        <v>6.1619999999999999</v>
      </c>
      <c r="X260" s="6">
        <v>10.61</v>
      </c>
      <c r="Y260" s="6">
        <v>0.14199999999999999</v>
      </c>
      <c r="Z260" s="6">
        <v>1.4470000000000001</v>
      </c>
      <c r="AA260" s="6">
        <v>1</v>
      </c>
      <c r="AB260" s="6">
        <v>1.905</v>
      </c>
      <c r="AC260" s="6">
        <v>14.56</v>
      </c>
      <c r="AD260" s="6">
        <v>6.5880000000000001</v>
      </c>
      <c r="AE260" s="6">
        <v>8.9999999999999993E-3</v>
      </c>
      <c r="AF260" s="6">
        <v>7.0000000000000001E-3</v>
      </c>
      <c r="AG260" s="6">
        <v>1.877</v>
      </c>
      <c r="AH260" s="6"/>
      <c r="AI260" s="6"/>
      <c r="AK260" s="22">
        <f t="shared" si="107"/>
        <v>1</v>
      </c>
      <c r="AL260">
        <f t="shared" si="106"/>
        <v>392.60000000000031</v>
      </c>
      <c r="AM260" s="4">
        <v>19.739999999999998</v>
      </c>
      <c r="AN260">
        <v>6.48</v>
      </c>
      <c r="AP260" s="7">
        <f t="shared" si="104"/>
        <v>0.89800000000000002</v>
      </c>
      <c r="AQ260" s="7">
        <f t="shared" si="84"/>
        <v>0.79900000000000004</v>
      </c>
      <c r="AS260">
        <f t="shared" si="85"/>
        <v>6.48</v>
      </c>
      <c r="AT260">
        <f t="shared" si="86"/>
        <v>9.6999999999999993</v>
      </c>
      <c r="AU260">
        <f t="shared" si="87"/>
        <v>73.3</v>
      </c>
      <c r="AV260" t="s">
        <v>104</v>
      </c>
      <c r="AW260">
        <f t="shared" si="88"/>
        <v>9.8000000000000007</v>
      </c>
      <c r="AX260">
        <f t="shared" si="89"/>
        <v>11.4</v>
      </c>
      <c r="AY260">
        <f t="shared" si="90"/>
        <v>14.9</v>
      </c>
      <c r="AZ260">
        <f t="shared" si="91"/>
        <v>86.1</v>
      </c>
      <c r="BA260" t="s">
        <v>104</v>
      </c>
      <c r="BB260">
        <f t="shared" si="92"/>
        <v>21.3</v>
      </c>
      <c r="BC260">
        <f t="shared" si="93"/>
        <v>12.4</v>
      </c>
      <c r="BD260">
        <f t="shared" si="94"/>
        <v>7.1</v>
      </c>
      <c r="BE260">
        <f t="shared" si="95"/>
        <v>52.9</v>
      </c>
      <c r="BF260" t="s">
        <v>104</v>
      </c>
      <c r="BG260">
        <f t="shared" si="96"/>
        <v>6.2</v>
      </c>
      <c r="BH260">
        <f t="shared" si="97"/>
        <v>10.6</v>
      </c>
      <c r="BI260">
        <f t="shared" si="98"/>
        <v>0.14000000000000001</v>
      </c>
      <c r="BJ260">
        <f t="shared" si="99"/>
        <v>1.45</v>
      </c>
      <c r="BK260">
        <f t="shared" si="100"/>
        <v>0</v>
      </c>
      <c r="BL260">
        <f t="shared" si="101"/>
        <v>1</v>
      </c>
      <c r="BM260">
        <f t="shared" si="102"/>
        <v>0.89800000000000002</v>
      </c>
      <c r="BN260">
        <f t="shared" si="103"/>
        <v>0.79900000000000004</v>
      </c>
    </row>
    <row r="261" spans="1:66" x14ac:dyDescent="0.25">
      <c r="A261">
        <v>2024</v>
      </c>
      <c r="B261" s="1">
        <f t="shared" si="105"/>
        <v>45547</v>
      </c>
      <c r="C261" s="2">
        <v>256</v>
      </c>
      <c r="D261">
        <v>70</v>
      </c>
      <c r="E261" s="6">
        <v>12.95</v>
      </c>
      <c r="F261" s="6">
        <v>10.220000000000001</v>
      </c>
      <c r="G261" s="6">
        <v>21.02</v>
      </c>
      <c r="H261" s="6">
        <v>4.92</v>
      </c>
      <c r="I261" s="6">
        <v>10.58</v>
      </c>
      <c r="J261" s="6">
        <v>10.6</v>
      </c>
      <c r="K261" s="6">
        <v>69.569999999999993</v>
      </c>
      <c r="L261" s="6"/>
      <c r="M261" s="6">
        <v>11.26</v>
      </c>
      <c r="N261" s="6">
        <v>11.48</v>
      </c>
      <c r="O261" s="6">
        <v>18.54</v>
      </c>
      <c r="P261" s="6">
        <v>89.4</v>
      </c>
      <c r="Q261" s="6"/>
      <c r="R261" s="6">
        <v>29.64</v>
      </c>
      <c r="S261" s="6">
        <v>13.11</v>
      </c>
      <c r="T261" s="6">
        <v>6.8129999999999997</v>
      </c>
      <c r="U261" s="6">
        <v>41.47</v>
      </c>
      <c r="V261" s="6"/>
      <c r="W261" s="6">
        <v>4.7889999999999997</v>
      </c>
      <c r="X261" s="6">
        <v>10.71</v>
      </c>
      <c r="Y261" s="6">
        <v>0.68600000000000005</v>
      </c>
      <c r="Z261" s="6">
        <v>2.407</v>
      </c>
      <c r="AA261" s="6">
        <v>0</v>
      </c>
      <c r="AB261" s="6">
        <v>1.9019999999999999</v>
      </c>
      <c r="AC261" s="6">
        <v>21.37</v>
      </c>
      <c r="AD261" s="6">
        <v>5.1589999999999998</v>
      </c>
      <c r="AE261" s="6">
        <v>0.01</v>
      </c>
      <c r="AF261" s="6">
        <v>7.0000000000000001E-3</v>
      </c>
      <c r="AG261" s="6">
        <v>1.8779999999999999</v>
      </c>
      <c r="AH261" s="6"/>
      <c r="AI261" s="6"/>
      <c r="AK261" s="22">
        <f t="shared" si="107"/>
        <v>0</v>
      </c>
      <c r="AL261">
        <f t="shared" si="106"/>
        <v>392.60000000000031</v>
      </c>
      <c r="AM261" s="4">
        <v>19.48</v>
      </c>
      <c r="AN261">
        <v>10.58</v>
      </c>
      <c r="AP261" s="7">
        <f t="shared" si="104"/>
        <v>0.88500000000000001</v>
      </c>
      <c r="AQ261" s="7">
        <f t="shared" si="84"/>
        <v>1.2490000000000001</v>
      </c>
      <c r="AS261">
        <f t="shared" si="85"/>
        <v>10.58</v>
      </c>
      <c r="AT261">
        <f t="shared" si="86"/>
        <v>10.6</v>
      </c>
      <c r="AU261">
        <f t="shared" si="87"/>
        <v>69.599999999999994</v>
      </c>
      <c r="AV261" t="s">
        <v>104</v>
      </c>
      <c r="AW261">
        <f t="shared" si="88"/>
        <v>11.3</v>
      </c>
      <c r="AX261">
        <f t="shared" si="89"/>
        <v>11.5</v>
      </c>
      <c r="AY261">
        <f t="shared" si="90"/>
        <v>18.5</v>
      </c>
      <c r="AZ261">
        <f t="shared" si="91"/>
        <v>89.4</v>
      </c>
      <c r="BA261" t="s">
        <v>104</v>
      </c>
      <c r="BB261">
        <f t="shared" si="92"/>
        <v>29.6</v>
      </c>
      <c r="BC261">
        <f t="shared" si="93"/>
        <v>13.1</v>
      </c>
      <c r="BD261">
        <f t="shared" si="94"/>
        <v>6.8</v>
      </c>
      <c r="BE261">
        <f t="shared" si="95"/>
        <v>41.5</v>
      </c>
      <c r="BF261" t="s">
        <v>104</v>
      </c>
      <c r="BG261">
        <f t="shared" si="96"/>
        <v>4.8</v>
      </c>
      <c r="BH261">
        <f t="shared" si="97"/>
        <v>10.7</v>
      </c>
      <c r="BI261">
        <f t="shared" si="98"/>
        <v>0.69</v>
      </c>
      <c r="BJ261">
        <f t="shared" si="99"/>
        <v>2.41</v>
      </c>
      <c r="BK261">
        <f t="shared" si="100"/>
        <v>0</v>
      </c>
      <c r="BL261">
        <f t="shared" si="101"/>
        <v>0</v>
      </c>
      <c r="BM261">
        <f t="shared" si="102"/>
        <v>0.88500000000000001</v>
      </c>
      <c r="BN261">
        <f t="shared" si="103"/>
        <v>1.2490000000000001</v>
      </c>
    </row>
    <row r="262" spans="1:66" x14ac:dyDescent="0.25">
      <c r="A262">
        <v>2024</v>
      </c>
      <c r="B262" s="1">
        <f t="shared" si="105"/>
        <v>45548</v>
      </c>
      <c r="C262" s="2">
        <v>257</v>
      </c>
      <c r="D262">
        <v>70</v>
      </c>
      <c r="E262" s="6">
        <v>12.95</v>
      </c>
      <c r="F262" s="6">
        <v>10.94</v>
      </c>
      <c r="G262" s="6">
        <v>22.91</v>
      </c>
      <c r="H262" s="6">
        <v>3.863</v>
      </c>
      <c r="I262" s="6">
        <v>10.01</v>
      </c>
      <c r="J262" s="6">
        <v>11.34</v>
      </c>
      <c r="K262" s="6">
        <v>68.59</v>
      </c>
      <c r="L262" s="6"/>
      <c r="M262" s="6">
        <v>11.64</v>
      </c>
      <c r="N262" s="6">
        <v>11.09</v>
      </c>
      <c r="O262" s="6">
        <v>21.35</v>
      </c>
      <c r="P262" s="6">
        <v>91.7</v>
      </c>
      <c r="Q262" s="6"/>
      <c r="R262" s="6">
        <v>30.47</v>
      </c>
      <c r="S262" s="6">
        <v>12.47</v>
      </c>
      <c r="T262" s="6">
        <v>5.5359999999999996</v>
      </c>
      <c r="U262" s="6">
        <v>32.520000000000003</v>
      </c>
      <c r="V262" s="6"/>
      <c r="W262" s="6">
        <v>3.2160000000000002</v>
      </c>
      <c r="X262" s="6">
        <v>9.92</v>
      </c>
      <c r="Y262" s="6">
        <v>0.69299999999999995</v>
      </c>
      <c r="Z262" s="6">
        <v>2.14</v>
      </c>
      <c r="AA262" s="6">
        <v>3.6</v>
      </c>
      <c r="AB262" s="6">
        <v>1.93</v>
      </c>
      <c r="AC262" s="6">
        <v>22.67</v>
      </c>
      <c r="AD262" s="6">
        <v>4.0490000000000004</v>
      </c>
      <c r="AE262" s="6">
        <v>0.01</v>
      </c>
      <c r="AF262" s="6">
        <v>7.0000000000000001E-3</v>
      </c>
      <c r="AG262" s="6">
        <v>1.9</v>
      </c>
      <c r="AH262" s="6"/>
      <c r="AI262" s="6"/>
      <c r="AK262" s="22">
        <f t="shared" si="107"/>
        <v>3.6</v>
      </c>
      <c r="AL262">
        <f t="shared" si="106"/>
        <v>396.20000000000033</v>
      </c>
      <c r="AM262" s="4">
        <v>19.23</v>
      </c>
      <c r="AN262">
        <v>10</v>
      </c>
      <c r="AP262" s="7">
        <f t="shared" si="104"/>
        <v>0.82599999999999996</v>
      </c>
      <c r="AQ262" s="7">
        <f t="shared" ref="AQ262:AQ325" si="108">ROUND(AP262/U262*(100-U262),3)</f>
        <v>1.714</v>
      </c>
      <c r="AS262">
        <f t="shared" ref="AS262:AS325" si="109">AN262</f>
        <v>10</v>
      </c>
      <c r="AT262">
        <f t="shared" ref="AT262:AT325" si="110">ROUND(J262,1)</f>
        <v>11.3</v>
      </c>
      <c r="AU262">
        <f t="shared" ref="AU262:AU325" si="111">ROUND(K262,1)</f>
        <v>68.599999999999994</v>
      </c>
      <c r="AV262" t="s">
        <v>104</v>
      </c>
      <c r="AW262">
        <f t="shared" ref="AW262:AW325" si="112">ROUND(M262,1)</f>
        <v>11.6</v>
      </c>
      <c r="AX262">
        <f t="shared" ref="AX262:AX325" si="113">ROUND(N262,1)</f>
        <v>11.1</v>
      </c>
      <c r="AY262">
        <f t="shared" ref="AY262:AY325" si="114">ROUND(O262,1)</f>
        <v>21.4</v>
      </c>
      <c r="AZ262">
        <f t="shared" ref="AZ262:AZ325" si="115">ROUND(P262,1)</f>
        <v>91.7</v>
      </c>
      <c r="BA262" t="s">
        <v>104</v>
      </c>
      <c r="BB262">
        <f t="shared" ref="BB262:BB325" si="116">ROUND(R262,1)</f>
        <v>30.5</v>
      </c>
      <c r="BC262">
        <f t="shared" ref="BC262:BC325" si="117">ROUND(S262,1)</f>
        <v>12.5</v>
      </c>
      <c r="BD262">
        <f t="shared" ref="BD262:BD325" si="118">ROUND(T262,1)</f>
        <v>5.5</v>
      </c>
      <c r="BE262">
        <f t="shared" ref="BE262:BE325" si="119">ROUND(U262,1)</f>
        <v>32.5</v>
      </c>
      <c r="BF262" t="s">
        <v>104</v>
      </c>
      <c r="BG262">
        <f t="shared" ref="BG262:BG325" si="120">ROUND(W262,1)</f>
        <v>3.2</v>
      </c>
      <c r="BH262">
        <f t="shared" ref="BH262:BH325" si="121">ROUND(X262,1)</f>
        <v>9.9</v>
      </c>
      <c r="BI262">
        <f t="shared" ref="BI262:BI325" si="122">ROUND(Y262,2)</f>
        <v>0.69</v>
      </c>
      <c r="BJ262">
        <f t="shared" ref="BJ262:BJ325" si="123">ROUND(Z262,2)</f>
        <v>2.14</v>
      </c>
      <c r="BK262">
        <f t="shared" ref="BK262:BK325" si="124">AI262</f>
        <v>0</v>
      </c>
      <c r="BL262">
        <f t="shared" ref="BL262:BL325" si="125">ROUND(AK262,1)</f>
        <v>3.6</v>
      </c>
      <c r="BM262">
        <f t="shared" ref="BM262:BM325" si="126">ROUND(AP262,3)</f>
        <v>0.82599999999999996</v>
      </c>
      <c r="BN262">
        <f t="shared" ref="BN262:BN325" si="127">ROUND(AQ262,3)</f>
        <v>1.714</v>
      </c>
    </row>
    <row r="263" spans="1:66" x14ac:dyDescent="0.25">
      <c r="A263">
        <v>2024</v>
      </c>
      <c r="B263" s="1">
        <f t="shared" si="105"/>
        <v>45549</v>
      </c>
      <c r="C263" s="2">
        <v>258</v>
      </c>
      <c r="D263">
        <v>70</v>
      </c>
      <c r="E263" s="6">
        <v>12.95</v>
      </c>
      <c r="F263" s="6">
        <v>10.050000000000001</v>
      </c>
      <c r="G263" s="6">
        <v>20.49</v>
      </c>
      <c r="H263" s="6">
        <v>3.5259999999999998</v>
      </c>
      <c r="I263" s="6">
        <v>13.29</v>
      </c>
      <c r="J263" s="6">
        <v>10.039999999999999</v>
      </c>
      <c r="K263" s="6">
        <v>76.8</v>
      </c>
      <c r="L263" s="6"/>
      <c r="M263" s="6">
        <v>10.61</v>
      </c>
      <c r="N263" s="6">
        <v>11.39</v>
      </c>
      <c r="O263" s="6">
        <v>17.940000000000001</v>
      </c>
      <c r="P263" s="6">
        <v>92.2</v>
      </c>
      <c r="Q263" s="6"/>
      <c r="R263" s="6">
        <v>29.57</v>
      </c>
      <c r="S263" s="6">
        <v>12.8</v>
      </c>
      <c r="T263" s="6">
        <v>4.7279999999999998</v>
      </c>
      <c r="U263" s="6">
        <v>41.81</v>
      </c>
      <c r="V263" s="6"/>
      <c r="W263" s="6">
        <v>3.5329999999999999</v>
      </c>
      <c r="X263" s="6">
        <v>10.29</v>
      </c>
      <c r="Y263" s="6">
        <v>0.54400000000000004</v>
      </c>
      <c r="Z263" s="6">
        <v>2.1539999999999999</v>
      </c>
      <c r="AA263" s="6">
        <v>2.6</v>
      </c>
      <c r="AB263" s="6">
        <v>1.8380000000000001</v>
      </c>
      <c r="AC263" s="6">
        <v>21.02</v>
      </c>
      <c r="AD263" s="6">
        <v>3.82</v>
      </c>
      <c r="AE263" s="6">
        <v>0.01</v>
      </c>
      <c r="AF263" s="6">
        <v>7.0000000000000001E-3</v>
      </c>
      <c r="AG263" s="6">
        <v>1.8180000000000001</v>
      </c>
      <c r="AH263" s="6"/>
      <c r="AI263" s="6"/>
      <c r="AK263" s="22">
        <f t="shared" si="107"/>
        <v>2.6</v>
      </c>
      <c r="AL263">
        <f t="shared" si="106"/>
        <v>398.80000000000035</v>
      </c>
      <c r="AM263" s="4">
        <v>18.98</v>
      </c>
      <c r="AN263">
        <v>13.29</v>
      </c>
      <c r="AP263" s="7">
        <f t="shared" ref="AP263:AP326" si="128">ROUND((0.6105*(EXP((17.273*O263)/(O263+237.3))))*U263/100,3)</f>
        <v>0.85899999999999999</v>
      </c>
      <c r="AQ263" s="7">
        <f t="shared" si="108"/>
        <v>1.196</v>
      </c>
      <c r="AS263">
        <f t="shared" si="109"/>
        <v>13.29</v>
      </c>
      <c r="AT263">
        <f t="shared" si="110"/>
        <v>10</v>
      </c>
      <c r="AU263">
        <f t="shared" si="111"/>
        <v>76.8</v>
      </c>
      <c r="AV263" t="s">
        <v>104</v>
      </c>
      <c r="AW263">
        <f t="shared" si="112"/>
        <v>10.6</v>
      </c>
      <c r="AX263">
        <f t="shared" si="113"/>
        <v>11.4</v>
      </c>
      <c r="AY263">
        <f t="shared" si="114"/>
        <v>17.899999999999999</v>
      </c>
      <c r="AZ263">
        <f t="shared" si="115"/>
        <v>92.2</v>
      </c>
      <c r="BA263" t="s">
        <v>104</v>
      </c>
      <c r="BB263">
        <f t="shared" si="116"/>
        <v>29.6</v>
      </c>
      <c r="BC263">
        <f t="shared" si="117"/>
        <v>12.8</v>
      </c>
      <c r="BD263">
        <f t="shared" si="118"/>
        <v>4.7</v>
      </c>
      <c r="BE263">
        <f t="shared" si="119"/>
        <v>41.8</v>
      </c>
      <c r="BF263" t="s">
        <v>104</v>
      </c>
      <c r="BG263">
        <f t="shared" si="120"/>
        <v>3.5</v>
      </c>
      <c r="BH263">
        <f t="shared" si="121"/>
        <v>10.3</v>
      </c>
      <c r="BI263">
        <f t="shared" si="122"/>
        <v>0.54</v>
      </c>
      <c r="BJ263">
        <f t="shared" si="123"/>
        <v>2.15</v>
      </c>
      <c r="BK263">
        <f t="shared" si="124"/>
        <v>0</v>
      </c>
      <c r="BL263">
        <f t="shared" si="125"/>
        <v>2.6</v>
      </c>
      <c r="BM263">
        <f t="shared" si="126"/>
        <v>0.85899999999999999</v>
      </c>
      <c r="BN263">
        <f t="shared" si="127"/>
        <v>1.196</v>
      </c>
    </row>
    <row r="264" spans="1:66" x14ac:dyDescent="0.25">
      <c r="A264">
        <v>2024</v>
      </c>
      <c r="B264" s="1">
        <f t="shared" ref="B264:B327" si="129">B263+1</f>
        <v>45550</v>
      </c>
      <c r="C264" s="2">
        <v>259</v>
      </c>
      <c r="D264">
        <v>70</v>
      </c>
      <c r="E264" s="6">
        <v>13.01</v>
      </c>
      <c r="F264" s="6">
        <v>6.6449999999999996</v>
      </c>
      <c r="G264" s="6">
        <v>16.37</v>
      </c>
      <c r="H264" s="6">
        <v>0.90300000000000002</v>
      </c>
      <c r="I264" s="6">
        <v>8.36</v>
      </c>
      <c r="J264" s="6">
        <v>7.76</v>
      </c>
      <c r="K264" s="6">
        <v>74.900000000000006</v>
      </c>
      <c r="L264" s="6"/>
      <c r="M264" s="6">
        <v>7.35</v>
      </c>
      <c r="N264" s="6">
        <v>10.1</v>
      </c>
      <c r="O264" s="6">
        <v>17.89</v>
      </c>
      <c r="P264" s="6">
        <v>92.6</v>
      </c>
      <c r="Q264" s="6"/>
      <c r="R264" s="6">
        <v>25.8</v>
      </c>
      <c r="S264" s="6">
        <v>11.62</v>
      </c>
      <c r="T264" s="6">
        <v>2.3839999999999999</v>
      </c>
      <c r="U264" s="6">
        <v>36.57</v>
      </c>
      <c r="V264" s="6"/>
      <c r="W264" s="6">
        <v>0.81799999999999995</v>
      </c>
      <c r="X264" s="6">
        <v>9.27</v>
      </c>
      <c r="Y264" s="6">
        <v>0.50700000000000001</v>
      </c>
      <c r="Z264" s="6">
        <v>2.274</v>
      </c>
      <c r="AA264" s="6">
        <v>0</v>
      </c>
      <c r="AB264" s="6">
        <v>1.911</v>
      </c>
      <c r="AC264" s="6">
        <v>15.51</v>
      </c>
      <c r="AD264" s="6">
        <v>1.0389999999999999</v>
      </c>
      <c r="AE264" s="6">
        <v>8.9999999999999993E-3</v>
      </c>
      <c r="AF264" s="6">
        <v>7.0000000000000001E-3</v>
      </c>
      <c r="AG264" s="6">
        <v>1.893</v>
      </c>
      <c r="AH264" s="6"/>
      <c r="AI264" s="6"/>
      <c r="AK264" s="22">
        <f t="shared" si="107"/>
        <v>0</v>
      </c>
      <c r="AL264">
        <f t="shared" ref="AL264:AL327" si="130">AL263+AK264</f>
        <v>398.80000000000035</v>
      </c>
      <c r="AM264" s="4">
        <v>18.73</v>
      </c>
      <c r="AN264">
        <v>8.36</v>
      </c>
      <c r="AP264" s="7">
        <f t="shared" si="128"/>
        <v>0.749</v>
      </c>
      <c r="AQ264" s="7">
        <f t="shared" si="108"/>
        <v>1.2989999999999999</v>
      </c>
      <c r="AS264">
        <f t="shared" si="109"/>
        <v>8.36</v>
      </c>
      <c r="AT264">
        <f t="shared" si="110"/>
        <v>7.8</v>
      </c>
      <c r="AU264">
        <f t="shared" si="111"/>
        <v>74.900000000000006</v>
      </c>
      <c r="AV264" t="s">
        <v>104</v>
      </c>
      <c r="AW264">
        <f t="shared" si="112"/>
        <v>7.4</v>
      </c>
      <c r="AX264">
        <f t="shared" si="113"/>
        <v>10.1</v>
      </c>
      <c r="AY264">
        <f t="shared" si="114"/>
        <v>17.899999999999999</v>
      </c>
      <c r="AZ264">
        <f t="shared" si="115"/>
        <v>92.6</v>
      </c>
      <c r="BA264" t="s">
        <v>104</v>
      </c>
      <c r="BB264">
        <f t="shared" si="116"/>
        <v>25.8</v>
      </c>
      <c r="BC264">
        <f t="shared" si="117"/>
        <v>11.6</v>
      </c>
      <c r="BD264">
        <f t="shared" si="118"/>
        <v>2.4</v>
      </c>
      <c r="BE264">
        <f t="shared" si="119"/>
        <v>36.6</v>
      </c>
      <c r="BF264" t="s">
        <v>104</v>
      </c>
      <c r="BG264">
        <f t="shared" si="120"/>
        <v>0.8</v>
      </c>
      <c r="BH264">
        <f t="shared" si="121"/>
        <v>9.3000000000000007</v>
      </c>
      <c r="BI264">
        <f t="shared" si="122"/>
        <v>0.51</v>
      </c>
      <c r="BJ264">
        <f t="shared" si="123"/>
        <v>2.27</v>
      </c>
      <c r="BK264">
        <f t="shared" si="124"/>
        <v>0</v>
      </c>
      <c r="BL264">
        <f t="shared" si="125"/>
        <v>0</v>
      </c>
      <c r="BM264">
        <f t="shared" si="126"/>
        <v>0.749</v>
      </c>
      <c r="BN264">
        <f t="shared" si="127"/>
        <v>1.2989999999999999</v>
      </c>
    </row>
    <row r="265" spans="1:66" x14ac:dyDescent="0.25">
      <c r="A265">
        <v>2024</v>
      </c>
      <c r="B265" s="1">
        <f t="shared" si="129"/>
        <v>45551</v>
      </c>
      <c r="C265" s="2">
        <v>260</v>
      </c>
      <c r="D265">
        <v>70</v>
      </c>
      <c r="E265" s="6">
        <v>12.97</v>
      </c>
      <c r="F265" s="6">
        <v>9.3699999999999992</v>
      </c>
      <c r="G265" s="6">
        <v>22.42</v>
      </c>
      <c r="H265" s="6">
        <v>1.7989999999999999</v>
      </c>
      <c r="I265" s="6">
        <v>14.49</v>
      </c>
      <c r="J265" s="6">
        <v>10.23</v>
      </c>
      <c r="K265" s="6">
        <v>69.400000000000006</v>
      </c>
      <c r="L265" s="6"/>
      <c r="M265" s="6">
        <v>9.8000000000000007</v>
      </c>
      <c r="N265" s="6">
        <v>9.51</v>
      </c>
      <c r="O265" s="6">
        <v>19.059999999999999</v>
      </c>
      <c r="P265" s="6">
        <v>91.5</v>
      </c>
      <c r="Q265" s="6"/>
      <c r="R265" s="6">
        <v>30.29</v>
      </c>
      <c r="S265" s="6">
        <v>10.95</v>
      </c>
      <c r="T265" s="6">
        <v>3.4510000000000001</v>
      </c>
      <c r="U265" s="6">
        <v>31.85</v>
      </c>
      <c r="V265" s="6"/>
      <c r="W265" s="6">
        <v>1.405</v>
      </c>
      <c r="X265" s="6">
        <v>8.39</v>
      </c>
      <c r="Y265" s="6">
        <v>0.33500000000000002</v>
      </c>
      <c r="Z265" s="6">
        <v>1.8740000000000001</v>
      </c>
      <c r="AA265" s="6">
        <v>0</v>
      </c>
      <c r="AB265" s="6">
        <v>1.927</v>
      </c>
      <c r="AC265" s="6">
        <v>22.99</v>
      </c>
      <c r="AD265" s="6">
        <v>1.946</v>
      </c>
      <c r="AE265" s="6">
        <v>0.01</v>
      </c>
      <c r="AF265" s="6">
        <v>7.0000000000000001E-3</v>
      </c>
      <c r="AG265" s="6">
        <v>1.899</v>
      </c>
      <c r="AH265" s="6"/>
      <c r="AI265" s="6"/>
      <c r="AK265" s="22">
        <f t="shared" si="107"/>
        <v>0</v>
      </c>
      <c r="AL265">
        <f t="shared" si="130"/>
        <v>398.80000000000035</v>
      </c>
      <c r="AM265" s="4">
        <v>18.48</v>
      </c>
      <c r="AN265">
        <v>14.49</v>
      </c>
      <c r="AP265" s="7">
        <f t="shared" si="128"/>
        <v>0.70199999999999996</v>
      </c>
      <c r="AQ265" s="7">
        <f t="shared" si="108"/>
        <v>1.502</v>
      </c>
      <c r="AS265">
        <f t="shared" si="109"/>
        <v>14.49</v>
      </c>
      <c r="AT265">
        <f t="shared" si="110"/>
        <v>10.199999999999999</v>
      </c>
      <c r="AU265">
        <f t="shared" si="111"/>
        <v>69.400000000000006</v>
      </c>
      <c r="AV265" t="s">
        <v>104</v>
      </c>
      <c r="AW265">
        <f t="shared" si="112"/>
        <v>9.8000000000000007</v>
      </c>
      <c r="AX265">
        <f t="shared" si="113"/>
        <v>9.5</v>
      </c>
      <c r="AY265">
        <f t="shared" si="114"/>
        <v>19.100000000000001</v>
      </c>
      <c r="AZ265">
        <f t="shared" si="115"/>
        <v>91.5</v>
      </c>
      <c r="BA265" t="s">
        <v>104</v>
      </c>
      <c r="BB265">
        <f t="shared" si="116"/>
        <v>30.3</v>
      </c>
      <c r="BC265">
        <f t="shared" si="117"/>
        <v>11</v>
      </c>
      <c r="BD265">
        <f t="shared" si="118"/>
        <v>3.5</v>
      </c>
      <c r="BE265">
        <f t="shared" si="119"/>
        <v>31.9</v>
      </c>
      <c r="BF265" t="s">
        <v>104</v>
      </c>
      <c r="BG265">
        <f t="shared" si="120"/>
        <v>1.4</v>
      </c>
      <c r="BH265">
        <f t="shared" si="121"/>
        <v>8.4</v>
      </c>
      <c r="BI265">
        <f t="shared" si="122"/>
        <v>0.34</v>
      </c>
      <c r="BJ265">
        <f t="shared" si="123"/>
        <v>1.87</v>
      </c>
      <c r="BK265">
        <f t="shared" si="124"/>
        <v>0</v>
      </c>
      <c r="BL265">
        <f t="shared" si="125"/>
        <v>0</v>
      </c>
      <c r="BM265">
        <f t="shared" si="126"/>
        <v>0.70199999999999996</v>
      </c>
      <c r="BN265">
        <f t="shared" si="127"/>
        <v>1.502</v>
      </c>
    </row>
    <row r="266" spans="1:66" x14ac:dyDescent="0.25">
      <c r="A266">
        <v>2024</v>
      </c>
      <c r="B266" s="1">
        <f t="shared" si="129"/>
        <v>45552</v>
      </c>
      <c r="C266" s="2">
        <v>261</v>
      </c>
      <c r="D266">
        <v>70</v>
      </c>
      <c r="E266" s="6">
        <v>12.95</v>
      </c>
      <c r="F266" s="6">
        <v>11.45</v>
      </c>
      <c r="G266" s="6">
        <v>24.89</v>
      </c>
      <c r="H266" s="6">
        <v>4.4930000000000003</v>
      </c>
      <c r="I266" s="6">
        <v>12.25</v>
      </c>
      <c r="J266" s="6">
        <v>12.47</v>
      </c>
      <c r="K266" s="6">
        <v>65.77</v>
      </c>
      <c r="L266" s="6"/>
      <c r="M266" s="6">
        <v>11.81</v>
      </c>
      <c r="N266" s="6">
        <v>10.18</v>
      </c>
      <c r="O266" s="6">
        <v>21.82</v>
      </c>
      <c r="P266" s="6">
        <v>85.4</v>
      </c>
      <c r="Q266" s="6"/>
      <c r="R266" s="6">
        <v>31.56</v>
      </c>
      <c r="S266" s="6">
        <v>11.61</v>
      </c>
      <c r="T266" s="6">
        <v>6.2750000000000004</v>
      </c>
      <c r="U266" s="6">
        <v>35.479999999999997</v>
      </c>
      <c r="V266" s="6"/>
      <c r="W266" s="6">
        <v>4.202</v>
      </c>
      <c r="X266" s="6">
        <v>8.9600000000000009</v>
      </c>
      <c r="Y266" s="6">
        <v>0.22500000000000001</v>
      </c>
      <c r="Z266" s="6">
        <v>1.9139999999999999</v>
      </c>
      <c r="AA266" s="6">
        <v>0</v>
      </c>
      <c r="AB266" s="6">
        <v>1.905</v>
      </c>
      <c r="AC266" s="6">
        <v>25.59</v>
      </c>
      <c r="AD266" s="6">
        <v>4.6559999999999997</v>
      </c>
      <c r="AE266" s="6">
        <v>0.01</v>
      </c>
      <c r="AF266" s="6">
        <v>7.0000000000000001E-3</v>
      </c>
      <c r="AG266" s="6">
        <v>1.875</v>
      </c>
      <c r="AH266" s="6"/>
      <c r="AI266" s="6"/>
      <c r="AK266" s="22">
        <f t="shared" si="107"/>
        <v>0</v>
      </c>
      <c r="AL266">
        <f t="shared" si="130"/>
        <v>398.80000000000035</v>
      </c>
      <c r="AM266" s="4">
        <v>18.22</v>
      </c>
      <c r="AN266">
        <v>12.24</v>
      </c>
      <c r="AP266" s="7">
        <f t="shared" si="128"/>
        <v>0.92800000000000005</v>
      </c>
      <c r="AQ266" s="7">
        <f t="shared" si="108"/>
        <v>1.6879999999999999</v>
      </c>
      <c r="AS266">
        <f t="shared" si="109"/>
        <v>12.24</v>
      </c>
      <c r="AT266">
        <f t="shared" si="110"/>
        <v>12.5</v>
      </c>
      <c r="AU266">
        <f t="shared" si="111"/>
        <v>65.8</v>
      </c>
      <c r="AV266" t="s">
        <v>104</v>
      </c>
      <c r="AW266">
        <f t="shared" si="112"/>
        <v>11.8</v>
      </c>
      <c r="AX266">
        <f t="shared" si="113"/>
        <v>10.199999999999999</v>
      </c>
      <c r="AY266">
        <f t="shared" si="114"/>
        <v>21.8</v>
      </c>
      <c r="AZ266">
        <f t="shared" si="115"/>
        <v>85.4</v>
      </c>
      <c r="BA266" t="s">
        <v>104</v>
      </c>
      <c r="BB266">
        <f t="shared" si="116"/>
        <v>31.6</v>
      </c>
      <c r="BC266">
        <f t="shared" si="117"/>
        <v>11.6</v>
      </c>
      <c r="BD266">
        <f t="shared" si="118"/>
        <v>6.3</v>
      </c>
      <c r="BE266">
        <f t="shared" si="119"/>
        <v>35.5</v>
      </c>
      <c r="BF266" t="s">
        <v>104</v>
      </c>
      <c r="BG266">
        <f t="shared" si="120"/>
        <v>4.2</v>
      </c>
      <c r="BH266">
        <f t="shared" si="121"/>
        <v>9</v>
      </c>
      <c r="BI266">
        <f t="shared" si="122"/>
        <v>0.23</v>
      </c>
      <c r="BJ266">
        <f t="shared" si="123"/>
        <v>1.91</v>
      </c>
      <c r="BK266">
        <f t="shared" si="124"/>
        <v>0</v>
      </c>
      <c r="BL266">
        <f t="shared" si="125"/>
        <v>0</v>
      </c>
      <c r="BM266">
        <f t="shared" si="126"/>
        <v>0.92800000000000005</v>
      </c>
      <c r="BN266">
        <f t="shared" si="127"/>
        <v>1.6879999999999999</v>
      </c>
    </row>
    <row r="267" spans="1:66" x14ac:dyDescent="0.25">
      <c r="A267">
        <v>2024</v>
      </c>
      <c r="B267" s="1">
        <f t="shared" si="129"/>
        <v>45553</v>
      </c>
      <c r="C267" s="2">
        <v>262</v>
      </c>
      <c r="D267">
        <v>70</v>
      </c>
      <c r="E267" s="6">
        <v>12.98</v>
      </c>
      <c r="F267" s="6">
        <v>10.84</v>
      </c>
      <c r="G267" s="6">
        <v>23.44</v>
      </c>
      <c r="H267" s="6">
        <v>5.2220000000000004</v>
      </c>
      <c r="I267" s="6">
        <v>10.81</v>
      </c>
      <c r="J267" s="6">
        <v>11.73</v>
      </c>
      <c r="K267" s="6">
        <v>64.5</v>
      </c>
      <c r="L267" s="6"/>
      <c r="M267" s="6">
        <v>11.38</v>
      </c>
      <c r="N267" s="6">
        <v>10.56</v>
      </c>
      <c r="O267" s="6">
        <v>20.83</v>
      </c>
      <c r="P267" s="6">
        <v>86.8</v>
      </c>
      <c r="Q267" s="6"/>
      <c r="R267" s="6">
        <v>31.61</v>
      </c>
      <c r="S267" s="6">
        <v>12.01</v>
      </c>
      <c r="T267" s="6">
        <v>7.15</v>
      </c>
      <c r="U267" s="6">
        <v>34.28</v>
      </c>
      <c r="V267" s="6"/>
      <c r="W267" s="6">
        <v>5.5069999999999997</v>
      </c>
      <c r="X267" s="6">
        <v>9.6300000000000008</v>
      </c>
      <c r="Y267" s="6">
        <v>0.55700000000000005</v>
      </c>
      <c r="Z267" s="6">
        <v>2.234</v>
      </c>
      <c r="AA267" s="6">
        <v>0</v>
      </c>
      <c r="AB267" s="6">
        <v>1.923</v>
      </c>
      <c r="AC267" s="6">
        <v>22.91</v>
      </c>
      <c r="AD267" s="6">
        <v>5.41</v>
      </c>
      <c r="AE267" s="6">
        <v>0.01</v>
      </c>
      <c r="AF267" s="6">
        <v>7.0000000000000001E-3</v>
      </c>
      <c r="AG267" s="6">
        <v>1.893</v>
      </c>
      <c r="AH267" s="6"/>
      <c r="AI267" s="6"/>
      <c r="AK267" s="22">
        <f t="shared" si="107"/>
        <v>0</v>
      </c>
      <c r="AL267">
        <f t="shared" si="130"/>
        <v>398.80000000000035</v>
      </c>
      <c r="AM267" s="4">
        <v>17.97</v>
      </c>
      <c r="AN267">
        <v>10.81</v>
      </c>
      <c r="AP267" s="7">
        <f t="shared" si="128"/>
        <v>0.84299999999999997</v>
      </c>
      <c r="AQ267" s="7">
        <f t="shared" si="108"/>
        <v>1.6160000000000001</v>
      </c>
      <c r="AS267">
        <f t="shared" si="109"/>
        <v>10.81</v>
      </c>
      <c r="AT267">
        <f t="shared" si="110"/>
        <v>11.7</v>
      </c>
      <c r="AU267">
        <f t="shared" si="111"/>
        <v>64.5</v>
      </c>
      <c r="AV267" t="s">
        <v>104</v>
      </c>
      <c r="AW267">
        <f t="shared" si="112"/>
        <v>11.4</v>
      </c>
      <c r="AX267">
        <f t="shared" si="113"/>
        <v>10.6</v>
      </c>
      <c r="AY267">
        <f t="shared" si="114"/>
        <v>20.8</v>
      </c>
      <c r="AZ267">
        <f t="shared" si="115"/>
        <v>86.8</v>
      </c>
      <c r="BA267" t="s">
        <v>104</v>
      </c>
      <c r="BB267">
        <f t="shared" si="116"/>
        <v>31.6</v>
      </c>
      <c r="BC267">
        <f t="shared" si="117"/>
        <v>12</v>
      </c>
      <c r="BD267">
        <f t="shared" si="118"/>
        <v>7.2</v>
      </c>
      <c r="BE267">
        <f t="shared" si="119"/>
        <v>34.299999999999997</v>
      </c>
      <c r="BF267" t="s">
        <v>104</v>
      </c>
      <c r="BG267">
        <f t="shared" si="120"/>
        <v>5.5</v>
      </c>
      <c r="BH267">
        <f t="shared" si="121"/>
        <v>9.6</v>
      </c>
      <c r="BI267">
        <f t="shared" si="122"/>
        <v>0.56000000000000005</v>
      </c>
      <c r="BJ267">
        <f t="shared" si="123"/>
        <v>2.23</v>
      </c>
      <c r="BK267">
        <f t="shared" si="124"/>
        <v>0</v>
      </c>
      <c r="BL267">
        <f t="shared" si="125"/>
        <v>0</v>
      </c>
      <c r="BM267">
        <f t="shared" si="126"/>
        <v>0.84299999999999997</v>
      </c>
      <c r="BN267">
        <f t="shared" si="127"/>
        <v>1.6160000000000001</v>
      </c>
    </row>
    <row r="268" spans="1:66" x14ac:dyDescent="0.25">
      <c r="A268">
        <v>2024</v>
      </c>
      <c r="B268" s="1">
        <f t="shared" si="129"/>
        <v>45554</v>
      </c>
      <c r="C268" s="2">
        <v>263</v>
      </c>
      <c r="D268">
        <v>70</v>
      </c>
      <c r="E268" s="6">
        <v>12.99</v>
      </c>
      <c r="F268" s="6">
        <v>10.130000000000001</v>
      </c>
      <c r="G268" s="6">
        <v>21.49</v>
      </c>
      <c r="H268" s="6">
        <v>5.3769999999999998</v>
      </c>
      <c r="I268" s="6">
        <v>9.32</v>
      </c>
      <c r="J268" s="6">
        <v>10.6</v>
      </c>
      <c r="K268" s="6">
        <v>71.5</v>
      </c>
      <c r="L268" s="6"/>
      <c r="M268" s="6">
        <v>10.62</v>
      </c>
      <c r="N268" s="6">
        <v>10.34</v>
      </c>
      <c r="O268" s="6">
        <v>19.350000000000001</v>
      </c>
      <c r="P268" s="6">
        <v>91.9</v>
      </c>
      <c r="Q268" s="6"/>
      <c r="R268" s="6">
        <v>29.13</v>
      </c>
      <c r="S268" s="6">
        <v>11.82</v>
      </c>
      <c r="T268" s="6">
        <v>6.343</v>
      </c>
      <c r="U268" s="6">
        <v>38.99</v>
      </c>
      <c r="V268" s="6"/>
      <c r="W268" s="6">
        <v>4.4029999999999996</v>
      </c>
      <c r="X268" s="6">
        <v>9.3699999999999992</v>
      </c>
      <c r="Y268" s="6">
        <v>0.51400000000000001</v>
      </c>
      <c r="Z268" s="6">
        <v>2.234</v>
      </c>
      <c r="AA268" s="6">
        <v>6.2</v>
      </c>
      <c r="AB268" s="6">
        <v>1.881</v>
      </c>
      <c r="AC268" s="6">
        <v>20.99</v>
      </c>
      <c r="AD268" s="6">
        <v>5.5780000000000003</v>
      </c>
      <c r="AE268" s="6">
        <v>0.01</v>
      </c>
      <c r="AF268" s="6">
        <v>7.0000000000000001E-3</v>
      </c>
      <c r="AG268" s="6">
        <v>1.8580000000000001</v>
      </c>
      <c r="AH268" s="6"/>
      <c r="AI268" s="6"/>
      <c r="AK268" s="22">
        <f t="shared" si="107"/>
        <v>6.2</v>
      </c>
      <c r="AL268">
        <f t="shared" si="130"/>
        <v>405.00000000000034</v>
      </c>
      <c r="AM268" s="4">
        <v>17.72</v>
      </c>
      <c r="AN268">
        <v>9.32</v>
      </c>
      <c r="AP268" s="7">
        <f t="shared" si="128"/>
        <v>0.875</v>
      </c>
      <c r="AQ268" s="7">
        <f t="shared" si="108"/>
        <v>1.369</v>
      </c>
      <c r="AS268">
        <f t="shared" si="109"/>
        <v>9.32</v>
      </c>
      <c r="AT268">
        <f t="shared" si="110"/>
        <v>10.6</v>
      </c>
      <c r="AU268">
        <f t="shared" si="111"/>
        <v>71.5</v>
      </c>
      <c r="AV268" t="s">
        <v>104</v>
      </c>
      <c r="AW268">
        <f t="shared" si="112"/>
        <v>10.6</v>
      </c>
      <c r="AX268">
        <f t="shared" si="113"/>
        <v>10.3</v>
      </c>
      <c r="AY268">
        <f t="shared" si="114"/>
        <v>19.399999999999999</v>
      </c>
      <c r="AZ268">
        <f t="shared" si="115"/>
        <v>91.9</v>
      </c>
      <c r="BA268" t="s">
        <v>104</v>
      </c>
      <c r="BB268">
        <f t="shared" si="116"/>
        <v>29.1</v>
      </c>
      <c r="BC268">
        <f t="shared" si="117"/>
        <v>11.8</v>
      </c>
      <c r="BD268">
        <f t="shared" si="118"/>
        <v>6.3</v>
      </c>
      <c r="BE268">
        <f t="shared" si="119"/>
        <v>39</v>
      </c>
      <c r="BF268" t="s">
        <v>104</v>
      </c>
      <c r="BG268">
        <f t="shared" si="120"/>
        <v>4.4000000000000004</v>
      </c>
      <c r="BH268">
        <f t="shared" si="121"/>
        <v>9.4</v>
      </c>
      <c r="BI268">
        <f t="shared" si="122"/>
        <v>0.51</v>
      </c>
      <c r="BJ268">
        <f t="shared" si="123"/>
        <v>2.23</v>
      </c>
      <c r="BK268">
        <f t="shared" si="124"/>
        <v>0</v>
      </c>
      <c r="BL268">
        <f t="shared" si="125"/>
        <v>6.2</v>
      </c>
      <c r="BM268">
        <f t="shared" si="126"/>
        <v>0.875</v>
      </c>
      <c r="BN268">
        <f t="shared" si="127"/>
        <v>1.369</v>
      </c>
    </row>
    <row r="269" spans="1:66" x14ac:dyDescent="0.25">
      <c r="A269">
        <v>2024</v>
      </c>
      <c r="B269" s="1">
        <f t="shared" si="129"/>
        <v>45555</v>
      </c>
      <c r="C269" s="2">
        <v>264</v>
      </c>
      <c r="D269">
        <v>70</v>
      </c>
      <c r="E269" s="6">
        <v>12.97</v>
      </c>
      <c r="F269" s="6">
        <v>4.24</v>
      </c>
      <c r="G269" s="6">
        <v>14.51</v>
      </c>
      <c r="H269" s="6">
        <v>-2.1999999999999999E-2</v>
      </c>
      <c r="I269" s="6">
        <v>7.32</v>
      </c>
      <c r="J269" s="6">
        <v>5.133</v>
      </c>
      <c r="K269" s="6">
        <v>76.099999999999994</v>
      </c>
      <c r="L269" s="6"/>
      <c r="M269" s="6">
        <v>4.5629999999999997</v>
      </c>
      <c r="N269" s="6">
        <v>9.06</v>
      </c>
      <c r="O269" s="6">
        <v>12.3</v>
      </c>
      <c r="P269" s="6">
        <v>92.1</v>
      </c>
      <c r="Q269" s="6"/>
      <c r="R269" s="6">
        <v>19.97</v>
      </c>
      <c r="S269" s="6">
        <v>10.220000000000001</v>
      </c>
      <c r="T269" s="6">
        <v>2.052</v>
      </c>
      <c r="U269" s="6">
        <v>39.39</v>
      </c>
      <c r="V269" s="6"/>
      <c r="W269" s="6">
        <v>0.14299999999999999</v>
      </c>
      <c r="X269" s="6">
        <v>8.39</v>
      </c>
      <c r="Y269" s="6">
        <v>0.73499999999999999</v>
      </c>
      <c r="Z269" s="6">
        <v>2.4470000000000001</v>
      </c>
      <c r="AA269" s="6">
        <v>4.5999999999999996</v>
      </c>
      <c r="AB269" s="6">
        <v>1.841</v>
      </c>
      <c r="AC269" s="6">
        <v>14.27</v>
      </c>
      <c r="AD269" s="6">
        <v>8.7999999999999995E-2</v>
      </c>
      <c r="AE269" s="6">
        <v>0.01</v>
      </c>
      <c r="AF269" s="6">
        <v>6.0000000000000001E-3</v>
      </c>
      <c r="AG269" s="6">
        <v>1.8320000000000001</v>
      </c>
      <c r="AH269" s="6"/>
      <c r="AI269" s="6"/>
      <c r="AK269" s="22">
        <f t="shared" si="107"/>
        <v>4.5999999999999996</v>
      </c>
      <c r="AL269">
        <f t="shared" si="130"/>
        <v>409.60000000000036</v>
      </c>
      <c r="AM269" s="4">
        <v>17.46</v>
      </c>
      <c r="AN269">
        <v>7.31</v>
      </c>
      <c r="AP269" s="7">
        <f t="shared" si="128"/>
        <v>0.56299999999999994</v>
      </c>
      <c r="AQ269" s="7">
        <f t="shared" si="108"/>
        <v>0.86599999999999999</v>
      </c>
      <c r="AS269">
        <f t="shared" si="109"/>
        <v>7.31</v>
      </c>
      <c r="AT269">
        <f t="shared" si="110"/>
        <v>5.0999999999999996</v>
      </c>
      <c r="AU269">
        <f t="shared" si="111"/>
        <v>76.099999999999994</v>
      </c>
      <c r="AV269" t="s">
        <v>104</v>
      </c>
      <c r="AW269">
        <f t="shared" si="112"/>
        <v>4.5999999999999996</v>
      </c>
      <c r="AX269">
        <f t="shared" si="113"/>
        <v>9.1</v>
      </c>
      <c r="AY269">
        <f t="shared" si="114"/>
        <v>12.3</v>
      </c>
      <c r="AZ269">
        <f t="shared" si="115"/>
        <v>92.1</v>
      </c>
      <c r="BA269" t="s">
        <v>104</v>
      </c>
      <c r="BB269">
        <f t="shared" si="116"/>
        <v>20</v>
      </c>
      <c r="BC269">
        <f t="shared" si="117"/>
        <v>10.199999999999999</v>
      </c>
      <c r="BD269">
        <f t="shared" si="118"/>
        <v>2.1</v>
      </c>
      <c r="BE269">
        <f t="shared" si="119"/>
        <v>39.4</v>
      </c>
      <c r="BF269" t="s">
        <v>104</v>
      </c>
      <c r="BG269">
        <f t="shared" si="120"/>
        <v>0.1</v>
      </c>
      <c r="BH269">
        <f t="shared" si="121"/>
        <v>8.4</v>
      </c>
      <c r="BI269">
        <f t="shared" si="122"/>
        <v>0.74</v>
      </c>
      <c r="BJ269">
        <f t="shared" si="123"/>
        <v>2.4500000000000002</v>
      </c>
      <c r="BK269">
        <f t="shared" si="124"/>
        <v>0</v>
      </c>
      <c r="BL269">
        <f t="shared" si="125"/>
        <v>4.5999999999999996</v>
      </c>
      <c r="BM269">
        <f t="shared" si="126"/>
        <v>0.56299999999999994</v>
      </c>
      <c r="BN269">
        <f t="shared" si="127"/>
        <v>0.86599999999999999</v>
      </c>
    </row>
    <row r="270" spans="1:66" x14ac:dyDescent="0.25">
      <c r="A270">
        <v>2024</v>
      </c>
      <c r="B270" s="1">
        <f t="shared" si="129"/>
        <v>45556</v>
      </c>
      <c r="C270" s="2">
        <v>265</v>
      </c>
      <c r="D270">
        <v>70</v>
      </c>
      <c r="E270" s="6">
        <v>12.97</v>
      </c>
      <c r="F270" s="6">
        <v>7.94</v>
      </c>
      <c r="G270" s="6">
        <v>19.940000000000001</v>
      </c>
      <c r="H270" s="6">
        <v>-7.9000000000000001E-2</v>
      </c>
      <c r="I270" s="6">
        <v>12.66</v>
      </c>
      <c r="J270" s="6">
        <v>8.65</v>
      </c>
      <c r="K270" s="6">
        <v>65.33</v>
      </c>
      <c r="L270" s="6"/>
      <c r="M270" s="6">
        <v>8.25</v>
      </c>
      <c r="N270" s="6">
        <v>8.7899999999999991</v>
      </c>
      <c r="O270" s="6">
        <v>17.329999999999998</v>
      </c>
      <c r="P270" s="6">
        <v>88.6</v>
      </c>
      <c r="Q270" s="6"/>
      <c r="R270" s="6">
        <v>26.58</v>
      </c>
      <c r="S270" s="6">
        <v>10.25</v>
      </c>
      <c r="T270" s="6">
        <v>1.7829999999999999</v>
      </c>
      <c r="U270" s="6">
        <v>38.58</v>
      </c>
      <c r="V270" s="6"/>
      <c r="W270" s="6">
        <v>-0.39900000000000002</v>
      </c>
      <c r="X270" s="6">
        <v>7.51</v>
      </c>
      <c r="Y270" s="6">
        <v>0.69399999999999995</v>
      </c>
      <c r="Z270" s="6">
        <v>1.6739999999999999</v>
      </c>
      <c r="AA270" s="6">
        <v>0.2</v>
      </c>
      <c r="AB270" s="6">
        <v>1.931</v>
      </c>
      <c r="AC270" s="6">
        <v>20.64</v>
      </c>
      <c r="AD270" s="6">
        <v>4.7E-2</v>
      </c>
      <c r="AE270" s="6">
        <v>0.01</v>
      </c>
      <c r="AF270" s="6">
        <v>7.0000000000000001E-3</v>
      </c>
      <c r="AG270" s="6">
        <v>1.893</v>
      </c>
      <c r="AH270" s="6"/>
      <c r="AI270" s="6"/>
      <c r="AK270" s="22">
        <f t="shared" si="107"/>
        <v>0.2</v>
      </c>
      <c r="AL270">
        <f t="shared" si="130"/>
        <v>409.80000000000035</v>
      </c>
      <c r="AM270" s="4">
        <v>17.21</v>
      </c>
      <c r="AN270">
        <v>12.65</v>
      </c>
      <c r="AP270" s="7">
        <f t="shared" si="128"/>
        <v>0.76300000000000001</v>
      </c>
      <c r="AQ270" s="7">
        <f t="shared" si="108"/>
        <v>1.2150000000000001</v>
      </c>
      <c r="AS270">
        <f t="shared" si="109"/>
        <v>12.65</v>
      </c>
      <c r="AT270">
        <f t="shared" si="110"/>
        <v>8.6999999999999993</v>
      </c>
      <c r="AU270">
        <f t="shared" si="111"/>
        <v>65.3</v>
      </c>
      <c r="AV270" t="s">
        <v>104</v>
      </c>
      <c r="AW270">
        <f t="shared" si="112"/>
        <v>8.3000000000000007</v>
      </c>
      <c r="AX270">
        <f t="shared" si="113"/>
        <v>8.8000000000000007</v>
      </c>
      <c r="AY270">
        <f t="shared" si="114"/>
        <v>17.3</v>
      </c>
      <c r="AZ270">
        <f t="shared" si="115"/>
        <v>88.6</v>
      </c>
      <c r="BA270" t="s">
        <v>104</v>
      </c>
      <c r="BB270">
        <f t="shared" si="116"/>
        <v>26.6</v>
      </c>
      <c r="BC270">
        <f t="shared" si="117"/>
        <v>10.3</v>
      </c>
      <c r="BD270">
        <f t="shared" si="118"/>
        <v>1.8</v>
      </c>
      <c r="BE270">
        <f t="shared" si="119"/>
        <v>38.6</v>
      </c>
      <c r="BF270" t="s">
        <v>104</v>
      </c>
      <c r="BG270">
        <f t="shared" si="120"/>
        <v>-0.4</v>
      </c>
      <c r="BH270">
        <f t="shared" si="121"/>
        <v>7.5</v>
      </c>
      <c r="BI270">
        <f t="shared" si="122"/>
        <v>0.69</v>
      </c>
      <c r="BJ270">
        <f t="shared" si="123"/>
        <v>1.67</v>
      </c>
      <c r="BK270">
        <f t="shared" si="124"/>
        <v>0</v>
      </c>
      <c r="BL270">
        <f t="shared" si="125"/>
        <v>0.2</v>
      </c>
      <c r="BM270">
        <f t="shared" si="126"/>
        <v>0.76300000000000001</v>
      </c>
      <c r="BN270">
        <f t="shared" si="127"/>
        <v>1.2150000000000001</v>
      </c>
    </row>
    <row r="271" spans="1:66" x14ac:dyDescent="0.25">
      <c r="A271">
        <v>2024</v>
      </c>
      <c r="B271" s="1">
        <f t="shared" si="129"/>
        <v>45557</v>
      </c>
      <c r="C271" s="2">
        <v>266</v>
      </c>
      <c r="D271">
        <v>70</v>
      </c>
      <c r="E271" s="6">
        <v>12.76</v>
      </c>
      <c r="F271" s="6">
        <v>9.8000000000000007</v>
      </c>
      <c r="G271" s="6">
        <v>14.31</v>
      </c>
      <c r="H271" s="6">
        <v>7.03</v>
      </c>
      <c r="I271" s="6">
        <v>5.5629999999999997</v>
      </c>
      <c r="J271" s="6">
        <v>10.63</v>
      </c>
      <c r="K271" s="6">
        <v>78.7</v>
      </c>
      <c r="L271" s="6"/>
      <c r="M271" s="6">
        <v>10.050000000000001</v>
      </c>
      <c r="N271" s="6">
        <v>10.01</v>
      </c>
      <c r="O271" s="6">
        <v>14.72</v>
      </c>
      <c r="P271" s="6">
        <v>89.8</v>
      </c>
      <c r="Q271" s="6"/>
      <c r="R271" s="6">
        <v>16.579999999999998</v>
      </c>
      <c r="S271" s="6">
        <v>10.81</v>
      </c>
      <c r="T271" s="6">
        <v>8.15</v>
      </c>
      <c r="U271" s="6">
        <v>60.91</v>
      </c>
      <c r="V271" s="6"/>
      <c r="W271" s="6">
        <v>6.58</v>
      </c>
      <c r="X271" s="6">
        <v>9.3800000000000008</v>
      </c>
      <c r="Y271" s="6">
        <v>0.92</v>
      </c>
      <c r="Z271" s="6">
        <v>2.3540000000000001</v>
      </c>
      <c r="AA271" s="6">
        <v>1.3</v>
      </c>
      <c r="AB271" s="6">
        <v>1.8680000000000001</v>
      </c>
      <c r="AC271" s="6">
        <v>14.29</v>
      </c>
      <c r="AD271" s="6">
        <v>7.21</v>
      </c>
      <c r="AE271" s="6">
        <v>8.9999999999999993E-3</v>
      </c>
      <c r="AF271" s="6">
        <v>7.0000000000000001E-3</v>
      </c>
      <c r="AG271" s="6">
        <v>1.8380000000000001</v>
      </c>
      <c r="AH271" s="6"/>
      <c r="AI271" s="6"/>
      <c r="AK271" s="22">
        <f t="shared" si="107"/>
        <v>1.3</v>
      </c>
      <c r="AL271">
        <f t="shared" si="130"/>
        <v>411.10000000000036</v>
      </c>
      <c r="AM271" s="4">
        <v>16.96</v>
      </c>
      <c r="AN271">
        <v>5.56</v>
      </c>
      <c r="AP271" s="7">
        <f t="shared" si="128"/>
        <v>1.02</v>
      </c>
      <c r="AQ271" s="7">
        <f t="shared" si="108"/>
        <v>0.65500000000000003</v>
      </c>
      <c r="AS271">
        <f t="shared" si="109"/>
        <v>5.56</v>
      </c>
      <c r="AT271">
        <f t="shared" si="110"/>
        <v>10.6</v>
      </c>
      <c r="AU271">
        <f t="shared" si="111"/>
        <v>78.7</v>
      </c>
      <c r="AV271" t="s">
        <v>104</v>
      </c>
      <c r="AW271">
        <f t="shared" si="112"/>
        <v>10.1</v>
      </c>
      <c r="AX271">
        <f t="shared" si="113"/>
        <v>10</v>
      </c>
      <c r="AY271">
        <f t="shared" si="114"/>
        <v>14.7</v>
      </c>
      <c r="AZ271">
        <f t="shared" si="115"/>
        <v>89.8</v>
      </c>
      <c r="BA271" t="s">
        <v>104</v>
      </c>
      <c r="BB271">
        <f t="shared" si="116"/>
        <v>16.600000000000001</v>
      </c>
      <c r="BC271">
        <f t="shared" si="117"/>
        <v>10.8</v>
      </c>
      <c r="BD271">
        <f t="shared" si="118"/>
        <v>8.1999999999999993</v>
      </c>
      <c r="BE271">
        <f t="shared" si="119"/>
        <v>60.9</v>
      </c>
      <c r="BF271" t="s">
        <v>104</v>
      </c>
      <c r="BG271">
        <f t="shared" si="120"/>
        <v>6.6</v>
      </c>
      <c r="BH271">
        <f t="shared" si="121"/>
        <v>9.4</v>
      </c>
      <c r="BI271">
        <f t="shared" si="122"/>
        <v>0.92</v>
      </c>
      <c r="BJ271">
        <f t="shared" si="123"/>
        <v>2.35</v>
      </c>
      <c r="BK271">
        <f t="shared" si="124"/>
        <v>0</v>
      </c>
      <c r="BL271">
        <f t="shared" si="125"/>
        <v>1.3</v>
      </c>
      <c r="BM271">
        <f t="shared" si="126"/>
        <v>1.02</v>
      </c>
      <c r="BN271">
        <f t="shared" si="127"/>
        <v>0.65500000000000003</v>
      </c>
    </row>
    <row r="272" spans="1:66" x14ac:dyDescent="0.25">
      <c r="A272">
        <v>2024</v>
      </c>
      <c r="B272" s="1">
        <f t="shared" si="129"/>
        <v>45558</v>
      </c>
      <c r="C272" s="2">
        <v>267</v>
      </c>
      <c r="D272">
        <v>70</v>
      </c>
      <c r="E272" s="6">
        <v>13</v>
      </c>
      <c r="F272" s="6">
        <v>13.19</v>
      </c>
      <c r="G272" s="6">
        <v>24.66</v>
      </c>
      <c r="H272" s="6">
        <v>6.9870000000000001</v>
      </c>
      <c r="I272" s="6">
        <v>11.67</v>
      </c>
      <c r="J272" s="6">
        <v>13.75</v>
      </c>
      <c r="K272" s="6">
        <v>70.900000000000006</v>
      </c>
      <c r="L272" s="6"/>
      <c r="M272" s="6">
        <v>13.24</v>
      </c>
      <c r="N272" s="6">
        <v>10.5</v>
      </c>
      <c r="O272" s="6">
        <v>22.15</v>
      </c>
      <c r="P272" s="6">
        <v>88.3</v>
      </c>
      <c r="Q272" s="6"/>
      <c r="R272" s="6">
        <v>31.98</v>
      </c>
      <c r="S272" s="6">
        <v>11.75</v>
      </c>
      <c r="T272" s="6">
        <v>8.2799999999999994</v>
      </c>
      <c r="U272" s="6">
        <v>44.62</v>
      </c>
      <c r="V272" s="6"/>
      <c r="W272" s="6">
        <v>6.4340000000000002</v>
      </c>
      <c r="X272" s="6">
        <v>9.49</v>
      </c>
      <c r="Y272" s="6">
        <v>0.95299999999999996</v>
      </c>
      <c r="Z272" s="6">
        <v>2.74</v>
      </c>
      <c r="AA272" s="6">
        <v>0.2</v>
      </c>
      <c r="AB272" s="6">
        <v>1.913</v>
      </c>
      <c r="AC272" s="6">
        <v>25.14</v>
      </c>
      <c r="AD272" s="6">
        <v>7.21</v>
      </c>
      <c r="AE272" s="6">
        <v>0.01</v>
      </c>
      <c r="AF272" s="6">
        <v>7.0000000000000001E-3</v>
      </c>
      <c r="AG272" s="6">
        <v>1.875</v>
      </c>
      <c r="AH272" s="6"/>
      <c r="AI272" s="6"/>
      <c r="AK272" s="22">
        <f t="shared" si="107"/>
        <v>0.2</v>
      </c>
      <c r="AL272">
        <f t="shared" si="130"/>
        <v>411.30000000000035</v>
      </c>
      <c r="AM272" s="4">
        <v>16.71</v>
      </c>
      <c r="AN272">
        <v>11.67</v>
      </c>
      <c r="AP272" s="7">
        <f t="shared" si="128"/>
        <v>1.19</v>
      </c>
      <c r="AQ272" s="7">
        <f t="shared" si="108"/>
        <v>1.4770000000000001</v>
      </c>
      <c r="AS272">
        <f t="shared" si="109"/>
        <v>11.67</v>
      </c>
      <c r="AT272">
        <f t="shared" si="110"/>
        <v>13.8</v>
      </c>
      <c r="AU272">
        <f t="shared" si="111"/>
        <v>70.900000000000006</v>
      </c>
      <c r="AV272" t="s">
        <v>104</v>
      </c>
      <c r="AW272">
        <f t="shared" si="112"/>
        <v>13.2</v>
      </c>
      <c r="AX272">
        <f t="shared" si="113"/>
        <v>10.5</v>
      </c>
      <c r="AY272">
        <f t="shared" si="114"/>
        <v>22.2</v>
      </c>
      <c r="AZ272">
        <f t="shared" si="115"/>
        <v>88.3</v>
      </c>
      <c r="BA272" t="s">
        <v>104</v>
      </c>
      <c r="BB272">
        <f t="shared" si="116"/>
        <v>32</v>
      </c>
      <c r="BC272">
        <f t="shared" si="117"/>
        <v>11.8</v>
      </c>
      <c r="BD272">
        <f t="shared" si="118"/>
        <v>8.3000000000000007</v>
      </c>
      <c r="BE272">
        <f t="shared" si="119"/>
        <v>44.6</v>
      </c>
      <c r="BF272" t="s">
        <v>104</v>
      </c>
      <c r="BG272">
        <f t="shared" si="120"/>
        <v>6.4</v>
      </c>
      <c r="BH272">
        <f t="shared" si="121"/>
        <v>9.5</v>
      </c>
      <c r="BI272">
        <f t="shared" si="122"/>
        <v>0.95</v>
      </c>
      <c r="BJ272">
        <f t="shared" si="123"/>
        <v>2.74</v>
      </c>
      <c r="BK272">
        <f t="shared" si="124"/>
        <v>0</v>
      </c>
      <c r="BL272">
        <f t="shared" si="125"/>
        <v>0.2</v>
      </c>
      <c r="BM272">
        <f t="shared" si="126"/>
        <v>1.19</v>
      </c>
      <c r="BN272">
        <f t="shared" si="127"/>
        <v>1.4770000000000001</v>
      </c>
    </row>
    <row r="273" spans="1:66" x14ac:dyDescent="0.25">
      <c r="A273">
        <v>2024</v>
      </c>
      <c r="B273" s="1">
        <f t="shared" si="129"/>
        <v>45559</v>
      </c>
      <c r="C273" s="2">
        <v>268</v>
      </c>
      <c r="D273">
        <v>70</v>
      </c>
      <c r="E273" s="6">
        <v>12.94</v>
      </c>
      <c r="F273" s="6">
        <v>16.02</v>
      </c>
      <c r="G273" s="6">
        <v>26.12</v>
      </c>
      <c r="H273" s="6">
        <v>9.01</v>
      </c>
      <c r="I273" s="6">
        <v>9.17</v>
      </c>
      <c r="J273" s="6">
        <v>16.89</v>
      </c>
      <c r="K273" s="6">
        <v>61.15</v>
      </c>
      <c r="L273" s="6"/>
      <c r="M273" s="6">
        <v>16.02</v>
      </c>
      <c r="N273" s="6">
        <v>11.48</v>
      </c>
      <c r="O273" s="6">
        <v>24.64</v>
      </c>
      <c r="P273" s="6">
        <v>84</v>
      </c>
      <c r="Q273" s="6"/>
      <c r="R273" s="6">
        <v>32.61</v>
      </c>
      <c r="S273" s="6">
        <v>12.76</v>
      </c>
      <c r="T273" s="6">
        <v>10.36</v>
      </c>
      <c r="U273" s="6">
        <v>37.840000000000003</v>
      </c>
      <c r="V273" s="6"/>
      <c r="W273" s="6">
        <v>8.5500000000000007</v>
      </c>
      <c r="X273" s="6">
        <v>10.44</v>
      </c>
      <c r="Y273" s="6">
        <v>0.58599999999999997</v>
      </c>
      <c r="Z273" s="6">
        <v>2.02</v>
      </c>
      <c r="AA273" s="6">
        <v>0</v>
      </c>
      <c r="AB273" s="6">
        <v>1.9279999999999999</v>
      </c>
      <c r="AC273" s="6">
        <v>26.33</v>
      </c>
      <c r="AD273" s="6">
        <v>9.2100000000000009</v>
      </c>
      <c r="AE273" s="6">
        <v>0.01</v>
      </c>
      <c r="AF273" s="6">
        <v>7.0000000000000001E-3</v>
      </c>
      <c r="AG273" s="6">
        <v>1.867</v>
      </c>
      <c r="AH273" s="6"/>
      <c r="AI273" s="6"/>
      <c r="AK273" s="22">
        <f t="shared" si="107"/>
        <v>0</v>
      </c>
      <c r="AL273">
        <f t="shared" si="130"/>
        <v>411.30000000000035</v>
      </c>
      <c r="AM273" s="4">
        <v>16.46</v>
      </c>
      <c r="AN273">
        <v>9.16</v>
      </c>
      <c r="AP273" s="7">
        <f t="shared" si="128"/>
        <v>1.173</v>
      </c>
      <c r="AQ273" s="7">
        <f t="shared" si="108"/>
        <v>1.927</v>
      </c>
      <c r="AS273">
        <f t="shared" si="109"/>
        <v>9.16</v>
      </c>
      <c r="AT273">
        <f t="shared" si="110"/>
        <v>16.899999999999999</v>
      </c>
      <c r="AU273">
        <f t="shared" si="111"/>
        <v>61.2</v>
      </c>
      <c r="AV273" t="s">
        <v>104</v>
      </c>
      <c r="AW273">
        <f t="shared" si="112"/>
        <v>16</v>
      </c>
      <c r="AX273">
        <f t="shared" si="113"/>
        <v>11.5</v>
      </c>
      <c r="AY273">
        <f t="shared" si="114"/>
        <v>24.6</v>
      </c>
      <c r="AZ273">
        <f t="shared" si="115"/>
        <v>84</v>
      </c>
      <c r="BA273" t="s">
        <v>104</v>
      </c>
      <c r="BB273">
        <f t="shared" si="116"/>
        <v>32.6</v>
      </c>
      <c r="BC273">
        <f t="shared" si="117"/>
        <v>12.8</v>
      </c>
      <c r="BD273">
        <f t="shared" si="118"/>
        <v>10.4</v>
      </c>
      <c r="BE273">
        <f t="shared" si="119"/>
        <v>37.799999999999997</v>
      </c>
      <c r="BF273" t="s">
        <v>104</v>
      </c>
      <c r="BG273">
        <f t="shared" si="120"/>
        <v>8.6</v>
      </c>
      <c r="BH273">
        <f t="shared" si="121"/>
        <v>10.4</v>
      </c>
      <c r="BI273">
        <f t="shared" si="122"/>
        <v>0.59</v>
      </c>
      <c r="BJ273">
        <f t="shared" si="123"/>
        <v>2.02</v>
      </c>
      <c r="BK273">
        <f t="shared" si="124"/>
        <v>0</v>
      </c>
      <c r="BL273">
        <f t="shared" si="125"/>
        <v>0</v>
      </c>
      <c r="BM273">
        <f t="shared" si="126"/>
        <v>1.173</v>
      </c>
      <c r="BN273">
        <f t="shared" si="127"/>
        <v>1.927</v>
      </c>
    </row>
    <row r="274" spans="1:66" x14ac:dyDescent="0.25">
      <c r="A274">
        <v>2024</v>
      </c>
      <c r="B274" s="1">
        <f t="shared" si="129"/>
        <v>45560</v>
      </c>
      <c r="C274" s="2">
        <v>269</v>
      </c>
      <c r="D274">
        <v>70</v>
      </c>
      <c r="E274" s="6">
        <v>12.81</v>
      </c>
      <c r="F274" s="6">
        <v>12.05</v>
      </c>
      <c r="G274" s="6">
        <v>19.91</v>
      </c>
      <c r="H274" s="6">
        <v>5.66</v>
      </c>
      <c r="I274" s="6">
        <v>4.5339999999999998</v>
      </c>
      <c r="J274" s="6">
        <v>12.42</v>
      </c>
      <c r="K274" s="6">
        <v>78.5</v>
      </c>
      <c r="L274" s="6"/>
      <c r="M274" s="6">
        <v>11.9</v>
      </c>
      <c r="N274" s="6">
        <v>11.99</v>
      </c>
      <c r="O274" s="6">
        <v>18.88</v>
      </c>
      <c r="P274" s="6">
        <v>91.7</v>
      </c>
      <c r="Q274" s="6"/>
      <c r="R274" s="6">
        <v>19.12</v>
      </c>
      <c r="S274" s="6">
        <v>12.88</v>
      </c>
      <c r="T274" s="6">
        <v>6.141</v>
      </c>
      <c r="U274" s="6">
        <v>49.94</v>
      </c>
      <c r="V274" s="6"/>
      <c r="W274" s="6">
        <v>6.173</v>
      </c>
      <c r="X274" s="6">
        <v>10.97</v>
      </c>
      <c r="Y274" s="6">
        <v>0.74199999999999999</v>
      </c>
      <c r="Z274" s="6">
        <v>2.54</v>
      </c>
      <c r="AA274" s="6">
        <v>2.7</v>
      </c>
      <c r="AB274" s="6">
        <v>1.8819999999999999</v>
      </c>
      <c r="AC274" s="6">
        <v>19.739999999999998</v>
      </c>
      <c r="AD274" s="6">
        <v>5.851</v>
      </c>
      <c r="AE274" s="6">
        <v>0.01</v>
      </c>
      <c r="AF274" s="6">
        <v>7.0000000000000001E-3</v>
      </c>
      <c r="AG274" s="6">
        <v>1.86</v>
      </c>
      <c r="AH274" s="6"/>
      <c r="AI274" s="6"/>
      <c r="AK274" s="22">
        <f t="shared" si="107"/>
        <v>2.7</v>
      </c>
      <c r="AL274">
        <f t="shared" si="130"/>
        <v>414.00000000000034</v>
      </c>
      <c r="AM274" s="4">
        <v>16.21</v>
      </c>
      <c r="AN274">
        <v>4.53</v>
      </c>
      <c r="AP274" s="7">
        <f t="shared" si="128"/>
        <v>1.089</v>
      </c>
      <c r="AQ274" s="7">
        <f t="shared" si="108"/>
        <v>1.0920000000000001</v>
      </c>
      <c r="AS274">
        <f t="shared" si="109"/>
        <v>4.53</v>
      </c>
      <c r="AT274">
        <f t="shared" si="110"/>
        <v>12.4</v>
      </c>
      <c r="AU274">
        <f t="shared" si="111"/>
        <v>78.5</v>
      </c>
      <c r="AV274" t="s">
        <v>104</v>
      </c>
      <c r="AW274">
        <f t="shared" si="112"/>
        <v>11.9</v>
      </c>
      <c r="AX274">
        <f t="shared" si="113"/>
        <v>12</v>
      </c>
      <c r="AY274">
        <f t="shared" si="114"/>
        <v>18.899999999999999</v>
      </c>
      <c r="AZ274">
        <f t="shared" si="115"/>
        <v>91.7</v>
      </c>
      <c r="BA274" t="s">
        <v>104</v>
      </c>
      <c r="BB274">
        <f t="shared" si="116"/>
        <v>19.100000000000001</v>
      </c>
      <c r="BC274">
        <f t="shared" si="117"/>
        <v>12.9</v>
      </c>
      <c r="BD274">
        <f t="shared" si="118"/>
        <v>6.1</v>
      </c>
      <c r="BE274">
        <f t="shared" si="119"/>
        <v>49.9</v>
      </c>
      <c r="BF274" t="s">
        <v>104</v>
      </c>
      <c r="BG274">
        <f t="shared" si="120"/>
        <v>6.2</v>
      </c>
      <c r="BH274">
        <f t="shared" si="121"/>
        <v>11</v>
      </c>
      <c r="BI274">
        <f t="shared" si="122"/>
        <v>0.74</v>
      </c>
      <c r="BJ274">
        <f t="shared" si="123"/>
        <v>2.54</v>
      </c>
      <c r="BK274">
        <f t="shared" si="124"/>
        <v>0</v>
      </c>
      <c r="BL274">
        <f t="shared" si="125"/>
        <v>2.7</v>
      </c>
      <c r="BM274">
        <f t="shared" si="126"/>
        <v>1.089</v>
      </c>
      <c r="BN274">
        <f t="shared" si="127"/>
        <v>1.0920000000000001</v>
      </c>
    </row>
    <row r="275" spans="1:66" x14ac:dyDescent="0.25">
      <c r="A275">
        <v>2024</v>
      </c>
      <c r="B275" s="1">
        <f t="shared" si="129"/>
        <v>45561</v>
      </c>
      <c r="C275" s="2">
        <v>270</v>
      </c>
      <c r="D275">
        <v>70</v>
      </c>
      <c r="E275" s="6">
        <v>12.87</v>
      </c>
      <c r="F275" s="6">
        <v>6.8049999999999997</v>
      </c>
      <c r="G275" s="6">
        <v>15.06</v>
      </c>
      <c r="H275" s="6">
        <v>2.9369999999999998</v>
      </c>
      <c r="I275" s="6">
        <v>7.84</v>
      </c>
      <c r="J275" s="6">
        <v>7.23</v>
      </c>
      <c r="K275" s="6">
        <v>70.8</v>
      </c>
      <c r="L275" s="6"/>
      <c r="M275" s="6">
        <v>6.859</v>
      </c>
      <c r="N275" s="6">
        <v>10.3</v>
      </c>
      <c r="O275" s="6">
        <v>13.51</v>
      </c>
      <c r="P275" s="6">
        <v>91.9</v>
      </c>
      <c r="Q275" s="6"/>
      <c r="R275" s="6">
        <v>20.32</v>
      </c>
      <c r="S275" s="6">
        <v>11.27</v>
      </c>
      <c r="T275" s="6">
        <v>4.056</v>
      </c>
      <c r="U275" s="6">
        <v>39.94</v>
      </c>
      <c r="V275" s="6"/>
      <c r="W275" s="6">
        <v>3.262</v>
      </c>
      <c r="X275" s="6">
        <v>9.68</v>
      </c>
      <c r="Y275" s="6">
        <v>0.84499999999999997</v>
      </c>
      <c r="Z275" s="6">
        <v>2.5</v>
      </c>
      <c r="AA275" s="6">
        <v>0.3</v>
      </c>
      <c r="AB275" s="6">
        <v>1.8919999999999999</v>
      </c>
      <c r="AC275" s="6">
        <v>15.26</v>
      </c>
      <c r="AD275" s="6">
        <v>3.1309999999999998</v>
      </c>
      <c r="AE275" s="6">
        <v>0.01</v>
      </c>
      <c r="AF275" s="6">
        <v>7.0000000000000001E-3</v>
      </c>
      <c r="AG275" s="6">
        <v>1.861</v>
      </c>
      <c r="AH275" s="6"/>
      <c r="AI275" s="6"/>
      <c r="AK275" s="22">
        <f t="shared" si="107"/>
        <v>0.3</v>
      </c>
      <c r="AL275">
        <f t="shared" si="130"/>
        <v>414.30000000000035</v>
      </c>
      <c r="AM275" s="4">
        <v>15.96</v>
      </c>
      <c r="AN275">
        <v>7.83</v>
      </c>
      <c r="AP275" s="7">
        <f t="shared" si="128"/>
        <v>0.61799999999999999</v>
      </c>
      <c r="AQ275" s="7">
        <f t="shared" si="108"/>
        <v>0.92900000000000005</v>
      </c>
      <c r="AS275">
        <f t="shared" si="109"/>
        <v>7.83</v>
      </c>
      <c r="AT275">
        <f t="shared" si="110"/>
        <v>7.2</v>
      </c>
      <c r="AU275">
        <f t="shared" si="111"/>
        <v>70.8</v>
      </c>
      <c r="AV275" t="s">
        <v>104</v>
      </c>
      <c r="AW275">
        <f t="shared" si="112"/>
        <v>6.9</v>
      </c>
      <c r="AX275">
        <f t="shared" si="113"/>
        <v>10.3</v>
      </c>
      <c r="AY275">
        <f t="shared" si="114"/>
        <v>13.5</v>
      </c>
      <c r="AZ275">
        <f t="shared" si="115"/>
        <v>91.9</v>
      </c>
      <c r="BA275" t="s">
        <v>104</v>
      </c>
      <c r="BB275">
        <f t="shared" si="116"/>
        <v>20.3</v>
      </c>
      <c r="BC275">
        <f t="shared" si="117"/>
        <v>11.3</v>
      </c>
      <c r="BD275">
        <f t="shared" si="118"/>
        <v>4.0999999999999996</v>
      </c>
      <c r="BE275">
        <f t="shared" si="119"/>
        <v>39.9</v>
      </c>
      <c r="BF275" t="s">
        <v>104</v>
      </c>
      <c r="BG275">
        <f t="shared" si="120"/>
        <v>3.3</v>
      </c>
      <c r="BH275">
        <f t="shared" si="121"/>
        <v>9.6999999999999993</v>
      </c>
      <c r="BI275">
        <f t="shared" si="122"/>
        <v>0.85</v>
      </c>
      <c r="BJ275">
        <f t="shared" si="123"/>
        <v>2.5</v>
      </c>
      <c r="BK275">
        <f t="shared" si="124"/>
        <v>0</v>
      </c>
      <c r="BL275">
        <f t="shared" si="125"/>
        <v>0.3</v>
      </c>
      <c r="BM275">
        <f t="shared" si="126"/>
        <v>0.61799999999999999</v>
      </c>
      <c r="BN275">
        <f t="shared" si="127"/>
        <v>0.92900000000000005</v>
      </c>
    </row>
    <row r="276" spans="1:66" x14ac:dyDescent="0.25">
      <c r="A276">
        <v>2024</v>
      </c>
      <c r="B276" s="1">
        <f t="shared" si="129"/>
        <v>45562</v>
      </c>
      <c r="C276" s="2">
        <v>271</v>
      </c>
      <c r="D276">
        <v>70</v>
      </c>
      <c r="E276" s="6">
        <v>12.96</v>
      </c>
      <c r="F276" s="6">
        <v>8.93</v>
      </c>
      <c r="G276" s="6">
        <v>19.28</v>
      </c>
      <c r="H276" s="6">
        <v>0.95199999999999996</v>
      </c>
      <c r="I276" s="6">
        <v>12.35</v>
      </c>
      <c r="J276" s="6">
        <v>9.51</v>
      </c>
      <c r="K276" s="6">
        <v>58.3</v>
      </c>
      <c r="L276" s="6"/>
      <c r="M276" s="6">
        <v>9.1300000000000008</v>
      </c>
      <c r="N276" s="6">
        <v>9.8699999999999992</v>
      </c>
      <c r="O276" s="6">
        <v>16.600000000000001</v>
      </c>
      <c r="P276" s="6">
        <v>79.400000000000006</v>
      </c>
      <c r="Q276" s="6"/>
      <c r="R276" s="6">
        <v>26.97</v>
      </c>
      <c r="S276" s="6">
        <v>10.45</v>
      </c>
      <c r="T276" s="6">
        <v>2.919</v>
      </c>
      <c r="U276" s="6">
        <v>32.26</v>
      </c>
      <c r="V276" s="6"/>
      <c r="W276" s="6">
        <v>1.4750000000000001</v>
      </c>
      <c r="X276" s="6">
        <v>8.9600000000000009</v>
      </c>
      <c r="Y276" s="6">
        <v>0.98599999999999999</v>
      </c>
      <c r="Z276" s="6">
        <v>3.0070000000000001</v>
      </c>
      <c r="AA276" s="6">
        <v>0.2</v>
      </c>
      <c r="AB276" s="6">
        <v>1.913</v>
      </c>
      <c r="AC276" s="6">
        <v>19.79</v>
      </c>
      <c r="AD276" s="6">
        <v>1.1200000000000001</v>
      </c>
      <c r="AE276" s="6">
        <v>0.01</v>
      </c>
      <c r="AF276" s="6">
        <v>7.0000000000000001E-3</v>
      </c>
      <c r="AG276" s="6">
        <v>1.899</v>
      </c>
      <c r="AH276" s="6"/>
      <c r="AI276" s="6"/>
      <c r="AK276" s="22">
        <f t="shared" si="107"/>
        <v>0.2</v>
      </c>
      <c r="AL276">
        <f t="shared" si="130"/>
        <v>414.50000000000034</v>
      </c>
      <c r="AM276" s="4">
        <v>15.72</v>
      </c>
      <c r="AN276">
        <v>12.33</v>
      </c>
      <c r="AP276" s="7">
        <f t="shared" si="128"/>
        <v>0.60899999999999999</v>
      </c>
      <c r="AQ276" s="7">
        <f t="shared" si="108"/>
        <v>1.2789999999999999</v>
      </c>
      <c r="AS276">
        <f t="shared" si="109"/>
        <v>12.33</v>
      </c>
      <c r="AT276">
        <f t="shared" si="110"/>
        <v>9.5</v>
      </c>
      <c r="AU276">
        <f t="shared" si="111"/>
        <v>58.3</v>
      </c>
      <c r="AV276" t="s">
        <v>104</v>
      </c>
      <c r="AW276">
        <f t="shared" si="112"/>
        <v>9.1</v>
      </c>
      <c r="AX276">
        <f t="shared" si="113"/>
        <v>9.9</v>
      </c>
      <c r="AY276">
        <f t="shared" si="114"/>
        <v>16.600000000000001</v>
      </c>
      <c r="AZ276">
        <f t="shared" si="115"/>
        <v>79.400000000000006</v>
      </c>
      <c r="BA276" t="s">
        <v>104</v>
      </c>
      <c r="BB276">
        <f t="shared" si="116"/>
        <v>27</v>
      </c>
      <c r="BC276">
        <f t="shared" si="117"/>
        <v>10.5</v>
      </c>
      <c r="BD276">
        <f t="shared" si="118"/>
        <v>2.9</v>
      </c>
      <c r="BE276">
        <f t="shared" si="119"/>
        <v>32.299999999999997</v>
      </c>
      <c r="BF276" t="s">
        <v>104</v>
      </c>
      <c r="BG276">
        <f t="shared" si="120"/>
        <v>1.5</v>
      </c>
      <c r="BH276">
        <f t="shared" si="121"/>
        <v>9</v>
      </c>
      <c r="BI276">
        <f t="shared" si="122"/>
        <v>0.99</v>
      </c>
      <c r="BJ276">
        <f t="shared" si="123"/>
        <v>3.01</v>
      </c>
      <c r="BK276">
        <f t="shared" si="124"/>
        <v>0</v>
      </c>
      <c r="BL276">
        <f t="shared" si="125"/>
        <v>0.2</v>
      </c>
      <c r="BM276">
        <f t="shared" si="126"/>
        <v>0.60899999999999999</v>
      </c>
      <c r="BN276">
        <f t="shared" si="127"/>
        <v>1.2789999999999999</v>
      </c>
    </row>
    <row r="277" spans="1:66" x14ac:dyDescent="0.25">
      <c r="A277">
        <v>2024</v>
      </c>
      <c r="B277" s="1">
        <f t="shared" si="129"/>
        <v>45563</v>
      </c>
      <c r="C277" s="2">
        <v>272</v>
      </c>
      <c r="D277">
        <v>70</v>
      </c>
      <c r="E277" s="6">
        <v>12.9</v>
      </c>
      <c r="F277" s="6">
        <v>6.6369999999999996</v>
      </c>
      <c r="G277" s="6">
        <v>15.88</v>
      </c>
      <c r="H277" s="6">
        <v>-0.17499999999999999</v>
      </c>
      <c r="I277" s="6">
        <v>6.8680000000000003</v>
      </c>
      <c r="J277" s="6">
        <v>7.75</v>
      </c>
      <c r="K277" s="6">
        <v>69.930000000000007</v>
      </c>
      <c r="L277" s="6"/>
      <c r="M277" s="6">
        <v>7.27</v>
      </c>
      <c r="N277" s="6">
        <v>9.11</v>
      </c>
      <c r="O277" s="6">
        <v>15.59</v>
      </c>
      <c r="P277" s="6">
        <v>83.5</v>
      </c>
      <c r="Q277" s="6"/>
      <c r="R277" s="6">
        <v>21.05</v>
      </c>
      <c r="S277" s="6">
        <v>9.92</v>
      </c>
      <c r="T277" s="6">
        <v>1.9179999999999999</v>
      </c>
      <c r="U277" s="6">
        <v>44.43</v>
      </c>
      <c r="V277" s="6"/>
      <c r="W277" s="6">
        <v>-0.17399999999999999</v>
      </c>
      <c r="X277" s="6">
        <v>8.18</v>
      </c>
      <c r="Y277" s="6">
        <v>8.4000000000000005E-2</v>
      </c>
      <c r="Z277" s="6">
        <v>1.1000000000000001</v>
      </c>
      <c r="AA277" s="6">
        <v>0.1</v>
      </c>
      <c r="AB277" s="6">
        <v>1.903</v>
      </c>
      <c r="AC277" s="6">
        <v>16.010000000000002</v>
      </c>
      <c r="AD277" s="6">
        <v>-5.7000000000000002E-2</v>
      </c>
      <c r="AE277" s="6">
        <v>0.01</v>
      </c>
      <c r="AF277" s="6">
        <v>7.0000000000000001E-3</v>
      </c>
      <c r="AG277" s="6">
        <v>1.873</v>
      </c>
      <c r="AH277" s="6"/>
      <c r="AI277" s="6"/>
      <c r="AK277" s="22">
        <f t="shared" si="107"/>
        <v>0.1</v>
      </c>
      <c r="AL277">
        <f t="shared" si="130"/>
        <v>414.60000000000036</v>
      </c>
      <c r="AM277" s="4">
        <v>15.46</v>
      </c>
      <c r="AN277">
        <v>6.86</v>
      </c>
      <c r="AP277" s="7">
        <f t="shared" si="128"/>
        <v>0.78700000000000003</v>
      </c>
      <c r="AQ277" s="7">
        <f t="shared" si="108"/>
        <v>0.98399999999999999</v>
      </c>
      <c r="AS277">
        <f t="shared" si="109"/>
        <v>6.86</v>
      </c>
      <c r="AT277">
        <f t="shared" si="110"/>
        <v>7.8</v>
      </c>
      <c r="AU277">
        <f t="shared" si="111"/>
        <v>69.900000000000006</v>
      </c>
      <c r="AV277" t="s">
        <v>104</v>
      </c>
      <c r="AW277">
        <f t="shared" si="112"/>
        <v>7.3</v>
      </c>
      <c r="AX277">
        <f t="shared" si="113"/>
        <v>9.1</v>
      </c>
      <c r="AY277">
        <f t="shared" si="114"/>
        <v>15.6</v>
      </c>
      <c r="AZ277">
        <f t="shared" si="115"/>
        <v>83.5</v>
      </c>
      <c r="BA277" t="s">
        <v>104</v>
      </c>
      <c r="BB277">
        <f t="shared" si="116"/>
        <v>21.1</v>
      </c>
      <c r="BC277">
        <f t="shared" si="117"/>
        <v>9.9</v>
      </c>
      <c r="BD277">
        <f t="shared" si="118"/>
        <v>1.9</v>
      </c>
      <c r="BE277">
        <f t="shared" si="119"/>
        <v>44.4</v>
      </c>
      <c r="BF277" t="s">
        <v>104</v>
      </c>
      <c r="BG277">
        <f t="shared" si="120"/>
        <v>-0.2</v>
      </c>
      <c r="BH277">
        <f t="shared" si="121"/>
        <v>8.1999999999999993</v>
      </c>
      <c r="BI277">
        <f t="shared" si="122"/>
        <v>0.08</v>
      </c>
      <c r="BJ277">
        <f t="shared" si="123"/>
        <v>1.1000000000000001</v>
      </c>
      <c r="BK277">
        <f t="shared" si="124"/>
        <v>0</v>
      </c>
      <c r="BL277">
        <f t="shared" si="125"/>
        <v>0.1</v>
      </c>
      <c r="BM277">
        <f t="shared" si="126"/>
        <v>0.78700000000000003</v>
      </c>
      <c r="BN277">
        <f t="shared" si="127"/>
        <v>0.98399999999999999</v>
      </c>
    </row>
    <row r="278" spans="1:66" x14ac:dyDescent="0.25">
      <c r="A278">
        <v>2024</v>
      </c>
      <c r="B278" s="1">
        <f t="shared" si="129"/>
        <v>45564</v>
      </c>
      <c r="C278" s="2">
        <v>273</v>
      </c>
      <c r="D278">
        <v>70</v>
      </c>
      <c r="E278" s="6">
        <v>12.78</v>
      </c>
      <c r="F278" s="6">
        <v>2.8180000000000001</v>
      </c>
      <c r="G278" s="6">
        <v>6.7130000000000001</v>
      </c>
      <c r="H278" s="6">
        <v>-1.601</v>
      </c>
      <c r="I278" s="6">
        <v>5.1420000000000003</v>
      </c>
      <c r="J278" s="6">
        <v>3.6179999999999999</v>
      </c>
      <c r="K278" s="6">
        <v>76.7</v>
      </c>
      <c r="L278" s="6"/>
      <c r="M278" s="6">
        <v>3.0190000000000001</v>
      </c>
      <c r="N278" s="6">
        <v>8.5</v>
      </c>
      <c r="O278" s="6">
        <v>8.76</v>
      </c>
      <c r="P278" s="6">
        <v>91.6</v>
      </c>
      <c r="Q278" s="6"/>
      <c r="R278" s="6">
        <v>9.1</v>
      </c>
      <c r="S278" s="6">
        <v>9.8000000000000007</v>
      </c>
      <c r="T278" s="6">
        <v>-0.505</v>
      </c>
      <c r="U278" s="6">
        <v>49.57</v>
      </c>
      <c r="V278" s="6"/>
      <c r="W278" s="6">
        <v>-1.2569999999999999</v>
      </c>
      <c r="X278" s="6">
        <v>7.69</v>
      </c>
      <c r="Y278" s="6">
        <v>0.83299999999999996</v>
      </c>
      <c r="Z278" s="6">
        <v>3.2069999999999999</v>
      </c>
      <c r="AA278" s="6">
        <v>0.1</v>
      </c>
      <c r="AB278" s="6">
        <v>1.873</v>
      </c>
      <c r="AC278" s="6">
        <v>6.7770000000000001</v>
      </c>
      <c r="AD278" s="6">
        <v>-1.4259999999999999</v>
      </c>
      <c r="AE278" s="6">
        <v>8.9999999999999993E-3</v>
      </c>
      <c r="AF278" s="6">
        <v>6.0000000000000001E-3</v>
      </c>
      <c r="AG278" s="6">
        <v>1.871</v>
      </c>
      <c r="AH278" s="6"/>
      <c r="AI278" s="6"/>
      <c r="AK278" s="22">
        <f t="shared" si="107"/>
        <v>0.1</v>
      </c>
      <c r="AL278">
        <f t="shared" si="130"/>
        <v>414.70000000000039</v>
      </c>
      <c r="AM278" s="4">
        <v>15.22</v>
      </c>
      <c r="AN278">
        <v>5.13</v>
      </c>
      <c r="AP278" s="7">
        <f t="shared" si="128"/>
        <v>0.56000000000000005</v>
      </c>
      <c r="AQ278" s="7">
        <f t="shared" si="108"/>
        <v>0.56999999999999995</v>
      </c>
      <c r="AS278">
        <f t="shared" si="109"/>
        <v>5.13</v>
      </c>
      <c r="AT278">
        <f t="shared" si="110"/>
        <v>3.6</v>
      </c>
      <c r="AU278">
        <f t="shared" si="111"/>
        <v>76.7</v>
      </c>
      <c r="AV278" t="s">
        <v>104</v>
      </c>
      <c r="AW278">
        <f t="shared" si="112"/>
        <v>3</v>
      </c>
      <c r="AX278">
        <f t="shared" si="113"/>
        <v>8.5</v>
      </c>
      <c r="AY278">
        <f t="shared" si="114"/>
        <v>8.8000000000000007</v>
      </c>
      <c r="AZ278">
        <f t="shared" si="115"/>
        <v>91.6</v>
      </c>
      <c r="BA278" t="s">
        <v>104</v>
      </c>
      <c r="BB278">
        <f t="shared" si="116"/>
        <v>9.1</v>
      </c>
      <c r="BC278">
        <f t="shared" si="117"/>
        <v>9.8000000000000007</v>
      </c>
      <c r="BD278">
        <f t="shared" si="118"/>
        <v>-0.5</v>
      </c>
      <c r="BE278">
        <f t="shared" si="119"/>
        <v>49.6</v>
      </c>
      <c r="BF278" t="s">
        <v>104</v>
      </c>
      <c r="BG278">
        <f t="shared" si="120"/>
        <v>-1.3</v>
      </c>
      <c r="BH278">
        <f t="shared" si="121"/>
        <v>7.7</v>
      </c>
      <c r="BI278">
        <f t="shared" si="122"/>
        <v>0.83</v>
      </c>
      <c r="BJ278">
        <f t="shared" si="123"/>
        <v>3.21</v>
      </c>
      <c r="BK278">
        <f t="shared" si="124"/>
        <v>0</v>
      </c>
      <c r="BL278">
        <f t="shared" si="125"/>
        <v>0.1</v>
      </c>
      <c r="BM278">
        <f t="shared" si="126"/>
        <v>0.56000000000000005</v>
      </c>
      <c r="BN278">
        <f t="shared" si="127"/>
        <v>0.56999999999999995</v>
      </c>
    </row>
    <row r="279" spans="1:66" x14ac:dyDescent="0.25">
      <c r="A279">
        <v>2024</v>
      </c>
      <c r="B279" s="1">
        <f t="shared" si="129"/>
        <v>45565</v>
      </c>
      <c r="C279" s="2">
        <v>274</v>
      </c>
      <c r="D279">
        <v>70</v>
      </c>
      <c r="E279" s="6">
        <v>12.96</v>
      </c>
      <c r="F279" s="6">
        <v>3.6749999999999998</v>
      </c>
      <c r="G279" s="6">
        <v>15.54</v>
      </c>
      <c r="H279" s="6">
        <v>-2.9529999999999998</v>
      </c>
      <c r="I279" s="6">
        <v>10.27</v>
      </c>
      <c r="J279" s="6">
        <v>4.2530000000000001</v>
      </c>
      <c r="K279" s="6">
        <v>73.599999999999994</v>
      </c>
      <c r="L279" s="6"/>
      <c r="M279" s="6">
        <v>3.9039999999999999</v>
      </c>
      <c r="N279" s="6">
        <v>7.43</v>
      </c>
      <c r="O279" s="6">
        <v>11.89</v>
      </c>
      <c r="P279" s="6">
        <v>93.3</v>
      </c>
      <c r="Q279" s="6"/>
      <c r="R279" s="6">
        <v>20.350000000000001</v>
      </c>
      <c r="S279" s="6">
        <v>8.2200000000000006</v>
      </c>
      <c r="T279" s="6">
        <v>-1.4419999999999999</v>
      </c>
      <c r="U279" s="6">
        <v>37.24</v>
      </c>
      <c r="V279" s="6"/>
      <c r="W279" s="6">
        <v>-3.23</v>
      </c>
      <c r="X279" s="6">
        <v>6.1669999999999998</v>
      </c>
      <c r="Y279" s="6">
        <v>0.377</v>
      </c>
      <c r="Z279" s="6">
        <v>1.8740000000000001</v>
      </c>
      <c r="AA279" s="6">
        <v>1.5</v>
      </c>
      <c r="AB279" s="6">
        <v>1.873</v>
      </c>
      <c r="AC279" s="6">
        <v>16.149999999999999</v>
      </c>
      <c r="AD279" s="6">
        <v>-2.8370000000000002</v>
      </c>
      <c r="AE279" s="6">
        <v>0.01</v>
      </c>
      <c r="AF279" s="6">
        <v>7.0000000000000001E-3</v>
      </c>
      <c r="AG279" s="6">
        <v>1.859</v>
      </c>
      <c r="AH279" s="6"/>
      <c r="AI279" s="6"/>
      <c r="AK279" s="22">
        <f t="shared" si="107"/>
        <v>1.5</v>
      </c>
      <c r="AL279">
        <f t="shared" si="130"/>
        <v>416.20000000000039</v>
      </c>
      <c r="AM279" s="4">
        <v>14.97</v>
      </c>
      <c r="AN279">
        <v>10.26</v>
      </c>
      <c r="AP279" s="7">
        <f t="shared" si="128"/>
        <v>0.51800000000000002</v>
      </c>
      <c r="AQ279" s="7">
        <f t="shared" si="108"/>
        <v>0.873</v>
      </c>
      <c r="AS279">
        <f t="shared" si="109"/>
        <v>10.26</v>
      </c>
      <c r="AT279">
        <f t="shared" si="110"/>
        <v>4.3</v>
      </c>
      <c r="AU279">
        <f t="shared" si="111"/>
        <v>73.599999999999994</v>
      </c>
      <c r="AV279" t="s">
        <v>104</v>
      </c>
      <c r="AW279">
        <f t="shared" si="112"/>
        <v>3.9</v>
      </c>
      <c r="AX279">
        <f t="shared" si="113"/>
        <v>7.4</v>
      </c>
      <c r="AY279">
        <f t="shared" si="114"/>
        <v>11.9</v>
      </c>
      <c r="AZ279">
        <f t="shared" si="115"/>
        <v>93.3</v>
      </c>
      <c r="BA279" t="s">
        <v>104</v>
      </c>
      <c r="BB279">
        <f t="shared" si="116"/>
        <v>20.399999999999999</v>
      </c>
      <c r="BC279">
        <f t="shared" si="117"/>
        <v>8.1999999999999993</v>
      </c>
      <c r="BD279">
        <f t="shared" si="118"/>
        <v>-1.4</v>
      </c>
      <c r="BE279">
        <f t="shared" si="119"/>
        <v>37.200000000000003</v>
      </c>
      <c r="BF279" t="s">
        <v>104</v>
      </c>
      <c r="BG279">
        <f t="shared" si="120"/>
        <v>-3.2</v>
      </c>
      <c r="BH279">
        <f t="shared" si="121"/>
        <v>6.2</v>
      </c>
      <c r="BI279">
        <f t="shared" si="122"/>
        <v>0.38</v>
      </c>
      <c r="BJ279">
        <f t="shared" si="123"/>
        <v>1.87</v>
      </c>
      <c r="BK279">
        <f t="shared" si="124"/>
        <v>0</v>
      </c>
      <c r="BL279">
        <f t="shared" si="125"/>
        <v>1.5</v>
      </c>
      <c r="BM279">
        <f t="shared" si="126"/>
        <v>0.51800000000000002</v>
      </c>
      <c r="BN279">
        <f t="shared" si="127"/>
        <v>0.873</v>
      </c>
    </row>
    <row r="280" spans="1:66" x14ac:dyDescent="0.25">
      <c r="A280">
        <v>2024</v>
      </c>
      <c r="B280" s="1">
        <f t="shared" si="129"/>
        <v>45566</v>
      </c>
      <c r="C280" s="2">
        <v>275</v>
      </c>
      <c r="D280">
        <v>70</v>
      </c>
      <c r="E280" s="6">
        <v>12.66</v>
      </c>
      <c r="F280" s="6">
        <v>3.7250000000000001</v>
      </c>
      <c r="G280" s="6">
        <v>7.57</v>
      </c>
      <c r="H280" s="6">
        <v>-0.65700000000000003</v>
      </c>
      <c r="I280" s="6">
        <v>2.355</v>
      </c>
      <c r="J280" s="6">
        <v>4.524</v>
      </c>
      <c r="K280" s="6">
        <v>85.7</v>
      </c>
      <c r="L280" s="6"/>
      <c r="M280" s="6">
        <v>3.9449999999999998</v>
      </c>
      <c r="N280" s="6">
        <v>7.9</v>
      </c>
      <c r="O280" s="6">
        <v>8.15</v>
      </c>
      <c r="P280" s="6">
        <v>92.6</v>
      </c>
      <c r="Q280" s="6"/>
      <c r="R280" s="6">
        <v>7.63</v>
      </c>
      <c r="S280" s="6">
        <v>8.33</v>
      </c>
      <c r="T280" s="6">
        <v>0.57199999999999995</v>
      </c>
      <c r="U280" s="6">
        <v>56.82</v>
      </c>
      <c r="V280" s="6"/>
      <c r="W280" s="6">
        <v>-0.61399999999999999</v>
      </c>
      <c r="X280" s="6">
        <v>7.26</v>
      </c>
      <c r="Y280" s="6">
        <v>0.433</v>
      </c>
      <c r="Z280" s="6">
        <v>1.7</v>
      </c>
      <c r="AA280" s="6">
        <v>0.1</v>
      </c>
      <c r="AB280" s="6">
        <v>2.2120000000000002</v>
      </c>
      <c r="AC280" s="6">
        <v>7.61</v>
      </c>
      <c r="AD280" s="6">
        <v>-0.36799999999999999</v>
      </c>
      <c r="AE280" s="6">
        <v>8.9999999999999993E-3</v>
      </c>
      <c r="AF280" s="6">
        <v>7.0000000000000001E-3</v>
      </c>
      <c r="AG280" s="6">
        <v>2.2069999999999999</v>
      </c>
      <c r="AH280" s="6"/>
      <c r="AI280" s="6"/>
      <c r="AK280" s="22">
        <f t="shared" si="107"/>
        <v>0.1</v>
      </c>
      <c r="AL280">
        <f t="shared" si="130"/>
        <v>416.30000000000041</v>
      </c>
      <c r="AM280" s="4">
        <v>14.74</v>
      </c>
      <c r="AN280">
        <v>2.34</v>
      </c>
      <c r="AP280" s="7">
        <f t="shared" si="128"/>
        <v>0.61599999999999999</v>
      </c>
      <c r="AQ280" s="7">
        <f t="shared" si="108"/>
        <v>0.46800000000000003</v>
      </c>
      <c r="AS280">
        <f t="shared" si="109"/>
        <v>2.34</v>
      </c>
      <c r="AT280">
        <f t="shared" si="110"/>
        <v>4.5</v>
      </c>
      <c r="AU280">
        <f t="shared" si="111"/>
        <v>85.7</v>
      </c>
      <c r="AV280" t="s">
        <v>104</v>
      </c>
      <c r="AW280">
        <f t="shared" si="112"/>
        <v>3.9</v>
      </c>
      <c r="AX280">
        <f t="shared" si="113"/>
        <v>7.9</v>
      </c>
      <c r="AY280">
        <f t="shared" si="114"/>
        <v>8.1999999999999993</v>
      </c>
      <c r="AZ280">
        <f t="shared" si="115"/>
        <v>92.6</v>
      </c>
      <c r="BA280" t="s">
        <v>104</v>
      </c>
      <c r="BB280">
        <f t="shared" si="116"/>
        <v>7.6</v>
      </c>
      <c r="BC280">
        <f t="shared" si="117"/>
        <v>8.3000000000000007</v>
      </c>
      <c r="BD280">
        <f t="shared" si="118"/>
        <v>0.6</v>
      </c>
      <c r="BE280">
        <f t="shared" si="119"/>
        <v>56.8</v>
      </c>
      <c r="BF280" t="s">
        <v>104</v>
      </c>
      <c r="BG280">
        <f t="shared" si="120"/>
        <v>-0.6</v>
      </c>
      <c r="BH280">
        <f t="shared" si="121"/>
        <v>7.3</v>
      </c>
      <c r="BI280">
        <f t="shared" si="122"/>
        <v>0.43</v>
      </c>
      <c r="BJ280">
        <f t="shared" si="123"/>
        <v>1.7</v>
      </c>
      <c r="BK280">
        <f t="shared" si="124"/>
        <v>0</v>
      </c>
      <c r="BL280">
        <f t="shared" si="125"/>
        <v>0.1</v>
      </c>
      <c r="BM280">
        <f t="shared" si="126"/>
        <v>0.61599999999999999</v>
      </c>
      <c r="BN280">
        <f t="shared" si="127"/>
        <v>0.46800000000000003</v>
      </c>
    </row>
    <row r="281" spans="1:66" x14ac:dyDescent="0.25">
      <c r="A281">
        <v>2024</v>
      </c>
      <c r="B281" s="1">
        <f t="shared" si="129"/>
        <v>45567</v>
      </c>
      <c r="C281" s="2">
        <v>276</v>
      </c>
      <c r="D281">
        <v>70</v>
      </c>
      <c r="E281" s="6">
        <v>12.99</v>
      </c>
      <c r="F281" s="6">
        <v>4.5039999999999996</v>
      </c>
      <c r="G281" s="6">
        <v>14.87</v>
      </c>
      <c r="H281" s="6">
        <v>-1.2150000000000001</v>
      </c>
      <c r="I281" s="6">
        <v>9.7200000000000006</v>
      </c>
      <c r="J281" s="6">
        <v>5.3070000000000004</v>
      </c>
      <c r="K281" s="6">
        <v>69.31</v>
      </c>
      <c r="L281" s="6"/>
      <c r="M281" s="6">
        <v>4.5529999999999999</v>
      </c>
      <c r="N281" s="6">
        <v>7.33</v>
      </c>
      <c r="O281" s="6">
        <v>12.83</v>
      </c>
      <c r="P281" s="6">
        <v>93.9</v>
      </c>
      <c r="Q281" s="6"/>
      <c r="R281" s="6">
        <v>20.46</v>
      </c>
      <c r="S281" s="6">
        <v>8.18</v>
      </c>
      <c r="T281" s="6">
        <v>0.16800000000000001</v>
      </c>
      <c r="U281" s="6">
        <v>32.33</v>
      </c>
      <c r="V281" s="6"/>
      <c r="W281" s="6">
        <v>-0.91800000000000004</v>
      </c>
      <c r="X281" s="6">
        <v>6.5270000000000001</v>
      </c>
      <c r="Y281" s="6">
        <v>0.72099999999999997</v>
      </c>
      <c r="Z281" s="6">
        <v>2.367</v>
      </c>
      <c r="AA281" s="6">
        <v>0.1</v>
      </c>
      <c r="AB281" s="6">
        <v>1.865</v>
      </c>
      <c r="AC281" s="6">
        <v>15.28</v>
      </c>
      <c r="AD281" s="6">
        <v>-1.115</v>
      </c>
      <c r="AE281" s="6">
        <v>0.01</v>
      </c>
      <c r="AF281" s="6">
        <v>7.0000000000000001E-3</v>
      </c>
      <c r="AG281" s="6">
        <v>1.8520000000000001</v>
      </c>
      <c r="AH281" s="6"/>
      <c r="AI281" s="6"/>
      <c r="AK281" s="22">
        <f t="shared" si="107"/>
        <v>0.1</v>
      </c>
      <c r="AL281">
        <f t="shared" si="130"/>
        <v>416.40000000000043</v>
      </c>
      <c r="AM281" s="4">
        <v>14.5</v>
      </c>
      <c r="AN281">
        <v>9.7200000000000006</v>
      </c>
      <c r="AP281" s="7">
        <f t="shared" si="128"/>
        <v>0.47899999999999998</v>
      </c>
      <c r="AQ281" s="7">
        <f t="shared" si="108"/>
        <v>1.0029999999999999</v>
      </c>
      <c r="AS281">
        <f t="shared" si="109"/>
        <v>9.7200000000000006</v>
      </c>
      <c r="AT281">
        <f t="shared" si="110"/>
        <v>5.3</v>
      </c>
      <c r="AU281">
        <f t="shared" si="111"/>
        <v>69.3</v>
      </c>
      <c r="AV281" t="s">
        <v>104</v>
      </c>
      <c r="AW281">
        <f t="shared" si="112"/>
        <v>4.5999999999999996</v>
      </c>
      <c r="AX281">
        <f t="shared" si="113"/>
        <v>7.3</v>
      </c>
      <c r="AY281">
        <f t="shared" si="114"/>
        <v>12.8</v>
      </c>
      <c r="AZ281">
        <f t="shared" si="115"/>
        <v>93.9</v>
      </c>
      <c r="BA281" t="s">
        <v>104</v>
      </c>
      <c r="BB281">
        <f t="shared" si="116"/>
        <v>20.5</v>
      </c>
      <c r="BC281">
        <f t="shared" si="117"/>
        <v>8.1999999999999993</v>
      </c>
      <c r="BD281">
        <f t="shared" si="118"/>
        <v>0.2</v>
      </c>
      <c r="BE281">
        <f t="shared" si="119"/>
        <v>32.299999999999997</v>
      </c>
      <c r="BF281" t="s">
        <v>104</v>
      </c>
      <c r="BG281">
        <f t="shared" si="120"/>
        <v>-0.9</v>
      </c>
      <c r="BH281">
        <f t="shared" si="121"/>
        <v>6.5</v>
      </c>
      <c r="BI281">
        <f t="shared" si="122"/>
        <v>0.72</v>
      </c>
      <c r="BJ281">
        <f t="shared" si="123"/>
        <v>2.37</v>
      </c>
      <c r="BK281">
        <f t="shared" si="124"/>
        <v>0</v>
      </c>
      <c r="BL281">
        <f t="shared" si="125"/>
        <v>0.1</v>
      </c>
      <c r="BM281">
        <f t="shared" si="126"/>
        <v>0.47899999999999998</v>
      </c>
      <c r="BN281">
        <f t="shared" si="127"/>
        <v>1.0029999999999999</v>
      </c>
    </row>
    <row r="282" spans="1:66" x14ac:dyDescent="0.25">
      <c r="A282">
        <v>2024</v>
      </c>
      <c r="B282" s="1">
        <f t="shared" si="129"/>
        <v>45568</v>
      </c>
      <c r="C282" s="2">
        <v>277</v>
      </c>
      <c r="D282">
        <v>70</v>
      </c>
      <c r="E282" s="6">
        <v>12.95</v>
      </c>
      <c r="F282" s="6">
        <v>5.3650000000000002</v>
      </c>
      <c r="G282" s="6">
        <v>16.059999999999999</v>
      </c>
      <c r="H282" s="6">
        <v>-1.8220000000000001</v>
      </c>
      <c r="I282" s="6">
        <v>10.32</v>
      </c>
      <c r="J282" s="6">
        <v>6.1630000000000003</v>
      </c>
      <c r="K282" s="6">
        <v>65.87</v>
      </c>
      <c r="L282" s="6"/>
      <c r="M282" s="6">
        <v>5.77</v>
      </c>
      <c r="N282" s="6">
        <v>7.28</v>
      </c>
      <c r="O282" s="6">
        <v>13.77</v>
      </c>
      <c r="P282" s="6">
        <v>90.4</v>
      </c>
      <c r="Q282" s="6"/>
      <c r="R282" s="6">
        <v>21.04</v>
      </c>
      <c r="S282" s="6">
        <v>8.0500000000000007</v>
      </c>
      <c r="T282" s="6">
        <v>-0.23599999999999999</v>
      </c>
      <c r="U282" s="6">
        <v>32.6</v>
      </c>
      <c r="V282" s="6"/>
      <c r="W282" s="6">
        <v>-1.9319999999999999</v>
      </c>
      <c r="X282" s="6">
        <v>6.4729999999999999</v>
      </c>
      <c r="Y282" s="6">
        <v>0.64400000000000002</v>
      </c>
      <c r="Z282" s="6">
        <v>2.0470000000000002</v>
      </c>
      <c r="AA282" s="6">
        <v>0.2</v>
      </c>
      <c r="AB282" s="6">
        <v>1.9079999999999999</v>
      </c>
      <c r="AC282" s="6">
        <v>16.91</v>
      </c>
      <c r="AD282" s="6">
        <v>-1.696</v>
      </c>
      <c r="AE282" s="6">
        <v>0.01</v>
      </c>
      <c r="AF282" s="6">
        <v>7.0000000000000001E-3</v>
      </c>
      <c r="AG282" s="6">
        <v>1.8839999999999999</v>
      </c>
      <c r="AH282" s="6"/>
      <c r="AI282" s="6"/>
      <c r="AK282" s="22">
        <f t="shared" si="107"/>
        <v>0.2</v>
      </c>
      <c r="AL282">
        <f t="shared" si="130"/>
        <v>416.60000000000042</v>
      </c>
      <c r="AM282" s="4">
        <v>14.26</v>
      </c>
      <c r="AN282">
        <v>10.31</v>
      </c>
      <c r="AP282" s="7">
        <f t="shared" si="128"/>
        <v>0.51300000000000001</v>
      </c>
      <c r="AQ282" s="7">
        <f t="shared" si="108"/>
        <v>1.0609999999999999</v>
      </c>
      <c r="AS282">
        <f t="shared" si="109"/>
        <v>10.31</v>
      </c>
      <c r="AT282">
        <f t="shared" si="110"/>
        <v>6.2</v>
      </c>
      <c r="AU282">
        <f t="shared" si="111"/>
        <v>65.900000000000006</v>
      </c>
      <c r="AV282" t="s">
        <v>104</v>
      </c>
      <c r="AW282">
        <f t="shared" si="112"/>
        <v>5.8</v>
      </c>
      <c r="AX282">
        <f t="shared" si="113"/>
        <v>7.3</v>
      </c>
      <c r="AY282">
        <f t="shared" si="114"/>
        <v>13.8</v>
      </c>
      <c r="AZ282">
        <f t="shared" si="115"/>
        <v>90.4</v>
      </c>
      <c r="BA282" t="s">
        <v>104</v>
      </c>
      <c r="BB282">
        <f t="shared" si="116"/>
        <v>21</v>
      </c>
      <c r="BC282">
        <f t="shared" si="117"/>
        <v>8.1</v>
      </c>
      <c r="BD282">
        <f t="shared" si="118"/>
        <v>-0.2</v>
      </c>
      <c r="BE282">
        <f t="shared" si="119"/>
        <v>32.6</v>
      </c>
      <c r="BF282" t="s">
        <v>104</v>
      </c>
      <c r="BG282">
        <f t="shared" si="120"/>
        <v>-1.9</v>
      </c>
      <c r="BH282">
        <f t="shared" si="121"/>
        <v>6.5</v>
      </c>
      <c r="BI282">
        <f t="shared" si="122"/>
        <v>0.64</v>
      </c>
      <c r="BJ282">
        <f t="shared" si="123"/>
        <v>2.0499999999999998</v>
      </c>
      <c r="BK282">
        <f t="shared" si="124"/>
        <v>0</v>
      </c>
      <c r="BL282">
        <f t="shared" si="125"/>
        <v>0.2</v>
      </c>
      <c r="BM282">
        <f t="shared" si="126"/>
        <v>0.51300000000000001</v>
      </c>
      <c r="BN282">
        <f t="shared" si="127"/>
        <v>1.0609999999999999</v>
      </c>
    </row>
    <row r="283" spans="1:66" x14ac:dyDescent="0.25">
      <c r="A283">
        <v>2024</v>
      </c>
      <c r="B283" s="1">
        <f t="shared" si="129"/>
        <v>45569</v>
      </c>
      <c r="C283" s="2">
        <v>278</v>
      </c>
      <c r="D283">
        <v>70</v>
      </c>
      <c r="E283" s="6">
        <v>12.75</v>
      </c>
      <c r="F283" s="6">
        <v>5.6079999999999997</v>
      </c>
      <c r="G283" s="6">
        <v>7.55</v>
      </c>
      <c r="H283" s="6">
        <v>3.206</v>
      </c>
      <c r="I283" s="6">
        <v>2.609</v>
      </c>
      <c r="J283" s="6">
        <v>6.53</v>
      </c>
      <c r="K283" s="6">
        <v>59.35</v>
      </c>
      <c r="L283" s="6"/>
      <c r="M283" s="6">
        <v>5.5449999999999999</v>
      </c>
      <c r="N283" s="6">
        <v>7.6</v>
      </c>
      <c r="O283" s="6">
        <v>8.43</v>
      </c>
      <c r="P283" s="6">
        <v>86.1</v>
      </c>
      <c r="Q283" s="6"/>
      <c r="R283" s="6">
        <v>11.57</v>
      </c>
      <c r="S283" s="6">
        <v>8.43</v>
      </c>
      <c r="T283" s="6">
        <v>4.4589999999999996</v>
      </c>
      <c r="U283" s="6">
        <v>41.7</v>
      </c>
      <c r="V283" s="6"/>
      <c r="W283" s="6">
        <v>2.5619999999999998</v>
      </c>
      <c r="X283" s="6">
        <v>7.18</v>
      </c>
      <c r="Y283" s="6">
        <v>1.1779999999999999</v>
      </c>
      <c r="Z283" s="6">
        <v>2.6869999999999998</v>
      </c>
      <c r="AA283" s="6">
        <v>0</v>
      </c>
      <c r="AB283" s="6">
        <v>2.2480000000000002</v>
      </c>
      <c r="AC283" s="6">
        <v>7.55</v>
      </c>
      <c r="AD283" s="6">
        <v>3.7149999999999999</v>
      </c>
      <c r="AE283" s="6">
        <v>8.9999999999999993E-3</v>
      </c>
      <c r="AF283" s="6">
        <v>7.0000000000000001E-3</v>
      </c>
      <c r="AG283" s="6">
        <v>2.2280000000000002</v>
      </c>
      <c r="AH283" s="6"/>
      <c r="AI283" s="6"/>
      <c r="AK283" s="22">
        <f t="shared" si="107"/>
        <v>0</v>
      </c>
      <c r="AL283">
        <f t="shared" si="130"/>
        <v>416.60000000000042</v>
      </c>
      <c r="AM283" s="4">
        <v>14.02</v>
      </c>
      <c r="AN283">
        <v>2.6</v>
      </c>
      <c r="AP283" s="7">
        <f t="shared" si="128"/>
        <v>0.46</v>
      </c>
      <c r="AQ283" s="7">
        <f t="shared" si="108"/>
        <v>0.64300000000000002</v>
      </c>
      <c r="AS283">
        <f t="shared" si="109"/>
        <v>2.6</v>
      </c>
      <c r="AT283">
        <f t="shared" si="110"/>
        <v>6.5</v>
      </c>
      <c r="AU283">
        <f t="shared" si="111"/>
        <v>59.4</v>
      </c>
      <c r="AV283" t="s">
        <v>104</v>
      </c>
      <c r="AW283">
        <f t="shared" si="112"/>
        <v>5.5</v>
      </c>
      <c r="AX283">
        <f t="shared" si="113"/>
        <v>7.6</v>
      </c>
      <c r="AY283">
        <f t="shared" si="114"/>
        <v>8.4</v>
      </c>
      <c r="AZ283">
        <f t="shared" si="115"/>
        <v>86.1</v>
      </c>
      <c r="BA283" t="s">
        <v>104</v>
      </c>
      <c r="BB283">
        <f t="shared" si="116"/>
        <v>11.6</v>
      </c>
      <c r="BC283">
        <f t="shared" si="117"/>
        <v>8.4</v>
      </c>
      <c r="BD283">
        <f t="shared" si="118"/>
        <v>4.5</v>
      </c>
      <c r="BE283">
        <f t="shared" si="119"/>
        <v>41.7</v>
      </c>
      <c r="BF283" t="s">
        <v>104</v>
      </c>
      <c r="BG283">
        <f t="shared" si="120"/>
        <v>2.6</v>
      </c>
      <c r="BH283">
        <f t="shared" si="121"/>
        <v>7.2</v>
      </c>
      <c r="BI283">
        <f t="shared" si="122"/>
        <v>1.18</v>
      </c>
      <c r="BJ283">
        <f t="shared" si="123"/>
        <v>2.69</v>
      </c>
      <c r="BK283">
        <f t="shared" si="124"/>
        <v>0</v>
      </c>
      <c r="BL283">
        <f t="shared" si="125"/>
        <v>0</v>
      </c>
      <c r="BM283">
        <f t="shared" si="126"/>
        <v>0.46</v>
      </c>
      <c r="BN283">
        <f t="shared" si="127"/>
        <v>0.64300000000000002</v>
      </c>
    </row>
    <row r="284" spans="1:66" x14ac:dyDescent="0.25">
      <c r="A284">
        <v>2024</v>
      </c>
      <c r="B284" s="1">
        <f t="shared" si="129"/>
        <v>45570</v>
      </c>
      <c r="C284" s="2">
        <v>279</v>
      </c>
      <c r="D284">
        <v>70</v>
      </c>
      <c r="E284" s="6">
        <v>12.98</v>
      </c>
      <c r="F284" s="6">
        <v>6.6349999999999998</v>
      </c>
      <c r="G284" s="6">
        <v>16.37</v>
      </c>
      <c r="H284" s="6">
        <v>0.48</v>
      </c>
      <c r="I284" s="6">
        <v>9.99</v>
      </c>
      <c r="J284" s="6">
        <v>7.44</v>
      </c>
      <c r="K284" s="6">
        <v>61.43</v>
      </c>
      <c r="L284" s="6"/>
      <c r="M284" s="6">
        <v>6.8220000000000001</v>
      </c>
      <c r="N284" s="6">
        <v>7.22</v>
      </c>
      <c r="O284" s="6">
        <v>13.84</v>
      </c>
      <c r="P284" s="6">
        <v>85.7</v>
      </c>
      <c r="Q284" s="6"/>
      <c r="R284" s="6">
        <v>21.85</v>
      </c>
      <c r="S284" s="6">
        <v>8.02</v>
      </c>
      <c r="T284" s="6">
        <v>1.774</v>
      </c>
      <c r="U284" s="6">
        <v>34.82</v>
      </c>
      <c r="V284" s="6"/>
      <c r="W284" s="6">
        <v>-0.17699999999999999</v>
      </c>
      <c r="X284" s="6">
        <v>6.3490000000000002</v>
      </c>
      <c r="Y284" s="6">
        <v>0.55800000000000005</v>
      </c>
      <c r="Z284" s="6">
        <v>1.847</v>
      </c>
      <c r="AA284" s="6">
        <v>0.2</v>
      </c>
      <c r="AB284" s="6">
        <v>1.8420000000000001</v>
      </c>
      <c r="AC284" s="6">
        <v>17.21</v>
      </c>
      <c r="AD284" s="6">
        <v>0.747</v>
      </c>
      <c r="AE284" s="6">
        <v>0.01</v>
      </c>
      <c r="AF284" s="6">
        <v>7.0000000000000001E-3</v>
      </c>
      <c r="AG284" s="6">
        <v>1.8140000000000001</v>
      </c>
      <c r="AH284" s="6"/>
      <c r="AI284" s="6"/>
      <c r="AK284" s="22">
        <f t="shared" si="107"/>
        <v>0.2</v>
      </c>
      <c r="AL284">
        <f t="shared" si="130"/>
        <v>416.80000000000041</v>
      </c>
      <c r="AM284" s="4">
        <v>13.79</v>
      </c>
      <c r="AN284">
        <v>9.99</v>
      </c>
      <c r="AP284" s="7">
        <f t="shared" si="128"/>
        <v>0.55100000000000005</v>
      </c>
      <c r="AQ284" s="7">
        <f t="shared" si="108"/>
        <v>1.0309999999999999</v>
      </c>
      <c r="AS284">
        <f t="shared" si="109"/>
        <v>9.99</v>
      </c>
      <c r="AT284">
        <f t="shared" si="110"/>
        <v>7.4</v>
      </c>
      <c r="AU284">
        <f t="shared" si="111"/>
        <v>61.4</v>
      </c>
      <c r="AV284" t="s">
        <v>104</v>
      </c>
      <c r="AW284">
        <f t="shared" si="112"/>
        <v>6.8</v>
      </c>
      <c r="AX284">
        <f t="shared" si="113"/>
        <v>7.2</v>
      </c>
      <c r="AY284">
        <f t="shared" si="114"/>
        <v>13.8</v>
      </c>
      <c r="AZ284">
        <f t="shared" si="115"/>
        <v>85.7</v>
      </c>
      <c r="BA284" t="s">
        <v>104</v>
      </c>
      <c r="BB284">
        <f t="shared" si="116"/>
        <v>21.9</v>
      </c>
      <c r="BC284">
        <f t="shared" si="117"/>
        <v>8</v>
      </c>
      <c r="BD284">
        <f t="shared" si="118"/>
        <v>1.8</v>
      </c>
      <c r="BE284">
        <f t="shared" si="119"/>
        <v>34.799999999999997</v>
      </c>
      <c r="BF284" t="s">
        <v>104</v>
      </c>
      <c r="BG284">
        <f t="shared" si="120"/>
        <v>-0.2</v>
      </c>
      <c r="BH284">
        <f t="shared" si="121"/>
        <v>6.3</v>
      </c>
      <c r="BI284">
        <f t="shared" si="122"/>
        <v>0.56000000000000005</v>
      </c>
      <c r="BJ284">
        <f t="shared" si="123"/>
        <v>1.85</v>
      </c>
      <c r="BK284">
        <f t="shared" si="124"/>
        <v>0</v>
      </c>
      <c r="BL284">
        <f t="shared" si="125"/>
        <v>0.2</v>
      </c>
      <c r="BM284">
        <f t="shared" si="126"/>
        <v>0.55100000000000005</v>
      </c>
      <c r="BN284">
        <f t="shared" si="127"/>
        <v>1.0309999999999999</v>
      </c>
    </row>
    <row r="285" spans="1:66" x14ac:dyDescent="0.25">
      <c r="A285">
        <v>2024</v>
      </c>
      <c r="B285" s="1">
        <f t="shared" si="129"/>
        <v>45571</v>
      </c>
      <c r="C285" s="2">
        <v>280</v>
      </c>
      <c r="D285">
        <v>70</v>
      </c>
      <c r="E285" s="6">
        <v>12.87</v>
      </c>
      <c r="F285" s="6">
        <v>6.9619999999999997</v>
      </c>
      <c r="G285" s="6">
        <v>12.29</v>
      </c>
      <c r="H285" s="6">
        <v>2.9359999999999999</v>
      </c>
      <c r="I285" s="6">
        <v>4.976</v>
      </c>
      <c r="J285" s="6">
        <v>7.88</v>
      </c>
      <c r="K285" s="6">
        <v>65.22</v>
      </c>
      <c r="L285" s="6"/>
      <c r="M285" s="6">
        <v>7.19</v>
      </c>
      <c r="N285" s="6">
        <v>8.06</v>
      </c>
      <c r="O285" s="6">
        <v>14.06</v>
      </c>
      <c r="P285" s="6">
        <v>87.4</v>
      </c>
      <c r="Q285" s="6"/>
      <c r="R285" s="6">
        <v>14.93</v>
      </c>
      <c r="S285" s="6">
        <v>9.18</v>
      </c>
      <c r="T285" s="6">
        <v>4.9969999999999999</v>
      </c>
      <c r="U285" s="6">
        <v>44.44</v>
      </c>
      <c r="V285" s="6"/>
      <c r="W285" s="6">
        <v>2.2589999999999999</v>
      </c>
      <c r="X285" s="6">
        <v>7.54</v>
      </c>
      <c r="Y285" s="6">
        <v>0.36599999999999999</v>
      </c>
      <c r="Z285" s="6">
        <v>1.9</v>
      </c>
      <c r="AA285" s="6">
        <v>0</v>
      </c>
      <c r="AB285" s="6">
        <v>1.9119999999999999</v>
      </c>
      <c r="AC285" s="6">
        <v>12.34</v>
      </c>
      <c r="AD285" s="6">
        <v>3.069</v>
      </c>
      <c r="AE285" s="6">
        <v>0.01</v>
      </c>
      <c r="AF285" s="6">
        <v>7.0000000000000001E-3</v>
      </c>
      <c r="AG285" s="6">
        <v>1.893</v>
      </c>
      <c r="AH285" s="6"/>
      <c r="AI285" s="6"/>
      <c r="AK285" s="22">
        <f t="shared" si="107"/>
        <v>0</v>
      </c>
      <c r="AL285">
        <f t="shared" si="130"/>
        <v>416.80000000000041</v>
      </c>
      <c r="AM285" s="4">
        <v>13.55</v>
      </c>
      <c r="AN285">
        <v>4.97</v>
      </c>
      <c r="AP285" s="7">
        <f t="shared" si="128"/>
        <v>0.71299999999999997</v>
      </c>
      <c r="AQ285" s="7">
        <f t="shared" si="108"/>
        <v>0.89100000000000001</v>
      </c>
      <c r="AS285">
        <f t="shared" si="109"/>
        <v>4.97</v>
      </c>
      <c r="AT285">
        <f t="shared" si="110"/>
        <v>7.9</v>
      </c>
      <c r="AU285">
        <f t="shared" si="111"/>
        <v>65.2</v>
      </c>
      <c r="AV285" t="s">
        <v>104</v>
      </c>
      <c r="AW285">
        <f t="shared" si="112"/>
        <v>7.2</v>
      </c>
      <c r="AX285">
        <f t="shared" si="113"/>
        <v>8.1</v>
      </c>
      <c r="AY285">
        <f t="shared" si="114"/>
        <v>14.1</v>
      </c>
      <c r="AZ285">
        <f t="shared" si="115"/>
        <v>87.4</v>
      </c>
      <c r="BA285" t="s">
        <v>104</v>
      </c>
      <c r="BB285">
        <f t="shared" si="116"/>
        <v>14.9</v>
      </c>
      <c r="BC285">
        <f t="shared" si="117"/>
        <v>9.1999999999999993</v>
      </c>
      <c r="BD285">
        <f t="shared" si="118"/>
        <v>5</v>
      </c>
      <c r="BE285">
        <f t="shared" si="119"/>
        <v>44.4</v>
      </c>
      <c r="BF285" t="s">
        <v>104</v>
      </c>
      <c r="BG285">
        <f t="shared" si="120"/>
        <v>2.2999999999999998</v>
      </c>
      <c r="BH285">
        <f t="shared" si="121"/>
        <v>7.5</v>
      </c>
      <c r="BI285">
        <f t="shared" si="122"/>
        <v>0.37</v>
      </c>
      <c r="BJ285">
        <f t="shared" si="123"/>
        <v>1.9</v>
      </c>
      <c r="BK285">
        <f t="shared" si="124"/>
        <v>0</v>
      </c>
      <c r="BL285">
        <f t="shared" si="125"/>
        <v>0</v>
      </c>
      <c r="BM285">
        <f t="shared" si="126"/>
        <v>0.71299999999999997</v>
      </c>
      <c r="BN285">
        <f t="shared" si="127"/>
        <v>0.89100000000000001</v>
      </c>
    </row>
    <row r="286" spans="1:66" x14ac:dyDescent="0.25">
      <c r="A286">
        <v>2024</v>
      </c>
      <c r="B286" s="1">
        <f t="shared" si="129"/>
        <v>45572</v>
      </c>
      <c r="C286" s="2">
        <v>281</v>
      </c>
      <c r="D286">
        <v>70</v>
      </c>
      <c r="E286" s="6">
        <v>13.02</v>
      </c>
      <c r="F286" s="6">
        <v>10.41</v>
      </c>
      <c r="G286" s="6">
        <v>21.77</v>
      </c>
      <c r="H286" s="6">
        <v>2.2519999999999998</v>
      </c>
      <c r="I286" s="6">
        <v>10.51</v>
      </c>
      <c r="J286" s="6">
        <v>11.64</v>
      </c>
      <c r="K286" s="6">
        <v>50.6</v>
      </c>
      <c r="L286" s="6"/>
      <c r="M286" s="6">
        <v>10.09</v>
      </c>
      <c r="N286" s="6">
        <v>7.8</v>
      </c>
      <c r="O286" s="6">
        <v>19.399999999999999</v>
      </c>
      <c r="P286" s="6">
        <v>74.3</v>
      </c>
      <c r="Q286" s="6"/>
      <c r="R286" s="6">
        <v>27.8</v>
      </c>
      <c r="S286" s="6">
        <v>8.93</v>
      </c>
      <c r="T286" s="6">
        <v>4.1230000000000002</v>
      </c>
      <c r="U286" s="6">
        <v>31.18</v>
      </c>
      <c r="V286" s="6"/>
      <c r="W286" s="6">
        <v>1.736</v>
      </c>
      <c r="X286" s="6">
        <v>6.6970000000000001</v>
      </c>
      <c r="Y286" s="6">
        <v>0.76600000000000001</v>
      </c>
      <c r="Z286" s="6">
        <v>2.0070000000000001</v>
      </c>
      <c r="AA286" s="6">
        <v>0.2</v>
      </c>
      <c r="AB286" s="6">
        <v>1.881</v>
      </c>
      <c r="AC286" s="6">
        <v>22.73</v>
      </c>
      <c r="AD286" s="6">
        <v>2.4449999999999998</v>
      </c>
      <c r="AE286" s="6">
        <v>1.0999999999999999E-2</v>
      </c>
      <c r="AF286" s="6">
        <v>7.0000000000000001E-3</v>
      </c>
      <c r="AG286" s="6">
        <v>1.84</v>
      </c>
      <c r="AH286" s="6"/>
      <c r="AI286" s="6"/>
      <c r="AK286" s="22">
        <f t="shared" si="107"/>
        <v>0.2</v>
      </c>
      <c r="AL286">
        <f t="shared" si="130"/>
        <v>417.0000000000004</v>
      </c>
      <c r="AM286" s="4">
        <v>13.32</v>
      </c>
      <c r="AN286">
        <v>10.51</v>
      </c>
      <c r="AP286" s="7">
        <f t="shared" si="128"/>
        <v>0.70199999999999996</v>
      </c>
      <c r="AQ286" s="7">
        <f t="shared" si="108"/>
        <v>1.5489999999999999</v>
      </c>
      <c r="AS286">
        <f t="shared" si="109"/>
        <v>10.51</v>
      </c>
      <c r="AT286">
        <f t="shared" si="110"/>
        <v>11.6</v>
      </c>
      <c r="AU286">
        <f t="shared" si="111"/>
        <v>50.6</v>
      </c>
      <c r="AV286" t="s">
        <v>104</v>
      </c>
      <c r="AW286">
        <f t="shared" si="112"/>
        <v>10.1</v>
      </c>
      <c r="AX286">
        <f t="shared" si="113"/>
        <v>7.8</v>
      </c>
      <c r="AY286">
        <f t="shared" si="114"/>
        <v>19.399999999999999</v>
      </c>
      <c r="AZ286">
        <f t="shared" si="115"/>
        <v>74.3</v>
      </c>
      <c r="BA286" t="s">
        <v>104</v>
      </c>
      <c r="BB286">
        <f t="shared" si="116"/>
        <v>27.8</v>
      </c>
      <c r="BC286">
        <f t="shared" si="117"/>
        <v>8.9</v>
      </c>
      <c r="BD286">
        <f t="shared" si="118"/>
        <v>4.0999999999999996</v>
      </c>
      <c r="BE286">
        <f t="shared" si="119"/>
        <v>31.2</v>
      </c>
      <c r="BF286" t="s">
        <v>104</v>
      </c>
      <c r="BG286">
        <f t="shared" si="120"/>
        <v>1.7</v>
      </c>
      <c r="BH286">
        <f t="shared" si="121"/>
        <v>6.7</v>
      </c>
      <c r="BI286">
        <f t="shared" si="122"/>
        <v>0.77</v>
      </c>
      <c r="BJ286">
        <f t="shared" si="123"/>
        <v>2.0099999999999998</v>
      </c>
      <c r="BK286">
        <f t="shared" si="124"/>
        <v>0</v>
      </c>
      <c r="BL286">
        <f t="shared" si="125"/>
        <v>0.2</v>
      </c>
      <c r="BM286">
        <f t="shared" si="126"/>
        <v>0.70199999999999996</v>
      </c>
      <c r="BN286">
        <f t="shared" si="127"/>
        <v>1.5489999999999999</v>
      </c>
    </row>
    <row r="287" spans="1:66" x14ac:dyDescent="0.25">
      <c r="A287">
        <v>2024</v>
      </c>
      <c r="B287" s="1">
        <f t="shared" si="129"/>
        <v>45573</v>
      </c>
      <c r="C287" s="2">
        <v>282</v>
      </c>
      <c r="D287">
        <v>70</v>
      </c>
      <c r="E287" s="6">
        <v>12.89</v>
      </c>
      <c r="F287" s="6">
        <v>11.27</v>
      </c>
      <c r="G287" s="6">
        <v>16.72</v>
      </c>
      <c r="H287" s="6">
        <v>7.01</v>
      </c>
      <c r="I287" s="6">
        <v>5.782</v>
      </c>
      <c r="J287" s="6">
        <v>12.15</v>
      </c>
      <c r="K287" s="6">
        <v>55.21</v>
      </c>
      <c r="L287" s="6"/>
      <c r="M287" s="6">
        <v>11.07</v>
      </c>
      <c r="N287" s="6">
        <v>8.59</v>
      </c>
      <c r="O287" s="6">
        <v>17.27</v>
      </c>
      <c r="P287" s="6">
        <v>91.3</v>
      </c>
      <c r="Q287" s="6"/>
      <c r="R287" s="6">
        <v>19.57</v>
      </c>
      <c r="S287" s="6">
        <v>9.19</v>
      </c>
      <c r="T287" s="6">
        <v>7.27</v>
      </c>
      <c r="U287" s="6">
        <v>41.94</v>
      </c>
      <c r="V287" s="6"/>
      <c r="W287" s="6">
        <v>7.18</v>
      </c>
      <c r="X287" s="6">
        <v>8.11</v>
      </c>
      <c r="Y287" s="6">
        <v>1.2090000000000001</v>
      </c>
      <c r="Z287" s="6">
        <v>3.0070000000000001</v>
      </c>
      <c r="AA287" s="6">
        <v>0.1</v>
      </c>
      <c r="AB287" s="6">
        <v>2.0649999999999999</v>
      </c>
      <c r="AC287" s="6">
        <v>16.79</v>
      </c>
      <c r="AD287" s="6">
        <v>7.26</v>
      </c>
      <c r="AE287" s="6">
        <v>0.01</v>
      </c>
      <c r="AF287" s="6">
        <v>7.0000000000000001E-3</v>
      </c>
      <c r="AG287" s="6">
        <v>2.036</v>
      </c>
      <c r="AH287" s="6"/>
      <c r="AI287" s="6"/>
      <c r="AK287" s="22">
        <f t="shared" si="107"/>
        <v>0.1</v>
      </c>
      <c r="AL287">
        <f t="shared" si="130"/>
        <v>417.10000000000042</v>
      </c>
      <c r="AM287" s="4">
        <v>13.09</v>
      </c>
      <c r="AN287">
        <v>5.78</v>
      </c>
      <c r="AP287" s="7">
        <f t="shared" si="128"/>
        <v>0.82599999999999996</v>
      </c>
      <c r="AQ287" s="7">
        <f t="shared" si="108"/>
        <v>1.143</v>
      </c>
      <c r="AS287">
        <f t="shared" si="109"/>
        <v>5.78</v>
      </c>
      <c r="AT287">
        <f t="shared" si="110"/>
        <v>12.2</v>
      </c>
      <c r="AU287">
        <f t="shared" si="111"/>
        <v>55.2</v>
      </c>
      <c r="AV287" t="s">
        <v>104</v>
      </c>
      <c r="AW287">
        <f t="shared" si="112"/>
        <v>11.1</v>
      </c>
      <c r="AX287">
        <f t="shared" si="113"/>
        <v>8.6</v>
      </c>
      <c r="AY287">
        <f t="shared" si="114"/>
        <v>17.3</v>
      </c>
      <c r="AZ287">
        <f t="shared" si="115"/>
        <v>91.3</v>
      </c>
      <c r="BA287" t="s">
        <v>104</v>
      </c>
      <c r="BB287">
        <f t="shared" si="116"/>
        <v>19.600000000000001</v>
      </c>
      <c r="BC287">
        <f t="shared" si="117"/>
        <v>9.1999999999999993</v>
      </c>
      <c r="BD287">
        <f t="shared" si="118"/>
        <v>7.3</v>
      </c>
      <c r="BE287">
        <f t="shared" si="119"/>
        <v>41.9</v>
      </c>
      <c r="BF287" t="s">
        <v>104</v>
      </c>
      <c r="BG287">
        <f t="shared" si="120"/>
        <v>7.2</v>
      </c>
      <c r="BH287">
        <f t="shared" si="121"/>
        <v>8.1</v>
      </c>
      <c r="BI287">
        <f t="shared" si="122"/>
        <v>1.21</v>
      </c>
      <c r="BJ287">
        <f t="shared" si="123"/>
        <v>3.01</v>
      </c>
      <c r="BK287">
        <f t="shared" si="124"/>
        <v>0</v>
      </c>
      <c r="BL287">
        <f t="shared" si="125"/>
        <v>0.1</v>
      </c>
      <c r="BM287">
        <f t="shared" si="126"/>
        <v>0.82599999999999996</v>
      </c>
      <c r="BN287">
        <f t="shared" si="127"/>
        <v>1.143</v>
      </c>
    </row>
    <row r="288" spans="1:66" x14ac:dyDescent="0.25">
      <c r="A288">
        <v>2024</v>
      </c>
      <c r="B288" s="1">
        <f t="shared" si="129"/>
        <v>45574</v>
      </c>
      <c r="C288" s="2">
        <v>283</v>
      </c>
      <c r="D288">
        <v>70</v>
      </c>
      <c r="E288" s="6">
        <v>12.95</v>
      </c>
      <c r="F288" s="6">
        <v>6.6319999999999997</v>
      </c>
      <c r="G288" s="6">
        <v>14.01</v>
      </c>
      <c r="H288" s="6">
        <v>1.9139999999999999</v>
      </c>
      <c r="I288" s="6">
        <v>8.4700000000000006</v>
      </c>
      <c r="J288" s="6">
        <v>7.36</v>
      </c>
      <c r="K288" s="6">
        <v>68.2</v>
      </c>
      <c r="L288" s="6"/>
      <c r="M288" s="6">
        <v>6.5350000000000001</v>
      </c>
      <c r="N288" s="6">
        <v>8.1999999999999993</v>
      </c>
      <c r="O288" s="6">
        <v>12.29</v>
      </c>
      <c r="P288" s="6">
        <v>91.7</v>
      </c>
      <c r="Q288" s="6"/>
      <c r="R288" s="6">
        <v>19.53</v>
      </c>
      <c r="S288" s="6">
        <v>8.8699999999999992</v>
      </c>
      <c r="T288" s="6">
        <v>2.98</v>
      </c>
      <c r="U288" s="6">
        <v>25.47</v>
      </c>
      <c r="V288" s="6"/>
      <c r="W288" s="6">
        <v>0.97099999999999997</v>
      </c>
      <c r="X288" s="6">
        <v>7.22</v>
      </c>
      <c r="Y288" s="6">
        <v>1.002</v>
      </c>
      <c r="Z288" s="6">
        <v>2.54</v>
      </c>
      <c r="AA288" s="6">
        <v>0.1</v>
      </c>
      <c r="AB288" s="6">
        <v>1.9470000000000001</v>
      </c>
      <c r="AC288" s="6">
        <v>14.41</v>
      </c>
      <c r="AD288" s="6">
        <v>2.5070000000000001</v>
      </c>
      <c r="AE288" s="6">
        <v>0.01</v>
      </c>
      <c r="AF288" s="6">
        <v>7.0000000000000001E-3</v>
      </c>
      <c r="AG288" s="6">
        <v>1.9350000000000001</v>
      </c>
      <c r="AH288" s="6"/>
      <c r="AI288" s="6"/>
      <c r="AK288" s="22">
        <f t="shared" si="107"/>
        <v>0.1</v>
      </c>
      <c r="AL288">
        <f t="shared" si="130"/>
        <v>417.20000000000044</v>
      </c>
      <c r="AM288" s="4">
        <v>12.87</v>
      </c>
      <c r="AN288">
        <v>8.4600000000000009</v>
      </c>
      <c r="AP288" s="7">
        <f t="shared" si="128"/>
        <v>0.36399999999999999</v>
      </c>
      <c r="AQ288" s="7">
        <f t="shared" si="108"/>
        <v>1.0649999999999999</v>
      </c>
      <c r="AS288">
        <f t="shared" si="109"/>
        <v>8.4600000000000009</v>
      </c>
      <c r="AT288">
        <f t="shared" si="110"/>
        <v>7.4</v>
      </c>
      <c r="AU288">
        <f t="shared" si="111"/>
        <v>68.2</v>
      </c>
      <c r="AV288" t="s">
        <v>104</v>
      </c>
      <c r="AW288">
        <f t="shared" si="112"/>
        <v>6.5</v>
      </c>
      <c r="AX288">
        <f t="shared" si="113"/>
        <v>8.1999999999999993</v>
      </c>
      <c r="AY288">
        <f t="shared" si="114"/>
        <v>12.3</v>
      </c>
      <c r="AZ288">
        <f t="shared" si="115"/>
        <v>91.7</v>
      </c>
      <c r="BA288" t="s">
        <v>104</v>
      </c>
      <c r="BB288">
        <f t="shared" si="116"/>
        <v>19.5</v>
      </c>
      <c r="BC288">
        <f t="shared" si="117"/>
        <v>8.9</v>
      </c>
      <c r="BD288">
        <f t="shared" si="118"/>
        <v>3</v>
      </c>
      <c r="BE288">
        <f t="shared" si="119"/>
        <v>25.5</v>
      </c>
      <c r="BF288" t="s">
        <v>104</v>
      </c>
      <c r="BG288">
        <f t="shared" si="120"/>
        <v>1</v>
      </c>
      <c r="BH288">
        <f t="shared" si="121"/>
        <v>7.2</v>
      </c>
      <c r="BI288">
        <f t="shared" si="122"/>
        <v>1</v>
      </c>
      <c r="BJ288">
        <f t="shared" si="123"/>
        <v>2.54</v>
      </c>
      <c r="BK288">
        <f t="shared" si="124"/>
        <v>0</v>
      </c>
      <c r="BL288">
        <f t="shared" si="125"/>
        <v>0.1</v>
      </c>
      <c r="BM288">
        <f t="shared" si="126"/>
        <v>0.36399999999999999</v>
      </c>
      <c r="BN288">
        <f t="shared" si="127"/>
        <v>1.0649999999999999</v>
      </c>
    </row>
    <row r="289" spans="1:66" x14ac:dyDescent="0.25">
      <c r="A289">
        <v>2024</v>
      </c>
      <c r="B289" s="1">
        <f t="shared" si="129"/>
        <v>45575</v>
      </c>
      <c r="C289" s="2">
        <v>284</v>
      </c>
      <c r="D289">
        <v>70</v>
      </c>
      <c r="E289" s="6">
        <v>13.01</v>
      </c>
      <c r="F289" s="6">
        <v>1.5269999999999999</v>
      </c>
      <c r="G289" s="6">
        <v>9.74</v>
      </c>
      <c r="H289" s="6">
        <v>-2.4009999999999998</v>
      </c>
      <c r="I289" s="6">
        <v>6.45</v>
      </c>
      <c r="J289" s="6">
        <v>3.1</v>
      </c>
      <c r="K289" s="6">
        <v>72.8</v>
      </c>
      <c r="L289" s="6"/>
      <c r="M289" s="6">
        <v>1.92</v>
      </c>
      <c r="N289" s="6">
        <v>6.58</v>
      </c>
      <c r="O289" s="6">
        <v>9.84</v>
      </c>
      <c r="P289" s="6">
        <v>92.1</v>
      </c>
      <c r="Q289" s="6"/>
      <c r="R289" s="6">
        <v>12.15</v>
      </c>
      <c r="S289" s="6">
        <v>7.54</v>
      </c>
      <c r="T289" s="6">
        <v>-1.0429999999999999</v>
      </c>
      <c r="U289" s="6">
        <v>41.57</v>
      </c>
      <c r="V289" s="6"/>
      <c r="W289" s="6">
        <v>-2.3570000000000002</v>
      </c>
      <c r="X289" s="6">
        <v>5.8630000000000004</v>
      </c>
      <c r="Y289" s="6">
        <v>0.36499999999999999</v>
      </c>
      <c r="Z289" s="6">
        <v>1.714</v>
      </c>
      <c r="AA289" s="6">
        <v>0.1</v>
      </c>
      <c r="AB289" s="6">
        <v>2.2799999999999998</v>
      </c>
      <c r="AC289" s="6">
        <v>9.4</v>
      </c>
      <c r="AD289" s="6">
        <v>-2.298</v>
      </c>
      <c r="AE289" s="6">
        <v>8.9999999999999993E-3</v>
      </c>
      <c r="AF289" s="6">
        <v>7.0000000000000001E-3</v>
      </c>
      <c r="AG289" s="6">
        <v>2.274</v>
      </c>
      <c r="AH289" s="6"/>
      <c r="AI289" s="6"/>
      <c r="AK289" s="22">
        <f t="shared" si="107"/>
        <v>0.1</v>
      </c>
      <c r="AL289">
        <f t="shared" si="130"/>
        <v>417.30000000000047</v>
      </c>
      <c r="AM289" s="4">
        <v>12.64</v>
      </c>
      <c r="AN289">
        <v>6.44</v>
      </c>
      <c r="AP289" s="7">
        <f t="shared" si="128"/>
        <v>0.505</v>
      </c>
      <c r="AQ289" s="7">
        <f t="shared" si="108"/>
        <v>0.71</v>
      </c>
      <c r="AS289">
        <f t="shared" si="109"/>
        <v>6.44</v>
      </c>
      <c r="AT289">
        <f t="shared" si="110"/>
        <v>3.1</v>
      </c>
      <c r="AU289">
        <f t="shared" si="111"/>
        <v>72.8</v>
      </c>
      <c r="AV289" t="s">
        <v>104</v>
      </c>
      <c r="AW289">
        <f t="shared" si="112"/>
        <v>1.9</v>
      </c>
      <c r="AX289">
        <f t="shared" si="113"/>
        <v>6.6</v>
      </c>
      <c r="AY289">
        <f t="shared" si="114"/>
        <v>9.8000000000000007</v>
      </c>
      <c r="AZ289">
        <f t="shared" si="115"/>
        <v>92.1</v>
      </c>
      <c r="BA289" t="s">
        <v>104</v>
      </c>
      <c r="BB289">
        <f t="shared" si="116"/>
        <v>12.2</v>
      </c>
      <c r="BC289">
        <f t="shared" si="117"/>
        <v>7.5</v>
      </c>
      <c r="BD289">
        <f t="shared" si="118"/>
        <v>-1</v>
      </c>
      <c r="BE289">
        <f t="shared" si="119"/>
        <v>41.6</v>
      </c>
      <c r="BF289" t="s">
        <v>104</v>
      </c>
      <c r="BG289">
        <f t="shared" si="120"/>
        <v>-2.4</v>
      </c>
      <c r="BH289">
        <f t="shared" si="121"/>
        <v>5.9</v>
      </c>
      <c r="BI289">
        <f t="shared" si="122"/>
        <v>0.37</v>
      </c>
      <c r="BJ289">
        <f t="shared" si="123"/>
        <v>1.71</v>
      </c>
      <c r="BK289">
        <f t="shared" si="124"/>
        <v>0</v>
      </c>
      <c r="BL289">
        <f t="shared" si="125"/>
        <v>0.1</v>
      </c>
      <c r="BM289">
        <f t="shared" si="126"/>
        <v>0.505</v>
      </c>
      <c r="BN289">
        <f t="shared" si="127"/>
        <v>0.71</v>
      </c>
    </row>
    <row r="290" spans="1:66" x14ac:dyDescent="0.25">
      <c r="A290">
        <v>2024</v>
      </c>
      <c r="B290" s="1">
        <f t="shared" si="129"/>
        <v>45576</v>
      </c>
      <c r="C290" s="2">
        <v>285</v>
      </c>
      <c r="D290">
        <v>70</v>
      </c>
      <c r="E290" s="6">
        <v>13.13</v>
      </c>
      <c r="F290" s="6">
        <v>4.6029999999999998</v>
      </c>
      <c r="G290" s="6">
        <v>15.88</v>
      </c>
      <c r="H290" s="6">
        <v>-1.5029999999999999</v>
      </c>
      <c r="I290" s="6">
        <v>9.2200000000000006</v>
      </c>
      <c r="J290" s="6">
        <v>5.8380000000000001</v>
      </c>
      <c r="K290" s="6">
        <v>63.23</v>
      </c>
      <c r="L290" s="6"/>
      <c r="M290" s="6">
        <v>4.9539999999999997</v>
      </c>
      <c r="N290" s="6">
        <v>5.9989999999999997</v>
      </c>
      <c r="O290" s="6">
        <v>13.51</v>
      </c>
      <c r="P290" s="6">
        <v>82.4</v>
      </c>
      <c r="Q290" s="6"/>
      <c r="R290" s="6">
        <v>21.4</v>
      </c>
      <c r="S290" s="6">
        <v>6.79</v>
      </c>
      <c r="T290" s="6">
        <v>0.37</v>
      </c>
      <c r="U290" s="6">
        <v>37.04</v>
      </c>
      <c r="V290" s="6"/>
      <c r="W290" s="6">
        <v>-1.7230000000000001</v>
      </c>
      <c r="X290" s="6">
        <v>3.3220000000000001</v>
      </c>
      <c r="Y290" s="6">
        <v>0.317</v>
      </c>
      <c r="Z290" s="6">
        <v>1.5269999999999999</v>
      </c>
      <c r="AA290" s="6">
        <v>0.2</v>
      </c>
      <c r="AB290" s="6">
        <v>1.9370000000000001</v>
      </c>
      <c r="AC290" s="6">
        <v>17.28</v>
      </c>
      <c r="AD290" s="6">
        <v>-1.3640000000000001</v>
      </c>
      <c r="AE290" s="6">
        <v>0.01</v>
      </c>
      <c r="AF290" s="6">
        <v>7.0000000000000001E-3</v>
      </c>
      <c r="AG290" s="6">
        <v>1.9159999999999999</v>
      </c>
      <c r="AH290" s="6"/>
      <c r="AI290" s="6"/>
      <c r="AK290" s="22">
        <f t="shared" si="107"/>
        <v>0.2</v>
      </c>
      <c r="AL290">
        <f t="shared" si="130"/>
        <v>417.50000000000045</v>
      </c>
      <c r="AM290" s="4">
        <v>12.42</v>
      </c>
      <c r="AN290">
        <v>9.2100000000000009</v>
      </c>
      <c r="AP290" s="7">
        <f t="shared" si="128"/>
        <v>0.57299999999999995</v>
      </c>
      <c r="AQ290" s="7">
        <f t="shared" si="108"/>
        <v>0.97399999999999998</v>
      </c>
      <c r="AS290">
        <f t="shared" si="109"/>
        <v>9.2100000000000009</v>
      </c>
      <c r="AT290">
        <f t="shared" si="110"/>
        <v>5.8</v>
      </c>
      <c r="AU290">
        <f t="shared" si="111"/>
        <v>63.2</v>
      </c>
      <c r="AV290" t="s">
        <v>104</v>
      </c>
      <c r="AW290">
        <f t="shared" si="112"/>
        <v>5</v>
      </c>
      <c r="AX290">
        <f t="shared" si="113"/>
        <v>6</v>
      </c>
      <c r="AY290">
        <f t="shared" si="114"/>
        <v>13.5</v>
      </c>
      <c r="AZ290">
        <f t="shared" si="115"/>
        <v>82.4</v>
      </c>
      <c r="BA290" t="s">
        <v>104</v>
      </c>
      <c r="BB290">
        <f t="shared" si="116"/>
        <v>21.4</v>
      </c>
      <c r="BC290">
        <f t="shared" si="117"/>
        <v>6.8</v>
      </c>
      <c r="BD290">
        <f t="shared" si="118"/>
        <v>0.4</v>
      </c>
      <c r="BE290">
        <f t="shared" si="119"/>
        <v>37</v>
      </c>
      <c r="BF290" t="s">
        <v>104</v>
      </c>
      <c r="BG290">
        <f t="shared" si="120"/>
        <v>-1.7</v>
      </c>
      <c r="BH290">
        <f t="shared" si="121"/>
        <v>3.3</v>
      </c>
      <c r="BI290">
        <f t="shared" si="122"/>
        <v>0.32</v>
      </c>
      <c r="BJ290">
        <f t="shared" si="123"/>
        <v>1.53</v>
      </c>
      <c r="BK290">
        <f t="shared" si="124"/>
        <v>0</v>
      </c>
      <c r="BL290">
        <f t="shared" si="125"/>
        <v>0.2</v>
      </c>
      <c r="BM290">
        <f t="shared" si="126"/>
        <v>0.57299999999999995</v>
      </c>
      <c r="BN290">
        <f t="shared" si="127"/>
        <v>0.97399999999999998</v>
      </c>
    </row>
    <row r="291" spans="1:66" x14ac:dyDescent="0.25">
      <c r="A291">
        <v>2024</v>
      </c>
      <c r="B291" s="1">
        <f t="shared" si="129"/>
        <v>45577</v>
      </c>
      <c r="C291" s="2">
        <v>286</v>
      </c>
      <c r="D291">
        <v>70</v>
      </c>
      <c r="E291" s="6">
        <v>13.08</v>
      </c>
      <c r="F291" s="6">
        <v>8.6199999999999992</v>
      </c>
      <c r="G291" s="6">
        <v>20.43</v>
      </c>
      <c r="H291" s="6">
        <v>2.3450000000000002</v>
      </c>
      <c r="I291" s="6">
        <v>9.39</v>
      </c>
      <c r="J291" s="6">
        <v>10.050000000000001</v>
      </c>
      <c r="K291" s="6">
        <v>51.76</v>
      </c>
      <c r="L291">
        <v>9.5399999999999991</v>
      </c>
      <c r="M291">
        <v>8.57</v>
      </c>
      <c r="N291">
        <v>6.7309999999999999</v>
      </c>
      <c r="O291">
        <v>18.54</v>
      </c>
      <c r="P291">
        <v>69.61</v>
      </c>
      <c r="Q291">
        <v>18.5</v>
      </c>
      <c r="R291">
        <v>25.53</v>
      </c>
      <c r="S291">
        <v>7.47</v>
      </c>
      <c r="T291">
        <v>3.9209999999999998</v>
      </c>
      <c r="U291">
        <v>31.05</v>
      </c>
      <c r="V291">
        <v>3.2570000000000001</v>
      </c>
      <c r="W291" s="6">
        <v>1.895</v>
      </c>
      <c r="X291" s="6">
        <v>5.8289999999999997</v>
      </c>
      <c r="Y291" s="6">
        <v>0.623</v>
      </c>
      <c r="Z291" s="6">
        <v>1.7</v>
      </c>
      <c r="AA291" s="6">
        <v>0</v>
      </c>
      <c r="AB291" s="6">
        <v>1.9470000000000001</v>
      </c>
      <c r="AC291" s="6">
        <v>21.31</v>
      </c>
      <c r="AD291" s="6">
        <v>2.569</v>
      </c>
      <c r="AE291" s="6">
        <v>0.01</v>
      </c>
      <c r="AF291" s="6">
        <v>7.0000000000000001E-3</v>
      </c>
      <c r="AG291" s="6">
        <v>1.911</v>
      </c>
      <c r="AH291" s="6"/>
      <c r="AI291" s="6"/>
      <c r="AK291" s="22">
        <f t="shared" si="107"/>
        <v>0</v>
      </c>
      <c r="AL291">
        <f t="shared" si="130"/>
        <v>417.50000000000045</v>
      </c>
      <c r="AM291" s="4">
        <v>12.19</v>
      </c>
      <c r="AN291">
        <v>9.3699999999999992</v>
      </c>
      <c r="AP291" s="7">
        <f t="shared" si="128"/>
        <v>0.66300000000000003</v>
      </c>
      <c r="AQ291" s="7">
        <f t="shared" si="108"/>
        <v>1.472</v>
      </c>
      <c r="AS291">
        <f t="shared" si="109"/>
        <v>9.3699999999999992</v>
      </c>
      <c r="AT291">
        <f t="shared" si="110"/>
        <v>10.1</v>
      </c>
      <c r="AU291">
        <f t="shared" si="111"/>
        <v>51.8</v>
      </c>
      <c r="AV291" t="s">
        <v>104</v>
      </c>
      <c r="AW291">
        <f t="shared" si="112"/>
        <v>8.6</v>
      </c>
      <c r="AX291">
        <f t="shared" si="113"/>
        <v>6.7</v>
      </c>
      <c r="AY291">
        <f t="shared" si="114"/>
        <v>18.5</v>
      </c>
      <c r="AZ291">
        <f t="shared" si="115"/>
        <v>69.599999999999994</v>
      </c>
      <c r="BA291" t="s">
        <v>104</v>
      </c>
      <c r="BB291">
        <f t="shared" si="116"/>
        <v>25.5</v>
      </c>
      <c r="BC291">
        <f t="shared" si="117"/>
        <v>7.5</v>
      </c>
      <c r="BD291">
        <f t="shared" si="118"/>
        <v>3.9</v>
      </c>
      <c r="BE291">
        <f t="shared" si="119"/>
        <v>31.1</v>
      </c>
      <c r="BF291" t="s">
        <v>104</v>
      </c>
      <c r="BG291">
        <f t="shared" si="120"/>
        <v>1.9</v>
      </c>
      <c r="BH291">
        <f t="shared" si="121"/>
        <v>5.8</v>
      </c>
      <c r="BI291">
        <f t="shared" si="122"/>
        <v>0.62</v>
      </c>
      <c r="BJ291">
        <f t="shared" si="123"/>
        <v>1.7</v>
      </c>
      <c r="BK291">
        <f t="shared" si="124"/>
        <v>0</v>
      </c>
      <c r="BL291">
        <f t="shared" si="125"/>
        <v>0</v>
      </c>
      <c r="BM291">
        <f t="shared" si="126"/>
        <v>0.66300000000000003</v>
      </c>
      <c r="BN291">
        <f t="shared" si="127"/>
        <v>1.472</v>
      </c>
    </row>
    <row r="292" spans="1:66" x14ac:dyDescent="0.25">
      <c r="A292">
        <v>2024</v>
      </c>
      <c r="B292" s="1">
        <f t="shared" si="129"/>
        <v>45578</v>
      </c>
      <c r="C292" s="2">
        <v>287</v>
      </c>
      <c r="D292">
        <v>70</v>
      </c>
      <c r="E292" s="6">
        <v>13.12</v>
      </c>
      <c r="F292" s="6">
        <v>11.1</v>
      </c>
      <c r="G292" s="6">
        <v>22.56</v>
      </c>
      <c r="H292" s="6">
        <v>4.8440000000000003</v>
      </c>
      <c r="I292" s="6">
        <v>8.8000000000000007</v>
      </c>
      <c r="J292" s="6">
        <v>12.6</v>
      </c>
      <c r="K292" s="6">
        <v>44.83</v>
      </c>
      <c r="L292">
        <v>12.18</v>
      </c>
      <c r="M292">
        <v>10.81</v>
      </c>
      <c r="N292">
        <v>7.21</v>
      </c>
      <c r="O292">
        <v>20.41</v>
      </c>
      <c r="P292">
        <v>59.66</v>
      </c>
      <c r="Q292">
        <v>21.73</v>
      </c>
      <c r="R292">
        <v>26.71</v>
      </c>
      <c r="S292">
        <v>8.06</v>
      </c>
      <c r="T292">
        <v>6.9480000000000004</v>
      </c>
      <c r="U292">
        <v>25.13</v>
      </c>
      <c r="V292">
        <v>6.6689999999999996</v>
      </c>
      <c r="W292" s="6">
        <v>3.9009999999999998</v>
      </c>
      <c r="X292" s="6">
        <v>6.3410000000000002</v>
      </c>
      <c r="Y292" s="6">
        <v>0.46100000000000002</v>
      </c>
      <c r="Z292" s="6">
        <v>2.02</v>
      </c>
      <c r="AA292" s="6">
        <v>0</v>
      </c>
      <c r="AB292" s="6">
        <v>1.9419999999999999</v>
      </c>
      <c r="AC292" s="6">
        <v>23.55</v>
      </c>
      <c r="AD292" s="6">
        <v>4.9909999999999997</v>
      </c>
      <c r="AE292" s="6">
        <v>0.01</v>
      </c>
      <c r="AF292" s="6">
        <v>7.0000000000000001E-3</v>
      </c>
      <c r="AG292" s="6">
        <v>1.9059999999999999</v>
      </c>
      <c r="AH292" s="6"/>
      <c r="AI292" s="6"/>
      <c r="AK292" s="22">
        <f t="shared" si="107"/>
        <v>0</v>
      </c>
      <c r="AL292">
        <f t="shared" si="130"/>
        <v>417.50000000000045</v>
      </c>
      <c r="AM292" s="4">
        <v>11.97</v>
      </c>
      <c r="AN292">
        <v>8.7899999999999991</v>
      </c>
      <c r="AP292" s="7">
        <f t="shared" si="128"/>
        <v>0.60299999999999998</v>
      </c>
      <c r="AQ292" s="7">
        <f t="shared" si="108"/>
        <v>1.7969999999999999</v>
      </c>
      <c r="AS292">
        <f t="shared" si="109"/>
        <v>8.7899999999999991</v>
      </c>
      <c r="AT292">
        <f t="shared" si="110"/>
        <v>12.6</v>
      </c>
      <c r="AU292">
        <f t="shared" si="111"/>
        <v>44.8</v>
      </c>
      <c r="AV292">
        <f t="shared" ref="AV292:AV304" si="131">ROUND(L292,1)</f>
        <v>12.2</v>
      </c>
      <c r="AW292">
        <f t="shared" si="112"/>
        <v>10.8</v>
      </c>
      <c r="AX292">
        <f t="shared" si="113"/>
        <v>7.2</v>
      </c>
      <c r="AY292">
        <f t="shared" si="114"/>
        <v>20.399999999999999</v>
      </c>
      <c r="AZ292">
        <f t="shared" si="115"/>
        <v>59.7</v>
      </c>
      <c r="BA292">
        <f t="shared" ref="BA292:BA304" si="132">ROUND(Q292,1)</f>
        <v>21.7</v>
      </c>
      <c r="BB292">
        <f t="shared" si="116"/>
        <v>26.7</v>
      </c>
      <c r="BC292">
        <f t="shared" si="117"/>
        <v>8.1</v>
      </c>
      <c r="BD292">
        <f t="shared" si="118"/>
        <v>6.9</v>
      </c>
      <c r="BE292">
        <f t="shared" si="119"/>
        <v>25.1</v>
      </c>
      <c r="BF292">
        <f t="shared" ref="BF292:BF304" si="133">ROUND(V292,1)</f>
        <v>6.7</v>
      </c>
      <c r="BG292">
        <f t="shared" si="120"/>
        <v>3.9</v>
      </c>
      <c r="BH292">
        <f t="shared" si="121"/>
        <v>6.3</v>
      </c>
      <c r="BI292">
        <f t="shared" si="122"/>
        <v>0.46</v>
      </c>
      <c r="BJ292">
        <f t="shared" si="123"/>
        <v>2.02</v>
      </c>
      <c r="BK292">
        <f t="shared" si="124"/>
        <v>0</v>
      </c>
      <c r="BL292">
        <f t="shared" si="125"/>
        <v>0</v>
      </c>
      <c r="BM292">
        <f t="shared" si="126"/>
        <v>0.60299999999999998</v>
      </c>
      <c r="BN292">
        <f t="shared" si="127"/>
        <v>1.7969999999999999</v>
      </c>
    </row>
    <row r="293" spans="1:66" x14ac:dyDescent="0.25">
      <c r="A293">
        <v>2024</v>
      </c>
      <c r="B293" s="1">
        <f t="shared" si="129"/>
        <v>45579</v>
      </c>
      <c r="C293" s="2">
        <v>288</v>
      </c>
      <c r="D293">
        <v>70</v>
      </c>
      <c r="E293" s="6">
        <v>13.02</v>
      </c>
      <c r="F293" s="6">
        <v>10.119999999999999</v>
      </c>
      <c r="G293" s="6">
        <v>16.87</v>
      </c>
      <c r="H293" s="6">
        <v>6.0780000000000003</v>
      </c>
      <c r="I293" s="6">
        <v>3.4089999999999998</v>
      </c>
      <c r="J293" s="6">
        <v>11.25</v>
      </c>
      <c r="K293" s="6">
        <v>62.15</v>
      </c>
      <c r="L293">
        <v>10.88</v>
      </c>
      <c r="M293">
        <v>10.07</v>
      </c>
      <c r="N293">
        <v>7.78</v>
      </c>
      <c r="O293">
        <v>18.21</v>
      </c>
      <c r="P293">
        <v>92</v>
      </c>
      <c r="Q293">
        <v>20.67</v>
      </c>
      <c r="R293">
        <v>21.59</v>
      </c>
      <c r="S293">
        <v>9.1999999999999993</v>
      </c>
      <c r="T293">
        <v>7.01</v>
      </c>
      <c r="U293">
        <v>35.36</v>
      </c>
      <c r="V293">
        <v>6.7450000000000001</v>
      </c>
      <c r="W293" s="6">
        <v>5.5129999999999999</v>
      </c>
      <c r="X293" s="6">
        <v>7.16</v>
      </c>
      <c r="Y293" s="6">
        <v>0.58699999999999997</v>
      </c>
      <c r="Z293" s="6">
        <v>1.954</v>
      </c>
      <c r="AA293" s="6">
        <v>1.3</v>
      </c>
      <c r="AB293" s="6">
        <v>1.901</v>
      </c>
      <c r="AC293" s="6">
        <v>16.91</v>
      </c>
      <c r="AD293" s="6">
        <v>6.2919999999999998</v>
      </c>
      <c r="AE293" s="6">
        <v>0.01</v>
      </c>
      <c r="AF293" s="6">
        <v>7.0000000000000001E-3</v>
      </c>
      <c r="AG293" s="6">
        <v>1.8720000000000001</v>
      </c>
      <c r="AH293" s="6"/>
      <c r="AI293" s="6"/>
      <c r="AK293" s="22">
        <f t="shared" si="107"/>
        <v>1.3</v>
      </c>
      <c r="AL293">
        <f t="shared" si="130"/>
        <v>418.80000000000047</v>
      </c>
      <c r="AM293" s="4">
        <v>11.76</v>
      </c>
      <c r="AN293">
        <v>3.4</v>
      </c>
      <c r="AP293" s="7">
        <f t="shared" si="128"/>
        <v>0.73899999999999999</v>
      </c>
      <c r="AQ293" s="7">
        <f t="shared" si="108"/>
        <v>1.351</v>
      </c>
      <c r="AS293">
        <f t="shared" si="109"/>
        <v>3.4</v>
      </c>
      <c r="AT293">
        <f t="shared" si="110"/>
        <v>11.3</v>
      </c>
      <c r="AU293">
        <f t="shared" si="111"/>
        <v>62.2</v>
      </c>
      <c r="AV293">
        <f t="shared" si="131"/>
        <v>10.9</v>
      </c>
      <c r="AW293">
        <f t="shared" si="112"/>
        <v>10.1</v>
      </c>
      <c r="AX293">
        <f t="shared" si="113"/>
        <v>7.8</v>
      </c>
      <c r="AY293">
        <f t="shared" si="114"/>
        <v>18.2</v>
      </c>
      <c r="AZ293">
        <f t="shared" si="115"/>
        <v>92</v>
      </c>
      <c r="BA293">
        <f t="shared" si="132"/>
        <v>20.7</v>
      </c>
      <c r="BB293">
        <f t="shared" si="116"/>
        <v>21.6</v>
      </c>
      <c r="BC293">
        <f t="shared" si="117"/>
        <v>9.1999999999999993</v>
      </c>
      <c r="BD293">
        <f t="shared" si="118"/>
        <v>7</v>
      </c>
      <c r="BE293">
        <f t="shared" si="119"/>
        <v>35.4</v>
      </c>
      <c r="BF293">
        <f t="shared" si="133"/>
        <v>6.7</v>
      </c>
      <c r="BG293">
        <f t="shared" si="120"/>
        <v>5.5</v>
      </c>
      <c r="BH293">
        <f t="shared" si="121"/>
        <v>7.2</v>
      </c>
      <c r="BI293">
        <f t="shared" si="122"/>
        <v>0.59</v>
      </c>
      <c r="BJ293">
        <f t="shared" si="123"/>
        <v>1.95</v>
      </c>
      <c r="BK293">
        <f t="shared" si="124"/>
        <v>0</v>
      </c>
      <c r="BL293">
        <f t="shared" si="125"/>
        <v>1.3</v>
      </c>
      <c r="BM293">
        <f t="shared" si="126"/>
        <v>0.73899999999999999</v>
      </c>
      <c r="BN293">
        <f t="shared" si="127"/>
        <v>1.351</v>
      </c>
    </row>
    <row r="294" spans="1:66" x14ac:dyDescent="0.25">
      <c r="A294">
        <v>2024</v>
      </c>
      <c r="B294" s="1">
        <f t="shared" si="129"/>
        <v>45580</v>
      </c>
      <c r="C294" s="2">
        <v>289</v>
      </c>
      <c r="D294">
        <v>70</v>
      </c>
      <c r="E294" s="6">
        <v>12.83</v>
      </c>
      <c r="F294" s="6">
        <v>6.6109999999999998</v>
      </c>
      <c r="G294" s="6">
        <v>8.39</v>
      </c>
      <c r="H294" s="6">
        <v>4.5019999999999998</v>
      </c>
      <c r="I294" s="6">
        <v>2.15</v>
      </c>
      <c r="J294" s="6">
        <v>7.21</v>
      </c>
      <c r="K294" s="6">
        <v>90.1</v>
      </c>
      <c r="L294">
        <v>6.78</v>
      </c>
      <c r="M294">
        <v>6.9160000000000004</v>
      </c>
      <c r="N294">
        <v>7.89</v>
      </c>
      <c r="O294">
        <v>9.08</v>
      </c>
      <c r="P294">
        <v>92.7</v>
      </c>
      <c r="Q294">
        <v>8.85</v>
      </c>
      <c r="R294">
        <v>9.67</v>
      </c>
      <c r="S294">
        <v>8.27</v>
      </c>
      <c r="T294">
        <v>5.1989999999999998</v>
      </c>
      <c r="U294">
        <v>82.8</v>
      </c>
      <c r="V294">
        <v>4.9290000000000003</v>
      </c>
      <c r="W294" s="6">
        <v>4.5309999999999997</v>
      </c>
      <c r="X294" s="6">
        <v>7.54</v>
      </c>
      <c r="Y294" s="6">
        <v>0.18</v>
      </c>
      <c r="Z294" s="6">
        <v>1.3</v>
      </c>
      <c r="AA294" s="6">
        <v>5.9</v>
      </c>
      <c r="AB294" s="6">
        <v>1.895</v>
      </c>
      <c r="AC294" s="6">
        <v>8.44</v>
      </c>
      <c r="AD294" s="6">
        <v>4.6980000000000004</v>
      </c>
      <c r="AE294" s="6">
        <v>8.9999999999999993E-3</v>
      </c>
      <c r="AF294" s="6">
        <v>7.0000000000000001E-3</v>
      </c>
      <c r="AG294" s="6">
        <v>1.875</v>
      </c>
      <c r="AH294" s="6"/>
      <c r="AI294" s="6"/>
      <c r="AK294" s="22">
        <f t="shared" si="107"/>
        <v>5.9</v>
      </c>
      <c r="AL294">
        <f t="shared" si="130"/>
        <v>424.70000000000044</v>
      </c>
      <c r="AM294" s="4">
        <v>11.55</v>
      </c>
      <c r="AN294">
        <v>2.14</v>
      </c>
      <c r="AP294" s="7">
        <f t="shared" si="128"/>
        <v>0.95499999999999996</v>
      </c>
      <c r="AQ294" s="7">
        <f t="shared" si="108"/>
        <v>0.19800000000000001</v>
      </c>
      <c r="AS294">
        <f t="shared" si="109"/>
        <v>2.14</v>
      </c>
      <c r="AT294">
        <f t="shared" si="110"/>
        <v>7.2</v>
      </c>
      <c r="AU294">
        <f t="shared" si="111"/>
        <v>90.1</v>
      </c>
      <c r="AV294">
        <f t="shared" si="131"/>
        <v>6.8</v>
      </c>
      <c r="AW294">
        <f t="shared" si="112"/>
        <v>6.9</v>
      </c>
      <c r="AX294">
        <f t="shared" si="113"/>
        <v>7.9</v>
      </c>
      <c r="AY294">
        <f t="shared" si="114"/>
        <v>9.1</v>
      </c>
      <c r="AZ294">
        <f t="shared" si="115"/>
        <v>92.7</v>
      </c>
      <c r="BA294">
        <f t="shared" si="132"/>
        <v>8.9</v>
      </c>
      <c r="BB294">
        <f t="shared" si="116"/>
        <v>9.6999999999999993</v>
      </c>
      <c r="BC294">
        <f t="shared" si="117"/>
        <v>8.3000000000000007</v>
      </c>
      <c r="BD294">
        <f t="shared" si="118"/>
        <v>5.2</v>
      </c>
      <c r="BE294">
        <f t="shared" si="119"/>
        <v>82.8</v>
      </c>
      <c r="BF294">
        <f t="shared" si="133"/>
        <v>4.9000000000000004</v>
      </c>
      <c r="BG294">
        <f t="shared" si="120"/>
        <v>4.5</v>
      </c>
      <c r="BH294">
        <f t="shared" si="121"/>
        <v>7.5</v>
      </c>
      <c r="BI294">
        <f t="shared" si="122"/>
        <v>0.18</v>
      </c>
      <c r="BJ294">
        <f t="shared" si="123"/>
        <v>1.3</v>
      </c>
      <c r="BK294">
        <f t="shared" si="124"/>
        <v>0</v>
      </c>
      <c r="BL294">
        <f t="shared" si="125"/>
        <v>5.9</v>
      </c>
      <c r="BM294">
        <f t="shared" si="126"/>
        <v>0.95499999999999996</v>
      </c>
      <c r="BN294">
        <f t="shared" si="127"/>
        <v>0.19800000000000001</v>
      </c>
    </row>
    <row r="295" spans="1:66" x14ac:dyDescent="0.25">
      <c r="A295">
        <v>2024</v>
      </c>
      <c r="B295" s="1">
        <f t="shared" si="129"/>
        <v>45581</v>
      </c>
      <c r="C295" s="2">
        <v>290</v>
      </c>
      <c r="D295">
        <v>70</v>
      </c>
      <c r="E295" s="6">
        <v>13.08</v>
      </c>
      <c r="F295" s="6">
        <v>3.8149999999999999</v>
      </c>
      <c r="G295" s="6">
        <v>9.66</v>
      </c>
      <c r="H295" s="6">
        <v>-1.4259999999999999</v>
      </c>
      <c r="I295" s="6">
        <v>6.4329999999999998</v>
      </c>
      <c r="J295" s="6">
        <v>4.57</v>
      </c>
      <c r="K295" s="6">
        <v>74.3</v>
      </c>
      <c r="L295">
        <v>4.2140000000000004</v>
      </c>
      <c r="M295">
        <v>3.766</v>
      </c>
      <c r="N295">
        <v>7.24</v>
      </c>
      <c r="O295">
        <v>9.2200000000000006</v>
      </c>
      <c r="P295">
        <v>92.8</v>
      </c>
      <c r="Q295">
        <v>10.61</v>
      </c>
      <c r="R295">
        <v>11.55</v>
      </c>
      <c r="S295">
        <v>8.15</v>
      </c>
      <c r="T295">
        <v>0.10100000000000001</v>
      </c>
      <c r="U295">
        <v>38.39</v>
      </c>
      <c r="V295">
        <v>-0.505</v>
      </c>
      <c r="W295" s="6">
        <v>-1.5509999999999999</v>
      </c>
      <c r="X295" s="6">
        <v>6.3730000000000002</v>
      </c>
      <c r="Y295" s="6">
        <v>0.89700000000000002</v>
      </c>
      <c r="Z295" s="6">
        <v>2.6339999999999999</v>
      </c>
      <c r="AA295" s="6">
        <v>0.3</v>
      </c>
      <c r="AB295" s="6">
        <v>1.9950000000000001</v>
      </c>
      <c r="AC295" s="6">
        <v>9.7200000000000006</v>
      </c>
      <c r="AD295" s="6">
        <v>-1.3009999999999999</v>
      </c>
      <c r="AE295" s="6">
        <v>8.9999999999999993E-3</v>
      </c>
      <c r="AF295" s="6">
        <v>7.0000000000000001E-3</v>
      </c>
      <c r="AG295" s="6">
        <v>1.99</v>
      </c>
      <c r="AH295" s="6"/>
      <c r="AI295" s="6"/>
      <c r="AK295" s="22">
        <f t="shared" si="107"/>
        <v>0.3</v>
      </c>
      <c r="AL295">
        <f t="shared" si="130"/>
        <v>425.00000000000045</v>
      </c>
      <c r="AM295" s="4">
        <v>11.33</v>
      </c>
      <c r="AN295">
        <v>6.43</v>
      </c>
      <c r="AP295" s="7">
        <f t="shared" si="128"/>
        <v>0.44700000000000001</v>
      </c>
      <c r="AQ295" s="7">
        <f t="shared" si="108"/>
        <v>0.71699999999999997</v>
      </c>
      <c r="AS295">
        <f t="shared" si="109"/>
        <v>6.43</v>
      </c>
      <c r="AT295">
        <f t="shared" si="110"/>
        <v>4.5999999999999996</v>
      </c>
      <c r="AU295">
        <f t="shared" si="111"/>
        <v>74.3</v>
      </c>
      <c r="AV295">
        <f t="shared" si="131"/>
        <v>4.2</v>
      </c>
      <c r="AW295">
        <f t="shared" si="112"/>
        <v>3.8</v>
      </c>
      <c r="AX295">
        <f t="shared" si="113"/>
        <v>7.2</v>
      </c>
      <c r="AY295">
        <f t="shared" si="114"/>
        <v>9.1999999999999993</v>
      </c>
      <c r="AZ295">
        <f t="shared" si="115"/>
        <v>92.8</v>
      </c>
      <c r="BA295">
        <f t="shared" si="132"/>
        <v>10.6</v>
      </c>
      <c r="BB295">
        <f t="shared" si="116"/>
        <v>11.6</v>
      </c>
      <c r="BC295">
        <f t="shared" si="117"/>
        <v>8.1999999999999993</v>
      </c>
      <c r="BD295">
        <f t="shared" si="118"/>
        <v>0.1</v>
      </c>
      <c r="BE295">
        <f t="shared" si="119"/>
        <v>38.4</v>
      </c>
      <c r="BF295">
        <f t="shared" si="133"/>
        <v>-0.5</v>
      </c>
      <c r="BG295">
        <f t="shared" si="120"/>
        <v>-1.6</v>
      </c>
      <c r="BH295">
        <f t="shared" si="121"/>
        <v>6.4</v>
      </c>
      <c r="BI295">
        <f t="shared" si="122"/>
        <v>0.9</v>
      </c>
      <c r="BJ295">
        <f t="shared" si="123"/>
        <v>2.63</v>
      </c>
      <c r="BK295">
        <f t="shared" si="124"/>
        <v>0</v>
      </c>
      <c r="BL295">
        <f t="shared" si="125"/>
        <v>0.3</v>
      </c>
      <c r="BM295">
        <f t="shared" si="126"/>
        <v>0.44700000000000001</v>
      </c>
      <c r="BN295">
        <f t="shared" si="127"/>
        <v>0.71699999999999997</v>
      </c>
    </row>
    <row r="296" spans="1:66" x14ac:dyDescent="0.25">
      <c r="A296">
        <v>2024</v>
      </c>
      <c r="B296" s="1">
        <f t="shared" si="129"/>
        <v>45582</v>
      </c>
      <c r="C296" s="2">
        <v>291</v>
      </c>
      <c r="D296">
        <v>70</v>
      </c>
      <c r="E296" s="6">
        <v>13.07</v>
      </c>
      <c r="F296" s="6">
        <v>0.35</v>
      </c>
      <c r="G296" s="6">
        <v>6.8940000000000001</v>
      </c>
      <c r="H296" s="6">
        <v>-3.9129999999999998</v>
      </c>
      <c r="I296" s="6">
        <v>6.52</v>
      </c>
      <c r="J296" s="6">
        <v>1.212</v>
      </c>
      <c r="K296" s="6">
        <v>75.599999999999994</v>
      </c>
      <c r="L296">
        <v>0.71499999999999997</v>
      </c>
      <c r="M296">
        <v>0.70699999999999996</v>
      </c>
      <c r="N296">
        <v>5.8760000000000003</v>
      </c>
      <c r="O296">
        <v>6.8120000000000003</v>
      </c>
      <c r="P296">
        <v>91.6</v>
      </c>
      <c r="Q296">
        <v>8.24</v>
      </c>
      <c r="R296">
        <v>10.24</v>
      </c>
      <c r="S296">
        <v>6.6130000000000004</v>
      </c>
      <c r="T296">
        <v>-2.246</v>
      </c>
      <c r="U296">
        <v>43.92</v>
      </c>
      <c r="V296">
        <v>-2.6709999999999998</v>
      </c>
      <c r="W296" s="6">
        <v>-3.7189999999999999</v>
      </c>
      <c r="X296" s="6">
        <v>5.2969999999999997</v>
      </c>
      <c r="Y296" s="6">
        <v>0.44700000000000001</v>
      </c>
      <c r="Z296" s="6">
        <v>2.06</v>
      </c>
      <c r="AA296" s="6">
        <v>0.3</v>
      </c>
      <c r="AB296" s="6">
        <v>1.972</v>
      </c>
      <c r="AC296" s="6">
        <v>6.9809999999999999</v>
      </c>
      <c r="AD296" s="6">
        <v>-3.706</v>
      </c>
      <c r="AE296" s="6">
        <v>8.9999999999999993E-3</v>
      </c>
      <c r="AF296" s="6">
        <v>7.0000000000000001E-3</v>
      </c>
      <c r="AG296" s="6">
        <v>1.978</v>
      </c>
      <c r="AH296" s="6"/>
      <c r="AI296" s="6"/>
      <c r="AK296" s="22">
        <f t="shared" si="107"/>
        <v>0.3</v>
      </c>
      <c r="AL296">
        <f t="shared" si="130"/>
        <v>425.30000000000047</v>
      </c>
      <c r="AM296" s="4">
        <v>11.12</v>
      </c>
      <c r="AN296">
        <v>6.52</v>
      </c>
      <c r="AP296" s="7">
        <f t="shared" si="128"/>
        <v>0.434</v>
      </c>
      <c r="AQ296" s="7">
        <f t="shared" si="108"/>
        <v>0.55400000000000005</v>
      </c>
      <c r="AS296">
        <f t="shared" si="109"/>
        <v>6.52</v>
      </c>
      <c r="AT296">
        <f t="shared" si="110"/>
        <v>1.2</v>
      </c>
      <c r="AU296">
        <f t="shared" si="111"/>
        <v>75.599999999999994</v>
      </c>
      <c r="AV296">
        <f t="shared" si="131"/>
        <v>0.7</v>
      </c>
      <c r="AW296">
        <f t="shared" si="112"/>
        <v>0.7</v>
      </c>
      <c r="AX296">
        <f t="shared" si="113"/>
        <v>5.9</v>
      </c>
      <c r="AY296">
        <f t="shared" si="114"/>
        <v>6.8</v>
      </c>
      <c r="AZ296">
        <f t="shared" si="115"/>
        <v>91.6</v>
      </c>
      <c r="BA296">
        <f t="shared" si="132"/>
        <v>8.1999999999999993</v>
      </c>
      <c r="BB296">
        <f t="shared" si="116"/>
        <v>10.199999999999999</v>
      </c>
      <c r="BC296">
        <f t="shared" si="117"/>
        <v>6.6</v>
      </c>
      <c r="BD296">
        <f t="shared" si="118"/>
        <v>-2.2000000000000002</v>
      </c>
      <c r="BE296">
        <f t="shared" si="119"/>
        <v>43.9</v>
      </c>
      <c r="BF296">
        <f t="shared" si="133"/>
        <v>-2.7</v>
      </c>
      <c r="BG296">
        <f t="shared" si="120"/>
        <v>-3.7</v>
      </c>
      <c r="BH296">
        <f t="shared" si="121"/>
        <v>5.3</v>
      </c>
      <c r="BI296">
        <f t="shared" si="122"/>
        <v>0.45</v>
      </c>
      <c r="BJ296">
        <f t="shared" si="123"/>
        <v>2.06</v>
      </c>
      <c r="BK296">
        <f t="shared" si="124"/>
        <v>0</v>
      </c>
      <c r="BL296">
        <f t="shared" si="125"/>
        <v>0.3</v>
      </c>
      <c r="BM296">
        <f t="shared" si="126"/>
        <v>0.434</v>
      </c>
      <c r="BN296">
        <f t="shared" si="127"/>
        <v>0.55400000000000005</v>
      </c>
    </row>
    <row r="297" spans="1:66" x14ac:dyDescent="0.25">
      <c r="A297">
        <v>2024</v>
      </c>
      <c r="B297" s="1">
        <f t="shared" si="129"/>
        <v>45583</v>
      </c>
      <c r="C297" s="2">
        <v>292</v>
      </c>
      <c r="D297">
        <v>70</v>
      </c>
      <c r="E297" s="6">
        <v>12.79</v>
      </c>
      <c r="F297" s="6">
        <v>-1.206</v>
      </c>
      <c r="G297" s="6">
        <v>0.76800000000000002</v>
      </c>
      <c r="H297" s="6">
        <v>-4.3129999999999997</v>
      </c>
      <c r="I297" s="6">
        <v>1.319</v>
      </c>
      <c r="J297" s="6">
        <v>-0.17599999999999999</v>
      </c>
      <c r="K297" s="6">
        <v>85.3</v>
      </c>
      <c r="L297">
        <v>-0.47499999999999998</v>
      </c>
      <c r="M297">
        <v>-0.92100000000000004</v>
      </c>
      <c r="N297">
        <v>4.6820000000000004</v>
      </c>
      <c r="O297">
        <v>1.8480000000000001</v>
      </c>
      <c r="P297">
        <v>92.4</v>
      </c>
      <c r="Q297">
        <v>2.15</v>
      </c>
      <c r="R297">
        <v>1.6839999999999999</v>
      </c>
      <c r="S297">
        <v>5.3029999999999999</v>
      </c>
      <c r="T297">
        <v>-2.5110000000000001</v>
      </c>
      <c r="U297">
        <v>65.8</v>
      </c>
      <c r="V297">
        <v>-2.8330000000000002</v>
      </c>
      <c r="W297" s="6">
        <v>-4.2</v>
      </c>
      <c r="X297" s="6">
        <v>4.3739999999999997</v>
      </c>
      <c r="Y297" s="6">
        <v>0.54700000000000004</v>
      </c>
      <c r="Z297" s="6">
        <v>1.86</v>
      </c>
      <c r="AA297" s="6">
        <v>0.4</v>
      </c>
      <c r="AB297" s="6">
        <v>1.944</v>
      </c>
      <c r="AC297" s="6">
        <v>0.85</v>
      </c>
      <c r="AD297" s="6">
        <v>-4.2279999999999998</v>
      </c>
      <c r="AE297" s="6">
        <v>8.9999999999999993E-3</v>
      </c>
      <c r="AF297" s="6">
        <v>6.0000000000000001E-3</v>
      </c>
      <c r="AG297" s="6">
        <v>1.9370000000000001</v>
      </c>
      <c r="AH297" s="6"/>
      <c r="AI297" s="6"/>
      <c r="AK297" s="22">
        <f t="shared" si="107"/>
        <v>0.4</v>
      </c>
      <c r="AL297">
        <f t="shared" si="130"/>
        <v>425.70000000000044</v>
      </c>
      <c r="AM297" s="4">
        <v>10.92</v>
      </c>
      <c r="AN297">
        <v>1.32</v>
      </c>
      <c r="AP297" s="7">
        <f t="shared" si="128"/>
        <v>0.45900000000000002</v>
      </c>
      <c r="AQ297" s="7">
        <f t="shared" si="108"/>
        <v>0.23899999999999999</v>
      </c>
      <c r="AS297">
        <f t="shared" si="109"/>
        <v>1.32</v>
      </c>
      <c r="AT297">
        <f t="shared" si="110"/>
        <v>-0.2</v>
      </c>
      <c r="AU297">
        <f t="shared" si="111"/>
        <v>85.3</v>
      </c>
      <c r="AV297">
        <f t="shared" si="131"/>
        <v>-0.5</v>
      </c>
      <c r="AW297">
        <f t="shared" si="112"/>
        <v>-0.9</v>
      </c>
      <c r="AX297">
        <f t="shared" si="113"/>
        <v>4.7</v>
      </c>
      <c r="AY297">
        <f t="shared" si="114"/>
        <v>1.8</v>
      </c>
      <c r="AZ297">
        <f t="shared" si="115"/>
        <v>92.4</v>
      </c>
      <c r="BA297">
        <f t="shared" si="132"/>
        <v>2.2000000000000002</v>
      </c>
      <c r="BB297">
        <f t="shared" si="116"/>
        <v>1.7</v>
      </c>
      <c r="BC297">
        <f t="shared" si="117"/>
        <v>5.3</v>
      </c>
      <c r="BD297">
        <f t="shared" si="118"/>
        <v>-2.5</v>
      </c>
      <c r="BE297">
        <f t="shared" si="119"/>
        <v>65.8</v>
      </c>
      <c r="BF297">
        <f t="shared" si="133"/>
        <v>-2.8</v>
      </c>
      <c r="BG297">
        <f t="shared" si="120"/>
        <v>-4.2</v>
      </c>
      <c r="BH297">
        <f t="shared" si="121"/>
        <v>4.4000000000000004</v>
      </c>
      <c r="BI297">
        <f t="shared" si="122"/>
        <v>0.55000000000000004</v>
      </c>
      <c r="BJ297">
        <f t="shared" si="123"/>
        <v>1.86</v>
      </c>
      <c r="BK297">
        <f t="shared" si="124"/>
        <v>0</v>
      </c>
      <c r="BL297">
        <f t="shared" si="125"/>
        <v>0.4</v>
      </c>
      <c r="BM297">
        <f t="shared" si="126"/>
        <v>0.45900000000000002</v>
      </c>
      <c r="BN297">
        <f t="shared" si="127"/>
        <v>0.23899999999999999</v>
      </c>
    </row>
    <row r="298" spans="1:66" x14ac:dyDescent="0.25">
      <c r="A298">
        <v>2024</v>
      </c>
      <c r="B298" s="1">
        <f t="shared" si="129"/>
        <v>45584</v>
      </c>
      <c r="C298" s="2">
        <v>293</v>
      </c>
      <c r="D298">
        <v>70</v>
      </c>
      <c r="E298" s="6">
        <v>12.81</v>
      </c>
      <c r="F298" s="6">
        <v>4.9530000000000003</v>
      </c>
      <c r="G298" s="6">
        <v>7.58</v>
      </c>
      <c r="H298" s="6">
        <v>0.623</v>
      </c>
      <c r="I298" s="6">
        <v>2.3570000000000002</v>
      </c>
      <c r="J298" s="6">
        <v>5.7830000000000004</v>
      </c>
      <c r="K298" s="6">
        <v>88.2</v>
      </c>
      <c r="L298">
        <v>5.4909999999999997</v>
      </c>
      <c r="M298">
        <v>4.6390000000000002</v>
      </c>
      <c r="N298">
        <v>4.7770000000000001</v>
      </c>
      <c r="O298">
        <v>8.41</v>
      </c>
      <c r="P298">
        <v>93.4</v>
      </c>
      <c r="Q298">
        <v>8.9499999999999993</v>
      </c>
      <c r="R298">
        <v>8.98</v>
      </c>
      <c r="S298">
        <v>5.77</v>
      </c>
      <c r="T298">
        <v>1.4339999999999999</v>
      </c>
      <c r="U298">
        <v>69.930000000000007</v>
      </c>
      <c r="V298">
        <v>0.66600000000000004</v>
      </c>
      <c r="W298" s="6">
        <v>2.8000000000000001E-2</v>
      </c>
      <c r="X298" s="6">
        <v>3.7839999999999998</v>
      </c>
      <c r="Y298" s="6">
        <v>0.71</v>
      </c>
      <c r="Z298" s="6">
        <v>2.66</v>
      </c>
      <c r="AA298" s="6">
        <v>13.9</v>
      </c>
      <c r="AB298" s="6">
        <v>1.581</v>
      </c>
      <c r="AC298" s="6">
        <v>7.59</v>
      </c>
      <c r="AD298" s="6">
        <v>0.70599999999999996</v>
      </c>
      <c r="AE298" s="6">
        <v>8.9999999999999993E-3</v>
      </c>
      <c r="AF298" s="6">
        <v>7.0000000000000001E-3</v>
      </c>
      <c r="AG298" s="6">
        <v>1.56</v>
      </c>
      <c r="AH298" s="6"/>
      <c r="AI298" s="6"/>
      <c r="AK298" s="22">
        <f t="shared" si="107"/>
        <v>13.9</v>
      </c>
      <c r="AL298">
        <f t="shared" si="130"/>
        <v>439.60000000000042</v>
      </c>
      <c r="AM298" s="4">
        <v>10.71</v>
      </c>
      <c r="AN298">
        <v>2.35</v>
      </c>
      <c r="AP298" s="7">
        <f t="shared" si="128"/>
        <v>0.77100000000000002</v>
      </c>
      <c r="AQ298" s="7">
        <f t="shared" si="108"/>
        <v>0.33200000000000002</v>
      </c>
      <c r="AS298">
        <f t="shared" si="109"/>
        <v>2.35</v>
      </c>
      <c r="AT298">
        <f t="shared" si="110"/>
        <v>5.8</v>
      </c>
      <c r="AU298">
        <f t="shared" si="111"/>
        <v>88.2</v>
      </c>
      <c r="AV298">
        <f t="shared" si="131"/>
        <v>5.5</v>
      </c>
      <c r="AW298">
        <f t="shared" si="112"/>
        <v>4.5999999999999996</v>
      </c>
      <c r="AX298">
        <f t="shared" si="113"/>
        <v>4.8</v>
      </c>
      <c r="AY298">
        <f t="shared" si="114"/>
        <v>8.4</v>
      </c>
      <c r="AZ298">
        <f t="shared" si="115"/>
        <v>93.4</v>
      </c>
      <c r="BA298">
        <f t="shared" si="132"/>
        <v>9</v>
      </c>
      <c r="BB298">
        <f t="shared" si="116"/>
        <v>9</v>
      </c>
      <c r="BC298">
        <f t="shared" si="117"/>
        <v>5.8</v>
      </c>
      <c r="BD298">
        <f t="shared" si="118"/>
        <v>1.4</v>
      </c>
      <c r="BE298">
        <f t="shared" si="119"/>
        <v>69.900000000000006</v>
      </c>
      <c r="BF298">
        <f t="shared" si="133"/>
        <v>0.7</v>
      </c>
      <c r="BG298">
        <f t="shared" si="120"/>
        <v>0</v>
      </c>
      <c r="BH298">
        <f t="shared" si="121"/>
        <v>3.8</v>
      </c>
      <c r="BI298">
        <f t="shared" si="122"/>
        <v>0.71</v>
      </c>
      <c r="BJ298">
        <f t="shared" si="123"/>
        <v>2.66</v>
      </c>
      <c r="BK298">
        <f t="shared" si="124"/>
        <v>0</v>
      </c>
      <c r="BL298">
        <f t="shared" si="125"/>
        <v>13.9</v>
      </c>
      <c r="BM298">
        <f t="shared" si="126"/>
        <v>0.77100000000000002</v>
      </c>
      <c r="BN298">
        <f t="shared" si="127"/>
        <v>0.33200000000000002</v>
      </c>
    </row>
    <row r="299" spans="1:66" x14ac:dyDescent="0.25">
      <c r="A299">
        <v>2024</v>
      </c>
      <c r="B299" s="1">
        <f t="shared" si="129"/>
        <v>45585</v>
      </c>
      <c r="C299" s="2">
        <v>294</v>
      </c>
      <c r="D299">
        <v>70</v>
      </c>
      <c r="E299" s="6">
        <v>12.83</v>
      </c>
      <c r="F299" s="6">
        <v>7.13</v>
      </c>
      <c r="G299" s="6">
        <v>9.56</v>
      </c>
      <c r="H299" s="6">
        <v>3.0510000000000002</v>
      </c>
      <c r="I299" s="6">
        <v>1.704</v>
      </c>
      <c r="J299" s="6">
        <v>7.79</v>
      </c>
      <c r="K299" s="6">
        <v>86.3</v>
      </c>
      <c r="L299">
        <v>7.44</v>
      </c>
      <c r="M299">
        <v>6.9459999999999997</v>
      </c>
      <c r="N299">
        <v>6.3810000000000002</v>
      </c>
      <c r="O299">
        <v>10.36</v>
      </c>
      <c r="P299">
        <v>92.4</v>
      </c>
      <c r="Q299">
        <v>10.83</v>
      </c>
      <c r="R299">
        <v>9.68</v>
      </c>
      <c r="S299">
        <v>7.04</v>
      </c>
      <c r="T299">
        <v>3.45</v>
      </c>
      <c r="U299">
        <v>71.400000000000006</v>
      </c>
      <c r="V299">
        <v>2.8919999999999999</v>
      </c>
      <c r="W299" s="6">
        <v>2.6560000000000001</v>
      </c>
      <c r="X299" s="6">
        <v>5.6340000000000003</v>
      </c>
      <c r="Y299" s="6">
        <v>0.97099999999999997</v>
      </c>
      <c r="Z299" s="6">
        <v>3.06</v>
      </c>
      <c r="AA299" s="6">
        <v>4.8</v>
      </c>
      <c r="AB299" s="6">
        <v>2.0880000000000001</v>
      </c>
      <c r="AC299" s="6">
        <v>9.66</v>
      </c>
      <c r="AD299" s="6">
        <v>3.3820000000000001</v>
      </c>
      <c r="AE299" s="6">
        <v>8.9999999999999993E-3</v>
      </c>
      <c r="AF299" s="6">
        <v>7.0000000000000001E-3</v>
      </c>
      <c r="AG299" s="6">
        <v>2.0739999999999998</v>
      </c>
      <c r="AH299" s="6"/>
      <c r="AI299" s="6"/>
      <c r="AK299" s="22">
        <f t="shared" si="107"/>
        <v>4.8</v>
      </c>
      <c r="AL299">
        <f t="shared" si="130"/>
        <v>444.40000000000043</v>
      </c>
      <c r="AM299" s="4">
        <v>10.51</v>
      </c>
      <c r="AN299">
        <v>1.69</v>
      </c>
      <c r="AP299" s="7">
        <f t="shared" si="128"/>
        <v>0.89800000000000002</v>
      </c>
      <c r="AQ299" s="7">
        <f t="shared" si="108"/>
        <v>0.36</v>
      </c>
      <c r="AS299">
        <f t="shared" si="109"/>
        <v>1.69</v>
      </c>
      <c r="AT299">
        <f t="shared" si="110"/>
        <v>7.8</v>
      </c>
      <c r="AU299">
        <f t="shared" si="111"/>
        <v>86.3</v>
      </c>
      <c r="AV299">
        <f t="shared" si="131"/>
        <v>7.4</v>
      </c>
      <c r="AW299">
        <f t="shared" si="112"/>
        <v>6.9</v>
      </c>
      <c r="AX299">
        <f t="shared" si="113"/>
        <v>6.4</v>
      </c>
      <c r="AY299">
        <f t="shared" si="114"/>
        <v>10.4</v>
      </c>
      <c r="AZ299">
        <f t="shared" si="115"/>
        <v>92.4</v>
      </c>
      <c r="BA299">
        <f t="shared" si="132"/>
        <v>10.8</v>
      </c>
      <c r="BB299">
        <f t="shared" si="116"/>
        <v>9.6999999999999993</v>
      </c>
      <c r="BC299">
        <f t="shared" si="117"/>
        <v>7</v>
      </c>
      <c r="BD299">
        <f t="shared" si="118"/>
        <v>3.5</v>
      </c>
      <c r="BE299">
        <f t="shared" si="119"/>
        <v>71.400000000000006</v>
      </c>
      <c r="BF299">
        <f t="shared" si="133"/>
        <v>2.9</v>
      </c>
      <c r="BG299">
        <f t="shared" si="120"/>
        <v>2.7</v>
      </c>
      <c r="BH299">
        <f t="shared" si="121"/>
        <v>5.6</v>
      </c>
      <c r="BI299">
        <f t="shared" si="122"/>
        <v>0.97</v>
      </c>
      <c r="BJ299">
        <f t="shared" si="123"/>
        <v>3.06</v>
      </c>
      <c r="BK299">
        <f t="shared" si="124"/>
        <v>0</v>
      </c>
      <c r="BL299">
        <f t="shared" si="125"/>
        <v>4.8</v>
      </c>
      <c r="BM299">
        <f t="shared" si="126"/>
        <v>0.89800000000000002</v>
      </c>
      <c r="BN299">
        <f t="shared" si="127"/>
        <v>0.36</v>
      </c>
    </row>
    <row r="300" spans="1:66" x14ac:dyDescent="0.25">
      <c r="A300">
        <v>2024</v>
      </c>
      <c r="B300" s="1">
        <f t="shared" si="129"/>
        <v>45586</v>
      </c>
      <c r="C300" s="2">
        <v>295</v>
      </c>
      <c r="D300">
        <v>70</v>
      </c>
      <c r="E300" s="6">
        <v>12.95</v>
      </c>
      <c r="F300" s="6">
        <v>2.3149999999999999</v>
      </c>
      <c r="G300" s="6">
        <v>5.8090000000000002</v>
      </c>
      <c r="H300" s="6">
        <v>-4.3999999999999997E-2</v>
      </c>
      <c r="I300" s="6">
        <v>3.9790000000000001</v>
      </c>
      <c r="J300" s="6">
        <v>2.5350000000000001</v>
      </c>
      <c r="K300" s="6">
        <v>86.9</v>
      </c>
      <c r="L300">
        <v>2.0310000000000001</v>
      </c>
      <c r="M300">
        <v>2.4329999999999998</v>
      </c>
      <c r="N300">
        <v>6.2450000000000001</v>
      </c>
      <c r="O300">
        <v>5.8049999999999997</v>
      </c>
      <c r="P300">
        <v>92.9</v>
      </c>
      <c r="Q300">
        <v>6.3259999999999996</v>
      </c>
      <c r="R300">
        <v>6.1050000000000004</v>
      </c>
      <c r="S300">
        <v>6.6820000000000004</v>
      </c>
      <c r="T300">
        <v>0.23200000000000001</v>
      </c>
      <c r="U300">
        <v>70.5</v>
      </c>
      <c r="V300">
        <v>-0.26400000000000001</v>
      </c>
      <c r="W300" s="6">
        <v>7.9000000000000001E-2</v>
      </c>
      <c r="X300" s="6">
        <v>5.9020000000000001</v>
      </c>
      <c r="Y300" s="6">
        <v>0.41799999999999998</v>
      </c>
      <c r="Z300" s="6">
        <v>1.4470000000000001</v>
      </c>
      <c r="AA300" s="6">
        <v>0</v>
      </c>
      <c r="AB300" s="6">
        <v>2.343</v>
      </c>
      <c r="AC300" s="6">
        <v>5.8710000000000004</v>
      </c>
      <c r="AD300" s="6">
        <v>0.19</v>
      </c>
      <c r="AE300" s="6">
        <v>8.9999999999999993E-3</v>
      </c>
      <c r="AF300" s="6">
        <v>7.0000000000000001E-3</v>
      </c>
      <c r="AG300" s="6">
        <v>2.34</v>
      </c>
      <c r="AH300" s="6"/>
      <c r="AI300" s="6"/>
      <c r="AK300" s="22">
        <f t="shared" si="107"/>
        <v>0</v>
      </c>
      <c r="AL300">
        <f t="shared" si="130"/>
        <v>444.40000000000043</v>
      </c>
      <c r="AM300" s="4">
        <v>10.31</v>
      </c>
      <c r="AN300">
        <v>3.97</v>
      </c>
      <c r="AP300" s="7">
        <f t="shared" si="128"/>
        <v>0.65</v>
      </c>
      <c r="AQ300" s="7">
        <f t="shared" si="108"/>
        <v>0.27200000000000002</v>
      </c>
      <c r="AS300">
        <f t="shared" si="109"/>
        <v>3.97</v>
      </c>
      <c r="AT300">
        <f t="shared" si="110"/>
        <v>2.5</v>
      </c>
      <c r="AU300">
        <f t="shared" si="111"/>
        <v>86.9</v>
      </c>
      <c r="AV300">
        <f t="shared" si="131"/>
        <v>2</v>
      </c>
      <c r="AW300">
        <f t="shared" si="112"/>
        <v>2.4</v>
      </c>
      <c r="AX300">
        <f t="shared" si="113"/>
        <v>6.2</v>
      </c>
      <c r="AY300">
        <f t="shared" si="114"/>
        <v>5.8</v>
      </c>
      <c r="AZ300">
        <f t="shared" si="115"/>
        <v>92.9</v>
      </c>
      <c r="BA300">
        <f t="shared" si="132"/>
        <v>6.3</v>
      </c>
      <c r="BB300">
        <f t="shared" si="116"/>
        <v>6.1</v>
      </c>
      <c r="BC300">
        <f t="shared" si="117"/>
        <v>6.7</v>
      </c>
      <c r="BD300">
        <f t="shared" si="118"/>
        <v>0.2</v>
      </c>
      <c r="BE300">
        <f t="shared" si="119"/>
        <v>70.5</v>
      </c>
      <c r="BF300">
        <f t="shared" si="133"/>
        <v>-0.3</v>
      </c>
      <c r="BG300">
        <f t="shared" si="120"/>
        <v>0.1</v>
      </c>
      <c r="BH300">
        <f t="shared" si="121"/>
        <v>5.9</v>
      </c>
      <c r="BI300">
        <f t="shared" si="122"/>
        <v>0.42</v>
      </c>
      <c r="BJ300">
        <f t="shared" si="123"/>
        <v>1.45</v>
      </c>
      <c r="BK300">
        <f t="shared" si="124"/>
        <v>0</v>
      </c>
      <c r="BL300">
        <f t="shared" si="125"/>
        <v>0</v>
      </c>
      <c r="BM300">
        <f t="shared" si="126"/>
        <v>0.65</v>
      </c>
      <c r="BN300">
        <f t="shared" si="127"/>
        <v>0.27200000000000002</v>
      </c>
    </row>
    <row r="301" spans="1:66" x14ac:dyDescent="0.25">
      <c r="A301">
        <v>2024</v>
      </c>
      <c r="B301" s="1">
        <f t="shared" si="129"/>
        <v>45587</v>
      </c>
      <c r="C301" s="2">
        <v>296</v>
      </c>
      <c r="D301">
        <v>70</v>
      </c>
      <c r="E301" s="6">
        <v>13.07</v>
      </c>
      <c r="F301" s="6">
        <v>0.23200000000000001</v>
      </c>
      <c r="G301" s="6">
        <v>10.35</v>
      </c>
      <c r="H301" s="6">
        <v>-4.3129999999999997</v>
      </c>
      <c r="I301" s="6">
        <v>6.8150000000000004</v>
      </c>
      <c r="J301" s="6">
        <v>1.107</v>
      </c>
      <c r="K301" s="6">
        <v>78.900000000000006</v>
      </c>
      <c r="L301">
        <v>0.69</v>
      </c>
      <c r="M301">
        <v>0.68799999999999994</v>
      </c>
      <c r="N301">
        <v>5.2409999999999997</v>
      </c>
      <c r="O301">
        <v>7.67</v>
      </c>
      <c r="P301">
        <v>92.8</v>
      </c>
      <c r="Q301">
        <v>9.51</v>
      </c>
      <c r="R301">
        <v>14</v>
      </c>
      <c r="S301">
        <v>6.1440000000000001</v>
      </c>
      <c r="T301">
        <v>-2.645</v>
      </c>
      <c r="U301">
        <v>42.02</v>
      </c>
      <c r="V301">
        <v>-3.0670000000000002</v>
      </c>
      <c r="W301" s="6">
        <v>-3.79</v>
      </c>
      <c r="X301" s="6">
        <v>4.2960000000000003</v>
      </c>
      <c r="Y301" s="6">
        <v>0.316</v>
      </c>
      <c r="Z301" s="6">
        <v>1.74</v>
      </c>
      <c r="AA301" s="6">
        <v>0</v>
      </c>
      <c r="AB301" s="6">
        <v>2.0289999999999999</v>
      </c>
      <c r="AC301" s="6">
        <v>10.86</v>
      </c>
      <c r="AD301" s="6">
        <v>-4.1440000000000001</v>
      </c>
      <c r="AE301" s="6">
        <v>8.9999999999999993E-3</v>
      </c>
      <c r="AF301" s="6">
        <v>7.0000000000000001E-3</v>
      </c>
      <c r="AG301" s="6">
        <v>2.0289999999999999</v>
      </c>
      <c r="AH301" s="6"/>
      <c r="AI301" s="6"/>
      <c r="AK301" s="22">
        <f t="shared" si="107"/>
        <v>0</v>
      </c>
      <c r="AL301">
        <f t="shared" si="130"/>
        <v>444.40000000000043</v>
      </c>
      <c r="AM301" s="4">
        <v>10.119999999999999</v>
      </c>
      <c r="AN301">
        <v>6.81</v>
      </c>
      <c r="AP301" s="7">
        <f t="shared" si="128"/>
        <v>0.441</v>
      </c>
      <c r="AQ301" s="7">
        <f t="shared" si="108"/>
        <v>0.60899999999999999</v>
      </c>
      <c r="AS301">
        <f t="shared" si="109"/>
        <v>6.81</v>
      </c>
      <c r="AT301">
        <f t="shared" si="110"/>
        <v>1.1000000000000001</v>
      </c>
      <c r="AU301">
        <f t="shared" si="111"/>
        <v>78.900000000000006</v>
      </c>
      <c r="AV301">
        <f t="shared" si="131"/>
        <v>0.7</v>
      </c>
      <c r="AW301">
        <f t="shared" si="112"/>
        <v>0.7</v>
      </c>
      <c r="AX301">
        <f t="shared" si="113"/>
        <v>5.2</v>
      </c>
      <c r="AY301">
        <f t="shared" si="114"/>
        <v>7.7</v>
      </c>
      <c r="AZ301">
        <f t="shared" si="115"/>
        <v>92.8</v>
      </c>
      <c r="BA301">
        <f t="shared" si="132"/>
        <v>9.5</v>
      </c>
      <c r="BB301">
        <f t="shared" si="116"/>
        <v>14</v>
      </c>
      <c r="BC301">
        <f t="shared" si="117"/>
        <v>6.1</v>
      </c>
      <c r="BD301">
        <f t="shared" si="118"/>
        <v>-2.6</v>
      </c>
      <c r="BE301">
        <f t="shared" si="119"/>
        <v>42</v>
      </c>
      <c r="BF301">
        <f t="shared" si="133"/>
        <v>-3.1</v>
      </c>
      <c r="BG301">
        <f t="shared" si="120"/>
        <v>-3.8</v>
      </c>
      <c r="BH301">
        <f t="shared" si="121"/>
        <v>4.3</v>
      </c>
      <c r="BI301">
        <f t="shared" si="122"/>
        <v>0.32</v>
      </c>
      <c r="BJ301">
        <f t="shared" si="123"/>
        <v>1.74</v>
      </c>
      <c r="BK301">
        <f t="shared" si="124"/>
        <v>0</v>
      </c>
      <c r="BL301">
        <f t="shared" si="125"/>
        <v>0</v>
      </c>
      <c r="BM301">
        <f t="shared" si="126"/>
        <v>0.441</v>
      </c>
      <c r="BN301">
        <f t="shared" si="127"/>
        <v>0.60899999999999999</v>
      </c>
    </row>
    <row r="302" spans="1:66" x14ac:dyDescent="0.25">
      <c r="A302">
        <v>2024</v>
      </c>
      <c r="B302" s="1">
        <f t="shared" si="129"/>
        <v>45588</v>
      </c>
      <c r="C302" s="2">
        <v>297</v>
      </c>
      <c r="D302">
        <v>70</v>
      </c>
      <c r="E302" s="6">
        <v>13.07</v>
      </c>
      <c r="F302" s="6">
        <v>-0.1</v>
      </c>
      <c r="G302" s="6">
        <v>6.3440000000000003</v>
      </c>
      <c r="H302" s="6">
        <v>-3.798</v>
      </c>
      <c r="I302" s="6">
        <v>5.6959999999999997</v>
      </c>
      <c r="J302" s="6">
        <v>0.90600000000000003</v>
      </c>
      <c r="K302" s="6">
        <v>76.5</v>
      </c>
      <c r="L302">
        <v>0.52500000000000002</v>
      </c>
      <c r="M302">
        <v>0.20799999999999999</v>
      </c>
      <c r="N302">
        <v>4.45</v>
      </c>
      <c r="O302">
        <v>5.806</v>
      </c>
      <c r="P302">
        <v>91.5</v>
      </c>
      <c r="Q302">
        <v>7.24</v>
      </c>
      <c r="R302">
        <v>8.7100000000000009</v>
      </c>
      <c r="S302">
        <v>5.3460000000000001</v>
      </c>
      <c r="T302">
        <v>-2.1120000000000001</v>
      </c>
      <c r="U302">
        <v>54.41</v>
      </c>
      <c r="V302">
        <v>-2.448</v>
      </c>
      <c r="W302" s="6">
        <v>-3.6150000000000002</v>
      </c>
      <c r="X302" s="6">
        <v>3.6989999999999998</v>
      </c>
      <c r="Y302" s="6">
        <v>0.55200000000000005</v>
      </c>
      <c r="Z302" s="6">
        <v>2.274</v>
      </c>
      <c r="AA302" s="6">
        <v>0</v>
      </c>
      <c r="AB302" s="6">
        <v>2.0099999999999998</v>
      </c>
      <c r="AC302" s="6">
        <v>6.4130000000000003</v>
      </c>
      <c r="AD302" s="6">
        <v>-3.7080000000000002</v>
      </c>
      <c r="AE302" s="6">
        <v>8.9999999999999993E-3</v>
      </c>
      <c r="AF302" s="6">
        <v>7.0000000000000001E-3</v>
      </c>
      <c r="AG302" s="6">
        <v>2.0099999999999998</v>
      </c>
      <c r="AH302" s="6"/>
      <c r="AI302" s="6"/>
      <c r="AK302" s="22">
        <f t="shared" si="107"/>
        <v>0</v>
      </c>
      <c r="AL302">
        <f t="shared" si="130"/>
        <v>444.40000000000043</v>
      </c>
      <c r="AM302" s="4">
        <v>9.92</v>
      </c>
      <c r="AN302">
        <v>5.69</v>
      </c>
      <c r="AP302" s="7">
        <f t="shared" si="128"/>
        <v>0.502</v>
      </c>
      <c r="AQ302" s="7">
        <f t="shared" si="108"/>
        <v>0.42099999999999999</v>
      </c>
      <c r="AS302">
        <f t="shared" si="109"/>
        <v>5.69</v>
      </c>
      <c r="AT302">
        <f t="shared" si="110"/>
        <v>0.9</v>
      </c>
      <c r="AU302">
        <f t="shared" si="111"/>
        <v>76.5</v>
      </c>
      <c r="AV302">
        <f t="shared" si="131"/>
        <v>0.5</v>
      </c>
      <c r="AW302">
        <f t="shared" si="112"/>
        <v>0.2</v>
      </c>
      <c r="AX302">
        <f t="shared" si="113"/>
        <v>4.5</v>
      </c>
      <c r="AY302">
        <f t="shared" si="114"/>
        <v>5.8</v>
      </c>
      <c r="AZ302">
        <f t="shared" si="115"/>
        <v>91.5</v>
      </c>
      <c r="BA302">
        <f t="shared" si="132"/>
        <v>7.2</v>
      </c>
      <c r="BB302">
        <f t="shared" si="116"/>
        <v>8.6999999999999993</v>
      </c>
      <c r="BC302">
        <f t="shared" si="117"/>
        <v>5.3</v>
      </c>
      <c r="BD302">
        <f t="shared" si="118"/>
        <v>-2.1</v>
      </c>
      <c r="BE302">
        <f t="shared" si="119"/>
        <v>54.4</v>
      </c>
      <c r="BF302">
        <f t="shared" si="133"/>
        <v>-2.4</v>
      </c>
      <c r="BG302">
        <f t="shared" si="120"/>
        <v>-3.6</v>
      </c>
      <c r="BH302">
        <f t="shared" si="121"/>
        <v>3.7</v>
      </c>
      <c r="BI302">
        <f t="shared" si="122"/>
        <v>0.55000000000000004</v>
      </c>
      <c r="BJ302">
        <f t="shared" si="123"/>
        <v>2.27</v>
      </c>
      <c r="BK302">
        <f t="shared" si="124"/>
        <v>0</v>
      </c>
      <c r="BL302">
        <f t="shared" si="125"/>
        <v>0</v>
      </c>
      <c r="BM302">
        <f t="shared" si="126"/>
        <v>0.502</v>
      </c>
      <c r="BN302">
        <f t="shared" si="127"/>
        <v>0.42099999999999999</v>
      </c>
    </row>
    <row r="303" spans="1:66" x14ac:dyDescent="0.25">
      <c r="A303">
        <v>2024</v>
      </c>
      <c r="B303" s="1">
        <f t="shared" si="129"/>
        <v>45589</v>
      </c>
      <c r="C303" s="2">
        <v>298</v>
      </c>
      <c r="D303">
        <v>70</v>
      </c>
      <c r="E303" s="6">
        <v>13.02</v>
      </c>
      <c r="F303" s="6">
        <v>-1.0029999999999999</v>
      </c>
      <c r="G303" s="6">
        <v>8.89</v>
      </c>
      <c r="H303" s="6">
        <v>-4.7720000000000002</v>
      </c>
      <c r="I303" s="6">
        <v>5.9119999999999999</v>
      </c>
      <c r="J303" s="6">
        <v>0.224</v>
      </c>
      <c r="K303" s="6">
        <v>70</v>
      </c>
      <c r="L303">
        <v>-0.123</v>
      </c>
      <c r="M303">
        <v>-0.73599999999999999</v>
      </c>
      <c r="N303">
        <v>3.91</v>
      </c>
      <c r="O303">
        <v>6.7309999999999999</v>
      </c>
      <c r="P303">
        <v>85.7</v>
      </c>
      <c r="Q303">
        <v>7.8</v>
      </c>
      <c r="R303">
        <v>11.13</v>
      </c>
      <c r="S303">
        <v>4.5359999999999996</v>
      </c>
      <c r="T303">
        <v>-2.5110000000000001</v>
      </c>
      <c r="U303">
        <v>42.23</v>
      </c>
      <c r="V303">
        <v>-2.9409999999999998</v>
      </c>
      <c r="W303" s="6">
        <v>-4.5810000000000004</v>
      </c>
      <c r="X303" s="6">
        <v>3.1349999999999998</v>
      </c>
      <c r="Y303" s="6">
        <v>0.56499999999999995</v>
      </c>
      <c r="Z303" s="6">
        <v>1.8740000000000001</v>
      </c>
      <c r="AA303" s="6">
        <v>0</v>
      </c>
      <c r="AB303" s="6">
        <v>2.0459999999999998</v>
      </c>
      <c r="AC303" s="6">
        <v>9.64</v>
      </c>
      <c r="AD303" s="6">
        <v>-4.7110000000000003</v>
      </c>
      <c r="AE303" s="6">
        <v>8.9999999999999993E-3</v>
      </c>
      <c r="AF303" s="6">
        <v>7.0000000000000001E-3</v>
      </c>
      <c r="AG303" s="6">
        <v>2.0539999999999998</v>
      </c>
      <c r="AH303" s="6"/>
      <c r="AI303" s="6"/>
      <c r="AK303" s="22">
        <f t="shared" si="107"/>
        <v>0</v>
      </c>
      <c r="AL303">
        <f t="shared" si="130"/>
        <v>444.40000000000043</v>
      </c>
      <c r="AM303" s="4">
        <v>9.73</v>
      </c>
      <c r="AN303">
        <v>5.91</v>
      </c>
      <c r="AP303" s="7">
        <f t="shared" si="128"/>
        <v>0.41499999999999998</v>
      </c>
      <c r="AQ303" s="7">
        <f t="shared" si="108"/>
        <v>0.56799999999999995</v>
      </c>
      <c r="AS303">
        <f t="shared" si="109"/>
        <v>5.91</v>
      </c>
      <c r="AT303">
        <f t="shared" si="110"/>
        <v>0.2</v>
      </c>
      <c r="AU303">
        <f t="shared" si="111"/>
        <v>70</v>
      </c>
      <c r="AV303">
        <f t="shared" si="131"/>
        <v>-0.1</v>
      </c>
      <c r="AW303">
        <f t="shared" si="112"/>
        <v>-0.7</v>
      </c>
      <c r="AX303">
        <f t="shared" si="113"/>
        <v>3.9</v>
      </c>
      <c r="AY303">
        <f t="shared" si="114"/>
        <v>6.7</v>
      </c>
      <c r="AZ303">
        <f t="shared" si="115"/>
        <v>85.7</v>
      </c>
      <c r="BA303">
        <f t="shared" si="132"/>
        <v>7.8</v>
      </c>
      <c r="BB303">
        <f t="shared" si="116"/>
        <v>11.1</v>
      </c>
      <c r="BC303">
        <f t="shared" si="117"/>
        <v>4.5</v>
      </c>
      <c r="BD303">
        <f t="shared" si="118"/>
        <v>-2.5</v>
      </c>
      <c r="BE303">
        <f t="shared" si="119"/>
        <v>42.2</v>
      </c>
      <c r="BF303">
        <f t="shared" si="133"/>
        <v>-2.9</v>
      </c>
      <c r="BG303">
        <f t="shared" si="120"/>
        <v>-4.5999999999999996</v>
      </c>
      <c r="BH303">
        <f t="shared" si="121"/>
        <v>3.1</v>
      </c>
      <c r="BI303">
        <f t="shared" si="122"/>
        <v>0.56999999999999995</v>
      </c>
      <c r="BJ303">
        <f t="shared" si="123"/>
        <v>1.87</v>
      </c>
      <c r="BK303">
        <f t="shared" si="124"/>
        <v>0</v>
      </c>
      <c r="BL303">
        <f t="shared" si="125"/>
        <v>0</v>
      </c>
      <c r="BM303">
        <f t="shared" si="126"/>
        <v>0.41499999999999998</v>
      </c>
      <c r="BN303">
        <f t="shared" si="127"/>
        <v>0.56799999999999995</v>
      </c>
    </row>
    <row r="304" spans="1:66" x14ac:dyDescent="0.25">
      <c r="A304">
        <v>2024</v>
      </c>
      <c r="B304" s="1">
        <f t="shared" si="129"/>
        <v>45590</v>
      </c>
      <c r="C304" s="2">
        <v>299</v>
      </c>
      <c r="D304">
        <v>70</v>
      </c>
      <c r="E304" s="6">
        <v>13.02</v>
      </c>
      <c r="F304" s="6">
        <v>-0.13900000000000001</v>
      </c>
      <c r="G304" s="6">
        <v>3.7719999999999998</v>
      </c>
      <c r="H304" s="6">
        <v>-4.9390000000000001</v>
      </c>
      <c r="I304" s="6">
        <v>3.7759999999999998</v>
      </c>
      <c r="J304" s="6">
        <v>1.415</v>
      </c>
      <c r="K304" s="6">
        <v>61.8</v>
      </c>
      <c r="L304">
        <v>1.131</v>
      </c>
      <c r="M304">
        <v>0.182</v>
      </c>
      <c r="N304">
        <v>3.411</v>
      </c>
      <c r="O304">
        <v>4.8630000000000004</v>
      </c>
      <c r="P304">
        <v>85.5</v>
      </c>
      <c r="Q304">
        <v>4.9809999999999999</v>
      </c>
      <c r="R304">
        <v>5.1520000000000001</v>
      </c>
      <c r="S304">
        <v>3.6709999999999998</v>
      </c>
      <c r="T304">
        <v>-2.9140000000000001</v>
      </c>
      <c r="U304">
        <v>38.340000000000003</v>
      </c>
      <c r="V304">
        <v>-3.1749999999999998</v>
      </c>
      <c r="W304" s="6">
        <v>-4.8440000000000003</v>
      </c>
      <c r="X304" s="6">
        <v>3.1219999999999999</v>
      </c>
      <c r="Y304" s="6">
        <v>0.96</v>
      </c>
      <c r="Z304" s="6">
        <v>2.98</v>
      </c>
      <c r="AA304" s="6">
        <v>0</v>
      </c>
      <c r="AB304" s="6">
        <v>1.68</v>
      </c>
      <c r="AC304" s="6">
        <v>3.8410000000000002</v>
      </c>
      <c r="AD304" s="6">
        <v>-4.8579999999999997</v>
      </c>
      <c r="AE304" s="6">
        <v>8.9999999999999993E-3</v>
      </c>
      <c r="AF304" s="6">
        <v>7.0000000000000001E-3</v>
      </c>
      <c r="AG304" s="6">
        <v>1.6659999999999999</v>
      </c>
      <c r="AH304" s="6"/>
      <c r="AI304" s="6"/>
      <c r="AK304" s="22">
        <f t="shared" si="107"/>
        <v>0</v>
      </c>
      <c r="AL304">
        <f t="shared" si="130"/>
        <v>444.40000000000043</v>
      </c>
      <c r="AM304" s="4">
        <v>9.5399999999999991</v>
      </c>
      <c r="AN304">
        <v>3.77</v>
      </c>
      <c r="AP304" s="7">
        <f t="shared" si="128"/>
        <v>0.33100000000000002</v>
      </c>
      <c r="AQ304" s="7">
        <f t="shared" si="108"/>
        <v>0.53200000000000003</v>
      </c>
      <c r="AS304">
        <f t="shared" si="109"/>
        <v>3.77</v>
      </c>
      <c r="AT304">
        <f t="shared" si="110"/>
        <v>1.4</v>
      </c>
      <c r="AU304">
        <f t="shared" si="111"/>
        <v>61.8</v>
      </c>
      <c r="AV304">
        <f t="shared" si="131"/>
        <v>1.1000000000000001</v>
      </c>
      <c r="AW304">
        <f t="shared" si="112"/>
        <v>0.2</v>
      </c>
      <c r="AX304">
        <f t="shared" si="113"/>
        <v>3.4</v>
      </c>
      <c r="AY304">
        <f t="shared" si="114"/>
        <v>4.9000000000000004</v>
      </c>
      <c r="AZ304">
        <f t="shared" si="115"/>
        <v>85.5</v>
      </c>
      <c r="BA304">
        <f t="shared" si="132"/>
        <v>5</v>
      </c>
      <c r="BB304">
        <f t="shared" si="116"/>
        <v>5.2</v>
      </c>
      <c r="BC304">
        <f t="shared" si="117"/>
        <v>3.7</v>
      </c>
      <c r="BD304">
        <f t="shared" si="118"/>
        <v>-2.9</v>
      </c>
      <c r="BE304">
        <f t="shared" si="119"/>
        <v>38.299999999999997</v>
      </c>
      <c r="BF304">
        <f t="shared" si="133"/>
        <v>-3.2</v>
      </c>
      <c r="BG304">
        <f t="shared" si="120"/>
        <v>-4.8</v>
      </c>
      <c r="BH304">
        <f t="shared" si="121"/>
        <v>3.1</v>
      </c>
      <c r="BI304">
        <f t="shared" si="122"/>
        <v>0.96</v>
      </c>
      <c r="BJ304">
        <f t="shared" si="123"/>
        <v>2.98</v>
      </c>
      <c r="BK304">
        <f t="shared" si="124"/>
        <v>0</v>
      </c>
      <c r="BL304">
        <f t="shared" si="125"/>
        <v>0</v>
      </c>
      <c r="BM304">
        <f t="shared" si="126"/>
        <v>0.33100000000000002</v>
      </c>
      <c r="BN304">
        <f t="shared" si="127"/>
        <v>0.53200000000000003</v>
      </c>
    </row>
    <row r="305" spans="1:66" x14ac:dyDescent="0.25">
      <c r="A305">
        <v>2024</v>
      </c>
      <c r="B305" s="1">
        <f t="shared" si="129"/>
        <v>45591</v>
      </c>
      <c r="C305" s="2">
        <v>300</v>
      </c>
      <c r="D305">
        <v>70</v>
      </c>
      <c r="E305" s="6">
        <v>12.91</v>
      </c>
      <c r="F305" s="6">
        <v>3.98</v>
      </c>
      <c r="G305" s="6">
        <v>8.08</v>
      </c>
      <c r="H305" s="6">
        <v>0.47599999999999998</v>
      </c>
      <c r="I305" s="6">
        <v>2.593</v>
      </c>
      <c r="J305" s="6">
        <v>4.8319999999999999</v>
      </c>
      <c r="K305" s="6">
        <v>79.900000000000006</v>
      </c>
      <c r="M305">
        <v>3.99</v>
      </c>
      <c r="N305">
        <v>4.069</v>
      </c>
      <c r="O305">
        <v>8.81</v>
      </c>
      <c r="P305">
        <v>91.7</v>
      </c>
      <c r="R305">
        <v>10.1</v>
      </c>
      <c r="S305">
        <v>4.9379999999999997</v>
      </c>
      <c r="T305">
        <v>0.55800000000000005</v>
      </c>
      <c r="U305">
        <v>40.76</v>
      </c>
      <c r="W305" s="6">
        <v>-0.26400000000000001</v>
      </c>
      <c r="X305" s="6">
        <v>3.194</v>
      </c>
      <c r="Y305" s="6">
        <v>0.78600000000000003</v>
      </c>
      <c r="Z305" s="6">
        <v>2.86</v>
      </c>
      <c r="AA305" s="6">
        <v>3.9</v>
      </c>
      <c r="AB305" s="6">
        <v>0</v>
      </c>
      <c r="AC305" s="6">
        <v>8.16</v>
      </c>
      <c r="AD305" s="6">
        <v>0.70199999999999996</v>
      </c>
      <c r="AE305" s="6">
        <v>8.9999999999999993E-3</v>
      </c>
      <c r="AF305" s="6">
        <v>6.0000000000000001E-3</v>
      </c>
      <c r="AG305" s="6">
        <v>0</v>
      </c>
      <c r="AH305" s="6"/>
      <c r="AI305" s="6"/>
      <c r="AK305" s="22">
        <f t="shared" si="107"/>
        <v>3.9</v>
      </c>
      <c r="AL305">
        <f t="shared" si="130"/>
        <v>448.30000000000041</v>
      </c>
      <c r="AM305" s="4">
        <v>9.36</v>
      </c>
      <c r="AN305">
        <v>2.59</v>
      </c>
      <c r="AP305" s="7">
        <f t="shared" si="128"/>
        <v>0.46200000000000002</v>
      </c>
      <c r="AQ305" s="7">
        <f t="shared" si="108"/>
        <v>0.67100000000000004</v>
      </c>
      <c r="AS305">
        <f t="shared" si="109"/>
        <v>2.59</v>
      </c>
      <c r="AT305">
        <f t="shared" si="110"/>
        <v>4.8</v>
      </c>
      <c r="AU305">
        <f t="shared" si="111"/>
        <v>79.900000000000006</v>
      </c>
      <c r="AV305" t="s">
        <v>104</v>
      </c>
      <c r="AW305">
        <f t="shared" si="112"/>
        <v>4</v>
      </c>
      <c r="AX305">
        <f t="shared" si="113"/>
        <v>4.0999999999999996</v>
      </c>
      <c r="AY305">
        <f t="shared" si="114"/>
        <v>8.8000000000000007</v>
      </c>
      <c r="AZ305">
        <f t="shared" si="115"/>
        <v>91.7</v>
      </c>
      <c r="BA305" t="s">
        <v>104</v>
      </c>
      <c r="BB305">
        <f t="shared" si="116"/>
        <v>10.1</v>
      </c>
      <c r="BC305">
        <f t="shared" si="117"/>
        <v>4.9000000000000004</v>
      </c>
      <c r="BD305">
        <f t="shared" si="118"/>
        <v>0.6</v>
      </c>
      <c r="BE305">
        <f t="shared" si="119"/>
        <v>40.799999999999997</v>
      </c>
      <c r="BF305" t="s">
        <v>104</v>
      </c>
      <c r="BG305">
        <f t="shared" si="120"/>
        <v>-0.3</v>
      </c>
      <c r="BH305">
        <f t="shared" si="121"/>
        <v>3.2</v>
      </c>
      <c r="BI305">
        <f t="shared" si="122"/>
        <v>0.79</v>
      </c>
      <c r="BJ305">
        <f t="shared" si="123"/>
        <v>2.86</v>
      </c>
      <c r="BK305">
        <f t="shared" si="124"/>
        <v>0</v>
      </c>
      <c r="BL305">
        <f t="shared" si="125"/>
        <v>3.9</v>
      </c>
      <c r="BM305">
        <f t="shared" si="126"/>
        <v>0.46200000000000002</v>
      </c>
      <c r="BN305">
        <f t="shared" si="127"/>
        <v>0.67100000000000004</v>
      </c>
    </row>
    <row r="306" spans="1:66" x14ac:dyDescent="0.25">
      <c r="A306">
        <v>2024</v>
      </c>
      <c r="B306" s="1">
        <f t="shared" si="129"/>
        <v>45592</v>
      </c>
      <c r="C306" s="2">
        <v>301</v>
      </c>
      <c r="D306">
        <v>70</v>
      </c>
      <c r="E306" s="6">
        <v>13.02</v>
      </c>
      <c r="F306" s="6">
        <v>4.2869999999999999</v>
      </c>
      <c r="G306" s="6">
        <v>9.23</v>
      </c>
      <c r="H306" s="6">
        <v>1.3129999999999999</v>
      </c>
      <c r="I306" s="6">
        <v>5.3339999999999996</v>
      </c>
      <c r="J306" s="6">
        <v>4.8529999999999998</v>
      </c>
      <c r="K306" s="6">
        <v>76.7</v>
      </c>
      <c r="M306">
        <v>3.9510000000000001</v>
      </c>
      <c r="N306">
        <v>5.04</v>
      </c>
      <c r="O306">
        <v>8.43</v>
      </c>
      <c r="P306">
        <v>91.4</v>
      </c>
      <c r="R306">
        <v>8.68</v>
      </c>
      <c r="S306">
        <v>6.1719999999999997</v>
      </c>
      <c r="T306">
        <v>2.5089999999999999</v>
      </c>
      <c r="U306">
        <v>57.56</v>
      </c>
      <c r="W306" s="6">
        <v>0.89900000000000002</v>
      </c>
      <c r="X306" s="6">
        <v>4.6440000000000001</v>
      </c>
      <c r="Y306" s="6">
        <v>0.995</v>
      </c>
      <c r="Z306" s="6">
        <v>2.6869999999999998</v>
      </c>
      <c r="AA306" s="6">
        <v>4</v>
      </c>
      <c r="AB306" s="6">
        <v>2.1960000000000002</v>
      </c>
      <c r="AC306" s="6">
        <v>9.7899999999999991</v>
      </c>
      <c r="AD306" s="6">
        <v>1.4890000000000001</v>
      </c>
      <c r="AE306" s="6">
        <v>8.9999999999999993E-3</v>
      </c>
      <c r="AF306" s="6">
        <v>7.0000000000000001E-3</v>
      </c>
      <c r="AG306" s="6">
        <v>2.1840000000000002</v>
      </c>
      <c r="AH306" s="6"/>
      <c r="AI306" s="6"/>
      <c r="AK306" s="22">
        <f t="shared" ref="AK306:AK322" si="134">AA306</f>
        <v>4</v>
      </c>
      <c r="AL306">
        <f t="shared" si="130"/>
        <v>452.30000000000041</v>
      </c>
      <c r="AM306" s="4">
        <v>9.18</v>
      </c>
      <c r="AN306">
        <v>5.33</v>
      </c>
      <c r="AP306" s="7">
        <f t="shared" si="128"/>
        <v>0.63600000000000001</v>
      </c>
      <c r="AQ306" s="7">
        <f t="shared" si="108"/>
        <v>0.46899999999999997</v>
      </c>
      <c r="AS306">
        <f t="shared" si="109"/>
        <v>5.33</v>
      </c>
      <c r="AT306">
        <f t="shared" si="110"/>
        <v>4.9000000000000004</v>
      </c>
      <c r="AU306">
        <f t="shared" si="111"/>
        <v>76.7</v>
      </c>
      <c r="AV306" t="s">
        <v>104</v>
      </c>
      <c r="AW306">
        <f t="shared" si="112"/>
        <v>4</v>
      </c>
      <c r="AX306">
        <f t="shared" si="113"/>
        <v>5</v>
      </c>
      <c r="AY306">
        <f t="shared" si="114"/>
        <v>8.4</v>
      </c>
      <c r="AZ306">
        <f t="shared" si="115"/>
        <v>91.4</v>
      </c>
      <c r="BA306" t="s">
        <v>104</v>
      </c>
      <c r="BB306">
        <f t="shared" si="116"/>
        <v>8.6999999999999993</v>
      </c>
      <c r="BC306">
        <f t="shared" si="117"/>
        <v>6.2</v>
      </c>
      <c r="BD306">
        <f t="shared" si="118"/>
        <v>2.5</v>
      </c>
      <c r="BE306">
        <f t="shared" si="119"/>
        <v>57.6</v>
      </c>
      <c r="BF306" t="s">
        <v>104</v>
      </c>
      <c r="BG306">
        <f t="shared" si="120"/>
        <v>0.9</v>
      </c>
      <c r="BH306">
        <f t="shared" si="121"/>
        <v>4.5999999999999996</v>
      </c>
      <c r="BI306">
        <f t="shared" si="122"/>
        <v>1</v>
      </c>
      <c r="BJ306">
        <f t="shared" si="123"/>
        <v>2.69</v>
      </c>
      <c r="BK306">
        <f t="shared" si="124"/>
        <v>0</v>
      </c>
      <c r="BL306">
        <f t="shared" si="125"/>
        <v>4</v>
      </c>
      <c r="BM306">
        <f t="shared" si="126"/>
        <v>0.63600000000000001</v>
      </c>
      <c r="BN306">
        <f t="shared" si="127"/>
        <v>0.46899999999999997</v>
      </c>
    </row>
    <row r="307" spans="1:66" x14ac:dyDescent="0.25">
      <c r="A307">
        <v>2024</v>
      </c>
      <c r="B307" s="1">
        <f t="shared" si="129"/>
        <v>45593</v>
      </c>
      <c r="C307" s="2">
        <v>302</v>
      </c>
      <c r="D307">
        <v>70</v>
      </c>
      <c r="E307" s="6">
        <v>13.03</v>
      </c>
      <c r="F307" s="6">
        <v>1.726</v>
      </c>
      <c r="G307" s="6">
        <v>8.06</v>
      </c>
      <c r="H307" s="6">
        <v>-2.036</v>
      </c>
      <c r="I307" s="6">
        <v>4.7060000000000004</v>
      </c>
      <c r="J307" s="6">
        <v>2.2309999999999999</v>
      </c>
      <c r="K307" s="6">
        <v>78.7</v>
      </c>
      <c r="M307">
        <v>1.865</v>
      </c>
      <c r="N307">
        <v>4.625</v>
      </c>
      <c r="O307">
        <v>7.61</v>
      </c>
      <c r="P307">
        <v>93.3</v>
      </c>
      <c r="Q307">
        <v>7.95</v>
      </c>
      <c r="R307">
        <v>12.12</v>
      </c>
      <c r="S307">
        <v>5.43</v>
      </c>
      <c r="T307">
        <v>-1.3120000000000001</v>
      </c>
      <c r="U307">
        <v>54.01</v>
      </c>
      <c r="W307" s="6">
        <v>-2.4660000000000002</v>
      </c>
      <c r="X307" s="6">
        <v>4.1879999999999997</v>
      </c>
      <c r="Y307" s="6">
        <v>0.79300000000000004</v>
      </c>
      <c r="Z307" s="6">
        <v>2.6869999999999998</v>
      </c>
      <c r="AA307" s="6">
        <v>0.1</v>
      </c>
      <c r="AB307" s="6">
        <v>1.998</v>
      </c>
      <c r="AC307" s="6">
        <v>8.25</v>
      </c>
      <c r="AD307" s="6">
        <v>-1.4259999999999999</v>
      </c>
      <c r="AE307" s="6">
        <v>8.9999999999999993E-3</v>
      </c>
      <c r="AF307" s="6">
        <v>7.0000000000000001E-3</v>
      </c>
      <c r="AG307" s="6">
        <v>2.0019999999999998</v>
      </c>
      <c r="AH307" s="6"/>
      <c r="AI307" s="6"/>
      <c r="AK307" s="22">
        <f t="shared" si="134"/>
        <v>0.1</v>
      </c>
      <c r="AL307">
        <f t="shared" si="130"/>
        <v>452.40000000000043</v>
      </c>
      <c r="AM307" s="4">
        <v>9.01</v>
      </c>
      <c r="AN307">
        <v>4.71</v>
      </c>
      <c r="AP307" s="7">
        <f t="shared" si="128"/>
        <v>0.56399999999999995</v>
      </c>
      <c r="AQ307" s="7">
        <f t="shared" si="108"/>
        <v>0.48</v>
      </c>
      <c r="AS307">
        <f t="shared" si="109"/>
        <v>4.71</v>
      </c>
      <c r="AT307">
        <f t="shared" si="110"/>
        <v>2.2000000000000002</v>
      </c>
      <c r="AU307">
        <f t="shared" si="111"/>
        <v>78.7</v>
      </c>
      <c r="AV307" t="s">
        <v>104</v>
      </c>
      <c r="AW307">
        <f t="shared" si="112"/>
        <v>1.9</v>
      </c>
      <c r="AX307">
        <f t="shared" si="113"/>
        <v>4.5999999999999996</v>
      </c>
      <c r="AY307">
        <f t="shared" si="114"/>
        <v>7.6</v>
      </c>
      <c r="AZ307">
        <f t="shared" si="115"/>
        <v>93.3</v>
      </c>
      <c r="BA307">
        <f>ROUND(Q307,1)</f>
        <v>8</v>
      </c>
      <c r="BB307">
        <f t="shared" si="116"/>
        <v>12.1</v>
      </c>
      <c r="BC307">
        <f t="shared" si="117"/>
        <v>5.4</v>
      </c>
      <c r="BD307">
        <f t="shared" si="118"/>
        <v>-1.3</v>
      </c>
      <c r="BE307">
        <f t="shared" si="119"/>
        <v>54</v>
      </c>
      <c r="BF307" t="s">
        <v>104</v>
      </c>
      <c r="BG307">
        <f t="shared" si="120"/>
        <v>-2.5</v>
      </c>
      <c r="BH307">
        <f t="shared" si="121"/>
        <v>4.2</v>
      </c>
      <c r="BI307">
        <f t="shared" si="122"/>
        <v>0.79</v>
      </c>
      <c r="BJ307">
        <f t="shared" si="123"/>
        <v>2.69</v>
      </c>
      <c r="BK307">
        <f t="shared" si="124"/>
        <v>0</v>
      </c>
      <c r="BL307">
        <f t="shared" si="125"/>
        <v>0.1</v>
      </c>
      <c r="BM307">
        <f t="shared" si="126"/>
        <v>0.56399999999999995</v>
      </c>
      <c r="BN307">
        <f t="shared" si="127"/>
        <v>0.48</v>
      </c>
    </row>
    <row r="308" spans="1:66" x14ac:dyDescent="0.25">
      <c r="A308">
        <v>2024</v>
      </c>
      <c r="B308" s="1">
        <f t="shared" si="129"/>
        <v>45594</v>
      </c>
      <c r="C308" s="2">
        <v>303</v>
      </c>
      <c r="D308">
        <v>70</v>
      </c>
      <c r="E308" s="6">
        <v>13.06</v>
      </c>
      <c r="F308" s="6">
        <v>-1.8740000000000001</v>
      </c>
      <c r="G308" s="6">
        <v>4.3029999999999999</v>
      </c>
      <c r="H308" s="6">
        <v>-5.7839999999999998</v>
      </c>
      <c r="I308" s="6">
        <v>4.8719999999999999</v>
      </c>
      <c r="J308" s="6">
        <v>-0.44400000000000001</v>
      </c>
      <c r="K308" s="6">
        <v>81.400000000000006</v>
      </c>
      <c r="L308">
        <v>-1.1919999999999999</v>
      </c>
      <c r="M308">
        <v>-1.9690000000000001</v>
      </c>
      <c r="N308">
        <v>3.8149999999999999</v>
      </c>
      <c r="O308">
        <v>4.0570000000000004</v>
      </c>
      <c r="P308">
        <v>92.2</v>
      </c>
      <c r="Q308">
        <v>3.7949999999999999</v>
      </c>
      <c r="R308">
        <v>7.37</v>
      </c>
      <c r="S308">
        <v>4.3609999999999998</v>
      </c>
      <c r="T308">
        <v>-4.1929999999999996</v>
      </c>
      <c r="U308">
        <v>56.97</v>
      </c>
      <c r="V308">
        <v>-4.7939999999999996</v>
      </c>
      <c r="W308" s="6">
        <v>-5.6340000000000003</v>
      </c>
      <c r="X308" s="6">
        <v>3.0819999999999999</v>
      </c>
      <c r="Y308" s="6">
        <v>0.247</v>
      </c>
      <c r="Z308" s="6">
        <v>1.6870000000000001</v>
      </c>
      <c r="AA308" s="6">
        <v>2.4</v>
      </c>
      <c r="AB308" s="6">
        <v>1.9730000000000001</v>
      </c>
      <c r="AC308" s="6">
        <v>5.0119999999999996</v>
      </c>
      <c r="AD308" s="6">
        <v>-5.6589999999999998</v>
      </c>
      <c r="AE308" s="6">
        <v>8.9999999999999993E-3</v>
      </c>
      <c r="AF308" s="6">
        <v>6.0000000000000001E-3</v>
      </c>
      <c r="AG308" s="6">
        <v>1.972</v>
      </c>
      <c r="AH308" s="6"/>
      <c r="AI308" s="6"/>
      <c r="AK308" s="22">
        <f t="shared" si="134"/>
        <v>2.4</v>
      </c>
      <c r="AL308">
        <f t="shared" si="130"/>
        <v>454.80000000000041</v>
      </c>
      <c r="AM308" s="4">
        <v>8.83</v>
      </c>
      <c r="AN308">
        <v>4.87</v>
      </c>
      <c r="AP308" s="7">
        <f t="shared" si="128"/>
        <v>0.46500000000000002</v>
      </c>
      <c r="AQ308" s="7">
        <f t="shared" si="108"/>
        <v>0.35099999999999998</v>
      </c>
      <c r="AS308">
        <f t="shared" si="109"/>
        <v>4.87</v>
      </c>
      <c r="AT308">
        <f t="shared" si="110"/>
        <v>-0.4</v>
      </c>
      <c r="AU308">
        <f t="shared" si="111"/>
        <v>81.400000000000006</v>
      </c>
      <c r="AV308">
        <f>ROUND(L308,1)</f>
        <v>-1.2</v>
      </c>
      <c r="AW308">
        <f t="shared" si="112"/>
        <v>-2</v>
      </c>
      <c r="AX308">
        <f t="shared" si="113"/>
        <v>3.8</v>
      </c>
      <c r="AY308">
        <f t="shared" si="114"/>
        <v>4.0999999999999996</v>
      </c>
      <c r="AZ308">
        <f t="shared" si="115"/>
        <v>92.2</v>
      </c>
      <c r="BA308">
        <f>ROUND(Q308,1)</f>
        <v>3.8</v>
      </c>
      <c r="BB308">
        <f t="shared" si="116"/>
        <v>7.4</v>
      </c>
      <c r="BC308">
        <f t="shared" si="117"/>
        <v>4.4000000000000004</v>
      </c>
      <c r="BD308">
        <f t="shared" si="118"/>
        <v>-4.2</v>
      </c>
      <c r="BE308">
        <f t="shared" si="119"/>
        <v>57</v>
      </c>
      <c r="BF308">
        <f>ROUND(V308,1)</f>
        <v>-4.8</v>
      </c>
      <c r="BG308">
        <f t="shared" si="120"/>
        <v>-5.6</v>
      </c>
      <c r="BH308">
        <f t="shared" si="121"/>
        <v>3.1</v>
      </c>
      <c r="BI308">
        <f t="shared" si="122"/>
        <v>0.25</v>
      </c>
      <c r="BJ308">
        <f t="shared" si="123"/>
        <v>1.69</v>
      </c>
      <c r="BK308">
        <f t="shared" si="124"/>
        <v>0</v>
      </c>
      <c r="BL308">
        <f t="shared" si="125"/>
        <v>2.4</v>
      </c>
      <c r="BM308">
        <f t="shared" si="126"/>
        <v>0.46500000000000002</v>
      </c>
      <c r="BN308">
        <f t="shared" si="127"/>
        <v>0.35099999999999998</v>
      </c>
    </row>
    <row r="309" spans="1:66" x14ac:dyDescent="0.25">
      <c r="A309">
        <v>2024</v>
      </c>
      <c r="B309" s="1">
        <f t="shared" si="129"/>
        <v>45595</v>
      </c>
      <c r="C309" s="2">
        <v>304</v>
      </c>
      <c r="D309">
        <v>70</v>
      </c>
      <c r="E309" s="6">
        <v>12.9</v>
      </c>
      <c r="F309" s="6">
        <v>-0.53900000000000003</v>
      </c>
      <c r="G309" s="6">
        <v>2.6520000000000001</v>
      </c>
      <c r="H309" s="6">
        <v>-3.343</v>
      </c>
      <c r="I309" s="6">
        <v>3.1179999999999999</v>
      </c>
      <c r="J309" s="6">
        <v>0.307</v>
      </c>
      <c r="K309" s="6">
        <v>81.3</v>
      </c>
      <c r="L309">
        <v>-8.1000000000000003E-2</v>
      </c>
      <c r="M309">
        <v>-0.45800000000000002</v>
      </c>
      <c r="N309">
        <v>3.36</v>
      </c>
      <c r="O309">
        <v>3.0489999999999999</v>
      </c>
      <c r="P309">
        <v>91.8</v>
      </c>
      <c r="Q309">
        <v>2.95</v>
      </c>
      <c r="R309">
        <v>3.3759999999999999</v>
      </c>
      <c r="S309">
        <v>3.57</v>
      </c>
      <c r="T309">
        <v>-1.514</v>
      </c>
      <c r="U309">
        <v>60.87</v>
      </c>
      <c r="V309">
        <v>-2.13</v>
      </c>
      <c r="W309" s="6">
        <v>-3.5449999999999999</v>
      </c>
      <c r="X309" s="6">
        <v>3.093</v>
      </c>
      <c r="Y309" s="6">
        <v>0.48899999999999999</v>
      </c>
      <c r="Z309" s="6">
        <v>2.8740000000000001</v>
      </c>
      <c r="AA309" s="6">
        <v>0</v>
      </c>
      <c r="AB309" s="6">
        <v>2.0099999999999998</v>
      </c>
      <c r="AC309" s="6">
        <v>2.7570000000000001</v>
      </c>
      <c r="AD309" s="6">
        <v>-3.214</v>
      </c>
      <c r="AE309" s="6">
        <v>8.9999999999999993E-3</v>
      </c>
      <c r="AF309" s="6">
        <v>6.0000000000000001E-3</v>
      </c>
      <c r="AG309" s="6">
        <v>2.008</v>
      </c>
      <c r="AH309" s="6"/>
      <c r="AI309" s="6"/>
      <c r="AK309" s="22">
        <f t="shared" si="134"/>
        <v>0</v>
      </c>
      <c r="AL309">
        <f t="shared" si="130"/>
        <v>454.80000000000041</v>
      </c>
      <c r="AM309" s="4">
        <v>8.65</v>
      </c>
      <c r="AN309">
        <v>3.11</v>
      </c>
      <c r="AP309" s="7">
        <f t="shared" si="128"/>
        <v>0.46300000000000002</v>
      </c>
      <c r="AQ309" s="7">
        <f t="shared" si="108"/>
        <v>0.29799999999999999</v>
      </c>
      <c r="AS309">
        <f t="shared" si="109"/>
        <v>3.11</v>
      </c>
      <c r="AT309">
        <f t="shared" si="110"/>
        <v>0.3</v>
      </c>
      <c r="AU309">
        <f t="shared" si="111"/>
        <v>81.3</v>
      </c>
      <c r="AV309">
        <f>ROUND(L309,1)</f>
        <v>-0.1</v>
      </c>
      <c r="AW309">
        <f t="shared" si="112"/>
        <v>-0.5</v>
      </c>
      <c r="AX309">
        <f t="shared" si="113"/>
        <v>3.4</v>
      </c>
      <c r="AY309">
        <f t="shared" si="114"/>
        <v>3</v>
      </c>
      <c r="AZ309">
        <f t="shared" si="115"/>
        <v>91.8</v>
      </c>
      <c r="BA309">
        <f>ROUND(Q309,1)</f>
        <v>3</v>
      </c>
      <c r="BB309">
        <f t="shared" si="116"/>
        <v>3.4</v>
      </c>
      <c r="BC309">
        <f t="shared" si="117"/>
        <v>3.6</v>
      </c>
      <c r="BD309">
        <f t="shared" si="118"/>
        <v>-1.5</v>
      </c>
      <c r="BE309">
        <f t="shared" si="119"/>
        <v>60.9</v>
      </c>
      <c r="BF309">
        <f>ROUND(V309,1)</f>
        <v>-2.1</v>
      </c>
      <c r="BG309">
        <f t="shared" si="120"/>
        <v>-3.5</v>
      </c>
      <c r="BH309">
        <f t="shared" si="121"/>
        <v>3.1</v>
      </c>
      <c r="BI309">
        <f t="shared" si="122"/>
        <v>0.49</v>
      </c>
      <c r="BJ309">
        <f t="shared" si="123"/>
        <v>2.87</v>
      </c>
      <c r="BK309">
        <f t="shared" si="124"/>
        <v>0</v>
      </c>
      <c r="BL309">
        <f t="shared" si="125"/>
        <v>0</v>
      </c>
      <c r="BM309">
        <f t="shared" si="126"/>
        <v>0.46300000000000002</v>
      </c>
      <c r="BN309">
        <f t="shared" si="127"/>
        <v>0.29799999999999999</v>
      </c>
    </row>
    <row r="310" spans="1:66" x14ac:dyDescent="0.25">
      <c r="A310">
        <v>2024</v>
      </c>
      <c r="B310" s="1">
        <f t="shared" si="129"/>
        <v>45596</v>
      </c>
      <c r="C310" s="2">
        <v>305</v>
      </c>
      <c r="D310">
        <v>70</v>
      </c>
      <c r="E310" s="6">
        <v>12.86</v>
      </c>
      <c r="F310" s="6">
        <v>-0.56100000000000005</v>
      </c>
      <c r="G310" s="6">
        <v>1.5429999999999999</v>
      </c>
      <c r="H310" s="6">
        <v>-2.714</v>
      </c>
      <c r="I310" s="6">
        <v>1.9570000000000001</v>
      </c>
      <c r="J310" s="6">
        <v>0.317</v>
      </c>
      <c r="K310" s="6">
        <v>89.6</v>
      </c>
      <c r="L310">
        <v>-0.42799999999999999</v>
      </c>
      <c r="M310">
        <v>-0.28799999999999998</v>
      </c>
      <c r="N310">
        <v>3.4529999999999998</v>
      </c>
      <c r="O310">
        <v>2.98</v>
      </c>
      <c r="P310">
        <v>92.6</v>
      </c>
      <c r="Q310">
        <v>1.804</v>
      </c>
      <c r="R310">
        <v>2.9220000000000002</v>
      </c>
      <c r="S310">
        <v>3.76</v>
      </c>
      <c r="T310">
        <v>-1.514</v>
      </c>
      <c r="U310">
        <v>83.2</v>
      </c>
      <c r="V310">
        <v>-2.2639999999999998</v>
      </c>
      <c r="W310" s="6">
        <v>-2.641</v>
      </c>
      <c r="X310" s="6">
        <v>3.274</v>
      </c>
      <c r="Y310" s="6">
        <v>0.13300000000000001</v>
      </c>
      <c r="Z310" s="6">
        <v>1.78</v>
      </c>
      <c r="AA310" s="6">
        <v>3.8</v>
      </c>
      <c r="AB310" s="6">
        <v>2.1739999999999999</v>
      </c>
      <c r="AC310" s="6">
        <v>1.5920000000000001</v>
      </c>
      <c r="AD310" s="6">
        <v>-2.423</v>
      </c>
      <c r="AE310" s="6">
        <v>8.9999999999999993E-3</v>
      </c>
      <c r="AF310" s="6">
        <v>6.0000000000000001E-3</v>
      </c>
      <c r="AG310" s="6">
        <v>2.1779999999999999</v>
      </c>
      <c r="AH310" s="6"/>
      <c r="AI310" s="6"/>
      <c r="AK310" s="22">
        <f t="shared" si="134"/>
        <v>3.8</v>
      </c>
      <c r="AL310">
        <f t="shared" si="130"/>
        <v>458.60000000000042</v>
      </c>
      <c r="AM310" s="4">
        <v>8.49</v>
      </c>
      <c r="AN310">
        <v>1.96</v>
      </c>
      <c r="AP310" s="7">
        <f t="shared" si="128"/>
        <v>0.629</v>
      </c>
      <c r="AQ310" s="7">
        <f t="shared" si="108"/>
        <v>0.127</v>
      </c>
      <c r="AS310">
        <f t="shared" si="109"/>
        <v>1.96</v>
      </c>
      <c r="AT310">
        <f t="shared" si="110"/>
        <v>0.3</v>
      </c>
      <c r="AU310">
        <f t="shared" si="111"/>
        <v>89.6</v>
      </c>
      <c r="AV310">
        <f>ROUND(L310,1)</f>
        <v>-0.4</v>
      </c>
      <c r="AW310">
        <f t="shared" si="112"/>
        <v>-0.3</v>
      </c>
      <c r="AX310">
        <f t="shared" si="113"/>
        <v>3.5</v>
      </c>
      <c r="AY310">
        <f t="shared" si="114"/>
        <v>3</v>
      </c>
      <c r="AZ310">
        <f t="shared" si="115"/>
        <v>92.6</v>
      </c>
      <c r="BA310">
        <f>ROUND(Q310,1)</f>
        <v>1.8</v>
      </c>
      <c r="BB310">
        <f t="shared" si="116"/>
        <v>2.9</v>
      </c>
      <c r="BC310">
        <f t="shared" si="117"/>
        <v>3.8</v>
      </c>
      <c r="BD310">
        <f t="shared" si="118"/>
        <v>-1.5</v>
      </c>
      <c r="BE310">
        <f t="shared" si="119"/>
        <v>83.2</v>
      </c>
      <c r="BF310">
        <f>ROUND(V310,1)</f>
        <v>-2.2999999999999998</v>
      </c>
      <c r="BG310">
        <f t="shared" si="120"/>
        <v>-2.6</v>
      </c>
      <c r="BH310">
        <f t="shared" si="121"/>
        <v>3.3</v>
      </c>
      <c r="BI310">
        <f t="shared" si="122"/>
        <v>0.13</v>
      </c>
      <c r="BJ310">
        <f t="shared" si="123"/>
        <v>1.78</v>
      </c>
      <c r="BK310">
        <f t="shared" si="124"/>
        <v>0</v>
      </c>
      <c r="BL310">
        <f t="shared" si="125"/>
        <v>3.8</v>
      </c>
      <c r="BM310">
        <f t="shared" si="126"/>
        <v>0.629</v>
      </c>
      <c r="BN310">
        <f t="shared" si="127"/>
        <v>0.127</v>
      </c>
    </row>
    <row r="311" spans="1:66" x14ac:dyDescent="0.25">
      <c r="A311">
        <v>2024</v>
      </c>
      <c r="B311" s="1">
        <f t="shared" si="129"/>
        <v>45597</v>
      </c>
      <c r="C311" s="2">
        <v>306</v>
      </c>
      <c r="D311">
        <v>70</v>
      </c>
      <c r="E311" s="6">
        <v>12.79</v>
      </c>
      <c r="F311" s="6">
        <v>-0.82299999999999995</v>
      </c>
      <c r="G311" s="6">
        <v>0.187</v>
      </c>
      <c r="H311" s="6">
        <v>-2.8980000000000001</v>
      </c>
      <c r="I311" s="6">
        <v>0.53</v>
      </c>
      <c r="J311" s="6">
        <v>-0.21199999999999999</v>
      </c>
      <c r="K311" s="6">
        <v>90.2</v>
      </c>
      <c r="L311">
        <v>-0.76</v>
      </c>
      <c r="M311">
        <v>-0.56899999999999995</v>
      </c>
      <c r="N311">
        <v>3.1190000000000002</v>
      </c>
      <c r="O311">
        <v>0.63400000000000001</v>
      </c>
      <c r="P311">
        <v>93.1</v>
      </c>
      <c r="Q311">
        <v>3.6999999999999998E-2</v>
      </c>
      <c r="R311">
        <v>6.7000000000000004E-2</v>
      </c>
      <c r="S311">
        <v>3.3370000000000002</v>
      </c>
      <c r="T311">
        <v>-1.85</v>
      </c>
      <c r="U311">
        <v>78.5</v>
      </c>
      <c r="V311">
        <v>-2.5859999999999999</v>
      </c>
      <c r="W311" s="6">
        <v>-2.7370000000000001</v>
      </c>
      <c r="X311" s="6">
        <v>3.0259999999999998</v>
      </c>
      <c r="Y311" s="6">
        <v>0.505</v>
      </c>
      <c r="Z311" s="6">
        <v>1.62</v>
      </c>
      <c r="AA311" s="6">
        <v>0</v>
      </c>
      <c r="AB311" s="6">
        <v>1.9470000000000001</v>
      </c>
      <c r="AC311" s="6">
        <v>0.27200000000000002</v>
      </c>
      <c r="AD311" s="6">
        <v>-2.6930000000000001</v>
      </c>
      <c r="AE311" s="6">
        <v>8.9999999999999993E-3</v>
      </c>
      <c r="AF311" s="6">
        <v>7.0000000000000001E-3</v>
      </c>
      <c r="AG311" s="6">
        <v>1.944</v>
      </c>
      <c r="AH311" s="6"/>
      <c r="AI311" s="6"/>
      <c r="AK311" s="22">
        <f t="shared" si="134"/>
        <v>0</v>
      </c>
      <c r="AL311">
        <f t="shared" si="130"/>
        <v>458.60000000000042</v>
      </c>
      <c r="AM311" s="4">
        <v>8.32</v>
      </c>
      <c r="AN311">
        <v>0.53</v>
      </c>
      <c r="AP311" s="7">
        <f t="shared" si="128"/>
        <v>0.502</v>
      </c>
      <c r="AQ311" s="7">
        <f t="shared" si="108"/>
        <v>0.13700000000000001</v>
      </c>
      <c r="AS311">
        <f t="shared" si="109"/>
        <v>0.53</v>
      </c>
      <c r="AT311">
        <f t="shared" si="110"/>
        <v>-0.2</v>
      </c>
      <c r="AU311">
        <f t="shared" si="111"/>
        <v>90.2</v>
      </c>
      <c r="AV311">
        <f>ROUND(L311,1)</f>
        <v>-0.8</v>
      </c>
      <c r="AW311">
        <f t="shared" si="112"/>
        <v>-0.6</v>
      </c>
      <c r="AX311">
        <f t="shared" si="113"/>
        <v>3.1</v>
      </c>
      <c r="AY311">
        <f t="shared" si="114"/>
        <v>0.6</v>
      </c>
      <c r="AZ311">
        <f t="shared" si="115"/>
        <v>93.1</v>
      </c>
      <c r="BA311">
        <f>ROUND(Q311,1)</f>
        <v>0</v>
      </c>
      <c r="BB311">
        <f t="shared" si="116"/>
        <v>0.1</v>
      </c>
      <c r="BC311">
        <f t="shared" si="117"/>
        <v>3.3</v>
      </c>
      <c r="BD311">
        <f t="shared" si="118"/>
        <v>-1.9</v>
      </c>
      <c r="BE311">
        <f t="shared" si="119"/>
        <v>78.5</v>
      </c>
      <c r="BF311">
        <f>ROUND(V311,1)</f>
        <v>-2.6</v>
      </c>
      <c r="BG311">
        <f t="shared" si="120"/>
        <v>-2.7</v>
      </c>
      <c r="BH311">
        <f t="shared" si="121"/>
        <v>3</v>
      </c>
      <c r="BI311">
        <f t="shared" si="122"/>
        <v>0.51</v>
      </c>
      <c r="BJ311">
        <f t="shared" si="123"/>
        <v>1.62</v>
      </c>
      <c r="BK311">
        <f t="shared" si="124"/>
        <v>0</v>
      </c>
      <c r="BL311">
        <f t="shared" si="125"/>
        <v>0</v>
      </c>
      <c r="BM311">
        <f t="shared" si="126"/>
        <v>0.502</v>
      </c>
      <c r="BN311">
        <f t="shared" si="127"/>
        <v>0.13700000000000001</v>
      </c>
    </row>
    <row r="312" spans="1:66" x14ac:dyDescent="0.25">
      <c r="A312">
        <v>2024</v>
      </c>
      <c r="B312" s="1">
        <f t="shared" si="129"/>
        <v>45598</v>
      </c>
      <c r="C312" s="2">
        <v>307</v>
      </c>
      <c r="D312">
        <v>70</v>
      </c>
      <c r="E312" s="6">
        <v>12.87</v>
      </c>
      <c r="F312" s="6">
        <v>-0.49399999999999999</v>
      </c>
      <c r="G312" s="6">
        <v>1.881</v>
      </c>
      <c r="H312" s="6">
        <v>-3.2759999999999998</v>
      </c>
      <c r="I312" s="6">
        <v>0.64300000000000002</v>
      </c>
      <c r="J312" s="6">
        <v>0.29899999999999999</v>
      </c>
      <c r="K312" s="6">
        <v>90.2</v>
      </c>
      <c r="M312">
        <v>-0.2</v>
      </c>
      <c r="N312">
        <v>3.1230000000000002</v>
      </c>
      <c r="O312">
        <v>3.1819999999999999</v>
      </c>
      <c r="P312">
        <v>93.7</v>
      </c>
      <c r="R312">
        <v>0.36799999999999999</v>
      </c>
      <c r="S312">
        <v>3.4289999999999998</v>
      </c>
      <c r="T312">
        <v>-2.052</v>
      </c>
      <c r="U312">
        <v>78.2</v>
      </c>
      <c r="W312" s="6">
        <v>-2.4980000000000002</v>
      </c>
      <c r="X312" s="6">
        <v>2.8969999999999998</v>
      </c>
      <c r="Y312" s="6">
        <v>6.5000000000000002E-2</v>
      </c>
      <c r="Z312" s="6">
        <v>1.0469999999999999</v>
      </c>
      <c r="AA312" s="6">
        <v>4</v>
      </c>
      <c r="AB312" s="6">
        <v>1.992</v>
      </c>
      <c r="AC312" s="6">
        <v>2.0289999999999999</v>
      </c>
      <c r="AD312" s="6">
        <v>-3.0270000000000001</v>
      </c>
      <c r="AE312" s="6">
        <v>8.9999999999999993E-3</v>
      </c>
      <c r="AF312" s="6">
        <v>7.0000000000000001E-3</v>
      </c>
      <c r="AG312" s="6">
        <v>1.9970000000000001</v>
      </c>
      <c r="AH312" s="6"/>
      <c r="AI312" s="6"/>
      <c r="AK312" s="22">
        <f t="shared" si="134"/>
        <v>4</v>
      </c>
      <c r="AL312">
        <f t="shared" si="130"/>
        <v>462.60000000000042</v>
      </c>
      <c r="AM312" s="4">
        <v>8.16</v>
      </c>
      <c r="AN312">
        <v>0.64</v>
      </c>
      <c r="AP312" s="7">
        <f t="shared" si="128"/>
        <v>0.6</v>
      </c>
      <c r="AQ312" s="7">
        <f t="shared" si="108"/>
        <v>0.16700000000000001</v>
      </c>
      <c r="AS312">
        <f t="shared" si="109"/>
        <v>0.64</v>
      </c>
      <c r="AT312">
        <f t="shared" si="110"/>
        <v>0.3</v>
      </c>
      <c r="AU312">
        <f t="shared" si="111"/>
        <v>90.2</v>
      </c>
      <c r="AV312" t="s">
        <v>104</v>
      </c>
      <c r="AW312">
        <f t="shared" si="112"/>
        <v>-0.2</v>
      </c>
      <c r="AX312">
        <f t="shared" si="113"/>
        <v>3.1</v>
      </c>
      <c r="AY312">
        <f t="shared" si="114"/>
        <v>3.2</v>
      </c>
      <c r="AZ312">
        <f t="shared" si="115"/>
        <v>93.7</v>
      </c>
      <c r="BA312" t="s">
        <v>104</v>
      </c>
      <c r="BB312">
        <f t="shared" si="116"/>
        <v>0.4</v>
      </c>
      <c r="BC312">
        <f t="shared" si="117"/>
        <v>3.4</v>
      </c>
      <c r="BD312">
        <f t="shared" si="118"/>
        <v>-2.1</v>
      </c>
      <c r="BE312">
        <f t="shared" si="119"/>
        <v>78.2</v>
      </c>
      <c r="BF312" t="s">
        <v>104</v>
      </c>
      <c r="BG312">
        <f t="shared" si="120"/>
        <v>-2.5</v>
      </c>
      <c r="BH312">
        <f t="shared" si="121"/>
        <v>2.9</v>
      </c>
      <c r="BI312">
        <f t="shared" si="122"/>
        <v>7.0000000000000007E-2</v>
      </c>
      <c r="BJ312">
        <f t="shared" si="123"/>
        <v>1.05</v>
      </c>
      <c r="BK312">
        <f t="shared" si="124"/>
        <v>0</v>
      </c>
      <c r="BL312">
        <f t="shared" si="125"/>
        <v>4</v>
      </c>
      <c r="BM312">
        <f t="shared" si="126"/>
        <v>0.6</v>
      </c>
      <c r="BN312">
        <f t="shared" si="127"/>
        <v>0.16700000000000001</v>
      </c>
    </row>
    <row r="313" spans="1:66" x14ac:dyDescent="0.25">
      <c r="A313">
        <v>2024</v>
      </c>
      <c r="B313" s="1">
        <f t="shared" si="129"/>
        <v>45599</v>
      </c>
      <c r="C313" s="2">
        <v>308</v>
      </c>
      <c r="D313">
        <v>70</v>
      </c>
      <c r="E313" s="6">
        <v>12.97</v>
      </c>
      <c r="F313" s="6">
        <v>-2.133</v>
      </c>
      <c r="G313" s="6">
        <v>1.7070000000000001</v>
      </c>
      <c r="H313" s="6">
        <v>-5.4809999999999999</v>
      </c>
      <c r="I313" s="6">
        <v>1.198</v>
      </c>
      <c r="J313" s="6">
        <v>-0.82699999999999996</v>
      </c>
      <c r="K313" s="6">
        <v>89.9</v>
      </c>
      <c r="M313">
        <v>-1.89</v>
      </c>
      <c r="N313">
        <v>3.0049999999999999</v>
      </c>
      <c r="O313">
        <v>2.98</v>
      </c>
      <c r="P313">
        <v>93.7</v>
      </c>
      <c r="R313">
        <v>0.29499999999999998</v>
      </c>
      <c r="S313">
        <v>3.3340000000000001</v>
      </c>
      <c r="T313">
        <v>-3.9239999999999999</v>
      </c>
      <c r="U313">
        <v>79.099999999999994</v>
      </c>
      <c r="W313" s="6">
        <v>-4.6929999999999996</v>
      </c>
      <c r="X313" s="6">
        <v>2.75</v>
      </c>
      <c r="Y313" s="6">
        <v>6.7000000000000004E-2</v>
      </c>
      <c r="Z313" s="6">
        <v>1.26</v>
      </c>
      <c r="AA313" s="6">
        <v>1.6</v>
      </c>
      <c r="AB313" s="6">
        <v>1.9970000000000001</v>
      </c>
      <c r="AC313" s="6">
        <v>1.925</v>
      </c>
      <c r="AD313" s="6">
        <v>-5.3840000000000003</v>
      </c>
      <c r="AE313" s="6">
        <v>8.9999999999999993E-3</v>
      </c>
      <c r="AF313" s="6">
        <v>6.0000000000000001E-3</v>
      </c>
      <c r="AG313" s="6">
        <v>2</v>
      </c>
      <c r="AH313" s="6"/>
      <c r="AI313" s="6"/>
      <c r="AK313" s="22">
        <f t="shared" si="134"/>
        <v>1.6</v>
      </c>
      <c r="AL313">
        <f t="shared" si="130"/>
        <v>464.20000000000044</v>
      </c>
      <c r="AM313" s="4">
        <v>8.01</v>
      </c>
      <c r="AN313">
        <v>1.2</v>
      </c>
      <c r="AP313" s="7">
        <f t="shared" si="128"/>
        <v>0.59799999999999998</v>
      </c>
      <c r="AQ313" s="7">
        <f t="shared" si="108"/>
        <v>0.158</v>
      </c>
      <c r="AS313">
        <f t="shared" si="109"/>
        <v>1.2</v>
      </c>
      <c r="AT313">
        <f t="shared" si="110"/>
        <v>-0.8</v>
      </c>
      <c r="AU313">
        <f t="shared" si="111"/>
        <v>89.9</v>
      </c>
      <c r="AV313" t="s">
        <v>104</v>
      </c>
      <c r="AW313">
        <f t="shared" si="112"/>
        <v>-1.9</v>
      </c>
      <c r="AX313">
        <f t="shared" si="113"/>
        <v>3</v>
      </c>
      <c r="AY313">
        <f t="shared" si="114"/>
        <v>3</v>
      </c>
      <c r="AZ313">
        <f t="shared" si="115"/>
        <v>93.7</v>
      </c>
      <c r="BA313" t="s">
        <v>104</v>
      </c>
      <c r="BB313">
        <f t="shared" si="116"/>
        <v>0.3</v>
      </c>
      <c r="BC313">
        <f t="shared" si="117"/>
        <v>3.3</v>
      </c>
      <c r="BD313">
        <f t="shared" si="118"/>
        <v>-3.9</v>
      </c>
      <c r="BE313">
        <f t="shared" si="119"/>
        <v>79.099999999999994</v>
      </c>
      <c r="BF313" t="s">
        <v>104</v>
      </c>
      <c r="BG313">
        <f t="shared" si="120"/>
        <v>-4.7</v>
      </c>
      <c r="BH313">
        <f t="shared" si="121"/>
        <v>2.8</v>
      </c>
      <c r="BI313">
        <f t="shared" si="122"/>
        <v>7.0000000000000007E-2</v>
      </c>
      <c r="BJ313">
        <f t="shared" si="123"/>
        <v>1.26</v>
      </c>
      <c r="BK313">
        <f t="shared" si="124"/>
        <v>0</v>
      </c>
      <c r="BL313">
        <f t="shared" si="125"/>
        <v>1.6</v>
      </c>
      <c r="BM313">
        <f t="shared" si="126"/>
        <v>0.59799999999999998</v>
      </c>
      <c r="BN313">
        <f t="shared" si="127"/>
        <v>0.158</v>
      </c>
    </row>
    <row r="314" spans="1:66" x14ac:dyDescent="0.25">
      <c r="A314">
        <v>2024</v>
      </c>
      <c r="B314" s="1">
        <f t="shared" si="129"/>
        <v>45600</v>
      </c>
      <c r="C314" s="2">
        <v>309</v>
      </c>
      <c r="D314">
        <v>70</v>
      </c>
      <c r="E314" s="6">
        <v>12.8</v>
      </c>
      <c r="F314" s="6">
        <v>-0.77200000000000002</v>
      </c>
      <c r="G314" s="6">
        <v>1.41</v>
      </c>
      <c r="H314" s="6">
        <v>-2.5590000000000002</v>
      </c>
      <c r="I314" s="6">
        <v>0.42899999999999999</v>
      </c>
      <c r="J314" s="6">
        <v>-6.2E-2</v>
      </c>
      <c r="K314" s="6">
        <v>87.7</v>
      </c>
      <c r="M314">
        <v>-0.64</v>
      </c>
      <c r="N314">
        <v>2.9289999999999998</v>
      </c>
      <c r="O314">
        <v>3.254</v>
      </c>
      <c r="P314">
        <v>93.4</v>
      </c>
      <c r="Q314">
        <v>2.6339999999999999</v>
      </c>
      <c r="R314">
        <v>0.55500000000000005</v>
      </c>
      <c r="S314">
        <v>3.3780000000000001</v>
      </c>
      <c r="T314">
        <v>-1.9179999999999999</v>
      </c>
      <c r="U314">
        <v>76</v>
      </c>
      <c r="W314" s="6">
        <v>-2.492</v>
      </c>
      <c r="X314" s="6">
        <v>2.7309999999999999</v>
      </c>
      <c r="Y314" s="6">
        <v>0.53200000000000003</v>
      </c>
      <c r="Z314" s="6">
        <v>3.1669999999999998</v>
      </c>
      <c r="AA314" s="6">
        <v>1.8</v>
      </c>
      <c r="AB314" s="6">
        <v>1.895</v>
      </c>
      <c r="AC314" s="6">
        <v>1.4470000000000001</v>
      </c>
      <c r="AD314" s="6">
        <v>-2.4020000000000001</v>
      </c>
      <c r="AE314" s="6">
        <v>8.9999999999999993E-3</v>
      </c>
      <c r="AF314" s="6">
        <v>7.0000000000000001E-3</v>
      </c>
      <c r="AG314" s="6">
        <v>1.9</v>
      </c>
      <c r="AH314" s="6"/>
      <c r="AI314" s="6"/>
      <c r="AK314" s="22">
        <f t="shared" si="134"/>
        <v>1.8</v>
      </c>
      <c r="AL314">
        <f t="shared" si="130"/>
        <v>466.00000000000045</v>
      </c>
      <c r="AM314" s="4">
        <v>7.84</v>
      </c>
      <c r="AN314">
        <v>0.43</v>
      </c>
      <c r="AP314" s="7">
        <f t="shared" si="128"/>
        <v>0.58599999999999997</v>
      </c>
      <c r="AQ314" s="7">
        <f t="shared" si="108"/>
        <v>0.185</v>
      </c>
      <c r="AS314">
        <f t="shared" si="109"/>
        <v>0.43</v>
      </c>
      <c r="AT314">
        <f t="shared" si="110"/>
        <v>-0.1</v>
      </c>
      <c r="AU314">
        <f t="shared" si="111"/>
        <v>87.7</v>
      </c>
      <c r="AV314" t="s">
        <v>104</v>
      </c>
      <c r="AW314">
        <f t="shared" si="112"/>
        <v>-0.6</v>
      </c>
      <c r="AX314">
        <f t="shared" si="113"/>
        <v>2.9</v>
      </c>
      <c r="AY314">
        <f t="shared" si="114"/>
        <v>3.3</v>
      </c>
      <c r="AZ314">
        <f t="shared" si="115"/>
        <v>93.4</v>
      </c>
      <c r="BA314">
        <f t="shared" ref="BA314:BA320" si="135">ROUND(Q314,1)</f>
        <v>2.6</v>
      </c>
      <c r="BB314">
        <f t="shared" si="116"/>
        <v>0.6</v>
      </c>
      <c r="BC314">
        <f t="shared" si="117"/>
        <v>3.4</v>
      </c>
      <c r="BD314">
        <f t="shared" si="118"/>
        <v>-1.9</v>
      </c>
      <c r="BE314">
        <f t="shared" si="119"/>
        <v>76</v>
      </c>
      <c r="BF314" t="s">
        <v>104</v>
      </c>
      <c r="BG314">
        <f t="shared" si="120"/>
        <v>-2.5</v>
      </c>
      <c r="BH314">
        <f t="shared" si="121"/>
        <v>2.7</v>
      </c>
      <c r="BI314">
        <f t="shared" si="122"/>
        <v>0.53</v>
      </c>
      <c r="BJ314">
        <f t="shared" si="123"/>
        <v>3.17</v>
      </c>
      <c r="BK314">
        <f t="shared" si="124"/>
        <v>0</v>
      </c>
      <c r="BL314">
        <f t="shared" si="125"/>
        <v>1.8</v>
      </c>
      <c r="BM314">
        <f t="shared" si="126"/>
        <v>0.58599999999999997</v>
      </c>
      <c r="BN314">
        <f t="shared" si="127"/>
        <v>0.185</v>
      </c>
    </row>
    <row r="315" spans="1:66" x14ac:dyDescent="0.25">
      <c r="A315">
        <v>2024</v>
      </c>
      <c r="B315" s="1">
        <f t="shared" si="129"/>
        <v>45601</v>
      </c>
      <c r="C315" s="2">
        <v>310</v>
      </c>
      <c r="D315">
        <v>70</v>
      </c>
      <c r="E315" s="6">
        <v>13.02</v>
      </c>
      <c r="F315" s="6">
        <v>-3.3860000000000001</v>
      </c>
      <c r="G315" s="6">
        <v>2.7869999999999999</v>
      </c>
      <c r="H315" s="6">
        <v>-6.6970000000000001</v>
      </c>
      <c r="I315" s="6">
        <v>2.2810000000000001</v>
      </c>
      <c r="J315" s="6">
        <v>-2.5289999999999999</v>
      </c>
      <c r="K315" s="6">
        <v>78.7</v>
      </c>
      <c r="L315">
        <v>-2.9780000000000002</v>
      </c>
      <c r="M315">
        <v>-2.8769999999999998</v>
      </c>
      <c r="N315">
        <v>2.802</v>
      </c>
      <c r="O315">
        <v>2.59</v>
      </c>
      <c r="P315">
        <v>89.7</v>
      </c>
      <c r="Q315">
        <v>3.3969999999999998</v>
      </c>
      <c r="R315">
        <v>1.048</v>
      </c>
      <c r="S315">
        <v>3.8170000000000002</v>
      </c>
      <c r="T315">
        <v>-5.5389999999999997</v>
      </c>
      <c r="U315">
        <v>54.1</v>
      </c>
      <c r="V315">
        <v>-6.048</v>
      </c>
      <c r="W315" s="6">
        <v>-5.0659999999999998</v>
      </c>
      <c r="X315" s="6">
        <v>2.4060000000000001</v>
      </c>
      <c r="Y315" s="6">
        <v>0.26500000000000001</v>
      </c>
      <c r="Z315" s="6">
        <v>1.9670000000000001</v>
      </c>
      <c r="AA315" s="6">
        <v>0.5</v>
      </c>
      <c r="AB315" s="6">
        <v>1.895</v>
      </c>
      <c r="AC315" s="6">
        <v>3.6320000000000001</v>
      </c>
      <c r="AD315" s="6">
        <v>-6.5720000000000001</v>
      </c>
      <c r="AE315" s="6">
        <v>8.9999999999999993E-3</v>
      </c>
      <c r="AF315" s="6">
        <v>7.0000000000000001E-3</v>
      </c>
      <c r="AG315" s="6">
        <v>1.9119999999999999</v>
      </c>
      <c r="AH315" s="6"/>
      <c r="AI315" s="6"/>
      <c r="AK315" s="22">
        <f t="shared" si="134"/>
        <v>0.5</v>
      </c>
      <c r="AL315">
        <f t="shared" si="130"/>
        <v>466.50000000000045</v>
      </c>
      <c r="AM315" s="4">
        <v>7.69</v>
      </c>
      <c r="AN315">
        <v>2.2799999999999998</v>
      </c>
      <c r="AP315" s="7">
        <f t="shared" si="128"/>
        <v>0.39800000000000002</v>
      </c>
      <c r="AQ315" s="7">
        <f t="shared" si="108"/>
        <v>0.33800000000000002</v>
      </c>
      <c r="AS315">
        <f t="shared" si="109"/>
        <v>2.2799999999999998</v>
      </c>
      <c r="AT315">
        <f t="shared" si="110"/>
        <v>-2.5</v>
      </c>
      <c r="AU315">
        <f t="shared" si="111"/>
        <v>78.7</v>
      </c>
      <c r="AV315">
        <f t="shared" ref="AV315:AV320" si="136">ROUND(L315,1)</f>
        <v>-3</v>
      </c>
      <c r="AW315">
        <f t="shared" si="112"/>
        <v>-2.9</v>
      </c>
      <c r="AX315">
        <f t="shared" si="113"/>
        <v>2.8</v>
      </c>
      <c r="AY315">
        <f t="shared" si="114"/>
        <v>2.6</v>
      </c>
      <c r="AZ315">
        <f t="shared" si="115"/>
        <v>89.7</v>
      </c>
      <c r="BA315">
        <f t="shared" si="135"/>
        <v>3.4</v>
      </c>
      <c r="BB315">
        <f t="shared" si="116"/>
        <v>1</v>
      </c>
      <c r="BC315">
        <f t="shared" si="117"/>
        <v>3.8</v>
      </c>
      <c r="BD315">
        <f t="shared" si="118"/>
        <v>-5.5</v>
      </c>
      <c r="BE315">
        <f t="shared" si="119"/>
        <v>54.1</v>
      </c>
      <c r="BF315">
        <f t="shared" ref="BF315:BF320" si="137">ROUND(V315,1)</f>
        <v>-6</v>
      </c>
      <c r="BG315">
        <f t="shared" si="120"/>
        <v>-5.0999999999999996</v>
      </c>
      <c r="BH315">
        <f t="shared" si="121"/>
        <v>2.4</v>
      </c>
      <c r="BI315">
        <f t="shared" si="122"/>
        <v>0.27</v>
      </c>
      <c r="BJ315">
        <f t="shared" si="123"/>
        <v>1.97</v>
      </c>
      <c r="BK315">
        <f t="shared" si="124"/>
        <v>0</v>
      </c>
      <c r="BL315">
        <f t="shared" si="125"/>
        <v>0.5</v>
      </c>
      <c r="BM315">
        <f t="shared" si="126"/>
        <v>0.39800000000000002</v>
      </c>
      <c r="BN315">
        <f t="shared" si="127"/>
        <v>0.33800000000000002</v>
      </c>
    </row>
    <row r="316" spans="1:66" x14ac:dyDescent="0.25">
      <c r="A316">
        <v>2024</v>
      </c>
      <c r="B316" s="1">
        <f t="shared" si="129"/>
        <v>45602</v>
      </c>
      <c r="C316" s="2">
        <v>311</v>
      </c>
      <c r="D316">
        <v>70</v>
      </c>
      <c r="E316" s="6">
        <v>13.05</v>
      </c>
      <c r="F316" s="6">
        <v>-1.9259999999999999</v>
      </c>
      <c r="G316" s="6">
        <v>4.5839999999999996</v>
      </c>
      <c r="H316" s="6">
        <v>-6.5780000000000003</v>
      </c>
      <c r="I316" s="6">
        <v>3.8279999999999998</v>
      </c>
      <c r="J316" s="6">
        <v>-1.046</v>
      </c>
      <c r="K316" s="6">
        <v>78.7</v>
      </c>
      <c r="L316">
        <v>-1.5529999999999999</v>
      </c>
      <c r="M316">
        <v>-2.0070000000000001</v>
      </c>
      <c r="N316">
        <v>2.7080000000000002</v>
      </c>
      <c r="O316">
        <v>3.5870000000000002</v>
      </c>
      <c r="P316">
        <v>87.6</v>
      </c>
      <c r="Q316">
        <v>3.5910000000000002</v>
      </c>
      <c r="R316">
        <v>1.2010000000000001</v>
      </c>
      <c r="S316">
        <v>3.5550000000000002</v>
      </c>
      <c r="T316">
        <v>-5.2030000000000003</v>
      </c>
      <c r="U316">
        <v>55.42</v>
      </c>
      <c r="V316">
        <v>-5.4859999999999998</v>
      </c>
      <c r="W316" s="6">
        <v>-5.1210000000000004</v>
      </c>
      <c r="X316" s="6">
        <v>2.23</v>
      </c>
      <c r="Y316" s="6">
        <v>0.17799999999999999</v>
      </c>
      <c r="Z316" s="6">
        <v>1.42</v>
      </c>
      <c r="AA316" s="6">
        <v>1.1000000000000001</v>
      </c>
      <c r="AB316" s="6">
        <v>1.9610000000000001</v>
      </c>
      <c r="AC316" s="6">
        <v>5.431</v>
      </c>
      <c r="AD316" s="6">
        <v>-6.4649999999999999</v>
      </c>
      <c r="AE316" s="6">
        <v>8.9999999999999993E-3</v>
      </c>
      <c r="AF316" s="6">
        <v>6.0000000000000001E-3</v>
      </c>
      <c r="AG316" s="6">
        <v>1.9610000000000001</v>
      </c>
      <c r="AH316" s="6"/>
      <c r="AI316" s="6"/>
      <c r="AK316" s="22">
        <f t="shared" si="134"/>
        <v>1.1000000000000001</v>
      </c>
      <c r="AL316">
        <f t="shared" si="130"/>
        <v>467.60000000000048</v>
      </c>
      <c r="AM316" s="4">
        <v>7.54</v>
      </c>
      <c r="AN316">
        <v>3.83</v>
      </c>
      <c r="AP316" s="7">
        <f t="shared" si="128"/>
        <v>0.438</v>
      </c>
      <c r="AQ316" s="7">
        <f t="shared" si="108"/>
        <v>0.35199999999999998</v>
      </c>
      <c r="AS316">
        <f t="shared" si="109"/>
        <v>3.83</v>
      </c>
      <c r="AT316">
        <f t="shared" si="110"/>
        <v>-1</v>
      </c>
      <c r="AU316">
        <f t="shared" si="111"/>
        <v>78.7</v>
      </c>
      <c r="AV316">
        <f t="shared" si="136"/>
        <v>-1.6</v>
      </c>
      <c r="AW316">
        <f t="shared" si="112"/>
        <v>-2</v>
      </c>
      <c r="AX316">
        <f t="shared" si="113"/>
        <v>2.7</v>
      </c>
      <c r="AY316">
        <f t="shared" si="114"/>
        <v>3.6</v>
      </c>
      <c r="AZ316">
        <f t="shared" si="115"/>
        <v>87.6</v>
      </c>
      <c r="BA316">
        <f t="shared" si="135"/>
        <v>3.6</v>
      </c>
      <c r="BB316">
        <f t="shared" si="116"/>
        <v>1.2</v>
      </c>
      <c r="BC316">
        <f t="shared" si="117"/>
        <v>3.6</v>
      </c>
      <c r="BD316">
        <f t="shared" si="118"/>
        <v>-5.2</v>
      </c>
      <c r="BE316">
        <f t="shared" si="119"/>
        <v>55.4</v>
      </c>
      <c r="BF316">
        <f t="shared" si="137"/>
        <v>-5.5</v>
      </c>
      <c r="BG316">
        <f t="shared" si="120"/>
        <v>-5.0999999999999996</v>
      </c>
      <c r="BH316">
        <f t="shared" si="121"/>
        <v>2.2000000000000002</v>
      </c>
      <c r="BI316">
        <f t="shared" si="122"/>
        <v>0.18</v>
      </c>
      <c r="BJ316">
        <f t="shared" si="123"/>
        <v>1.42</v>
      </c>
      <c r="BK316">
        <f t="shared" si="124"/>
        <v>0</v>
      </c>
      <c r="BL316">
        <f t="shared" si="125"/>
        <v>1.1000000000000001</v>
      </c>
      <c r="BM316">
        <f t="shared" si="126"/>
        <v>0.438</v>
      </c>
      <c r="BN316">
        <f t="shared" si="127"/>
        <v>0.35199999999999998</v>
      </c>
    </row>
    <row r="317" spans="1:66" x14ac:dyDescent="0.25">
      <c r="A317">
        <v>2024</v>
      </c>
      <c r="B317" s="1">
        <f t="shared" si="129"/>
        <v>45603</v>
      </c>
      <c r="C317" s="2">
        <v>312</v>
      </c>
      <c r="D317">
        <v>70</v>
      </c>
      <c r="E317" s="6">
        <v>12.93</v>
      </c>
      <c r="F317" s="6">
        <v>0.30399999999999999</v>
      </c>
      <c r="G317" s="6">
        <v>3.8780000000000001</v>
      </c>
      <c r="H317" s="6">
        <v>-1.2669999999999999</v>
      </c>
      <c r="I317" s="6">
        <v>3.35</v>
      </c>
      <c r="J317" s="6">
        <v>1.2809999999999999</v>
      </c>
      <c r="K317" s="6">
        <v>82.1</v>
      </c>
      <c r="L317">
        <v>0.71599999999999997</v>
      </c>
      <c r="M317">
        <v>1.7999999999999999E-2</v>
      </c>
      <c r="N317">
        <v>2.742</v>
      </c>
      <c r="O317">
        <v>6.0739999999999998</v>
      </c>
      <c r="P317">
        <v>92.1</v>
      </c>
      <c r="Q317">
        <v>5.1150000000000002</v>
      </c>
      <c r="R317">
        <v>2.411</v>
      </c>
      <c r="S317">
        <v>3.2749999999999999</v>
      </c>
      <c r="T317">
        <v>-0.57199999999999995</v>
      </c>
      <c r="U317">
        <v>61.21</v>
      </c>
      <c r="V317">
        <v>-1.149</v>
      </c>
      <c r="W317" s="6">
        <v>-1.304</v>
      </c>
      <c r="X317" s="6">
        <v>2.5270000000000001</v>
      </c>
      <c r="Y317" s="6">
        <v>0.309</v>
      </c>
      <c r="Z317" s="6">
        <v>1.367</v>
      </c>
      <c r="AA317" s="6">
        <v>3.3</v>
      </c>
      <c r="AB317" s="6">
        <v>1.8959999999999999</v>
      </c>
      <c r="AC317" s="6">
        <v>4.1120000000000001</v>
      </c>
      <c r="AD317" s="6">
        <v>-1.3839999999999999</v>
      </c>
      <c r="AE317" s="6">
        <v>8.9999999999999993E-3</v>
      </c>
      <c r="AF317" s="6">
        <v>7.0000000000000001E-3</v>
      </c>
      <c r="AG317" s="6">
        <v>1.889</v>
      </c>
      <c r="AH317" s="6"/>
      <c r="AI317" s="6"/>
      <c r="AK317" s="22">
        <f t="shared" si="134"/>
        <v>3.3</v>
      </c>
      <c r="AL317">
        <f t="shared" si="130"/>
        <v>470.90000000000049</v>
      </c>
      <c r="AM317" s="4">
        <v>7.4</v>
      </c>
      <c r="AN317">
        <v>3.35</v>
      </c>
      <c r="AP317" s="7">
        <f t="shared" si="128"/>
        <v>0.57499999999999996</v>
      </c>
      <c r="AQ317" s="7">
        <f t="shared" si="108"/>
        <v>0.36399999999999999</v>
      </c>
      <c r="AS317">
        <f t="shared" si="109"/>
        <v>3.35</v>
      </c>
      <c r="AT317">
        <f t="shared" si="110"/>
        <v>1.3</v>
      </c>
      <c r="AU317">
        <f t="shared" si="111"/>
        <v>82.1</v>
      </c>
      <c r="AV317">
        <f t="shared" si="136"/>
        <v>0.7</v>
      </c>
      <c r="AW317">
        <f t="shared" si="112"/>
        <v>0</v>
      </c>
      <c r="AX317">
        <f t="shared" si="113"/>
        <v>2.7</v>
      </c>
      <c r="AY317">
        <f t="shared" si="114"/>
        <v>6.1</v>
      </c>
      <c r="AZ317">
        <f t="shared" si="115"/>
        <v>92.1</v>
      </c>
      <c r="BA317">
        <f t="shared" si="135"/>
        <v>5.0999999999999996</v>
      </c>
      <c r="BB317">
        <f t="shared" si="116"/>
        <v>2.4</v>
      </c>
      <c r="BC317">
        <f t="shared" si="117"/>
        <v>3.3</v>
      </c>
      <c r="BD317">
        <f t="shared" si="118"/>
        <v>-0.6</v>
      </c>
      <c r="BE317">
        <f t="shared" si="119"/>
        <v>61.2</v>
      </c>
      <c r="BF317">
        <f t="shared" si="137"/>
        <v>-1.1000000000000001</v>
      </c>
      <c r="BG317">
        <f t="shared" si="120"/>
        <v>-1.3</v>
      </c>
      <c r="BH317">
        <f t="shared" si="121"/>
        <v>2.5</v>
      </c>
      <c r="BI317">
        <f t="shared" si="122"/>
        <v>0.31</v>
      </c>
      <c r="BJ317">
        <f t="shared" si="123"/>
        <v>1.37</v>
      </c>
      <c r="BK317">
        <f t="shared" si="124"/>
        <v>0</v>
      </c>
      <c r="BL317">
        <f t="shared" si="125"/>
        <v>3.3</v>
      </c>
      <c r="BM317">
        <f t="shared" si="126"/>
        <v>0.57499999999999996</v>
      </c>
      <c r="BN317">
        <f t="shared" si="127"/>
        <v>0.36399999999999999</v>
      </c>
    </row>
    <row r="318" spans="1:66" x14ac:dyDescent="0.25">
      <c r="A318">
        <v>2024</v>
      </c>
      <c r="B318" s="1">
        <f t="shared" si="129"/>
        <v>45604</v>
      </c>
      <c r="C318" s="2">
        <v>313</v>
      </c>
      <c r="D318">
        <v>70</v>
      </c>
      <c r="E318" s="6">
        <v>12.85</v>
      </c>
      <c r="F318" s="6">
        <v>1.3420000000000001</v>
      </c>
      <c r="G318" s="6">
        <v>3.6440000000000001</v>
      </c>
      <c r="H318" s="6">
        <v>-1.5169999999999999</v>
      </c>
      <c r="I318" s="6">
        <v>2.4580000000000002</v>
      </c>
      <c r="J318" s="6">
        <v>3.1619999999999999</v>
      </c>
      <c r="K318" s="6">
        <v>73</v>
      </c>
      <c r="L318">
        <v>2.6040000000000001</v>
      </c>
      <c r="M318">
        <v>0.83499999999999996</v>
      </c>
      <c r="N318">
        <v>2.8029999999999999</v>
      </c>
      <c r="O318">
        <v>6.2080000000000002</v>
      </c>
      <c r="P318">
        <v>92.3</v>
      </c>
      <c r="Q318">
        <v>6.181</v>
      </c>
      <c r="R318">
        <v>4.3410000000000002</v>
      </c>
      <c r="S318">
        <v>3.0710000000000002</v>
      </c>
      <c r="T318">
        <v>-0.37</v>
      </c>
      <c r="U318">
        <v>57.71</v>
      </c>
      <c r="V318">
        <v>-0.86099999999999999</v>
      </c>
      <c r="W318" s="6">
        <v>-2.1880000000000002</v>
      </c>
      <c r="X318" s="6">
        <v>2.569</v>
      </c>
      <c r="Y318" s="6">
        <v>0.38400000000000001</v>
      </c>
      <c r="Z318" s="6">
        <v>1.794</v>
      </c>
      <c r="AA318" s="6">
        <v>1.6</v>
      </c>
      <c r="AB318" s="6">
        <v>1.897</v>
      </c>
      <c r="AC318" s="6">
        <v>3.778</v>
      </c>
      <c r="AD318" s="6">
        <v>-1.405</v>
      </c>
      <c r="AE318" s="6">
        <v>8.9999999999999993E-3</v>
      </c>
      <c r="AF318" s="6">
        <v>6.0000000000000001E-3</v>
      </c>
      <c r="AG318" s="6">
        <v>1.8859999999999999</v>
      </c>
      <c r="AH318" s="6"/>
      <c r="AI318" s="6"/>
      <c r="AK318" s="22">
        <f t="shared" si="134"/>
        <v>1.6</v>
      </c>
      <c r="AL318">
        <f t="shared" si="130"/>
        <v>472.50000000000051</v>
      </c>
      <c r="AM318" s="4">
        <v>7.26</v>
      </c>
      <c r="AN318">
        <v>2.46</v>
      </c>
      <c r="AP318" s="7">
        <f t="shared" si="128"/>
        <v>0.54700000000000004</v>
      </c>
      <c r="AQ318" s="7">
        <f t="shared" si="108"/>
        <v>0.40100000000000002</v>
      </c>
      <c r="AS318">
        <f t="shared" si="109"/>
        <v>2.46</v>
      </c>
      <c r="AT318">
        <f t="shared" si="110"/>
        <v>3.2</v>
      </c>
      <c r="AU318">
        <f t="shared" si="111"/>
        <v>73</v>
      </c>
      <c r="AV318">
        <f t="shared" si="136"/>
        <v>2.6</v>
      </c>
      <c r="AW318">
        <f t="shared" si="112"/>
        <v>0.8</v>
      </c>
      <c r="AX318">
        <f t="shared" si="113"/>
        <v>2.8</v>
      </c>
      <c r="AY318">
        <f t="shared" si="114"/>
        <v>6.2</v>
      </c>
      <c r="AZ318">
        <f t="shared" si="115"/>
        <v>92.3</v>
      </c>
      <c r="BA318">
        <f t="shared" si="135"/>
        <v>6.2</v>
      </c>
      <c r="BB318">
        <f t="shared" si="116"/>
        <v>4.3</v>
      </c>
      <c r="BC318">
        <f t="shared" si="117"/>
        <v>3.1</v>
      </c>
      <c r="BD318">
        <f t="shared" si="118"/>
        <v>-0.4</v>
      </c>
      <c r="BE318">
        <f t="shared" si="119"/>
        <v>57.7</v>
      </c>
      <c r="BF318">
        <f t="shared" si="137"/>
        <v>-0.9</v>
      </c>
      <c r="BG318">
        <f t="shared" si="120"/>
        <v>-2.2000000000000002</v>
      </c>
      <c r="BH318">
        <f t="shared" si="121"/>
        <v>2.6</v>
      </c>
      <c r="BI318">
        <f t="shared" si="122"/>
        <v>0.38</v>
      </c>
      <c r="BJ318">
        <f t="shared" si="123"/>
        <v>1.79</v>
      </c>
      <c r="BK318">
        <f t="shared" si="124"/>
        <v>0</v>
      </c>
      <c r="BL318">
        <f t="shared" si="125"/>
        <v>1.6</v>
      </c>
      <c r="BM318">
        <f t="shared" si="126"/>
        <v>0.54700000000000004</v>
      </c>
      <c r="BN318">
        <f t="shared" si="127"/>
        <v>0.40100000000000002</v>
      </c>
    </row>
    <row r="319" spans="1:66" x14ac:dyDescent="0.25">
      <c r="A319">
        <v>2024</v>
      </c>
      <c r="B319" s="1">
        <f t="shared" si="129"/>
        <v>45605</v>
      </c>
      <c r="C319" s="2">
        <v>314</v>
      </c>
      <c r="D319">
        <v>70</v>
      </c>
      <c r="E319" s="6">
        <v>12.79</v>
      </c>
      <c r="F319" s="6">
        <v>0.92700000000000005</v>
      </c>
      <c r="G319" s="6">
        <v>2.1190000000000002</v>
      </c>
      <c r="H319" s="6">
        <v>9.0999999999999998E-2</v>
      </c>
      <c r="I319" s="6">
        <v>1.071</v>
      </c>
      <c r="J319" s="6">
        <v>1.524</v>
      </c>
      <c r="K319" s="6">
        <v>92.6</v>
      </c>
      <c r="L319">
        <v>0.99099999999999999</v>
      </c>
      <c r="M319">
        <v>0.98099999999999998</v>
      </c>
      <c r="N319">
        <v>2.5979999999999999</v>
      </c>
      <c r="O319">
        <v>3.1139999999999999</v>
      </c>
      <c r="P319">
        <v>93.5</v>
      </c>
      <c r="Q319">
        <v>2.556</v>
      </c>
      <c r="R319">
        <v>2.6859999999999999</v>
      </c>
      <c r="S319">
        <v>2.8029999999999999</v>
      </c>
      <c r="T319">
        <v>0.42399999999999999</v>
      </c>
      <c r="U319">
        <v>90.3</v>
      </c>
      <c r="V319">
        <v>-6.6000000000000003E-2</v>
      </c>
      <c r="W319" s="6">
        <v>0.16700000000000001</v>
      </c>
      <c r="X319" s="6">
        <v>2.4820000000000002</v>
      </c>
      <c r="Y319" s="6">
        <v>2.3E-2</v>
      </c>
      <c r="Z319" s="6">
        <v>0.71399999999999997</v>
      </c>
      <c r="AA319" s="6">
        <v>4.5</v>
      </c>
      <c r="AB319" s="6">
        <v>1.893</v>
      </c>
      <c r="AC319" s="6">
        <v>2.278</v>
      </c>
      <c r="AD319" s="6">
        <v>0.22600000000000001</v>
      </c>
      <c r="AE319" s="6">
        <v>8.9999999999999993E-3</v>
      </c>
      <c r="AF319" s="6">
        <v>7.0000000000000001E-3</v>
      </c>
      <c r="AG319" s="6">
        <v>1.889</v>
      </c>
      <c r="AH319" s="6"/>
      <c r="AI319" s="6"/>
      <c r="AK319" s="22">
        <f t="shared" si="134"/>
        <v>4.5</v>
      </c>
      <c r="AL319">
        <f t="shared" si="130"/>
        <v>477.00000000000051</v>
      </c>
      <c r="AM319" s="4">
        <v>7.12</v>
      </c>
      <c r="AN319">
        <v>1.07</v>
      </c>
      <c r="AP319" s="7">
        <f t="shared" si="128"/>
        <v>0.69</v>
      </c>
      <c r="AQ319" s="7">
        <f t="shared" si="108"/>
        <v>7.3999999999999996E-2</v>
      </c>
      <c r="AS319">
        <f t="shared" si="109"/>
        <v>1.07</v>
      </c>
      <c r="AT319">
        <f t="shared" si="110"/>
        <v>1.5</v>
      </c>
      <c r="AU319">
        <f t="shared" si="111"/>
        <v>92.6</v>
      </c>
      <c r="AV319">
        <f t="shared" si="136"/>
        <v>1</v>
      </c>
      <c r="AW319">
        <f t="shared" si="112"/>
        <v>1</v>
      </c>
      <c r="AX319">
        <f t="shared" si="113"/>
        <v>2.6</v>
      </c>
      <c r="AY319">
        <f t="shared" si="114"/>
        <v>3.1</v>
      </c>
      <c r="AZ319">
        <f t="shared" si="115"/>
        <v>93.5</v>
      </c>
      <c r="BA319">
        <f t="shared" si="135"/>
        <v>2.6</v>
      </c>
      <c r="BB319">
        <f t="shared" si="116"/>
        <v>2.7</v>
      </c>
      <c r="BC319">
        <f t="shared" si="117"/>
        <v>2.8</v>
      </c>
      <c r="BD319">
        <f t="shared" si="118"/>
        <v>0.4</v>
      </c>
      <c r="BE319">
        <f t="shared" si="119"/>
        <v>90.3</v>
      </c>
      <c r="BF319">
        <f t="shared" si="137"/>
        <v>-0.1</v>
      </c>
      <c r="BG319">
        <f t="shared" si="120"/>
        <v>0.2</v>
      </c>
      <c r="BH319">
        <f t="shared" si="121"/>
        <v>2.5</v>
      </c>
      <c r="BI319">
        <f t="shared" si="122"/>
        <v>0.02</v>
      </c>
      <c r="BJ319">
        <f t="shared" si="123"/>
        <v>0.71</v>
      </c>
      <c r="BK319">
        <f t="shared" si="124"/>
        <v>0</v>
      </c>
      <c r="BL319">
        <f t="shared" si="125"/>
        <v>4.5</v>
      </c>
      <c r="BM319">
        <f t="shared" si="126"/>
        <v>0.69</v>
      </c>
      <c r="BN319">
        <f t="shared" si="127"/>
        <v>7.3999999999999996E-2</v>
      </c>
    </row>
    <row r="320" spans="1:66" x14ac:dyDescent="0.25">
      <c r="A320">
        <v>2024</v>
      </c>
      <c r="B320" s="1">
        <f t="shared" si="129"/>
        <v>45606</v>
      </c>
      <c r="C320" s="2">
        <v>315</v>
      </c>
      <c r="D320">
        <v>70</v>
      </c>
      <c r="E320" s="6">
        <v>12.98</v>
      </c>
      <c r="F320" s="6">
        <v>1.637</v>
      </c>
      <c r="G320" s="6">
        <v>5.1539999999999999</v>
      </c>
      <c r="H320" s="6">
        <v>-0.22700000000000001</v>
      </c>
      <c r="I320" s="6">
        <v>3.3380000000000001</v>
      </c>
      <c r="J320" s="6">
        <v>2.266</v>
      </c>
      <c r="K320" s="6">
        <v>88.4</v>
      </c>
      <c r="L320">
        <v>1.825</v>
      </c>
      <c r="M320">
        <v>1.5489999999999999</v>
      </c>
      <c r="N320">
        <v>2.5870000000000002</v>
      </c>
      <c r="O320">
        <v>5.67</v>
      </c>
      <c r="P320">
        <v>93.8</v>
      </c>
      <c r="Q320">
        <v>6.54</v>
      </c>
      <c r="R320">
        <v>7.01</v>
      </c>
      <c r="S320">
        <v>2.968</v>
      </c>
      <c r="T320">
        <v>0.36399999999999999</v>
      </c>
      <c r="U320">
        <v>74.5</v>
      </c>
      <c r="V320">
        <v>-0.17299999999999999</v>
      </c>
      <c r="W320" s="6">
        <v>-0.318</v>
      </c>
      <c r="X320" s="6">
        <v>2.44</v>
      </c>
      <c r="Y320" s="6">
        <v>0.47599999999999998</v>
      </c>
      <c r="Z320" s="6">
        <v>2.0070000000000001</v>
      </c>
      <c r="AA320" s="6">
        <v>0.1</v>
      </c>
      <c r="AB320" s="6">
        <v>1.899</v>
      </c>
      <c r="AC320" s="6">
        <v>5.3049999999999997</v>
      </c>
      <c r="AD320" s="6">
        <v>-6.0999999999999999E-2</v>
      </c>
      <c r="AE320" s="6">
        <v>8.9999999999999993E-3</v>
      </c>
      <c r="AF320" s="6">
        <v>7.0000000000000001E-3</v>
      </c>
      <c r="AG320" s="6">
        <v>1.891</v>
      </c>
      <c r="AH320" s="6"/>
      <c r="AI320" s="6"/>
      <c r="AK320" s="22">
        <f t="shared" si="134"/>
        <v>0.1</v>
      </c>
      <c r="AL320">
        <f t="shared" si="130"/>
        <v>477.10000000000053</v>
      </c>
      <c r="AM320" s="4">
        <v>6.99</v>
      </c>
      <c r="AN320">
        <v>3.32</v>
      </c>
      <c r="AP320" s="7">
        <f t="shared" si="128"/>
        <v>0.68100000000000005</v>
      </c>
      <c r="AQ320" s="7">
        <f t="shared" si="108"/>
        <v>0.23300000000000001</v>
      </c>
      <c r="AS320">
        <f t="shared" si="109"/>
        <v>3.32</v>
      </c>
      <c r="AT320">
        <f t="shared" si="110"/>
        <v>2.2999999999999998</v>
      </c>
      <c r="AU320">
        <f t="shared" si="111"/>
        <v>88.4</v>
      </c>
      <c r="AV320">
        <f t="shared" si="136"/>
        <v>1.8</v>
      </c>
      <c r="AW320">
        <f t="shared" si="112"/>
        <v>1.5</v>
      </c>
      <c r="AX320">
        <f t="shared" si="113"/>
        <v>2.6</v>
      </c>
      <c r="AY320">
        <f t="shared" si="114"/>
        <v>5.7</v>
      </c>
      <c r="AZ320">
        <f t="shared" si="115"/>
        <v>93.8</v>
      </c>
      <c r="BA320">
        <f t="shared" si="135"/>
        <v>6.5</v>
      </c>
      <c r="BB320">
        <f t="shared" si="116"/>
        <v>7</v>
      </c>
      <c r="BC320">
        <f t="shared" si="117"/>
        <v>3</v>
      </c>
      <c r="BD320">
        <f t="shared" si="118"/>
        <v>0.4</v>
      </c>
      <c r="BE320">
        <f t="shared" si="119"/>
        <v>74.5</v>
      </c>
      <c r="BF320">
        <f t="shared" si="137"/>
        <v>-0.2</v>
      </c>
      <c r="BG320">
        <f t="shared" si="120"/>
        <v>-0.3</v>
      </c>
      <c r="BH320">
        <f t="shared" si="121"/>
        <v>2.4</v>
      </c>
      <c r="BI320">
        <f t="shared" si="122"/>
        <v>0.48</v>
      </c>
      <c r="BJ320">
        <f t="shared" si="123"/>
        <v>2.0099999999999998</v>
      </c>
      <c r="BK320">
        <f t="shared" si="124"/>
        <v>0</v>
      </c>
      <c r="BL320">
        <f t="shared" si="125"/>
        <v>0.1</v>
      </c>
      <c r="BM320">
        <f t="shared" si="126"/>
        <v>0.68100000000000005</v>
      </c>
      <c r="BN320">
        <f t="shared" si="127"/>
        <v>0.23300000000000001</v>
      </c>
    </row>
    <row r="321" spans="1:66" x14ac:dyDescent="0.25">
      <c r="A321">
        <v>2024</v>
      </c>
      <c r="B321" s="1">
        <f t="shared" si="129"/>
        <v>45607</v>
      </c>
      <c r="C321" s="2">
        <v>316</v>
      </c>
      <c r="D321">
        <v>70</v>
      </c>
      <c r="E321" s="6">
        <v>12.8</v>
      </c>
      <c r="F321" s="6">
        <v>0.65400000000000003</v>
      </c>
      <c r="G321" s="6">
        <v>4.1269999999999998</v>
      </c>
      <c r="H321" s="6">
        <v>-2.1930000000000001</v>
      </c>
      <c r="I321" s="6">
        <v>1.2410000000000001</v>
      </c>
      <c r="J321" s="6">
        <v>1.633</v>
      </c>
      <c r="K321" s="6">
        <v>87.8</v>
      </c>
      <c r="L321" s="6"/>
      <c r="M321" s="6">
        <v>0.79600000000000004</v>
      </c>
      <c r="N321" s="6">
        <v>2.4279999999999999</v>
      </c>
      <c r="O321" s="6">
        <v>4.7960000000000003</v>
      </c>
      <c r="P321" s="6">
        <v>93.1</v>
      </c>
      <c r="Q321" s="6"/>
      <c r="R321" s="6">
        <v>5.1429999999999998</v>
      </c>
      <c r="S321" s="6">
        <v>2.6379999999999999</v>
      </c>
      <c r="T321" s="6">
        <v>-0.63900000000000001</v>
      </c>
      <c r="U321" s="6">
        <v>74.8</v>
      </c>
      <c r="V321" s="6"/>
      <c r="W321" s="6">
        <v>-1.903</v>
      </c>
      <c r="X321" s="6">
        <v>1.871</v>
      </c>
      <c r="Y321" s="6">
        <v>0.81</v>
      </c>
      <c r="Z321" s="6">
        <v>2.5939999999999999</v>
      </c>
      <c r="AA321" s="6">
        <v>9.6999999999999993</v>
      </c>
      <c r="AB321" s="6">
        <v>1.9079999999999999</v>
      </c>
      <c r="AC321" s="6">
        <v>4.1120000000000001</v>
      </c>
      <c r="AD321" s="6">
        <v>-2.0489999999999999</v>
      </c>
      <c r="AE321" s="6">
        <v>8.9999999999999993E-3</v>
      </c>
      <c r="AF321" s="6">
        <v>6.0000000000000001E-3</v>
      </c>
      <c r="AG321" s="6">
        <v>1.905</v>
      </c>
      <c r="AH321" s="6"/>
      <c r="AI321" s="6"/>
      <c r="AK321" s="22">
        <f t="shared" si="134"/>
        <v>9.6999999999999993</v>
      </c>
      <c r="AL321">
        <f t="shared" si="130"/>
        <v>486.80000000000052</v>
      </c>
      <c r="AM321" s="4">
        <v>6.85</v>
      </c>
      <c r="AN321">
        <v>1.23</v>
      </c>
      <c r="AP321" s="7">
        <f t="shared" si="128"/>
        <v>0.64300000000000002</v>
      </c>
      <c r="AQ321" s="7">
        <f t="shared" si="108"/>
        <v>0.217</v>
      </c>
      <c r="AS321">
        <f t="shared" si="109"/>
        <v>1.23</v>
      </c>
      <c r="AT321">
        <f t="shared" si="110"/>
        <v>1.6</v>
      </c>
      <c r="AU321">
        <f t="shared" si="111"/>
        <v>87.8</v>
      </c>
      <c r="AV321" t="s">
        <v>104</v>
      </c>
      <c r="AW321">
        <f t="shared" si="112"/>
        <v>0.8</v>
      </c>
      <c r="AX321">
        <f t="shared" si="113"/>
        <v>2.4</v>
      </c>
      <c r="AY321">
        <f t="shared" si="114"/>
        <v>4.8</v>
      </c>
      <c r="AZ321">
        <f t="shared" si="115"/>
        <v>93.1</v>
      </c>
      <c r="BA321" t="s">
        <v>104</v>
      </c>
      <c r="BB321">
        <f t="shared" si="116"/>
        <v>5.0999999999999996</v>
      </c>
      <c r="BC321">
        <f t="shared" si="117"/>
        <v>2.6</v>
      </c>
      <c r="BD321">
        <f t="shared" si="118"/>
        <v>-0.6</v>
      </c>
      <c r="BE321">
        <f t="shared" si="119"/>
        <v>74.8</v>
      </c>
      <c r="BF321" t="s">
        <v>104</v>
      </c>
      <c r="BG321">
        <f t="shared" si="120"/>
        <v>-1.9</v>
      </c>
      <c r="BH321">
        <f t="shared" si="121"/>
        <v>1.9</v>
      </c>
      <c r="BI321">
        <f t="shared" si="122"/>
        <v>0.81</v>
      </c>
      <c r="BJ321">
        <f t="shared" si="123"/>
        <v>2.59</v>
      </c>
      <c r="BK321">
        <f t="shared" si="124"/>
        <v>0</v>
      </c>
      <c r="BL321">
        <f t="shared" si="125"/>
        <v>9.6999999999999993</v>
      </c>
      <c r="BM321">
        <f t="shared" si="126"/>
        <v>0.64300000000000002</v>
      </c>
      <c r="BN321">
        <f t="shared" si="127"/>
        <v>0.217</v>
      </c>
    </row>
    <row r="322" spans="1:66" x14ac:dyDescent="0.25">
      <c r="A322">
        <v>2024</v>
      </c>
      <c r="B322" s="1">
        <f t="shared" si="129"/>
        <v>45608</v>
      </c>
      <c r="C322" s="2">
        <v>317</v>
      </c>
      <c r="D322">
        <v>70</v>
      </c>
      <c r="E322" s="6">
        <v>12.96</v>
      </c>
      <c r="F322" s="6">
        <v>0.68</v>
      </c>
      <c r="G322" s="6">
        <v>5.7169999999999996</v>
      </c>
      <c r="H322" s="6">
        <v>-0.997</v>
      </c>
      <c r="I322" s="6">
        <v>3.5019999999999998</v>
      </c>
      <c r="J322" s="6">
        <v>1.7150000000000001</v>
      </c>
      <c r="K322" s="6">
        <v>74.5</v>
      </c>
      <c r="L322" s="6"/>
      <c r="M322" s="6">
        <v>0.39800000000000002</v>
      </c>
      <c r="N322" s="6">
        <v>2.278</v>
      </c>
      <c r="O322" s="6">
        <v>5.8019999999999996</v>
      </c>
      <c r="P322" s="6">
        <v>91.2</v>
      </c>
      <c r="Q322" s="6"/>
      <c r="R322" s="6">
        <v>6.9420000000000002</v>
      </c>
      <c r="S322" s="6">
        <v>3.0649999999999999</v>
      </c>
      <c r="T322" s="6">
        <v>9.5000000000000001E-2</v>
      </c>
      <c r="U322" s="6">
        <v>55.29</v>
      </c>
      <c r="V322" s="6"/>
      <c r="W322" s="6">
        <v>-1.212</v>
      </c>
      <c r="X322" s="6">
        <v>1.887</v>
      </c>
      <c r="Y322" s="6">
        <v>0.876</v>
      </c>
      <c r="Z322" s="6">
        <v>2.5</v>
      </c>
      <c r="AA322" s="6">
        <v>0.6</v>
      </c>
      <c r="AB322" s="6">
        <v>2.0329999999999999</v>
      </c>
      <c r="AC322" s="6">
        <v>5.7629999999999999</v>
      </c>
      <c r="AD322" s="6">
        <v>-0.80400000000000005</v>
      </c>
      <c r="AE322" s="6">
        <v>8.9999999999999993E-3</v>
      </c>
      <c r="AF322" s="6">
        <v>6.0000000000000001E-3</v>
      </c>
      <c r="AG322" s="6">
        <v>2.0310000000000001</v>
      </c>
      <c r="AH322" s="6"/>
      <c r="AI322" s="23">
        <v>0</v>
      </c>
      <c r="AK322" s="22">
        <f t="shared" si="134"/>
        <v>0.6</v>
      </c>
      <c r="AL322">
        <f t="shared" si="130"/>
        <v>487.40000000000055</v>
      </c>
      <c r="AM322" s="4">
        <v>6.72</v>
      </c>
      <c r="AN322">
        <v>3.49</v>
      </c>
      <c r="AP322" s="7">
        <f t="shared" si="128"/>
        <v>0.51</v>
      </c>
      <c r="AQ322" s="7">
        <f t="shared" si="108"/>
        <v>0.41199999999999998</v>
      </c>
      <c r="AS322">
        <f t="shared" si="109"/>
        <v>3.49</v>
      </c>
      <c r="AT322">
        <f t="shared" si="110"/>
        <v>1.7</v>
      </c>
      <c r="AU322">
        <f t="shared" si="111"/>
        <v>74.5</v>
      </c>
      <c r="AV322" t="s">
        <v>104</v>
      </c>
      <c r="AW322">
        <f t="shared" si="112"/>
        <v>0.4</v>
      </c>
      <c r="AX322">
        <f t="shared" si="113"/>
        <v>2.2999999999999998</v>
      </c>
      <c r="AY322">
        <f t="shared" si="114"/>
        <v>5.8</v>
      </c>
      <c r="AZ322">
        <f t="shared" si="115"/>
        <v>91.2</v>
      </c>
      <c r="BA322" t="s">
        <v>104</v>
      </c>
      <c r="BB322">
        <f t="shared" si="116"/>
        <v>6.9</v>
      </c>
      <c r="BC322">
        <f t="shared" si="117"/>
        <v>3.1</v>
      </c>
      <c r="BD322">
        <f t="shared" si="118"/>
        <v>0.1</v>
      </c>
      <c r="BE322">
        <f t="shared" si="119"/>
        <v>55.3</v>
      </c>
      <c r="BF322" t="s">
        <v>104</v>
      </c>
      <c r="BG322">
        <f t="shared" si="120"/>
        <v>-1.2</v>
      </c>
      <c r="BH322">
        <f t="shared" si="121"/>
        <v>1.9</v>
      </c>
      <c r="BI322">
        <f t="shared" si="122"/>
        <v>0.88</v>
      </c>
      <c r="BJ322">
        <f t="shared" si="123"/>
        <v>2.5</v>
      </c>
      <c r="BK322">
        <f t="shared" si="124"/>
        <v>0</v>
      </c>
      <c r="BL322">
        <f t="shared" si="125"/>
        <v>0.6</v>
      </c>
      <c r="BM322">
        <f t="shared" si="126"/>
        <v>0.51</v>
      </c>
      <c r="BN322">
        <f t="shared" si="127"/>
        <v>0.41199999999999998</v>
      </c>
    </row>
    <row r="323" spans="1:66" x14ac:dyDescent="0.25">
      <c r="A323">
        <v>2024</v>
      </c>
      <c r="B323" s="1">
        <f t="shared" si="129"/>
        <v>45609</v>
      </c>
      <c r="C323" s="2">
        <v>318</v>
      </c>
      <c r="D323">
        <v>70</v>
      </c>
      <c r="E323" s="6">
        <v>12.79</v>
      </c>
      <c r="F323" s="6">
        <v>0.245</v>
      </c>
      <c r="G323" s="6">
        <v>0.68799999999999994</v>
      </c>
      <c r="H323" s="6">
        <v>-0.246</v>
      </c>
      <c r="I323" s="6">
        <v>0.39500000000000002</v>
      </c>
      <c r="J323" s="6">
        <v>1.016</v>
      </c>
      <c r="K323" s="6">
        <v>90.4</v>
      </c>
      <c r="L323" s="6"/>
      <c r="M323" s="6">
        <v>9.4E-2</v>
      </c>
      <c r="N323" s="6">
        <v>2.2490000000000001</v>
      </c>
      <c r="O323" s="6">
        <v>1.972</v>
      </c>
      <c r="P323" s="6">
        <v>93.4</v>
      </c>
      <c r="Q323" s="6"/>
      <c r="R323" s="6">
        <v>0.6</v>
      </c>
      <c r="S323" s="6">
        <v>2.359</v>
      </c>
      <c r="T323" s="6">
        <v>2.5999999999999999E-2</v>
      </c>
      <c r="U323" s="6">
        <v>85.7</v>
      </c>
      <c r="V323" s="6"/>
      <c r="W323" s="6">
        <v>-0.35</v>
      </c>
      <c r="X323" s="6">
        <v>2.1640000000000001</v>
      </c>
      <c r="Y323" s="6">
        <v>0.873</v>
      </c>
      <c r="Z323" s="6">
        <v>2.367</v>
      </c>
      <c r="AA323" s="6">
        <v>2.9</v>
      </c>
      <c r="AB323" s="6">
        <v>1.8919999999999999</v>
      </c>
      <c r="AC323" s="6">
        <v>0.78300000000000003</v>
      </c>
      <c r="AD323" s="6">
        <v>-8.2000000000000003E-2</v>
      </c>
      <c r="AE323" s="6">
        <v>8.9999999999999993E-3</v>
      </c>
      <c r="AF323" s="6">
        <v>7.0000000000000001E-3</v>
      </c>
      <c r="AG323" s="6">
        <v>1.887</v>
      </c>
      <c r="AH323" s="6"/>
      <c r="AI323" s="6">
        <f>AI$2-AB323</f>
        <v>0.1379999999999999</v>
      </c>
      <c r="AJ323">
        <f t="shared" ref="AJ323:AJ354" si="138">IF(AI323&gt;AI322,ROUND((AI323-AI322)*AJ$1,1),0)</f>
        <v>17.899999999999999</v>
      </c>
      <c r="AK323" s="21">
        <f t="shared" ref="AK323:AK371" si="139">AJ323</f>
        <v>17.899999999999999</v>
      </c>
      <c r="AL323">
        <f t="shared" si="130"/>
        <v>505.30000000000052</v>
      </c>
      <c r="AM323" s="4">
        <v>6.6</v>
      </c>
      <c r="AN323">
        <v>0.39</v>
      </c>
      <c r="AP323" s="7">
        <f t="shared" si="128"/>
        <v>0.60299999999999998</v>
      </c>
      <c r="AQ323" s="7">
        <f t="shared" si="108"/>
        <v>0.10100000000000001</v>
      </c>
      <c r="AS323">
        <f t="shared" si="109"/>
        <v>0.39</v>
      </c>
      <c r="AT323">
        <f t="shared" si="110"/>
        <v>1</v>
      </c>
      <c r="AU323">
        <f t="shared" si="111"/>
        <v>90.4</v>
      </c>
      <c r="AV323" t="s">
        <v>104</v>
      </c>
      <c r="AW323">
        <f t="shared" si="112"/>
        <v>0.1</v>
      </c>
      <c r="AX323">
        <f t="shared" si="113"/>
        <v>2.2000000000000002</v>
      </c>
      <c r="AY323">
        <f t="shared" si="114"/>
        <v>2</v>
      </c>
      <c r="AZ323">
        <f t="shared" si="115"/>
        <v>93.4</v>
      </c>
      <c r="BA323" t="s">
        <v>104</v>
      </c>
      <c r="BB323">
        <f t="shared" si="116"/>
        <v>0.6</v>
      </c>
      <c r="BC323">
        <f t="shared" si="117"/>
        <v>2.4</v>
      </c>
      <c r="BD323">
        <f t="shared" si="118"/>
        <v>0</v>
      </c>
      <c r="BE323">
        <f t="shared" si="119"/>
        <v>85.7</v>
      </c>
      <c r="BF323" t="s">
        <v>104</v>
      </c>
      <c r="BG323">
        <f t="shared" si="120"/>
        <v>-0.4</v>
      </c>
      <c r="BH323">
        <f t="shared" si="121"/>
        <v>2.2000000000000002</v>
      </c>
      <c r="BI323">
        <f t="shared" si="122"/>
        <v>0.87</v>
      </c>
      <c r="BJ323">
        <f t="shared" si="123"/>
        <v>2.37</v>
      </c>
      <c r="BK323">
        <f t="shared" si="124"/>
        <v>0.1379999999999999</v>
      </c>
      <c r="BL323">
        <f t="shared" si="125"/>
        <v>17.899999999999999</v>
      </c>
      <c r="BM323">
        <f t="shared" si="126"/>
        <v>0.60299999999999998</v>
      </c>
      <c r="BN323">
        <f t="shared" si="127"/>
        <v>0.10100000000000001</v>
      </c>
    </row>
    <row r="324" spans="1:66" x14ac:dyDescent="0.25">
      <c r="A324">
        <v>2024</v>
      </c>
      <c r="B324" s="1">
        <f t="shared" si="129"/>
        <v>45610</v>
      </c>
      <c r="C324" s="2">
        <v>319</v>
      </c>
      <c r="D324">
        <v>70</v>
      </c>
      <c r="E324" s="6">
        <v>12.78</v>
      </c>
      <c r="F324" s="6">
        <v>9.8000000000000004E-2</v>
      </c>
      <c r="G324" s="6">
        <v>1.9370000000000001</v>
      </c>
      <c r="H324" s="6">
        <v>-3.2469999999999999</v>
      </c>
      <c r="I324" s="6">
        <v>1.353</v>
      </c>
      <c r="J324" s="6">
        <v>1.085</v>
      </c>
      <c r="K324" s="6">
        <v>90</v>
      </c>
      <c r="L324" s="6"/>
      <c r="M324" s="6">
        <v>0.30399999999999999</v>
      </c>
      <c r="N324" s="6">
        <v>2.319</v>
      </c>
      <c r="O324" s="6">
        <v>2.98</v>
      </c>
      <c r="P324" s="6">
        <v>93.2</v>
      </c>
      <c r="Q324" s="6"/>
      <c r="R324" s="6">
        <v>2.4870000000000001</v>
      </c>
      <c r="S324" s="6">
        <v>2.4329999999999998</v>
      </c>
      <c r="T324" s="6">
        <v>-1.9179999999999999</v>
      </c>
      <c r="U324" s="6">
        <v>83.3</v>
      </c>
      <c r="V324" s="6"/>
      <c r="W324" s="6">
        <v>-2.8940000000000001</v>
      </c>
      <c r="X324" s="6">
        <v>2.17</v>
      </c>
      <c r="Y324" s="6">
        <v>0.70799999999999996</v>
      </c>
      <c r="Z324" s="6">
        <v>1.794</v>
      </c>
      <c r="AA324" s="6">
        <v>3.3</v>
      </c>
      <c r="AB324" s="6">
        <v>1.9019999999999999</v>
      </c>
      <c r="AC324" s="6">
        <v>2.0289999999999999</v>
      </c>
      <c r="AD324" s="6">
        <v>-3.0270000000000001</v>
      </c>
      <c r="AE324" s="6">
        <v>8.9999999999999993E-3</v>
      </c>
      <c r="AF324" s="6">
        <v>7.0000000000000001E-3</v>
      </c>
      <c r="AG324" s="6">
        <v>1.905</v>
      </c>
      <c r="AH324" s="6"/>
      <c r="AI324" s="6">
        <f t="shared" ref="AI324:AI371" si="140">AI$2-AB324</f>
        <v>0.12799999999999989</v>
      </c>
      <c r="AJ324">
        <f t="shared" si="138"/>
        <v>0</v>
      </c>
      <c r="AK324" s="21">
        <f t="shared" si="139"/>
        <v>0</v>
      </c>
      <c r="AL324">
        <f t="shared" si="130"/>
        <v>505.30000000000052</v>
      </c>
      <c r="AM324" s="4">
        <v>6.48</v>
      </c>
      <c r="AN324">
        <v>1.35</v>
      </c>
      <c r="AP324" s="7">
        <f t="shared" si="128"/>
        <v>0.63</v>
      </c>
      <c r="AQ324" s="7">
        <f t="shared" si="108"/>
        <v>0.126</v>
      </c>
      <c r="AS324">
        <f t="shared" si="109"/>
        <v>1.35</v>
      </c>
      <c r="AT324">
        <f t="shared" si="110"/>
        <v>1.1000000000000001</v>
      </c>
      <c r="AU324">
        <f t="shared" si="111"/>
        <v>90</v>
      </c>
      <c r="AV324" t="s">
        <v>104</v>
      </c>
      <c r="AW324">
        <f t="shared" si="112"/>
        <v>0.3</v>
      </c>
      <c r="AX324">
        <f t="shared" si="113"/>
        <v>2.2999999999999998</v>
      </c>
      <c r="AY324">
        <f t="shared" si="114"/>
        <v>3</v>
      </c>
      <c r="AZ324">
        <f t="shared" si="115"/>
        <v>93.2</v>
      </c>
      <c r="BA324" t="s">
        <v>104</v>
      </c>
      <c r="BB324">
        <f t="shared" si="116"/>
        <v>2.5</v>
      </c>
      <c r="BC324">
        <f t="shared" si="117"/>
        <v>2.4</v>
      </c>
      <c r="BD324">
        <f t="shared" si="118"/>
        <v>-1.9</v>
      </c>
      <c r="BE324">
        <f t="shared" si="119"/>
        <v>83.3</v>
      </c>
      <c r="BF324" t="s">
        <v>104</v>
      </c>
      <c r="BG324">
        <f t="shared" si="120"/>
        <v>-2.9</v>
      </c>
      <c r="BH324">
        <f t="shared" si="121"/>
        <v>2.2000000000000002</v>
      </c>
      <c r="BI324">
        <f t="shared" si="122"/>
        <v>0.71</v>
      </c>
      <c r="BJ324">
        <f t="shared" si="123"/>
        <v>1.79</v>
      </c>
      <c r="BK324">
        <f t="shared" si="124"/>
        <v>0.12799999999999989</v>
      </c>
      <c r="BL324">
        <f t="shared" si="125"/>
        <v>0</v>
      </c>
      <c r="BM324">
        <f t="shared" si="126"/>
        <v>0.63</v>
      </c>
      <c r="BN324">
        <f t="shared" si="127"/>
        <v>0.126</v>
      </c>
    </row>
    <row r="325" spans="1:66" x14ac:dyDescent="0.25">
      <c r="A325">
        <v>2024</v>
      </c>
      <c r="B325" s="1">
        <f t="shared" si="129"/>
        <v>45611</v>
      </c>
      <c r="C325" s="2">
        <v>320</v>
      </c>
      <c r="D325">
        <v>70</v>
      </c>
      <c r="E325" s="6">
        <v>12.84</v>
      </c>
      <c r="F325" s="6">
        <v>-3.3620000000000001</v>
      </c>
      <c r="G325" s="6">
        <v>1.4E-2</v>
      </c>
      <c r="H325" s="6">
        <v>-7.16</v>
      </c>
      <c r="I325" s="6">
        <v>2.0409999999999999</v>
      </c>
      <c r="J325" s="6">
        <v>-2.202</v>
      </c>
      <c r="K325" s="6">
        <v>89</v>
      </c>
      <c r="L325" s="6"/>
      <c r="M325" s="6">
        <v>-2.9430000000000001</v>
      </c>
      <c r="N325" s="6">
        <v>1.95</v>
      </c>
      <c r="O325" s="6">
        <v>0.83799999999999997</v>
      </c>
      <c r="P325" s="6">
        <v>92.3</v>
      </c>
      <c r="Q325" s="6"/>
      <c r="R325" s="6">
        <v>0.20100000000000001</v>
      </c>
      <c r="S325" s="6">
        <v>2.2719999999999998</v>
      </c>
      <c r="T325" s="6">
        <v>-5.3369999999999997</v>
      </c>
      <c r="U325" s="6">
        <v>78.8</v>
      </c>
      <c r="V325" s="6"/>
      <c r="W325" s="6">
        <v>-7.11</v>
      </c>
      <c r="X325" s="6">
        <v>1.522</v>
      </c>
      <c r="Y325" s="6">
        <v>0.246</v>
      </c>
      <c r="Z325" s="6">
        <v>1.46</v>
      </c>
      <c r="AA325" s="6">
        <v>0.3</v>
      </c>
      <c r="AB325" s="6">
        <v>1.97</v>
      </c>
      <c r="AC325" s="6">
        <v>0.14399999999999999</v>
      </c>
      <c r="AD325" s="6">
        <v>-7.02</v>
      </c>
      <c r="AE325" s="6">
        <v>8.9999999999999993E-3</v>
      </c>
      <c r="AF325" s="6">
        <v>7.0000000000000001E-3</v>
      </c>
      <c r="AG325" s="6">
        <v>1.988</v>
      </c>
      <c r="AH325" s="6"/>
      <c r="AI325" s="6">
        <f t="shared" si="140"/>
        <v>5.9999999999999831E-2</v>
      </c>
      <c r="AJ325">
        <f t="shared" si="138"/>
        <v>0</v>
      </c>
      <c r="AK325" s="21">
        <f t="shared" si="139"/>
        <v>0</v>
      </c>
      <c r="AL325">
        <f t="shared" si="130"/>
        <v>505.30000000000052</v>
      </c>
      <c r="AM325" s="4">
        <v>6.37</v>
      </c>
      <c r="AN325">
        <v>2.04</v>
      </c>
      <c r="AP325" s="7">
        <f t="shared" si="128"/>
        <v>0.51100000000000001</v>
      </c>
      <c r="AQ325" s="7">
        <f t="shared" si="108"/>
        <v>0.13700000000000001</v>
      </c>
      <c r="AS325">
        <f t="shared" si="109"/>
        <v>2.04</v>
      </c>
      <c r="AT325">
        <f t="shared" si="110"/>
        <v>-2.2000000000000002</v>
      </c>
      <c r="AU325">
        <f t="shared" si="111"/>
        <v>89</v>
      </c>
      <c r="AV325" t="s">
        <v>104</v>
      </c>
      <c r="AW325">
        <f t="shared" si="112"/>
        <v>-2.9</v>
      </c>
      <c r="AX325">
        <f t="shared" si="113"/>
        <v>2</v>
      </c>
      <c r="AY325">
        <f t="shared" si="114"/>
        <v>0.8</v>
      </c>
      <c r="AZ325">
        <f t="shared" si="115"/>
        <v>92.3</v>
      </c>
      <c r="BA325" t="s">
        <v>104</v>
      </c>
      <c r="BB325">
        <f t="shared" si="116"/>
        <v>0.2</v>
      </c>
      <c r="BC325">
        <f t="shared" si="117"/>
        <v>2.2999999999999998</v>
      </c>
      <c r="BD325">
        <f t="shared" si="118"/>
        <v>-5.3</v>
      </c>
      <c r="BE325">
        <f t="shared" si="119"/>
        <v>78.8</v>
      </c>
      <c r="BF325" t="s">
        <v>104</v>
      </c>
      <c r="BG325">
        <f t="shared" si="120"/>
        <v>-7.1</v>
      </c>
      <c r="BH325">
        <f t="shared" si="121"/>
        <v>1.5</v>
      </c>
      <c r="BI325">
        <f t="shared" si="122"/>
        <v>0.25</v>
      </c>
      <c r="BJ325">
        <f t="shared" si="123"/>
        <v>1.46</v>
      </c>
      <c r="BK325">
        <f t="shared" si="124"/>
        <v>5.9999999999999831E-2</v>
      </c>
      <c r="BL325">
        <f t="shared" si="125"/>
        <v>0</v>
      </c>
      <c r="BM325">
        <f t="shared" si="126"/>
        <v>0.51100000000000001</v>
      </c>
      <c r="BN325">
        <f t="shared" si="127"/>
        <v>0.13700000000000001</v>
      </c>
    </row>
    <row r="326" spans="1:66" x14ac:dyDescent="0.25">
      <c r="A326">
        <v>2024</v>
      </c>
      <c r="B326" s="1">
        <f t="shared" si="129"/>
        <v>45612</v>
      </c>
      <c r="C326" s="2">
        <v>321</v>
      </c>
      <c r="D326">
        <v>70</v>
      </c>
      <c r="E326" s="6">
        <v>12.77</v>
      </c>
      <c r="F326" s="6">
        <v>-4.4710000000000001</v>
      </c>
      <c r="G326" s="6">
        <v>-2.8210000000000002</v>
      </c>
      <c r="H326" s="6">
        <v>-7.18</v>
      </c>
      <c r="I326" s="6">
        <v>0.71799999999999997</v>
      </c>
      <c r="J326" s="6">
        <v>-3.496</v>
      </c>
      <c r="K326" s="6">
        <v>88.7</v>
      </c>
      <c r="L326" s="6"/>
      <c r="M326" s="6">
        <v>-3.6360000000000001</v>
      </c>
      <c r="N326" s="6">
        <v>1.641</v>
      </c>
      <c r="O326" s="6">
        <v>-2.048</v>
      </c>
      <c r="P326" s="6">
        <v>92.2</v>
      </c>
      <c r="Q326" s="6"/>
      <c r="R326" s="6">
        <v>-1.7250000000000001</v>
      </c>
      <c r="S326" s="6">
        <v>1.964</v>
      </c>
      <c r="T326" s="6">
        <v>-5.4050000000000002</v>
      </c>
      <c r="U326" s="6">
        <v>75.5</v>
      </c>
      <c r="V326" s="6"/>
      <c r="W326" s="6">
        <v>-7.17</v>
      </c>
      <c r="X326" s="6">
        <v>1.478</v>
      </c>
      <c r="Y326" s="6">
        <v>0.69799999999999995</v>
      </c>
      <c r="Z326" s="6">
        <v>2.38</v>
      </c>
      <c r="AA326" s="6">
        <v>0</v>
      </c>
      <c r="AB326" s="6">
        <v>1.889</v>
      </c>
      <c r="AC326" s="6">
        <v>-2.7770000000000001</v>
      </c>
      <c r="AD326" s="6">
        <v>-7.06</v>
      </c>
      <c r="AE326" s="6">
        <v>8.9999999999999993E-3</v>
      </c>
      <c r="AF326" s="6">
        <v>6.0000000000000001E-3</v>
      </c>
      <c r="AG326" s="6">
        <v>1.8959999999999999</v>
      </c>
      <c r="AH326" s="6"/>
      <c r="AI326" s="6">
        <f t="shared" si="140"/>
        <v>0.14099999999999979</v>
      </c>
      <c r="AJ326">
        <f t="shared" si="138"/>
        <v>10.5</v>
      </c>
      <c r="AK326" s="21">
        <f t="shared" si="139"/>
        <v>10.5</v>
      </c>
      <c r="AL326">
        <f t="shared" si="130"/>
        <v>515.80000000000052</v>
      </c>
      <c r="AM326" s="4">
        <v>6.25</v>
      </c>
      <c r="AN326">
        <v>0.72</v>
      </c>
      <c r="AP326" s="7">
        <f t="shared" si="128"/>
        <v>0.39700000000000002</v>
      </c>
      <c r="AQ326" s="7">
        <f t="shared" ref="AQ326:AQ371" si="141">ROUND(AP326/U326*(100-U326),3)</f>
        <v>0.129</v>
      </c>
      <c r="AS326">
        <f t="shared" ref="AS326:AS371" si="142">AN326</f>
        <v>0.72</v>
      </c>
      <c r="AT326">
        <f t="shared" ref="AT326:AT371" si="143">ROUND(J326,1)</f>
        <v>-3.5</v>
      </c>
      <c r="AU326">
        <f t="shared" ref="AU326:AU371" si="144">ROUND(K326,1)</f>
        <v>88.7</v>
      </c>
      <c r="AV326" t="s">
        <v>104</v>
      </c>
      <c r="AW326">
        <f t="shared" ref="AW326:AW371" si="145">ROUND(M326,1)</f>
        <v>-3.6</v>
      </c>
      <c r="AX326">
        <f t="shared" ref="AX326:AX371" si="146">ROUND(N326,1)</f>
        <v>1.6</v>
      </c>
      <c r="AY326">
        <f t="shared" ref="AY326:AY371" si="147">ROUND(O326,1)</f>
        <v>-2</v>
      </c>
      <c r="AZ326">
        <f t="shared" ref="AZ326:AZ371" si="148">ROUND(P326,1)</f>
        <v>92.2</v>
      </c>
      <c r="BA326" t="s">
        <v>104</v>
      </c>
      <c r="BB326">
        <f t="shared" ref="BB326:BB371" si="149">ROUND(R326,1)</f>
        <v>-1.7</v>
      </c>
      <c r="BC326">
        <f t="shared" ref="BC326:BC371" si="150">ROUND(S326,1)</f>
        <v>2</v>
      </c>
      <c r="BD326">
        <f t="shared" ref="BD326:BD371" si="151">ROUND(T326,1)</f>
        <v>-5.4</v>
      </c>
      <c r="BE326">
        <f t="shared" ref="BE326:BE371" si="152">ROUND(U326,1)</f>
        <v>75.5</v>
      </c>
      <c r="BF326" t="s">
        <v>104</v>
      </c>
      <c r="BG326">
        <f t="shared" ref="BG326:BG371" si="153">ROUND(W326,1)</f>
        <v>-7.2</v>
      </c>
      <c r="BH326">
        <f t="shared" ref="BH326:BH371" si="154">ROUND(X326,1)</f>
        <v>1.5</v>
      </c>
      <c r="BI326">
        <f t="shared" ref="BI326:BI371" si="155">ROUND(Y326,2)</f>
        <v>0.7</v>
      </c>
      <c r="BJ326">
        <f t="shared" ref="BJ326:BJ371" si="156">ROUND(Z326,2)</f>
        <v>2.38</v>
      </c>
      <c r="BK326">
        <f t="shared" ref="BK326:BK371" si="157">AI326</f>
        <v>0.14099999999999979</v>
      </c>
      <c r="BL326">
        <f t="shared" ref="BL326:BL371" si="158">ROUND(AK326,1)</f>
        <v>10.5</v>
      </c>
      <c r="BM326">
        <f t="shared" ref="BM326:BM371" si="159">ROUND(AP326,3)</f>
        <v>0.39700000000000002</v>
      </c>
      <c r="BN326">
        <f t="shared" ref="BN326:BN371" si="160">ROUND(AQ326,3)</f>
        <v>0.129</v>
      </c>
    </row>
    <row r="327" spans="1:66" x14ac:dyDescent="0.25">
      <c r="A327">
        <v>2024</v>
      </c>
      <c r="B327" s="1">
        <f t="shared" si="129"/>
        <v>45613</v>
      </c>
      <c r="C327" s="2">
        <v>322</v>
      </c>
      <c r="D327">
        <v>70</v>
      </c>
      <c r="E327" s="6">
        <v>12.8</v>
      </c>
      <c r="F327" s="6">
        <v>-2.4689999999999999</v>
      </c>
      <c r="G327" s="6">
        <v>0.59199999999999997</v>
      </c>
      <c r="H327" s="6">
        <v>-5.3339999999999996</v>
      </c>
      <c r="I327" s="6">
        <v>0.36599999999999999</v>
      </c>
      <c r="J327" s="6">
        <v>-1.4139999999999999</v>
      </c>
      <c r="K327" s="6">
        <v>84.8</v>
      </c>
      <c r="L327" s="6"/>
      <c r="M327" s="6">
        <v>-1.194</v>
      </c>
      <c r="N327" s="6">
        <v>1.5820000000000001</v>
      </c>
      <c r="O327" s="6">
        <v>2.3170000000000002</v>
      </c>
      <c r="P327" s="6">
        <v>92.3</v>
      </c>
      <c r="Q327" s="6"/>
      <c r="R327" s="6">
        <v>-1.0999999999999999E-2</v>
      </c>
      <c r="S327" s="6">
        <v>1.9139999999999999</v>
      </c>
      <c r="T327" s="6">
        <v>-4.3949999999999996</v>
      </c>
      <c r="U327" s="6">
        <v>68.34</v>
      </c>
      <c r="V327" s="6"/>
      <c r="W327" s="6">
        <v>-2.4569999999999999</v>
      </c>
      <c r="X327" s="6">
        <v>1.23</v>
      </c>
      <c r="Y327" s="6">
        <v>0.70399999999999996</v>
      </c>
      <c r="Z327" s="6">
        <v>2.2869999999999999</v>
      </c>
      <c r="AA327" s="6">
        <v>0.5</v>
      </c>
      <c r="AB327" s="6">
        <v>1.89</v>
      </c>
      <c r="AC327" s="6">
        <v>0.76200000000000001</v>
      </c>
      <c r="AD327" s="6">
        <v>-5.1100000000000003</v>
      </c>
      <c r="AE327" s="6">
        <v>8.9999999999999993E-3</v>
      </c>
      <c r="AF327" s="6">
        <v>7.0000000000000001E-3</v>
      </c>
      <c r="AG327" s="6">
        <v>1.901</v>
      </c>
      <c r="AH327" s="6"/>
      <c r="AI327" s="6">
        <f t="shared" si="140"/>
        <v>0.1399999999999999</v>
      </c>
      <c r="AJ327">
        <f t="shared" si="138"/>
        <v>0</v>
      </c>
      <c r="AK327" s="21">
        <f t="shared" si="139"/>
        <v>0</v>
      </c>
      <c r="AL327">
        <f t="shared" si="130"/>
        <v>515.80000000000052</v>
      </c>
      <c r="AM327" s="4">
        <v>6.14</v>
      </c>
      <c r="AN327">
        <v>0.36</v>
      </c>
      <c r="AP327" s="7">
        <f t="shared" ref="AP327:AP371" si="161">ROUND((0.6105*(EXP((17.273*O327)/(O327+237.3))))*U327/100,3)</f>
        <v>0.49299999999999999</v>
      </c>
      <c r="AQ327" s="7">
        <f t="shared" si="141"/>
        <v>0.22800000000000001</v>
      </c>
      <c r="AS327">
        <f t="shared" si="142"/>
        <v>0.36</v>
      </c>
      <c r="AT327">
        <f t="shared" si="143"/>
        <v>-1.4</v>
      </c>
      <c r="AU327">
        <f t="shared" si="144"/>
        <v>84.8</v>
      </c>
      <c r="AV327" t="s">
        <v>104</v>
      </c>
      <c r="AW327">
        <f t="shared" si="145"/>
        <v>-1.2</v>
      </c>
      <c r="AX327">
        <f t="shared" si="146"/>
        <v>1.6</v>
      </c>
      <c r="AY327">
        <f t="shared" si="147"/>
        <v>2.2999999999999998</v>
      </c>
      <c r="AZ327">
        <f t="shared" si="148"/>
        <v>92.3</v>
      </c>
      <c r="BA327" t="s">
        <v>104</v>
      </c>
      <c r="BB327">
        <f t="shared" si="149"/>
        <v>0</v>
      </c>
      <c r="BC327">
        <f t="shared" si="150"/>
        <v>1.9</v>
      </c>
      <c r="BD327">
        <f t="shared" si="151"/>
        <v>-4.4000000000000004</v>
      </c>
      <c r="BE327">
        <f t="shared" si="152"/>
        <v>68.3</v>
      </c>
      <c r="BF327" t="s">
        <v>104</v>
      </c>
      <c r="BG327">
        <f t="shared" si="153"/>
        <v>-2.5</v>
      </c>
      <c r="BH327">
        <f t="shared" si="154"/>
        <v>1.2</v>
      </c>
      <c r="BI327">
        <f t="shared" si="155"/>
        <v>0.7</v>
      </c>
      <c r="BJ327">
        <f t="shared" si="156"/>
        <v>2.29</v>
      </c>
      <c r="BK327">
        <f t="shared" si="157"/>
        <v>0.1399999999999999</v>
      </c>
      <c r="BL327">
        <f t="shared" si="158"/>
        <v>0</v>
      </c>
      <c r="BM327">
        <f t="shared" si="159"/>
        <v>0.49299999999999999</v>
      </c>
      <c r="BN327">
        <f t="shared" si="160"/>
        <v>0.22800000000000001</v>
      </c>
    </row>
    <row r="328" spans="1:66" x14ac:dyDescent="0.25">
      <c r="A328">
        <v>2024</v>
      </c>
      <c r="B328" s="1">
        <f t="shared" ref="B328:B371" si="162">B327+1</f>
        <v>45614</v>
      </c>
      <c r="C328" s="2">
        <v>323</v>
      </c>
      <c r="D328">
        <v>70</v>
      </c>
      <c r="E328" s="6">
        <v>12.97</v>
      </c>
      <c r="F328" s="6">
        <v>-5.548</v>
      </c>
      <c r="G328" s="6">
        <v>-1.4590000000000001</v>
      </c>
      <c r="H328" s="6">
        <v>-10.29</v>
      </c>
      <c r="I328" s="6">
        <v>0.67100000000000004</v>
      </c>
      <c r="J328" s="6">
        <v>-4.2279999999999998</v>
      </c>
      <c r="K328" s="6">
        <v>83.6</v>
      </c>
      <c r="L328" s="6"/>
      <c r="M328" s="6">
        <v>-2.6720000000000002</v>
      </c>
      <c r="N328" s="6">
        <v>1.64</v>
      </c>
      <c r="O328" s="6">
        <v>0.98899999999999999</v>
      </c>
      <c r="P328" s="6">
        <v>91.5</v>
      </c>
      <c r="Q328" s="6"/>
      <c r="R328" s="6">
        <v>-1.048</v>
      </c>
      <c r="S328" s="6">
        <v>2.4510000000000001</v>
      </c>
      <c r="T328" s="6">
        <v>-8.9600000000000009</v>
      </c>
      <c r="U328" s="6">
        <v>63.46</v>
      </c>
      <c r="V328" s="6"/>
      <c r="W328" s="6">
        <v>-4.5590000000000002</v>
      </c>
      <c r="X328" s="6">
        <v>1.276</v>
      </c>
      <c r="Y328" s="6">
        <v>0.56399999999999995</v>
      </c>
      <c r="Z328" s="6">
        <v>1.607</v>
      </c>
      <c r="AA328" s="6">
        <v>0.1</v>
      </c>
      <c r="AB328" s="6">
        <v>1.899</v>
      </c>
      <c r="AC328" s="6">
        <v>-1.343</v>
      </c>
      <c r="AD328" s="6">
        <v>-9.9</v>
      </c>
      <c r="AE328" s="6">
        <v>8.9999999999999993E-3</v>
      </c>
      <c r="AF328" s="6">
        <v>7.0000000000000001E-3</v>
      </c>
      <c r="AG328" s="6">
        <v>1.93</v>
      </c>
      <c r="AH328" s="6"/>
      <c r="AI328" s="6">
        <f t="shared" si="140"/>
        <v>0.13099999999999978</v>
      </c>
      <c r="AJ328">
        <f t="shared" si="138"/>
        <v>0</v>
      </c>
      <c r="AK328" s="21">
        <f t="shared" si="139"/>
        <v>0</v>
      </c>
      <c r="AL328">
        <f t="shared" ref="AL328:AL371" si="163">AL327+AK328</f>
        <v>515.80000000000052</v>
      </c>
      <c r="AM328" s="4">
        <v>6.03</v>
      </c>
      <c r="AN328">
        <v>0.67</v>
      </c>
      <c r="AP328" s="7">
        <f t="shared" si="161"/>
        <v>0.41599999999999998</v>
      </c>
      <c r="AQ328" s="7">
        <f t="shared" si="141"/>
        <v>0.24</v>
      </c>
      <c r="AS328">
        <f t="shared" si="142"/>
        <v>0.67</v>
      </c>
      <c r="AT328">
        <f t="shared" si="143"/>
        <v>-4.2</v>
      </c>
      <c r="AU328">
        <f t="shared" si="144"/>
        <v>83.6</v>
      </c>
      <c r="AV328" t="s">
        <v>104</v>
      </c>
      <c r="AW328">
        <f t="shared" si="145"/>
        <v>-2.7</v>
      </c>
      <c r="AX328">
        <f t="shared" si="146"/>
        <v>1.6</v>
      </c>
      <c r="AY328">
        <f t="shared" si="147"/>
        <v>1</v>
      </c>
      <c r="AZ328">
        <f t="shared" si="148"/>
        <v>91.5</v>
      </c>
      <c r="BA328" t="s">
        <v>104</v>
      </c>
      <c r="BB328">
        <f t="shared" si="149"/>
        <v>-1</v>
      </c>
      <c r="BC328">
        <f t="shared" si="150"/>
        <v>2.5</v>
      </c>
      <c r="BD328">
        <f t="shared" si="151"/>
        <v>-9</v>
      </c>
      <c r="BE328">
        <f t="shared" si="152"/>
        <v>63.5</v>
      </c>
      <c r="BF328" t="s">
        <v>104</v>
      </c>
      <c r="BG328">
        <f t="shared" si="153"/>
        <v>-4.5999999999999996</v>
      </c>
      <c r="BH328">
        <f t="shared" si="154"/>
        <v>1.3</v>
      </c>
      <c r="BI328">
        <f t="shared" si="155"/>
        <v>0.56000000000000005</v>
      </c>
      <c r="BJ328">
        <f t="shared" si="156"/>
        <v>1.61</v>
      </c>
      <c r="BK328">
        <f t="shared" si="157"/>
        <v>0.13099999999999978</v>
      </c>
      <c r="BL328">
        <f t="shared" si="158"/>
        <v>0</v>
      </c>
      <c r="BM328">
        <f t="shared" si="159"/>
        <v>0.41599999999999998</v>
      </c>
      <c r="BN328">
        <f t="shared" si="160"/>
        <v>0.24</v>
      </c>
    </row>
    <row r="329" spans="1:66" x14ac:dyDescent="0.25">
      <c r="A329">
        <v>2024</v>
      </c>
      <c r="B329" s="1">
        <f t="shared" si="162"/>
        <v>45615</v>
      </c>
      <c r="C329" s="2">
        <v>324</v>
      </c>
      <c r="D329">
        <v>70</v>
      </c>
      <c r="E329" s="6">
        <v>12.77</v>
      </c>
      <c r="F329" s="6">
        <v>-6.9509999999999996</v>
      </c>
      <c r="G329" s="6">
        <v>-3.3540000000000001</v>
      </c>
      <c r="H329" s="6">
        <v>-11.75</v>
      </c>
      <c r="I329" s="6">
        <v>0.35899999999999999</v>
      </c>
      <c r="J329" s="6">
        <v>-5.7110000000000003</v>
      </c>
      <c r="K329" s="6">
        <v>83.8</v>
      </c>
      <c r="L329" s="6"/>
      <c r="M329" s="6">
        <v>-3.75</v>
      </c>
      <c r="N329" s="6">
        <v>1.71</v>
      </c>
      <c r="O329" s="6">
        <v>-2.1070000000000002</v>
      </c>
      <c r="P329" s="6">
        <v>89.6</v>
      </c>
      <c r="Q329" s="6"/>
      <c r="R329" s="6">
        <v>-2.2370000000000001</v>
      </c>
      <c r="S329" s="6">
        <v>2.0910000000000002</v>
      </c>
      <c r="T329" s="6">
        <v>-10.24</v>
      </c>
      <c r="U329" s="6">
        <v>71.3</v>
      </c>
      <c r="V329" s="6"/>
      <c r="W329" s="6">
        <v>-5.468</v>
      </c>
      <c r="X329" s="6">
        <v>1.4690000000000001</v>
      </c>
      <c r="Y329" s="6">
        <v>0.84899999999999998</v>
      </c>
      <c r="Z329" s="6">
        <v>2.5670000000000002</v>
      </c>
      <c r="AA329" s="6">
        <v>0</v>
      </c>
      <c r="AB329" s="6">
        <v>1.897</v>
      </c>
      <c r="AC329" s="6">
        <v>-3.3170000000000002</v>
      </c>
      <c r="AD329" s="6">
        <v>-11.58</v>
      </c>
      <c r="AE329" s="6">
        <v>8.9999999999999993E-3</v>
      </c>
      <c r="AF329" s="6">
        <v>6.0000000000000001E-3</v>
      </c>
      <c r="AG329" s="6">
        <v>1.911</v>
      </c>
      <c r="AH329" s="6"/>
      <c r="AI329" s="6">
        <f t="shared" si="140"/>
        <v>0.13299999999999979</v>
      </c>
      <c r="AJ329">
        <f t="shared" si="138"/>
        <v>0.3</v>
      </c>
      <c r="AK329" s="21">
        <f t="shared" si="139"/>
        <v>0.3</v>
      </c>
      <c r="AL329">
        <f t="shared" si="163"/>
        <v>516.10000000000048</v>
      </c>
      <c r="AM329" s="4">
        <v>5.93</v>
      </c>
      <c r="AN329">
        <v>0.35</v>
      </c>
      <c r="AP329" s="7">
        <f t="shared" si="161"/>
        <v>0.373</v>
      </c>
      <c r="AQ329" s="7">
        <f t="shared" si="141"/>
        <v>0.15</v>
      </c>
      <c r="AS329">
        <f t="shared" si="142"/>
        <v>0.35</v>
      </c>
      <c r="AT329">
        <f t="shared" si="143"/>
        <v>-5.7</v>
      </c>
      <c r="AU329">
        <f t="shared" si="144"/>
        <v>83.8</v>
      </c>
      <c r="AV329" t="s">
        <v>104</v>
      </c>
      <c r="AW329">
        <f t="shared" si="145"/>
        <v>-3.8</v>
      </c>
      <c r="AX329">
        <f t="shared" si="146"/>
        <v>1.7</v>
      </c>
      <c r="AY329">
        <f t="shared" si="147"/>
        <v>-2.1</v>
      </c>
      <c r="AZ329">
        <f t="shared" si="148"/>
        <v>89.6</v>
      </c>
      <c r="BA329" t="s">
        <v>104</v>
      </c>
      <c r="BB329">
        <f t="shared" si="149"/>
        <v>-2.2000000000000002</v>
      </c>
      <c r="BC329">
        <f t="shared" si="150"/>
        <v>2.1</v>
      </c>
      <c r="BD329">
        <f t="shared" si="151"/>
        <v>-10.199999999999999</v>
      </c>
      <c r="BE329">
        <f t="shared" si="152"/>
        <v>71.3</v>
      </c>
      <c r="BF329" t="s">
        <v>104</v>
      </c>
      <c r="BG329">
        <f t="shared" si="153"/>
        <v>-5.5</v>
      </c>
      <c r="BH329">
        <f t="shared" si="154"/>
        <v>1.5</v>
      </c>
      <c r="BI329">
        <f t="shared" si="155"/>
        <v>0.85</v>
      </c>
      <c r="BJ329">
        <f t="shared" si="156"/>
        <v>2.57</v>
      </c>
      <c r="BK329">
        <f t="shared" si="157"/>
        <v>0.13299999999999979</v>
      </c>
      <c r="BL329">
        <f t="shared" si="158"/>
        <v>0.3</v>
      </c>
      <c r="BM329">
        <f t="shared" si="159"/>
        <v>0.373</v>
      </c>
      <c r="BN329">
        <f t="shared" si="160"/>
        <v>0.15</v>
      </c>
    </row>
    <row r="330" spans="1:66" x14ac:dyDescent="0.25">
      <c r="A330">
        <v>2024</v>
      </c>
      <c r="B330" s="1">
        <f t="shared" si="162"/>
        <v>45616</v>
      </c>
      <c r="C330" s="2">
        <v>325</v>
      </c>
      <c r="D330">
        <v>70</v>
      </c>
      <c r="E330" s="6">
        <v>12.76</v>
      </c>
      <c r="F330" s="6">
        <v>-3.7570000000000001</v>
      </c>
      <c r="G330" s="6">
        <v>-2.4820000000000002</v>
      </c>
      <c r="H330" s="6">
        <v>-5.0789999999999997</v>
      </c>
      <c r="I330" s="6">
        <v>0.14199999999999999</v>
      </c>
      <c r="J330" s="6">
        <v>-2.8490000000000002</v>
      </c>
      <c r="K330" s="6">
        <v>83.2</v>
      </c>
      <c r="L330" s="6"/>
      <c r="M330" s="6">
        <v>-2.2170000000000001</v>
      </c>
      <c r="N330" s="6">
        <v>1.708</v>
      </c>
      <c r="O330" s="6">
        <v>-1.177</v>
      </c>
      <c r="P330" s="6">
        <v>89.3</v>
      </c>
      <c r="Q330" s="6"/>
      <c r="R330" s="6">
        <v>-1.542</v>
      </c>
      <c r="S330" s="6">
        <v>1.893</v>
      </c>
      <c r="T330" s="6">
        <v>-4.26</v>
      </c>
      <c r="U330" s="6">
        <v>68.92</v>
      </c>
      <c r="V330" s="6"/>
      <c r="W330" s="6">
        <v>-3.0419999999999998</v>
      </c>
      <c r="X330" s="6">
        <v>1.4930000000000001</v>
      </c>
      <c r="Y330" s="6">
        <v>1.044</v>
      </c>
      <c r="Z330" s="6">
        <v>2.714</v>
      </c>
      <c r="AA330" s="6">
        <v>0</v>
      </c>
      <c r="AB330" s="6">
        <v>1.905</v>
      </c>
      <c r="AC330" s="6">
        <v>-2.4020000000000001</v>
      </c>
      <c r="AD330" s="6">
        <v>-5.0259999999999998</v>
      </c>
      <c r="AE330" s="6">
        <v>8.9999999999999993E-3</v>
      </c>
      <c r="AF330" s="6">
        <v>7.0000000000000001E-3</v>
      </c>
      <c r="AG330" s="6">
        <v>1.911</v>
      </c>
      <c r="AH330" s="6"/>
      <c r="AI330" s="6">
        <f t="shared" si="140"/>
        <v>0.12499999999999978</v>
      </c>
      <c r="AJ330">
        <f t="shared" si="138"/>
        <v>0</v>
      </c>
      <c r="AK330" s="21">
        <f t="shared" si="139"/>
        <v>0</v>
      </c>
      <c r="AL330">
        <f t="shared" si="163"/>
        <v>516.10000000000048</v>
      </c>
      <c r="AM330" s="4">
        <v>5.83</v>
      </c>
      <c r="AN330">
        <v>0.14000000000000001</v>
      </c>
      <c r="AP330" s="7">
        <f t="shared" si="161"/>
        <v>0.38600000000000001</v>
      </c>
      <c r="AQ330" s="7">
        <f t="shared" si="141"/>
        <v>0.17399999999999999</v>
      </c>
      <c r="AS330">
        <f t="shared" si="142"/>
        <v>0.14000000000000001</v>
      </c>
      <c r="AT330">
        <f t="shared" si="143"/>
        <v>-2.8</v>
      </c>
      <c r="AU330">
        <f t="shared" si="144"/>
        <v>83.2</v>
      </c>
      <c r="AV330" t="s">
        <v>104</v>
      </c>
      <c r="AW330">
        <f t="shared" si="145"/>
        <v>-2.2000000000000002</v>
      </c>
      <c r="AX330">
        <f t="shared" si="146"/>
        <v>1.7</v>
      </c>
      <c r="AY330">
        <f t="shared" si="147"/>
        <v>-1.2</v>
      </c>
      <c r="AZ330">
        <f t="shared" si="148"/>
        <v>89.3</v>
      </c>
      <c r="BA330" t="s">
        <v>104</v>
      </c>
      <c r="BB330">
        <f t="shared" si="149"/>
        <v>-1.5</v>
      </c>
      <c r="BC330">
        <f t="shared" si="150"/>
        <v>1.9</v>
      </c>
      <c r="BD330">
        <f t="shared" si="151"/>
        <v>-4.3</v>
      </c>
      <c r="BE330">
        <f t="shared" si="152"/>
        <v>68.900000000000006</v>
      </c>
      <c r="BF330" t="s">
        <v>104</v>
      </c>
      <c r="BG330">
        <f t="shared" si="153"/>
        <v>-3</v>
      </c>
      <c r="BH330">
        <f t="shared" si="154"/>
        <v>1.5</v>
      </c>
      <c r="BI330">
        <f t="shared" si="155"/>
        <v>1.04</v>
      </c>
      <c r="BJ330">
        <f t="shared" si="156"/>
        <v>2.71</v>
      </c>
      <c r="BK330">
        <f t="shared" si="157"/>
        <v>0.12499999999999978</v>
      </c>
      <c r="BL330">
        <f t="shared" si="158"/>
        <v>0</v>
      </c>
      <c r="BM330">
        <f t="shared" si="159"/>
        <v>0.38600000000000001</v>
      </c>
      <c r="BN330">
        <f t="shared" si="160"/>
        <v>0.17399999999999999</v>
      </c>
    </row>
    <row r="331" spans="1:66" x14ac:dyDescent="0.25">
      <c r="A331">
        <v>2024</v>
      </c>
      <c r="B331" s="1">
        <f t="shared" si="162"/>
        <v>45617</v>
      </c>
      <c r="C331" s="2">
        <v>326</v>
      </c>
      <c r="D331">
        <v>70</v>
      </c>
      <c r="E331" s="6">
        <v>13</v>
      </c>
      <c r="F331" s="6">
        <v>-2.4569999999999999</v>
      </c>
      <c r="G331" s="6">
        <v>3.2269999999999999</v>
      </c>
      <c r="H331" s="6">
        <v>-3.956</v>
      </c>
      <c r="I331" s="6">
        <v>1.907</v>
      </c>
      <c r="J331" s="6">
        <v>-1.4330000000000001</v>
      </c>
      <c r="K331" s="6">
        <v>85.7</v>
      </c>
      <c r="L331" s="6"/>
      <c r="M331" s="6">
        <v>-1.409</v>
      </c>
      <c r="N331" s="6">
        <v>1.714</v>
      </c>
      <c r="O331" s="6">
        <v>3.6549999999999998</v>
      </c>
      <c r="P331" s="6">
        <v>91.6</v>
      </c>
      <c r="Q331" s="6"/>
      <c r="R331" s="6">
        <v>0.502</v>
      </c>
      <c r="S331" s="6">
        <v>2.4910000000000001</v>
      </c>
      <c r="T331" s="6">
        <v>-3.331</v>
      </c>
      <c r="U331" s="6">
        <v>62.09</v>
      </c>
      <c r="V331" s="6"/>
      <c r="W331" s="6">
        <v>-2.077</v>
      </c>
      <c r="X331" s="6">
        <v>1.331</v>
      </c>
      <c r="Y331" s="6">
        <v>0.17</v>
      </c>
      <c r="Z331" s="6">
        <v>1.26</v>
      </c>
      <c r="AA331" s="6">
        <v>0.6</v>
      </c>
      <c r="AB331" s="6">
        <v>1.909</v>
      </c>
      <c r="AC331" s="6">
        <v>3.7570000000000001</v>
      </c>
      <c r="AD331" s="6">
        <v>-3.714</v>
      </c>
      <c r="AE331" s="6">
        <v>8.9999999999999993E-3</v>
      </c>
      <c r="AF331" s="6">
        <v>7.0000000000000001E-3</v>
      </c>
      <c r="AG331" s="6">
        <v>1.915</v>
      </c>
      <c r="AH331" s="6"/>
      <c r="AI331" s="6">
        <f t="shared" si="140"/>
        <v>0.12099999999999977</v>
      </c>
      <c r="AJ331">
        <f t="shared" si="138"/>
        <v>0</v>
      </c>
      <c r="AK331" s="21">
        <f t="shared" si="139"/>
        <v>0</v>
      </c>
      <c r="AL331">
        <f t="shared" si="163"/>
        <v>516.10000000000048</v>
      </c>
      <c r="AM331" s="4">
        <v>5.73</v>
      </c>
      <c r="AN331">
        <v>1.9</v>
      </c>
      <c r="AP331" s="7">
        <f t="shared" si="161"/>
        <v>0.49299999999999999</v>
      </c>
      <c r="AQ331" s="7">
        <f t="shared" si="141"/>
        <v>0.30099999999999999</v>
      </c>
      <c r="AS331">
        <f t="shared" si="142"/>
        <v>1.9</v>
      </c>
      <c r="AT331">
        <f t="shared" si="143"/>
        <v>-1.4</v>
      </c>
      <c r="AU331">
        <f t="shared" si="144"/>
        <v>85.7</v>
      </c>
      <c r="AV331" t="s">
        <v>104</v>
      </c>
      <c r="AW331">
        <f t="shared" si="145"/>
        <v>-1.4</v>
      </c>
      <c r="AX331">
        <f t="shared" si="146"/>
        <v>1.7</v>
      </c>
      <c r="AY331">
        <f t="shared" si="147"/>
        <v>3.7</v>
      </c>
      <c r="AZ331">
        <f t="shared" si="148"/>
        <v>91.6</v>
      </c>
      <c r="BA331" t="s">
        <v>104</v>
      </c>
      <c r="BB331">
        <f t="shared" si="149"/>
        <v>0.5</v>
      </c>
      <c r="BC331">
        <f t="shared" si="150"/>
        <v>2.5</v>
      </c>
      <c r="BD331">
        <f t="shared" si="151"/>
        <v>-3.3</v>
      </c>
      <c r="BE331">
        <f t="shared" si="152"/>
        <v>62.1</v>
      </c>
      <c r="BF331" t="s">
        <v>104</v>
      </c>
      <c r="BG331">
        <f t="shared" si="153"/>
        <v>-2.1</v>
      </c>
      <c r="BH331">
        <f t="shared" si="154"/>
        <v>1.3</v>
      </c>
      <c r="BI331">
        <f t="shared" si="155"/>
        <v>0.17</v>
      </c>
      <c r="BJ331">
        <f t="shared" si="156"/>
        <v>1.26</v>
      </c>
      <c r="BK331">
        <f t="shared" si="157"/>
        <v>0.12099999999999977</v>
      </c>
      <c r="BL331">
        <f t="shared" si="158"/>
        <v>0</v>
      </c>
      <c r="BM331">
        <f t="shared" si="159"/>
        <v>0.49299999999999999</v>
      </c>
      <c r="BN331">
        <f t="shared" si="160"/>
        <v>0.30099999999999999</v>
      </c>
    </row>
    <row r="332" spans="1:66" x14ac:dyDescent="0.25">
      <c r="A332">
        <v>2024</v>
      </c>
      <c r="B332" s="1">
        <f t="shared" si="162"/>
        <v>45618</v>
      </c>
      <c r="C332" s="2">
        <v>327</v>
      </c>
      <c r="D332">
        <v>70</v>
      </c>
      <c r="E332" s="6">
        <v>12.78</v>
      </c>
      <c r="F332" s="6">
        <v>-1.6279999999999999</v>
      </c>
      <c r="G332" s="6">
        <v>0.12</v>
      </c>
      <c r="H332" s="6">
        <v>-4.5019999999999998</v>
      </c>
      <c r="I332" s="6">
        <v>0.61599999999999999</v>
      </c>
      <c r="J332" s="6">
        <v>-0.70699999999999996</v>
      </c>
      <c r="K332" s="6">
        <v>86.6</v>
      </c>
      <c r="L332" s="6"/>
      <c r="M332" s="6">
        <v>-1.0860000000000001</v>
      </c>
      <c r="N332" s="6">
        <v>1.794</v>
      </c>
      <c r="O332" s="6">
        <v>1.3120000000000001</v>
      </c>
      <c r="P332" s="6">
        <v>91.8</v>
      </c>
      <c r="Q332" s="6"/>
      <c r="R332" s="6">
        <v>-0.28199999999999997</v>
      </c>
      <c r="S332" s="6">
        <v>2.1709999999999998</v>
      </c>
      <c r="T332" s="6">
        <v>-3.657</v>
      </c>
      <c r="U332" s="6">
        <v>67.95</v>
      </c>
      <c r="V332" s="6"/>
      <c r="W332" s="6">
        <v>-2.2709999999999999</v>
      </c>
      <c r="X332" s="6">
        <v>1.54</v>
      </c>
      <c r="Y332" s="6">
        <v>0.29199999999999998</v>
      </c>
      <c r="Z332" s="6">
        <v>1.5940000000000001</v>
      </c>
      <c r="AA332" s="6">
        <v>0.3</v>
      </c>
      <c r="AB332" s="6">
        <v>1.911</v>
      </c>
      <c r="AC332" s="6">
        <v>0.22700000000000001</v>
      </c>
      <c r="AD332" s="6">
        <v>-4.3570000000000002</v>
      </c>
      <c r="AE332" s="6">
        <v>8.9999999999999993E-3</v>
      </c>
      <c r="AF332" s="6">
        <v>6.0000000000000001E-3</v>
      </c>
      <c r="AG332" s="6">
        <v>1.907</v>
      </c>
      <c r="AH332" s="6"/>
      <c r="AI332" s="6">
        <f t="shared" si="140"/>
        <v>0.11899999999999977</v>
      </c>
      <c r="AJ332">
        <f t="shared" si="138"/>
        <v>0</v>
      </c>
      <c r="AK332" s="21">
        <f t="shared" si="139"/>
        <v>0</v>
      </c>
      <c r="AL332">
        <f t="shared" si="163"/>
        <v>516.10000000000048</v>
      </c>
      <c r="AM332" s="4">
        <v>5.64</v>
      </c>
      <c r="AN332">
        <v>0.62</v>
      </c>
      <c r="AP332" s="7">
        <f t="shared" si="161"/>
        <v>0.45600000000000002</v>
      </c>
      <c r="AQ332" s="7">
        <f t="shared" si="141"/>
        <v>0.215</v>
      </c>
      <c r="AS332">
        <f t="shared" si="142"/>
        <v>0.62</v>
      </c>
      <c r="AT332">
        <f t="shared" si="143"/>
        <v>-0.7</v>
      </c>
      <c r="AU332">
        <f t="shared" si="144"/>
        <v>86.6</v>
      </c>
      <c r="AV332" t="s">
        <v>104</v>
      </c>
      <c r="AW332">
        <f t="shared" si="145"/>
        <v>-1.1000000000000001</v>
      </c>
      <c r="AX332">
        <f t="shared" si="146"/>
        <v>1.8</v>
      </c>
      <c r="AY332">
        <f t="shared" si="147"/>
        <v>1.3</v>
      </c>
      <c r="AZ332">
        <f t="shared" si="148"/>
        <v>91.8</v>
      </c>
      <c r="BA332" t="s">
        <v>104</v>
      </c>
      <c r="BB332">
        <f t="shared" si="149"/>
        <v>-0.3</v>
      </c>
      <c r="BC332">
        <f t="shared" si="150"/>
        <v>2.2000000000000002</v>
      </c>
      <c r="BD332">
        <f t="shared" si="151"/>
        <v>-3.7</v>
      </c>
      <c r="BE332">
        <f t="shared" si="152"/>
        <v>68</v>
      </c>
      <c r="BF332" t="s">
        <v>104</v>
      </c>
      <c r="BG332">
        <f t="shared" si="153"/>
        <v>-2.2999999999999998</v>
      </c>
      <c r="BH332">
        <f t="shared" si="154"/>
        <v>1.5</v>
      </c>
      <c r="BI332">
        <f t="shared" si="155"/>
        <v>0.28999999999999998</v>
      </c>
      <c r="BJ332">
        <f t="shared" si="156"/>
        <v>1.59</v>
      </c>
      <c r="BK332">
        <f t="shared" si="157"/>
        <v>0.11899999999999977</v>
      </c>
      <c r="BL332">
        <f t="shared" si="158"/>
        <v>0</v>
      </c>
      <c r="BM332">
        <f t="shared" si="159"/>
        <v>0.45600000000000002</v>
      </c>
      <c r="BN332">
        <f t="shared" si="160"/>
        <v>0.215</v>
      </c>
    </row>
    <row r="333" spans="1:66" x14ac:dyDescent="0.25">
      <c r="A333">
        <v>2024</v>
      </c>
      <c r="B333" s="1">
        <f t="shared" si="162"/>
        <v>45619</v>
      </c>
      <c r="C333" s="2">
        <v>328</v>
      </c>
      <c r="D333">
        <v>70</v>
      </c>
      <c r="E333" s="6">
        <v>13.04</v>
      </c>
      <c r="F333" s="6">
        <v>-3.2240000000000002</v>
      </c>
      <c r="G333" s="6">
        <v>1.466</v>
      </c>
      <c r="H333" s="6">
        <v>-5.9450000000000003</v>
      </c>
      <c r="I333" s="6">
        <v>3.0830000000000002</v>
      </c>
      <c r="J333" s="6">
        <v>-1.591</v>
      </c>
      <c r="K333" s="6">
        <v>85.4</v>
      </c>
      <c r="L333" s="6"/>
      <c r="M333" s="6">
        <v>-1.649</v>
      </c>
      <c r="N333" s="6">
        <v>1.756</v>
      </c>
      <c r="O333" s="6">
        <v>3.2530000000000001</v>
      </c>
      <c r="P333" s="6">
        <v>92.9</v>
      </c>
      <c r="Q333" s="6"/>
      <c r="R333" s="6">
        <v>-0.14499999999999999</v>
      </c>
      <c r="S333" s="6">
        <v>2.3530000000000002</v>
      </c>
      <c r="T333" s="6">
        <v>-4.3280000000000003</v>
      </c>
      <c r="U333" s="6">
        <v>59.93</v>
      </c>
      <c r="V333" s="6"/>
      <c r="W333" s="6">
        <v>-2.5960000000000001</v>
      </c>
      <c r="X333" s="6">
        <v>1.4430000000000001</v>
      </c>
      <c r="Y333" s="6">
        <v>8.5000000000000006E-2</v>
      </c>
      <c r="Z333" s="6">
        <v>1.34</v>
      </c>
      <c r="AA333" s="6">
        <v>0.2</v>
      </c>
      <c r="AB333" s="6">
        <v>1.9</v>
      </c>
      <c r="AC333" s="6">
        <v>2.1120000000000001</v>
      </c>
      <c r="AD333" s="6">
        <v>-5.7859999999999996</v>
      </c>
      <c r="AE333" s="6">
        <v>8.9999999999999993E-3</v>
      </c>
      <c r="AF333" s="6">
        <v>6.0000000000000001E-3</v>
      </c>
      <c r="AG333" s="6">
        <v>1.9059999999999999</v>
      </c>
      <c r="AH333" s="6"/>
      <c r="AI333" s="6">
        <f t="shared" si="140"/>
        <v>0.12999999999999989</v>
      </c>
      <c r="AJ333">
        <f t="shared" si="138"/>
        <v>1.4</v>
      </c>
      <c r="AK333" s="21">
        <f t="shared" si="139"/>
        <v>1.4</v>
      </c>
      <c r="AL333">
        <f t="shared" si="163"/>
        <v>517.50000000000045</v>
      </c>
      <c r="AM333" s="4">
        <v>5.55</v>
      </c>
      <c r="AN333">
        <v>3.08</v>
      </c>
      <c r="AP333" s="7">
        <f t="shared" si="161"/>
        <v>0.46200000000000002</v>
      </c>
      <c r="AQ333" s="7">
        <f t="shared" si="141"/>
        <v>0.309</v>
      </c>
      <c r="AS333">
        <f t="shared" si="142"/>
        <v>3.08</v>
      </c>
      <c r="AT333">
        <f t="shared" si="143"/>
        <v>-1.6</v>
      </c>
      <c r="AU333">
        <f t="shared" si="144"/>
        <v>85.4</v>
      </c>
      <c r="AV333" t="s">
        <v>104</v>
      </c>
      <c r="AW333">
        <f t="shared" si="145"/>
        <v>-1.6</v>
      </c>
      <c r="AX333">
        <f t="shared" si="146"/>
        <v>1.8</v>
      </c>
      <c r="AY333">
        <f t="shared" si="147"/>
        <v>3.3</v>
      </c>
      <c r="AZ333">
        <f t="shared" si="148"/>
        <v>92.9</v>
      </c>
      <c r="BA333" t="s">
        <v>104</v>
      </c>
      <c r="BB333">
        <f t="shared" si="149"/>
        <v>-0.1</v>
      </c>
      <c r="BC333">
        <f t="shared" si="150"/>
        <v>2.4</v>
      </c>
      <c r="BD333">
        <f t="shared" si="151"/>
        <v>-4.3</v>
      </c>
      <c r="BE333">
        <f t="shared" si="152"/>
        <v>59.9</v>
      </c>
      <c r="BF333" t="s">
        <v>104</v>
      </c>
      <c r="BG333">
        <f t="shared" si="153"/>
        <v>-2.6</v>
      </c>
      <c r="BH333">
        <f t="shared" si="154"/>
        <v>1.4</v>
      </c>
      <c r="BI333">
        <f t="shared" si="155"/>
        <v>0.09</v>
      </c>
      <c r="BJ333">
        <f t="shared" si="156"/>
        <v>1.34</v>
      </c>
      <c r="BK333">
        <f t="shared" si="157"/>
        <v>0.12999999999999989</v>
      </c>
      <c r="BL333">
        <f t="shared" si="158"/>
        <v>1.4</v>
      </c>
      <c r="BM333">
        <f t="shared" si="159"/>
        <v>0.46200000000000002</v>
      </c>
      <c r="BN333">
        <f t="shared" si="160"/>
        <v>0.309</v>
      </c>
    </row>
    <row r="334" spans="1:66" x14ac:dyDescent="0.25">
      <c r="A334">
        <v>2024</v>
      </c>
      <c r="B334" s="1">
        <f t="shared" si="162"/>
        <v>45620</v>
      </c>
      <c r="C334" s="2">
        <v>329</v>
      </c>
      <c r="D334">
        <v>70</v>
      </c>
      <c r="E334" s="6">
        <v>12.86</v>
      </c>
      <c r="F334" s="6">
        <v>-3.2109999999999999</v>
      </c>
      <c r="G334" s="6">
        <v>-0.81399999999999995</v>
      </c>
      <c r="H334" s="6">
        <v>-6.0039999999999996</v>
      </c>
      <c r="I334" s="6">
        <v>1.948</v>
      </c>
      <c r="J334" s="6">
        <v>-2.4350000000000001</v>
      </c>
      <c r="K334" s="6">
        <v>88.6</v>
      </c>
      <c r="L334" s="6"/>
      <c r="M334" s="6">
        <v>-1.7170000000000001</v>
      </c>
      <c r="N334" s="6">
        <v>1.7390000000000001</v>
      </c>
      <c r="O334" s="6">
        <v>0.77400000000000002</v>
      </c>
      <c r="P334" s="6">
        <v>92.5</v>
      </c>
      <c r="Q334" s="6"/>
      <c r="R334" s="6">
        <v>-0.60799999999999998</v>
      </c>
      <c r="S334" s="6">
        <v>1.99</v>
      </c>
      <c r="T334" s="6">
        <v>-5.4130000000000003</v>
      </c>
      <c r="U334" s="6">
        <v>79.3</v>
      </c>
      <c r="V334" s="6"/>
      <c r="W334" s="6">
        <v>-2.8079999999999998</v>
      </c>
      <c r="X334" s="6">
        <v>1.417</v>
      </c>
      <c r="Y334" s="6">
        <v>0</v>
      </c>
      <c r="Z334" s="6">
        <v>0</v>
      </c>
      <c r="AA334" s="6">
        <v>0</v>
      </c>
      <c r="AB334" s="6">
        <v>1.9019999999999999</v>
      </c>
      <c r="AC334" s="6">
        <v>-0.7</v>
      </c>
      <c r="AD334" s="6">
        <v>-5.7859999999999996</v>
      </c>
      <c r="AE334" s="6">
        <v>8.9999999999999993E-3</v>
      </c>
      <c r="AF334" s="6">
        <v>6.0000000000000001E-3</v>
      </c>
      <c r="AG334" s="6">
        <v>1.92</v>
      </c>
      <c r="AH334" s="6"/>
      <c r="AI334" s="6">
        <f t="shared" si="140"/>
        <v>0.12799999999999989</v>
      </c>
      <c r="AJ334">
        <f t="shared" si="138"/>
        <v>0</v>
      </c>
      <c r="AK334" s="21">
        <f t="shared" si="139"/>
        <v>0</v>
      </c>
      <c r="AL334">
        <f t="shared" si="163"/>
        <v>517.50000000000045</v>
      </c>
      <c r="AM334" s="4">
        <v>5.47</v>
      </c>
      <c r="AN334">
        <v>1.95</v>
      </c>
      <c r="AP334" s="7">
        <f t="shared" si="161"/>
        <v>0.51200000000000001</v>
      </c>
      <c r="AQ334" s="7">
        <f t="shared" si="141"/>
        <v>0.13400000000000001</v>
      </c>
      <c r="AS334">
        <f t="shared" si="142"/>
        <v>1.95</v>
      </c>
      <c r="AT334">
        <f t="shared" si="143"/>
        <v>-2.4</v>
      </c>
      <c r="AU334">
        <f t="shared" si="144"/>
        <v>88.6</v>
      </c>
      <c r="AV334" t="s">
        <v>104</v>
      </c>
      <c r="AW334">
        <f t="shared" si="145"/>
        <v>-1.7</v>
      </c>
      <c r="AX334">
        <f t="shared" si="146"/>
        <v>1.7</v>
      </c>
      <c r="AY334">
        <f t="shared" si="147"/>
        <v>0.8</v>
      </c>
      <c r="AZ334">
        <f t="shared" si="148"/>
        <v>92.5</v>
      </c>
      <c r="BA334" t="s">
        <v>104</v>
      </c>
      <c r="BB334">
        <f t="shared" si="149"/>
        <v>-0.6</v>
      </c>
      <c r="BC334">
        <f t="shared" si="150"/>
        <v>2</v>
      </c>
      <c r="BD334">
        <f t="shared" si="151"/>
        <v>-5.4</v>
      </c>
      <c r="BE334">
        <f t="shared" si="152"/>
        <v>79.3</v>
      </c>
      <c r="BF334" t="s">
        <v>104</v>
      </c>
      <c r="BG334">
        <f t="shared" si="153"/>
        <v>-2.8</v>
      </c>
      <c r="BH334">
        <f t="shared" si="154"/>
        <v>1.4</v>
      </c>
      <c r="BI334">
        <f t="shared" si="155"/>
        <v>0</v>
      </c>
      <c r="BJ334">
        <f t="shared" si="156"/>
        <v>0</v>
      </c>
      <c r="BK334">
        <f t="shared" si="157"/>
        <v>0.12799999999999989</v>
      </c>
      <c r="BL334">
        <f t="shared" si="158"/>
        <v>0</v>
      </c>
      <c r="BM334">
        <f t="shared" si="159"/>
        <v>0.51200000000000001</v>
      </c>
      <c r="BN334">
        <f t="shared" si="160"/>
        <v>0.13400000000000001</v>
      </c>
    </row>
    <row r="335" spans="1:66" x14ac:dyDescent="0.25">
      <c r="A335">
        <v>2024</v>
      </c>
      <c r="B335" s="1">
        <f t="shared" si="162"/>
        <v>45621</v>
      </c>
      <c r="C335" s="2">
        <v>330</v>
      </c>
      <c r="D335">
        <v>70</v>
      </c>
      <c r="E335" s="6">
        <v>12.76</v>
      </c>
      <c r="F335" s="6">
        <v>-5.93</v>
      </c>
      <c r="G335" s="6">
        <v>-4.3849999999999998</v>
      </c>
      <c r="H335" s="6">
        <v>-8.0399999999999991</v>
      </c>
      <c r="I335" s="6">
        <v>0.65800000000000003</v>
      </c>
      <c r="J335" s="6">
        <v>-5.5090000000000003</v>
      </c>
      <c r="K335" s="6">
        <v>88</v>
      </c>
      <c r="L335" s="6"/>
      <c r="M335" s="6">
        <v>-2.609</v>
      </c>
      <c r="N335" s="6">
        <v>1.734</v>
      </c>
      <c r="O335" s="6">
        <v>-3.9910000000000001</v>
      </c>
      <c r="P335" s="6">
        <v>91.1</v>
      </c>
      <c r="Q335" s="6"/>
      <c r="R335" s="6">
        <v>-1.976</v>
      </c>
      <c r="S335" s="6">
        <v>1.9219999999999999</v>
      </c>
      <c r="T335" s="6">
        <v>-7.42</v>
      </c>
      <c r="U335" s="6">
        <v>82.3</v>
      </c>
      <c r="V335" s="6"/>
      <c r="W335" s="6">
        <v>-3.641</v>
      </c>
      <c r="X335" s="6">
        <v>1.427</v>
      </c>
      <c r="Y335" s="6">
        <v>0</v>
      </c>
      <c r="Z335" s="6">
        <v>0</v>
      </c>
      <c r="AA335" s="6">
        <v>0</v>
      </c>
      <c r="AB335" s="6">
        <v>1.9179999999999999</v>
      </c>
      <c r="AC335" s="6">
        <v>-4.2329999999999997</v>
      </c>
      <c r="AD335" s="6">
        <v>-7.77</v>
      </c>
      <c r="AE335" s="6">
        <v>8.9999999999999993E-3</v>
      </c>
      <c r="AF335" s="6">
        <v>6.0000000000000001E-3</v>
      </c>
      <c r="AG335" s="6">
        <v>1.9430000000000001</v>
      </c>
      <c r="AH335" s="6"/>
      <c r="AI335" s="6">
        <f t="shared" si="140"/>
        <v>0.11199999999999988</v>
      </c>
      <c r="AJ335">
        <f t="shared" si="138"/>
        <v>0</v>
      </c>
      <c r="AK335" s="21">
        <f t="shared" si="139"/>
        <v>0</v>
      </c>
      <c r="AL335">
        <f t="shared" si="163"/>
        <v>517.50000000000045</v>
      </c>
      <c r="AM335" s="4">
        <v>5.38</v>
      </c>
      <c r="AN335">
        <v>0.66</v>
      </c>
      <c r="AP335" s="7">
        <f t="shared" si="161"/>
        <v>0.374</v>
      </c>
      <c r="AQ335" s="7">
        <f t="shared" si="141"/>
        <v>0.08</v>
      </c>
      <c r="AS335">
        <f t="shared" si="142"/>
        <v>0.66</v>
      </c>
      <c r="AT335">
        <f t="shared" si="143"/>
        <v>-5.5</v>
      </c>
      <c r="AU335">
        <f t="shared" si="144"/>
        <v>88</v>
      </c>
      <c r="AV335" t="s">
        <v>104</v>
      </c>
      <c r="AW335">
        <f t="shared" si="145"/>
        <v>-2.6</v>
      </c>
      <c r="AX335">
        <f t="shared" si="146"/>
        <v>1.7</v>
      </c>
      <c r="AY335">
        <f t="shared" si="147"/>
        <v>-4</v>
      </c>
      <c r="AZ335">
        <f t="shared" si="148"/>
        <v>91.1</v>
      </c>
      <c r="BA335" t="s">
        <v>104</v>
      </c>
      <c r="BB335">
        <f t="shared" si="149"/>
        <v>-2</v>
      </c>
      <c r="BC335">
        <f t="shared" si="150"/>
        <v>1.9</v>
      </c>
      <c r="BD335">
        <f t="shared" si="151"/>
        <v>-7.4</v>
      </c>
      <c r="BE335">
        <f t="shared" si="152"/>
        <v>82.3</v>
      </c>
      <c r="BF335" t="s">
        <v>104</v>
      </c>
      <c r="BG335">
        <f t="shared" si="153"/>
        <v>-3.6</v>
      </c>
      <c r="BH335">
        <f t="shared" si="154"/>
        <v>1.4</v>
      </c>
      <c r="BI335">
        <f t="shared" si="155"/>
        <v>0</v>
      </c>
      <c r="BJ335">
        <f t="shared" si="156"/>
        <v>0</v>
      </c>
      <c r="BK335">
        <f t="shared" si="157"/>
        <v>0.11199999999999988</v>
      </c>
      <c r="BL335">
        <f t="shared" si="158"/>
        <v>0</v>
      </c>
      <c r="BM335">
        <f t="shared" si="159"/>
        <v>0.374</v>
      </c>
      <c r="BN335">
        <f t="shared" si="160"/>
        <v>0.08</v>
      </c>
    </row>
    <row r="336" spans="1:66" x14ac:dyDescent="0.25">
      <c r="A336">
        <v>2024</v>
      </c>
      <c r="B336" s="1">
        <f t="shared" si="162"/>
        <v>45622</v>
      </c>
      <c r="C336" s="2">
        <v>331</v>
      </c>
      <c r="D336">
        <v>70</v>
      </c>
      <c r="E336" s="6">
        <v>12.79</v>
      </c>
      <c r="F336" s="6">
        <v>-7.21</v>
      </c>
      <c r="G336" s="6">
        <v>-4.1790000000000003</v>
      </c>
      <c r="H336" s="6">
        <v>-10.82</v>
      </c>
      <c r="I336" s="6">
        <v>1.1419999999999999</v>
      </c>
      <c r="J336" s="6">
        <v>-6.4560000000000004</v>
      </c>
      <c r="K336" s="6">
        <v>88.1</v>
      </c>
      <c r="L336" s="6"/>
      <c r="M336" s="6">
        <v>-3.5379999999999998</v>
      </c>
      <c r="N336" s="6">
        <v>1.7130000000000001</v>
      </c>
      <c r="O336" s="6">
        <v>-3.2509999999999999</v>
      </c>
      <c r="P336" s="6">
        <v>90.7</v>
      </c>
      <c r="Q336" s="6"/>
      <c r="R336" s="6">
        <v>-2.488</v>
      </c>
      <c r="S336" s="6">
        <v>2.1720000000000002</v>
      </c>
      <c r="T336" s="6">
        <v>-9.43</v>
      </c>
      <c r="U336" s="6">
        <v>79.3</v>
      </c>
      <c r="V336" s="6"/>
      <c r="W336" s="6">
        <v>-4.8499999999999996</v>
      </c>
      <c r="X336" s="6">
        <v>1.534</v>
      </c>
      <c r="Y336" s="6">
        <v>0</v>
      </c>
      <c r="Z336" s="6">
        <v>0</v>
      </c>
      <c r="AA336" s="6">
        <v>0</v>
      </c>
      <c r="AB336" s="6">
        <v>1.919</v>
      </c>
      <c r="AC336" s="6">
        <v>-4.1050000000000004</v>
      </c>
      <c r="AD336" s="6">
        <v>-10.62</v>
      </c>
      <c r="AE336" s="6">
        <v>8.9999999999999993E-3</v>
      </c>
      <c r="AF336" s="6">
        <v>6.0000000000000001E-3</v>
      </c>
      <c r="AG336" s="6">
        <v>1.9410000000000001</v>
      </c>
      <c r="AH336" s="6"/>
      <c r="AI336" s="6">
        <f t="shared" si="140"/>
        <v>0.11099999999999977</v>
      </c>
      <c r="AJ336">
        <f t="shared" si="138"/>
        <v>0</v>
      </c>
      <c r="AK336" s="21">
        <f t="shared" si="139"/>
        <v>0</v>
      </c>
      <c r="AL336">
        <f t="shared" si="163"/>
        <v>517.50000000000045</v>
      </c>
      <c r="AM336" s="4">
        <v>5.31</v>
      </c>
      <c r="AN336">
        <v>1.1399999999999999</v>
      </c>
      <c r="AP336" s="7">
        <f t="shared" si="161"/>
        <v>0.38100000000000001</v>
      </c>
      <c r="AQ336" s="7">
        <f t="shared" si="141"/>
        <v>9.9000000000000005E-2</v>
      </c>
      <c r="AS336">
        <f t="shared" si="142"/>
        <v>1.1399999999999999</v>
      </c>
      <c r="AT336">
        <f t="shared" si="143"/>
        <v>-6.5</v>
      </c>
      <c r="AU336">
        <f t="shared" si="144"/>
        <v>88.1</v>
      </c>
      <c r="AV336" t="s">
        <v>104</v>
      </c>
      <c r="AW336">
        <f t="shared" si="145"/>
        <v>-3.5</v>
      </c>
      <c r="AX336">
        <f t="shared" si="146"/>
        <v>1.7</v>
      </c>
      <c r="AY336">
        <f t="shared" si="147"/>
        <v>-3.3</v>
      </c>
      <c r="AZ336">
        <f t="shared" si="148"/>
        <v>90.7</v>
      </c>
      <c r="BA336" t="s">
        <v>104</v>
      </c>
      <c r="BB336">
        <f t="shared" si="149"/>
        <v>-2.5</v>
      </c>
      <c r="BC336">
        <f t="shared" si="150"/>
        <v>2.2000000000000002</v>
      </c>
      <c r="BD336">
        <f t="shared" si="151"/>
        <v>-9.4</v>
      </c>
      <c r="BE336">
        <f t="shared" si="152"/>
        <v>79.3</v>
      </c>
      <c r="BF336" t="s">
        <v>104</v>
      </c>
      <c r="BG336">
        <f t="shared" si="153"/>
        <v>-4.9000000000000004</v>
      </c>
      <c r="BH336">
        <f t="shared" si="154"/>
        <v>1.5</v>
      </c>
      <c r="BI336">
        <f t="shared" si="155"/>
        <v>0</v>
      </c>
      <c r="BJ336">
        <f t="shared" si="156"/>
        <v>0</v>
      </c>
      <c r="BK336">
        <f t="shared" si="157"/>
        <v>0.11099999999999977</v>
      </c>
      <c r="BL336">
        <f t="shared" si="158"/>
        <v>0</v>
      </c>
      <c r="BM336">
        <f t="shared" si="159"/>
        <v>0.38100000000000001</v>
      </c>
      <c r="BN336">
        <f t="shared" si="160"/>
        <v>9.9000000000000005E-2</v>
      </c>
    </row>
    <row r="337" spans="1:66" x14ac:dyDescent="0.25">
      <c r="A337">
        <v>2024</v>
      </c>
      <c r="B337" s="1">
        <f t="shared" si="162"/>
        <v>45623</v>
      </c>
      <c r="C337" s="2">
        <v>332</v>
      </c>
      <c r="D337">
        <v>70</v>
      </c>
      <c r="E337" s="6">
        <v>12.76</v>
      </c>
      <c r="F337" s="6">
        <v>-6.1289999999999996</v>
      </c>
      <c r="G337" s="6">
        <v>-3.9169999999999998</v>
      </c>
      <c r="H337" s="6">
        <v>-9.5500000000000007</v>
      </c>
      <c r="I337" s="6">
        <v>0.83099999999999996</v>
      </c>
      <c r="J337" s="6">
        <v>-5.274</v>
      </c>
      <c r="K337" s="6">
        <v>88.2</v>
      </c>
      <c r="L337" s="6"/>
      <c r="M337" s="6">
        <v>-3.161</v>
      </c>
      <c r="N337" s="6">
        <v>1.663</v>
      </c>
      <c r="O337" s="6">
        <v>-3.2509999999999999</v>
      </c>
      <c r="P337" s="6">
        <v>91</v>
      </c>
      <c r="Q337" s="6"/>
      <c r="R337" s="6">
        <v>-2.089</v>
      </c>
      <c r="S337" s="6">
        <v>2.0369999999999999</v>
      </c>
      <c r="T337" s="6">
        <v>-8.49</v>
      </c>
      <c r="U337" s="6">
        <v>82.6</v>
      </c>
      <c r="V337" s="6"/>
      <c r="W337" s="6">
        <v>-4.0659999999999998</v>
      </c>
      <c r="X337" s="6">
        <v>1.202</v>
      </c>
      <c r="Y337" s="6">
        <v>0</v>
      </c>
      <c r="Z337" s="6">
        <v>0</v>
      </c>
      <c r="AA337" s="6">
        <v>0</v>
      </c>
      <c r="AB337" s="6">
        <v>1.9279999999999999</v>
      </c>
      <c r="AC337" s="6">
        <v>-3.8170000000000002</v>
      </c>
      <c r="AD337" s="6">
        <v>-9.43</v>
      </c>
      <c r="AE337" s="6">
        <v>8.9999999999999993E-3</v>
      </c>
      <c r="AF337" s="6">
        <v>6.0000000000000001E-3</v>
      </c>
      <c r="AG337" s="6">
        <v>1.9410000000000001</v>
      </c>
      <c r="AH337" s="6"/>
      <c r="AI337" s="6">
        <f t="shared" si="140"/>
        <v>0.10199999999999987</v>
      </c>
      <c r="AJ337">
        <f t="shared" si="138"/>
        <v>0</v>
      </c>
      <c r="AK337" s="21">
        <f t="shared" si="139"/>
        <v>0</v>
      </c>
      <c r="AL337">
        <f t="shared" si="163"/>
        <v>517.50000000000045</v>
      </c>
      <c r="AM337" s="4">
        <v>5.23</v>
      </c>
      <c r="AN337">
        <v>0.83</v>
      </c>
      <c r="AP337" s="7">
        <f t="shared" si="161"/>
        <v>0.39700000000000002</v>
      </c>
      <c r="AQ337" s="7">
        <f t="shared" si="141"/>
        <v>8.4000000000000005E-2</v>
      </c>
      <c r="AS337">
        <f t="shared" si="142"/>
        <v>0.83</v>
      </c>
      <c r="AT337">
        <f t="shared" si="143"/>
        <v>-5.3</v>
      </c>
      <c r="AU337">
        <f t="shared" si="144"/>
        <v>88.2</v>
      </c>
      <c r="AV337" t="s">
        <v>104</v>
      </c>
      <c r="AW337">
        <f t="shared" si="145"/>
        <v>-3.2</v>
      </c>
      <c r="AX337">
        <f t="shared" si="146"/>
        <v>1.7</v>
      </c>
      <c r="AY337">
        <f t="shared" si="147"/>
        <v>-3.3</v>
      </c>
      <c r="AZ337">
        <f t="shared" si="148"/>
        <v>91</v>
      </c>
      <c r="BA337" t="s">
        <v>104</v>
      </c>
      <c r="BB337">
        <f t="shared" si="149"/>
        <v>-2.1</v>
      </c>
      <c r="BC337">
        <f t="shared" si="150"/>
        <v>2</v>
      </c>
      <c r="BD337">
        <f t="shared" si="151"/>
        <v>-8.5</v>
      </c>
      <c r="BE337">
        <f t="shared" si="152"/>
        <v>82.6</v>
      </c>
      <c r="BF337" t="s">
        <v>104</v>
      </c>
      <c r="BG337">
        <f t="shared" si="153"/>
        <v>-4.0999999999999996</v>
      </c>
      <c r="BH337">
        <f t="shared" si="154"/>
        <v>1.2</v>
      </c>
      <c r="BI337">
        <f t="shared" si="155"/>
        <v>0</v>
      </c>
      <c r="BJ337">
        <f t="shared" si="156"/>
        <v>0</v>
      </c>
      <c r="BK337">
        <f t="shared" si="157"/>
        <v>0.10199999999999987</v>
      </c>
      <c r="BL337">
        <f t="shared" si="158"/>
        <v>0</v>
      </c>
      <c r="BM337">
        <f t="shared" si="159"/>
        <v>0.39700000000000002</v>
      </c>
      <c r="BN337">
        <f t="shared" si="160"/>
        <v>8.4000000000000005E-2</v>
      </c>
    </row>
    <row r="338" spans="1:66" x14ac:dyDescent="0.25">
      <c r="A338">
        <v>2024</v>
      </c>
      <c r="B338" s="1">
        <f t="shared" si="162"/>
        <v>45624</v>
      </c>
      <c r="C338" s="2">
        <v>333</v>
      </c>
      <c r="D338">
        <v>70</v>
      </c>
      <c r="E338" s="6">
        <v>12.75</v>
      </c>
      <c r="F338" s="6">
        <v>-5.806</v>
      </c>
      <c r="G338" s="6">
        <v>-3.3919999999999999</v>
      </c>
      <c r="H338" s="6">
        <v>-9.9499999999999993</v>
      </c>
      <c r="I338" s="6">
        <v>1.002</v>
      </c>
      <c r="J338" s="6">
        <v>-4.84</v>
      </c>
      <c r="K338" s="6">
        <v>86.3</v>
      </c>
      <c r="L338" s="6"/>
      <c r="M338" s="6">
        <v>-2.9820000000000002</v>
      </c>
      <c r="N338" s="6">
        <v>1.5660000000000001</v>
      </c>
      <c r="O338" s="6">
        <v>-2.1179999999999999</v>
      </c>
      <c r="P338" s="6">
        <v>91</v>
      </c>
      <c r="Q338" s="6"/>
      <c r="R338" s="6">
        <v>-1.843</v>
      </c>
      <c r="S338" s="6">
        <v>1.7250000000000001</v>
      </c>
      <c r="T338" s="6">
        <v>-8.49</v>
      </c>
      <c r="U338" s="6">
        <v>76.8</v>
      </c>
      <c r="V338" s="6"/>
      <c r="W338" s="6">
        <v>-4.49</v>
      </c>
      <c r="X338" s="6">
        <v>1.28</v>
      </c>
      <c r="Y338" s="6">
        <v>0</v>
      </c>
      <c r="Z338" s="6">
        <v>0</v>
      </c>
      <c r="AA338" s="6">
        <v>0</v>
      </c>
      <c r="AB338" s="6">
        <v>1.9330000000000001</v>
      </c>
      <c r="AC338" s="6">
        <v>-3.2770000000000001</v>
      </c>
      <c r="AD338" s="6">
        <v>-9.81</v>
      </c>
      <c r="AE338" s="6">
        <v>8.9999999999999993E-3</v>
      </c>
      <c r="AF338" s="6">
        <v>7.0000000000000001E-3</v>
      </c>
      <c r="AG338" s="6">
        <v>1.9570000000000001</v>
      </c>
      <c r="AH338" s="6"/>
      <c r="AI338" s="6">
        <f t="shared" si="140"/>
        <v>9.6999999999999753E-2</v>
      </c>
      <c r="AJ338">
        <f t="shared" si="138"/>
        <v>0</v>
      </c>
      <c r="AK338" s="21">
        <f t="shared" si="139"/>
        <v>0</v>
      </c>
      <c r="AL338">
        <f t="shared" si="163"/>
        <v>517.50000000000045</v>
      </c>
      <c r="AM338" s="4">
        <v>5.16</v>
      </c>
      <c r="AN338">
        <v>1</v>
      </c>
      <c r="AP338" s="7">
        <f t="shared" si="161"/>
        <v>0.40100000000000002</v>
      </c>
      <c r="AQ338" s="7">
        <f t="shared" si="141"/>
        <v>0.121</v>
      </c>
      <c r="AS338">
        <f t="shared" si="142"/>
        <v>1</v>
      </c>
      <c r="AT338">
        <f t="shared" si="143"/>
        <v>-4.8</v>
      </c>
      <c r="AU338">
        <f t="shared" si="144"/>
        <v>86.3</v>
      </c>
      <c r="AV338" t="s">
        <v>104</v>
      </c>
      <c r="AW338">
        <f t="shared" si="145"/>
        <v>-3</v>
      </c>
      <c r="AX338">
        <f t="shared" si="146"/>
        <v>1.6</v>
      </c>
      <c r="AY338">
        <f t="shared" si="147"/>
        <v>-2.1</v>
      </c>
      <c r="AZ338">
        <f t="shared" si="148"/>
        <v>91</v>
      </c>
      <c r="BA338" t="s">
        <v>104</v>
      </c>
      <c r="BB338">
        <f t="shared" si="149"/>
        <v>-1.8</v>
      </c>
      <c r="BC338">
        <f t="shared" si="150"/>
        <v>1.7</v>
      </c>
      <c r="BD338">
        <f t="shared" si="151"/>
        <v>-8.5</v>
      </c>
      <c r="BE338">
        <f t="shared" si="152"/>
        <v>76.8</v>
      </c>
      <c r="BF338" t="s">
        <v>104</v>
      </c>
      <c r="BG338">
        <f t="shared" si="153"/>
        <v>-4.5</v>
      </c>
      <c r="BH338">
        <f t="shared" si="154"/>
        <v>1.3</v>
      </c>
      <c r="BI338">
        <f t="shared" si="155"/>
        <v>0</v>
      </c>
      <c r="BJ338">
        <f t="shared" si="156"/>
        <v>0</v>
      </c>
      <c r="BK338">
        <f t="shared" si="157"/>
        <v>9.6999999999999753E-2</v>
      </c>
      <c r="BL338">
        <f t="shared" si="158"/>
        <v>0</v>
      </c>
      <c r="BM338">
        <f t="shared" si="159"/>
        <v>0.40100000000000002</v>
      </c>
      <c r="BN338">
        <f t="shared" si="160"/>
        <v>0.121</v>
      </c>
    </row>
    <row r="339" spans="1:66" x14ac:dyDescent="0.25">
      <c r="A339">
        <v>2024</v>
      </c>
      <c r="B339" s="1">
        <f t="shared" si="162"/>
        <v>45625</v>
      </c>
      <c r="C339" s="2">
        <v>334</v>
      </c>
      <c r="D339">
        <v>70</v>
      </c>
      <c r="E339" s="6">
        <v>13.04</v>
      </c>
      <c r="F339" s="6">
        <v>-4.944</v>
      </c>
      <c r="G339" s="6">
        <v>-0.79400000000000004</v>
      </c>
      <c r="H339" s="6">
        <v>-9.09</v>
      </c>
      <c r="I339" s="6">
        <v>2.3690000000000002</v>
      </c>
      <c r="J339" s="6">
        <v>-3.8780000000000001</v>
      </c>
      <c r="K339" s="6">
        <v>83.9</v>
      </c>
      <c r="L339" s="6"/>
      <c r="M339" s="6">
        <v>-2.9329999999999998</v>
      </c>
      <c r="N339" s="6">
        <v>1.5249999999999999</v>
      </c>
      <c r="O339" s="6">
        <v>-0.106</v>
      </c>
      <c r="P339" s="6">
        <v>92.2</v>
      </c>
      <c r="Q339" s="6"/>
      <c r="R339" s="6">
        <v>-1.145</v>
      </c>
      <c r="S339" s="6">
        <v>2.0710000000000002</v>
      </c>
      <c r="T339" s="6">
        <v>-8.36</v>
      </c>
      <c r="U339" s="6">
        <v>67.209999999999994</v>
      </c>
      <c r="V339" s="6"/>
      <c r="W339" s="6">
        <v>-4.6909999999999998</v>
      </c>
      <c r="X339" s="6">
        <v>1.125</v>
      </c>
      <c r="Y339" s="6">
        <v>0</v>
      </c>
      <c r="Z339" s="6">
        <v>0</v>
      </c>
      <c r="AA339" s="6">
        <v>0</v>
      </c>
      <c r="AB339" s="6">
        <v>1.9079999999999999</v>
      </c>
      <c r="AC339" s="6">
        <v>-0.246</v>
      </c>
      <c r="AD339" s="6">
        <v>-9.16</v>
      </c>
      <c r="AE339" s="6">
        <v>8.9999999999999993E-3</v>
      </c>
      <c r="AF339" s="6">
        <v>6.0000000000000001E-3</v>
      </c>
      <c r="AG339" s="6">
        <v>1.915</v>
      </c>
      <c r="AH339" s="6"/>
      <c r="AI339" s="6">
        <f t="shared" si="140"/>
        <v>0.12199999999999989</v>
      </c>
      <c r="AJ339">
        <f t="shared" si="138"/>
        <v>3.3</v>
      </c>
      <c r="AK339" s="21">
        <f t="shared" si="139"/>
        <v>3.3</v>
      </c>
      <c r="AL339">
        <f t="shared" si="163"/>
        <v>520.80000000000041</v>
      </c>
      <c r="AM339" s="4">
        <v>5.09</v>
      </c>
      <c r="AN339">
        <v>2.37</v>
      </c>
      <c r="AP339" s="7">
        <f t="shared" si="161"/>
        <v>0.40699999999999997</v>
      </c>
      <c r="AQ339" s="7">
        <f t="shared" si="141"/>
        <v>0.19900000000000001</v>
      </c>
      <c r="AS339">
        <f t="shared" si="142"/>
        <v>2.37</v>
      </c>
      <c r="AT339">
        <f t="shared" si="143"/>
        <v>-3.9</v>
      </c>
      <c r="AU339">
        <f t="shared" si="144"/>
        <v>83.9</v>
      </c>
      <c r="AV339" t="s">
        <v>104</v>
      </c>
      <c r="AW339">
        <f t="shared" si="145"/>
        <v>-2.9</v>
      </c>
      <c r="AX339">
        <f t="shared" si="146"/>
        <v>1.5</v>
      </c>
      <c r="AY339">
        <f t="shared" si="147"/>
        <v>-0.1</v>
      </c>
      <c r="AZ339">
        <f t="shared" si="148"/>
        <v>92.2</v>
      </c>
      <c r="BA339" t="s">
        <v>104</v>
      </c>
      <c r="BB339">
        <f t="shared" si="149"/>
        <v>-1.1000000000000001</v>
      </c>
      <c r="BC339">
        <f t="shared" si="150"/>
        <v>2.1</v>
      </c>
      <c r="BD339">
        <f t="shared" si="151"/>
        <v>-8.4</v>
      </c>
      <c r="BE339">
        <f t="shared" si="152"/>
        <v>67.2</v>
      </c>
      <c r="BF339" t="s">
        <v>104</v>
      </c>
      <c r="BG339">
        <f t="shared" si="153"/>
        <v>-4.7</v>
      </c>
      <c r="BH339">
        <f t="shared" si="154"/>
        <v>1.1000000000000001</v>
      </c>
      <c r="BI339">
        <f t="shared" si="155"/>
        <v>0</v>
      </c>
      <c r="BJ339">
        <f t="shared" si="156"/>
        <v>0</v>
      </c>
      <c r="BK339">
        <f t="shared" si="157"/>
        <v>0.12199999999999989</v>
      </c>
      <c r="BL339">
        <f t="shared" si="158"/>
        <v>3.3</v>
      </c>
      <c r="BM339">
        <f t="shared" si="159"/>
        <v>0.40699999999999997</v>
      </c>
      <c r="BN339">
        <f t="shared" si="160"/>
        <v>0.19900000000000001</v>
      </c>
    </row>
    <row r="340" spans="1:66" x14ac:dyDescent="0.25">
      <c r="A340">
        <v>2024</v>
      </c>
      <c r="B340" s="1">
        <f t="shared" si="162"/>
        <v>45626</v>
      </c>
      <c r="C340" s="2">
        <v>335</v>
      </c>
      <c r="D340">
        <v>70</v>
      </c>
      <c r="E340" s="6">
        <v>12.8</v>
      </c>
      <c r="F340" s="6">
        <v>-2.831</v>
      </c>
      <c r="G340" s="6">
        <v>-0.53400000000000003</v>
      </c>
      <c r="H340" s="6">
        <v>-5.0789999999999997</v>
      </c>
      <c r="I340" s="6">
        <v>0.81299999999999994</v>
      </c>
      <c r="J340" s="6">
        <v>-1.655</v>
      </c>
      <c r="K340" s="6">
        <v>86.3</v>
      </c>
      <c r="L340" s="6"/>
      <c r="M340" s="6">
        <v>-1.6559999999999999</v>
      </c>
      <c r="N340" s="6">
        <v>1.482</v>
      </c>
      <c r="O340" s="6">
        <v>0.77400000000000002</v>
      </c>
      <c r="P340" s="6">
        <v>92.3</v>
      </c>
      <c r="Q340" s="6"/>
      <c r="R340" s="6">
        <v>-0.78600000000000003</v>
      </c>
      <c r="S340" s="6">
        <v>1.738</v>
      </c>
      <c r="T340" s="6">
        <v>-4.1269999999999998</v>
      </c>
      <c r="U340" s="6">
        <v>75.8</v>
      </c>
      <c r="V340" s="6"/>
      <c r="W340" s="6">
        <v>-2.56</v>
      </c>
      <c r="X340" s="6">
        <v>1.331</v>
      </c>
      <c r="Y340" s="6">
        <v>0</v>
      </c>
      <c r="Z340" s="6">
        <v>0</v>
      </c>
      <c r="AA340" s="6">
        <v>0</v>
      </c>
      <c r="AB340" s="6">
        <v>1.9039999999999999</v>
      </c>
      <c r="AC340" s="6">
        <v>-0.41199999999999998</v>
      </c>
      <c r="AD340" s="6">
        <v>-4.9000000000000004</v>
      </c>
      <c r="AE340" s="6">
        <v>8.9999999999999993E-3</v>
      </c>
      <c r="AF340" s="6">
        <v>6.0000000000000001E-3</v>
      </c>
      <c r="AG340" s="6">
        <v>1.9139999999999999</v>
      </c>
      <c r="AH340" s="6"/>
      <c r="AI340" s="6">
        <f t="shared" si="140"/>
        <v>0.12599999999999989</v>
      </c>
      <c r="AJ340">
        <f t="shared" si="138"/>
        <v>0.5</v>
      </c>
      <c r="AK340" s="21">
        <f t="shared" si="139"/>
        <v>0.5</v>
      </c>
      <c r="AL340">
        <f t="shared" si="163"/>
        <v>521.30000000000041</v>
      </c>
      <c r="AM340" s="4">
        <v>5.03</v>
      </c>
      <c r="AN340">
        <v>0.81</v>
      </c>
      <c r="AP340" s="7">
        <f t="shared" si="161"/>
        <v>0.48899999999999999</v>
      </c>
      <c r="AQ340" s="7">
        <f t="shared" si="141"/>
        <v>0.156</v>
      </c>
      <c r="AS340">
        <f t="shared" si="142"/>
        <v>0.81</v>
      </c>
      <c r="AT340">
        <f t="shared" si="143"/>
        <v>-1.7</v>
      </c>
      <c r="AU340">
        <f t="shared" si="144"/>
        <v>86.3</v>
      </c>
      <c r="AV340" t="s">
        <v>104</v>
      </c>
      <c r="AW340">
        <f t="shared" si="145"/>
        <v>-1.7</v>
      </c>
      <c r="AX340">
        <f t="shared" si="146"/>
        <v>1.5</v>
      </c>
      <c r="AY340">
        <f t="shared" si="147"/>
        <v>0.8</v>
      </c>
      <c r="AZ340">
        <f t="shared" si="148"/>
        <v>92.3</v>
      </c>
      <c r="BA340" t="s">
        <v>104</v>
      </c>
      <c r="BB340">
        <f t="shared" si="149"/>
        <v>-0.8</v>
      </c>
      <c r="BC340">
        <f t="shared" si="150"/>
        <v>1.7</v>
      </c>
      <c r="BD340">
        <f t="shared" si="151"/>
        <v>-4.0999999999999996</v>
      </c>
      <c r="BE340">
        <f t="shared" si="152"/>
        <v>75.8</v>
      </c>
      <c r="BF340" t="s">
        <v>104</v>
      </c>
      <c r="BG340">
        <f t="shared" si="153"/>
        <v>-2.6</v>
      </c>
      <c r="BH340">
        <f t="shared" si="154"/>
        <v>1.3</v>
      </c>
      <c r="BI340">
        <f t="shared" si="155"/>
        <v>0</v>
      </c>
      <c r="BJ340">
        <f t="shared" si="156"/>
        <v>0</v>
      </c>
      <c r="BK340">
        <f t="shared" si="157"/>
        <v>0.12599999999999989</v>
      </c>
      <c r="BL340">
        <f t="shared" si="158"/>
        <v>0.5</v>
      </c>
      <c r="BM340">
        <f t="shared" si="159"/>
        <v>0.48899999999999999</v>
      </c>
      <c r="BN340">
        <f t="shared" si="160"/>
        <v>0.156</v>
      </c>
    </row>
    <row r="341" spans="1:66" x14ac:dyDescent="0.25">
      <c r="A341">
        <v>2024</v>
      </c>
      <c r="B341" s="1">
        <f t="shared" si="162"/>
        <v>45627</v>
      </c>
      <c r="C341" s="2">
        <v>336</v>
      </c>
      <c r="D341">
        <v>70</v>
      </c>
      <c r="E341" s="6">
        <v>12.94</v>
      </c>
      <c r="F341" s="6">
        <v>-2.9289999999999998</v>
      </c>
      <c r="G341" s="6">
        <v>1.361</v>
      </c>
      <c r="H341" s="6">
        <v>-6.3410000000000002</v>
      </c>
      <c r="I341" s="6">
        <v>1.585</v>
      </c>
      <c r="J341" s="6">
        <v>-1.5369999999999999</v>
      </c>
      <c r="K341" s="6">
        <v>85.6</v>
      </c>
      <c r="L341" s="6"/>
      <c r="M341" s="6">
        <v>-1.5</v>
      </c>
      <c r="N341" s="6">
        <v>1.504</v>
      </c>
      <c r="O341" s="6">
        <v>3.3159999999999998</v>
      </c>
      <c r="P341" s="6">
        <v>92.8</v>
      </c>
      <c r="Q341" s="6"/>
      <c r="R341" s="6">
        <v>5.7000000000000002E-2</v>
      </c>
      <c r="S341" s="6">
        <v>1.7609999999999999</v>
      </c>
      <c r="T341" s="6">
        <v>-4.7320000000000002</v>
      </c>
      <c r="U341" s="6">
        <v>66.66</v>
      </c>
      <c r="V341" s="6"/>
      <c r="W341" s="6">
        <v>-2.6909999999999998</v>
      </c>
      <c r="X341" s="6">
        <v>1.212</v>
      </c>
      <c r="Y341" s="6">
        <v>8.3000000000000004E-2</v>
      </c>
      <c r="Z341" s="6">
        <v>1.26</v>
      </c>
      <c r="AA341" s="6">
        <v>0.9</v>
      </c>
      <c r="AB341" s="20">
        <v>1.8959999999999999</v>
      </c>
      <c r="AC341" s="6">
        <v>1.4890000000000001</v>
      </c>
      <c r="AD341" s="6">
        <v>-6.1459999999999999</v>
      </c>
      <c r="AE341" s="6">
        <v>8.9999999999999993E-3</v>
      </c>
      <c r="AF341" s="6">
        <v>7.0000000000000001E-3</v>
      </c>
      <c r="AG341" s="6">
        <v>0</v>
      </c>
      <c r="AH341" s="6"/>
      <c r="AI341" s="6">
        <f t="shared" si="140"/>
        <v>0.1339999999999999</v>
      </c>
      <c r="AJ341">
        <f t="shared" si="138"/>
        <v>1</v>
      </c>
      <c r="AK341" s="21">
        <f t="shared" si="139"/>
        <v>1</v>
      </c>
      <c r="AL341">
        <f t="shared" si="163"/>
        <v>522.30000000000041</v>
      </c>
      <c r="AM341" s="4">
        <v>4.96</v>
      </c>
      <c r="AN341">
        <v>1.58</v>
      </c>
      <c r="AP341" s="7">
        <f t="shared" si="161"/>
        <v>0.51600000000000001</v>
      </c>
      <c r="AQ341" s="7">
        <f t="shared" si="141"/>
        <v>0.25800000000000001</v>
      </c>
      <c r="AS341">
        <f t="shared" si="142"/>
        <v>1.58</v>
      </c>
      <c r="AT341">
        <f t="shared" si="143"/>
        <v>-1.5</v>
      </c>
      <c r="AU341">
        <f t="shared" si="144"/>
        <v>85.6</v>
      </c>
      <c r="AV341" t="s">
        <v>104</v>
      </c>
      <c r="AW341">
        <f t="shared" si="145"/>
        <v>-1.5</v>
      </c>
      <c r="AX341">
        <f t="shared" si="146"/>
        <v>1.5</v>
      </c>
      <c r="AY341">
        <f t="shared" si="147"/>
        <v>3.3</v>
      </c>
      <c r="AZ341">
        <f t="shared" si="148"/>
        <v>92.8</v>
      </c>
      <c r="BA341" t="s">
        <v>104</v>
      </c>
      <c r="BB341">
        <f t="shared" si="149"/>
        <v>0.1</v>
      </c>
      <c r="BC341">
        <f t="shared" si="150"/>
        <v>1.8</v>
      </c>
      <c r="BD341">
        <f t="shared" si="151"/>
        <v>-4.7</v>
      </c>
      <c r="BE341">
        <f t="shared" si="152"/>
        <v>66.7</v>
      </c>
      <c r="BF341" t="s">
        <v>104</v>
      </c>
      <c r="BG341">
        <f t="shared" si="153"/>
        <v>-2.7</v>
      </c>
      <c r="BH341">
        <f t="shared" si="154"/>
        <v>1.2</v>
      </c>
      <c r="BI341">
        <f t="shared" si="155"/>
        <v>0.08</v>
      </c>
      <c r="BJ341">
        <f t="shared" si="156"/>
        <v>1.26</v>
      </c>
      <c r="BK341">
        <f t="shared" si="157"/>
        <v>0.1339999999999999</v>
      </c>
      <c r="BL341">
        <f t="shared" si="158"/>
        <v>1</v>
      </c>
      <c r="BM341">
        <f t="shared" si="159"/>
        <v>0.51600000000000001</v>
      </c>
      <c r="BN341">
        <f t="shared" si="160"/>
        <v>0.25800000000000001</v>
      </c>
    </row>
    <row r="342" spans="1:66" x14ac:dyDescent="0.25">
      <c r="A342">
        <v>2024</v>
      </c>
      <c r="B342" s="1">
        <f t="shared" si="162"/>
        <v>45628</v>
      </c>
      <c r="C342" s="2">
        <v>337</v>
      </c>
      <c r="D342">
        <v>70</v>
      </c>
      <c r="E342" s="6">
        <v>13.04</v>
      </c>
      <c r="F342" s="6">
        <v>-5.64</v>
      </c>
      <c r="G342" s="6">
        <v>2.0070000000000001</v>
      </c>
      <c r="H342" s="6">
        <v>-8.33</v>
      </c>
      <c r="I342" s="6">
        <v>2.948</v>
      </c>
      <c r="J342" s="6">
        <v>-4.0949999999999998</v>
      </c>
      <c r="K342" s="6">
        <v>85.9</v>
      </c>
      <c r="L342" s="6"/>
      <c r="M342" s="6">
        <v>-3.0209999999999999</v>
      </c>
      <c r="N342" s="6">
        <v>1.4430000000000001</v>
      </c>
      <c r="O342" s="6">
        <v>2.5129999999999999</v>
      </c>
      <c r="P342" s="6">
        <v>91.9</v>
      </c>
      <c r="Q342" s="6"/>
      <c r="R342" s="6">
        <v>-0.69699999999999995</v>
      </c>
      <c r="S342" s="6">
        <v>2.5289999999999999</v>
      </c>
      <c r="T342" s="6">
        <v>-6.6840000000000002</v>
      </c>
      <c r="U342" s="6">
        <v>60.47</v>
      </c>
      <c r="V342" s="6"/>
      <c r="W342" s="6">
        <v>-4.048</v>
      </c>
      <c r="X342" s="6">
        <v>0.91500000000000004</v>
      </c>
      <c r="Y342" s="6">
        <v>8.7999999999999995E-2</v>
      </c>
      <c r="Z342" s="6">
        <v>1.327</v>
      </c>
      <c r="AA342" s="6">
        <v>0</v>
      </c>
      <c r="AB342" s="6">
        <v>1.8959999999999999</v>
      </c>
      <c r="AC342" s="6">
        <v>2.633</v>
      </c>
      <c r="AD342" s="6">
        <v>-8.19</v>
      </c>
      <c r="AE342" s="6">
        <v>8.9999999999999993E-3</v>
      </c>
      <c r="AF342" s="6">
        <v>7.0000000000000001E-3</v>
      </c>
      <c r="AG342" s="6">
        <v>1.913</v>
      </c>
      <c r="AH342" s="6"/>
      <c r="AI342" s="6">
        <f t="shared" si="140"/>
        <v>0.1339999999999999</v>
      </c>
      <c r="AJ342">
        <f t="shared" si="138"/>
        <v>0</v>
      </c>
      <c r="AK342" s="21">
        <f t="shared" si="139"/>
        <v>0</v>
      </c>
      <c r="AL342">
        <f t="shared" si="163"/>
        <v>522.30000000000041</v>
      </c>
      <c r="AM342" s="4">
        <v>4.9000000000000004</v>
      </c>
      <c r="AN342">
        <v>2.95</v>
      </c>
      <c r="AP342" s="7">
        <f t="shared" si="161"/>
        <v>0.442</v>
      </c>
      <c r="AQ342" s="7">
        <f t="shared" si="141"/>
        <v>0.28899999999999998</v>
      </c>
      <c r="AS342">
        <f t="shared" si="142"/>
        <v>2.95</v>
      </c>
      <c r="AT342">
        <f t="shared" si="143"/>
        <v>-4.0999999999999996</v>
      </c>
      <c r="AU342">
        <f t="shared" si="144"/>
        <v>85.9</v>
      </c>
      <c r="AV342" t="s">
        <v>104</v>
      </c>
      <c r="AW342">
        <f t="shared" si="145"/>
        <v>-3</v>
      </c>
      <c r="AX342">
        <f t="shared" si="146"/>
        <v>1.4</v>
      </c>
      <c r="AY342">
        <f t="shared" si="147"/>
        <v>2.5</v>
      </c>
      <c r="AZ342">
        <f t="shared" si="148"/>
        <v>91.9</v>
      </c>
      <c r="BA342" t="s">
        <v>104</v>
      </c>
      <c r="BB342">
        <f t="shared" si="149"/>
        <v>-0.7</v>
      </c>
      <c r="BC342">
        <f t="shared" si="150"/>
        <v>2.5</v>
      </c>
      <c r="BD342">
        <f t="shared" si="151"/>
        <v>-6.7</v>
      </c>
      <c r="BE342">
        <f t="shared" si="152"/>
        <v>60.5</v>
      </c>
      <c r="BF342" t="s">
        <v>104</v>
      </c>
      <c r="BG342">
        <f t="shared" si="153"/>
        <v>-4</v>
      </c>
      <c r="BH342">
        <f t="shared" si="154"/>
        <v>0.9</v>
      </c>
      <c r="BI342">
        <f t="shared" si="155"/>
        <v>0.09</v>
      </c>
      <c r="BJ342">
        <f t="shared" si="156"/>
        <v>1.33</v>
      </c>
      <c r="BK342">
        <f t="shared" si="157"/>
        <v>0.1339999999999999</v>
      </c>
      <c r="BL342">
        <f t="shared" si="158"/>
        <v>0</v>
      </c>
      <c r="BM342">
        <f t="shared" si="159"/>
        <v>0.442</v>
      </c>
      <c r="BN342">
        <f t="shared" si="160"/>
        <v>0.28899999999999998</v>
      </c>
    </row>
    <row r="343" spans="1:66" x14ac:dyDescent="0.25">
      <c r="A343">
        <v>2024</v>
      </c>
      <c r="B343" s="1">
        <f t="shared" si="162"/>
        <v>45629</v>
      </c>
      <c r="C343" s="2">
        <v>338</v>
      </c>
      <c r="D343">
        <v>70</v>
      </c>
      <c r="E343" s="6">
        <v>13.04</v>
      </c>
      <c r="F343" s="6">
        <v>-5.5670000000000002</v>
      </c>
      <c r="G343" s="6">
        <v>-1.96</v>
      </c>
      <c r="H343" s="6">
        <v>-7.85</v>
      </c>
      <c r="I343" s="6">
        <v>2.3010000000000002</v>
      </c>
      <c r="J343" s="6">
        <v>-4.3470000000000004</v>
      </c>
      <c r="K343" s="6">
        <v>88.7</v>
      </c>
      <c r="L343" s="6"/>
      <c r="M343" s="6">
        <v>-3.2690000000000001</v>
      </c>
      <c r="N343" s="6">
        <v>1.3140000000000001</v>
      </c>
      <c r="O343" s="6">
        <v>-0.82799999999999996</v>
      </c>
      <c r="P343" s="6">
        <v>92.7</v>
      </c>
      <c r="Q343" s="6"/>
      <c r="R343" s="6">
        <v>-2.1960000000000002</v>
      </c>
      <c r="S343" s="6">
        <v>2.1379999999999999</v>
      </c>
      <c r="T343" s="6">
        <v>-6.6159999999999997</v>
      </c>
      <c r="U343" s="6">
        <v>79.3</v>
      </c>
      <c r="V343" s="6"/>
      <c r="W343" s="6">
        <v>-4.1079999999999997</v>
      </c>
      <c r="X343" s="6">
        <v>1.026</v>
      </c>
      <c r="Y343" s="6">
        <v>0</v>
      </c>
      <c r="Z343" s="6">
        <v>0</v>
      </c>
      <c r="AA343" s="6">
        <v>0</v>
      </c>
      <c r="AB343" s="6">
        <v>1.91</v>
      </c>
      <c r="AC343" s="6">
        <v>-1.6539999999999999</v>
      </c>
      <c r="AD343" s="6">
        <v>-7.73</v>
      </c>
      <c r="AE343" s="6">
        <v>8.9999999999999993E-3</v>
      </c>
      <c r="AF343" s="6">
        <v>6.0000000000000001E-3</v>
      </c>
      <c r="AG343" s="6">
        <v>1.931</v>
      </c>
      <c r="AH343" s="6"/>
      <c r="AI343" s="6">
        <f t="shared" si="140"/>
        <v>0.11999999999999988</v>
      </c>
      <c r="AJ343">
        <f t="shared" si="138"/>
        <v>0</v>
      </c>
      <c r="AK343" s="21">
        <f t="shared" si="139"/>
        <v>0</v>
      </c>
      <c r="AL343">
        <f t="shared" si="163"/>
        <v>522.30000000000041</v>
      </c>
      <c r="AM343" s="4">
        <v>4.8499999999999996</v>
      </c>
      <c r="AN343">
        <v>2.2999999999999998</v>
      </c>
      <c r="AP343" s="7">
        <f t="shared" si="161"/>
        <v>0.45600000000000002</v>
      </c>
      <c r="AQ343" s="7">
        <f t="shared" si="141"/>
        <v>0.11899999999999999</v>
      </c>
      <c r="AS343">
        <f t="shared" si="142"/>
        <v>2.2999999999999998</v>
      </c>
      <c r="AT343">
        <f t="shared" si="143"/>
        <v>-4.3</v>
      </c>
      <c r="AU343">
        <f t="shared" si="144"/>
        <v>88.7</v>
      </c>
      <c r="AV343" t="s">
        <v>104</v>
      </c>
      <c r="AW343">
        <f t="shared" si="145"/>
        <v>-3.3</v>
      </c>
      <c r="AX343">
        <f t="shared" si="146"/>
        <v>1.3</v>
      </c>
      <c r="AY343">
        <f t="shared" si="147"/>
        <v>-0.8</v>
      </c>
      <c r="AZ343">
        <f t="shared" si="148"/>
        <v>92.7</v>
      </c>
      <c r="BA343" t="s">
        <v>104</v>
      </c>
      <c r="BB343">
        <f t="shared" si="149"/>
        <v>-2.2000000000000002</v>
      </c>
      <c r="BC343">
        <f t="shared" si="150"/>
        <v>2.1</v>
      </c>
      <c r="BD343">
        <f t="shared" si="151"/>
        <v>-6.6</v>
      </c>
      <c r="BE343">
        <f t="shared" si="152"/>
        <v>79.3</v>
      </c>
      <c r="BF343" t="s">
        <v>104</v>
      </c>
      <c r="BG343">
        <f t="shared" si="153"/>
        <v>-4.0999999999999996</v>
      </c>
      <c r="BH343">
        <f t="shared" si="154"/>
        <v>1</v>
      </c>
      <c r="BI343">
        <f t="shared" si="155"/>
        <v>0</v>
      </c>
      <c r="BJ343">
        <f t="shared" si="156"/>
        <v>0</v>
      </c>
      <c r="BK343">
        <f t="shared" si="157"/>
        <v>0.11999999999999988</v>
      </c>
      <c r="BL343">
        <f t="shared" si="158"/>
        <v>0</v>
      </c>
      <c r="BM343">
        <f t="shared" si="159"/>
        <v>0.45600000000000002</v>
      </c>
      <c r="BN343">
        <f t="shared" si="160"/>
        <v>0.11899999999999999</v>
      </c>
    </row>
    <row r="344" spans="1:66" x14ac:dyDescent="0.25">
      <c r="A344">
        <v>2024</v>
      </c>
      <c r="B344" s="1">
        <f t="shared" si="162"/>
        <v>45630</v>
      </c>
      <c r="C344" s="2">
        <v>339</v>
      </c>
      <c r="D344">
        <v>70</v>
      </c>
      <c r="E344" s="6">
        <v>13.01</v>
      </c>
      <c r="F344" s="6">
        <v>-6.0309999999999997</v>
      </c>
      <c r="G344" s="6">
        <v>-2.4239999999999999</v>
      </c>
      <c r="H344" s="6">
        <v>-8.81</v>
      </c>
      <c r="I344" s="6">
        <v>1.857</v>
      </c>
      <c r="J344" s="6">
        <v>-4.9269999999999996</v>
      </c>
      <c r="K344" s="6">
        <v>90.4</v>
      </c>
      <c r="L344" s="6"/>
      <c r="M344" s="6">
        <v>-3.4830000000000001</v>
      </c>
      <c r="N344" s="6">
        <v>1.2330000000000001</v>
      </c>
      <c r="O344" s="6">
        <v>-1.3120000000000001</v>
      </c>
      <c r="P344" s="6">
        <v>93.8</v>
      </c>
      <c r="Q344" s="6"/>
      <c r="R344" s="6">
        <v>-2.2210000000000001</v>
      </c>
      <c r="S344" s="6">
        <v>1.6</v>
      </c>
      <c r="T344" s="6">
        <v>-7.96</v>
      </c>
      <c r="U344" s="6">
        <v>84.3</v>
      </c>
      <c r="V344" s="6"/>
      <c r="W344" s="6">
        <v>-4.5839999999999996</v>
      </c>
      <c r="X344" s="6">
        <v>0.88300000000000001</v>
      </c>
      <c r="Y344" s="6">
        <v>0</v>
      </c>
      <c r="Z344" s="6">
        <v>0</v>
      </c>
      <c r="AA344" s="6">
        <v>0</v>
      </c>
      <c r="AB344" s="6">
        <v>1.897</v>
      </c>
      <c r="AC344" s="6">
        <v>-2.298</v>
      </c>
      <c r="AD344" s="6">
        <v>-8.64</v>
      </c>
      <c r="AE344" s="6">
        <v>8.9999999999999993E-3</v>
      </c>
      <c r="AF344" s="6">
        <v>6.0000000000000001E-3</v>
      </c>
      <c r="AG344" s="6">
        <v>1.9079999999999999</v>
      </c>
      <c r="AH344" s="6"/>
      <c r="AI344" s="6">
        <f t="shared" si="140"/>
        <v>0.13299999999999979</v>
      </c>
      <c r="AJ344">
        <f t="shared" si="138"/>
        <v>1.7</v>
      </c>
      <c r="AK344" s="21">
        <f t="shared" si="139"/>
        <v>1.7</v>
      </c>
      <c r="AL344">
        <f t="shared" si="163"/>
        <v>524.00000000000045</v>
      </c>
      <c r="AM344" s="4">
        <v>4.79</v>
      </c>
      <c r="AN344">
        <v>1.86</v>
      </c>
      <c r="AP344" s="7">
        <f t="shared" si="161"/>
        <v>0.46800000000000003</v>
      </c>
      <c r="AQ344" s="7">
        <f t="shared" si="141"/>
        <v>8.6999999999999994E-2</v>
      </c>
      <c r="AS344">
        <f t="shared" si="142"/>
        <v>1.86</v>
      </c>
      <c r="AT344">
        <f t="shared" si="143"/>
        <v>-4.9000000000000004</v>
      </c>
      <c r="AU344">
        <f t="shared" si="144"/>
        <v>90.4</v>
      </c>
      <c r="AV344" t="s">
        <v>104</v>
      </c>
      <c r="AW344">
        <f t="shared" si="145"/>
        <v>-3.5</v>
      </c>
      <c r="AX344">
        <f t="shared" si="146"/>
        <v>1.2</v>
      </c>
      <c r="AY344">
        <f t="shared" si="147"/>
        <v>-1.3</v>
      </c>
      <c r="AZ344">
        <f t="shared" si="148"/>
        <v>93.8</v>
      </c>
      <c r="BA344" t="s">
        <v>104</v>
      </c>
      <c r="BB344">
        <f t="shared" si="149"/>
        <v>-2.2000000000000002</v>
      </c>
      <c r="BC344">
        <f t="shared" si="150"/>
        <v>1.6</v>
      </c>
      <c r="BD344">
        <f t="shared" si="151"/>
        <v>-8</v>
      </c>
      <c r="BE344">
        <f t="shared" si="152"/>
        <v>84.3</v>
      </c>
      <c r="BF344" t="s">
        <v>104</v>
      </c>
      <c r="BG344">
        <f t="shared" si="153"/>
        <v>-4.5999999999999996</v>
      </c>
      <c r="BH344">
        <f t="shared" si="154"/>
        <v>0.9</v>
      </c>
      <c r="BI344">
        <f t="shared" si="155"/>
        <v>0</v>
      </c>
      <c r="BJ344">
        <f t="shared" si="156"/>
        <v>0</v>
      </c>
      <c r="BK344">
        <f t="shared" si="157"/>
        <v>0.13299999999999979</v>
      </c>
      <c r="BL344">
        <f t="shared" si="158"/>
        <v>1.7</v>
      </c>
      <c r="BM344">
        <f t="shared" si="159"/>
        <v>0.46800000000000003</v>
      </c>
      <c r="BN344">
        <f t="shared" si="160"/>
        <v>8.6999999999999994E-2</v>
      </c>
    </row>
    <row r="345" spans="1:66" x14ac:dyDescent="0.25">
      <c r="A345">
        <v>2024</v>
      </c>
      <c r="B345" s="1">
        <f t="shared" si="162"/>
        <v>45631</v>
      </c>
      <c r="C345" s="2">
        <v>340</v>
      </c>
      <c r="D345">
        <v>70</v>
      </c>
      <c r="E345" s="6">
        <v>13</v>
      </c>
      <c r="F345" s="6">
        <v>-5.8730000000000002</v>
      </c>
      <c r="G345" s="6">
        <v>-2.153</v>
      </c>
      <c r="H345" s="6">
        <v>-9.61</v>
      </c>
      <c r="I345" s="6">
        <v>1.7070000000000001</v>
      </c>
      <c r="J345" s="6">
        <v>-4.7670000000000003</v>
      </c>
      <c r="K345" s="6">
        <v>89.5</v>
      </c>
      <c r="L345" s="6"/>
      <c r="M345" s="6">
        <v>-3.403</v>
      </c>
      <c r="N345" s="6">
        <v>1.1639999999999999</v>
      </c>
      <c r="O345" s="6">
        <v>-0.97299999999999998</v>
      </c>
      <c r="P345" s="6">
        <v>93.7</v>
      </c>
      <c r="Q345" s="6"/>
      <c r="R345" s="6">
        <v>-2.15</v>
      </c>
      <c r="S345" s="6">
        <v>1.988</v>
      </c>
      <c r="T345" s="6">
        <v>-8.56</v>
      </c>
      <c r="U345" s="6">
        <v>81.400000000000006</v>
      </c>
      <c r="V345" s="6"/>
      <c r="W345" s="6">
        <v>-4.7370000000000001</v>
      </c>
      <c r="X345" s="6">
        <v>0.86799999999999999</v>
      </c>
      <c r="Y345" s="6">
        <v>0</v>
      </c>
      <c r="Z345" s="6">
        <v>0</v>
      </c>
      <c r="AA345" s="6">
        <v>0</v>
      </c>
      <c r="AB345" s="6">
        <v>1.8859999999999999</v>
      </c>
      <c r="AC345" s="6">
        <v>-1.9239999999999999</v>
      </c>
      <c r="AD345" s="6">
        <v>-9.41</v>
      </c>
      <c r="AE345" s="6">
        <v>8.9999999999999993E-3</v>
      </c>
      <c r="AF345" s="6">
        <v>6.0000000000000001E-3</v>
      </c>
      <c r="AG345" s="6">
        <v>1.8939999999999999</v>
      </c>
      <c r="AH345" s="6"/>
      <c r="AI345" s="6">
        <f t="shared" si="140"/>
        <v>0.14399999999999991</v>
      </c>
      <c r="AJ345">
        <f t="shared" si="138"/>
        <v>1.4</v>
      </c>
      <c r="AK345" s="21">
        <f t="shared" si="139"/>
        <v>1.4</v>
      </c>
      <c r="AL345">
        <f t="shared" si="163"/>
        <v>525.40000000000043</v>
      </c>
      <c r="AM345" s="4">
        <v>4.75</v>
      </c>
      <c r="AN345">
        <v>1.71</v>
      </c>
      <c r="AP345" s="7">
        <f t="shared" si="161"/>
        <v>0.46300000000000002</v>
      </c>
      <c r="AQ345" s="7">
        <f t="shared" si="141"/>
        <v>0.106</v>
      </c>
      <c r="AS345">
        <f t="shared" si="142"/>
        <v>1.71</v>
      </c>
      <c r="AT345">
        <f t="shared" si="143"/>
        <v>-4.8</v>
      </c>
      <c r="AU345">
        <f t="shared" si="144"/>
        <v>89.5</v>
      </c>
      <c r="AV345" t="s">
        <v>104</v>
      </c>
      <c r="AW345">
        <f t="shared" si="145"/>
        <v>-3.4</v>
      </c>
      <c r="AX345">
        <f t="shared" si="146"/>
        <v>1.2</v>
      </c>
      <c r="AY345">
        <f t="shared" si="147"/>
        <v>-1</v>
      </c>
      <c r="AZ345">
        <f t="shared" si="148"/>
        <v>93.7</v>
      </c>
      <c r="BA345" t="s">
        <v>104</v>
      </c>
      <c r="BB345">
        <f t="shared" si="149"/>
        <v>-2.2000000000000002</v>
      </c>
      <c r="BC345">
        <f t="shared" si="150"/>
        <v>2</v>
      </c>
      <c r="BD345">
        <f t="shared" si="151"/>
        <v>-8.6</v>
      </c>
      <c r="BE345">
        <f t="shared" si="152"/>
        <v>81.400000000000006</v>
      </c>
      <c r="BF345" t="s">
        <v>104</v>
      </c>
      <c r="BG345">
        <f t="shared" si="153"/>
        <v>-4.7</v>
      </c>
      <c r="BH345">
        <f t="shared" si="154"/>
        <v>0.9</v>
      </c>
      <c r="BI345">
        <f t="shared" si="155"/>
        <v>0</v>
      </c>
      <c r="BJ345">
        <f t="shared" si="156"/>
        <v>0</v>
      </c>
      <c r="BK345">
        <f t="shared" si="157"/>
        <v>0.14399999999999991</v>
      </c>
      <c r="BL345">
        <f t="shared" si="158"/>
        <v>1.4</v>
      </c>
      <c r="BM345">
        <f t="shared" si="159"/>
        <v>0.46300000000000002</v>
      </c>
      <c r="BN345">
        <f t="shared" si="160"/>
        <v>0.106</v>
      </c>
    </row>
    <row r="346" spans="1:66" x14ac:dyDescent="0.25">
      <c r="A346">
        <v>2024</v>
      </c>
      <c r="B346" s="1">
        <f t="shared" si="162"/>
        <v>45632</v>
      </c>
      <c r="C346" s="2">
        <v>341</v>
      </c>
      <c r="D346">
        <v>70</v>
      </c>
      <c r="E346" s="6">
        <v>12.81</v>
      </c>
      <c r="F346" s="6">
        <v>-0.97799999999999998</v>
      </c>
      <c r="G346" s="6">
        <v>0.48499999999999999</v>
      </c>
      <c r="H346" s="6">
        <v>-4.3840000000000003</v>
      </c>
      <c r="I346" s="6">
        <v>0.64700000000000002</v>
      </c>
      <c r="J346" s="6">
        <v>-7.4999999999999997E-2</v>
      </c>
      <c r="K346" s="6">
        <v>89.7</v>
      </c>
      <c r="L346" s="6"/>
      <c r="M346" s="6">
        <v>-0.96799999999999997</v>
      </c>
      <c r="N346" s="6">
        <v>1.2110000000000001</v>
      </c>
      <c r="O346" s="6">
        <v>1.907</v>
      </c>
      <c r="P346" s="6">
        <v>93.1</v>
      </c>
      <c r="Q346" s="6"/>
      <c r="R346" s="6">
        <v>-0.11899999999999999</v>
      </c>
      <c r="S346" s="6">
        <v>1.494</v>
      </c>
      <c r="T346" s="6">
        <v>-3.3959999999999999</v>
      </c>
      <c r="U346" s="6">
        <v>75.900000000000006</v>
      </c>
      <c r="V346" s="6"/>
      <c r="W346" s="6">
        <v>-2.8410000000000002</v>
      </c>
      <c r="X346" s="6">
        <v>1.0209999999999999</v>
      </c>
      <c r="Y346" s="6">
        <v>0.20100000000000001</v>
      </c>
      <c r="Z346" s="6">
        <v>1.18</v>
      </c>
      <c r="AA346" s="6">
        <v>0.1</v>
      </c>
      <c r="AB346" s="6">
        <v>1.9079999999999999</v>
      </c>
      <c r="AC346" s="6">
        <v>0.57699999999999996</v>
      </c>
      <c r="AD346" s="6">
        <v>-4.173</v>
      </c>
      <c r="AE346" s="6">
        <v>8.9999999999999993E-3</v>
      </c>
      <c r="AF346" s="6">
        <v>6.0000000000000001E-3</v>
      </c>
      <c r="AG346" s="6">
        <v>1.907</v>
      </c>
      <c r="AH346" s="6"/>
      <c r="AI346" s="6">
        <f t="shared" si="140"/>
        <v>0.12199999999999989</v>
      </c>
      <c r="AJ346">
        <f t="shared" si="138"/>
        <v>0</v>
      </c>
      <c r="AK346" s="21">
        <f t="shared" si="139"/>
        <v>0</v>
      </c>
      <c r="AL346">
        <f t="shared" si="163"/>
        <v>525.40000000000043</v>
      </c>
      <c r="AM346" s="4">
        <v>4.7</v>
      </c>
      <c r="AN346">
        <v>0.64</v>
      </c>
      <c r="AP346" s="7">
        <f t="shared" si="161"/>
        <v>0.53200000000000003</v>
      </c>
      <c r="AQ346" s="7">
        <f t="shared" si="141"/>
        <v>0.16900000000000001</v>
      </c>
      <c r="AS346">
        <f t="shared" si="142"/>
        <v>0.64</v>
      </c>
      <c r="AT346">
        <f t="shared" si="143"/>
        <v>-0.1</v>
      </c>
      <c r="AU346">
        <f t="shared" si="144"/>
        <v>89.7</v>
      </c>
      <c r="AV346" t="s">
        <v>104</v>
      </c>
      <c r="AW346">
        <f t="shared" si="145"/>
        <v>-1</v>
      </c>
      <c r="AX346">
        <f t="shared" si="146"/>
        <v>1.2</v>
      </c>
      <c r="AY346">
        <f t="shared" si="147"/>
        <v>1.9</v>
      </c>
      <c r="AZ346">
        <f t="shared" si="148"/>
        <v>93.1</v>
      </c>
      <c r="BA346" t="s">
        <v>104</v>
      </c>
      <c r="BB346">
        <f t="shared" si="149"/>
        <v>-0.1</v>
      </c>
      <c r="BC346">
        <f t="shared" si="150"/>
        <v>1.5</v>
      </c>
      <c r="BD346">
        <f t="shared" si="151"/>
        <v>-3.4</v>
      </c>
      <c r="BE346">
        <f t="shared" si="152"/>
        <v>75.900000000000006</v>
      </c>
      <c r="BF346" t="s">
        <v>104</v>
      </c>
      <c r="BG346">
        <f t="shared" si="153"/>
        <v>-2.8</v>
      </c>
      <c r="BH346">
        <f t="shared" si="154"/>
        <v>1</v>
      </c>
      <c r="BI346">
        <f t="shared" si="155"/>
        <v>0.2</v>
      </c>
      <c r="BJ346">
        <f t="shared" si="156"/>
        <v>1.18</v>
      </c>
      <c r="BK346">
        <f t="shared" si="157"/>
        <v>0.12199999999999989</v>
      </c>
      <c r="BL346">
        <f t="shared" si="158"/>
        <v>0</v>
      </c>
      <c r="BM346">
        <f t="shared" si="159"/>
        <v>0.53200000000000003</v>
      </c>
      <c r="BN346">
        <f t="shared" si="160"/>
        <v>0.16900000000000001</v>
      </c>
    </row>
    <row r="347" spans="1:66" x14ac:dyDescent="0.25">
      <c r="A347">
        <v>2024</v>
      </c>
      <c r="B347" s="1">
        <f t="shared" si="162"/>
        <v>45633</v>
      </c>
      <c r="C347" s="2">
        <v>342</v>
      </c>
      <c r="D347">
        <v>70</v>
      </c>
      <c r="E347" s="6">
        <v>12.77</v>
      </c>
      <c r="F347" s="6">
        <v>-0.68400000000000005</v>
      </c>
      <c r="G347" s="6">
        <v>0.253</v>
      </c>
      <c r="H347" s="6">
        <v>-2.4820000000000002</v>
      </c>
      <c r="I347" s="6">
        <v>0.68899999999999995</v>
      </c>
      <c r="J347" s="6">
        <v>-0.30099999999999999</v>
      </c>
      <c r="K347" s="6">
        <v>90.9</v>
      </c>
      <c r="L347" s="6"/>
      <c r="M347" s="6">
        <v>-0.13200000000000001</v>
      </c>
      <c r="N347" s="6">
        <v>1.252</v>
      </c>
      <c r="O347" s="6">
        <v>1.304</v>
      </c>
      <c r="P347" s="6">
        <v>92.8</v>
      </c>
      <c r="Q347" s="6"/>
      <c r="R347" s="6">
        <v>7.8E-2</v>
      </c>
      <c r="S347" s="6">
        <v>1.36</v>
      </c>
      <c r="T347" s="6">
        <v>-2.1869999999999998</v>
      </c>
      <c r="U347" s="6">
        <v>86.3</v>
      </c>
      <c r="V347" s="6"/>
      <c r="W347" s="6">
        <v>-0.504</v>
      </c>
      <c r="X347" s="6">
        <v>1.0229999999999999</v>
      </c>
      <c r="Y347" s="6">
        <v>0.156</v>
      </c>
      <c r="Z347" s="6">
        <v>1.887</v>
      </c>
      <c r="AA347" s="6">
        <v>0</v>
      </c>
      <c r="AB347" s="6">
        <v>1.8220000000000001</v>
      </c>
      <c r="AC347" s="6">
        <v>0.34799999999999998</v>
      </c>
      <c r="AD347" s="6">
        <v>-2.028</v>
      </c>
      <c r="AE347" s="6">
        <v>8.9999999999999993E-3</v>
      </c>
      <c r="AF347" s="6">
        <v>7.0000000000000001E-3</v>
      </c>
      <c r="AG347" s="6">
        <v>1.8280000000000001</v>
      </c>
      <c r="AH347" s="6"/>
      <c r="AI347" s="6">
        <f t="shared" si="140"/>
        <v>0.20799999999999974</v>
      </c>
      <c r="AJ347">
        <f t="shared" si="138"/>
        <v>11.2</v>
      </c>
      <c r="AK347" s="21">
        <f t="shared" si="139"/>
        <v>11.2</v>
      </c>
      <c r="AL347">
        <f t="shared" si="163"/>
        <v>536.60000000000048</v>
      </c>
      <c r="AM347" s="4">
        <v>4.66</v>
      </c>
      <c r="AN347">
        <v>0.69</v>
      </c>
      <c r="AP347" s="7">
        <f t="shared" si="161"/>
        <v>0.57899999999999996</v>
      </c>
      <c r="AQ347" s="7">
        <f t="shared" si="141"/>
        <v>9.1999999999999998E-2</v>
      </c>
      <c r="AS347">
        <f t="shared" si="142"/>
        <v>0.69</v>
      </c>
      <c r="AT347">
        <f t="shared" si="143"/>
        <v>-0.3</v>
      </c>
      <c r="AU347">
        <f t="shared" si="144"/>
        <v>90.9</v>
      </c>
      <c r="AV347" t="s">
        <v>104</v>
      </c>
      <c r="AW347">
        <f t="shared" si="145"/>
        <v>-0.1</v>
      </c>
      <c r="AX347">
        <f t="shared" si="146"/>
        <v>1.3</v>
      </c>
      <c r="AY347">
        <f t="shared" si="147"/>
        <v>1.3</v>
      </c>
      <c r="AZ347">
        <f t="shared" si="148"/>
        <v>92.8</v>
      </c>
      <c r="BA347" t="s">
        <v>104</v>
      </c>
      <c r="BB347">
        <f t="shared" si="149"/>
        <v>0.1</v>
      </c>
      <c r="BC347">
        <f t="shared" si="150"/>
        <v>1.4</v>
      </c>
      <c r="BD347">
        <f t="shared" si="151"/>
        <v>-2.2000000000000002</v>
      </c>
      <c r="BE347">
        <f t="shared" si="152"/>
        <v>86.3</v>
      </c>
      <c r="BF347" t="s">
        <v>104</v>
      </c>
      <c r="BG347">
        <f t="shared" si="153"/>
        <v>-0.5</v>
      </c>
      <c r="BH347">
        <f t="shared" si="154"/>
        <v>1</v>
      </c>
      <c r="BI347">
        <f t="shared" si="155"/>
        <v>0.16</v>
      </c>
      <c r="BJ347">
        <f t="shared" si="156"/>
        <v>1.89</v>
      </c>
      <c r="BK347">
        <f t="shared" si="157"/>
        <v>0.20799999999999974</v>
      </c>
      <c r="BL347">
        <f t="shared" si="158"/>
        <v>11.2</v>
      </c>
      <c r="BM347">
        <f t="shared" si="159"/>
        <v>0.57899999999999996</v>
      </c>
      <c r="BN347">
        <f t="shared" si="160"/>
        <v>9.1999999999999998E-2</v>
      </c>
    </row>
    <row r="348" spans="1:66" x14ac:dyDescent="0.25">
      <c r="A348">
        <v>2024</v>
      </c>
      <c r="B348" s="1">
        <f t="shared" si="162"/>
        <v>45634</v>
      </c>
      <c r="C348" s="2">
        <v>343</v>
      </c>
      <c r="D348">
        <v>70</v>
      </c>
      <c r="E348" s="6">
        <v>12.76</v>
      </c>
      <c r="F348" s="6">
        <v>-2.6640000000000001</v>
      </c>
      <c r="G348" s="6">
        <v>-9.2999999999999999E-2</v>
      </c>
      <c r="H348" s="6">
        <v>-5.2949999999999999</v>
      </c>
      <c r="I348" s="6">
        <v>0.25</v>
      </c>
      <c r="J348" s="6">
        <v>-1.7689999999999999</v>
      </c>
      <c r="K348" s="6">
        <v>90.2</v>
      </c>
      <c r="L348" s="6"/>
      <c r="M348" s="6">
        <v>-0.52300000000000002</v>
      </c>
      <c r="N348" s="6">
        <v>1.3169999999999999</v>
      </c>
      <c r="O348" s="6">
        <v>1.5780000000000001</v>
      </c>
      <c r="P348" s="6">
        <v>92.9</v>
      </c>
      <c r="Q348" s="6"/>
      <c r="R348" s="6">
        <v>-8.3000000000000004E-2</v>
      </c>
      <c r="S348" s="6">
        <v>1.56</v>
      </c>
      <c r="T348" s="6">
        <v>-4.3949999999999996</v>
      </c>
      <c r="U348" s="6">
        <v>82.3</v>
      </c>
      <c r="V348" s="6"/>
      <c r="W348" s="6">
        <v>-1.1879999999999999</v>
      </c>
      <c r="X348" s="6">
        <v>1.1240000000000001</v>
      </c>
      <c r="Y348" s="6">
        <v>0</v>
      </c>
      <c r="Z348" s="6">
        <v>0</v>
      </c>
      <c r="AA348" s="6">
        <v>0.2</v>
      </c>
      <c r="AB348" s="6">
        <v>1.8340000000000001</v>
      </c>
      <c r="AC348" s="6">
        <v>0.02</v>
      </c>
      <c r="AD348" s="6">
        <v>-5.0679999999999996</v>
      </c>
      <c r="AE348" s="6">
        <v>8.9999999999999993E-3</v>
      </c>
      <c r="AF348" s="6">
        <v>7.0000000000000001E-3</v>
      </c>
      <c r="AG348" s="6">
        <v>1.8460000000000001</v>
      </c>
      <c r="AH348" s="6"/>
      <c r="AI348" s="6">
        <f t="shared" si="140"/>
        <v>0.19599999999999973</v>
      </c>
      <c r="AJ348">
        <f t="shared" si="138"/>
        <v>0</v>
      </c>
      <c r="AK348" s="21">
        <f t="shared" si="139"/>
        <v>0</v>
      </c>
      <c r="AL348">
        <f t="shared" si="163"/>
        <v>536.60000000000048</v>
      </c>
      <c r="AM348" s="4">
        <v>4.62</v>
      </c>
      <c r="AN348">
        <v>0.25</v>
      </c>
      <c r="AP348" s="7">
        <f t="shared" si="161"/>
        <v>0.56299999999999994</v>
      </c>
      <c r="AQ348" s="7">
        <f t="shared" si="141"/>
        <v>0.121</v>
      </c>
      <c r="AS348">
        <f t="shared" si="142"/>
        <v>0.25</v>
      </c>
      <c r="AT348">
        <f t="shared" si="143"/>
        <v>-1.8</v>
      </c>
      <c r="AU348">
        <f t="shared" si="144"/>
        <v>90.2</v>
      </c>
      <c r="AV348" t="s">
        <v>104</v>
      </c>
      <c r="AW348">
        <f t="shared" si="145"/>
        <v>-0.5</v>
      </c>
      <c r="AX348">
        <f t="shared" si="146"/>
        <v>1.3</v>
      </c>
      <c r="AY348">
        <f t="shared" si="147"/>
        <v>1.6</v>
      </c>
      <c r="AZ348">
        <f t="shared" si="148"/>
        <v>92.9</v>
      </c>
      <c r="BA348" t="s">
        <v>104</v>
      </c>
      <c r="BB348">
        <f t="shared" si="149"/>
        <v>-0.1</v>
      </c>
      <c r="BC348">
        <f t="shared" si="150"/>
        <v>1.6</v>
      </c>
      <c r="BD348">
        <f t="shared" si="151"/>
        <v>-4.4000000000000004</v>
      </c>
      <c r="BE348">
        <f t="shared" si="152"/>
        <v>82.3</v>
      </c>
      <c r="BF348" t="s">
        <v>104</v>
      </c>
      <c r="BG348">
        <f t="shared" si="153"/>
        <v>-1.2</v>
      </c>
      <c r="BH348">
        <f t="shared" si="154"/>
        <v>1.1000000000000001</v>
      </c>
      <c r="BI348">
        <f t="shared" si="155"/>
        <v>0</v>
      </c>
      <c r="BJ348">
        <f t="shared" si="156"/>
        <v>0</v>
      </c>
      <c r="BK348">
        <f t="shared" si="157"/>
        <v>0.19599999999999973</v>
      </c>
      <c r="BL348">
        <f t="shared" si="158"/>
        <v>0</v>
      </c>
      <c r="BM348">
        <f t="shared" si="159"/>
        <v>0.56299999999999994</v>
      </c>
      <c r="BN348">
        <f t="shared" si="160"/>
        <v>0.121</v>
      </c>
    </row>
    <row r="349" spans="1:66" x14ac:dyDescent="0.25">
      <c r="A349">
        <v>2024</v>
      </c>
      <c r="B349" s="1">
        <f t="shared" si="162"/>
        <v>45635</v>
      </c>
      <c r="C349" s="2">
        <v>344</v>
      </c>
      <c r="D349">
        <v>70</v>
      </c>
      <c r="E349" s="6">
        <v>12.84</v>
      </c>
      <c r="F349" s="6">
        <v>-5.9569999999999999</v>
      </c>
      <c r="G349" s="6">
        <v>-1.613</v>
      </c>
      <c r="H349" s="6">
        <v>-8.23</v>
      </c>
      <c r="I349" s="6">
        <v>0.35299999999999998</v>
      </c>
      <c r="J349" s="6">
        <v>-4.4610000000000003</v>
      </c>
      <c r="K349" s="6">
        <v>89.8</v>
      </c>
      <c r="L349" s="6"/>
      <c r="M349" s="6">
        <v>-1.986</v>
      </c>
      <c r="N349" s="6">
        <v>1.34</v>
      </c>
      <c r="O349" s="6">
        <v>0.30299999999999999</v>
      </c>
      <c r="P349" s="6">
        <v>92.3</v>
      </c>
      <c r="Q349" s="6"/>
      <c r="R349" s="6">
        <v>-1.143</v>
      </c>
      <c r="S349" s="6">
        <v>1.851</v>
      </c>
      <c r="T349" s="6">
        <v>-7.09</v>
      </c>
      <c r="U349" s="6">
        <v>79.8</v>
      </c>
      <c r="V349" s="6"/>
      <c r="W349" s="6">
        <v>-3.0630000000000002</v>
      </c>
      <c r="X349" s="6">
        <v>1.03</v>
      </c>
      <c r="Y349" s="6">
        <v>0</v>
      </c>
      <c r="Z349" s="6">
        <v>0</v>
      </c>
      <c r="AA349" s="6">
        <v>0</v>
      </c>
      <c r="AB349" s="6">
        <v>1.8169999999999999</v>
      </c>
      <c r="AC349" s="6">
        <v>-1.3640000000000001</v>
      </c>
      <c r="AD349" s="6">
        <v>-7.77</v>
      </c>
      <c r="AE349" s="6">
        <v>8.9999999999999993E-3</v>
      </c>
      <c r="AF349" s="6">
        <v>7.0000000000000001E-3</v>
      </c>
      <c r="AG349" s="6">
        <v>1.84</v>
      </c>
      <c r="AH349" s="6"/>
      <c r="AI349" s="6">
        <f t="shared" si="140"/>
        <v>0.21299999999999986</v>
      </c>
      <c r="AJ349">
        <f t="shared" si="138"/>
        <v>2.2000000000000002</v>
      </c>
      <c r="AK349" s="21">
        <f t="shared" si="139"/>
        <v>2.2000000000000002</v>
      </c>
      <c r="AL349">
        <f t="shared" si="163"/>
        <v>538.80000000000052</v>
      </c>
      <c r="AM349" s="4">
        <v>4.58</v>
      </c>
      <c r="AN349">
        <v>0.35</v>
      </c>
      <c r="AP349" s="7">
        <f t="shared" si="161"/>
        <v>0.498</v>
      </c>
      <c r="AQ349" s="7">
        <f t="shared" si="141"/>
        <v>0.126</v>
      </c>
      <c r="AS349">
        <f t="shared" si="142"/>
        <v>0.35</v>
      </c>
      <c r="AT349">
        <f t="shared" si="143"/>
        <v>-4.5</v>
      </c>
      <c r="AU349">
        <f t="shared" si="144"/>
        <v>89.8</v>
      </c>
      <c r="AV349" t="s">
        <v>104</v>
      </c>
      <c r="AW349">
        <f t="shared" si="145"/>
        <v>-2</v>
      </c>
      <c r="AX349">
        <f t="shared" si="146"/>
        <v>1.3</v>
      </c>
      <c r="AY349">
        <f t="shared" si="147"/>
        <v>0.3</v>
      </c>
      <c r="AZ349">
        <f t="shared" si="148"/>
        <v>92.3</v>
      </c>
      <c r="BA349" t="s">
        <v>104</v>
      </c>
      <c r="BB349">
        <f t="shared" si="149"/>
        <v>-1.1000000000000001</v>
      </c>
      <c r="BC349">
        <f t="shared" si="150"/>
        <v>1.9</v>
      </c>
      <c r="BD349">
        <f t="shared" si="151"/>
        <v>-7.1</v>
      </c>
      <c r="BE349">
        <f t="shared" si="152"/>
        <v>79.8</v>
      </c>
      <c r="BF349" t="s">
        <v>104</v>
      </c>
      <c r="BG349">
        <f t="shared" si="153"/>
        <v>-3.1</v>
      </c>
      <c r="BH349">
        <f t="shared" si="154"/>
        <v>1</v>
      </c>
      <c r="BI349">
        <f t="shared" si="155"/>
        <v>0</v>
      </c>
      <c r="BJ349">
        <f t="shared" si="156"/>
        <v>0</v>
      </c>
      <c r="BK349">
        <f t="shared" si="157"/>
        <v>0.21299999999999986</v>
      </c>
      <c r="BL349">
        <f t="shared" si="158"/>
        <v>2.2000000000000002</v>
      </c>
      <c r="BM349">
        <f t="shared" si="159"/>
        <v>0.498</v>
      </c>
      <c r="BN349">
        <f t="shared" si="160"/>
        <v>0.126</v>
      </c>
    </row>
    <row r="350" spans="1:66" x14ac:dyDescent="0.25">
      <c r="A350">
        <v>2024</v>
      </c>
      <c r="B350" s="1">
        <f t="shared" si="162"/>
        <v>45636</v>
      </c>
      <c r="C350" s="2">
        <v>345</v>
      </c>
      <c r="D350">
        <v>70</v>
      </c>
      <c r="E350" s="6">
        <v>12.77</v>
      </c>
      <c r="F350" s="6">
        <v>-6.702</v>
      </c>
      <c r="G350" s="6">
        <v>-3.78</v>
      </c>
      <c r="H350" s="6">
        <v>-10.48</v>
      </c>
      <c r="I350" s="6">
        <v>0.30599999999999999</v>
      </c>
      <c r="J350" s="6">
        <v>-5.61</v>
      </c>
      <c r="K350" s="6">
        <v>88.4</v>
      </c>
      <c r="L350" s="6"/>
      <c r="M350" s="6">
        <v>-2.8620000000000001</v>
      </c>
      <c r="N350" s="6">
        <v>1.391</v>
      </c>
      <c r="O350" s="6">
        <v>-2.847</v>
      </c>
      <c r="P350" s="6">
        <v>91.1</v>
      </c>
      <c r="Q350" s="6"/>
      <c r="R350" s="6">
        <v>-2.25</v>
      </c>
      <c r="S350" s="6">
        <v>1.7809999999999999</v>
      </c>
      <c r="T350" s="6">
        <v>-9.16</v>
      </c>
      <c r="U350" s="6">
        <v>82.2</v>
      </c>
      <c r="V350" s="6"/>
      <c r="W350" s="6">
        <v>-3.8220000000000001</v>
      </c>
      <c r="X350" s="6">
        <v>1.1879999999999999</v>
      </c>
      <c r="Y350" s="6">
        <v>0</v>
      </c>
      <c r="Z350" s="6">
        <v>0</v>
      </c>
      <c r="AA350" s="6">
        <v>0</v>
      </c>
      <c r="AB350" s="6">
        <v>1.85</v>
      </c>
      <c r="AC350" s="6">
        <v>-3.7130000000000001</v>
      </c>
      <c r="AD350" s="6">
        <v>-10.23</v>
      </c>
      <c r="AE350" s="6">
        <v>8.9999999999999993E-3</v>
      </c>
      <c r="AF350" s="6">
        <v>6.0000000000000001E-3</v>
      </c>
      <c r="AG350" s="6">
        <v>1.8640000000000001</v>
      </c>
      <c r="AH350" s="6"/>
      <c r="AI350" s="6">
        <f t="shared" si="140"/>
        <v>0.17999999999999972</v>
      </c>
      <c r="AJ350">
        <f t="shared" si="138"/>
        <v>0</v>
      </c>
      <c r="AK350" s="21">
        <f t="shared" si="139"/>
        <v>0</v>
      </c>
      <c r="AL350">
        <f t="shared" si="163"/>
        <v>538.80000000000052</v>
      </c>
      <c r="AM350" s="4">
        <v>4.5599999999999996</v>
      </c>
      <c r="AN350">
        <v>0.3</v>
      </c>
      <c r="AP350" s="7">
        <f t="shared" si="161"/>
        <v>0.40699999999999997</v>
      </c>
      <c r="AQ350" s="7">
        <f t="shared" si="141"/>
        <v>8.7999999999999995E-2</v>
      </c>
      <c r="AS350">
        <f t="shared" si="142"/>
        <v>0.3</v>
      </c>
      <c r="AT350">
        <f t="shared" si="143"/>
        <v>-5.6</v>
      </c>
      <c r="AU350">
        <f t="shared" si="144"/>
        <v>88.4</v>
      </c>
      <c r="AV350" t="s">
        <v>104</v>
      </c>
      <c r="AW350">
        <f t="shared" si="145"/>
        <v>-2.9</v>
      </c>
      <c r="AX350">
        <f t="shared" si="146"/>
        <v>1.4</v>
      </c>
      <c r="AY350">
        <f t="shared" si="147"/>
        <v>-2.8</v>
      </c>
      <c r="AZ350">
        <f t="shared" si="148"/>
        <v>91.1</v>
      </c>
      <c r="BA350" t="s">
        <v>104</v>
      </c>
      <c r="BB350">
        <f t="shared" si="149"/>
        <v>-2.2999999999999998</v>
      </c>
      <c r="BC350">
        <f t="shared" si="150"/>
        <v>1.8</v>
      </c>
      <c r="BD350">
        <f t="shared" si="151"/>
        <v>-9.1999999999999993</v>
      </c>
      <c r="BE350">
        <f t="shared" si="152"/>
        <v>82.2</v>
      </c>
      <c r="BF350" t="s">
        <v>104</v>
      </c>
      <c r="BG350">
        <f t="shared" si="153"/>
        <v>-3.8</v>
      </c>
      <c r="BH350">
        <f t="shared" si="154"/>
        <v>1.2</v>
      </c>
      <c r="BI350">
        <f t="shared" si="155"/>
        <v>0</v>
      </c>
      <c r="BJ350">
        <f t="shared" si="156"/>
        <v>0</v>
      </c>
      <c r="BK350">
        <f t="shared" si="157"/>
        <v>0.17999999999999972</v>
      </c>
      <c r="BL350">
        <f t="shared" si="158"/>
        <v>0</v>
      </c>
      <c r="BM350">
        <f t="shared" si="159"/>
        <v>0.40699999999999997</v>
      </c>
      <c r="BN350">
        <f t="shared" si="160"/>
        <v>8.7999999999999995E-2</v>
      </c>
    </row>
    <row r="351" spans="1:66" x14ac:dyDescent="0.25">
      <c r="A351">
        <v>2024</v>
      </c>
      <c r="B351" s="1">
        <f t="shared" si="162"/>
        <v>45637</v>
      </c>
      <c r="C351" s="2">
        <v>346</v>
      </c>
      <c r="D351">
        <v>70</v>
      </c>
      <c r="E351" s="6">
        <v>12.75</v>
      </c>
      <c r="F351" s="6">
        <v>-4.1790000000000003</v>
      </c>
      <c r="G351" s="6">
        <v>-1.9990000000000001</v>
      </c>
      <c r="H351" s="6">
        <v>-6.0339999999999998</v>
      </c>
      <c r="I351" s="6">
        <v>0.19900000000000001</v>
      </c>
      <c r="J351" s="6">
        <v>-3.37</v>
      </c>
      <c r="K351" s="6">
        <v>88.4</v>
      </c>
      <c r="L351" s="6"/>
      <c r="M351" s="6">
        <v>-1.94</v>
      </c>
      <c r="N351" s="6">
        <v>1.367</v>
      </c>
      <c r="O351" s="6">
        <v>-0.84099999999999997</v>
      </c>
      <c r="P351" s="6">
        <v>91.9</v>
      </c>
      <c r="Q351" s="6"/>
      <c r="R351" s="6">
        <v>-1.37</v>
      </c>
      <c r="S351" s="6">
        <v>1.5980000000000001</v>
      </c>
      <c r="T351" s="6">
        <v>-5.27</v>
      </c>
      <c r="U351" s="6">
        <v>81.400000000000006</v>
      </c>
      <c r="V351" s="6"/>
      <c r="W351" s="6">
        <v>-2.4940000000000002</v>
      </c>
      <c r="X351" s="6">
        <v>1.0860000000000001</v>
      </c>
      <c r="Y351" s="6">
        <v>0</v>
      </c>
      <c r="Z351" s="6">
        <v>0</v>
      </c>
      <c r="AA351" s="6">
        <v>0</v>
      </c>
      <c r="AB351" s="6">
        <v>1.843</v>
      </c>
      <c r="AC351" s="6">
        <v>-1.9239999999999999</v>
      </c>
      <c r="AD351" s="6">
        <v>-5.8070000000000004</v>
      </c>
      <c r="AE351" s="6">
        <v>8.9999999999999993E-3</v>
      </c>
      <c r="AF351" s="6">
        <v>6.0000000000000001E-3</v>
      </c>
      <c r="AG351" s="6">
        <v>1.857</v>
      </c>
      <c r="AH351" s="6"/>
      <c r="AI351" s="6">
        <f t="shared" si="140"/>
        <v>0.18699999999999983</v>
      </c>
      <c r="AJ351">
        <f t="shared" si="138"/>
        <v>0.9</v>
      </c>
      <c r="AK351" s="21">
        <f t="shared" si="139"/>
        <v>0.9</v>
      </c>
      <c r="AL351">
        <f t="shared" si="163"/>
        <v>539.7000000000005</v>
      </c>
      <c r="AM351" s="4">
        <v>4.5199999999999996</v>
      </c>
      <c r="AN351">
        <v>0.2</v>
      </c>
      <c r="AP351" s="7">
        <f t="shared" si="161"/>
        <v>0.46700000000000003</v>
      </c>
      <c r="AQ351" s="7">
        <f t="shared" si="141"/>
        <v>0.107</v>
      </c>
      <c r="AS351">
        <f t="shared" si="142"/>
        <v>0.2</v>
      </c>
      <c r="AT351">
        <f t="shared" si="143"/>
        <v>-3.4</v>
      </c>
      <c r="AU351">
        <f t="shared" si="144"/>
        <v>88.4</v>
      </c>
      <c r="AV351" t="s">
        <v>104</v>
      </c>
      <c r="AW351">
        <f t="shared" si="145"/>
        <v>-1.9</v>
      </c>
      <c r="AX351">
        <f t="shared" si="146"/>
        <v>1.4</v>
      </c>
      <c r="AY351">
        <f t="shared" si="147"/>
        <v>-0.8</v>
      </c>
      <c r="AZ351">
        <f t="shared" si="148"/>
        <v>91.9</v>
      </c>
      <c r="BA351" t="s">
        <v>104</v>
      </c>
      <c r="BB351">
        <f t="shared" si="149"/>
        <v>-1.4</v>
      </c>
      <c r="BC351">
        <f t="shared" si="150"/>
        <v>1.6</v>
      </c>
      <c r="BD351">
        <f t="shared" si="151"/>
        <v>-5.3</v>
      </c>
      <c r="BE351">
        <f t="shared" si="152"/>
        <v>81.400000000000006</v>
      </c>
      <c r="BF351" t="s">
        <v>104</v>
      </c>
      <c r="BG351">
        <f t="shared" si="153"/>
        <v>-2.5</v>
      </c>
      <c r="BH351">
        <f t="shared" si="154"/>
        <v>1.1000000000000001</v>
      </c>
      <c r="BI351">
        <f t="shared" si="155"/>
        <v>0</v>
      </c>
      <c r="BJ351">
        <f t="shared" si="156"/>
        <v>0</v>
      </c>
      <c r="BK351">
        <f t="shared" si="157"/>
        <v>0.18699999999999983</v>
      </c>
      <c r="BL351">
        <f t="shared" si="158"/>
        <v>0.9</v>
      </c>
      <c r="BM351">
        <f t="shared" si="159"/>
        <v>0.46700000000000003</v>
      </c>
      <c r="BN351">
        <f t="shared" si="160"/>
        <v>0.107</v>
      </c>
    </row>
    <row r="352" spans="1:66" x14ac:dyDescent="0.25">
      <c r="A352">
        <v>2024</v>
      </c>
      <c r="B352" s="1">
        <f t="shared" si="162"/>
        <v>45638</v>
      </c>
      <c r="C352" s="2">
        <v>347</v>
      </c>
      <c r="D352">
        <v>70</v>
      </c>
      <c r="E352" s="6">
        <v>12.96</v>
      </c>
      <c r="F352" s="6">
        <v>-3.911</v>
      </c>
      <c r="G352" s="6">
        <v>-0.60199999999999998</v>
      </c>
      <c r="H352" s="6">
        <v>-7.06</v>
      </c>
      <c r="I352" s="6">
        <v>0.42799999999999999</v>
      </c>
      <c r="J352" s="6">
        <v>-2.7069999999999999</v>
      </c>
      <c r="K352" s="6">
        <v>87.9</v>
      </c>
      <c r="L352" s="6"/>
      <c r="M352" s="6">
        <v>-1.7729999999999999</v>
      </c>
      <c r="N352" s="6">
        <v>1.383</v>
      </c>
      <c r="O352" s="6">
        <v>2.254</v>
      </c>
      <c r="P352" s="6">
        <v>91.8</v>
      </c>
      <c r="Q352" s="6"/>
      <c r="R352" s="6">
        <v>-0.70099999999999996</v>
      </c>
      <c r="S352" s="6">
        <v>1.8089999999999999</v>
      </c>
      <c r="T352" s="6">
        <v>-5.7409999999999997</v>
      </c>
      <c r="U352" s="6">
        <v>66.27</v>
      </c>
      <c r="V352" s="6"/>
      <c r="W352" s="6">
        <v>-2.7080000000000002</v>
      </c>
      <c r="X352" s="6">
        <v>1.137</v>
      </c>
      <c r="Y352" s="6">
        <v>2E-3</v>
      </c>
      <c r="Z352" s="6">
        <v>0.57999999999999996</v>
      </c>
      <c r="AA352" s="6">
        <v>0</v>
      </c>
      <c r="AB352" s="6">
        <v>1.8460000000000001</v>
      </c>
      <c r="AC352" s="6">
        <v>-0.35</v>
      </c>
      <c r="AD352" s="6">
        <v>-6.8710000000000004</v>
      </c>
      <c r="AE352" s="6">
        <v>8.9999999999999993E-3</v>
      </c>
      <c r="AF352" s="6">
        <v>7.0000000000000001E-3</v>
      </c>
      <c r="AG352" s="6">
        <v>1.8540000000000001</v>
      </c>
      <c r="AH352" s="6"/>
      <c r="AI352" s="6">
        <f t="shared" si="140"/>
        <v>0.18399999999999972</v>
      </c>
      <c r="AJ352">
        <f t="shared" si="138"/>
        <v>0</v>
      </c>
      <c r="AK352" s="21">
        <f t="shared" si="139"/>
        <v>0</v>
      </c>
      <c r="AL352">
        <f t="shared" si="163"/>
        <v>539.7000000000005</v>
      </c>
      <c r="AM352" s="4">
        <v>4.49</v>
      </c>
      <c r="AN352">
        <v>0.43</v>
      </c>
      <c r="AP352" s="7">
        <f t="shared" si="161"/>
        <v>0.47599999999999998</v>
      </c>
      <c r="AQ352" s="7">
        <f t="shared" si="141"/>
        <v>0.24199999999999999</v>
      </c>
      <c r="AS352">
        <f t="shared" si="142"/>
        <v>0.43</v>
      </c>
      <c r="AT352">
        <f t="shared" si="143"/>
        <v>-2.7</v>
      </c>
      <c r="AU352">
        <f t="shared" si="144"/>
        <v>87.9</v>
      </c>
      <c r="AV352" t="s">
        <v>104</v>
      </c>
      <c r="AW352">
        <f t="shared" si="145"/>
        <v>-1.8</v>
      </c>
      <c r="AX352">
        <f t="shared" si="146"/>
        <v>1.4</v>
      </c>
      <c r="AY352">
        <f t="shared" si="147"/>
        <v>2.2999999999999998</v>
      </c>
      <c r="AZ352">
        <f t="shared" si="148"/>
        <v>91.8</v>
      </c>
      <c r="BA352" t="s">
        <v>104</v>
      </c>
      <c r="BB352">
        <f t="shared" si="149"/>
        <v>-0.7</v>
      </c>
      <c r="BC352">
        <f t="shared" si="150"/>
        <v>1.8</v>
      </c>
      <c r="BD352">
        <f t="shared" si="151"/>
        <v>-5.7</v>
      </c>
      <c r="BE352">
        <f t="shared" si="152"/>
        <v>66.3</v>
      </c>
      <c r="BF352" t="s">
        <v>104</v>
      </c>
      <c r="BG352">
        <f t="shared" si="153"/>
        <v>-2.7</v>
      </c>
      <c r="BH352">
        <f t="shared" si="154"/>
        <v>1.1000000000000001</v>
      </c>
      <c r="BI352">
        <f t="shared" si="155"/>
        <v>0</v>
      </c>
      <c r="BJ352">
        <f t="shared" si="156"/>
        <v>0.57999999999999996</v>
      </c>
      <c r="BK352">
        <f t="shared" si="157"/>
        <v>0.18399999999999972</v>
      </c>
      <c r="BL352">
        <f t="shared" si="158"/>
        <v>0</v>
      </c>
      <c r="BM352">
        <f t="shared" si="159"/>
        <v>0.47599999999999998</v>
      </c>
      <c r="BN352">
        <f t="shared" si="160"/>
        <v>0.24199999999999999</v>
      </c>
    </row>
    <row r="353" spans="1:66" x14ac:dyDescent="0.25">
      <c r="A353">
        <v>2024</v>
      </c>
      <c r="B353" s="1">
        <f t="shared" si="162"/>
        <v>45639</v>
      </c>
      <c r="C353" s="2">
        <v>348</v>
      </c>
      <c r="D353">
        <v>70</v>
      </c>
      <c r="E353" s="6">
        <v>12.76</v>
      </c>
      <c r="F353" s="6">
        <v>-2.4820000000000002</v>
      </c>
      <c r="G353" s="6">
        <v>-1.006</v>
      </c>
      <c r="H353" s="6">
        <v>-3.8679999999999999</v>
      </c>
      <c r="I353" s="6">
        <v>0.216</v>
      </c>
      <c r="J353" s="6">
        <v>-1.736</v>
      </c>
      <c r="K353" s="6">
        <v>88.9</v>
      </c>
      <c r="L353" s="6"/>
      <c r="M353" s="6">
        <v>-1.2290000000000001</v>
      </c>
      <c r="N353" s="6">
        <v>1.3939999999999999</v>
      </c>
      <c r="O353" s="6">
        <v>0.437</v>
      </c>
      <c r="P353" s="6">
        <v>91.7</v>
      </c>
      <c r="Q353" s="6"/>
      <c r="R353" s="6">
        <v>-0.68300000000000005</v>
      </c>
      <c r="S353" s="6">
        <v>1.49</v>
      </c>
      <c r="T353" s="6">
        <v>-3.2629999999999999</v>
      </c>
      <c r="U353" s="6">
        <v>79.8</v>
      </c>
      <c r="V353" s="6"/>
      <c r="W353" s="6">
        <v>-1.7190000000000001</v>
      </c>
      <c r="X353" s="6">
        <v>1.28</v>
      </c>
      <c r="Y353" s="6">
        <v>0</v>
      </c>
      <c r="Z353" s="6">
        <v>0</v>
      </c>
      <c r="AA353" s="6">
        <v>0</v>
      </c>
      <c r="AB353" s="6">
        <v>1.835</v>
      </c>
      <c r="AC353" s="6">
        <v>-0.86599999999999999</v>
      </c>
      <c r="AD353" s="6">
        <v>-3.7349999999999999</v>
      </c>
      <c r="AE353" s="6">
        <v>8.9999999999999993E-3</v>
      </c>
      <c r="AF353" s="6">
        <v>7.0000000000000001E-3</v>
      </c>
      <c r="AG353" s="6">
        <v>1.84</v>
      </c>
      <c r="AH353" s="6"/>
      <c r="AI353" s="6">
        <f t="shared" si="140"/>
        <v>0.19499999999999984</v>
      </c>
      <c r="AJ353">
        <f t="shared" si="138"/>
        <v>1.4</v>
      </c>
      <c r="AK353" s="21">
        <f t="shared" si="139"/>
        <v>1.4</v>
      </c>
      <c r="AL353">
        <f t="shared" si="163"/>
        <v>541.10000000000048</v>
      </c>
      <c r="AM353" s="4">
        <v>4.47</v>
      </c>
      <c r="AN353">
        <v>0.21</v>
      </c>
      <c r="AP353" s="7">
        <f t="shared" si="161"/>
        <v>0.503</v>
      </c>
      <c r="AQ353" s="7">
        <f t="shared" si="141"/>
        <v>0.127</v>
      </c>
      <c r="AS353">
        <f t="shared" si="142"/>
        <v>0.21</v>
      </c>
      <c r="AT353">
        <f t="shared" si="143"/>
        <v>-1.7</v>
      </c>
      <c r="AU353">
        <f t="shared" si="144"/>
        <v>88.9</v>
      </c>
      <c r="AV353" t="s">
        <v>104</v>
      </c>
      <c r="AW353">
        <f t="shared" si="145"/>
        <v>-1.2</v>
      </c>
      <c r="AX353">
        <f t="shared" si="146"/>
        <v>1.4</v>
      </c>
      <c r="AY353">
        <f t="shared" si="147"/>
        <v>0.4</v>
      </c>
      <c r="AZ353">
        <f t="shared" si="148"/>
        <v>91.7</v>
      </c>
      <c r="BA353" t="s">
        <v>104</v>
      </c>
      <c r="BB353">
        <f t="shared" si="149"/>
        <v>-0.7</v>
      </c>
      <c r="BC353">
        <f t="shared" si="150"/>
        <v>1.5</v>
      </c>
      <c r="BD353">
        <f t="shared" si="151"/>
        <v>-3.3</v>
      </c>
      <c r="BE353">
        <f t="shared" si="152"/>
        <v>79.8</v>
      </c>
      <c r="BF353" t="s">
        <v>104</v>
      </c>
      <c r="BG353">
        <f t="shared" si="153"/>
        <v>-1.7</v>
      </c>
      <c r="BH353">
        <f t="shared" si="154"/>
        <v>1.3</v>
      </c>
      <c r="BI353">
        <f t="shared" si="155"/>
        <v>0</v>
      </c>
      <c r="BJ353">
        <f t="shared" si="156"/>
        <v>0</v>
      </c>
      <c r="BK353">
        <f t="shared" si="157"/>
        <v>0.19499999999999984</v>
      </c>
      <c r="BL353">
        <f t="shared" si="158"/>
        <v>1.4</v>
      </c>
      <c r="BM353">
        <f t="shared" si="159"/>
        <v>0.503</v>
      </c>
      <c r="BN353">
        <f t="shared" si="160"/>
        <v>0.127</v>
      </c>
    </row>
    <row r="354" spans="1:66" x14ac:dyDescent="0.25">
      <c r="A354">
        <v>2024</v>
      </c>
      <c r="B354" s="1">
        <f t="shared" si="162"/>
        <v>45640</v>
      </c>
      <c r="C354" s="2">
        <v>349</v>
      </c>
      <c r="D354">
        <v>70</v>
      </c>
      <c r="E354" s="6">
        <v>12.85</v>
      </c>
      <c r="F354" s="6">
        <v>-1.3180000000000001</v>
      </c>
      <c r="G354" s="6">
        <v>0.59099999999999997</v>
      </c>
      <c r="H354" s="6">
        <v>-2.6269999999999998</v>
      </c>
      <c r="I354" s="6">
        <v>0.439</v>
      </c>
      <c r="J354" s="6">
        <v>-0.35699999999999998</v>
      </c>
      <c r="K354" s="6">
        <v>84.3</v>
      </c>
      <c r="L354" s="6"/>
      <c r="M354" s="6">
        <v>-0.56999999999999995</v>
      </c>
      <c r="N354" s="6">
        <v>1.415</v>
      </c>
      <c r="O354" s="6">
        <v>2.242</v>
      </c>
      <c r="P354" s="6">
        <v>91.3</v>
      </c>
      <c r="Q354" s="6"/>
      <c r="R354" s="6">
        <v>-5.5E-2</v>
      </c>
      <c r="S354" s="6">
        <v>1.5880000000000001</v>
      </c>
      <c r="T354" s="6">
        <v>-1.9179999999999999</v>
      </c>
      <c r="U354" s="6">
        <v>72.599999999999994</v>
      </c>
      <c r="V354" s="6"/>
      <c r="W354" s="6">
        <v>-1.119</v>
      </c>
      <c r="X354" s="6">
        <v>1.2769999999999999</v>
      </c>
      <c r="Y354" s="6">
        <v>0.24</v>
      </c>
      <c r="Z354" s="6">
        <v>2.6339999999999999</v>
      </c>
      <c r="AA354" s="6">
        <v>0</v>
      </c>
      <c r="AB354" s="6">
        <v>1.843</v>
      </c>
      <c r="AC354" s="6">
        <v>0.78300000000000003</v>
      </c>
      <c r="AD354" s="6">
        <v>-2.4020000000000001</v>
      </c>
      <c r="AE354" s="6">
        <v>8.9999999999999993E-3</v>
      </c>
      <c r="AF354" s="6">
        <v>7.0000000000000001E-3</v>
      </c>
      <c r="AG354" s="6">
        <v>1.8460000000000001</v>
      </c>
      <c r="AH354" s="6"/>
      <c r="AI354" s="6">
        <f t="shared" si="140"/>
        <v>0.18699999999999983</v>
      </c>
      <c r="AJ354">
        <f t="shared" si="138"/>
        <v>0</v>
      </c>
      <c r="AK354" s="21">
        <f t="shared" si="139"/>
        <v>0</v>
      </c>
      <c r="AL354">
        <f t="shared" si="163"/>
        <v>541.10000000000048</v>
      </c>
      <c r="AM354" s="4">
        <v>4.45</v>
      </c>
      <c r="AN354">
        <v>0.44</v>
      </c>
      <c r="AP354" s="7">
        <f t="shared" si="161"/>
        <v>0.52100000000000002</v>
      </c>
      <c r="AQ354" s="7">
        <f t="shared" si="141"/>
        <v>0.19700000000000001</v>
      </c>
      <c r="AS354">
        <f t="shared" si="142"/>
        <v>0.44</v>
      </c>
      <c r="AT354">
        <f t="shared" si="143"/>
        <v>-0.4</v>
      </c>
      <c r="AU354">
        <f t="shared" si="144"/>
        <v>84.3</v>
      </c>
      <c r="AV354" t="s">
        <v>104</v>
      </c>
      <c r="AW354">
        <f t="shared" si="145"/>
        <v>-0.6</v>
      </c>
      <c r="AX354">
        <f t="shared" si="146"/>
        <v>1.4</v>
      </c>
      <c r="AY354">
        <f t="shared" si="147"/>
        <v>2.2000000000000002</v>
      </c>
      <c r="AZ354">
        <f t="shared" si="148"/>
        <v>91.3</v>
      </c>
      <c r="BA354" t="s">
        <v>104</v>
      </c>
      <c r="BB354">
        <f t="shared" si="149"/>
        <v>-0.1</v>
      </c>
      <c r="BC354">
        <f t="shared" si="150"/>
        <v>1.6</v>
      </c>
      <c r="BD354">
        <f t="shared" si="151"/>
        <v>-1.9</v>
      </c>
      <c r="BE354">
        <f t="shared" si="152"/>
        <v>72.599999999999994</v>
      </c>
      <c r="BF354" t="s">
        <v>104</v>
      </c>
      <c r="BG354">
        <f t="shared" si="153"/>
        <v>-1.1000000000000001</v>
      </c>
      <c r="BH354">
        <f t="shared" si="154"/>
        <v>1.3</v>
      </c>
      <c r="BI354">
        <f t="shared" si="155"/>
        <v>0.24</v>
      </c>
      <c r="BJ354">
        <f t="shared" si="156"/>
        <v>2.63</v>
      </c>
      <c r="BK354">
        <f t="shared" si="157"/>
        <v>0.18699999999999983</v>
      </c>
      <c r="BL354">
        <f t="shared" si="158"/>
        <v>0</v>
      </c>
      <c r="BM354">
        <f t="shared" si="159"/>
        <v>0.52100000000000002</v>
      </c>
      <c r="BN354">
        <f t="shared" si="160"/>
        <v>0.19700000000000001</v>
      </c>
    </row>
    <row r="355" spans="1:66" x14ac:dyDescent="0.25">
      <c r="A355">
        <v>2024</v>
      </c>
      <c r="B355" s="1">
        <f t="shared" si="162"/>
        <v>45641</v>
      </c>
      <c r="C355" s="2">
        <v>350</v>
      </c>
      <c r="D355">
        <v>70</v>
      </c>
      <c r="E355" s="6">
        <v>12.87</v>
      </c>
      <c r="F355" s="6">
        <v>-4.4859999999999998</v>
      </c>
      <c r="G355" s="6">
        <v>-1.2470000000000001</v>
      </c>
      <c r="H355" s="6">
        <v>-8.49</v>
      </c>
      <c r="I355" s="6">
        <v>0.374</v>
      </c>
      <c r="J355" s="6">
        <v>-3.41</v>
      </c>
      <c r="K355" s="6">
        <v>82.2</v>
      </c>
      <c r="L355" s="6"/>
      <c r="M355" s="6">
        <v>-1.4810000000000001</v>
      </c>
      <c r="N355" s="6">
        <v>1.365</v>
      </c>
      <c r="O355" s="6">
        <v>-0.57199999999999995</v>
      </c>
      <c r="P355" s="6">
        <v>90.9</v>
      </c>
      <c r="Q355" s="6"/>
      <c r="R355" s="6">
        <v>-0.63100000000000001</v>
      </c>
      <c r="S355" s="6">
        <v>1.736</v>
      </c>
      <c r="T355" s="6">
        <v>-7.29</v>
      </c>
      <c r="U355" s="6">
        <v>73.099999999999994</v>
      </c>
      <c r="V355" s="6"/>
      <c r="W355" s="6">
        <v>-2.4740000000000002</v>
      </c>
      <c r="X355" s="6">
        <v>1.0489999999999999</v>
      </c>
      <c r="Y355" s="6">
        <v>0</v>
      </c>
      <c r="Z355" s="6">
        <v>0</v>
      </c>
      <c r="AA355" s="6">
        <v>0</v>
      </c>
      <c r="AB355" s="6">
        <v>1.827</v>
      </c>
      <c r="AC355" s="6">
        <v>-1.0940000000000001</v>
      </c>
      <c r="AD355" s="6">
        <v>-8.32</v>
      </c>
      <c r="AE355" s="6">
        <v>8.9999999999999993E-3</v>
      </c>
      <c r="AF355" s="6">
        <v>6.0000000000000001E-3</v>
      </c>
      <c r="AG355" s="6">
        <v>1.849</v>
      </c>
      <c r="AH355" s="6"/>
      <c r="AI355" s="6">
        <f t="shared" si="140"/>
        <v>0.20299999999999985</v>
      </c>
      <c r="AJ355">
        <f t="shared" ref="AJ355:AJ371" si="164">IF(AI355&gt;AI354,ROUND((AI355-AI354)*AJ$1,1),0)</f>
        <v>2.1</v>
      </c>
      <c r="AK355" s="21">
        <f t="shared" si="139"/>
        <v>2.1</v>
      </c>
      <c r="AL355">
        <f t="shared" si="163"/>
        <v>543.2000000000005</v>
      </c>
      <c r="AM355" s="4">
        <v>4.4400000000000004</v>
      </c>
      <c r="AN355">
        <v>0.37</v>
      </c>
      <c r="AP355" s="7">
        <f t="shared" si="161"/>
        <v>0.42799999999999999</v>
      </c>
      <c r="AQ355" s="7">
        <f t="shared" si="141"/>
        <v>0.157</v>
      </c>
      <c r="AS355">
        <f t="shared" si="142"/>
        <v>0.37</v>
      </c>
      <c r="AT355">
        <f t="shared" si="143"/>
        <v>-3.4</v>
      </c>
      <c r="AU355">
        <f t="shared" si="144"/>
        <v>82.2</v>
      </c>
      <c r="AV355" t="s">
        <v>104</v>
      </c>
      <c r="AW355">
        <f t="shared" si="145"/>
        <v>-1.5</v>
      </c>
      <c r="AX355">
        <f t="shared" si="146"/>
        <v>1.4</v>
      </c>
      <c r="AY355">
        <f t="shared" si="147"/>
        <v>-0.6</v>
      </c>
      <c r="AZ355">
        <f t="shared" si="148"/>
        <v>90.9</v>
      </c>
      <c r="BA355" t="s">
        <v>104</v>
      </c>
      <c r="BB355">
        <f t="shared" si="149"/>
        <v>-0.6</v>
      </c>
      <c r="BC355">
        <f t="shared" si="150"/>
        <v>1.7</v>
      </c>
      <c r="BD355">
        <f t="shared" si="151"/>
        <v>-7.3</v>
      </c>
      <c r="BE355">
        <f t="shared" si="152"/>
        <v>73.099999999999994</v>
      </c>
      <c r="BF355" t="s">
        <v>104</v>
      </c>
      <c r="BG355">
        <f t="shared" si="153"/>
        <v>-2.5</v>
      </c>
      <c r="BH355">
        <f t="shared" si="154"/>
        <v>1</v>
      </c>
      <c r="BI355">
        <f t="shared" si="155"/>
        <v>0</v>
      </c>
      <c r="BJ355">
        <f t="shared" si="156"/>
        <v>0</v>
      </c>
      <c r="BK355">
        <f t="shared" si="157"/>
        <v>0.20299999999999985</v>
      </c>
      <c r="BL355">
        <f t="shared" si="158"/>
        <v>2.1</v>
      </c>
      <c r="BM355">
        <f t="shared" si="159"/>
        <v>0.42799999999999999</v>
      </c>
      <c r="BN355">
        <f t="shared" si="160"/>
        <v>0.157</v>
      </c>
    </row>
    <row r="356" spans="1:66" x14ac:dyDescent="0.25">
      <c r="A356">
        <v>2024</v>
      </c>
      <c r="B356" s="1">
        <f t="shared" si="162"/>
        <v>45642</v>
      </c>
      <c r="C356" s="2">
        <v>351</v>
      </c>
      <c r="D356">
        <v>70</v>
      </c>
      <c r="E356" s="6">
        <v>12.74</v>
      </c>
      <c r="F356" s="6">
        <v>-6.1</v>
      </c>
      <c r="G356" s="6">
        <v>-4.2969999999999997</v>
      </c>
      <c r="H356" s="6">
        <v>-8.98</v>
      </c>
      <c r="I356" s="6">
        <v>0.222</v>
      </c>
      <c r="J356" s="6">
        <v>-5.0069999999999997</v>
      </c>
      <c r="K356" s="6">
        <v>86.6</v>
      </c>
      <c r="L356" s="6"/>
      <c r="M356" s="6">
        <v>-2.5049999999999999</v>
      </c>
      <c r="N356" s="6">
        <v>1.401</v>
      </c>
      <c r="O356" s="6">
        <v>-3.1840000000000002</v>
      </c>
      <c r="P356" s="6">
        <v>91.1</v>
      </c>
      <c r="Q356" s="6"/>
      <c r="R356" s="6">
        <v>-2.1459999999999999</v>
      </c>
      <c r="S356" s="6">
        <v>1.7230000000000001</v>
      </c>
      <c r="T356" s="6">
        <v>-7.76</v>
      </c>
      <c r="U356" s="6">
        <v>78.8</v>
      </c>
      <c r="V356" s="6"/>
      <c r="W356" s="6">
        <v>-3.1619999999999999</v>
      </c>
      <c r="X356" s="6">
        <v>1.1919999999999999</v>
      </c>
      <c r="Y356" s="6">
        <v>0</v>
      </c>
      <c r="Z356" s="6">
        <v>0</v>
      </c>
      <c r="AA356" s="6">
        <v>0</v>
      </c>
      <c r="AB356" s="6">
        <v>1.796</v>
      </c>
      <c r="AC356" s="6">
        <v>-4.2309999999999999</v>
      </c>
      <c r="AD356" s="6">
        <v>-8.77</v>
      </c>
      <c r="AE356" s="6">
        <v>8.9999999999999993E-3</v>
      </c>
      <c r="AF356" s="6">
        <v>6.0000000000000001E-3</v>
      </c>
      <c r="AG356" s="6">
        <v>1.8089999999999999</v>
      </c>
      <c r="AH356" s="6"/>
      <c r="AI356" s="6">
        <f t="shared" si="140"/>
        <v>0.23399999999999976</v>
      </c>
      <c r="AJ356">
        <f t="shared" si="164"/>
        <v>4</v>
      </c>
      <c r="AK356" s="21">
        <f t="shared" si="139"/>
        <v>4</v>
      </c>
      <c r="AL356">
        <f t="shared" si="163"/>
        <v>547.2000000000005</v>
      </c>
      <c r="AM356" s="4">
        <v>4.43</v>
      </c>
      <c r="AN356">
        <v>0.22</v>
      </c>
      <c r="AP356" s="7">
        <f t="shared" si="161"/>
        <v>0.38</v>
      </c>
      <c r="AQ356" s="7">
        <f t="shared" si="141"/>
        <v>0.10199999999999999</v>
      </c>
      <c r="AS356">
        <f t="shared" si="142"/>
        <v>0.22</v>
      </c>
      <c r="AT356">
        <f t="shared" si="143"/>
        <v>-5</v>
      </c>
      <c r="AU356">
        <f t="shared" si="144"/>
        <v>86.6</v>
      </c>
      <c r="AV356" t="s">
        <v>104</v>
      </c>
      <c r="AW356">
        <f t="shared" si="145"/>
        <v>-2.5</v>
      </c>
      <c r="AX356">
        <f t="shared" si="146"/>
        <v>1.4</v>
      </c>
      <c r="AY356">
        <f t="shared" si="147"/>
        <v>-3.2</v>
      </c>
      <c r="AZ356">
        <f t="shared" si="148"/>
        <v>91.1</v>
      </c>
      <c r="BA356" t="s">
        <v>104</v>
      </c>
      <c r="BB356">
        <f t="shared" si="149"/>
        <v>-2.1</v>
      </c>
      <c r="BC356">
        <f t="shared" si="150"/>
        <v>1.7</v>
      </c>
      <c r="BD356">
        <f t="shared" si="151"/>
        <v>-7.8</v>
      </c>
      <c r="BE356">
        <f t="shared" si="152"/>
        <v>78.8</v>
      </c>
      <c r="BF356" t="s">
        <v>104</v>
      </c>
      <c r="BG356">
        <f t="shared" si="153"/>
        <v>-3.2</v>
      </c>
      <c r="BH356">
        <f t="shared" si="154"/>
        <v>1.2</v>
      </c>
      <c r="BI356">
        <f t="shared" si="155"/>
        <v>0</v>
      </c>
      <c r="BJ356">
        <f t="shared" si="156"/>
        <v>0</v>
      </c>
      <c r="BK356">
        <f t="shared" si="157"/>
        <v>0.23399999999999976</v>
      </c>
      <c r="BL356">
        <f t="shared" si="158"/>
        <v>4</v>
      </c>
      <c r="BM356">
        <f t="shared" si="159"/>
        <v>0.38</v>
      </c>
      <c r="BN356">
        <f t="shared" si="160"/>
        <v>0.10199999999999999</v>
      </c>
    </row>
    <row r="357" spans="1:66" x14ac:dyDescent="0.25">
      <c r="A357">
        <v>2024</v>
      </c>
      <c r="B357" s="1">
        <f t="shared" si="162"/>
        <v>45643</v>
      </c>
      <c r="C357" s="2">
        <v>352</v>
      </c>
      <c r="D357">
        <v>70</v>
      </c>
      <c r="E357" s="6">
        <v>12.74</v>
      </c>
      <c r="F357" s="6">
        <v>-3.85</v>
      </c>
      <c r="G357" s="6">
        <v>-2.472</v>
      </c>
      <c r="H357" s="6">
        <v>-5.3239999999999998</v>
      </c>
      <c r="I357" s="6">
        <v>0.18</v>
      </c>
      <c r="J357" s="6">
        <v>-3.2389999999999999</v>
      </c>
      <c r="K357" s="6">
        <v>88.2</v>
      </c>
      <c r="L357" s="6"/>
      <c r="M357" s="6">
        <v>-1.659</v>
      </c>
      <c r="N357" s="6">
        <v>1.3879999999999999</v>
      </c>
      <c r="O357" s="6">
        <v>-1.6479999999999999</v>
      </c>
      <c r="P357" s="6">
        <v>91.8</v>
      </c>
      <c r="Q357" s="6"/>
      <c r="R357" s="6">
        <v>-1.1419999999999999</v>
      </c>
      <c r="S357" s="6">
        <v>1.514</v>
      </c>
      <c r="T357" s="6">
        <v>-4.8659999999999997</v>
      </c>
      <c r="U357" s="6">
        <v>81</v>
      </c>
      <c r="V357" s="6"/>
      <c r="W357" s="6">
        <v>-2.2450000000000001</v>
      </c>
      <c r="X357" s="6">
        <v>1.276</v>
      </c>
      <c r="Y357" s="6">
        <v>0</v>
      </c>
      <c r="Z357" s="6">
        <v>0</v>
      </c>
      <c r="AA357" s="6">
        <v>0</v>
      </c>
      <c r="AB357" s="6">
        <v>1.754</v>
      </c>
      <c r="AC357" s="6">
        <v>-2.4849999999999999</v>
      </c>
      <c r="AD357" s="6">
        <v>-5.194</v>
      </c>
      <c r="AE357" s="6">
        <v>8.9999999999999993E-3</v>
      </c>
      <c r="AF357" s="6">
        <v>6.0000000000000001E-3</v>
      </c>
      <c r="AG357" s="6">
        <v>1.7589999999999999</v>
      </c>
      <c r="AH357" s="6"/>
      <c r="AI357" s="6">
        <f t="shared" si="140"/>
        <v>0.2759999999999998</v>
      </c>
      <c r="AJ357">
        <f t="shared" si="164"/>
        <v>5.5</v>
      </c>
      <c r="AK357" s="21">
        <f t="shared" si="139"/>
        <v>5.5</v>
      </c>
      <c r="AL357">
        <f t="shared" si="163"/>
        <v>552.7000000000005</v>
      </c>
      <c r="AM357" s="4">
        <v>4.42</v>
      </c>
      <c r="AN357">
        <v>0.18</v>
      </c>
      <c r="AP357" s="7">
        <f t="shared" si="161"/>
        <v>0.438</v>
      </c>
      <c r="AQ357" s="7">
        <f t="shared" si="141"/>
        <v>0.10299999999999999</v>
      </c>
      <c r="AS357">
        <f t="shared" si="142"/>
        <v>0.18</v>
      </c>
      <c r="AT357">
        <f t="shared" si="143"/>
        <v>-3.2</v>
      </c>
      <c r="AU357">
        <f t="shared" si="144"/>
        <v>88.2</v>
      </c>
      <c r="AV357" t="s">
        <v>104</v>
      </c>
      <c r="AW357">
        <f t="shared" si="145"/>
        <v>-1.7</v>
      </c>
      <c r="AX357">
        <f t="shared" si="146"/>
        <v>1.4</v>
      </c>
      <c r="AY357">
        <f t="shared" si="147"/>
        <v>-1.6</v>
      </c>
      <c r="AZ357">
        <f t="shared" si="148"/>
        <v>91.8</v>
      </c>
      <c r="BA357" t="s">
        <v>104</v>
      </c>
      <c r="BB357">
        <f t="shared" si="149"/>
        <v>-1.1000000000000001</v>
      </c>
      <c r="BC357">
        <f t="shared" si="150"/>
        <v>1.5</v>
      </c>
      <c r="BD357">
        <f t="shared" si="151"/>
        <v>-4.9000000000000004</v>
      </c>
      <c r="BE357">
        <f t="shared" si="152"/>
        <v>81</v>
      </c>
      <c r="BF357" t="s">
        <v>104</v>
      </c>
      <c r="BG357">
        <f t="shared" si="153"/>
        <v>-2.2000000000000002</v>
      </c>
      <c r="BH357">
        <f t="shared" si="154"/>
        <v>1.3</v>
      </c>
      <c r="BI357">
        <f t="shared" si="155"/>
        <v>0</v>
      </c>
      <c r="BJ357">
        <f t="shared" si="156"/>
        <v>0</v>
      </c>
      <c r="BK357">
        <f t="shared" si="157"/>
        <v>0.2759999999999998</v>
      </c>
      <c r="BL357">
        <f t="shared" si="158"/>
        <v>5.5</v>
      </c>
      <c r="BM357">
        <f t="shared" si="159"/>
        <v>0.438</v>
      </c>
      <c r="BN357">
        <f t="shared" si="160"/>
        <v>0.10299999999999999</v>
      </c>
    </row>
    <row r="358" spans="1:66" x14ac:dyDescent="0.25">
      <c r="A358">
        <v>2024</v>
      </c>
      <c r="B358" s="1">
        <f t="shared" si="162"/>
        <v>45644</v>
      </c>
      <c r="C358" s="2">
        <v>353</v>
      </c>
      <c r="D358">
        <v>70</v>
      </c>
      <c r="E358" s="6">
        <v>12.8</v>
      </c>
      <c r="F358" s="6">
        <v>-1.294</v>
      </c>
      <c r="G358" s="6">
        <v>1.4750000000000001</v>
      </c>
      <c r="H358" s="6">
        <v>-5.0789999999999997</v>
      </c>
      <c r="I358" s="6">
        <v>0.29499999999999998</v>
      </c>
      <c r="J358" s="6">
        <v>-0.38900000000000001</v>
      </c>
      <c r="K358" s="6">
        <v>88.7</v>
      </c>
      <c r="L358" s="6"/>
      <c r="M358" s="6">
        <v>-0.57599999999999996</v>
      </c>
      <c r="N358" s="6">
        <v>1.383</v>
      </c>
      <c r="O358" s="6">
        <v>2.6440000000000001</v>
      </c>
      <c r="P358" s="6">
        <v>92.9</v>
      </c>
      <c r="Q358" s="6"/>
      <c r="R358" s="6">
        <v>0.115</v>
      </c>
      <c r="S358" s="6">
        <v>1.871</v>
      </c>
      <c r="T358" s="6">
        <v>-3.79</v>
      </c>
      <c r="U358" s="6">
        <v>80.5</v>
      </c>
      <c r="V358" s="6"/>
      <c r="W358" s="6">
        <v>-1.1719999999999999</v>
      </c>
      <c r="X358" s="6">
        <v>1.159</v>
      </c>
      <c r="Y358" s="6">
        <v>0.156</v>
      </c>
      <c r="Z358" s="6">
        <v>1.647</v>
      </c>
      <c r="AA358" s="6">
        <v>0</v>
      </c>
      <c r="AB358" s="6">
        <v>1.7110000000000001</v>
      </c>
      <c r="AC358" s="6">
        <v>1.7789999999999999</v>
      </c>
      <c r="AD358" s="6">
        <v>-4.6689999999999996</v>
      </c>
      <c r="AE358" s="6">
        <v>8.9999999999999993E-3</v>
      </c>
      <c r="AF358" s="6">
        <v>7.0000000000000001E-3</v>
      </c>
      <c r="AG358" s="6">
        <v>1.722</v>
      </c>
      <c r="AH358" s="6"/>
      <c r="AI358" s="6">
        <f t="shared" si="140"/>
        <v>0.31899999999999973</v>
      </c>
      <c r="AJ358">
        <f t="shared" si="164"/>
        <v>5.6</v>
      </c>
      <c r="AK358" s="21">
        <f t="shared" si="139"/>
        <v>5.6</v>
      </c>
      <c r="AL358">
        <f t="shared" si="163"/>
        <v>558.30000000000052</v>
      </c>
      <c r="AM358" s="4">
        <v>4.41</v>
      </c>
      <c r="AN358">
        <v>0.28999999999999998</v>
      </c>
      <c r="AP358" s="7">
        <f t="shared" si="161"/>
        <v>0.59399999999999997</v>
      </c>
      <c r="AQ358" s="7">
        <f t="shared" si="141"/>
        <v>0.14399999999999999</v>
      </c>
      <c r="AS358">
        <f t="shared" si="142"/>
        <v>0.28999999999999998</v>
      </c>
      <c r="AT358">
        <f t="shared" si="143"/>
        <v>-0.4</v>
      </c>
      <c r="AU358">
        <f t="shared" si="144"/>
        <v>88.7</v>
      </c>
      <c r="AV358" t="s">
        <v>104</v>
      </c>
      <c r="AW358">
        <f t="shared" si="145"/>
        <v>-0.6</v>
      </c>
      <c r="AX358">
        <f t="shared" si="146"/>
        <v>1.4</v>
      </c>
      <c r="AY358">
        <f t="shared" si="147"/>
        <v>2.6</v>
      </c>
      <c r="AZ358">
        <f t="shared" si="148"/>
        <v>92.9</v>
      </c>
      <c r="BA358" t="s">
        <v>104</v>
      </c>
      <c r="BB358">
        <f t="shared" si="149"/>
        <v>0.1</v>
      </c>
      <c r="BC358">
        <f t="shared" si="150"/>
        <v>1.9</v>
      </c>
      <c r="BD358">
        <f t="shared" si="151"/>
        <v>-3.8</v>
      </c>
      <c r="BE358">
        <f t="shared" si="152"/>
        <v>80.5</v>
      </c>
      <c r="BF358" t="s">
        <v>104</v>
      </c>
      <c r="BG358">
        <f t="shared" si="153"/>
        <v>-1.2</v>
      </c>
      <c r="BH358">
        <f t="shared" si="154"/>
        <v>1.2</v>
      </c>
      <c r="BI358">
        <f t="shared" si="155"/>
        <v>0.16</v>
      </c>
      <c r="BJ358">
        <f t="shared" si="156"/>
        <v>1.65</v>
      </c>
      <c r="BK358">
        <f t="shared" si="157"/>
        <v>0.31899999999999973</v>
      </c>
      <c r="BL358">
        <f t="shared" si="158"/>
        <v>5.6</v>
      </c>
      <c r="BM358">
        <f t="shared" si="159"/>
        <v>0.59399999999999997</v>
      </c>
      <c r="BN358">
        <f t="shared" si="160"/>
        <v>0.14399999999999999</v>
      </c>
    </row>
    <row r="359" spans="1:66" x14ac:dyDescent="0.25">
      <c r="A359">
        <v>2024</v>
      </c>
      <c r="B359" s="1">
        <f t="shared" si="162"/>
        <v>45645</v>
      </c>
      <c r="C359" s="2">
        <v>354</v>
      </c>
      <c r="D359">
        <v>70</v>
      </c>
      <c r="E359" s="6">
        <v>12.74</v>
      </c>
      <c r="F359" s="6">
        <v>-2.298</v>
      </c>
      <c r="G359" s="6">
        <v>0.30099999999999999</v>
      </c>
      <c r="H359" s="6">
        <v>-6.1130000000000004</v>
      </c>
      <c r="I359" s="6">
        <v>0.104</v>
      </c>
      <c r="J359" s="6">
        <v>-1.0900000000000001</v>
      </c>
      <c r="K359" s="6">
        <v>86.4</v>
      </c>
      <c r="L359" s="6"/>
      <c r="M359" s="6">
        <v>-0.84099999999999997</v>
      </c>
      <c r="N359" s="6">
        <v>1.43</v>
      </c>
      <c r="O359" s="6">
        <v>1.772</v>
      </c>
      <c r="P359" s="6">
        <v>92.8</v>
      </c>
      <c r="Q359" s="6"/>
      <c r="R359" s="6">
        <v>-0.27500000000000002</v>
      </c>
      <c r="S359" s="6">
        <v>1.7549999999999999</v>
      </c>
      <c r="T359" s="6">
        <v>-4.5970000000000004</v>
      </c>
      <c r="U359" s="6">
        <v>65.8</v>
      </c>
      <c r="V359" s="6"/>
      <c r="W359" s="6">
        <v>-1.2569999999999999</v>
      </c>
      <c r="X359" s="6">
        <v>1.2210000000000001</v>
      </c>
      <c r="Y359" s="6">
        <v>0.185</v>
      </c>
      <c r="Z359" s="6">
        <v>2.2069999999999999</v>
      </c>
      <c r="AA359" s="6">
        <v>0</v>
      </c>
      <c r="AB359" s="6">
        <v>1.7250000000000001</v>
      </c>
      <c r="AC359" s="6">
        <v>0.39100000000000001</v>
      </c>
      <c r="AD359" s="6">
        <v>-6.0190000000000001</v>
      </c>
      <c r="AE359" s="6">
        <v>8.9999999999999993E-3</v>
      </c>
      <c r="AF359" s="6">
        <v>6.0000000000000001E-3</v>
      </c>
      <c r="AG359" s="6">
        <v>1.718</v>
      </c>
      <c r="AH359" s="6"/>
      <c r="AI359" s="6">
        <f t="shared" si="140"/>
        <v>0.30499999999999972</v>
      </c>
      <c r="AJ359">
        <f t="shared" si="164"/>
        <v>0</v>
      </c>
      <c r="AK359" s="21">
        <f t="shared" si="139"/>
        <v>0</v>
      </c>
      <c r="AL359">
        <f t="shared" si="163"/>
        <v>558.30000000000052</v>
      </c>
      <c r="AM359" s="4">
        <v>4.41</v>
      </c>
      <c r="AN359">
        <v>0.1</v>
      </c>
      <c r="AP359" s="7">
        <f t="shared" si="161"/>
        <v>0.45700000000000002</v>
      </c>
      <c r="AQ359" s="7">
        <f t="shared" si="141"/>
        <v>0.23799999999999999</v>
      </c>
      <c r="AS359">
        <f t="shared" si="142"/>
        <v>0.1</v>
      </c>
      <c r="AT359">
        <f t="shared" si="143"/>
        <v>-1.1000000000000001</v>
      </c>
      <c r="AU359">
        <f t="shared" si="144"/>
        <v>86.4</v>
      </c>
      <c r="AV359" t="s">
        <v>104</v>
      </c>
      <c r="AW359">
        <f t="shared" si="145"/>
        <v>-0.8</v>
      </c>
      <c r="AX359">
        <f t="shared" si="146"/>
        <v>1.4</v>
      </c>
      <c r="AY359">
        <f t="shared" si="147"/>
        <v>1.8</v>
      </c>
      <c r="AZ359">
        <f t="shared" si="148"/>
        <v>92.8</v>
      </c>
      <c r="BA359" t="s">
        <v>104</v>
      </c>
      <c r="BB359">
        <f t="shared" si="149"/>
        <v>-0.3</v>
      </c>
      <c r="BC359">
        <f t="shared" si="150"/>
        <v>1.8</v>
      </c>
      <c r="BD359">
        <f t="shared" si="151"/>
        <v>-4.5999999999999996</v>
      </c>
      <c r="BE359">
        <f t="shared" si="152"/>
        <v>65.8</v>
      </c>
      <c r="BF359" t="s">
        <v>104</v>
      </c>
      <c r="BG359">
        <f t="shared" si="153"/>
        <v>-1.3</v>
      </c>
      <c r="BH359">
        <f t="shared" si="154"/>
        <v>1.2</v>
      </c>
      <c r="BI359">
        <f t="shared" si="155"/>
        <v>0.19</v>
      </c>
      <c r="BJ359">
        <f t="shared" si="156"/>
        <v>2.21</v>
      </c>
      <c r="BK359">
        <f t="shared" si="157"/>
        <v>0.30499999999999972</v>
      </c>
      <c r="BL359">
        <f t="shared" si="158"/>
        <v>0</v>
      </c>
      <c r="BM359">
        <f t="shared" si="159"/>
        <v>0.45700000000000002</v>
      </c>
      <c r="BN359">
        <f t="shared" si="160"/>
        <v>0.23799999999999999</v>
      </c>
    </row>
    <row r="360" spans="1:66" x14ac:dyDescent="0.25">
      <c r="A360">
        <v>2024</v>
      </c>
      <c r="B360" s="1">
        <f t="shared" si="162"/>
        <v>45646</v>
      </c>
      <c r="C360" s="2">
        <v>355</v>
      </c>
      <c r="D360">
        <v>70</v>
      </c>
      <c r="E360" s="6">
        <v>12.75</v>
      </c>
      <c r="F360" s="6">
        <v>-0.31</v>
      </c>
      <c r="G360" s="6">
        <v>1.3879999999999999</v>
      </c>
      <c r="H360" s="6">
        <v>-2.492</v>
      </c>
      <c r="I360" s="6">
        <v>0.23300000000000001</v>
      </c>
      <c r="J360" s="6">
        <v>1.0369999999999999</v>
      </c>
      <c r="K360" s="6">
        <v>90.6</v>
      </c>
      <c r="L360" s="6"/>
      <c r="M360" s="6">
        <v>-0.314</v>
      </c>
      <c r="N360" s="6">
        <v>1.3859999999999999</v>
      </c>
      <c r="O360" s="6">
        <v>3.2490000000000001</v>
      </c>
      <c r="P360" s="6">
        <v>94.5</v>
      </c>
      <c r="Q360" s="6"/>
      <c r="R360" s="6">
        <v>1.4E-2</v>
      </c>
      <c r="S360" s="6">
        <v>1.552</v>
      </c>
      <c r="T360" s="6">
        <v>-0.90800000000000003</v>
      </c>
      <c r="U360" s="6">
        <v>75.900000000000006</v>
      </c>
      <c r="V360" s="6"/>
      <c r="W360" s="6">
        <v>-0.71</v>
      </c>
      <c r="X360" s="6">
        <v>1.2030000000000001</v>
      </c>
      <c r="Y360" s="6">
        <v>0.439</v>
      </c>
      <c r="Z360" s="6">
        <v>2.2599999999999998</v>
      </c>
      <c r="AA360" s="6">
        <v>4.5999999999999996</v>
      </c>
      <c r="AB360" s="6">
        <v>1.734</v>
      </c>
      <c r="AC360" s="6">
        <v>1.4470000000000001</v>
      </c>
      <c r="AD360" s="6">
        <v>-2.34</v>
      </c>
      <c r="AE360" s="6">
        <v>8.9999999999999993E-3</v>
      </c>
      <c r="AF360" s="6">
        <v>6.0000000000000001E-3</v>
      </c>
      <c r="AG360" s="6">
        <v>1.7330000000000001</v>
      </c>
      <c r="AH360" s="6"/>
      <c r="AI360" s="6">
        <f t="shared" si="140"/>
        <v>0.29599999999999982</v>
      </c>
      <c r="AJ360">
        <f t="shared" si="164"/>
        <v>0</v>
      </c>
      <c r="AK360" s="21">
        <f t="shared" si="139"/>
        <v>0</v>
      </c>
      <c r="AL360">
        <f t="shared" si="163"/>
        <v>558.30000000000052</v>
      </c>
      <c r="AM360" s="4">
        <v>4.41</v>
      </c>
      <c r="AN360">
        <v>0.22</v>
      </c>
      <c r="AP360" s="7">
        <f t="shared" si="161"/>
        <v>0.58499999999999996</v>
      </c>
      <c r="AQ360" s="7">
        <f t="shared" si="141"/>
        <v>0.186</v>
      </c>
      <c r="AS360">
        <f t="shared" si="142"/>
        <v>0.22</v>
      </c>
      <c r="AT360">
        <f t="shared" si="143"/>
        <v>1</v>
      </c>
      <c r="AU360">
        <f t="shared" si="144"/>
        <v>90.6</v>
      </c>
      <c r="AV360" t="s">
        <v>104</v>
      </c>
      <c r="AW360">
        <f t="shared" si="145"/>
        <v>-0.3</v>
      </c>
      <c r="AX360">
        <f t="shared" si="146"/>
        <v>1.4</v>
      </c>
      <c r="AY360">
        <f t="shared" si="147"/>
        <v>3.2</v>
      </c>
      <c r="AZ360">
        <f t="shared" si="148"/>
        <v>94.5</v>
      </c>
      <c r="BA360" t="s">
        <v>104</v>
      </c>
      <c r="BB360">
        <f t="shared" si="149"/>
        <v>0</v>
      </c>
      <c r="BC360">
        <f t="shared" si="150"/>
        <v>1.6</v>
      </c>
      <c r="BD360">
        <f t="shared" si="151"/>
        <v>-0.9</v>
      </c>
      <c r="BE360">
        <f t="shared" si="152"/>
        <v>75.900000000000006</v>
      </c>
      <c r="BF360" t="s">
        <v>104</v>
      </c>
      <c r="BG360">
        <f t="shared" si="153"/>
        <v>-0.7</v>
      </c>
      <c r="BH360">
        <f t="shared" si="154"/>
        <v>1.2</v>
      </c>
      <c r="BI360">
        <f t="shared" si="155"/>
        <v>0.44</v>
      </c>
      <c r="BJ360">
        <f t="shared" si="156"/>
        <v>2.2599999999999998</v>
      </c>
      <c r="BK360">
        <f t="shared" si="157"/>
        <v>0.29599999999999982</v>
      </c>
      <c r="BL360">
        <f t="shared" si="158"/>
        <v>0</v>
      </c>
      <c r="BM360">
        <f t="shared" si="159"/>
        <v>0.58499999999999996</v>
      </c>
      <c r="BN360">
        <f t="shared" si="160"/>
        <v>0.186</v>
      </c>
    </row>
    <row r="361" spans="1:66" x14ac:dyDescent="0.25">
      <c r="A361">
        <v>2024</v>
      </c>
      <c r="B361" s="1">
        <f t="shared" si="162"/>
        <v>45647</v>
      </c>
      <c r="C361" s="2">
        <v>356</v>
      </c>
      <c r="D361">
        <v>70</v>
      </c>
      <c r="E361" s="6">
        <v>12.74</v>
      </c>
      <c r="F361" s="6">
        <v>-0.433</v>
      </c>
      <c r="G361" s="6">
        <v>0.96599999999999997</v>
      </c>
      <c r="H361" s="6">
        <v>-2.0670000000000002</v>
      </c>
      <c r="I361" s="6">
        <v>0.30199999999999999</v>
      </c>
      <c r="J361" s="6">
        <v>0.78800000000000003</v>
      </c>
      <c r="K361" s="6">
        <v>91.4</v>
      </c>
      <c r="L361" s="6"/>
      <c r="M361" s="6">
        <v>-0.19400000000000001</v>
      </c>
      <c r="N361" s="6">
        <v>1.3680000000000001</v>
      </c>
      <c r="O361" s="6">
        <v>2.9809999999999999</v>
      </c>
      <c r="P361" s="6">
        <v>94.7</v>
      </c>
      <c r="Q361" s="6"/>
      <c r="R361" s="6">
        <v>0.05</v>
      </c>
      <c r="S361" s="6">
        <v>1.5109999999999999</v>
      </c>
      <c r="T361" s="6">
        <v>-0.77400000000000002</v>
      </c>
      <c r="U361" s="6">
        <v>76.7</v>
      </c>
      <c r="V361" s="6"/>
      <c r="W361" s="6">
        <v>-0.59199999999999997</v>
      </c>
      <c r="X361" s="6">
        <v>1.1910000000000001</v>
      </c>
      <c r="Y361" s="6">
        <v>0.51200000000000001</v>
      </c>
      <c r="Z361" s="6">
        <v>2.2599999999999998</v>
      </c>
      <c r="AA361" s="6">
        <v>9.1999999999999993</v>
      </c>
      <c r="AB361" s="6">
        <v>1.744</v>
      </c>
      <c r="AC361" s="6">
        <v>1.0940000000000001</v>
      </c>
      <c r="AD361" s="6">
        <v>-1.9450000000000001</v>
      </c>
      <c r="AE361" s="6">
        <v>8.9999999999999993E-3</v>
      </c>
      <c r="AF361" s="6">
        <v>7.0000000000000001E-3</v>
      </c>
      <c r="AG361" s="6">
        <v>1.744</v>
      </c>
      <c r="AH361" s="6"/>
      <c r="AI361" s="6">
        <f t="shared" si="140"/>
        <v>0.28599999999999981</v>
      </c>
      <c r="AJ361">
        <f t="shared" si="164"/>
        <v>0</v>
      </c>
      <c r="AK361" s="21">
        <f t="shared" si="139"/>
        <v>0</v>
      </c>
      <c r="AL361">
        <f t="shared" si="163"/>
        <v>558.30000000000052</v>
      </c>
      <c r="AM361" s="4">
        <v>4.41</v>
      </c>
      <c r="AN361">
        <v>0.28999999999999998</v>
      </c>
      <c r="AP361" s="7">
        <f t="shared" si="161"/>
        <v>0.57999999999999996</v>
      </c>
      <c r="AQ361" s="7">
        <f t="shared" si="141"/>
        <v>0.17599999999999999</v>
      </c>
      <c r="AS361">
        <f t="shared" si="142"/>
        <v>0.28999999999999998</v>
      </c>
      <c r="AT361">
        <f t="shared" si="143"/>
        <v>0.8</v>
      </c>
      <c r="AU361">
        <f t="shared" si="144"/>
        <v>91.4</v>
      </c>
      <c r="AV361" t="s">
        <v>104</v>
      </c>
      <c r="AW361">
        <f t="shared" si="145"/>
        <v>-0.2</v>
      </c>
      <c r="AX361">
        <f t="shared" si="146"/>
        <v>1.4</v>
      </c>
      <c r="AY361">
        <f t="shared" si="147"/>
        <v>3</v>
      </c>
      <c r="AZ361">
        <f t="shared" si="148"/>
        <v>94.7</v>
      </c>
      <c r="BA361" t="s">
        <v>104</v>
      </c>
      <c r="BB361">
        <f t="shared" si="149"/>
        <v>0.1</v>
      </c>
      <c r="BC361">
        <f t="shared" si="150"/>
        <v>1.5</v>
      </c>
      <c r="BD361">
        <f t="shared" si="151"/>
        <v>-0.8</v>
      </c>
      <c r="BE361">
        <f t="shared" si="152"/>
        <v>76.7</v>
      </c>
      <c r="BF361" t="s">
        <v>104</v>
      </c>
      <c r="BG361">
        <f t="shared" si="153"/>
        <v>-0.6</v>
      </c>
      <c r="BH361">
        <f t="shared" si="154"/>
        <v>1.2</v>
      </c>
      <c r="BI361">
        <f t="shared" si="155"/>
        <v>0.51</v>
      </c>
      <c r="BJ361">
        <f t="shared" si="156"/>
        <v>2.2599999999999998</v>
      </c>
      <c r="BK361">
        <f t="shared" si="157"/>
        <v>0.28599999999999981</v>
      </c>
      <c r="BL361">
        <f t="shared" si="158"/>
        <v>0</v>
      </c>
      <c r="BM361">
        <f t="shared" si="159"/>
        <v>0.57999999999999996</v>
      </c>
      <c r="BN361">
        <f t="shared" si="160"/>
        <v>0.17599999999999999</v>
      </c>
    </row>
    <row r="362" spans="1:66" x14ac:dyDescent="0.25">
      <c r="A362">
        <v>2024</v>
      </c>
      <c r="B362" s="1">
        <f t="shared" si="162"/>
        <v>45648</v>
      </c>
      <c r="C362" s="2">
        <v>357</v>
      </c>
      <c r="D362">
        <v>70</v>
      </c>
      <c r="E362" s="6">
        <v>12.74</v>
      </c>
      <c r="F362" s="6">
        <v>-2.2930000000000001</v>
      </c>
      <c r="G362" s="6">
        <v>-0.35099999999999998</v>
      </c>
      <c r="H362" s="6">
        <v>-5.5209999999999999</v>
      </c>
      <c r="I362" s="6">
        <v>1.2170000000000001</v>
      </c>
      <c r="J362" s="6">
        <v>-1.036</v>
      </c>
      <c r="K362" s="6">
        <v>86.6</v>
      </c>
      <c r="L362" s="6"/>
      <c r="M362" s="6">
        <v>-0.32600000000000001</v>
      </c>
      <c r="N362" s="6">
        <v>1.3049999999999999</v>
      </c>
      <c r="O362" s="6">
        <v>0.76900000000000002</v>
      </c>
      <c r="P362" s="6">
        <v>93.3</v>
      </c>
      <c r="Q362" s="6"/>
      <c r="R362" s="6">
        <v>-0.111</v>
      </c>
      <c r="S362" s="6">
        <v>1.627</v>
      </c>
      <c r="T362" s="6">
        <v>-3.9910000000000001</v>
      </c>
      <c r="U362" s="6">
        <v>76.400000000000006</v>
      </c>
      <c r="V362" s="6"/>
      <c r="W362" s="6">
        <v>-0.47899999999999998</v>
      </c>
      <c r="X362" s="6">
        <v>1.113</v>
      </c>
      <c r="Y362" s="6">
        <v>3.0000000000000001E-3</v>
      </c>
      <c r="Z362" s="6">
        <v>1.607</v>
      </c>
      <c r="AA362" s="6">
        <v>0</v>
      </c>
      <c r="AB362" s="6">
        <v>1.7549999999999999</v>
      </c>
      <c r="AC362" s="6">
        <v>-0.26900000000000002</v>
      </c>
      <c r="AD362" s="6">
        <v>-5.3630000000000004</v>
      </c>
      <c r="AE362" s="6">
        <v>8.9999999999999993E-3</v>
      </c>
      <c r="AF362" s="6">
        <v>6.0000000000000001E-3</v>
      </c>
      <c r="AG362" s="6">
        <v>1.752</v>
      </c>
      <c r="AH362" s="6"/>
      <c r="AI362" s="6">
        <f t="shared" si="140"/>
        <v>0.27499999999999991</v>
      </c>
      <c r="AJ362">
        <f t="shared" si="164"/>
        <v>0</v>
      </c>
      <c r="AK362" s="21">
        <f t="shared" si="139"/>
        <v>0</v>
      </c>
      <c r="AL362">
        <f t="shared" si="163"/>
        <v>558.30000000000052</v>
      </c>
      <c r="AM362" s="4">
        <v>4.42</v>
      </c>
      <c r="AN362">
        <v>1.22</v>
      </c>
      <c r="AP362" s="7">
        <f t="shared" si="161"/>
        <v>0.49299999999999999</v>
      </c>
      <c r="AQ362" s="7">
        <f t="shared" si="141"/>
        <v>0.152</v>
      </c>
      <c r="AS362">
        <f t="shared" si="142"/>
        <v>1.22</v>
      </c>
      <c r="AT362">
        <f t="shared" si="143"/>
        <v>-1</v>
      </c>
      <c r="AU362">
        <f t="shared" si="144"/>
        <v>86.6</v>
      </c>
      <c r="AV362" t="s">
        <v>104</v>
      </c>
      <c r="AW362">
        <f t="shared" si="145"/>
        <v>-0.3</v>
      </c>
      <c r="AX362">
        <f t="shared" si="146"/>
        <v>1.3</v>
      </c>
      <c r="AY362">
        <f t="shared" si="147"/>
        <v>0.8</v>
      </c>
      <c r="AZ362">
        <f t="shared" si="148"/>
        <v>93.3</v>
      </c>
      <c r="BA362" t="s">
        <v>104</v>
      </c>
      <c r="BB362">
        <f t="shared" si="149"/>
        <v>-0.1</v>
      </c>
      <c r="BC362">
        <f t="shared" si="150"/>
        <v>1.6</v>
      </c>
      <c r="BD362">
        <f t="shared" si="151"/>
        <v>-4</v>
      </c>
      <c r="BE362">
        <f t="shared" si="152"/>
        <v>76.400000000000006</v>
      </c>
      <c r="BF362" t="s">
        <v>104</v>
      </c>
      <c r="BG362">
        <f t="shared" si="153"/>
        <v>-0.5</v>
      </c>
      <c r="BH362">
        <f t="shared" si="154"/>
        <v>1.1000000000000001</v>
      </c>
      <c r="BI362">
        <f t="shared" si="155"/>
        <v>0</v>
      </c>
      <c r="BJ362">
        <f t="shared" si="156"/>
        <v>1.61</v>
      </c>
      <c r="BK362">
        <f t="shared" si="157"/>
        <v>0.27499999999999991</v>
      </c>
      <c r="BL362">
        <f t="shared" si="158"/>
        <v>0</v>
      </c>
      <c r="BM362">
        <f t="shared" si="159"/>
        <v>0.49299999999999999</v>
      </c>
      <c r="BN362">
        <f t="shared" si="160"/>
        <v>0.152</v>
      </c>
    </row>
    <row r="363" spans="1:66" x14ac:dyDescent="0.25">
      <c r="A363">
        <v>2024</v>
      </c>
      <c r="B363" s="1">
        <f t="shared" si="162"/>
        <v>45649</v>
      </c>
      <c r="C363" s="2">
        <v>358</v>
      </c>
      <c r="D363">
        <v>70</v>
      </c>
      <c r="E363" s="6">
        <v>12.92</v>
      </c>
      <c r="F363" s="6">
        <v>-0.70199999999999996</v>
      </c>
      <c r="G363" s="6">
        <v>3.613</v>
      </c>
      <c r="H363" s="6">
        <v>-2.6080000000000001</v>
      </c>
      <c r="I363" s="6">
        <v>1.095</v>
      </c>
      <c r="J363" s="6">
        <v>0.70899999999999996</v>
      </c>
      <c r="K363" s="6">
        <v>79.599999999999994</v>
      </c>
      <c r="L363" s="6"/>
      <c r="M363" s="6">
        <v>-0.29799999999999999</v>
      </c>
      <c r="N363" s="6">
        <v>1.3049999999999999</v>
      </c>
      <c r="O363" s="6">
        <v>5.1989999999999998</v>
      </c>
      <c r="P363" s="6">
        <v>91.7</v>
      </c>
      <c r="Q363" s="6"/>
      <c r="R363" s="6">
        <v>0.49199999999999999</v>
      </c>
      <c r="S363" s="6">
        <v>1.9419999999999999</v>
      </c>
      <c r="T363" s="6">
        <v>-1.5820000000000001</v>
      </c>
      <c r="U363" s="6">
        <v>57.1</v>
      </c>
      <c r="V363" s="6"/>
      <c r="W363" s="6">
        <v>-0.54600000000000004</v>
      </c>
      <c r="X363" s="6">
        <v>0.92400000000000004</v>
      </c>
      <c r="Y363" s="6">
        <v>0.33700000000000002</v>
      </c>
      <c r="Z363" s="6">
        <v>2.4740000000000002</v>
      </c>
      <c r="AA363" s="6">
        <v>1.3</v>
      </c>
      <c r="AB363" s="6">
        <v>1.768</v>
      </c>
      <c r="AC363" s="6">
        <v>4.1749999999999998</v>
      </c>
      <c r="AD363" s="6">
        <v>-2.3610000000000002</v>
      </c>
      <c r="AE363" s="6">
        <v>8.9999999999999993E-3</v>
      </c>
      <c r="AF363" s="6">
        <v>6.0000000000000001E-3</v>
      </c>
      <c r="AG363" s="6">
        <v>1.7689999999999999</v>
      </c>
      <c r="AH363" s="6"/>
      <c r="AI363" s="6">
        <f t="shared" si="140"/>
        <v>0.26199999999999979</v>
      </c>
      <c r="AJ363">
        <f t="shared" si="164"/>
        <v>0</v>
      </c>
      <c r="AK363" s="21">
        <f t="shared" si="139"/>
        <v>0</v>
      </c>
      <c r="AL363">
        <f t="shared" si="163"/>
        <v>558.30000000000052</v>
      </c>
      <c r="AM363" s="4">
        <v>4.43</v>
      </c>
      <c r="AN363">
        <v>1.0900000000000001</v>
      </c>
      <c r="AP363" s="7">
        <f t="shared" si="161"/>
        <v>0.505</v>
      </c>
      <c r="AQ363" s="7">
        <f t="shared" si="141"/>
        <v>0.379</v>
      </c>
      <c r="AS363">
        <f t="shared" si="142"/>
        <v>1.0900000000000001</v>
      </c>
      <c r="AT363">
        <f t="shared" si="143"/>
        <v>0.7</v>
      </c>
      <c r="AU363">
        <f t="shared" si="144"/>
        <v>79.599999999999994</v>
      </c>
      <c r="AV363" t="s">
        <v>104</v>
      </c>
      <c r="AW363">
        <f t="shared" si="145"/>
        <v>-0.3</v>
      </c>
      <c r="AX363">
        <f t="shared" si="146"/>
        <v>1.3</v>
      </c>
      <c r="AY363">
        <f t="shared" si="147"/>
        <v>5.2</v>
      </c>
      <c r="AZ363">
        <f t="shared" si="148"/>
        <v>91.7</v>
      </c>
      <c r="BA363" t="s">
        <v>104</v>
      </c>
      <c r="BB363">
        <f t="shared" si="149"/>
        <v>0.5</v>
      </c>
      <c r="BC363">
        <f t="shared" si="150"/>
        <v>1.9</v>
      </c>
      <c r="BD363">
        <f t="shared" si="151"/>
        <v>-1.6</v>
      </c>
      <c r="BE363">
        <f t="shared" si="152"/>
        <v>57.1</v>
      </c>
      <c r="BF363" t="s">
        <v>104</v>
      </c>
      <c r="BG363">
        <f t="shared" si="153"/>
        <v>-0.5</v>
      </c>
      <c r="BH363">
        <f t="shared" si="154"/>
        <v>0.9</v>
      </c>
      <c r="BI363">
        <f t="shared" si="155"/>
        <v>0.34</v>
      </c>
      <c r="BJ363">
        <f t="shared" si="156"/>
        <v>2.4700000000000002</v>
      </c>
      <c r="BK363">
        <f t="shared" si="157"/>
        <v>0.26199999999999979</v>
      </c>
      <c r="BL363">
        <f t="shared" si="158"/>
        <v>0</v>
      </c>
      <c r="BM363">
        <f t="shared" si="159"/>
        <v>0.505</v>
      </c>
      <c r="BN363">
        <f t="shared" si="160"/>
        <v>0.379</v>
      </c>
    </row>
    <row r="364" spans="1:66" x14ac:dyDescent="0.25">
      <c r="A364">
        <v>2024</v>
      </c>
      <c r="B364" s="1">
        <f t="shared" si="162"/>
        <v>45650</v>
      </c>
      <c r="C364" s="2">
        <v>359</v>
      </c>
      <c r="D364">
        <v>70</v>
      </c>
      <c r="E364" s="6">
        <v>12.74</v>
      </c>
      <c r="F364" s="6">
        <v>-0.86299999999999999</v>
      </c>
      <c r="G364" s="6">
        <v>1.2150000000000001</v>
      </c>
      <c r="H364" s="6">
        <v>-3.9460000000000002</v>
      </c>
      <c r="I364" s="6">
        <v>1.133</v>
      </c>
      <c r="J364" s="6">
        <v>0.35099999999999998</v>
      </c>
      <c r="K364" s="6">
        <v>76.7</v>
      </c>
      <c r="L364" s="6"/>
      <c r="M364" s="6">
        <v>-0.28100000000000003</v>
      </c>
      <c r="N364" s="6">
        <v>1.323</v>
      </c>
      <c r="O364" s="6">
        <v>3.2490000000000001</v>
      </c>
      <c r="P364" s="6">
        <v>92.5</v>
      </c>
      <c r="Q364" s="6"/>
      <c r="R364" s="6">
        <v>8.7999999999999995E-2</v>
      </c>
      <c r="S364" s="6">
        <v>1.504</v>
      </c>
      <c r="T364" s="6">
        <v>-2.254</v>
      </c>
      <c r="U364" s="6">
        <v>62.01</v>
      </c>
      <c r="V364" s="6"/>
      <c r="W364" s="6">
        <v>-0.68400000000000005</v>
      </c>
      <c r="X364" s="6">
        <v>1.121</v>
      </c>
      <c r="Y364" s="6">
        <v>0.58499999999999996</v>
      </c>
      <c r="Z364" s="6">
        <v>2.6070000000000002</v>
      </c>
      <c r="AA364" s="6">
        <v>1.4</v>
      </c>
      <c r="AB364" s="6">
        <v>1.7490000000000001</v>
      </c>
      <c r="AC364" s="6">
        <v>1.2809999999999999</v>
      </c>
      <c r="AD364" s="6">
        <v>-3.798</v>
      </c>
      <c r="AE364" s="6">
        <v>8.9999999999999993E-3</v>
      </c>
      <c r="AF364" s="6">
        <v>6.0000000000000001E-3</v>
      </c>
      <c r="AG364" s="6">
        <v>1.754</v>
      </c>
      <c r="AH364" s="6"/>
      <c r="AI364" s="6">
        <f t="shared" si="140"/>
        <v>0.28099999999999969</v>
      </c>
      <c r="AJ364">
        <f t="shared" si="164"/>
        <v>2.5</v>
      </c>
      <c r="AK364" s="21">
        <f t="shared" si="139"/>
        <v>2.5</v>
      </c>
      <c r="AL364">
        <f t="shared" si="163"/>
        <v>560.80000000000052</v>
      </c>
      <c r="AM364" s="4">
        <v>4.4400000000000004</v>
      </c>
      <c r="AN364">
        <v>1.1299999999999999</v>
      </c>
      <c r="AP364" s="7">
        <f t="shared" si="161"/>
        <v>0.47799999999999998</v>
      </c>
      <c r="AQ364" s="7">
        <f t="shared" si="141"/>
        <v>0.29299999999999998</v>
      </c>
      <c r="AS364">
        <f t="shared" si="142"/>
        <v>1.1299999999999999</v>
      </c>
      <c r="AT364">
        <f t="shared" si="143"/>
        <v>0.4</v>
      </c>
      <c r="AU364">
        <f t="shared" si="144"/>
        <v>76.7</v>
      </c>
      <c r="AV364" t="s">
        <v>104</v>
      </c>
      <c r="AW364">
        <f t="shared" si="145"/>
        <v>-0.3</v>
      </c>
      <c r="AX364">
        <f t="shared" si="146"/>
        <v>1.3</v>
      </c>
      <c r="AY364">
        <f t="shared" si="147"/>
        <v>3.2</v>
      </c>
      <c r="AZ364">
        <f t="shared" si="148"/>
        <v>92.5</v>
      </c>
      <c r="BA364" t="s">
        <v>104</v>
      </c>
      <c r="BB364">
        <f t="shared" si="149"/>
        <v>0.1</v>
      </c>
      <c r="BC364">
        <f t="shared" si="150"/>
        <v>1.5</v>
      </c>
      <c r="BD364">
        <f t="shared" si="151"/>
        <v>-2.2999999999999998</v>
      </c>
      <c r="BE364">
        <f t="shared" si="152"/>
        <v>62</v>
      </c>
      <c r="BF364" t="s">
        <v>104</v>
      </c>
      <c r="BG364">
        <f t="shared" si="153"/>
        <v>-0.7</v>
      </c>
      <c r="BH364">
        <f t="shared" si="154"/>
        <v>1.1000000000000001</v>
      </c>
      <c r="BI364">
        <f t="shared" si="155"/>
        <v>0.59</v>
      </c>
      <c r="BJ364">
        <f t="shared" si="156"/>
        <v>2.61</v>
      </c>
      <c r="BK364">
        <f t="shared" si="157"/>
        <v>0.28099999999999969</v>
      </c>
      <c r="BL364">
        <f t="shared" si="158"/>
        <v>2.5</v>
      </c>
      <c r="BM364">
        <f t="shared" si="159"/>
        <v>0.47799999999999998</v>
      </c>
      <c r="BN364">
        <f t="shared" si="160"/>
        <v>0.29299999999999998</v>
      </c>
    </row>
    <row r="365" spans="1:66" x14ac:dyDescent="0.25">
      <c r="A365">
        <v>2024</v>
      </c>
      <c r="B365" s="1">
        <f t="shared" si="162"/>
        <v>45651</v>
      </c>
      <c r="C365" s="2">
        <v>360</v>
      </c>
      <c r="D365">
        <v>70</v>
      </c>
      <c r="E365" s="6">
        <v>12.73</v>
      </c>
      <c r="F365" s="6">
        <v>-3.4809999999999999</v>
      </c>
      <c r="G365" s="6">
        <v>-1.845</v>
      </c>
      <c r="H365" s="6">
        <v>-4.8730000000000002</v>
      </c>
      <c r="I365" s="6">
        <v>0.76800000000000002</v>
      </c>
      <c r="J365" s="6">
        <v>-2.2650000000000001</v>
      </c>
      <c r="K365" s="6">
        <v>76.099999999999994</v>
      </c>
      <c r="L365" s="6"/>
      <c r="M365" s="6">
        <v>-1.008</v>
      </c>
      <c r="N365" s="6">
        <v>1.3009999999999999</v>
      </c>
      <c r="O365" s="6">
        <v>-0.30299999999999999</v>
      </c>
      <c r="P365" s="6">
        <v>84.5</v>
      </c>
      <c r="Q365" s="6"/>
      <c r="R365" s="6">
        <v>-0.63700000000000001</v>
      </c>
      <c r="S365" s="6">
        <v>1.633</v>
      </c>
      <c r="T365" s="6">
        <v>-3.1190000000000002</v>
      </c>
      <c r="U365" s="6">
        <v>59.41</v>
      </c>
      <c r="V365" s="6"/>
      <c r="W365" s="6">
        <v>-1.218</v>
      </c>
      <c r="X365" s="6">
        <v>1.1579999999999999</v>
      </c>
      <c r="Y365" s="6">
        <v>0</v>
      </c>
      <c r="Z365" s="6">
        <v>0</v>
      </c>
      <c r="AA365" s="6">
        <v>0</v>
      </c>
      <c r="AB365" s="6">
        <v>1.7490000000000001</v>
      </c>
      <c r="AC365" s="6">
        <v>-1.758</v>
      </c>
      <c r="AD365" s="6">
        <v>-4.6689999999999996</v>
      </c>
      <c r="AE365" s="6">
        <v>8.9999999999999993E-3</v>
      </c>
      <c r="AF365" s="6">
        <v>7.0000000000000001E-3</v>
      </c>
      <c r="AG365" s="6">
        <v>1.756</v>
      </c>
      <c r="AH365" s="6"/>
      <c r="AI365" s="6">
        <f t="shared" si="140"/>
        <v>0.28099999999999969</v>
      </c>
      <c r="AJ365">
        <f t="shared" si="164"/>
        <v>0</v>
      </c>
      <c r="AK365" s="21">
        <f t="shared" si="139"/>
        <v>0</v>
      </c>
      <c r="AL365">
        <f t="shared" si="163"/>
        <v>560.80000000000052</v>
      </c>
      <c r="AM365" s="4">
        <v>4.46</v>
      </c>
      <c r="AN365">
        <v>0.77</v>
      </c>
      <c r="AP365" s="7">
        <f t="shared" si="161"/>
        <v>0.35499999999999998</v>
      </c>
      <c r="AQ365" s="7">
        <f t="shared" si="141"/>
        <v>0.24299999999999999</v>
      </c>
      <c r="AS365">
        <f t="shared" si="142"/>
        <v>0.77</v>
      </c>
      <c r="AT365">
        <f t="shared" si="143"/>
        <v>-2.2999999999999998</v>
      </c>
      <c r="AU365">
        <f t="shared" si="144"/>
        <v>76.099999999999994</v>
      </c>
      <c r="AV365" t="s">
        <v>104</v>
      </c>
      <c r="AW365">
        <f t="shared" si="145"/>
        <v>-1</v>
      </c>
      <c r="AX365">
        <f t="shared" si="146"/>
        <v>1.3</v>
      </c>
      <c r="AY365">
        <f t="shared" si="147"/>
        <v>-0.3</v>
      </c>
      <c r="AZ365">
        <f t="shared" si="148"/>
        <v>84.5</v>
      </c>
      <c r="BA365" t="s">
        <v>104</v>
      </c>
      <c r="BB365">
        <f t="shared" si="149"/>
        <v>-0.6</v>
      </c>
      <c r="BC365">
        <f t="shared" si="150"/>
        <v>1.6</v>
      </c>
      <c r="BD365">
        <f t="shared" si="151"/>
        <v>-3.1</v>
      </c>
      <c r="BE365">
        <f t="shared" si="152"/>
        <v>59.4</v>
      </c>
      <c r="BF365" t="s">
        <v>104</v>
      </c>
      <c r="BG365">
        <f t="shared" si="153"/>
        <v>-1.2</v>
      </c>
      <c r="BH365">
        <f t="shared" si="154"/>
        <v>1.2</v>
      </c>
      <c r="BI365">
        <f t="shared" si="155"/>
        <v>0</v>
      </c>
      <c r="BJ365">
        <f t="shared" si="156"/>
        <v>0</v>
      </c>
      <c r="BK365">
        <f t="shared" si="157"/>
        <v>0.28099999999999969</v>
      </c>
      <c r="BL365">
        <f t="shared" si="158"/>
        <v>0</v>
      </c>
      <c r="BM365">
        <f t="shared" si="159"/>
        <v>0.35499999999999998</v>
      </c>
      <c r="BN365">
        <f t="shared" si="160"/>
        <v>0.24299999999999999</v>
      </c>
    </row>
    <row r="366" spans="1:66" x14ac:dyDescent="0.25">
      <c r="A366">
        <v>2024</v>
      </c>
      <c r="B366" s="1">
        <f t="shared" si="162"/>
        <v>45652</v>
      </c>
      <c r="C366" s="2">
        <v>361</v>
      </c>
      <c r="D366">
        <v>70</v>
      </c>
      <c r="E366" s="6">
        <v>12.73</v>
      </c>
      <c r="F366" s="6">
        <v>-2.1389999999999998</v>
      </c>
      <c r="G366" s="6">
        <v>-0.10100000000000001</v>
      </c>
      <c r="H366" s="6">
        <v>-4.141</v>
      </c>
      <c r="I366" s="6">
        <v>0.31</v>
      </c>
      <c r="J366" s="6">
        <v>-1.5129999999999999</v>
      </c>
      <c r="K366" s="6">
        <v>89</v>
      </c>
      <c r="L366" s="6"/>
      <c r="M366" s="6">
        <v>-0.878</v>
      </c>
      <c r="N366" s="6">
        <v>1.2829999999999999</v>
      </c>
      <c r="O366" s="6">
        <v>0.97299999999999998</v>
      </c>
      <c r="P366" s="6">
        <v>92.7</v>
      </c>
      <c r="Q366" s="6"/>
      <c r="R366" s="6">
        <v>-0.46500000000000002</v>
      </c>
      <c r="S366" s="6">
        <v>1.4790000000000001</v>
      </c>
      <c r="T366" s="6">
        <v>-2.86</v>
      </c>
      <c r="U366" s="6">
        <v>79.900000000000006</v>
      </c>
      <c r="V366" s="6"/>
      <c r="W366" s="6">
        <v>-1.2</v>
      </c>
      <c r="X366" s="6">
        <v>1.0649999999999999</v>
      </c>
      <c r="Y366" s="6">
        <v>0.30199999999999999</v>
      </c>
      <c r="Z366" s="6">
        <v>1.4870000000000001</v>
      </c>
      <c r="AA366" s="6">
        <v>0.1</v>
      </c>
      <c r="AB366" s="6">
        <v>1.6950000000000001</v>
      </c>
      <c r="AC366" s="6">
        <v>-4.2999999999999997E-2</v>
      </c>
      <c r="AD366" s="6">
        <v>-3.7149999999999999</v>
      </c>
      <c r="AE366" s="6">
        <v>8.9999999999999993E-3</v>
      </c>
      <c r="AF366" s="6">
        <v>7.0000000000000001E-3</v>
      </c>
      <c r="AG366" s="6">
        <v>1.7030000000000001</v>
      </c>
      <c r="AH366" s="6"/>
      <c r="AI366" s="6">
        <f t="shared" si="140"/>
        <v>0.33499999999999974</v>
      </c>
      <c r="AJ366">
        <f t="shared" si="164"/>
        <v>7</v>
      </c>
      <c r="AK366" s="21">
        <f t="shared" si="139"/>
        <v>7</v>
      </c>
      <c r="AL366">
        <f t="shared" si="163"/>
        <v>567.80000000000052</v>
      </c>
      <c r="AM366" s="4">
        <v>4.4800000000000004</v>
      </c>
      <c r="AN366">
        <v>0.31</v>
      </c>
      <c r="AP366" s="7">
        <f t="shared" si="161"/>
        <v>0.52300000000000002</v>
      </c>
      <c r="AQ366" s="7">
        <f t="shared" si="141"/>
        <v>0.13200000000000001</v>
      </c>
      <c r="AS366">
        <f t="shared" si="142"/>
        <v>0.31</v>
      </c>
      <c r="AT366">
        <f t="shared" si="143"/>
        <v>-1.5</v>
      </c>
      <c r="AU366">
        <f t="shared" si="144"/>
        <v>89</v>
      </c>
      <c r="AV366" t="s">
        <v>104</v>
      </c>
      <c r="AW366">
        <f t="shared" si="145"/>
        <v>-0.9</v>
      </c>
      <c r="AX366">
        <f t="shared" si="146"/>
        <v>1.3</v>
      </c>
      <c r="AY366">
        <f t="shared" si="147"/>
        <v>1</v>
      </c>
      <c r="AZ366">
        <f t="shared" si="148"/>
        <v>92.7</v>
      </c>
      <c r="BA366" t="s">
        <v>104</v>
      </c>
      <c r="BB366">
        <f t="shared" si="149"/>
        <v>-0.5</v>
      </c>
      <c r="BC366">
        <f t="shared" si="150"/>
        <v>1.5</v>
      </c>
      <c r="BD366">
        <f t="shared" si="151"/>
        <v>-2.9</v>
      </c>
      <c r="BE366">
        <f t="shared" si="152"/>
        <v>79.900000000000006</v>
      </c>
      <c r="BF366" t="s">
        <v>104</v>
      </c>
      <c r="BG366">
        <f t="shared" si="153"/>
        <v>-1.2</v>
      </c>
      <c r="BH366">
        <f t="shared" si="154"/>
        <v>1.1000000000000001</v>
      </c>
      <c r="BI366">
        <f t="shared" si="155"/>
        <v>0.3</v>
      </c>
      <c r="BJ366">
        <f t="shared" si="156"/>
        <v>1.49</v>
      </c>
      <c r="BK366">
        <f t="shared" si="157"/>
        <v>0.33499999999999974</v>
      </c>
      <c r="BL366">
        <f t="shared" si="158"/>
        <v>7</v>
      </c>
      <c r="BM366">
        <f t="shared" si="159"/>
        <v>0.52300000000000002</v>
      </c>
      <c r="BN366">
        <f t="shared" si="160"/>
        <v>0.13200000000000001</v>
      </c>
    </row>
    <row r="367" spans="1:66" x14ac:dyDescent="0.25">
      <c r="A367">
        <v>2024</v>
      </c>
      <c r="B367" s="1">
        <f t="shared" si="162"/>
        <v>45653</v>
      </c>
      <c r="C367" s="2">
        <v>362</v>
      </c>
      <c r="D367">
        <v>70</v>
      </c>
      <c r="E367" s="6">
        <v>12.74</v>
      </c>
      <c r="F367" s="6">
        <v>-5.2930000000000001</v>
      </c>
      <c r="G367" s="6">
        <v>-2.3180000000000001</v>
      </c>
      <c r="H367" s="6">
        <v>-7.59</v>
      </c>
      <c r="I367" s="6">
        <v>0.29799999999999999</v>
      </c>
      <c r="J367" s="6">
        <v>-3.593</v>
      </c>
      <c r="K367" s="6">
        <v>89.2</v>
      </c>
      <c r="L367" s="6"/>
      <c r="M367" s="6">
        <v>-1.363</v>
      </c>
      <c r="N367" s="6">
        <v>1.2549999999999999</v>
      </c>
      <c r="O367" s="6">
        <v>0.97699999999999998</v>
      </c>
      <c r="P367" s="6">
        <v>92.7</v>
      </c>
      <c r="Q367" s="6"/>
      <c r="R367" s="6">
        <v>-0.88700000000000001</v>
      </c>
      <c r="S367" s="6">
        <v>1.6559999999999999</v>
      </c>
      <c r="T367" s="6">
        <v>-5.8090000000000002</v>
      </c>
      <c r="U367" s="6">
        <v>72.5</v>
      </c>
      <c r="V367" s="6"/>
      <c r="W367" s="6">
        <v>-1.6830000000000001</v>
      </c>
      <c r="X367" s="6">
        <v>1.006</v>
      </c>
      <c r="Y367" s="6">
        <v>2E-3</v>
      </c>
      <c r="Z367" s="6">
        <v>0.66</v>
      </c>
      <c r="AA367" s="6">
        <v>0</v>
      </c>
      <c r="AB367" s="6">
        <v>1.6890000000000001</v>
      </c>
      <c r="AC367" s="6">
        <v>-2.194</v>
      </c>
      <c r="AD367" s="6">
        <v>-7.47</v>
      </c>
      <c r="AE367" s="6">
        <v>8.9999999999999993E-3</v>
      </c>
      <c r="AF367" s="6">
        <v>6.0000000000000001E-3</v>
      </c>
      <c r="AG367" s="6">
        <v>1.6950000000000001</v>
      </c>
      <c r="AH367" s="6"/>
      <c r="AI367" s="6">
        <f t="shared" si="140"/>
        <v>0.34099999999999975</v>
      </c>
      <c r="AJ367">
        <f t="shared" si="164"/>
        <v>0.8</v>
      </c>
      <c r="AK367" s="21">
        <f t="shared" si="139"/>
        <v>0.8</v>
      </c>
      <c r="AL367">
        <f t="shared" si="163"/>
        <v>568.60000000000048</v>
      </c>
      <c r="AM367" s="4">
        <v>4.5</v>
      </c>
      <c r="AN367">
        <v>0.3</v>
      </c>
      <c r="AP367" s="7">
        <f t="shared" si="161"/>
        <v>0.47499999999999998</v>
      </c>
      <c r="AQ367" s="7">
        <f t="shared" si="141"/>
        <v>0.18</v>
      </c>
      <c r="AS367">
        <f t="shared" si="142"/>
        <v>0.3</v>
      </c>
      <c r="AT367">
        <f t="shared" si="143"/>
        <v>-3.6</v>
      </c>
      <c r="AU367">
        <f t="shared" si="144"/>
        <v>89.2</v>
      </c>
      <c r="AV367" t="s">
        <v>104</v>
      </c>
      <c r="AW367">
        <f t="shared" si="145"/>
        <v>-1.4</v>
      </c>
      <c r="AX367">
        <f t="shared" si="146"/>
        <v>1.3</v>
      </c>
      <c r="AY367">
        <f t="shared" si="147"/>
        <v>1</v>
      </c>
      <c r="AZ367">
        <f t="shared" si="148"/>
        <v>92.7</v>
      </c>
      <c r="BA367" t="s">
        <v>104</v>
      </c>
      <c r="BB367">
        <f t="shared" si="149"/>
        <v>-0.9</v>
      </c>
      <c r="BC367">
        <f t="shared" si="150"/>
        <v>1.7</v>
      </c>
      <c r="BD367">
        <f t="shared" si="151"/>
        <v>-5.8</v>
      </c>
      <c r="BE367">
        <f t="shared" si="152"/>
        <v>72.5</v>
      </c>
      <c r="BF367" t="s">
        <v>104</v>
      </c>
      <c r="BG367">
        <f t="shared" si="153"/>
        <v>-1.7</v>
      </c>
      <c r="BH367">
        <f t="shared" si="154"/>
        <v>1</v>
      </c>
      <c r="BI367">
        <f t="shared" si="155"/>
        <v>0</v>
      </c>
      <c r="BJ367">
        <f t="shared" si="156"/>
        <v>0.66</v>
      </c>
      <c r="BK367">
        <f t="shared" si="157"/>
        <v>0.34099999999999975</v>
      </c>
      <c r="BL367">
        <f t="shared" si="158"/>
        <v>0.8</v>
      </c>
      <c r="BM367">
        <f t="shared" si="159"/>
        <v>0.47499999999999998</v>
      </c>
      <c r="BN367">
        <f t="shared" si="160"/>
        <v>0.18</v>
      </c>
    </row>
    <row r="368" spans="1:66" x14ac:dyDescent="0.25">
      <c r="A368">
        <v>2024</v>
      </c>
      <c r="B368" s="1">
        <f t="shared" si="162"/>
        <v>45654</v>
      </c>
      <c r="C368" s="2">
        <v>363</v>
      </c>
      <c r="D368">
        <v>70</v>
      </c>
      <c r="E368" s="6">
        <v>12.72</v>
      </c>
      <c r="F368" s="6">
        <v>-2.0569999999999999</v>
      </c>
      <c r="G368" s="6">
        <v>-0.54400000000000004</v>
      </c>
      <c r="H368" s="6">
        <v>-3.169</v>
      </c>
      <c r="I368" s="6">
        <v>0.123</v>
      </c>
      <c r="J368" s="6">
        <v>-1.1619999999999999</v>
      </c>
      <c r="K368" s="6">
        <v>90.1</v>
      </c>
      <c r="L368" s="6"/>
      <c r="M368" s="6">
        <v>-1.0589999999999999</v>
      </c>
      <c r="N368" s="6">
        <v>1.2569999999999999</v>
      </c>
      <c r="O368" s="6">
        <v>0.90700000000000003</v>
      </c>
      <c r="P368" s="6">
        <v>91.9</v>
      </c>
      <c r="Q368" s="6"/>
      <c r="R368" s="6">
        <v>-0.66100000000000003</v>
      </c>
      <c r="S368" s="6">
        <v>1.4650000000000001</v>
      </c>
      <c r="T368" s="6">
        <v>-2.5230000000000001</v>
      </c>
      <c r="U368" s="6">
        <v>85.7</v>
      </c>
      <c r="V368" s="6"/>
      <c r="W368" s="6">
        <v>-1.492</v>
      </c>
      <c r="X368" s="6">
        <v>1.1080000000000001</v>
      </c>
      <c r="Y368" s="6">
        <v>0</v>
      </c>
      <c r="Z368" s="6">
        <v>0.46</v>
      </c>
      <c r="AA368" s="6">
        <v>0</v>
      </c>
      <c r="AB368" s="6">
        <v>1.64</v>
      </c>
      <c r="AC368" s="6">
        <v>-0.51500000000000001</v>
      </c>
      <c r="AD368" s="6">
        <v>-3.0270000000000001</v>
      </c>
      <c r="AE368" s="6">
        <v>8.9999999999999993E-3</v>
      </c>
      <c r="AF368" s="6">
        <v>6.0000000000000001E-3</v>
      </c>
      <c r="AG368" s="6">
        <v>1.6419999999999999</v>
      </c>
      <c r="AH368" s="6"/>
      <c r="AI368" s="6">
        <f t="shared" si="140"/>
        <v>0.3899999999999999</v>
      </c>
      <c r="AJ368">
        <f t="shared" si="164"/>
        <v>6.4</v>
      </c>
      <c r="AK368" s="21">
        <f t="shared" si="139"/>
        <v>6.4</v>
      </c>
      <c r="AL368">
        <f t="shared" si="163"/>
        <v>575.00000000000045</v>
      </c>
      <c r="AM368" s="4">
        <v>4.53</v>
      </c>
      <c r="AN368">
        <v>0.12</v>
      </c>
      <c r="AP368" s="7">
        <f t="shared" si="161"/>
        <v>0.55900000000000005</v>
      </c>
      <c r="AQ368" s="7">
        <f t="shared" si="141"/>
        <v>9.2999999999999999E-2</v>
      </c>
      <c r="AS368">
        <f t="shared" si="142"/>
        <v>0.12</v>
      </c>
      <c r="AT368">
        <f t="shared" si="143"/>
        <v>-1.2</v>
      </c>
      <c r="AU368">
        <f t="shared" si="144"/>
        <v>90.1</v>
      </c>
      <c r="AV368" t="s">
        <v>104</v>
      </c>
      <c r="AW368">
        <f t="shared" si="145"/>
        <v>-1.1000000000000001</v>
      </c>
      <c r="AX368">
        <f t="shared" si="146"/>
        <v>1.3</v>
      </c>
      <c r="AY368">
        <f t="shared" si="147"/>
        <v>0.9</v>
      </c>
      <c r="AZ368">
        <f t="shared" si="148"/>
        <v>91.9</v>
      </c>
      <c r="BA368" t="s">
        <v>104</v>
      </c>
      <c r="BB368">
        <f t="shared" si="149"/>
        <v>-0.7</v>
      </c>
      <c r="BC368">
        <f t="shared" si="150"/>
        <v>1.5</v>
      </c>
      <c r="BD368">
        <f t="shared" si="151"/>
        <v>-2.5</v>
      </c>
      <c r="BE368">
        <f t="shared" si="152"/>
        <v>85.7</v>
      </c>
      <c r="BF368" t="s">
        <v>104</v>
      </c>
      <c r="BG368">
        <f t="shared" si="153"/>
        <v>-1.5</v>
      </c>
      <c r="BH368">
        <f t="shared" si="154"/>
        <v>1.1000000000000001</v>
      </c>
      <c r="BI368">
        <f t="shared" si="155"/>
        <v>0</v>
      </c>
      <c r="BJ368">
        <f t="shared" si="156"/>
        <v>0.46</v>
      </c>
      <c r="BK368">
        <f t="shared" si="157"/>
        <v>0.3899999999999999</v>
      </c>
      <c r="BL368">
        <f t="shared" si="158"/>
        <v>6.4</v>
      </c>
      <c r="BM368">
        <f t="shared" si="159"/>
        <v>0.55900000000000005</v>
      </c>
      <c r="BN368">
        <f t="shared" si="160"/>
        <v>9.2999999999999999E-2</v>
      </c>
    </row>
    <row r="369" spans="1:85" x14ac:dyDescent="0.25">
      <c r="A369">
        <v>2024</v>
      </c>
      <c r="B369" s="1">
        <f t="shared" si="162"/>
        <v>45655</v>
      </c>
      <c r="C369" s="2">
        <v>364</v>
      </c>
      <c r="D369">
        <v>70</v>
      </c>
      <c r="E369" s="6">
        <v>12.98</v>
      </c>
      <c r="F369" s="6">
        <v>-3.266</v>
      </c>
      <c r="G369" s="6">
        <v>1.476</v>
      </c>
      <c r="H369" s="6">
        <v>-5.6879999999999997</v>
      </c>
      <c r="I369" s="6">
        <v>0.59199999999999997</v>
      </c>
      <c r="J369" s="6">
        <v>-2.0430000000000001</v>
      </c>
      <c r="K369" s="6">
        <v>89.6</v>
      </c>
      <c r="L369" s="6"/>
      <c r="M369" s="6">
        <v>-0.68</v>
      </c>
      <c r="N369" s="6">
        <v>1.198</v>
      </c>
      <c r="O369" s="6">
        <v>3.456</v>
      </c>
      <c r="P369" s="6">
        <v>93.1</v>
      </c>
      <c r="Q369" s="6"/>
      <c r="R369" s="6">
        <v>0.35099999999999998</v>
      </c>
      <c r="S369" s="6">
        <v>2.008</v>
      </c>
      <c r="T369" s="6">
        <v>-4.8659999999999997</v>
      </c>
      <c r="U369" s="6">
        <v>71.5</v>
      </c>
      <c r="V369" s="6"/>
      <c r="W369" s="6">
        <v>-1.202</v>
      </c>
      <c r="X369" s="6">
        <v>0.753</v>
      </c>
      <c r="Y369" s="6">
        <v>5.0000000000000001E-3</v>
      </c>
      <c r="Z369" s="6">
        <v>0.68700000000000006</v>
      </c>
      <c r="AA369" s="6">
        <v>0</v>
      </c>
      <c r="AB369" s="6">
        <v>1.6679999999999999</v>
      </c>
      <c r="AC369" s="6">
        <v>1.9670000000000001</v>
      </c>
      <c r="AD369" s="6">
        <v>-5.4470000000000001</v>
      </c>
      <c r="AE369" s="6">
        <v>8.9999999999999993E-3</v>
      </c>
      <c r="AF369" s="6">
        <v>7.0000000000000001E-3</v>
      </c>
      <c r="AG369" s="6">
        <v>1.675</v>
      </c>
      <c r="AH369" s="6"/>
      <c r="AI369" s="6">
        <f t="shared" si="140"/>
        <v>0.36199999999999988</v>
      </c>
      <c r="AJ369">
        <f t="shared" si="164"/>
        <v>0</v>
      </c>
      <c r="AK369" s="21">
        <f t="shared" si="139"/>
        <v>0</v>
      </c>
      <c r="AL369">
        <f t="shared" si="163"/>
        <v>575.00000000000045</v>
      </c>
      <c r="AM369" s="4">
        <v>4.5599999999999996</v>
      </c>
      <c r="AN369">
        <v>0.59</v>
      </c>
      <c r="AP369" s="7">
        <f t="shared" si="161"/>
        <v>0.55900000000000005</v>
      </c>
      <c r="AQ369" s="7">
        <f t="shared" si="141"/>
        <v>0.223</v>
      </c>
      <c r="AS369">
        <f t="shared" si="142"/>
        <v>0.59</v>
      </c>
      <c r="AT369">
        <f t="shared" si="143"/>
        <v>-2</v>
      </c>
      <c r="AU369">
        <f t="shared" si="144"/>
        <v>89.6</v>
      </c>
      <c r="AV369" t="s">
        <v>104</v>
      </c>
      <c r="AW369">
        <f t="shared" si="145"/>
        <v>-0.7</v>
      </c>
      <c r="AX369">
        <f t="shared" si="146"/>
        <v>1.2</v>
      </c>
      <c r="AY369">
        <f t="shared" si="147"/>
        <v>3.5</v>
      </c>
      <c r="AZ369">
        <f t="shared" si="148"/>
        <v>93.1</v>
      </c>
      <c r="BA369" t="s">
        <v>104</v>
      </c>
      <c r="BB369">
        <f t="shared" si="149"/>
        <v>0.4</v>
      </c>
      <c r="BC369">
        <f t="shared" si="150"/>
        <v>2</v>
      </c>
      <c r="BD369">
        <f t="shared" si="151"/>
        <v>-4.9000000000000004</v>
      </c>
      <c r="BE369">
        <f t="shared" si="152"/>
        <v>71.5</v>
      </c>
      <c r="BF369" t="s">
        <v>104</v>
      </c>
      <c r="BG369">
        <f t="shared" si="153"/>
        <v>-1.2</v>
      </c>
      <c r="BH369">
        <f t="shared" si="154"/>
        <v>0.8</v>
      </c>
      <c r="BI369">
        <f t="shared" si="155"/>
        <v>0.01</v>
      </c>
      <c r="BJ369">
        <f t="shared" si="156"/>
        <v>0.69</v>
      </c>
      <c r="BK369">
        <f t="shared" si="157"/>
        <v>0.36199999999999988</v>
      </c>
      <c r="BL369">
        <f t="shared" si="158"/>
        <v>0</v>
      </c>
      <c r="BM369">
        <f t="shared" si="159"/>
        <v>0.55900000000000005</v>
      </c>
      <c r="BN369">
        <f t="shared" si="160"/>
        <v>0.223</v>
      </c>
    </row>
    <row r="370" spans="1:85" x14ac:dyDescent="0.25">
      <c r="A370">
        <v>2024</v>
      </c>
      <c r="B370" s="1">
        <f t="shared" si="162"/>
        <v>45656</v>
      </c>
      <c r="C370" s="2">
        <v>365</v>
      </c>
      <c r="D370">
        <v>70</v>
      </c>
      <c r="E370" s="6">
        <v>12.76</v>
      </c>
      <c r="F370" s="6">
        <v>-3.1459999999999999</v>
      </c>
      <c r="G370" s="6">
        <v>-1.5840000000000001</v>
      </c>
      <c r="H370" s="6">
        <v>-3.8879999999999999</v>
      </c>
      <c r="I370" s="6">
        <v>0.247</v>
      </c>
      <c r="J370" s="6">
        <v>-2.4860000000000002</v>
      </c>
      <c r="K370" s="6">
        <v>89.4</v>
      </c>
      <c r="L370" s="6"/>
      <c r="M370" s="6">
        <v>-0.90400000000000003</v>
      </c>
      <c r="N370" s="6">
        <v>1.214</v>
      </c>
      <c r="O370" s="6">
        <v>-0.70599999999999996</v>
      </c>
      <c r="P370" s="6">
        <v>91.5</v>
      </c>
      <c r="Q370" s="6"/>
      <c r="R370" s="6">
        <v>-0.66200000000000003</v>
      </c>
      <c r="S370" s="6">
        <v>1.3380000000000001</v>
      </c>
      <c r="T370" s="6">
        <v>-3.3980000000000001</v>
      </c>
      <c r="U370" s="6">
        <v>82.2</v>
      </c>
      <c r="V370" s="6"/>
      <c r="W370" s="6">
        <v>-1.0529999999999999</v>
      </c>
      <c r="X370" s="6">
        <v>1.1160000000000001</v>
      </c>
      <c r="Y370" s="6">
        <v>0</v>
      </c>
      <c r="Z370" s="6">
        <v>0</v>
      </c>
      <c r="AA370" s="6">
        <v>0</v>
      </c>
      <c r="AB370" s="6">
        <v>1.679</v>
      </c>
      <c r="AC370" s="6">
        <v>-1.488</v>
      </c>
      <c r="AD370" s="6">
        <v>-3.7360000000000002</v>
      </c>
      <c r="AE370" s="6">
        <v>8.9999999999999993E-3</v>
      </c>
      <c r="AF370" s="6">
        <v>7.0000000000000001E-3</v>
      </c>
      <c r="AG370" s="6">
        <v>1.6879999999999999</v>
      </c>
      <c r="AH370" s="6"/>
      <c r="AI370" s="6">
        <f t="shared" si="140"/>
        <v>0.35099999999999976</v>
      </c>
      <c r="AJ370">
        <f t="shared" si="164"/>
        <v>0</v>
      </c>
      <c r="AK370" s="21">
        <f t="shared" si="139"/>
        <v>0</v>
      </c>
      <c r="AL370">
        <f t="shared" si="163"/>
        <v>575.00000000000045</v>
      </c>
      <c r="AM370" s="4">
        <v>4.59</v>
      </c>
      <c r="AN370">
        <v>0.25</v>
      </c>
      <c r="AP370" s="7">
        <f t="shared" si="161"/>
        <v>0.47699999999999998</v>
      </c>
      <c r="AQ370" s="7">
        <f t="shared" si="141"/>
        <v>0.10299999999999999</v>
      </c>
      <c r="AS370">
        <f t="shared" si="142"/>
        <v>0.25</v>
      </c>
      <c r="AT370">
        <f t="shared" si="143"/>
        <v>-2.5</v>
      </c>
      <c r="AU370">
        <f t="shared" si="144"/>
        <v>89.4</v>
      </c>
      <c r="AV370" t="s">
        <v>104</v>
      </c>
      <c r="AW370">
        <f t="shared" si="145"/>
        <v>-0.9</v>
      </c>
      <c r="AX370">
        <f t="shared" si="146"/>
        <v>1.2</v>
      </c>
      <c r="AY370">
        <f t="shared" si="147"/>
        <v>-0.7</v>
      </c>
      <c r="AZ370">
        <f t="shared" si="148"/>
        <v>91.5</v>
      </c>
      <c r="BA370" t="s">
        <v>104</v>
      </c>
      <c r="BB370">
        <f t="shared" si="149"/>
        <v>-0.7</v>
      </c>
      <c r="BC370">
        <f t="shared" si="150"/>
        <v>1.3</v>
      </c>
      <c r="BD370">
        <f t="shared" si="151"/>
        <v>-3.4</v>
      </c>
      <c r="BE370">
        <f t="shared" si="152"/>
        <v>82.2</v>
      </c>
      <c r="BF370" t="s">
        <v>104</v>
      </c>
      <c r="BG370">
        <f t="shared" si="153"/>
        <v>-1.1000000000000001</v>
      </c>
      <c r="BH370">
        <f t="shared" si="154"/>
        <v>1.1000000000000001</v>
      </c>
      <c r="BI370">
        <f t="shared" si="155"/>
        <v>0</v>
      </c>
      <c r="BJ370">
        <f t="shared" si="156"/>
        <v>0</v>
      </c>
      <c r="BK370">
        <f t="shared" si="157"/>
        <v>0.35099999999999976</v>
      </c>
      <c r="BL370">
        <f t="shared" si="158"/>
        <v>0</v>
      </c>
      <c r="BM370">
        <f t="shared" si="159"/>
        <v>0.47699999999999998</v>
      </c>
      <c r="BN370">
        <f t="shared" si="160"/>
        <v>0.10299999999999999</v>
      </c>
    </row>
    <row r="371" spans="1:85" x14ac:dyDescent="0.25">
      <c r="A371">
        <v>2024</v>
      </c>
      <c r="B371" s="1">
        <f t="shared" si="162"/>
        <v>45657</v>
      </c>
      <c r="C371" s="2">
        <v>366</v>
      </c>
      <c r="D371">
        <v>70</v>
      </c>
      <c r="E371" s="6">
        <v>12.77</v>
      </c>
      <c r="F371" s="6">
        <v>-4.8639999999999999</v>
      </c>
      <c r="G371" s="6">
        <v>-1.806</v>
      </c>
      <c r="H371" s="6">
        <v>-7.94</v>
      </c>
      <c r="I371" s="6">
        <v>0.435</v>
      </c>
      <c r="J371" s="6">
        <v>-3.8559999999999999</v>
      </c>
      <c r="K371" s="6">
        <v>85.4</v>
      </c>
      <c r="L371" s="6"/>
      <c r="M371" s="6">
        <v>-1.1479999999999999</v>
      </c>
      <c r="N371" s="6">
        <v>1.1439999999999999</v>
      </c>
      <c r="O371" s="6">
        <v>-0.437</v>
      </c>
      <c r="P371" s="6">
        <v>91.3</v>
      </c>
      <c r="Q371" s="6"/>
      <c r="R371" s="6">
        <v>-0.67600000000000005</v>
      </c>
      <c r="S371" s="6">
        <v>1.3720000000000001</v>
      </c>
      <c r="T371" s="6">
        <v>-6.6840000000000002</v>
      </c>
      <c r="U371" s="6">
        <v>61.63</v>
      </c>
      <c r="V371" s="6"/>
      <c r="W371" s="6">
        <v>-1.5960000000000001</v>
      </c>
      <c r="X371" s="6">
        <v>0.79700000000000004</v>
      </c>
      <c r="Y371" s="6">
        <v>0</v>
      </c>
      <c r="Z371" s="6">
        <v>0</v>
      </c>
      <c r="AA371" s="6">
        <v>0</v>
      </c>
      <c r="AB371" s="6">
        <v>1.696</v>
      </c>
      <c r="AC371" s="6">
        <v>-1.5920000000000001</v>
      </c>
      <c r="AD371" s="6">
        <v>-7.75</v>
      </c>
      <c r="AE371" s="6">
        <v>8.9999999999999993E-3</v>
      </c>
      <c r="AF371" s="6">
        <v>6.0000000000000001E-3</v>
      </c>
      <c r="AG371" s="6">
        <v>1.712</v>
      </c>
      <c r="AH371" s="6"/>
      <c r="AI371" s="6">
        <f t="shared" si="140"/>
        <v>0.33399999999999985</v>
      </c>
      <c r="AJ371">
        <f t="shared" si="164"/>
        <v>0</v>
      </c>
      <c r="AK371" s="21">
        <f t="shared" si="139"/>
        <v>0</v>
      </c>
      <c r="AL371">
        <f t="shared" si="163"/>
        <v>575.00000000000045</v>
      </c>
      <c r="AM371" s="5">
        <v>4.63</v>
      </c>
      <c r="AN371">
        <v>0.43</v>
      </c>
      <c r="AP371" s="7">
        <f t="shared" si="161"/>
        <v>0.36399999999999999</v>
      </c>
      <c r="AQ371" s="7">
        <f t="shared" si="141"/>
        <v>0.22700000000000001</v>
      </c>
      <c r="AS371">
        <f t="shared" si="142"/>
        <v>0.43</v>
      </c>
      <c r="AT371">
        <f t="shared" si="143"/>
        <v>-3.9</v>
      </c>
      <c r="AU371">
        <f t="shared" si="144"/>
        <v>85.4</v>
      </c>
      <c r="AV371" t="s">
        <v>104</v>
      </c>
      <c r="AW371">
        <f t="shared" si="145"/>
        <v>-1.1000000000000001</v>
      </c>
      <c r="AX371">
        <f t="shared" si="146"/>
        <v>1.1000000000000001</v>
      </c>
      <c r="AY371">
        <f t="shared" si="147"/>
        <v>-0.4</v>
      </c>
      <c r="AZ371">
        <f t="shared" si="148"/>
        <v>91.3</v>
      </c>
      <c r="BA371" t="s">
        <v>104</v>
      </c>
      <c r="BB371">
        <f t="shared" si="149"/>
        <v>-0.7</v>
      </c>
      <c r="BC371">
        <f t="shared" si="150"/>
        <v>1.4</v>
      </c>
      <c r="BD371">
        <f t="shared" si="151"/>
        <v>-6.7</v>
      </c>
      <c r="BE371">
        <f t="shared" si="152"/>
        <v>61.6</v>
      </c>
      <c r="BF371" t="s">
        <v>104</v>
      </c>
      <c r="BG371">
        <f t="shared" si="153"/>
        <v>-1.6</v>
      </c>
      <c r="BH371">
        <f t="shared" si="154"/>
        <v>0.8</v>
      </c>
      <c r="BI371">
        <f t="shared" si="155"/>
        <v>0</v>
      </c>
      <c r="BJ371">
        <f t="shared" si="156"/>
        <v>0</v>
      </c>
      <c r="BK371">
        <f t="shared" si="157"/>
        <v>0.33399999999999985</v>
      </c>
      <c r="BL371">
        <f t="shared" si="158"/>
        <v>0</v>
      </c>
      <c r="BM371">
        <f t="shared" si="159"/>
        <v>0.36399999999999999</v>
      </c>
      <c r="BN371">
        <f t="shared" si="160"/>
        <v>0.22700000000000001</v>
      </c>
    </row>
    <row r="374" spans="1:85" x14ac:dyDescent="0.25">
      <c r="AI374" t="s">
        <v>72</v>
      </c>
      <c r="AS374" s="27"/>
      <c r="AT374" s="8"/>
      <c r="AU374" s="8"/>
      <c r="AV374" s="8"/>
      <c r="AW374" s="8"/>
      <c r="AX374" s="8"/>
      <c r="AY374" s="8"/>
      <c r="AZ374" s="13"/>
      <c r="BA374" s="2"/>
      <c r="BB374" s="2"/>
      <c r="BC374" s="2"/>
      <c r="BD374" s="2"/>
      <c r="BE374" s="2"/>
      <c r="BF374" s="2"/>
      <c r="BG374" s="14"/>
      <c r="BH374" s="14"/>
      <c r="BI374" s="14"/>
      <c r="BJ374" s="2"/>
      <c r="BK374" s="2"/>
      <c r="BL374" s="2"/>
      <c r="BM374" s="2"/>
      <c r="BN374" s="2"/>
    </row>
    <row r="375" spans="1:85" s="2" customFormat="1" x14ac:dyDescent="0.25">
      <c r="C375" s="8"/>
      <c r="D375" s="8"/>
      <c r="E375" s="8"/>
      <c r="F375" s="8"/>
      <c r="G375" s="8"/>
      <c r="H375" s="8"/>
      <c r="I375" s="12"/>
      <c r="J375" s="12" t="s">
        <v>78</v>
      </c>
      <c r="K375" s="12" t="s">
        <v>79</v>
      </c>
      <c r="L375" s="8" t="s">
        <v>80</v>
      </c>
      <c r="M375" s="12" t="s">
        <v>81</v>
      </c>
      <c r="N375" s="12" t="s">
        <v>82</v>
      </c>
      <c r="O375" s="12" t="s">
        <v>83</v>
      </c>
      <c r="P375" s="12" t="s">
        <v>84</v>
      </c>
      <c r="Q375" s="8"/>
      <c r="R375" s="8"/>
      <c r="S375" s="8"/>
      <c r="T375" s="12" t="s">
        <v>85</v>
      </c>
      <c r="U375" s="12" t="s">
        <v>86</v>
      </c>
      <c r="V375" s="12" t="s">
        <v>87</v>
      </c>
      <c r="W375" s="12" t="s">
        <v>88</v>
      </c>
      <c r="X375" s="12"/>
      <c r="Y375" s="8" t="s">
        <v>89</v>
      </c>
      <c r="Z375" s="12" t="s">
        <v>90</v>
      </c>
      <c r="AA375" s="8" t="s">
        <v>91</v>
      </c>
      <c r="AB375" s="8" t="s">
        <v>43</v>
      </c>
      <c r="AD375" s="8"/>
      <c r="AE375" s="8"/>
      <c r="AF375" s="12"/>
      <c r="AG375" s="8"/>
      <c r="AH375" s="8"/>
      <c r="AI375" s="13" t="s">
        <v>71</v>
      </c>
      <c r="AK375" s="8" t="s">
        <v>43</v>
      </c>
      <c r="AM375" s="8"/>
      <c r="AN375" s="8" t="s">
        <v>42</v>
      </c>
      <c r="AO375" s="8"/>
      <c r="AP375" s="2" t="s">
        <v>39</v>
      </c>
      <c r="AQ375" s="2" t="s">
        <v>40</v>
      </c>
      <c r="AR375" s="2" t="s">
        <v>44</v>
      </c>
      <c r="AS375" s="28"/>
      <c r="AT375" s="8"/>
      <c r="AU375" s="8"/>
      <c r="AV375" s="8"/>
      <c r="AW375" s="8"/>
      <c r="AX375" s="8"/>
      <c r="AY375" s="8"/>
      <c r="AZ375" s="16"/>
      <c r="BE375" s="17"/>
      <c r="BG375" s="17"/>
      <c r="BH375" s="17"/>
      <c r="BI375" s="17"/>
      <c r="BJ375" s="10"/>
      <c r="BL375" s="10"/>
      <c r="BW375"/>
      <c r="CG375"/>
    </row>
    <row r="376" spans="1:85" s="2" customFormat="1" x14ac:dyDescent="0.25">
      <c r="C376" s="2" t="s">
        <v>45</v>
      </c>
      <c r="D376" s="8"/>
      <c r="E376" s="8"/>
      <c r="F376" s="8"/>
      <c r="G376" s="8"/>
      <c r="H376" s="8"/>
      <c r="I376" s="15"/>
      <c r="J376" s="15">
        <f t="shared" ref="J376:O376" si="165">ROUND(AVERAGE(J6:J36),1)</f>
        <v>-6</v>
      </c>
      <c r="K376" s="15">
        <f t="shared" si="165"/>
        <v>83</v>
      </c>
      <c r="L376" s="15" t="e">
        <f t="shared" si="165"/>
        <v>#DIV/0!</v>
      </c>
      <c r="M376" s="15">
        <f t="shared" si="165"/>
        <v>-2.6</v>
      </c>
      <c r="N376" s="15">
        <f t="shared" si="165"/>
        <v>0.2</v>
      </c>
      <c r="O376" s="15">
        <f t="shared" si="165"/>
        <v>-2.2999999999999998</v>
      </c>
      <c r="P376" s="15">
        <f>ROUND(MAX(O6:O36),1)</f>
        <v>10</v>
      </c>
      <c r="Q376" s="8"/>
      <c r="R376" s="8"/>
      <c r="S376" s="8"/>
      <c r="T376" s="15">
        <f>ROUND(AVERAGE(T6:T36),1)</f>
        <v>-9.1999999999999993</v>
      </c>
      <c r="U376" s="15">
        <f>ROUND(MIN(T6:T36),1)</f>
        <v>-36</v>
      </c>
      <c r="V376" s="15">
        <f>ROUND(AVERAGE(U6:U36),1)</f>
        <v>70.5</v>
      </c>
      <c r="W376" s="15">
        <f>ROUND(MIN(U6:U36),1)</f>
        <v>50.1</v>
      </c>
      <c r="X376" s="15"/>
      <c r="Y376" s="15">
        <f>ROUND(AVERAGE(Y6:Y36),1)</f>
        <v>0.6</v>
      </c>
      <c r="Z376" s="15">
        <f>ROUND(AVERAGE(Z6:Z36),1)</f>
        <v>2.1</v>
      </c>
      <c r="AA376" s="15">
        <f>ROUND(MAX(Z6:Z36),1)</f>
        <v>3.3</v>
      </c>
      <c r="AB376" s="15">
        <f>ROUND(SUM(AA6:AA36),1)</f>
        <v>35.799999999999997</v>
      </c>
      <c r="AD376" s="9"/>
      <c r="AE376" s="15"/>
      <c r="AF376" s="15"/>
      <c r="AG376" s="15"/>
      <c r="AH376" s="15"/>
      <c r="AI376" s="16">
        <f>AI36*1000</f>
        <v>396.99999999999977</v>
      </c>
      <c r="AJ376" s="10"/>
      <c r="AK376" s="15">
        <f>ROUND(SUM(AK6:AK36),1)</f>
        <v>98</v>
      </c>
      <c r="AM376" s="8"/>
      <c r="AN376" s="9">
        <f>ROUND(AVERAGE(AN6:AN36),2)</f>
        <v>1</v>
      </c>
      <c r="AO376" s="8"/>
      <c r="AP376" s="10">
        <f>ROUND(AVERAGE(AP6:AP36),2)</f>
        <v>0.43</v>
      </c>
      <c r="AQ376" s="10">
        <f>ROUND(AVERAGE(AQ6:AQ36),2)</f>
        <v>0.17</v>
      </c>
      <c r="AR376" s="10">
        <f>ROUND(MAX(AQ5:AQ35),2)</f>
        <v>0.53</v>
      </c>
      <c r="AS376" s="28"/>
      <c r="AT376" s="8"/>
      <c r="AU376" s="8"/>
      <c r="AV376" s="8"/>
      <c r="AW376" s="8"/>
      <c r="AX376" s="8"/>
      <c r="AY376" s="8"/>
      <c r="AZ376" s="16"/>
      <c r="BE376" s="17"/>
      <c r="BG376" s="17"/>
      <c r="BH376" s="17"/>
      <c r="BI376" s="17"/>
      <c r="BJ376" s="10"/>
      <c r="BL376" s="10"/>
      <c r="BW376"/>
      <c r="CG376"/>
    </row>
    <row r="377" spans="1:85" s="2" customFormat="1" x14ac:dyDescent="0.25">
      <c r="C377" s="2" t="s">
        <v>46</v>
      </c>
      <c r="D377" s="8"/>
      <c r="E377" s="8"/>
      <c r="F377" s="8"/>
      <c r="G377" s="8"/>
      <c r="H377" s="8"/>
      <c r="I377" s="15"/>
      <c r="J377" s="15">
        <f t="shared" ref="J377:O377" si="166">ROUND(AVERAGE(J37:J65),1)</f>
        <v>-2.6</v>
      </c>
      <c r="K377" s="15">
        <f t="shared" si="166"/>
        <v>78.2</v>
      </c>
      <c r="L377" s="15" t="e">
        <f t="shared" si="166"/>
        <v>#DIV/0!</v>
      </c>
      <c r="M377" s="15">
        <f t="shared" si="166"/>
        <v>-1.9</v>
      </c>
      <c r="N377" s="15">
        <f t="shared" si="166"/>
        <v>0.3</v>
      </c>
      <c r="O377" s="15">
        <f t="shared" si="166"/>
        <v>2.9</v>
      </c>
      <c r="P377" s="15">
        <f>ROUND(MAX(O37:O65),1)</f>
        <v>8.6999999999999993</v>
      </c>
      <c r="Q377" s="8"/>
      <c r="R377" s="8"/>
      <c r="S377" s="8"/>
      <c r="T377" s="15">
        <f>ROUND(AVERAGE(T37:T65),1)</f>
        <v>-6.7</v>
      </c>
      <c r="U377" s="15">
        <f>ROUND(MIN(T37:T65),1)</f>
        <v>-21</v>
      </c>
      <c r="V377" s="15">
        <f>ROUND(AVERAGE(U37:U65),1)</f>
        <v>55.1</v>
      </c>
      <c r="W377" s="15">
        <f>ROUND(MIN(U37:U65),1)</f>
        <v>18</v>
      </c>
      <c r="X377" s="15"/>
      <c r="Y377" s="15">
        <f>ROUND(AVERAGE(Y37:Y65),1)</f>
        <v>0.6</v>
      </c>
      <c r="Z377" s="15">
        <f>ROUND(AVERAGE(Z37:Z65),1)</f>
        <v>2</v>
      </c>
      <c r="AA377" s="15">
        <f>ROUND(MAX(Z37:Z65),1)</f>
        <v>3.8</v>
      </c>
      <c r="AB377" s="15">
        <f>ROUND(SUM(AA37:AA65),1)</f>
        <v>31.1</v>
      </c>
      <c r="AD377" s="9"/>
      <c r="AE377" s="15"/>
      <c r="AF377" s="15"/>
      <c r="AG377" s="15"/>
      <c r="AH377" s="15"/>
      <c r="AI377" s="16">
        <f>AI65*1000</f>
        <v>572.99999999999977</v>
      </c>
      <c r="AJ377" s="10"/>
      <c r="AK377" s="15">
        <f>ROUND(SUM(AK37:AK65),1)</f>
        <v>52</v>
      </c>
      <c r="AM377" s="8"/>
      <c r="AN377" s="9">
        <f>ROUND(AVERAGE(AN37:AN65),2)</f>
        <v>3.46</v>
      </c>
      <c r="AO377" s="8"/>
      <c r="AP377" s="10">
        <f>ROUND(AVERAGE(AP37:AP65),2)</f>
        <v>0.42</v>
      </c>
      <c r="AQ377" s="10">
        <f>ROUND(AVERAGE(AQ37:AQ65),2)</f>
        <v>0.35</v>
      </c>
      <c r="AR377" s="10">
        <f>ROUND(MAX(AQ36:AQ63),2)</f>
        <v>0.78</v>
      </c>
      <c r="AS377" s="29"/>
      <c r="AT377" s="8"/>
      <c r="AU377" s="8"/>
      <c r="AV377" s="8"/>
      <c r="AW377" s="8"/>
      <c r="AX377" s="8"/>
      <c r="AY377" s="8"/>
      <c r="AZ377" s="18"/>
      <c r="BE377" s="17"/>
      <c r="BG377" s="17"/>
      <c r="BH377" s="17"/>
      <c r="BI377" s="17"/>
      <c r="BJ377" s="10"/>
      <c r="BL377" s="10"/>
      <c r="BW377"/>
      <c r="CG377"/>
    </row>
    <row r="378" spans="1:85" s="2" customFormat="1" x14ac:dyDescent="0.25">
      <c r="C378" s="2" t="s">
        <v>47</v>
      </c>
      <c r="D378" s="8"/>
      <c r="E378" s="8"/>
      <c r="F378" s="8"/>
      <c r="G378" s="8"/>
      <c r="H378" s="8"/>
      <c r="I378" s="15"/>
      <c r="J378" s="15">
        <f>ROUND(AVERAGE(J66:J96),1)</f>
        <v>0.5</v>
      </c>
      <c r="K378" s="15">
        <f>ROUND(AVERAGE(K66:K96),1)</f>
        <v>64.8</v>
      </c>
      <c r="L378" s="15" t="e">
        <f t="shared" ref="L378:N378" si="167">ROUND(AVERAGE(L66:L96),1)</f>
        <v>#DIV/0!</v>
      </c>
      <c r="M378" s="15">
        <f t="shared" si="167"/>
        <v>-0.5</v>
      </c>
      <c r="N378" s="15">
        <f t="shared" si="167"/>
        <v>0.4</v>
      </c>
      <c r="O378" s="15">
        <f>ROUND(AVERAGE(O66:O96),1)</f>
        <v>8.1</v>
      </c>
      <c r="P378" s="15">
        <f>ROUND(MAX(O66:O96),1)</f>
        <v>20.100000000000001</v>
      </c>
      <c r="Q378" s="8"/>
      <c r="R378" s="8"/>
      <c r="S378" s="8"/>
      <c r="T378" s="15">
        <f>ROUND(AVERAGE(T66:T96),1)</f>
        <v>-4.4000000000000004</v>
      </c>
      <c r="U378" s="15">
        <f>ROUND(MIN(T66:T96),1)</f>
        <v>-16</v>
      </c>
      <c r="V378" s="15">
        <f>ROUND(AVERAGE(U66:U96),1)</f>
        <v>36.9</v>
      </c>
      <c r="W378" s="15">
        <f>ROUND(MIN(U66:U96),1)</f>
        <v>10.4</v>
      </c>
      <c r="X378" s="15"/>
      <c r="Y378" s="15">
        <f>ROUND(AVERAGE(Y66:Y96),1)</f>
        <v>0.7</v>
      </c>
      <c r="Z378" s="15">
        <f>ROUND(AVERAGE(Z66:Z96),1)</f>
        <v>2.2000000000000002</v>
      </c>
      <c r="AA378" s="15">
        <f>ROUND(MAX(Z66:Z96),1)</f>
        <v>3.1</v>
      </c>
      <c r="AB378" s="15">
        <f>ROUND(SUM(AA66:AA96),1)</f>
        <v>38.299999999999997</v>
      </c>
      <c r="AD378" s="9"/>
      <c r="AE378" s="15"/>
      <c r="AF378" s="15"/>
      <c r="AG378" s="15"/>
      <c r="AH378" s="15"/>
      <c r="AI378" s="18">
        <f>AI96*1000</f>
        <v>380.99999999999977</v>
      </c>
      <c r="AJ378" s="10"/>
      <c r="AK378" s="15">
        <f>ROUND(SUM(AK66:AK96),1)</f>
        <v>29.3</v>
      </c>
      <c r="AM378" s="8"/>
      <c r="AN378" s="9">
        <f>ROUND(AVERAGE(AN66:AN96),2)</f>
        <v>9.34</v>
      </c>
      <c r="AO378" s="8"/>
      <c r="AP378" s="10">
        <f>ROUND(AVERAGE(AP66:AP96),2)</f>
        <v>0.38</v>
      </c>
      <c r="AQ378" s="10">
        <f>ROUND(AVERAGE(AQ66:AQ96),2)</f>
        <v>0.78</v>
      </c>
      <c r="AR378" s="10">
        <f>ROUND(MAX(AQ65:AQ95),2)</f>
        <v>1.86</v>
      </c>
      <c r="AS378" s="29"/>
      <c r="AT378" s="8"/>
      <c r="AU378" s="8"/>
      <c r="AV378" s="8"/>
      <c r="AW378" s="8"/>
      <c r="AX378" s="8"/>
      <c r="AY378" s="8"/>
      <c r="AZ378" s="18"/>
      <c r="BE378" s="17"/>
      <c r="BG378" s="17"/>
      <c r="BH378" s="17"/>
      <c r="BI378" s="17"/>
      <c r="BJ378" s="10"/>
      <c r="BL378" s="10"/>
      <c r="BW378"/>
      <c r="CG378"/>
    </row>
    <row r="379" spans="1:85" s="2" customFormat="1" x14ac:dyDescent="0.25">
      <c r="C379" s="2" t="s">
        <v>48</v>
      </c>
      <c r="D379" s="8"/>
      <c r="E379" s="8"/>
      <c r="F379" s="8"/>
      <c r="G379" s="8"/>
      <c r="H379" s="8"/>
      <c r="I379" s="15"/>
      <c r="J379" s="15">
        <f>ROUND(AVERAGE(J97:J126),1)</f>
        <v>3.2</v>
      </c>
      <c r="K379" s="15">
        <f>ROUND(AVERAGE(K97:K126),1)</f>
        <v>62.9</v>
      </c>
      <c r="L379" s="15" t="e">
        <f t="shared" ref="L379:N379" si="168">ROUND(AVERAGE(L97:L126),1)</f>
        <v>#DIV/0!</v>
      </c>
      <c r="M379" s="15">
        <f t="shared" si="168"/>
        <v>3</v>
      </c>
      <c r="N379" s="15">
        <f t="shared" si="168"/>
        <v>1.1000000000000001</v>
      </c>
      <c r="O379" s="15">
        <f>ROUND(AVERAGE(O97:O126),1)</f>
        <v>10.3</v>
      </c>
      <c r="P379" s="15">
        <f>ROUND(MAX(O97:O126),1)</f>
        <v>17.399999999999999</v>
      </c>
      <c r="Q379" s="8"/>
      <c r="R379" s="8"/>
      <c r="S379" s="8"/>
      <c r="T379" s="15">
        <f>ROUND(AVERAGE(T97:T126),1)</f>
        <v>-1.9</v>
      </c>
      <c r="U379" s="15">
        <f>ROUND(MIN(T97:T126),1)</f>
        <v>-7.4</v>
      </c>
      <c r="V379" s="15">
        <f>ROUND(AVERAGE(U97:U126),1)</f>
        <v>35.1</v>
      </c>
      <c r="W379" s="15">
        <f>ROUND(MIN(U97:U126),1)</f>
        <v>13.9</v>
      </c>
      <c r="X379" s="15"/>
      <c r="Y379" s="15">
        <f>ROUND(AVERAGE(Y97:Y126),1)</f>
        <v>0.8</v>
      </c>
      <c r="Z379" s="15">
        <f>ROUND(AVERAGE(Z97:Z126),1)</f>
        <v>2.5</v>
      </c>
      <c r="AA379" s="15">
        <f>ROUND(MAX(Z97:Z126),1)</f>
        <v>3.7</v>
      </c>
      <c r="AB379" s="15">
        <f>ROUND(SUM(AA97:AA126),1)</f>
        <v>41.2</v>
      </c>
      <c r="AD379" s="9"/>
      <c r="AE379" s="15"/>
      <c r="AF379" s="15"/>
      <c r="AG379" s="15"/>
      <c r="AH379" s="15"/>
      <c r="AI379" s="18">
        <f>AI126*1000</f>
        <v>0</v>
      </c>
      <c r="AJ379" s="10"/>
      <c r="AK379" s="15">
        <f>ROUND(SUM(AK97:AK126),1)</f>
        <v>41.1</v>
      </c>
      <c r="AM379" s="8"/>
      <c r="AN379" s="9">
        <f>ROUND(AVERAGE(AN97:AN126),2)</f>
        <v>11.92</v>
      </c>
      <c r="AO379" s="8"/>
      <c r="AP379" s="10">
        <f>ROUND(AVERAGE(AP97:AP126),2)</f>
        <v>0.42</v>
      </c>
      <c r="AQ379" s="10">
        <f>ROUND(AVERAGE(AQ97:AQ126),2)</f>
        <v>0.86</v>
      </c>
      <c r="AR379" s="10">
        <f>ROUND(MAX(AQ96:AQ125),2)</f>
        <v>1.59</v>
      </c>
      <c r="AS379" s="29"/>
      <c r="AT379" s="8"/>
      <c r="AU379" s="8"/>
      <c r="AV379" s="8"/>
      <c r="AW379" s="8"/>
      <c r="AX379" s="8"/>
      <c r="AY379" s="8"/>
      <c r="AZ379" s="18"/>
      <c r="BE379" s="17"/>
      <c r="BG379" s="17"/>
      <c r="BH379" s="17"/>
      <c r="BI379" s="17"/>
      <c r="BJ379" s="10"/>
      <c r="BL379" s="10"/>
      <c r="BW379"/>
      <c r="CG379"/>
    </row>
    <row r="380" spans="1:85" s="2" customFormat="1" x14ac:dyDescent="0.25">
      <c r="C380" s="2" t="s">
        <v>49</v>
      </c>
      <c r="D380" s="8"/>
      <c r="E380" s="8"/>
      <c r="F380" s="8"/>
      <c r="G380" s="8"/>
      <c r="H380" s="8"/>
      <c r="I380" s="15"/>
      <c r="J380" s="15">
        <f>ROUND(AVERAGE(J127:J157),1)</f>
        <v>8</v>
      </c>
      <c r="K380" s="15">
        <f>ROUND(AVERAGE(K127:K157),1)</f>
        <v>61.5</v>
      </c>
      <c r="L380" s="15" t="e">
        <f t="shared" ref="L380:N380" si="169">ROUND(AVERAGE(L127:L157),1)</f>
        <v>#DIV/0!</v>
      </c>
      <c r="M380" s="15">
        <f t="shared" si="169"/>
        <v>8.4</v>
      </c>
      <c r="N380" s="15">
        <f t="shared" si="169"/>
        <v>7.2</v>
      </c>
      <c r="O380" s="15">
        <f>ROUND(AVERAGE(O127:O157),1)</f>
        <v>16</v>
      </c>
      <c r="P380" s="15">
        <f>ROUND(MAX(O127:O157),1)</f>
        <v>27.8</v>
      </c>
      <c r="Q380" s="8"/>
      <c r="R380" s="8"/>
      <c r="S380" s="8"/>
      <c r="T380" s="15">
        <f>ROUND(AVERAGE(T127:T157),1)</f>
        <v>2</v>
      </c>
      <c r="U380" s="15">
        <f>ROUND(MIN(T127:T157),1)</f>
        <v>-2.2999999999999998</v>
      </c>
      <c r="V380" s="15">
        <f>ROUND(AVERAGE(U127:U157),1)</f>
        <v>34</v>
      </c>
      <c r="W380" s="15">
        <f>ROUND(MIN(U127:U157),1)</f>
        <v>12.4</v>
      </c>
      <c r="X380" s="15"/>
      <c r="Y380" s="15">
        <f>ROUND(AVERAGE(Y127:Y157),1)</f>
        <v>0.8</v>
      </c>
      <c r="Z380" s="15">
        <f>ROUND(AVERAGE(Z127:Z157),1)</f>
        <v>2.6</v>
      </c>
      <c r="AA380" s="15">
        <f>ROUND(MAX(Z127:Z157),1)</f>
        <v>3.6</v>
      </c>
      <c r="AB380" s="15">
        <f>ROUND(SUM(AA127:AA157),1)</f>
        <v>49.4</v>
      </c>
      <c r="AD380" s="9"/>
      <c r="AE380" s="15"/>
      <c r="AF380" s="15"/>
      <c r="AG380" s="15"/>
      <c r="AH380" s="15"/>
      <c r="AI380" s="18">
        <f>AI157*1000</f>
        <v>0</v>
      </c>
      <c r="AJ380" s="10"/>
      <c r="AK380" s="15">
        <f>ROUND(SUM(AK127:AK157),1)</f>
        <v>49.4</v>
      </c>
      <c r="AM380" s="8"/>
      <c r="AN380" s="9">
        <f>ROUND(AVERAGE(AN127:AN157),2)</f>
        <v>14.77</v>
      </c>
      <c r="AO380" s="8"/>
      <c r="AP380" s="10">
        <f>ROUND(AVERAGE(AP127:AP157),2)</f>
        <v>0.57999999999999996</v>
      </c>
      <c r="AQ380" s="10">
        <f>ROUND(AVERAGE(AQ127:AQ157),2)</f>
        <v>1.31</v>
      </c>
      <c r="AR380" s="10">
        <f>ROUND(MAX(AQ126:AQ156),2)</f>
        <v>3.27</v>
      </c>
      <c r="AS380" s="29"/>
      <c r="AT380" s="8"/>
      <c r="AU380" s="8"/>
      <c r="AV380" s="8"/>
      <c r="AW380" s="8"/>
      <c r="AX380" s="8"/>
      <c r="AY380" s="8"/>
      <c r="AZ380" s="18"/>
      <c r="BE380" s="17"/>
      <c r="BG380" s="17"/>
      <c r="BH380" s="17"/>
      <c r="BI380" s="17"/>
      <c r="BJ380" s="10"/>
      <c r="BL380" s="10"/>
      <c r="BW380"/>
      <c r="CG380"/>
    </row>
    <row r="381" spans="1:85" s="2" customFormat="1" x14ac:dyDescent="0.25">
      <c r="C381" s="2" t="s">
        <v>50</v>
      </c>
      <c r="D381" s="8"/>
      <c r="E381" s="8"/>
      <c r="F381" s="8"/>
      <c r="G381" s="8"/>
      <c r="H381" s="8"/>
      <c r="I381" s="15"/>
      <c r="J381" s="15">
        <f>ROUND(AVERAGE(J158:J187),1)</f>
        <v>10.9</v>
      </c>
      <c r="K381" s="15">
        <f>ROUND(AVERAGE(K158:K187),1)</f>
        <v>60.3</v>
      </c>
      <c r="L381" s="15" t="e">
        <f t="shared" ref="L381:N381" si="170">ROUND(AVERAGE(L158:L187),1)</f>
        <v>#DIV/0!</v>
      </c>
      <c r="M381" s="15">
        <f t="shared" si="170"/>
        <v>11.4</v>
      </c>
      <c r="N381" s="15">
        <f t="shared" si="170"/>
        <v>10.1</v>
      </c>
      <c r="O381" s="15">
        <f>ROUND(AVERAGE(O158:O187),1)</f>
        <v>19</v>
      </c>
      <c r="P381" s="15">
        <f>ROUND(MAX(O158:O187),1)</f>
        <v>26.4</v>
      </c>
      <c r="Q381" s="8"/>
      <c r="R381" s="8"/>
      <c r="S381" s="8"/>
      <c r="T381" s="15">
        <f>ROUND(AVERAGE(T158:T187),1)</f>
        <v>4.7</v>
      </c>
      <c r="U381" s="15">
        <f>ROUND(MIN(T158:T187),1)</f>
        <v>0.5</v>
      </c>
      <c r="V381" s="15">
        <f>ROUND(AVERAGE(U158:U187),1)</f>
        <v>33.4</v>
      </c>
      <c r="W381" s="15">
        <f>ROUND(MIN(U158:U187),1)</f>
        <v>14</v>
      </c>
      <c r="X381" s="15"/>
      <c r="Y381" s="15">
        <f>ROUND(AVERAGE(Y158:Y187),1)</f>
        <v>0.8</v>
      </c>
      <c r="Z381" s="15">
        <f>ROUND(AVERAGE(Z158:Z187),1)</f>
        <v>2.5</v>
      </c>
      <c r="AA381" s="15">
        <f>ROUND(MAX(Z158:Z187),1)</f>
        <v>4.5999999999999996</v>
      </c>
      <c r="AB381" s="15">
        <f>ROUND(SUM(AA158:AA187),1)</f>
        <v>80</v>
      </c>
      <c r="AD381" s="9"/>
      <c r="AE381" s="15"/>
      <c r="AF381" s="15"/>
      <c r="AG381" s="15"/>
      <c r="AH381" s="15"/>
      <c r="AI381" s="18">
        <f>AI187*1000</f>
        <v>0</v>
      </c>
      <c r="AJ381" s="10"/>
      <c r="AK381" s="15">
        <f>ROUND(SUM(AK158:AK187),1)</f>
        <v>80</v>
      </c>
      <c r="AM381" s="8"/>
      <c r="AN381" s="9">
        <f>ROUND(AVERAGE(AN158:AN187),2)</f>
        <v>16.5</v>
      </c>
      <c r="AO381" s="8"/>
      <c r="AP381" s="10">
        <f>ROUND(AVERAGE(AP158:AP187),2)</f>
        <v>0.68</v>
      </c>
      <c r="AQ381" s="10">
        <f>ROUND(AVERAGE(AQ158:AQ187),2)</f>
        <v>1.6</v>
      </c>
      <c r="AR381" s="10">
        <f>ROUND(MAX(AQ157:AQ186),2)</f>
        <v>2.92</v>
      </c>
      <c r="AS381" s="29"/>
      <c r="AT381" s="8"/>
      <c r="AU381" s="8"/>
      <c r="AV381" s="8"/>
      <c r="AW381" s="8"/>
      <c r="AX381" s="8"/>
      <c r="AY381" s="8"/>
      <c r="AZ381" s="18"/>
      <c r="BE381" s="17"/>
      <c r="BG381" s="17"/>
      <c r="BH381" s="17"/>
      <c r="BI381" s="17"/>
      <c r="BJ381" s="10"/>
      <c r="BL381" s="10"/>
      <c r="BW381"/>
      <c r="CG381"/>
    </row>
    <row r="382" spans="1:85" s="2" customFormat="1" x14ac:dyDescent="0.25">
      <c r="C382" s="2" t="s">
        <v>51</v>
      </c>
      <c r="D382" s="8"/>
      <c r="E382" s="8"/>
      <c r="F382" s="8"/>
      <c r="G382" s="8"/>
      <c r="H382" s="8"/>
      <c r="I382" s="15"/>
      <c r="J382" s="15">
        <f>ROUND(AVERAGE(J188:J218),1)</f>
        <v>18.899999999999999</v>
      </c>
      <c r="K382" s="15">
        <f>ROUND(AVERAGE(K188:K218),1)</f>
        <v>48.1</v>
      </c>
      <c r="L382" s="15" t="e">
        <f t="shared" ref="L382:N382" si="171">ROUND(AVERAGE(L188:L218),1)</f>
        <v>#DIV/0!</v>
      </c>
      <c r="M382" s="15">
        <f t="shared" si="171"/>
        <v>19.3</v>
      </c>
      <c r="N382" s="15">
        <f t="shared" si="171"/>
        <v>14.5</v>
      </c>
      <c r="O382" s="15">
        <f>ROUND(AVERAGE(O188:O218),1)</f>
        <v>28.4</v>
      </c>
      <c r="P382" s="15">
        <f>ROUND(MAX(O188:O218),1)</f>
        <v>36.700000000000003</v>
      </c>
      <c r="Q382" s="8"/>
      <c r="R382" s="8"/>
      <c r="S382" s="8"/>
      <c r="T382" s="15">
        <f>ROUND(AVERAGE(T188:T218),1)</f>
        <v>11.4</v>
      </c>
      <c r="U382" s="15">
        <f>ROUND(MIN(T188:T218),1)</f>
        <v>5.0999999999999996</v>
      </c>
      <c r="V382" s="15">
        <f>ROUND(AVERAGE(U188:U218),1)</f>
        <v>23.5</v>
      </c>
      <c r="W382" s="15">
        <f>ROUND(MIN(U188:U218),1)</f>
        <v>11.6</v>
      </c>
      <c r="X382" s="15"/>
      <c r="Y382" s="15">
        <f>ROUND(AVERAGE(Y188:Y218),1)</f>
        <v>0.6</v>
      </c>
      <c r="Z382" s="15">
        <f>ROUND(AVERAGE(Z188:Z218),1)</f>
        <v>2.2999999999999998</v>
      </c>
      <c r="AA382" s="15">
        <f>ROUND(MAX(Z188:Z218),1)</f>
        <v>3.2</v>
      </c>
      <c r="AB382" s="15">
        <f>ROUND(SUM(AA188:AA218),1)</f>
        <v>13.7</v>
      </c>
      <c r="AD382" s="9"/>
      <c r="AE382" s="15"/>
      <c r="AF382" s="15"/>
      <c r="AG382" s="15"/>
      <c r="AH382" s="15"/>
      <c r="AI382" s="18">
        <f>AI218*1000</f>
        <v>0</v>
      </c>
      <c r="AJ382" s="10"/>
      <c r="AK382" s="15">
        <f>ROUND(SUM(AK188:AK218),1)</f>
        <v>13.7</v>
      </c>
      <c r="AM382" s="8"/>
      <c r="AN382" s="9">
        <f>ROUND(AVERAGE(AN188:AN218),2)</f>
        <v>20.5</v>
      </c>
      <c r="AO382" s="8"/>
      <c r="AP382" s="10">
        <f>ROUND(AVERAGE(AP188:AP218),2)</f>
        <v>0.84</v>
      </c>
      <c r="AQ382" s="10">
        <f>ROUND(AVERAGE(AQ188:AQ218),2)</f>
        <v>3.16</v>
      </c>
      <c r="AR382" s="10">
        <f>ROUND(MAX(AQ187:AQ217),2)</f>
        <v>5.27</v>
      </c>
      <c r="AS382" s="29"/>
      <c r="AT382" s="8"/>
      <c r="AU382" s="8"/>
      <c r="AV382" s="8"/>
      <c r="AW382" s="8"/>
      <c r="AX382" s="8"/>
      <c r="AY382" s="8"/>
      <c r="AZ382" s="18"/>
      <c r="BE382" s="17"/>
      <c r="BG382" s="17"/>
      <c r="BH382" s="17"/>
      <c r="BI382" s="17"/>
      <c r="BJ382" s="10"/>
      <c r="BL382" s="10"/>
      <c r="BW382"/>
      <c r="CG382"/>
    </row>
    <row r="383" spans="1:85" s="2" customFormat="1" x14ac:dyDescent="0.25">
      <c r="C383" s="2" t="s">
        <v>52</v>
      </c>
      <c r="D383" s="8"/>
      <c r="E383" s="8"/>
      <c r="F383" s="8"/>
      <c r="G383" s="8"/>
      <c r="H383" s="8"/>
      <c r="I383" s="15"/>
      <c r="J383" s="15">
        <f>ROUND(AVERAGE(J219:J249),1)</f>
        <v>16.2</v>
      </c>
      <c r="K383" s="15">
        <f>ROUND(AVERAGE(K219:K249),1)</f>
        <v>59.8</v>
      </c>
      <c r="L383" s="15" t="e">
        <f t="shared" ref="L383:N383" si="172">ROUND(AVERAGE(L219:L249),1)</f>
        <v>#DIV/0!</v>
      </c>
      <c r="M383" s="15">
        <f t="shared" si="172"/>
        <v>16.399999999999999</v>
      </c>
      <c r="N383" s="15">
        <f t="shared" si="172"/>
        <v>13.5</v>
      </c>
      <c r="O383" s="15">
        <f>ROUND(AVERAGE(O219:O249),1)</f>
        <v>25.2</v>
      </c>
      <c r="P383" s="15">
        <f>ROUND(MAX(O219:O249),1)</f>
        <v>33.6</v>
      </c>
      <c r="Q383" s="8"/>
      <c r="R383" s="8"/>
      <c r="S383" s="8"/>
      <c r="T383" s="15">
        <f>ROUND(AVERAGE(T219:T249),1)</f>
        <v>9.8000000000000007</v>
      </c>
      <c r="U383" s="15">
        <f>ROUND(MIN(T219:T249),1)</f>
        <v>3.8</v>
      </c>
      <c r="V383" s="15">
        <f>ROUND(AVERAGE(U219:U249),1)</f>
        <v>32.1</v>
      </c>
      <c r="W383" s="15">
        <f>ROUND(MIN(U219:U249),1)</f>
        <v>12.4</v>
      </c>
      <c r="X383" s="15"/>
      <c r="Y383" s="15">
        <f>ROUND(AVERAGE(Y219:Y249),1)</f>
        <v>0.5</v>
      </c>
      <c r="Z383" s="15">
        <f>ROUND(AVERAGE(Z219:Z249),1)</f>
        <v>2.2000000000000002</v>
      </c>
      <c r="AA383" s="15">
        <f>ROUND(MAX(Z219:Z249),1)</f>
        <v>3.3</v>
      </c>
      <c r="AB383" s="15">
        <f>ROUND(SUM(AA219:AA249),1)</f>
        <v>26.5</v>
      </c>
      <c r="AD383" s="9"/>
      <c r="AE383" s="15"/>
      <c r="AF383" s="15"/>
      <c r="AG383" s="15"/>
      <c r="AH383" s="15"/>
      <c r="AI383" s="18">
        <f>AI249*1000</f>
        <v>0</v>
      </c>
      <c r="AJ383" s="10"/>
      <c r="AK383" s="15">
        <f>ROUND(SUM(AK219:AK249),1)</f>
        <v>26.5</v>
      </c>
      <c r="AM383" s="8"/>
      <c r="AN383" s="9">
        <f>ROUND(AVERAGE(AN219:AN249),2)</f>
        <v>14.38</v>
      </c>
      <c r="AO383" s="8"/>
      <c r="AP383" s="10">
        <f>ROUND(AVERAGE(AP219:AP249),2)</f>
        <v>0.93</v>
      </c>
      <c r="AQ383" s="10">
        <f>ROUND(AVERAGE(AQ219:AQ249),2)</f>
        <v>2.4300000000000002</v>
      </c>
      <c r="AR383" s="10">
        <f>ROUND(MAX(AQ218:AQ248),2)</f>
        <v>4.41</v>
      </c>
      <c r="AS383" s="29"/>
      <c r="AT383" s="8"/>
      <c r="AU383" s="8"/>
      <c r="AV383" s="8"/>
      <c r="AW383" s="8"/>
      <c r="AX383" s="8"/>
      <c r="AY383" s="8"/>
      <c r="AZ383" s="18"/>
      <c r="BE383" s="17"/>
      <c r="BG383" s="17"/>
      <c r="BH383" s="17"/>
      <c r="BI383" s="17"/>
      <c r="BJ383" s="10"/>
      <c r="BL383" s="10"/>
      <c r="BW383"/>
      <c r="CG383"/>
    </row>
    <row r="384" spans="1:85" s="2" customFormat="1" x14ac:dyDescent="0.25">
      <c r="C384" s="2" t="s">
        <v>53</v>
      </c>
      <c r="D384" s="8"/>
      <c r="E384" s="8"/>
      <c r="F384" s="8"/>
      <c r="G384" s="8"/>
      <c r="H384" s="8"/>
      <c r="I384" s="15"/>
      <c r="J384" s="15">
        <f>ROUND(AVERAGE(J250:J279),1)</f>
        <v>12.6</v>
      </c>
      <c r="K384" s="15">
        <f>ROUND(AVERAGE(K250:K279),1)</f>
        <v>61.8</v>
      </c>
      <c r="L384" s="15" t="e">
        <f t="shared" ref="L384:N384" si="173">ROUND(AVERAGE(L250:L279),1)</f>
        <v>#DIV/0!</v>
      </c>
      <c r="M384" s="15">
        <f t="shared" si="173"/>
        <v>12.2</v>
      </c>
      <c r="N384" s="15">
        <f t="shared" si="173"/>
        <v>11.1</v>
      </c>
      <c r="O384" s="15">
        <f>ROUND(AVERAGE(O250:O279),1)</f>
        <v>20.9</v>
      </c>
      <c r="P384" s="15">
        <f>ROUND(MAX(O250:O279),1)</f>
        <v>33</v>
      </c>
      <c r="Q384" s="8"/>
      <c r="R384" s="8"/>
      <c r="S384" s="8"/>
      <c r="T384" s="15">
        <f>ROUND(AVERAGE(T250:T279),1)</f>
        <v>7</v>
      </c>
      <c r="U384" s="15">
        <f>ROUND(MIN(T250:T279),1)</f>
        <v>-1.4</v>
      </c>
      <c r="V384" s="15">
        <f>ROUND(AVERAGE(U250:U279),1)</f>
        <v>34.200000000000003</v>
      </c>
      <c r="W384" s="15">
        <f>ROUND(MIN(U250:U279),1)</f>
        <v>13.3</v>
      </c>
      <c r="X384" s="15"/>
      <c r="Y384" s="15">
        <f>ROUND(AVERAGE(Y250:Y279),1)</f>
        <v>0.6</v>
      </c>
      <c r="Z384" s="15">
        <f>ROUND(AVERAGE(Z250:Z279),1)</f>
        <v>2.2000000000000002</v>
      </c>
      <c r="AA384" s="15">
        <f>ROUND(MAX(Z250:Z279),1)</f>
        <v>3.2</v>
      </c>
      <c r="AB384" s="15">
        <f>ROUND(SUM(AA250:AA279),1)</f>
        <v>26.2</v>
      </c>
      <c r="AD384" s="9"/>
      <c r="AE384" s="15"/>
      <c r="AF384" s="15"/>
      <c r="AG384" s="15"/>
      <c r="AH384" s="15"/>
      <c r="AI384" s="18">
        <f>AI279*1000</f>
        <v>0</v>
      </c>
      <c r="AJ384" s="10"/>
      <c r="AK384" s="15">
        <f>ROUND(SUM(AK250:AK279),1)</f>
        <v>26.2</v>
      </c>
      <c r="AM384" s="8"/>
      <c r="AN384" s="9">
        <f>ROUND(AVERAGE(AN250:AN279),2)</f>
        <v>11.07</v>
      </c>
      <c r="AO384" s="8"/>
      <c r="AP384" s="10">
        <f>ROUND(AVERAGE(AP250:AP279),2)</f>
        <v>0.8</v>
      </c>
      <c r="AQ384" s="10">
        <f>ROUND(AVERAGE(AQ250:AQ279),2)</f>
        <v>1.84</v>
      </c>
      <c r="AR384" s="10">
        <f>ROUND(MAX(AQ249:AQ278),2)</f>
        <v>4.16</v>
      </c>
      <c r="AS384" s="29"/>
      <c r="AT384" s="8"/>
      <c r="AU384" s="8"/>
      <c r="AV384" s="8"/>
      <c r="AW384" s="8"/>
      <c r="AX384" s="8"/>
      <c r="AY384" s="8"/>
      <c r="AZ384" s="18"/>
      <c r="BE384" s="17"/>
      <c r="BG384" s="17"/>
      <c r="BH384" s="17"/>
      <c r="BI384" s="15"/>
      <c r="BJ384" s="10"/>
      <c r="BL384" s="9"/>
      <c r="BW384"/>
      <c r="CG384"/>
    </row>
    <row r="385" spans="3:85" s="2" customFormat="1" x14ac:dyDescent="0.25">
      <c r="C385" s="2" t="s">
        <v>54</v>
      </c>
      <c r="D385" s="8"/>
      <c r="E385" s="8"/>
      <c r="F385" s="8"/>
      <c r="G385" s="8"/>
      <c r="H385" s="8"/>
      <c r="I385" s="15"/>
      <c r="J385" s="15">
        <f>ROUND(AVERAGE(J280:J310),1)</f>
        <v>5</v>
      </c>
      <c r="K385" s="15">
        <f>ROUND(AVERAGE(K280:K310),1)</f>
        <v>72.2</v>
      </c>
      <c r="L385" s="15">
        <f t="shared" ref="L385:N385" si="174">ROUND(AVERAGE(L280:L310),1)</f>
        <v>3.5</v>
      </c>
      <c r="M385" s="15">
        <f t="shared" si="174"/>
        <v>4.2</v>
      </c>
      <c r="N385" s="15">
        <f t="shared" si="174"/>
        <v>6.1</v>
      </c>
      <c r="O385" s="15">
        <f>ROUND(AVERAGE(O280:O310),1)</f>
        <v>10.1</v>
      </c>
      <c r="P385" s="15">
        <f>ROUND(MAX(O280:O310),1)</f>
        <v>20.399999999999999</v>
      </c>
      <c r="Q385" s="8"/>
      <c r="R385" s="8"/>
      <c r="S385" s="8"/>
      <c r="T385" s="15">
        <f>ROUND(AVERAGE(T280:T310),1)</f>
        <v>1.1000000000000001</v>
      </c>
      <c r="U385" s="15">
        <f>ROUND(MIN(T280:T310),1)</f>
        <v>-4.2</v>
      </c>
      <c r="V385" s="15">
        <f>ROUND(AVERAGE(U280:U310),1)</f>
        <v>47.9</v>
      </c>
      <c r="W385" s="15">
        <f>ROUND(MIN(U280:U310),1)</f>
        <v>25.1</v>
      </c>
      <c r="X385" s="15"/>
      <c r="Y385" s="15">
        <f>ROUND(AVERAGE(Y280:Y310),1)</f>
        <v>0.6</v>
      </c>
      <c r="Z385" s="15">
        <f>ROUND(AVERAGE(Z280:Z310),1)</f>
        <v>2.2000000000000002</v>
      </c>
      <c r="AA385" s="15">
        <f>ROUND(MAX(Z280:Z310),1)</f>
        <v>3.1</v>
      </c>
      <c r="AB385" s="15">
        <f>ROUND(SUM(AA280:AA310),1)</f>
        <v>42.4</v>
      </c>
      <c r="AD385" s="9"/>
      <c r="AE385" s="15"/>
      <c r="AF385" s="15"/>
      <c r="AG385" s="15"/>
      <c r="AH385" s="15"/>
      <c r="AI385" s="18">
        <f>AI310*1000</f>
        <v>0</v>
      </c>
      <c r="AJ385" s="9"/>
      <c r="AK385" s="15">
        <f>ROUND(SUM(AK280:AK310),1)</f>
        <v>42.4</v>
      </c>
      <c r="AM385" s="8"/>
      <c r="AN385" s="9">
        <f>ROUND(AVERAGE(AN280:AN310),2)</f>
        <v>5.52</v>
      </c>
      <c r="AO385" s="8"/>
      <c r="AP385" s="10">
        <f>ROUND(AVERAGE(AP280:AP310),2)</f>
        <v>0.57999999999999996</v>
      </c>
      <c r="AQ385" s="10">
        <f>ROUND(AVERAGE(AQ280:AQ310),2)</f>
        <v>0.72</v>
      </c>
      <c r="AR385" s="9">
        <f>ROUND(MAX(AQ279:AQ309),2)</f>
        <v>1.8</v>
      </c>
      <c r="AS385" s="29"/>
      <c r="AT385" s="8"/>
      <c r="AU385" s="8"/>
      <c r="AV385" s="8"/>
      <c r="AW385" s="8"/>
      <c r="AX385" s="8"/>
      <c r="AY385" s="8"/>
      <c r="AZ385" s="18"/>
      <c r="BE385" s="17"/>
      <c r="BG385" s="19"/>
      <c r="BH385" s="19"/>
      <c r="BI385" s="17"/>
      <c r="BJ385" s="11"/>
      <c r="BL385" s="10"/>
      <c r="BW385"/>
      <c r="CG385"/>
    </row>
    <row r="386" spans="3:85" s="2" customFormat="1" x14ac:dyDescent="0.25">
      <c r="C386" s="2" t="s">
        <v>55</v>
      </c>
      <c r="D386" s="8"/>
      <c r="E386" s="8"/>
      <c r="F386" s="8"/>
      <c r="G386" s="8"/>
      <c r="H386" s="8"/>
      <c r="I386" s="19"/>
      <c r="J386" s="19">
        <f>ROUND(AVERAGE(J311:J340),1)</f>
        <v>-1.5</v>
      </c>
      <c r="K386" s="19">
        <f>ROUND(AVERAGE(K311:K340),1)</f>
        <v>85.8</v>
      </c>
      <c r="L386" s="19">
        <f t="shared" ref="L386:N386" si="175">ROUND(AVERAGE(L311:L340),1)</f>
        <v>0.1</v>
      </c>
      <c r="M386" s="19">
        <f t="shared" si="175"/>
        <v>-1.4</v>
      </c>
      <c r="N386" s="19">
        <f t="shared" si="175"/>
        <v>2.2000000000000002</v>
      </c>
      <c r="O386" s="19">
        <f>ROUND(AVERAGE(O311:O340),1)</f>
        <v>1.6</v>
      </c>
      <c r="P386" s="15">
        <f>ROUND(MAX(O311:O340),1)</f>
        <v>6.2</v>
      </c>
      <c r="Q386" s="8"/>
      <c r="R386" s="8"/>
      <c r="S386" s="8"/>
      <c r="T386" s="19">
        <f>ROUND(AVERAGE(T311:T340),1)</f>
        <v>-4.2</v>
      </c>
      <c r="U386" s="15">
        <f>ROUND(MIN(T311:T340),1)</f>
        <v>-10.199999999999999</v>
      </c>
      <c r="V386" s="19">
        <f>ROUND(AVERAGE(U311:U340),1)</f>
        <v>72.099999999999994</v>
      </c>
      <c r="W386" s="15">
        <f>ROUND(MIN(U311:U340),1)</f>
        <v>54.1</v>
      </c>
      <c r="X386" s="15"/>
      <c r="Y386" s="19">
        <f>ROUND(AVERAGE(Y311:Y340),1)</f>
        <v>0.4</v>
      </c>
      <c r="Z386" s="19">
        <f>ROUND(AVERAGE(Z311:Z340),1)</f>
        <v>1.4</v>
      </c>
      <c r="AA386" s="15">
        <f>ROUND(MAX(Z311:Z340),1)</f>
        <v>3.2</v>
      </c>
      <c r="AB386" s="15">
        <f>ROUND(SUM(AA311:AA340),1)</f>
        <v>37</v>
      </c>
      <c r="AD386" s="11"/>
      <c r="AE386" s="19"/>
      <c r="AF386" s="19"/>
      <c r="AG386" s="15"/>
      <c r="AH386" s="15"/>
      <c r="AI386" s="18">
        <f>AI340*1000</f>
        <v>125.99999999999989</v>
      </c>
      <c r="AJ386" s="10"/>
      <c r="AK386" s="15">
        <f>ROUND(SUM(AK311:AK340),1)</f>
        <v>62.7</v>
      </c>
      <c r="AM386" s="8"/>
      <c r="AN386" s="11">
        <f>ROUND(AVERAGE(AN311:AN340),2)</f>
        <v>1.47</v>
      </c>
      <c r="AO386" s="8"/>
      <c r="AP386" s="11">
        <f>ROUND(AVERAGE(AP311:AP340),2)</f>
        <v>0.5</v>
      </c>
      <c r="AQ386" s="11">
        <f>ROUND(AVERAGE(AQ311:AQ340),2)</f>
        <v>0.2</v>
      </c>
      <c r="AR386" s="10">
        <f>ROUND(MAX(AQ310:AQ339),2)</f>
        <v>0.41</v>
      </c>
      <c r="AS386" s="29"/>
      <c r="AT386" s="8"/>
      <c r="AU386" s="8"/>
      <c r="AV386" s="8"/>
      <c r="AW386" s="8"/>
      <c r="AX386" s="8"/>
      <c r="AY386" s="8"/>
      <c r="AZ386" s="18"/>
      <c r="BE386" s="17"/>
      <c r="BG386" s="17"/>
      <c r="BH386" s="17"/>
      <c r="BI386" s="17"/>
      <c r="BJ386" s="10"/>
      <c r="BL386" s="10"/>
      <c r="BW386"/>
      <c r="CG386"/>
    </row>
    <row r="387" spans="3:85" s="2" customFormat="1" x14ac:dyDescent="0.25">
      <c r="C387" s="2" t="s">
        <v>56</v>
      </c>
      <c r="D387" s="8"/>
      <c r="E387" s="8"/>
      <c r="F387" s="8"/>
      <c r="G387" s="8"/>
      <c r="H387" s="8"/>
      <c r="I387" s="15"/>
      <c r="J387" s="15">
        <f>ROUND(AVERAGE(J341:J371),1)</f>
        <v>-2.2000000000000002</v>
      </c>
      <c r="K387" s="15">
        <f>ROUND(AVERAGE(K341:K371),1)</f>
        <v>87.2</v>
      </c>
      <c r="L387" s="15" t="e">
        <f t="shared" ref="L387:N387" si="176">ROUND(AVERAGE(L341:L371),1)</f>
        <v>#DIV/0!</v>
      </c>
      <c r="M387" s="15">
        <f t="shared" si="176"/>
        <v>-1.4</v>
      </c>
      <c r="N387" s="15">
        <f t="shared" si="176"/>
        <v>1.3</v>
      </c>
      <c r="O387" s="15">
        <f>ROUND(AVERAGE(O341:O371),1)</f>
        <v>0.9</v>
      </c>
      <c r="P387" s="15">
        <f>ROUND(MAX(O341:O371),1)</f>
        <v>5.2</v>
      </c>
      <c r="Q387" s="8"/>
      <c r="R387" s="8"/>
      <c r="S387" s="8"/>
      <c r="T387" s="15">
        <f>ROUND(AVERAGE(T341:T371),1)</f>
        <v>-4.5999999999999996</v>
      </c>
      <c r="U387" s="15">
        <f>ROUND(MIN(T341:T371),1)</f>
        <v>-9.1999999999999993</v>
      </c>
      <c r="V387" s="15">
        <f>ROUND(AVERAGE(U341:U371),1)</f>
        <v>74.8</v>
      </c>
      <c r="W387" s="15">
        <f>ROUND(MIN(U341:U371),1)</f>
        <v>57.1</v>
      </c>
      <c r="X387" s="15"/>
      <c r="Y387" s="15">
        <f>ROUND(AVERAGE(Y341:Y371),1)</f>
        <v>0.1</v>
      </c>
      <c r="Z387" s="15">
        <f>ROUND(AVERAGE(Z341:Z371),1)</f>
        <v>0.9</v>
      </c>
      <c r="AA387" s="15">
        <f>ROUND(MAX(Z341:Z371),1)</f>
        <v>2.6</v>
      </c>
      <c r="AB387" s="15">
        <f>ROUND(SUM(AA341:AA371),1)</f>
        <v>17.8</v>
      </c>
      <c r="AD387" s="9"/>
      <c r="AE387" s="15"/>
      <c r="AF387" s="15"/>
      <c r="AG387" s="15"/>
      <c r="AH387" s="15"/>
      <c r="AI387" s="18">
        <f>AI371*1000</f>
        <v>333.99999999999983</v>
      </c>
      <c r="AJ387" s="10"/>
      <c r="AK387" s="15">
        <f>ROUND(SUM(AK341:AK371),1)</f>
        <v>53.7</v>
      </c>
      <c r="AM387" s="8"/>
      <c r="AN387" s="9">
        <f>ROUND(AVERAGE(AN341:AN371),2)</f>
        <v>0.7</v>
      </c>
      <c r="AO387" s="8"/>
      <c r="AP387" s="10">
        <f>ROUND(AVERAGE(AP341:AP371),2)</f>
        <v>0.49</v>
      </c>
      <c r="AQ387" s="10">
        <f>ROUND(AVERAGE(AQ341:AQ371),2)</f>
        <v>0.17</v>
      </c>
      <c r="AR387" s="10">
        <f>ROUND(MAX(AQ340:AQ370),2)</f>
        <v>0.38</v>
      </c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W387"/>
      <c r="CG387"/>
    </row>
    <row r="390" spans="3:85" x14ac:dyDescent="0.25">
      <c r="AS390" s="18"/>
    </row>
    <row r="391" spans="3:85" x14ac:dyDescent="0.25">
      <c r="C391" s="2" t="s">
        <v>45</v>
      </c>
      <c r="D391" s="18"/>
      <c r="E391" s="18"/>
      <c r="F391" s="2"/>
      <c r="G391" s="18"/>
      <c r="H391" s="18"/>
      <c r="I391" s="18"/>
      <c r="J391" s="18">
        <f t="shared" ref="J391:O391" si="177">COUNT(J6:J36)</f>
        <v>31</v>
      </c>
      <c r="K391" s="18">
        <f t="shared" si="177"/>
        <v>31</v>
      </c>
      <c r="L391" s="18">
        <f t="shared" si="177"/>
        <v>0</v>
      </c>
      <c r="M391" s="18">
        <f t="shared" si="177"/>
        <v>31</v>
      </c>
      <c r="N391" s="18">
        <f t="shared" si="177"/>
        <v>31</v>
      </c>
      <c r="O391" s="18">
        <f t="shared" si="177"/>
        <v>31</v>
      </c>
      <c r="P391" s="18"/>
      <c r="T391" s="18">
        <f>COUNT(T6:T36)</f>
        <v>31</v>
      </c>
      <c r="V391" s="18">
        <f>COUNT(V6:V36)</f>
        <v>0</v>
      </c>
      <c r="Y391" s="18">
        <f>COUNT(Y6:Y36)</f>
        <v>31</v>
      </c>
      <c r="Z391" s="18">
        <f>COUNT(Z6:Z36)</f>
        <v>31</v>
      </c>
      <c r="AB391" s="18">
        <f>COUNT(AB6:AB36)</f>
        <v>31</v>
      </c>
      <c r="AI391" s="18">
        <f>COUNT(AI6:AI36)</f>
        <v>31</v>
      </c>
      <c r="AK391" s="18">
        <f>COUNT(AK6:AK36)</f>
        <v>31</v>
      </c>
      <c r="AN391" s="18">
        <f>COUNT(AN6:AN36)</f>
        <v>31</v>
      </c>
      <c r="AP391" s="18">
        <f>COUNT(AP6:AP36)</f>
        <v>31</v>
      </c>
      <c r="AQ391" s="18">
        <f>COUNT(AQ6:AQ36)</f>
        <v>31</v>
      </c>
      <c r="AS391" s="18"/>
    </row>
    <row r="392" spans="3:85" x14ac:dyDescent="0.25">
      <c r="C392" s="2" t="s">
        <v>46</v>
      </c>
      <c r="D392" s="18"/>
      <c r="E392" s="18"/>
      <c r="F392" s="2"/>
      <c r="G392" s="18"/>
      <c r="H392" s="18"/>
      <c r="I392" s="18"/>
      <c r="J392" s="18">
        <f t="shared" ref="J392:O392" si="178">COUNT(J37:J65)</f>
        <v>29</v>
      </c>
      <c r="K392" s="18">
        <f t="shared" si="178"/>
        <v>29</v>
      </c>
      <c r="L392" s="18">
        <f t="shared" si="178"/>
        <v>0</v>
      </c>
      <c r="M392" s="18">
        <f t="shared" si="178"/>
        <v>29</v>
      </c>
      <c r="N392" s="18">
        <f t="shared" si="178"/>
        <v>29</v>
      </c>
      <c r="O392" s="18">
        <f t="shared" si="178"/>
        <v>29</v>
      </c>
      <c r="P392" s="18"/>
      <c r="T392" s="18">
        <f>COUNT(T37:T65)</f>
        <v>29</v>
      </c>
      <c r="V392" s="18">
        <f>COUNT(V37:V65)</f>
        <v>0</v>
      </c>
      <c r="Y392" s="18">
        <f>COUNT(Y37:Y65)</f>
        <v>29</v>
      </c>
      <c r="Z392" s="18">
        <f>COUNT(Z37:Z65)</f>
        <v>29</v>
      </c>
      <c r="AB392" s="18">
        <f>COUNT(AB37:AB65)</f>
        <v>29</v>
      </c>
      <c r="AI392" s="18">
        <f>COUNT(AI37:AI65)</f>
        <v>29</v>
      </c>
      <c r="AK392" s="18">
        <f>COUNT(AK37:AK65)</f>
        <v>29</v>
      </c>
      <c r="AN392" s="18">
        <f>COUNT(AN37:AN65)</f>
        <v>29</v>
      </c>
      <c r="AP392" s="18">
        <f>COUNT(AP37:AP65)</f>
        <v>29</v>
      </c>
      <c r="AQ392" s="18">
        <f>COUNT(AQ37:AQ65)</f>
        <v>29</v>
      </c>
      <c r="AS392" s="18"/>
    </row>
    <row r="393" spans="3:85" x14ac:dyDescent="0.25">
      <c r="C393" s="2" t="s">
        <v>47</v>
      </c>
      <c r="D393" s="18"/>
      <c r="E393" s="18"/>
      <c r="F393" s="2"/>
      <c r="G393" s="18"/>
      <c r="H393" s="18"/>
      <c r="I393" s="18"/>
      <c r="J393" s="18">
        <f t="shared" ref="J393:N393" si="179">COUNT(J66:J96)</f>
        <v>31</v>
      </c>
      <c r="K393" s="18">
        <f t="shared" si="179"/>
        <v>31</v>
      </c>
      <c r="L393" s="18">
        <f t="shared" si="179"/>
        <v>0</v>
      </c>
      <c r="M393" s="18">
        <f t="shared" si="179"/>
        <v>31</v>
      </c>
      <c r="N393" s="18">
        <f t="shared" si="179"/>
        <v>31</v>
      </c>
      <c r="O393" s="18">
        <f t="shared" ref="O393" si="180">COUNT(O66:O96)</f>
        <v>31</v>
      </c>
      <c r="P393" s="18"/>
      <c r="T393" s="18">
        <f t="shared" ref="T393" si="181">COUNT(T66:T96)</f>
        <v>31</v>
      </c>
      <c r="V393" s="18">
        <f t="shared" ref="V393" si="182">COUNT(V66:V96)</f>
        <v>0</v>
      </c>
      <c r="Y393" s="18">
        <f t="shared" ref="Y393:Z393" si="183">COUNT(Y66:Y96)</f>
        <v>31</v>
      </c>
      <c r="Z393" s="18">
        <f t="shared" si="183"/>
        <v>31</v>
      </c>
      <c r="AB393" s="18">
        <f t="shared" ref="AB393" si="184">COUNT(AB66:AB96)</f>
        <v>31</v>
      </c>
      <c r="AI393" s="18">
        <f t="shared" ref="AI393" si="185">COUNT(AI66:AI96)</f>
        <v>31</v>
      </c>
      <c r="AK393" s="18">
        <f t="shared" ref="AK393" si="186">COUNT(AK66:AK96)</f>
        <v>31</v>
      </c>
      <c r="AN393" s="18">
        <f t="shared" ref="AN393" si="187">COUNT(AN66:AN96)</f>
        <v>31</v>
      </c>
      <c r="AP393" s="18">
        <f t="shared" ref="AP393:AQ393" si="188">COUNT(AP66:AP96)</f>
        <v>31</v>
      </c>
      <c r="AQ393" s="18">
        <f t="shared" si="188"/>
        <v>31</v>
      </c>
      <c r="AS393" s="18"/>
    </row>
    <row r="394" spans="3:85" x14ac:dyDescent="0.25">
      <c r="C394" s="2" t="s">
        <v>48</v>
      </c>
      <c r="D394" s="18"/>
      <c r="E394" s="18"/>
      <c r="F394" s="2"/>
      <c r="G394" s="18"/>
      <c r="H394" s="18"/>
      <c r="I394" s="18"/>
      <c r="J394" s="18">
        <f t="shared" ref="J394:N394" si="189">COUNT(J97:J126)</f>
        <v>30</v>
      </c>
      <c r="K394" s="18">
        <f t="shared" si="189"/>
        <v>30</v>
      </c>
      <c r="L394" s="18">
        <f t="shared" si="189"/>
        <v>0</v>
      </c>
      <c r="M394" s="18">
        <f t="shared" si="189"/>
        <v>30</v>
      </c>
      <c r="N394" s="18">
        <f t="shared" si="189"/>
        <v>30</v>
      </c>
      <c r="O394" s="18">
        <f t="shared" ref="O394" si="190">COUNT(O97:O126)</f>
        <v>30</v>
      </c>
      <c r="P394" s="18"/>
      <c r="T394" s="18">
        <f t="shared" ref="T394" si="191">COUNT(T97:T126)</f>
        <v>30</v>
      </c>
      <c r="V394" s="18">
        <f t="shared" ref="V394" si="192">COUNT(V97:V126)</f>
        <v>0</v>
      </c>
      <c r="Y394" s="18">
        <f t="shared" ref="Y394:Z394" si="193">COUNT(Y97:Y126)</f>
        <v>30</v>
      </c>
      <c r="Z394" s="18">
        <f t="shared" si="193"/>
        <v>30</v>
      </c>
      <c r="AB394" s="18">
        <f t="shared" ref="AB394" si="194">COUNT(AB97:AB126)</f>
        <v>30</v>
      </c>
      <c r="AI394" s="18">
        <f t="shared" ref="AI394" si="195">COUNT(AI97:AI126)</f>
        <v>22</v>
      </c>
      <c r="AK394" s="18">
        <f t="shared" ref="AK394" si="196">COUNT(AK97:AK126)</f>
        <v>30</v>
      </c>
      <c r="AN394" s="18">
        <f t="shared" ref="AN394" si="197">COUNT(AN97:AN126)</f>
        <v>30</v>
      </c>
      <c r="AP394" s="18">
        <f t="shared" ref="AP394:AQ394" si="198">COUNT(AP97:AP126)</f>
        <v>30</v>
      </c>
      <c r="AQ394" s="18">
        <f t="shared" si="198"/>
        <v>30</v>
      </c>
      <c r="AS394" s="18"/>
    </row>
    <row r="395" spans="3:85" x14ac:dyDescent="0.25">
      <c r="C395" s="2" t="s">
        <v>49</v>
      </c>
      <c r="D395" s="18"/>
      <c r="E395" s="18"/>
      <c r="F395" s="2"/>
      <c r="G395" s="18"/>
      <c r="H395" s="18"/>
      <c r="I395" s="18"/>
      <c r="J395" s="18">
        <f t="shared" ref="J395:N395" si="199">COUNT(J127:J157)</f>
        <v>31</v>
      </c>
      <c r="K395" s="18">
        <f t="shared" si="199"/>
        <v>31</v>
      </c>
      <c r="L395" s="18">
        <f t="shared" si="199"/>
        <v>0</v>
      </c>
      <c r="M395" s="18">
        <f t="shared" si="199"/>
        <v>31</v>
      </c>
      <c r="N395" s="18">
        <f t="shared" si="199"/>
        <v>31</v>
      </c>
      <c r="O395" s="18">
        <f t="shared" ref="O395" si="200">COUNT(O127:O157)</f>
        <v>31</v>
      </c>
      <c r="P395" s="18"/>
      <c r="T395" s="18">
        <f t="shared" ref="T395" si="201">COUNT(T127:T157)</f>
        <v>31</v>
      </c>
      <c r="V395" s="18">
        <f t="shared" ref="V395" si="202">COUNT(V127:V157)</f>
        <v>0</v>
      </c>
      <c r="Y395" s="18">
        <f t="shared" ref="Y395:Z395" si="203">COUNT(Y127:Y157)</f>
        <v>31</v>
      </c>
      <c r="Z395" s="18">
        <f t="shared" si="203"/>
        <v>31</v>
      </c>
      <c r="AB395" s="18">
        <f t="shared" ref="AB395" si="204">COUNT(AB127:AB157)</f>
        <v>31</v>
      </c>
      <c r="AI395" s="18">
        <f t="shared" ref="AI395" si="205">COUNT(AI127:AI157)</f>
        <v>0</v>
      </c>
      <c r="AK395" s="18">
        <f t="shared" ref="AK395" si="206">COUNT(AK127:AK157)</f>
        <v>31</v>
      </c>
      <c r="AN395" s="18">
        <f t="shared" ref="AN395" si="207">COUNT(AN127:AN157)</f>
        <v>31</v>
      </c>
      <c r="AP395" s="18">
        <f t="shared" ref="AP395:AQ395" si="208">COUNT(AP127:AP157)</f>
        <v>31</v>
      </c>
      <c r="AQ395" s="18">
        <f t="shared" si="208"/>
        <v>31</v>
      </c>
      <c r="AS395" s="18"/>
    </row>
    <row r="396" spans="3:85" x14ac:dyDescent="0.25">
      <c r="C396" s="2" t="s">
        <v>50</v>
      </c>
      <c r="D396" s="18"/>
      <c r="E396" s="18"/>
      <c r="F396" s="2"/>
      <c r="G396" s="18"/>
      <c r="H396" s="18"/>
      <c r="I396" s="18"/>
      <c r="J396" s="18">
        <f t="shared" ref="J396:N396" si="209">COUNT(J158:J187)</f>
        <v>30</v>
      </c>
      <c r="K396" s="18">
        <f t="shared" si="209"/>
        <v>30</v>
      </c>
      <c r="L396" s="18">
        <f t="shared" si="209"/>
        <v>0</v>
      </c>
      <c r="M396" s="18">
        <f t="shared" si="209"/>
        <v>30</v>
      </c>
      <c r="N396" s="18">
        <f t="shared" si="209"/>
        <v>30</v>
      </c>
      <c r="O396" s="18">
        <f t="shared" ref="O396" si="210">COUNT(O158:O187)</f>
        <v>30</v>
      </c>
      <c r="P396" s="18"/>
      <c r="T396" s="18">
        <f t="shared" ref="T396" si="211">COUNT(T158:T187)</f>
        <v>30</v>
      </c>
      <c r="V396" s="18">
        <f t="shared" ref="V396" si="212">COUNT(V158:V187)</f>
        <v>0</v>
      </c>
      <c r="Y396" s="18">
        <f t="shared" ref="Y396:Z396" si="213">COUNT(Y158:Y187)</f>
        <v>30</v>
      </c>
      <c r="Z396" s="18">
        <f t="shared" si="213"/>
        <v>30</v>
      </c>
      <c r="AB396" s="18">
        <f t="shared" ref="AB396" si="214">COUNT(AB158:AB187)</f>
        <v>30</v>
      </c>
      <c r="AI396" s="18">
        <f t="shared" ref="AI396" si="215">COUNT(AI158:AI187)</f>
        <v>0</v>
      </c>
      <c r="AK396" s="18">
        <f t="shared" ref="AK396" si="216">COUNT(AK158:AK187)</f>
        <v>30</v>
      </c>
      <c r="AN396" s="18">
        <f t="shared" ref="AN396" si="217">COUNT(AN158:AN187)</f>
        <v>30</v>
      </c>
      <c r="AP396" s="18">
        <f t="shared" ref="AP396:AQ396" si="218">COUNT(AP158:AP187)</f>
        <v>30</v>
      </c>
      <c r="AQ396" s="18">
        <f t="shared" si="218"/>
        <v>30</v>
      </c>
      <c r="AS396" s="18"/>
    </row>
    <row r="397" spans="3:85" x14ac:dyDescent="0.25">
      <c r="C397" s="2" t="s">
        <v>51</v>
      </c>
      <c r="D397" s="18"/>
      <c r="E397" s="18"/>
      <c r="F397" s="2"/>
      <c r="G397" s="18"/>
      <c r="H397" s="18"/>
      <c r="I397" s="18"/>
      <c r="J397" s="18">
        <f t="shared" ref="J397:N397" si="219">COUNT(J188:J218)</f>
        <v>31</v>
      </c>
      <c r="K397" s="18">
        <f t="shared" si="219"/>
        <v>31</v>
      </c>
      <c r="L397" s="18">
        <f t="shared" si="219"/>
        <v>0</v>
      </c>
      <c r="M397" s="18">
        <f t="shared" si="219"/>
        <v>31</v>
      </c>
      <c r="N397" s="18">
        <f t="shared" si="219"/>
        <v>31</v>
      </c>
      <c r="O397" s="18">
        <f t="shared" ref="O397" si="220">COUNT(O188:O218)</f>
        <v>31</v>
      </c>
      <c r="P397" s="18"/>
      <c r="T397" s="18">
        <f t="shared" ref="T397" si="221">COUNT(T188:T218)</f>
        <v>31</v>
      </c>
      <c r="V397" s="18">
        <f t="shared" ref="V397" si="222">COUNT(V188:V218)</f>
        <v>0</v>
      </c>
      <c r="Y397" s="18">
        <f t="shared" ref="Y397:Z397" si="223">COUNT(Y188:Y218)</f>
        <v>31</v>
      </c>
      <c r="Z397" s="18">
        <f t="shared" si="223"/>
        <v>31</v>
      </c>
      <c r="AB397" s="18">
        <f t="shared" ref="AB397" si="224">COUNT(AB188:AB218)</f>
        <v>31</v>
      </c>
      <c r="AI397" s="18">
        <f t="shared" ref="AI397" si="225">COUNT(AI188:AI218)</f>
        <v>0</v>
      </c>
      <c r="AK397" s="18">
        <f t="shared" ref="AK397" si="226">COUNT(AK188:AK218)</f>
        <v>31</v>
      </c>
      <c r="AN397" s="18">
        <f t="shared" ref="AN397" si="227">COUNT(AN188:AN218)</f>
        <v>31</v>
      </c>
      <c r="AP397" s="18">
        <f t="shared" ref="AP397:AQ397" si="228">COUNT(AP188:AP218)</f>
        <v>31</v>
      </c>
      <c r="AQ397" s="18">
        <f t="shared" si="228"/>
        <v>31</v>
      </c>
      <c r="AS397" s="18"/>
    </row>
    <row r="398" spans="3:85" x14ac:dyDescent="0.25">
      <c r="C398" s="2" t="s">
        <v>52</v>
      </c>
      <c r="D398" s="18"/>
      <c r="E398" s="18"/>
      <c r="F398" s="2"/>
      <c r="G398" s="18"/>
      <c r="H398" s="18"/>
      <c r="I398" s="18"/>
      <c r="J398" s="18">
        <f t="shared" ref="J398:N398" si="229">COUNT(J219:J249)</f>
        <v>31</v>
      </c>
      <c r="K398" s="18">
        <f t="shared" si="229"/>
        <v>31</v>
      </c>
      <c r="L398" s="18">
        <f t="shared" si="229"/>
        <v>0</v>
      </c>
      <c r="M398" s="18">
        <f t="shared" si="229"/>
        <v>31</v>
      </c>
      <c r="N398" s="18">
        <f t="shared" si="229"/>
        <v>31</v>
      </c>
      <c r="O398" s="18">
        <f t="shared" ref="O398" si="230">COUNT(O219:O249)</f>
        <v>31</v>
      </c>
      <c r="P398" s="18"/>
      <c r="T398" s="18">
        <f t="shared" ref="T398" si="231">COUNT(T219:T249)</f>
        <v>31</v>
      </c>
      <c r="V398" s="18">
        <f t="shared" ref="V398" si="232">COUNT(V219:V249)</f>
        <v>0</v>
      </c>
      <c r="Y398" s="18">
        <f t="shared" ref="Y398:Z398" si="233">COUNT(Y219:Y249)</f>
        <v>31</v>
      </c>
      <c r="Z398" s="18">
        <f t="shared" si="233"/>
        <v>31</v>
      </c>
      <c r="AB398" s="18">
        <f t="shared" ref="AB398" si="234">COUNT(AB219:AB249)</f>
        <v>31</v>
      </c>
      <c r="AI398" s="18">
        <f t="shared" ref="AI398" si="235">COUNT(AI219:AI249)</f>
        <v>0</v>
      </c>
      <c r="AK398" s="18">
        <f t="shared" ref="AK398" si="236">COUNT(AK219:AK249)</f>
        <v>31</v>
      </c>
      <c r="AN398" s="18">
        <f t="shared" ref="AN398" si="237">COUNT(AN219:AN249)</f>
        <v>31</v>
      </c>
      <c r="AP398" s="18">
        <f t="shared" ref="AP398:AQ398" si="238">COUNT(AP219:AP249)</f>
        <v>31</v>
      </c>
      <c r="AQ398" s="18">
        <f t="shared" si="238"/>
        <v>31</v>
      </c>
      <c r="AS398" s="18"/>
    </row>
    <row r="399" spans="3:85" x14ac:dyDescent="0.25">
      <c r="C399" s="2" t="s">
        <v>53</v>
      </c>
      <c r="D399" s="18"/>
      <c r="E399" s="18"/>
      <c r="F399" s="2"/>
      <c r="G399" s="18"/>
      <c r="H399" s="18"/>
      <c r="I399" s="18"/>
      <c r="J399" s="18">
        <f t="shared" ref="J399:N399" si="239">COUNT(J250:J279)</f>
        <v>30</v>
      </c>
      <c r="K399" s="18">
        <f t="shared" si="239"/>
        <v>30</v>
      </c>
      <c r="L399" s="18">
        <f t="shared" si="239"/>
        <v>0</v>
      </c>
      <c r="M399" s="18">
        <f t="shared" si="239"/>
        <v>30</v>
      </c>
      <c r="N399" s="18">
        <f t="shared" si="239"/>
        <v>30</v>
      </c>
      <c r="O399" s="18">
        <f t="shared" ref="O399" si="240">COUNT(O250:O279)</f>
        <v>30</v>
      </c>
      <c r="P399" s="18"/>
      <c r="T399" s="18">
        <f t="shared" ref="T399" si="241">COUNT(T250:T279)</f>
        <v>30</v>
      </c>
      <c r="V399" s="18">
        <f t="shared" ref="V399" si="242">COUNT(V250:V279)</f>
        <v>0</v>
      </c>
      <c r="Y399" s="18">
        <f t="shared" ref="Y399:Z399" si="243">COUNT(Y250:Y279)</f>
        <v>30</v>
      </c>
      <c r="Z399" s="18">
        <f t="shared" si="243"/>
        <v>30</v>
      </c>
      <c r="AB399" s="18">
        <f t="shared" ref="AB399" si="244">COUNT(AB250:AB279)</f>
        <v>30</v>
      </c>
      <c r="AI399" s="18">
        <f t="shared" ref="AI399" si="245">COUNT(AI250:AI279)</f>
        <v>0</v>
      </c>
      <c r="AK399" s="18">
        <f t="shared" ref="AK399" si="246">COUNT(AK250:AK279)</f>
        <v>30</v>
      </c>
      <c r="AN399" s="18">
        <f t="shared" ref="AN399" si="247">COUNT(AN250:AN279)</f>
        <v>30</v>
      </c>
      <c r="AP399" s="18">
        <f t="shared" ref="AP399:AQ399" si="248">COUNT(AP250:AP279)</f>
        <v>30</v>
      </c>
      <c r="AQ399" s="18">
        <f t="shared" si="248"/>
        <v>30</v>
      </c>
      <c r="AS399" s="18"/>
    </row>
    <row r="400" spans="3:85" x14ac:dyDescent="0.25">
      <c r="C400" s="2" t="s">
        <v>54</v>
      </c>
      <c r="D400" s="18"/>
      <c r="E400" s="18"/>
      <c r="F400" s="2"/>
      <c r="G400" s="18"/>
      <c r="H400" s="18"/>
      <c r="I400" s="18"/>
      <c r="J400" s="18">
        <f t="shared" ref="J400:N400" si="249">COUNT(J280:J310)</f>
        <v>31</v>
      </c>
      <c r="K400" s="18">
        <f t="shared" si="249"/>
        <v>31</v>
      </c>
      <c r="L400" s="18">
        <f t="shared" si="249"/>
        <v>17</v>
      </c>
      <c r="M400" s="18">
        <f t="shared" si="249"/>
        <v>31</v>
      </c>
      <c r="N400" s="18">
        <f t="shared" si="249"/>
        <v>31</v>
      </c>
      <c r="O400" s="18">
        <f t="shared" ref="O400" si="250">COUNT(O280:O310)</f>
        <v>31</v>
      </c>
      <c r="P400" s="18"/>
      <c r="T400" s="18">
        <f t="shared" ref="T400" si="251">COUNT(T280:T310)</f>
        <v>31</v>
      </c>
      <c r="V400" s="18">
        <f t="shared" ref="V400" si="252">COUNT(V280:V310)</f>
        <v>17</v>
      </c>
      <c r="Y400" s="18">
        <f t="shared" ref="Y400:Z400" si="253">COUNT(Y280:Y310)</f>
        <v>31</v>
      </c>
      <c r="Z400" s="18">
        <f t="shared" si="253"/>
        <v>31</v>
      </c>
      <c r="AB400" s="18">
        <f t="shared" ref="AB400" si="254">COUNT(AB280:AB310)</f>
        <v>31</v>
      </c>
      <c r="AI400" s="18">
        <f t="shared" ref="AI400" si="255">COUNT(AI280:AI310)</f>
        <v>0</v>
      </c>
      <c r="AK400" s="18">
        <f t="shared" ref="AK400" si="256">COUNT(AK280:AK310)</f>
        <v>31</v>
      </c>
      <c r="AN400" s="18">
        <f t="shared" ref="AN400" si="257">COUNT(AN280:AN310)</f>
        <v>31</v>
      </c>
      <c r="AP400" s="18">
        <f t="shared" ref="AP400:AQ400" si="258">COUNT(AP280:AP310)</f>
        <v>31</v>
      </c>
      <c r="AQ400" s="18">
        <f t="shared" si="258"/>
        <v>31</v>
      </c>
      <c r="AS400" s="18"/>
    </row>
    <row r="401" spans="3:45" x14ac:dyDescent="0.25">
      <c r="C401" s="2" t="s">
        <v>55</v>
      </c>
      <c r="D401" s="18"/>
      <c r="E401" s="18"/>
      <c r="F401" s="2"/>
      <c r="G401" s="18"/>
      <c r="H401" s="18"/>
      <c r="I401" s="18"/>
      <c r="J401" s="18">
        <f t="shared" ref="J401:N401" si="259">COUNT(J311:J340)</f>
        <v>30</v>
      </c>
      <c r="K401" s="18">
        <f t="shared" si="259"/>
        <v>30</v>
      </c>
      <c r="L401" s="18">
        <f t="shared" si="259"/>
        <v>7</v>
      </c>
      <c r="M401" s="18">
        <f t="shared" si="259"/>
        <v>30</v>
      </c>
      <c r="N401" s="18">
        <f t="shared" si="259"/>
        <v>30</v>
      </c>
      <c r="O401" s="18">
        <f t="shared" ref="O401" si="260">COUNT(O311:O340)</f>
        <v>30</v>
      </c>
      <c r="P401" s="18"/>
      <c r="T401" s="18">
        <f t="shared" ref="T401" si="261">COUNT(T311:T340)</f>
        <v>30</v>
      </c>
      <c r="V401" s="18">
        <f t="shared" ref="V401" si="262">COUNT(V311:V340)</f>
        <v>7</v>
      </c>
      <c r="Y401" s="18">
        <f t="shared" ref="Y401:Z401" si="263">COUNT(Y311:Y340)</f>
        <v>30</v>
      </c>
      <c r="Z401" s="18">
        <f t="shared" si="263"/>
        <v>30</v>
      </c>
      <c r="AB401" s="18">
        <f t="shared" ref="AB401" si="264">COUNT(AB311:AB340)</f>
        <v>30</v>
      </c>
      <c r="AI401" s="18">
        <f t="shared" ref="AI401" si="265">COUNT(AI311:AI340)</f>
        <v>19</v>
      </c>
      <c r="AK401" s="18">
        <f t="shared" ref="AK401" si="266">COUNT(AK311:AK340)</f>
        <v>30</v>
      </c>
      <c r="AN401" s="18">
        <f t="shared" ref="AN401" si="267">COUNT(AN311:AN340)</f>
        <v>30</v>
      </c>
      <c r="AP401" s="18">
        <f t="shared" ref="AP401:AQ401" si="268">COUNT(AP311:AP340)</f>
        <v>30</v>
      </c>
      <c r="AQ401" s="18">
        <f t="shared" si="268"/>
        <v>30</v>
      </c>
      <c r="AS401" s="18"/>
    </row>
    <row r="402" spans="3:45" x14ac:dyDescent="0.25">
      <c r="C402" s="2" t="s">
        <v>56</v>
      </c>
      <c r="D402" s="18"/>
      <c r="E402" s="18"/>
      <c r="F402" s="2"/>
      <c r="G402" s="18"/>
      <c r="H402" s="18"/>
      <c r="I402" s="18"/>
      <c r="J402" s="18">
        <f t="shared" ref="J402:N402" si="269">COUNT(J341:J371)</f>
        <v>31</v>
      </c>
      <c r="K402" s="18">
        <f t="shared" si="269"/>
        <v>31</v>
      </c>
      <c r="L402" s="18">
        <f t="shared" si="269"/>
        <v>0</v>
      </c>
      <c r="M402" s="18">
        <f t="shared" si="269"/>
        <v>31</v>
      </c>
      <c r="N402" s="18">
        <f t="shared" si="269"/>
        <v>31</v>
      </c>
      <c r="O402" s="18">
        <f t="shared" ref="O402" si="270">COUNT(O341:O371)</f>
        <v>31</v>
      </c>
      <c r="P402" s="18"/>
      <c r="T402" s="18">
        <f t="shared" ref="T402" si="271">COUNT(T341:T371)</f>
        <v>31</v>
      </c>
      <c r="V402" s="18">
        <f t="shared" ref="V402" si="272">COUNT(V341:V371)</f>
        <v>0</v>
      </c>
      <c r="Y402" s="18">
        <f t="shared" ref="Y402:Z402" si="273">COUNT(Y341:Y371)</f>
        <v>31</v>
      </c>
      <c r="Z402" s="18">
        <f t="shared" si="273"/>
        <v>31</v>
      </c>
      <c r="AB402" s="18">
        <f t="shared" ref="AB402" si="274">COUNT(AB341:AB371)</f>
        <v>31</v>
      </c>
      <c r="AI402" s="18">
        <f t="shared" ref="AI402" si="275">COUNT(AI341:AI371)</f>
        <v>31</v>
      </c>
      <c r="AK402" s="18">
        <f t="shared" ref="AK402" si="276">COUNT(AK341:AK371)</f>
        <v>31</v>
      </c>
      <c r="AN402" s="18">
        <f t="shared" ref="AN402" si="277">COUNT(AN341:AN371)</f>
        <v>31</v>
      </c>
      <c r="AP402" s="18">
        <f t="shared" ref="AP402:AQ402" si="278">COUNT(AP341:AP371)</f>
        <v>31</v>
      </c>
      <c r="AQ402" s="18">
        <f t="shared" si="278"/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29"/>
  <sheetViews>
    <sheetView workbookViewId="0">
      <selection activeCell="A3" sqref="A3"/>
    </sheetView>
  </sheetViews>
  <sheetFormatPr defaultRowHeight="15" x14ac:dyDescent="0.25"/>
  <sheetData>
    <row r="1" spans="1:5" x14ac:dyDescent="0.25">
      <c r="A1" t="s">
        <v>58</v>
      </c>
    </row>
    <row r="2" spans="1:5" x14ac:dyDescent="0.25">
      <c r="A2" t="s">
        <v>118</v>
      </c>
      <c r="E2" t="s">
        <v>112</v>
      </c>
    </row>
    <row r="4" spans="1:5" x14ac:dyDescent="0.25">
      <c r="A4" t="s">
        <v>62</v>
      </c>
    </row>
    <row r="5" spans="1:5" x14ac:dyDescent="0.25">
      <c r="B5" t="s">
        <v>59</v>
      </c>
    </row>
    <row r="6" spans="1:5" x14ac:dyDescent="0.25">
      <c r="B6" t="s">
        <v>76</v>
      </c>
    </row>
    <row r="7" spans="1:5" x14ac:dyDescent="0.25">
      <c r="A7" t="s">
        <v>63</v>
      </c>
    </row>
    <row r="8" spans="1:5" x14ac:dyDescent="0.25">
      <c r="B8" t="s">
        <v>116</v>
      </c>
    </row>
    <row r="9" spans="1:5" x14ac:dyDescent="0.25">
      <c r="B9" t="s">
        <v>70</v>
      </c>
    </row>
    <row r="10" spans="1:5" x14ac:dyDescent="0.25">
      <c r="B10" t="s">
        <v>69</v>
      </c>
    </row>
    <row r="11" spans="1:5" x14ac:dyDescent="0.25">
      <c r="A11" t="s">
        <v>64</v>
      </c>
    </row>
    <row r="12" spans="1:5" x14ac:dyDescent="0.25">
      <c r="B12" t="s">
        <v>117</v>
      </c>
    </row>
    <row r="13" spans="1:5" x14ac:dyDescent="0.25">
      <c r="A13" t="s">
        <v>65</v>
      </c>
    </row>
    <row r="14" spans="1:5" x14ac:dyDescent="0.25">
      <c r="B14" t="s">
        <v>60</v>
      </c>
    </row>
    <row r="15" spans="1:5" x14ac:dyDescent="0.25">
      <c r="A15" t="s">
        <v>66</v>
      </c>
    </row>
    <row r="16" spans="1:5" x14ac:dyDescent="0.25">
      <c r="B16" t="s">
        <v>92</v>
      </c>
    </row>
    <row r="17" spans="1:3" x14ac:dyDescent="0.25">
      <c r="A17" t="s">
        <v>67</v>
      </c>
    </row>
    <row r="18" spans="1:3" x14ac:dyDescent="0.25">
      <c r="B18" t="s">
        <v>61</v>
      </c>
    </row>
    <row r="19" spans="1:3" x14ac:dyDescent="0.25">
      <c r="A19" t="s">
        <v>68</v>
      </c>
    </row>
    <row r="20" spans="1:3" x14ac:dyDescent="0.25">
      <c r="B20" t="s">
        <v>73</v>
      </c>
    </row>
    <row r="22" spans="1:3" x14ac:dyDescent="0.25">
      <c r="A22" t="s">
        <v>105</v>
      </c>
    </row>
    <row r="23" spans="1:3" x14ac:dyDescent="0.25">
      <c r="B23" t="s">
        <v>106</v>
      </c>
    </row>
    <row r="24" spans="1:3" x14ac:dyDescent="0.25">
      <c r="B24" t="s">
        <v>113</v>
      </c>
    </row>
    <row r="25" spans="1:3" x14ac:dyDescent="0.25">
      <c r="C25" t="s">
        <v>114</v>
      </c>
    </row>
    <row r="26" spans="1:3" x14ac:dyDescent="0.25">
      <c r="A26" t="s">
        <v>108</v>
      </c>
    </row>
    <row r="27" spans="1:3" x14ac:dyDescent="0.25">
      <c r="B27" t="s">
        <v>115</v>
      </c>
    </row>
    <row r="28" spans="1:3" x14ac:dyDescent="0.25">
      <c r="A28" t="s">
        <v>109</v>
      </c>
    </row>
    <row r="29" spans="1:3" x14ac:dyDescent="0.25">
      <c r="B2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17</vt:i4>
      </vt:variant>
    </vt:vector>
  </HeadingPairs>
  <TitlesOfParts>
    <vt:vector size="19" baseType="lpstr">
      <vt:lpstr>Data</vt:lpstr>
      <vt:lpstr>Meta</vt:lpstr>
      <vt:lpstr>Sol</vt:lpstr>
      <vt:lpstr>SolCor</vt:lpstr>
      <vt:lpstr>TAir</vt:lpstr>
      <vt:lpstr>RH</vt:lpstr>
      <vt:lpstr>Tave</vt:lpstr>
      <vt:lpstr>T1.5</vt:lpstr>
      <vt:lpstr>T0.2</vt:lpstr>
      <vt:lpstr>Tsoil</vt:lpstr>
      <vt:lpstr>Wind</vt:lpstr>
      <vt:lpstr>SnowD</vt:lpstr>
      <vt:lpstr>Rain</vt:lpstr>
      <vt:lpstr>PPTSum</vt:lpstr>
      <vt:lpstr>vpres</vt:lpstr>
      <vt:lpstr>BatV</vt:lpstr>
      <vt:lpstr>TRef</vt:lpstr>
      <vt:lpstr>Tpan</vt:lpstr>
      <vt:lpstr>Short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2013-07-08T16:00:48Z</dcterms:created>
  <dcterms:modified xsi:type="dcterms:W3CDTF">2025-03-31T20:44:42Z</dcterms:modified>
</cp:coreProperties>
</file>