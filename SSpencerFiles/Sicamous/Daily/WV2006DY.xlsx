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598" activeTab="2"/>
  </bookViews>
  <sheets>
    <sheet name="Meta" sheetId="28" r:id="rId1"/>
    <sheet name="PPTest" sheetId="26" r:id="rId2"/>
    <sheet name="Data" sheetId="1" r:id="rId3"/>
    <sheet name="DerVar" sheetId="29" r:id="rId4"/>
    <sheet name="Bat_V" sheetId="25" r:id="rId5"/>
    <sheet name="Sol" sheetId="19" r:id="rId6"/>
    <sheet name="PAR" sheetId="20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7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/>
  <pivotCaches>
    <pivotCache cacheId="88" r:id="rId23"/>
  </pivotCaches>
</workbook>
</file>

<file path=xl/calcChain.xml><?xml version="1.0" encoding="utf-8"?>
<calcChain xmlns="http://schemas.openxmlformats.org/spreadsheetml/2006/main"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O371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CU371" i="1" l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CJ371" i="1" l="1"/>
  <c r="CI371" i="1"/>
  <c r="CH371" i="1"/>
  <c r="CG371" i="1"/>
  <c r="CF371" i="1"/>
  <c r="CE371" i="1"/>
  <c r="CJ370" i="1"/>
  <c r="CI370" i="1"/>
  <c r="CH370" i="1"/>
  <c r="CG370" i="1"/>
  <c r="CF370" i="1"/>
  <c r="CE370" i="1"/>
  <c r="CJ369" i="1"/>
  <c r="CI369" i="1"/>
  <c r="CH369" i="1"/>
  <c r="CG369" i="1"/>
  <c r="CF369" i="1"/>
  <c r="CE369" i="1"/>
  <c r="CJ368" i="1"/>
  <c r="CI368" i="1"/>
  <c r="CH368" i="1"/>
  <c r="CG368" i="1"/>
  <c r="CF368" i="1"/>
  <c r="CE368" i="1"/>
  <c r="CJ367" i="1"/>
  <c r="CI367" i="1"/>
  <c r="CH367" i="1"/>
  <c r="CG367" i="1"/>
  <c r="CF367" i="1"/>
  <c r="CE367" i="1"/>
  <c r="CJ366" i="1"/>
  <c r="CI366" i="1"/>
  <c r="CH366" i="1"/>
  <c r="CG366" i="1"/>
  <c r="CF366" i="1"/>
  <c r="CE366" i="1"/>
  <c r="CJ365" i="1"/>
  <c r="CI365" i="1"/>
  <c r="CH365" i="1"/>
  <c r="CG365" i="1"/>
  <c r="CF365" i="1"/>
  <c r="CE365" i="1"/>
  <c r="CJ364" i="1"/>
  <c r="CI364" i="1"/>
  <c r="CH364" i="1"/>
  <c r="CG364" i="1"/>
  <c r="CF364" i="1"/>
  <c r="CE364" i="1"/>
  <c r="CJ363" i="1"/>
  <c r="CI363" i="1"/>
  <c r="CH363" i="1"/>
  <c r="CG363" i="1"/>
  <c r="CF363" i="1"/>
  <c r="CE363" i="1"/>
  <c r="CJ362" i="1"/>
  <c r="CI362" i="1"/>
  <c r="CH362" i="1"/>
  <c r="CG362" i="1"/>
  <c r="CF362" i="1"/>
  <c r="CE362" i="1"/>
  <c r="CJ361" i="1"/>
  <c r="CI361" i="1"/>
  <c r="CH361" i="1"/>
  <c r="CG361" i="1"/>
  <c r="CF361" i="1"/>
  <c r="CE361" i="1"/>
  <c r="CJ360" i="1"/>
  <c r="CI360" i="1"/>
  <c r="CH360" i="1"/>
  <c r="CG360" i="1"/>
  <c r="CF360" i="1"/>
  <c r="CE360" i="1"/>
  <c r="CJ359" i="1"/>
  <c r="CI359" i="1"/>
  <c r="CH359" i="1"/>
  <c r="CG359" i="1"/>
  <c r="CF359" i="1"/>
  <c r="CE359" i="1"/>
  <c r="CJ358" i="1"/>
  <c r="CI358" i="1"/>
  <c r="CH358" i="1"/>
  <c r="CG358" i="1"/>
  <c r="CF358" i="1"/>
  <c r="CE358" i="1"/>
  <c r="CJ357" i="1"/>
  <c r="CI357" i="1"/>
  <c r="CH357" i="1"/>
  <c r="CG357" i="1"/>
  <c r="CF357" i="1"/>
  <c r="CE357" i="1"/>
  <c r="CJ356" i="1"/>
  <c r="CI356" i="1"/>
  <c r="CH356" i="1"/>
  <c r="CG356" i="1"/>
  <c r="CF356" i="1"/>
  <c r="CE356" i="1"/>
  <c r="CJ355" i="1"/>
  <c r="CI355" i="1"/>
  <c r="CH355" i="1"/>
  <c r="CG355" i="1"/>
  <c r="CF355" i="1"/>
  <c r="CE355" i="1"/>
  <c r="CJ354" i="1"/>
  <c r="CI354" i="1"/>
  <c r="CH354" i="1"/>
  <c r="CG354" i="1"/>
  <c r="CF354" i="1"/>
  <c r="CE354" i="1"/>
  <c r="CJ353" i="1"/>
  <c r="CI353" i="1"/>
  <c r="CH353" i="1"/>
  <c r="CG353" i="1"/>
  <c r="CF353" i="1"/>
  <c r="CE353" i="1"/>
  <c r="CJ352" i="1"/>
  <c r="CI352" i="1"/>
  <c r="CH352" i="1"/>
  <c r="CG352" i="1"/>
  <c r="CF352" i="1"/>
  <c r="CE352" i="1"/>
  <c r="CJ351" i="1"/>
  <c r="CI351" i="1"/>
  <c r="CH351" i="1"/>
  <c r="CG351" i="1"/>
  <c r="CF351" i="1"/>
  <c r="CE351" i="1"/>
  <c r="CJ350" i="1"/>
  <c r="CI350" i="1"/>
  <c r="CH350" i="1"/>
  <c r="CG350" i="1"/>
  <c r="CF350" i="1"/>
  <c r="CE350" i="1"/>
  <c r="CJ349" i="1"/>
  <c r="CI349" i="1"/>
  <c r="CH349" i="1"/>
  <c r="CG349" i="1"/>
  <c r="CF349" i="1"/>
  <c r="CE349" i="1"/>
  <c r="CJ348" i="1"/>
  <c r="CI348" i="1"/>
  <c r="CH348" i="1"/>
  <c r="CG348" i="1"/>
  <c r="CF348" i="1"/>
  <c r="CE348" i="1"/>
  <c r="CJ347" i="1"/>
  <c r="CI347" i="1"/>
  <c r="CH347" i="1"/>
  <c r="CG347" i="1"/>
  <c r="CF347" i="1"/>
  <c r="CE347" i="1"/>
  <c r="CJ346" i="1"/>
  <c r="CI346" i="1"/>
  <c r="CH346" i="1"/>
  <c r="CG346" i="1"/>
  <c r="CF346" i="1"/>
  <c r="CE346" i="1"/>
  <c r="CJ345" i="1"/>
  <c r="CI345" i="1"/>
  <c r="CH345" i="1"/>
  <c r="CG345" i="1"/>
  <c r="CF345" i="1"/>
  <c r="CE345" i="1"/>
  <c r="CJ344" i="1"/>
  <c r="CI344" i="1"/>
  <c r="CH344" i="1"/>
  <c r="CG344" i="1"/>
  <c r="CF344" i="1"/>
  <c r="CE344" i="1"/>
  <c r="CJ343" i="1"/>
  <c r="CI343" i="1"/>
  <c r="CH343" i="1"/>
  <c r="CG343" i="1"/>
  <c r="CF343" i="1"/>
  <c r="CE343" i="1"/>
  <c r="CJ342" i="1"/>
  <c r="CI342" i="1"/>
  <c r="CH342" i="1"/>
  <c r="CG342" i="1"/>
  <c r="CF342" i="1"/>
  <c r="CE342" i="1"/>
  <c r="CJ341" i="1"/>
  <c r="CI341" i="1"/>
  <c r="CH341" i="1"/>
  <c r="CG341" i="1"/>
  <c r="CF341" i="1"/>
  <c r="CE341" i="1"/>
  <c r="CJ340" i="1"/>
  <c r="CI340" i="1"/>
  <c r="CH340" i="1"/>
  <c r="CG340" i="1"/>
  <c r="CF340" i="1"/>
  <c r="CE340" i="1"/>
  <c r="CJ339" i="1"/>
  <c r="CI339" i="1"/>
  <c r="CH339" i="1"/>
  <c r="CG339" i="1"/>
  <c r="CF339" i="1"/>
  <c r="CE339" i="1"/>
  <c r="CJ338" i="1"/>
  <c r="CI338" i="1"/>
  <c r="CH338" i="1"/>
  <c r="CG338" i="1"/>
  <c r="CF338" i="1"/>
  <c r="CE338" i="1"/>
  <c r="CJ337" i="1"/>
  <c r="CI337" i="1"/>
  <c r="CH337" i="1"/>
  <c r="CG337" i="1"/>
  <c r="CF337" i="1"/>
  <c r="CE337" i="1"/>
  <c r="CJ336" i="1"/>
  <c r="CI336" i="1"/>
  <c r="CH336" i="1"/>
  <c r="CG336" i="1"/>
  <c r="CF336" i="1"/>
  <c r="CE336" i="1"/>
  <c r="CJ335" i="1"/>
  <c r="CI335" i="1"/>
  <c r="CH335" i="1"/>
  <c r="CG335" i="1"/>
  <c r="CF335" i="1"/>
  <c r="CE335" i="1"/>
  <c r="CJ334" i="1"/>
  <c r="CI334" i="1"/>
  <c r="CH334" i="1"/>
  <c r="CG334" i="1"/>
  <c r="CF334" i="1"/>
  <c r="CE334" i="1"/>
  <c r="CJ333" i="1"/>
  <c r="CI333" i="1"/>
  <c r="CH333" i="1"/>
  <c r="CG333" i="1"/>
  <c r="CF333" i="1"/>
  <c r="CE333" i="1"/>
  <c r="CJ332" i="1"/>
  <c r="CI332" i="1"/>
  <c r="CH332" i="1"/>
  <c r="CG332" i="1"/>
  <c r="CF332" i="1"/>
  <c r="CE332" i="1"/>
  <c r="CJ331" i="1"/>
  <c r="CI331" i="1"/>
  <c r="CH331" i="1"/>
  <c r="CG331" i="1"/>
  <c r="CF331" i="1"/>
  <c r="CE331" i="1"/>
  <c r="CJ330" i="1"/>
  <c r="CI330" i="1"/>
  <c r="CH330" i="1"/>
  <c r="CG330" i="1"/>
  <c r="CF330" i="1"/>
  <c r="CE330" i="1"/>
  <c r="CJ329" i="1"/>
  <c r="CI329" i="1"/>
  <c r="CH329" i="1"/>
  <c r="CG329" i="1"/>
  <c r="CF329" i="1"/>
  <c r="CE329" i="1"/>
  <c r="CJ328" i="1"/>
  <c r="CI328" i="1"/>
  <c r="CH328" i="1"/>
  <c r="CG328" i="1"/>
  <c r="CF328" i="1"/>
  <c r="CE328" i="1"/>
  <c r="CJ327" i="1"/>
  <c r="CI327" i="1"/>
  <c r="CH327" i="1"/>
  <c r="CG327" i="1"/>
  <c r="CF327" i="1"/>
  <c r="CE327" i="1"/>
  <c r="CJ326" i="1"/>
  <c r="CI326" i="1"/>
  <c r="CH326" i="1"/>
  <c r="CG326" i="1"/>
  <c r="CF326" i="1"/>
  <c r="CE326" i="1"/>
  <c r="CJ325" i="1"/>
  <c r="CI325" i="1"/>
  <c r="CH325" i="1"/>
  <c r="CG325" i="1"/>
  <c r="CF325" i="1"/>
  <c r="CE325" i="1"/>
  <c r="CJ324" i="1"/>
  <c r="CI324" i="1"/>
  <c r="CH324" i="1"/>
  <c r="CG324" i="1"/>
  <c r="CF324" i="1"/>
  <c r="CE324" i="1"/>
  <c r="CJ323" i="1"/>
  <c r="CI323" i="1"/>
  <c r="CH323" i="1"/>
  <c r="CG323" i="1"/>
  <c r="CF323" i="1"/>
  <c r="CE323" i="1"/>
  <c r="CJ322" i="1"/>
  <c r="CI322" i="1"/>
  <c r="CH322" i="1"/>
  <c r="CG322" i="1"/>
  <c r="CF322" i="1"/>
  <c r="CE322" i="1"/>
  <c r="CJ321" i="1"/>
  <c r="CI321" i="1"/>
  <c r="CH321" i="1"/>
  <c r="CG321" i="1"/>
  <c r="CF321" i="1"/>
  <c r="CE321" i="1"/>
  <c r="CJ320" i="1"/>
  <c r="CI320" i="1"/>
  <c r="CH320" i="1"/>
  <c r="CG320" i="1"/>
  <c r="CF320" i="1"/>
  <c r="CE320" i="1"/>
  <c r="CJ319" i="1"/>
  <c r="CI319" i="1"/>
  <c r="CH319" i="1"/>
  <c r="CG319" i="1"/>
  <c r="CF319" i="1"/>
  <c r="CE319" i="1"/>
  <c r="CJ318" i="1"/>
  <c r="CI318" i="1"/>
  <c r="CH318" i="1"/>
  <c r="CG318" i="1"/>
  <c r="CF318" i="1"/>
  <c r="CE318" i="1"/>
  <c r="CJ317" i="1"/>
  <c r="CI317" i="1"/>
  <c r="CH317" i="1"/>
  <c r="CG317" i="1"/>
  <c r="CF317" i="1"/>
  <c r="CE317" i="1"/>
  <c r="CJ316" i="1"/>
  <c r="CI316" i="1"/>
  <c r="CH316" i="1"/>
  <c r="CG316" i="1"/>
  <c r="CF316" i="1"/>
  <c r="CE316" i="1"/>
  <c r="CJ315" i="1"/>
  <c r="CI315" i="1"/>
  <c r="CH315" i="1"/>
  <c r="CG315" i="1"/>
  <c r="CF315" i="1"/>
  <c r="CE315" i="1"/>
  <c r="CJ314" i="1"/>
  <c r="CI314" i="1"/>
  <c r="CH314" i="1"/>
  <c r="CG314" i="1"/>
  <c r="CF314" i="1"/>
  <c r="CE314" i="1"/>
  <c r="CJ313" i="1"/>
  <c r="CI313" i="1"/>
  <c r="CH313" i="1"/>
  <c r="CG313" i="1"/>
  <c r="CF313" i="1"/>
  <c r="CE313" i="1"/>
  <c r="CJ312" i="1"/>
  <c r="CI312" i="1"/>
  <c r="CH312" i="1"/>
  <c r="CG312" i="1"/>
  <c r="CF312" i="1"/>
  <c r="CE312" i="1"/>
  <c r="CJ311" i="1"/>
  <c r="CI311" i="1"/>
  <c r="CH311" i="1"/>
  <c r="CG311" i="1"/>
  <c r="CF311" i="1"/>
  <c r="CE311" i="1"/>
  <c r="CJ310" i="1"/>
  <c r="CI310" i="1"/>
  <c r="CH310" i="1"/>
  <c r="CG310" i="1"/>
  <c r="CF310" i="1"/>
  <c r="CE310" i="1"/>
  <c r="CJ309" i="1"/>
  <c r="CI309" i="1"/>
  <c r="CH309" i="1"/>
  <c r="CG309" i="1"/>
  <c r="CF309" i="1"/>
  <c r="CE309" i="1"/>
  <c r="CJ308" i="1"/>
  <c r="CI308" i="1"/>
  <c r="CH308" i="1"/>
  <c r="CG308" i="1"/>
  <c r="CF308" i="1"/>
  <c r="CE308" i="1"/>
  <c r="CJ307" i="1"/>
  <c r="CI307" i="1"/>
  <c r="CH307" i="1"/>
  <c r="CG307" i="1"/>
  <c r="CF307" i="1"/>
  <c r="CE307" i="1"/>
  <c r="CJ306" i="1"/>
  <c r="CI306" i="1"/>
  <c r="CH306" i="1"/>
  <c r="CG306" i="1"/>
  <c r="CF306" i="1"/>
  <c r="CE306" i="1"/>
  <c r="CJ305" i="1"/>
  <c r="CI305" i="1"/>
  <c r="CH305" i="1"/>
  <c r="CG305" i="1"/>
  <c r="CF305" i="1"/>
  <c r="CE305" i="1"/>
  <c r="CJ304" i="1"/>
  <c r="CI304" i="1"/>
  <c r="CH304" i="1"/>
  <c r="CG304" i="1"/>
  <c r="CF304" i="1"/>
  <c r="CE304" i="1"/>
  <c r="CJ303" i="1"/>
  <c r="CI303" i="1"/>
  <c r="CH303" i="1"/>
  <c r="CG303" i="1"/>
  <c r="CF303" i="1"/>
  <c r="CE303" i="1"/>
  <c r="CJ302" i="1"/>
  <c r="CI302" i="1"/>
  <c r="CH302" i="1"/>
  <c r="CG302" i="1"/>
  <c r="CF302" i="1"/>
  <c r="CE302" i="1"/>
  <c r="CJ301" i="1"/>
  <c r="CI301" i="1"/>
  <c r="CH301" i="1"/>
  <c r="CG301" i="1"/>
  <c r="CF301" i="1"/>
  <c r="CE301" i="1"/>
  <c r="CJ300" i="1"/>
  <c r="CI300" i="1"/>
  <c r="CH300" i="1"/>
  <c r="CG300" i="1"/>
  <c r="CF300" i="1"/>
  <c r="CE300" i="1"/>
  <c r="CJ299" i="1"/>
  <c r="CI299" i="1"/>
  <c r="CH299" i="1"/>
  <c r="CG299" i="1"/>
  <c r="CF299" i="1"/>
  <c r="CE299" i="1"/>
  <c r="CJ298" i="1"/>
  <c r="CI298" i="1"/>
  <c r="CH298" i="1"/>
  <c r="CG298" i="1"/>
  <c r="CF298" i="1"/>
  <c r="CE298" i="1"/>
  <c r="CJ297" i="1"/>
  <c r="CI297" i="1"/>
  <c r="CH297" i="1"/>
  <c r="CG297" i="1"/>
  <c r="CF297" i="1"/>
  <c r="CE297" i="1"/>
  <c r="CJ296" i="1"/>
  <c r="CI296" i="1"/>
  <c r="CH296" i="1"/>
  <c r="CG296" i="1"/>
  <c r="CF296" i="1"/>
  <c r="CE296" i="1"/>
  <c r="CJ295" i="1"/>
  <c r="CI295" i="1"/>
  <c r="CH295" i="1"/>
  <c r="CG295" i="1"/>
  <c r="CF295" i="1"/>
  <c r="CE295" i="1"/>
  <c r="CJ294" i="1"/>
  <c r="CI294" i="1"/>
  <c r="CH294" i="1"/>
  <c r="CG294" i="1"/>
  <c r="CF294" i="1"/>
  <c r="CE294" i="1"/>
  <c r="CJ293" i="1"/>
  <c r="CI293" i="1"/>
  <c r="CH293" i="1"/>
  <c r="CG293" i="1"/>
  <c r="CF293" i="1"/>
  <c r="CE293" i="1"/>
  <c r="CJ292" i="1"/>
  <c r="CI292" i="1"/>
  <c r="CH292" i="1"/>
  <c r="CG292" i="1"/>
  <c r="CF292" i="1"/>
  <c r="CE292" i="1"/>
  <c r="CJ291" i="1"/>
  <c r="CI291" i="1"/>
  <c r="CH291" i="1"/>
  <c r="CG291" i="1"/>
  <c r="CF291" i="1"/>
  <c r="CE291" i="1"/>
  <c r="CJ290" i="1"/>
  <c r="CI290" i="1"/>
  <c r="CH290" i="1"/>
  <c r="CG290" i="1"/>
  <c r="CF290" i="1"/>
  <c r="CE290" i="1"/>
  <c r="CJ289" i="1"/>
  <c r="CI289" i="1"/>
  <c r="CH289" i="1"/>
  <c r="CG289" i="1"/>
  <c r="CF289" i="1"/>
  <c r="CE289" i="1"/>
  <c r="CJ288" i="1"/>
  <c r="CI288" i="1"/>
  <c r="CH288" i="1"/>
  <c r="CG288" i="1"/>
  <c r="CF288" i="1"/>
  <c r="CE288" i="1"/>
  <c r="CJ287" i="1"/>
  <c r="CI287" i="1"/>
  <c r="CH287" i="1"/>
  <c r="CG287" i="1"/>
  <c r="CF287" i="1"/>
  <c r="CE287" i="1"/>
  <c r="CJ286" i="1"/>
  <c r="CI286" i="1"/>
  <c r="CH286" i="1"/>
  <c r="CG286" i="1"/>
  <c r="CF286" i="1"/>
  <c r="CE286" i="1"/>
  <c r="CJ285" i="1"/>
  <c r="CI285" i="1"/>
  <c r="CH285" i="1"/>
  <c r="CG285" i="1"/>
  <c r="CF285" i="1"/>
  <c r="CE285" i="1"/>
  <c r="CJ284" i="1"/>
  <c r="CI284" i="1"/>
  <c r="CH284" i="1"/>
  <c r="CG284" i="1"/>
  <c r="CF284" i="1"/>
  <c r="CE284" i="1"/>
  <c r="CJ283" i="1"/>
  <c r="CI283" i="1"/>
  <c r="CH283" i="1"/>
  <c r="CG283" i="1"/>
  <c r="CF283" i="1"/>
  <c r="CE283" i="1"/>
  <c r="CJ282" i="1"/>
  <c r="CI282" i="1"/>
  <c r="CH282" i="1"/>
  <c r="CG282" i="1"/>
  <c r="CF282" i="1"/>
  <c r="CE282" i="1"/>
  <c r="CJ281" i="1"/>
  <c r="CI281" i="1"/>
  <c r="CH281" i="1"/>
  <c r="CG281" i="1"/>
  <c r="CF281" i="1"/>
  <c r="CE281" i="1"/>
  <c r="CJ280" i="1"/>
  <c r="CI280" i="1"/>
  <c r="CH280" i="1"/>
  <c r="CG280" i="1"/>
  <c r="CF280" i="1"/>
  <c r="CE280" i="1"/>
  <c r="CJ279" i="1"/>
  <c r="CI279" i="1"/>
  <c r="CH279" i="1"/>
  <c r="CG279" i="1"/>
  <c r="CF279" i="1"/>
  <c r="CE279" i="1"/>
  <c r="CJ278" i="1"/>
  <c r="CI278" i="1"/>
  <c r="CH278" i="1"/>
  <c r="CG278" i="1"/>
  <c r="CF278" i="1"/>
  <c r="CE278" i="1"/>
  <c r="CJ277" i="1"/>
  <c r="CI277" i="1"/>
  <c r="CH277" i="1"/>
  <c r="CG277" i="1"/>
  <c r="CF277" i="1"/>
  <c r="CE277" i="1"/>
  <c r="CJ276" i="1"/>
  <c r="CI276" i="1"/>
  <c r="CH276" i="1"/>
  <c r="CG276" i="1"/>
  <c r="CF276" i="1"/>
  <c r="CE276" i="1"/>
  <c r="CJ275" i="1"/>
  <c r="CI275" i="1"/>
  <c r="CH275" i="1"/>
  <c r="CG275" i="1"/>
  <c r="CF275" i="1"/>
  <c r="CE275" i="1"/>
  <c r="CJ274" i="1"/>
  <c r="CI274" i="1"/>
  <c r="CH274" i="1"/>
  <c r="CG274" i="1"/>
  <c r="CF274" i="1"/>
  <c r="CE274" i="1"/>
  <c r="CJ273" i="1"/>
  <c r="CI273" i="1"/>
  <c r="CH273" i="1"/>
  <c r="CG273" i="1"/>
  <c r="CF273" i="1"/>
  <c r="CE273" i="1"/>
  <c r="CJ272" i="1"/>
  <c r="CI272" i="1"/>
  <c r="CH272" i="1"/>
  <c r="CG272" i="1"/>
  <c r="CF272" i="1"/>
  <c r="CE272" i="1"/>
  <c r="CJ271" i="1"/>
  <c r="CI271" i="1"/>
  <c r="CH271" i="1"/>
  <c r="CG271" i="1"/>
  <c r="CF271" i="1"/>
  <c r="CE271" i="1"/>
  <c r="CJ270" i="1"/>
  <c r="CI270" i="1"/>
  <c r="CH270" i="1"/>
  <c r="CG270" i="1"/>
  <c r="CF270" i="1"/>
  <c r="CE270" i="1"/>
  <c r="CJ269" i="1"/>
  <c r="CI269" i="1"/>
  <c r="CH269" i="1"/>
  <c r="CG269" i="1"/>
  <c r="CF269" i="1"/>
  <c r="CE269" i="1"/>
  <c r="CJ268" i="1"/>
  <c r="CI268" i="1"/>
  <c r="CH268" i="1"/>
  <c r="CG268" i="1"/>
  <c r="CF268" i="1"/>
  <c r="CE268" i="1"/>
  <c r="CJ267" i="1"/>
  <c r="CI267" i="1"/>
  <c r="CH267" i="1"/>
  <c r="CG267" i="1"/>
  <c r="CF267" i="1"/>
  <c r="CE267" i="1"/>
  <c r="CJ266" i="1"/>
  <c r="CI266" i="1"/>
  <c r="CH266" i="1"/>
  <c r="CG266" i="1"/>
  <c r="CF266" i="1"/>
  <c r="CE266" i="1"/>
  <c r="CJ265" i="1"/>
  <c r="CI265" i="1"/>
  <c r="CH265" i="1"/>
  <c r="CG265" i="1"/>
  <c r="CF265" i="1"/>
  <c r="CE265" i="1"/>
  <c r="CJ264" i="1"/>
  <c r="CI264" i="1"/>
  <c r="CH264" i="1"/>
  <c r="CG264" i="1"/>
  <c r="CF264" i="1"/>
  <c r="CE264" i="1"/>
  <c r="CJ263" i="1"/>
  <c r="CI263" i="1"/>
  <c r="CH263" i="1"/>
  <c r="CG263" i="1"/>
  <c r="CF263" i="1"/>
  <c r="CE263" i="1"/>
  <c r="CJ262" i="1"/>
  <c r="CI262" i="1"/>
  <c r="CH262" i="1"/>
  <c r="CG262" i="1"/>
  <c r="CF262" i="1"/>
  <c r="CE262" i="1"/>
  <c r="CJ261" i="1"/>
  <c r="CI261" i="1"/>
  <c r="CH261" i="1"/>
  <c r="CG261" i="1"/>
  <c r="CF261" i="1"/>
  <c r="CE261" i="1"/>
  <c r="CJ260" i="1"/>
  <c r="CI260" i="1"/>
  <c r="CH260" i="1"/>
  <c r="CG260" i="1"/>
  <c r="CF260" i="1"/>
  <c r="CE260" i="1"/>
  <c r="CJ259" i="1"/>
  <c r="CI259" i="1"/>
  <c r="CH259" i="1"/>
  <c r="CG259" i="1"/>
  <c r="CF259" i="1"/>
  <c r="CE259" i="1"/>
  <c r="CJ258" i="1"/>
  <c r="CI258" i="1"/>
  <c r="CH258" i="1"/>
  <c r="CG258" i="1"/>
  <c r="CF258" i="1"/>
  <c r="CE258" i="1"/>
  <c r="CJ257" i="1"/>
  <c r="CI257" i="1"/>
  <c r="CH257" i="1"/>
  <c r="CG257" i="1"/>
  <c r="CF257" i="1"/>
  <c r="CE257" i="1"/>
  <c r="CJ256" i="1"/>
  <c r="CI256" i="1"/>
  <c r="CH256" i="1"/>
  <c r="CG256" i="1"/>
  <c r="CF256" i="1"/>
  <c r="CE256" i="1"/>
  <c r="CJ255" i="1"/>
  <c r="CI255" i="1"/>
  <c r="CH255" i="1"/>
  <c r="CG255" i="1"/>
  <c r="CF255" i="1"/>
  <c r="CE255" i="1"/>
  <c r="CJ254" i="1"/>
  <c r="CI254" i="1"/>
  <c r="CH254" i="1"/>
  <c r="CG254" i="1"/>
  <c r="CF254" i="1"/>
  <c r="CE254" i="1"/>
  <c r="CJ253" i="1"/>
  <c r="CI253" i="1"/>
  <c r="CH253" i="1"/>
  <c r="CG253" i="1"/>
  <c r="CF253" i="1"/>
  <c r="CE253" i="1"/>
  <c r="CJ252" i="1"/>
  <c r="CI252" i="1"/>
  <c r="CH252" i="1"/>
  <c r="CG252" i="1"/>
  <c r="CF252" i="1"/>
  <c r="CE252" i="1"/>
  <c r="CJ251" i="1"/>
  <c r="CI251" i="1"/>
  <c r="CH251" i="1"/>
  <c r="CG251" i="1"/>
  <c r="CF251" i="1"/>
  <c r="CE251" i="1"/>
  <c r="CJ250" i="1"/>
  <c r="CI250" i="1"/>
  <c r="CH250" i="1"/>
  <c r="CG250" i="1"/>
  <c r="CF250" i="1"/>
  <c r="CE250" i="1"/>
  <c r="CJ249" i="1"/>
  <c r="CI249" i="1"/>
  <c r="CH249" i="1"/>
  <c r="CG249" i="1"/>
  <c r="CF249" i="1"/>
  <c r="CE249" i="1"/>
  <c r="CJ248" i="1"/>
  <c r="CI248" i="1"/>
  <c r="CH248" i="1"/>
  <c r="CG248" i="1"/>
  <c r="CF248" i="1"/>
  <c r="CE248" i="1"/>
  <c r="CJ247" i="1"/>
  <c r="CI247" i="1"/>
  <c r="CH247" i="1"/>
  <c r="CG247" i="1"/>
  <c r="CF247" i="1"/>
  <c r="CE247" i="1"/>
  <c r="CJ246" i="1"/>
  <c r="CI246" i="1"/>
  <c r="CH246" i="1"/>
  <c r="CG246" i="1"/>
  <c r="CF246" i="1"/>
  <c r="CE246" i="1"/>
  <c r="CJ245" i="1"/>
  <c r="CI245" i="1"/>
  <c r="CH245" i="1"/>
  <c r="CG245" i="1"/>
  <c r="CF245" i="1"/>
  <c r="CE245" i="1"/>
  <c r="CJ244" i="1"/>
  <c r="CI244" i="1"/>
  <c r="CH244" i="1"/>
  <c r="CG244" i="1"/>
  <c r="CF244" i="1"/>
  <c r="CE244" i="1"/>
  <c r="CJ243" i="1"/>
  <c r="CI243" i="1"/>
  <c r="CH243" i="1"/>
  <c r="CG243" i="1"/>
  <c r="CF243" i="1"/>
  <c r="CE243" i="1"/>
  <c r="CJ242" i="1"/>
  <c r="CI242" i="1"/>
  <c r="CH242" i="1"/>
  <c r="CG242" i="1"/>
  <c r="CF242" i="1"/>
  <c r="CE242" i="1"/>
  <c r="CJ241" i="1"/>
  <c r="CI241" i="1"/>
  <c r="CH241" i="1"/>
  <c r="CG241" i="1"/>
  <c r="CF241" i="1"/>
  <c r="CE241" i="1"/>
  <c r="CJ240" i="1"/>
  <c r="CI240" i="1"/>
  <c r="CH240" i="1"/>
  <c r="CG240" i="1"/>
  <c r="CF240" i="1"/>
  <c r="CE240" i="1"/>
  <c r="CJ239" i="1"/>
  <c r="CI239" i="1"/>
  <c r="CH239" i="1"/>
  <c r="CG239" i="1"/>
  <c r="CF239" i="1"/>
  <c r="CE239" i="1"/>
  <c r="CJ238" i="1"/>
  <c r="CI238" i="1"/>
  <c r="CH238" i="1"/>
  <c r="CG238" i="1"/>
  <c r="CF238" i="1"/>
  <c r="CE238" i="1"/>
  <c r="CJ237" i="1"/>
  <c r="CI237" i="1"/>
  <c r="CH237" i="1"/>
  <c r="CG237" i="1"/>
  <c r="CF237" i="1"/>
  <c r="CE237" i="1"/>
  <c r="CJ236" i="1"/>
  <c r="CI236" i="1"/>
  <c r="CH236" i="1"/>
  <c r="CG236" i="1"/>
  <c r="CF236" i="1"/>
  <c r="CE236" i="1"/>
  <c r="CJ235" i="1"/>
  <c r="CI235" i="1"/>
  <c r="CH235" i="1"/>
  <c r="CG235" i="1"/>
  <c r="CF235" i="1"/>
  <c r="CE235" i="1"/>
  <c r="CJ234" i="1"/>
  <c r="CI234" i="1"/>
  <c r="CH234" i="1"/>
  <c r="CG234" i="1"/>
  <c r="CF234" i="1"/>
  <c r="CE234" i="1"/>
  <c r="CJ233" i="1"/>
  <c r="CI233" i="1"/>
  <c r="CH233" i="1"/>
  <c r="CG233" i="1"/>
  <c r="CF233" i="1"/>
  <c r="CE233" i="1"/>
  <c r="CJ232" i="1"/>
  <c r="CI232" i="1"/>
  <c r="CH232" i="1"/>
  <c r="CG232" i="1"/>
  <c r="CF232" i="1"/>
  <c r="CE232" i="1"/>
  <c r="CJ231" i="1"/>
  <c r="CI231" i="1"/>
  <c r="CH231" i="1"/>
  <c r="CG231" i="1"/>
  <c r="CF231" i="1"/>
  <c r="CE231" i="1"/>
  <c r="CJ230" i="1"/>
  <c r="CI230" i="1"/>
  <c r="CH230" i="1"/>
  <c r="CG230" i="1"/>
  <c r="CF230" i="1"/>
  <c r="CE230" i="1"/>
  <c r="CJ229" i="1"/>
  <c r="CI229" i="1"/>
  <c r="CH229" i="1"/>
  <c r="CG229" i="1"/>
  <c r="CF229" i="1"/>
  <c r="CE229" i="1"/>
  <c r="CJ228" i="1"/>
  <c r="CI228" i="1"/>
  <c r="CH228" i="1"/>
  <c r="CG228" i="1"/>
  <c r="CF228" i="1"/>
  <c r="CE228" i="1"/>
  <c r="CJ227" i="1"/>
  <c r="CI227" i="1"/>
  <c r="CH227" i="1"/>
  <c r="CG227" i="1"/>
  <c r="CF227" i="1"/>
  <c r="CE227" i="1"/>
  <c r="CJ226" i="1"/>
  <c r="CI226" i="1"/>
  <c r="CH226" i="1"/>
  <c r="CG226" i="1"/>
  <c r="CF226" i="1"/>
  <c r="CE226" i="1"/>
  <c r="CJ225" i="1"/>
  <c r="CI225" i="1"/>
  <c r="CH225" i="1"/>
  <c r="CG225" i="1"/>
  <c r="CF225" i="1"/>
  <c r="CE225" i="1"/>
  <c r="CJ224" i="1"/>
  <c r="CI224" i="1"/>
  <c r="CH224" i="1"/>
  <c r="CG224" i="1"/>
  <c r="CF224" i="1"/>
  <c r="CE224" i="1"/>
  <c r="CJ223" i="1"/>
  <c r="CI223" i="1"/>
  <c r="CH223" i="1"/>
  <c r="CG223" i="1"/>
  <c r="CF223" i="1"/>
  <c r="CE223" i="1"/>
  <c r="CJ222" i="1"/>
  <c r="CI222" i="1"/>
  <c r="CH222" i="1"/>
  <c r="CG222" i="1"/>
  <c r="CF222" i="1"/>
  <c r="CE222" i="1"/>
  <c r="CJ221" i="1"/>
  <c r="CI221" i="1"/>
  <c r="CH221" i="1"/>
  <c r="CG221" i="1"/>
  <c r="CF221" i="1"/>
  <c r="CE221" i="1"/>
  <c r="CJ220" i="1"/>
  <c r="CI220" i="1"/>
  <c r="CH220" i="1"/>
  <c r="CG220" i="1"/>
  <c r="CF220" i="1"/>
  <c r="CE220" i="1"/>
  <c r="CJ219" i="1"/>
  <c r="CI219" i="1"/>
  <c r="CH219" i="1"/>
  <c r="CG219" i="1"/>
  <c r="CF219" i="1"/>
  <c r="CE219" i="1"/>
  <c r="CJ218" i="1"/>
  <c r="CI218" i="1"/>
  <c r="CH218" i="1"/>
  <c r="CG218" i="1"/>
  <c r="CF218" i="1"/>
  <c r="CE218" i="1"/>
  <c r="CJ217" i="1"/>
  <c r="CI217" i="1"/>
  <c r="CH217" i="1"/>
  <c r="CG217" i="1"/>
  <c r="CF217" i="1"/>
  <c r="CE217" i="1"/>
  <c r="CJ216" i="1"/>
  <c r="CI216" i="1"/>
  <c r="CH216" i="1"/>
  <c r="CG216" i="1"/>
  <c r="CF216" i="1"/>
  <c r="CE216" i="1"/>
  <c r="CJ215" i="1"/>
  <c r="CI215" i="1"/>
  <c r="CH215" i="1"/>
  <c r="CG215" i="1"/>
  <c r="CF215" i="1"/>
  <c r="CE215" i="1"/>
  <c r="CJ214" i="1"/>
  <c r="CI214" i="1"/>
  <c r="CH214" i="1"/>
  <c r="CG214" i="1"/>
  <c r="CF214" i="1"/>
  <c r="CE214" i="1"/>
  <c r="CJ213" i="1"/>
  <c r="CI213" i="1"/>
  <c r="CH213" i="1"/>
  <c r="CG213" i="1"/>
  <c r="CF213" i="1"/>
  <c r="CE213" i="1"/>
  <c r="CJ212" i="1"/>
  <c r="CI212" i="1"/>
  <c r="CH212" i="1"/>
  <c r="CG212" i="1"/>
  <c r="CF212" i="1"/>
  <c r="CE212" i="1"/>
  <c r="CJ211" i="1"/>
  <c r="CI211" i="1"/>
  <c r="CH211" i="1"/>
  <c r="CG211" i="1"/>
  <c r="CF211" i="1"/>
  <c r="CE211" i="1"/>
  <c r="CJ210" i="1"/>
  <c r="CI210" i="1"/>
  <c r="CH210" i="1"/>
  <c r="CG210" i="1"/>
  <c r="CF210" i="1"/>
  <c r="CE210" i="1"/>
  <c r="CJ209" i="1"/>
  <c r="CI209" i="1"/>
  <c r="CH209" i="1"/>
  <c r="CG209" i="1"/>
  <c r="CF209" i="1"/>
  <c r="CE209" i="1"/>
  <c r="CJ208" i="1"/>
  <c r="CI208" i="1"/>
  <c r="CH208" i="1"/>
  <c r="CG208" i="1"/>
  <c r="CF208" i="1"/>
  <c r="CE208" i="1"/>
  <c r="CJ207" i="1"/>
  <c r="CI207" i="1"/>
  <c r="CH207" i="1"/>
  <c r="CG207" i="1"/>
  <c r="CF207" i="1"/>
  <c r="CE207" i="1"/>
  <c r="CJ206" i="1"/>
  <c r="CI206" i="1"/>
  <c r="CH206" i="1"/>
  <c r="CG206" i="1"/>
  <c r="CF206" i="1"/>
  <c r="CE206" i="1"/>
  <c r="CJ205" i="1"/>
  <c r="CI205" i="1"/>
  <c r="CH205" i="1"/>
  <c r="CG205" i="1"/>
  <c r="CF205" i="1"/>
  <c r="CE205" i="1"/>
  <c r="CJ204" i="1"/>
  <c r="CI204" i="1"/>
  <c r="CH204" i="1"/>
  <c r="CG204" i="1"/>
  <c r="CF204" i="1"/>
  <c r="CE204" i="1"/>
  <c r="CJ203" i="1"/>
  <c r="CI203" i="1"/>
  <c r="CH203" i="1"/>
  <c r="CG203" i="1"/>
  <c r="CF203" i="1"/>
  <c r="CE203" i="1"/>
  <c r="CJ202" i="1"/>
  <c r="CI202" i="1"/>
  <c r="CH202" i="1"/>
  <c r="CG202" i="1"/>
  <c r="CF202" i="1"/>
  <c r="CE202" i="1"/>
  <c r="CJ201" i="1"/>
  <c r="CI201" i="1"/>
  <c r="CH201" i="1"/>
  <c r="CG201" i="1"/>
  <c r="CF201" i="1"/>
  <c r="CE201" i="1"/>
  <c r="CJ200" i="1"/>
  <c r="CI200" i="1"/>
  <c r="CH200" i="1"/>
  <c r="CG200" i="1"/>
  <c r="CF200" i="1"/>
  <c r="CE200" i="1"/>
  <c r="CJ199" i="1"/>
  <c r="CI199" i="1"/>
  <c r="CH199" i="1"/>
  <c r="CG199" i="1"/>
  <c r="CF199" i="1"/>
  <c r="CE199" i="1"/>
  <c r="CJ198" i="1"/>
  <c r="CI198" i="1"/>
  <c r="CH198" i="1"/>
  <c r="CG198" i="1"/>
  <c r="CF198" i="1"/>
  <c r="CE198" i="1"/>
  <c r="CJ197" i="1"/>
  <c r="CI197" i="1"/>
  <c r="CH197" i="1"/>
  <c r="CG197" i="1"/>
  <c r="CF197" i="1"/>
  <c r="CE197" i="1"/>
  <c r="CJ196" i="1"/>
  <c r="CI196" i="1"/>
  <c r="CH196" i="1"/>
  <c r="CG196" i="1"/>
  <c r="CF196" i="1"/>
  <c r="CE196" i="1"/>
  <c r="CJ195" i="1"/>
  <c r="CI195" i="1"/>
  <c r="CH195" i="1"/>
  <c r="CG195" i="1"/>
  <c r="CF195" i="1"/>
  <c r="CE195" i="1"/>
  <c r="CJ194" i="1"/>
  <c r="CI194" i="1"/>
  <c r="CH194" i="1"/>
  <c r="CG194" i="1"/>
  <c r="CF194" i="1"/>
  <c r="CE194" i="1"/>
  <c r="CJ193" i="1"/>
  <c r="CI193" i="1"/>
  <c r="CH193" i="1"/>
  <c r="CG193" i="1"/>
  <c r="CF193" i="1"/>
  <c r="CE193" i="1"/>
  <c r="CJ192" i="1"/>
  <c r="CI192" i="1"/>
  <c r="CH192" i="1"/>
  <c r="CG192" i="1"/>
  <c r="CF192" i="1"/>
  <c r="CE192" i="1"/>
  <c r="CJ191" i="1"/>
  <c r="CI191" i="1"/>
  <c r="CH191" i="1"/>
  <c r="CG191" i="1"/>
  <c r="CF191" i="1"/>
  <c r="CE191" i="1"/>
  <c r="CJ190" i="1"/>
  <c r="CI190" i="1"/>
  <c r="CH190" i="1"/>
  <c r="CG190" i="1"/>
  <c r="CF190" i="1"/>
  <c r="CE190" i="1"/>
  <c r="CJ189" i="1"/>
  <c r="CI189" i="1"/>
  <c r="CH189" i="1"/>
  <c r="CG189" i="1"/>
  <c r="CF189" i="1"/>
  <c r="CE189" i="1"/>
  <c r="CJ188" i="1"/>
  <c r="CI188" i="1"/>
  <c r="CH188" i="1"/>
  <c r="CG188" i="1"/>
  <c r="CF188" i="1"/>
  <c r="CE188" i="1"/>
  <c r="CJ187" i="1"/>
  <c r="CI187" i="1"/>
  <c r="CH187" i="1"/>
  <c r="CG187" i="1"/>
  <c r="CF187" i="1"/>
  <c r="CE187" i="1"/>
  <c r="CJ186" i="1"/>
  <c r="CI186" i="1"/>
  <c r="CH186" i="1"/>
  <c r="CG186" i="1"/>
  <c r="CF186" i="1"/>
  <c r="CE186" i="1"/>
  <c r="CJ185" i="1"/>
  <c r="CI185" i="1"/>
  <c r="CH185" i="1"/>
  <c r="CG185" i="1"/>
  <c r="CF185" i="1"/>
  <c r="CE185" i="1"/>
  <c r="CJ184" i="1"/>
  <c r="CI184" i="1"/>
  <c r="CH184" i="1"/>
  <c r="CG184" i="1"/>
  <c r="CF184" i="1"/>
  <c r="CE184" i="1"/>
  <c r="CJ183" i="1"/>
  <c r="CI183" i="1"/>
  <c r="CH183" i="1"/>
  <c r="CG183" i="1"/>
  <c r="CF183" i="1"/>
  <c r="CE183" i="1"/>
  <c r="CJ182" i="1"/>
  <c r="CI182" i="1"/>
  <c r="CH182" i="1"/>
  <c r="CG182" i="1"/>
  <c r="CF182" i="1"/>
  <c r="CE182" i="1"/>
  <c r="CJ181" i="1"/>
  <c r="CI181" i="1"/>
  <c r="CH181" i="1"/>
  <c r="CG181" i="1"/>
  <c r="CF181" i="1"/>
  <c r="CE181" i="1"/>
  <c r="CJ180" i="1"/>
  <c r="CI180" i="1"/>
  <c r="CH180" i="1"/>
  <c r="CG180" i="1"/>
  <c r="CF180" i="1"/>
  <c r="CE180" i="1"/>
  <c r="CJ179" i="1"/>
  <c r="CI179" i="1"/>
  <c r="CH179" i="1"/>
  <c r="CG179" i="1"/>
  <c r="CF179" i="1"/>
  <c r="CE179" i="1"/>
  <c r="CJ178" i="1"/>
  <c r="CI178" i="1"/>
  <c r="CH178" i="1"/>
  <c r="CG178" i="1"/>
  <c r="CF178" i="1"/>
  <c r="CE178" i="1"/>
  <c r="CJ177" i="1"/>
  <c r="CI177" i="1"/>
  <c r="CH177" i="1"/>
  <c r="CG177" i="1"/>
  <c r="CF177" i="1"/>
  <c r="CE177" i="1"/>
  <c r="CJ176" i="1"/>
  <c r="CI176" i="1"/>
  <c r="CH176" i="1"/>
  <c r="CG176" i="1"/>
  <c r="CF176" i="1"/>
  <c r="CE176" i="1"/>
  <c r="CJ175" i="1"/>
  <c r="CI175" i="1"/>
  <c r="CH175" i="1"/>
  <c r="CG175" i="1"/>
  <c r="CF175" i="1"/>
  <c r="CE175" i="1"/>
  <c r="CJ174" i="1"/>
  <c r="CI174" i="1"/>
  <c r="CH174" i="1"/>
  <c r="CG174" i="1"/>
  <c r="CF174" i="1"/>
  <c r="CE174" i="1"/>
  <c r="CJ173" i="1"/>
  <c r="CI173" i="1"/>
  <c r="CH173" i="1"/>
  <c r="CG173" i="1"/>
  <c r="CF173" i="1"/>
  <c r="CE173" i="1"/>
  <c r="CJ172" i="1"/>
  <c r="CI172" i="1"/>
  <c r="CH172" i="1"/>
  <c r="CG172" i="1"/>
  <c r="CF172" i="1"/>
  <c r="CE172" i="1"/>
  <c r="CJ171" i="1"/>
  <c r="CI171" i="1"/>
  <c r="CH171" i="1"/>
  <c r="CG171" i="1"/>
  <c r="CF171" i="1"/>
  <c r="CE171" i="1"/>
  <c r="CJ170" i="1"/>
  <c r="CI170" i="1"/>
  <c r="CH170" i="1"/>
  <c r="CG170" i="1"/>
  <c r="CF170" i="1"/>
  <c r="CE170" i="1"/>
  <c r="CJ169" i="1"/>
  <c r="CI169" i="1"/>
  <c r="CH169" i="1"/>
  <c r="CG169" i="1"/>
  <c r="CF169" i="1"/>
  <c r="CE169" i="1"/>
  <c r="CJ168" i="1"/>
  <c r="CI168" i="1"/>
  <c r="CH168" i="1"/>
  <c r="CG168" i="1"/>
  <c r="CF168" i="1"/>
  <c r="CE168" i="1"/>
  <c r="CJ167" i="1"/>
  <c r="CI167" i="1"/>
  <c r="CH167" i="1"/>
  <c r="CG167" i="1"/>
  <c r="CF167" i="1"/>
  <c r="CE167" i="1"/>
  <c r="CJ166" i="1"/>
  <c r="CI166" i="1"/>
  <c r="CH166" i="1"/>
  <c r="CG166" i="1"/>
  <c r="CF166" i="1"/>
  <c r="CE166" i="1"/>
  <c r="CJ165" i="1"/>
  <c r="CI165" i="1"/>
  <c r="CH165" i="1"/>
  <c r="CG165" i="1"/>
  <c r="CF165" i="1"/>
  <c r="CE165" i="1"/>
  <c r="CJ164" i="1"/>
  <c r="CI164" i="1"/>
  <c r="CH164" i="1"/>
  <c r="CG164" i="1"/>
  <c r="CF164" i="1"/>
  <c r="CE164" i="1"/>
  <c r="CJ163" i="1"/>
  <c r="CI163" i="1"/>
  <c r="CH163" i="1"/>
  <c r="CG163" i="1"/>
  <c r="CF163" i="1"/>
  <c r="CE163" i="1"/>
  <c r="CJ162" i="1"/>
  <c r="CI162" i="1"/>
  <c r="CH162" i="1"/>
  <c r="CG162" i="1"/>
  <c r="CF162" i="1"/>
  <c r="CE162" i="1"/>
  <c r="CJ161" i="1"/>
  <c r="CI161" i="1"/>
  <c r="CH161" i="1"/>
  <c r="CG161" i="1"/>
  <c r="CF161" i="1"/>
  <c r="CE161" i="1"/>
  <c r="CJ160" i="1"/>
  <c r="CI160" i="1"/>
  <c r="CH160" i="1"/>
  <c r="CG160" i="1"/>
  <c r="CF160" i="1"/>
  <c r="CE160" i="1"/>
  <c r="CJ159" i="1"/>
  <c r="CI159" i="1"/>
  <c r="CH159" i="1"/>
  <c r="CG159" i="1"/>
  <c r="CF159" i="1"/>
  <c r="CE159" i="1"/>
  <c r="CJ158" i="1"/>
  <c r="CI158" i="1"/>
  <c r="CH158" i="1"/>
  <c r="CG158" i="1"/>
  <c r="CF158" i="1"/>
  <c r="CE158" i="1"/>
  <c r="CJ157" i="1"/>
  <c r="CI157" i="1"/>
  <c r="CH157" i="1"/>
  <c r="CG157" i="1"/>
  <c r="CF157" i="1"/>
  <c r="CE157" i="1"/>
  <c r="CJ156" i="1"/>
  <c r="CI156" i="1"/>
  <c r="CH156" i="1"/>
  <c r="CG156" i="1"/>
  <c r="CF156" i="1"/>
  <c r="CE156" i="1"/>
  <c r="CJ155" i="1"/>
  <c r="CI155" i="1"/>
  <c r="CH155" i="1"/>
  <c r="CG155" i="1"/>
  <c r="CF155" i="1"/>
  <c r="CE155" i="1"/>
  <c r="CJ154" i="1"/>
  <c r="CI154" i="1"/>
  <c r="CH154" i="1"/>
  <c r="CG154" i="1"/>
  <c r="CF154" i="1"/>
  <c r="CE154" i="1"/>
  <c r="CJ153" i="1"/>
  <c r="CI153" i="1"/>
  <c r="CH153" i="1"/>
  <c r="CG153" i="1"/>
  <c r="CF153" i="1"/>
  <c r="CE153" i="1"/>
  <c r="CJ152" i="1"/>
  <c r="CI152" i="1"/>
  <c r="CH152" i="1"/>
  <c r="CG152" i="1"/>
  <c r="CF152" i="1"/>
  <c r="CE152" i="1"/>
  <c r="CJ151" i="1"/>
  <c r="CI151" i="1"/>
  <c r="CH151" i="1"/>
  <c r="CG151" i="1"/>
  <c r="CF151" i="1"/>
  <c r="CE151" i="1"/>
  <c r="CJ150" i="1"/>
  <c r="CI150" i="1"/>
  <c r="CH150" i="1"/>
  <c r="CG150" i="1"/>
  <c r="CF150" i="1"/>
  <c r="CE150" i="1"/>
  <c r="CJ149" i="1"/>
  <c r="CI149" i="1"/>
  <c r="CH149" i="1"/>
  <c r="CG149" i="1"/>
  <c r="CF149" i="1"/>
  <c r="CE149" i="1"/>
  <c r="CJ148" i="1"/>
  <c r="CI148" i="1"/>
  <c r="CH148" i="1"/>
  <c r="CG148" i="1"/>
  <c r="CF148" i="1"/>
  <c r="CE148" i="1"/>
  <c r="CJ147" i="1"/>
  <c r="CI147" i="1"/>
  <c r="CH147" i="1"/>
  <c r="CG147" i="1"/>
  <c r="CF147" i="1"/>
  <c r="CE147" i="1"/>
  <c r="CJ146" i="1"/>
  <c r="CI146" i="1"/>
  <c r="CH146" i="1"/>
  <c r="CG146" i="1"/>
  <c r="CF146" i="1"/>
  <c r="CE146" i="1"/>
  <c r="CJ145" i="1"/>
  <c r="CI145" i="1"/>
  <c r="CH145" i="1"/>
  <c r="CG145" i="1"/>
  <c r="CF145" i="1"/>
  <c r="CE145" i="1"/>
  <c r="CJ144" i="1"/>
  <c r="CI144" i="1"/>
  <c r="CH144" i="1"/>
  <c r="CG144" i="1"/>
  <c r="CF144" i="1"/>
  <c r="CE144" i="1"/>
  <c r="CJ143" i="1"/>
  <c r="CI143" i="1"/>
  <c r="CH143" i="1"/>
  <c r="CG143" i="1"/>
  <c r="CF143" i="1"/>
  <c r="CE143" i="1"/>
  <c r="CJ142" i="1"/>
  <c r="CI142" i="1"/>
  <c r="CH142" i="1"/>
  <c r="CG142" i="1"/>
  <c r="CF142" i="1"/>
  <c r="CE142" i="1"/>
  <c r="CJ141" i="1"/>
  <c r="CI141" i="1"/>
  <c r="CH141" i="1"/>
  <c r="CG141" i="1"/>
  <c r="CF141" i="1"/>
  <c r="CE141" i="1"/>
  <c r="CJ140" i="1"/>
  <c r="CI140" i="1"/>
  <c r="CH140" i="1"/>
  <c r="CG140" i="1"/>
  <c r="CF140" i="1"/>
  <c r="CE140" i="1"/>
  <c r="CJ139" i="1"/>
  <c r="CI139" i="1"/>
  <c r="CH139" i="1"/>
  <c r="CG139" i="1"/>
  <c r="CF139" i="1"/>
  <c r="CE139" i="1"/>
  <c r="CJ138" i="1"/>
  <c r="CI138" i="1"/>
  <c r="CH138" i="1"/>
  <c r="CG138" i="1"/>
  <c r="CF138" i="1"/>
  <c r="CE138" i="1"/>
  <c r="CJ137" i="1"/>
  <c r="CI137" i="1"/>
  <c r="CH137" i="1"/>
  <c r="CG137" i="1"/>
  <c r="CF137" i="1"/>
  <c r="CE137" i="1"/>
  <c r="CJ136" i="1"/>
  <c r="CI136" i="1"/>
  <c r="CH136" i="1"/>
  <c r="CG136" i="1"/>
  <c r="CF136" i="1"/>
  <c r="CE136" i="1"/>
  <c r="CJ135" i="1"/>
  <c r="CI135" i="1"/>
  <c r="CH135" i="1"/>
  <c r="CG135" i="1"/>
  <c r="CF135" i="1"/>
  <c r="CE135" i="1"/>
  <c r="CJ134" i="1"/>
  <c r="CI134" i="1"/>
  <c r="CH134" i="1"/>
  <c r="CG134" i="1"/>
  <c r="CF134" i="1"/>
  <c r="CE134" i="1"/>
  <c r="CJ133" i="1"/>
  <c r="CI133" i="1"/>
  <c r="CH133" i="1"/>
  <c r="CG133" i="1"/>
  <c r="CF133" i="1"/>
  <c r="CE133" i="1"/>
  <c r="CJ132" i="1"/>
  <c r="CI132" i="1"/>
  <c r="CH132" i="1"/>
  <c r="CG132" i="1"/>
  <c r="CF132" i="1"/>
  <c r="CE132" i="1"/>
  <c r="CJ131" i="1"/>
  <c r="CI131" i="1"/>
  <c r="CH131" i="1"/>
  <c r="CG131" i="1"/>
  <c r="CF131" i="1"/>
  <c r="CE131" i="1"/>
  <c r="CJ130" i="1"/>
  <c r="CI130" i="1"/>
  <c r="CH130" i="1"/>
  <c r="CG130" i="1"/>
  <c r="CF130" i="1"/>
  <c r="CE130" i="1"/>
  <c r="CJ129" i="1"/>
  <c r="CI129" i="1"/>
  <c r="CH129" i="1"/>
  <c r="CG129" i="1"/>
  <c r="CF129" i="1"/>
  <c r="CE129" i="1"/>
  <c r="CJ128" i="1"/>
  <c r="CI128" i="1"/>
  <c r="CH128" i="1"/>
  <c r="CG128" i="1"/>
  <c r="CF128" i="1"/>
  <c r="CE128" i="1"/>
  <c r="CJ127" i="1"/>
  <c r="CI127" i="1"/>
  <c r="CH127" i="1"/>
  <c r="CG127" i="1"/>
  <c r="CF127" i="1"/>
  <c r="CE127" i="1"/>
  <c r="CJ126" i="1"/>
  <c r="CI126" i="1"/>
  <c r="CH126" i="1"/>
  <c r="CG126" i="1"/>
  <c r="CF126" i="1"/>
  <c r="CE126" i="1"/>
  <c r="CJ125" i="1"/>
  <c r="CI125" i="1"/>
  <c r="CH125" i="1"/>
  <c r="CG125" i="1"/>
  <c r="CF125" i="1"/>
  <c r="CE125" i="1"/>
  <c r="CJ124" i="1"/>
  <c r="CI124" i="1"/>
  <c r="CH124" i="1"/>
  <c r="CG124" i="1"/>
  <c r="CF124" i="1"/>
  <c r="CE124" i="1"/>
  <c r="CJ123" i="1"/>
  <c r="CI123" i="1"/>
  <c r="CH123" i="1"/>
  <c r="CG123" i="1"/>
  <c r="CF123" i="1"/>
  <c r="CE123" i="1"/>
  <c r="CJ122" i="1"/>
  <c r="CI122" i="1"/>
  <c r="CH122" i="1"/>
  <c r="CG122" i="1"/>
  <c r="CF122" i="1"/>
  <c r="CE122" i="1"/>
  <c r="CJ121" i="1"/>
  <c r="CI121" i="1"/>
  <c r="CH121" i="1"/>
  <c r="CG121" i="1"/>
  <c r="CF121" i="1"/>
  <c r="CE121" i="1"/>
  <c r="CJ120" i="1"/>
  <c r="CI120" i="1"/>
  <c r="CH120" i="1"/>
  <c r="CG120" i="1"/>
  <c r="CF120" i="1"/>
  <c r="CE120" i="1"/>
  <c r="CJ119" i="1"/>
  <c r="CI119" i="1"/>
  <c r="CH119" i="1"/>
  <c r="CG119" i="1"/>
  <c r="CF119" i="1"/>
  <c r="CE119" i="1"/>
  <c r="CJ118" i="1"/>
  <c r="CI118" i="1"/>
  <c r="CH118" i="1"/>
  <c r="CG118" i="1"/>
  <c r="CF118" i="1"/>
  <c r="CE118" i="1"/>
  <c r="CJ117" i="1"/>
  <c r="CI117" i="1"/>
  <c r="CH117" i="1"/>
  <c r="CG117" i="1"/>
  <c r="CF117" i="1"/>
  <c r="CE117" i="1"/>
  <c r="CJ116" i="1"/>
  <c r="CI116" i="1"/>
  <c r="CH116" i="1"/>
  <c r="CG116" i="1"/>
  <c r="CF116" i="1"/>
  <c r="CE116" i="1"/>
  <c r="CJ115" i="1"/>
  <c r="CI115" i="1"/>
  <c r="CH115" i="1"/>
  <c r="CG115" i="1"/>
  <c r="CF115" i="1"/>
  <c r="CE115" i="1"/>
  <c r="CJ114" i="1"/>
  <c r="CI114" i="1"/>
  <c r="CH114" i="1"/>
  <c r="CG114" i="1"/>
  <c r="CF114" i="1"/>
  <c r="CE114" i="1"/>
  <c r="CJ113" i="1"/>
  <c r="CI113" i="1"/>
  <c r="CH113" i="1"/>
  <c r="CG113" i="1"/>
  <c r="CF113" i="1"/>
  <c r="CE113" i="1"/>
  <c r="CJ112" i="1"/>
  <c r="CI112" i="1"/>
  <c r="CH112" i="1"/>
  <c r="CG112" i="1"/>
  <c r="CF112" i="1"/>
  <c r="CE112" i="1"/>
  <c r="CJ111" i="1"/>
  <c r="CI111" i="1"/>
  <c r="CH111" i="1"/>
  <c r="CG111" i="1"/>
  <c r="CF111" i="1"/>
  <c r="CE111" i="1"/>
  <c r="CJ110" i="1"/>
  <c r="CI110" i="1"/>
  <c r="CH110" i="1"/>
  <c r="CG110" i="1"/>
  <c r="CF110" i="1"/>
  <c r="CE110" i="1"/>
  <c r="CJ109" i="1"/>
  <c r="CI109" i="1"/>
  <c r="CH109" i="1"/>
  <c r="CG109" i="1"/>
  <c r="CF109" i="1"/>
  <c r="CE109" i="1"/>
  <c r="CJ108" i="1"/>
  <c r="CI108" i="1"/>
  <c r="CH108" i="1"/>
  <c r="CG108" i="1"/>
  <c r="CF108" i="1"/>
  <c r="CE108" i="1"/>
  <c r="CJ107" i="1"/>
  <c r="CI107" i="1"/>
  <c r="CH107" i="1"/>
  <c r="CG107" i="1"/>
  <c r="CF107" i="1"/>
  <c r="CE107" i="1"/>
  <c r="CJ106" i="1"/>
  <c r="CI106" i="1"/>
  <c r="CH106" i="1"/>
  <c r="CG106" i="1"/>
  <c r="CF106" i="1"/>
  <c r="CE106" i="1"/>
  <c r="CJ105" i="1"/>
  <c r="CI105" i="1"/>
  <c r="CH105" i="1"/>
  <c r="CG105" i="1"/>
  <c r="CF105" i="1"/>
  <c r="CE105" i="1"/>
  <c r="CJ104" i="1"/>
  <c r="CI104" i="1"/>
  <c r="CH104" i="1"/>
  <c r="CG104" i="1"/>
  <c r="CF104" i="1"/>
  <c r="CE104" i="1"/>
  <c r="CJ103" i="1"/>
  <c r="CI103" i="1"/>
  <c r="CH103" i="1"/>
  <c r="CG103" i="1"/>
  <c r="CF103" i="1"/>
  <c r="CE103" i="1"/>
  <c r="CJ102" i="1"/>
  <c r="CI102" i="1"/>
  <c r="CH102" i="1"/>
  <c r="CG102" i="1"/>
  <c r="CF102" i="1"/>
  <c r="CE102" i="1"/>
  <c r="CJ101" i="1"/>
  <c r="CI101" i="1"/>
  <c r="CH101" i="1"/>
  <c r="CG101" i="1"/>
  <c r="CF101" i="1"/>
  <c r="CE101" i="1"/>
  <c r="CJ100" i="1"/>
  <c r="CI100" i="1"/>
  <c r="CH100" i="1"/>
  <c r="CG100" i="1"/>
  <c r="CF100" i="1"/>
  <c r="CE100" i="1"/>
  <c r="CJ99" i="1"/>
  <c r="CI99" i="1"/>
  <c r="CH99" i="1"/>
  <c r="CG99" i="1"/>
  <c r="CF99" i="1"/>
  <c r="CE99" i="1"/>
  <c r="CJ98" i="1"/>
  <c r="CI98" i="1"/>
  <c r="CH98" i="1"/>
  <c r="CG98" i="1"/>
  <c r="CF98" i="1"/>
  <c r="CE98" i="1"/>
  <c r="CJ97" i="1"/>
  <c r="CI97" i="1"/>
  <c r="CH97" i="1"/>
  <c r="CG97" i="1"/>
  <c r="CF97" i="1"/>
  <c r="CE97" i="1"/>
  <c r="CJ96" i="1"/>
  <c r="CI96" i="1"/>
  <c r="CH96" i="1"/>
  <c r="CG96" i="1"/>
  <c r="CF96" i="1"/>
  <c r="CE96" i="1"/>
  <c r="CJ95" i="1"/>
  <c r="CI95" i="1"/>
  <c r="CH95" i="1"/>
  <c r="CG95" i="1"/>
  <c r="CF95" i="1"/>
  <c r="CE95" i="1"/>
  <c r="CJ94" i="1"/>
  <c r="CI94" i="1"/>
  <c r="CH94" i="1"/>
  <c r="CG94" i="1"/>
  <c r="CF94" i="1"/>
  <c r="CE94" i="1"/>
  <c r="CJ93" i="1"/>
  <c r="CI93" i="1"/>
  <c r="CH93" i="1"/>
  <c r="CG93" i="1"/>
  <c r="CF93" i="1"/>
  <c r="CE93" i="1"/>
  <c r="CJ92" i="1"/>
  <c r="CI92" i="1"/>
  <c r="CH92" i="1"/>
  <c r="CG92" i="1"/>
  <c r="CF92" i="1"/>
  <c r="CE92" i="1"/>
  <c r="CJ91" i="1"/>
  <c r="CI91" i="1"/>
  <c r="CH91" i="1"/>
  <c r="CG91" i="1"/>
  <c r="CF91" i="1"/>
  <c r="CE91" i="1"/>
  <c r="CJ90" i="1"/>
  <c r="CI90" i="1"/>
  <c r="CH90" i="1"/>
  <c r="CG90" i="1"/>
  <c r="CF90" i="1"/>
  <c r="CE90" i="1"/>
  <c r="CJ89" i="1"/>
  <c r="CI89" i="1"/>
  <c r="CH89" i="1"/>
  <c r="CG89" i="1"/>
  <c r="CF89" i="1"/>
  <c r="CE89" i="1"/>
  <c r="CJ88" i="1"/>
  <c r="CI88" i="1"/>
  <c r="CH88" i="1"/>
  <c r="CG88" i="1"/>
  <c r="CF88" i="1"/>
  <c r="CE88" i="1"/>
  <c r="CJ87" i="1"/>
  <c r="CI87" i="1"/>
  <c r="CH87" i="1"/>
  <c r="CG87" i="1"/>
  <c r="CF87" i="1"/>
  <c r="CE87" i="1"/>
  <c r="CJ86" i="1"/>
  <c r="CI86" i="1"/>
  <c r="CH86" i="1"/>
  <c r="CG86" i="1"/>
  <c r="CF86" i="1"/>
  <c r="CE86" i="1"/>
  <c r="CJ85" i="1"/>
  <c r="CI85" i="1"/>
  <c r="CH85" i="1"/>
  <c r="CG85" i="1"/>
  <c r="CF85" i="1"/>
  <c r="CE85" i="1"/>
  <c r="CJ84" i="1"/>
  <c r="CI84" i="1"/>
  <c r="CH84" i="1"/>
  <c r="CG84" i="1"/>
  <c r="CF84" i="1"/>
  <c r="CE84" i="1"/>
  <c r="CJ83" i="1"/>
  <c r="CI83" i="1"/>
  <c r="CH83" i="1"/>
  <c r="CG83" i="1"/>
  <c r="CF83" i="1"/>
  <c r="CE83" i="1"/>
  <c r="CJ82" i="1"/>
  <c r="CI82" i="1"/>
  <c r="CH82" i="1"/>
  <c r="CG82" i="1"/>
  <c r="CF82" i="1"/>
  <c r="CE82" i="1"/>
  <c r="CJ81" i="1"/>
  <c r="CI81" i="1"/>
  <c r="CH81" i="1"/>
  <c r="CG81" i="1"/>
  <c r="CF81" i="1"/>
  <c r="CE81" i="1"/>
  <c r="CJ80" i="1"/>
  <c r="CI80" i="1"/>
  <c r="CH80" i="1"/>
  <c r="CG80" i="1"/>
  <c r="CF80" i="1"/>
  <c r="CE80" i="1"/>
  <c r="CJ79" i="1"/>
  <c r="CI79" i="1"/>
  <c r="CH79" i="1"/>
  <c r="CG79" i="1"/>
  <c r="CF79" i="1"/>
  <c r="CE79" i="1"/>
  <c r="CJ78" i="1"/>
  <c r="CI78" i="1"/>
  <c r="CH78" i="1"/>
  <c r="CG78" i="1"/>
  <c r="CF78" i="1"/>
  <c r="CE78" i="1"/>
  <c r="CJ77" i="1"/>
  <c r="CI77" i="1"/>
  <c r="CH77" i="1"/>
  <c r="CG77" i="1"/>
  <c r="CF77" i="1"/>
  <c r="CE77" i="1"/>
  <c r="CJ76" i="1"/>
  <c r="CI76" i="1"/>
  <c r="CH76" i="1"/>
  <c r="CG76" i="1"/>
  <c r="CF76" i="1"/>
  <c r="CE76" i="1"/>
  <c r="CJ75" i="1"/>
  <c r="CI75" i="1"/>
  <c r="CH75" i="1"/>
  <c r="CG75" i="1"/>
  <c r="CF75" i="1"/>
  <c r="CE75" i="1"/>
  <c r="CJ74" i="1"/>
  <c r="CI74" i="1"/>
  <c r="CH74" i="1"/>
  <c r="CG74" i="1"/>
  <c r="CF74" i="1"/>
  <c r="CE74" i="1"/>
  <c r="CJ73" i="1"/>
  <c r="CI73" i="1"/>
  <c r="CH73" i="1"/>
  <c r="CG73" i="1"/>
  <c r="CF73" i="1"/>
  <c r="CE73" i="1"/>
  <c r="CJ72" i="1"/>
  <c r="CI72" i="1"/>
  <c r="CH72" i="1"/>
  <c r="CG72" i="1"/>
  <c r="CF72" i="1"/>
  <c r="CE72" i="1"/>
  <c r="CJ71" i="1"/>
  <c r="CI71" i="1"/>
  <c r="CH71" i="1"/>
  <c r="CG71" i="1"/>
  <c r="CF71" i="1"/>
  <c r="CE71" i="1"/>
  <c r="CJ70" i="1"/>
  <c r="CI70" i="1"/>
  <c r="CH70" i="1"/>
  <c r="CG70" i="1"/>
  <c r="CF70" i="1"/>
  <c r="CE70" i="1"/>
  <c r="CJ69" i="1"/>
  <c r="CI69" i="1"/>
  <c r="CH69" i="1"/>
  <c r="CG69" i="1"/>
  <c r="CF69" i="1"/>
  <c r="CE69" i="1"/>
  <c r="CJ68" i="1"/>
  <c r="CI68" i="1"/>
  <c r="CH68" i="1"/>
  <c r="CG68" i="1"/>
  <c r="CF68" i="1"/>
  <c r="CE68" i="1"/>
  <c r="CJ67" i="1"/>
  <c r="CI67" i="1"/>
  <c r="CH67" i="1"/>
  <c r="CG67" i="1"/>
  <c r="CF67" i="1"/>
  <c r="CE67" i="1"/>
  <c r="CJ66" i="1"/>
  <c r="CI66" i="1"/>
  <c r="CH66" i="1"/>
  <c r="CG66" i="1"/>
  <c r="CF66" i="1"/>
  <c r="CE66" i="1"/>
  <c r="CJ65" i="1"/>
  <c r="CI65" i="1"/>
  <c r="CH65" i="1"/>
  <c r="CG65" i="1"/>
  <c r="CF65" i="1"/>
  <c r="CE65" i="1"/>
  <c r="CJ64" i="1"/>
  <c r="CI64" i="1"/>
  <c r="CH64" i="1"/>
  <c r="CG64" i="1"/>
  <c r="CF64" i="1"/>
  <c r="CE64" i="1"/>
  <c r="CJ63" i="1"/>
  <c r="CI63" i="1"/>
  <c r="CH63" i="1"/>
  <c r="CG63" i="1"/>
  <c r="CF63" i="1"/>
  <c r="CE63" i="1"/>
  <c r="CJ62" i="1"/>
  <c r="CI62" i="1"/>
  <c r="CH62" i="1"/>
  <c r="CG62" i="1"/>
  <c r="CF62" i="1"/>
  <c r="CE62" i="1"/>
  <c r="CJ61" i="1"/>
  <c r="CI61" i="1"/>
  <c r="CH61" i="1"/>
  <c r="CG61" i="1"/>
  <c r="CF61" i="1"/>
  <c r="CE61" i="1"/>
  <c r="CJ60" i="1"/>
  <c r="CI60" i="1"/>
  <c r="CH60" i="1"/>
  <c r="CG60" i="1"/>
  <c r="CF60" i="1"/>
  <c r="CE60" i="1"/>
  <c r="CJ59" i="1"/>
  <c r="CI59" i="1"/>
  <c r="CH59" i="1"/>
  <c r="CG59" i="1"/>
  <c r="CF59" i="1"/>
  <c r="CE59" i="1"/>
  <c r="CJ58" i="1"/>
  <c r="CI58" i="1"/>
  <c r="CH58" i="1"/>
  <c r="CG58" i="1"/>
  <c r="CF58" i="1"/>
  <c r="CE58" i="1"/>
  <c r="CJ57" i="1"/>
  <c r="CI57" i="1"/>
  <c r="CH57" i="1"/>
  <c r="CG57" i="1"/>
  <c r="CF57" i="1"/>
  <c r="CE57" i="1"/>
  <c r="CJ56" i="1"/>
  <c r="CI56" i="1"/>
  <c r="CH56" i="1"/>
  <c r="CG56" i="1"/>
  <c r="CF56" i="1"/>
  <c r="CE56" i="1"/>
  <c r="CJ55" i="1"/>
  <c r="CI55" i="1"/>
  <c r="CH55" i="1"/>
  <c r="CG55" i="1"/>
  <c r="CF55" i="1"/>
  <c r="CE55" i="1"/>
  <c r="CJ54" i="1"/>
  <c r="CI54" i="1"/>
  <c r="CH54" i="1"/>
  <c r="CG54" i="1"/>
  <c r="CF54" i="1"/>
  <c r="CE54" i="1"/>
  <c r="CJ53" i="1"/>
  <c r="CI53" i="1"/>
  <c r="CH53" i="1"/>
  <c r="CG53" i="1"/>
  <c r="CF53" i="1"/>
  <c r="CE53" i="1"/>
  <c r="CJ52" i="1"/>
  <c r="CI52" i="1"/>
  <c r="CH52" i="1"/>
  <c r="CG52" i="1"/>
  <c r="CF52" i="1"/>
  <c r="CE52" i="1"/>
  <c r="CJ51" i="1"/>
  <c r="CI51" i="1"/>
  <c r="CH51" i="1"/>
  <c r="CG51" i="1"/>
  <c r="CF51" i="1"/>
  <c r="CE51" i="1"/>
  <c r="CJ50" i="1"/>
  <c r="CI50" i="1"/>
  <c r="CH50" i="1"/>
  <c r="CG50" i="1"/>
  <c r="CF50" i="1"/>
  <c r="CE50" i="1"/>
  <c r="CJ49" i="1"/>
  <c r="CI49" i="1"/>
  <c r="CH49" i="1"/>
  <c r="CG49" i="1"/>
  <c r="CF49" i="1"/>
  <c r="CE49" i="1"/>
  <c r="CJ48" i="1"/>
  <c r="CI48" i="1"/>
  <c r="CH48" i="1"/>
  <c r="CG48" i="1"/>
  <c r="CF48" i="1"/>
  <c r="CE48" i="1"/>
  <c r="CJ47" i="1"/>
  <c r="CI47" i="1"/>
  <c r="CH47" i="1"/>
  <c r="CG47" i="1"/>
  <c r="CF47" i="1"/>
  <c r="CE47" i="1"/>
  <c r="CJ46" i="1"/>
  <c r="CI46" i="1"/>
  <c r="CH46" i="1"/>
  <c r="CG46" i="1"/>
  <c r="CF46" i="1"/>
  <c r="CE46" i="1"/>
  <c r="CJ45" i="1"/>
  <c r="CI45" i="1"/>
  <c r="CH45" i="1"/>
  <c r="CG45" i="1"/>
  <c r="CF45" i="1"/>
  <c r="CE45" i="1"/>
  <c r="CJ44" i="1"/>
  <c r="CI44" i="1"/>
  <c r="CH44" i="1"/>
  <c r="CG44" i="1"/>
  <c r="CF44" i="1"/>
  <c r="CE44" i="1"/>
  <c r="CJ43" i="1"/>
  <c r="CI43" i="1"/>
  <c r="CH43" i="1"/>
  <c r="CG43" i="1"/>
  <c r="CF43" i="1"/>
  <c r="CE43" i="1"/>
  <c r="CJ42" i="1"/>
  <c r="CI42" i="1"/>
  <c r="CH42" i="1"/>
  <c r="CG42" i="1"/>
  <c r="CF42" i="1"/>
  <c r="CE42" i="1"/>
  <c r="CJ41" i="1"/>
  <c r="CI41" i="1"/>
  <c r="CH41" i="1"/>
  <c r="CG41" i="1"/>
  <c r="CF41" i="1"/>
  <c r="CE41" i="1"/>
  <c r="CJ40" i="1"/>
  <c r="CI40" i="1"/>
  <c r="CH40" i="1"/>
  <c r="CG40" i="1"/>
  <c r="CF40" i="1"/>
  <c r="CE40" i="1"/>
  <c r="CJ39" i="1"/>
  <c r="CI39" i="1"/>
  <c r="CH39" i="1"/>
  <c r="CG39" i="1"/>
  <c r="CF39" i="1"/>
  <c r="CE39" i="1"/>
  <c r="CJ38" i="1"/>
  <c r="CI38" i="1"/>
  <c r="CH38" i="1"/>
  <c r="CG38" i="1"/>
  <c r="CF38" i="1"/>
  <c r="CE38" i="1"/>
  <c r="CJ37" i="1"/>
  <c r="CI37" i="1"/>
  <c r="CH37" i="1"/>
  <c r="CG37" i="1"/>
  <c r="CF37" i="1"/>
  <c r="CE37" i="1"/>
  <c r="CJ36" i="1"/>
  <c r="CI36" i="1"/>
  <c r="CH36" i="1"/>
  <c r="CG36" i="1"/>
  <c r="CF36" i="1"/>
  <c r="CE36" i="1"/>
  <c r="CJ35" i="1"/>
  <c r="CI35" i="1"/>
  <c r="CH35" i="1"/>
  <c r="CG35" i="1"/>
  <c r="CF35" i="1"/>
  <c r="CE35" i="1"/>
  <c r="CJ34" i="1"/>
  <c r="CI34" i="1"/>
  <c r="CH34" i="1"/>
  <c r="CG34" i="1"/>
  <c r="CF34" i="1"/>
  <c r="CE34" i="1"/>
  <c r="CJ33" i="1"/>
  <c r="CI33" i="1"/>
  <c r="CH33" i="1"/>
  <c r="CG33" i="1"/>
  <c r="CF33" i="1"/>
  <c r="CE33" i="1"/>
  <c r="CJ32" i="1"/>
  <c r="CI32" i="1"/>
  <c r="CH32" i="1"/>
  <c r="CG32" i="1"/>
  <c r="CF32" i="1"/>
  <c r="CE32" i="1"/>
  <c r="CJ31" i="1"/>
  <c r="CI31" i="1"/>
  <c r="CH31" i="1"/>
  <c r="CG31" i="1"/>
  <c r="CF31" i="1"/>
  <c r="CE31" i="1"/>
  <c r="CJ30" i="1"/>
  <c r="CI30" i="1"/>
  <c r="CH30" i="1"/>
  <c r="CG30" i="1"/>
  <c r="CF30" i="1"/>
  <c r="CE30" i="1"/>
  <c r="CJ29" i="1"/>
  <c r="CI29" i="1"/>
  <c r="CH29" i="1"/>
  <c r="CG29" i="1"/>
  <c r="CF29" i="1"/>
  <c r="CE29" i="1"/>
  <c r="CJ28" i="1"/>
  <c r="CI28" i="1"/>
  <c r="CH28" i="1"/>
  <c r="CG28" i="1"/>
  <c r="CF28" i="1"/>
  <c r="CE28" i="1"/>
  <c r="CJ27" i="1"/>
  <c r="CI27" i="1"/>
  <c r="CH27" i="1"/>
  <c r="CG27" i="1"/>
  <c r="CF27" i="1"/>
  <c r="CE27" i="1"/>
  <c r="CJ26" i="1"/>
  <c r="CI26" i="1"/>
  <c r="CH26" i="1"/>
  <c r="CG26" i="1"/>
  <c r="CF26" i="1"/>
  <c r="CE26" i="1"/>
  <c r="CJ25" i="1"/>
  <c r="CI25" i="1"/>
  <c r="CH25" i="1"/>
  <c r="CG25" i="1"/>
  <c r="CF25" i="1"/>
  <c r="CE25" i="1"/>
  <c r="CJ24" i="1"/>
  <c r="CI24" i="1"/>
  <c r="CH24" i="1"/>
  <c r="CG24" i="1"/>
  <c r="CF24" i="1"/>
  <c r="CE24" i="1"/>
  <c r="CJ23" i="1"/>
  <c r="CI23" i="1"/>
  <c r="CH23" i="1"/>
  <c r="CG23" i="1"/>
  <c r="CF23" i="1"/>
  <c r="CE23" i="1"/>
  <c r="CJ22" i="1"/>
  <c r="CI22" i="1"/>
  <c r="CH22" i="1"/>
  <c r="CG22" i="1"/>
  <c r="CF22" i="1"/>
  <c r="CE22" i="1"/>
  <c r="CJ21" i="1"/>
  <c r="CI21" i="1"/>
  <c r="CH21" i="1"/>
  <c r="CG21" i="1"/>
  <c r="CF21" i="1"/>
  <c r="CE21" i="1"/>
  <c r="CJ20" i="1"/>
  <c r="CI20" i="1"/>
  <c r="CH20" i="1"/>
  <c r="CG20" i="1"/>
  <c r="CF20" i="1"/>
  <c r="CE20" i="1"/>
  <c r="CJ19" i="1"/>
  <c r="CI19" i="1"/>
  <c r="CH19" i="1"/>
  <c r="CG19" i="1"/>
  <c r="CF19" i="1"/>
  <c r="CE19" i="1"/>
  <c r="CJ18" i="1"/>
  <c r="CI18" i="1"/>
  <c r="CH18" i="1"/>
  <c r="CG18" i="1"/>
  <c r="CF18" i="1"/>
  <c r="CE18" i="1"/>
  <c r="CJ17" i="1"/>
  <c r="CI17" i="1"/>
  <c r="CH17" i="1"/>
  <c r="CG17" i="1"/>
  <c r="CF17" i="1"/>
  <c r="CE17" i="1"/>
  <c r="CJ16" i="1"/>
  <c r="CI16" i="1"/>
  <c r="CH16" i="1"/>
  <c r="CG16" i="1"/>
  <c r="CF16" i="1"/>
  <c r="CE16" i="1"/>
  <c r="CJ15" i="1"/>
  <c r="CI15" i="1"/>
  <c r="CH15" i="1"/>
  <c r="CG15" i="1"/>
  <c r="CF15" i="1"/>
  <c r="CE15" i="1"/>
  <c r="CJ14" i="1"/>
  <c r="CI14" i="1"/>
  <c r="CH14" i="1"/>
  <c r="CG14" i="1"/>
  <c r="CF14" i="1"/>
  <c r="CE14" i="1"/>
  <c r="CJ13" i="1"/>
  <c r="CI13" i="1"/>
  <c r="CH13" i="1"/>
  <c r="CG13" i="1"/>
  <c r="CF13" i="1"/>
  <c r="CE13" i="1"/>
  <c r="CJ12" i="1"/>
  <c r="CI12" i="1"/>
  <c r="CH12" i="1"/>
  <c r="CG12" i="1"/>
  <c r="CF12" i="1"/>
  <c r="CE12" i="1"/>
  <c r="CJ11" i="1"/>
  <c r="CI11" i="1"/>
  <c r="CH11" i="1"/>
  <c r="CG11" i="1"/>
  <c r="CF11" i="1"/>
  <c r="CE11" i="1"/>
  <c r="CJ10" i="1"/>
  <c r="CI10" i="1"/>
  <c r="CH10" i="1"/>
  <c r="CG10" i="1"/>
  <c r="CF10" i="1"/>
  <c r="CE10" i="1"/>
  <c r="CJ9" i="1"/>
  <c r="CI9" i="1"/>
  <c r="CH9" i="1"/>
  <c r="CG9" i="1"/>
  <c r="CF9" i="1"/>
  <c r="CE9" i="1"/>
  <c r="CJ8" i="1"/>
  <c r="CI8" i="1"/>
  <c r="CH8" i="1"/>
  <c r="CG8" i="1"/>
  <c r="CF8" i="1"/>
  <c r="CE8" i="1"/>
  <c r="BS386" i="1" l="1"/>
  <c r="BS385" i="1"/>
  <c r="BS384" i="1"/>
  <c r="BS383" i="1"/>
  <c r="BS382" i="1"/>
  <c r="BS381" i="1"/>
  <c r="BS380" i="1"/>
  <c r="BS379" i="1"/>
  <c r="BS378" i="1"/>
  <c r="BS377" i="1"/>
  <c r="BS376" i="1"/>
  <c r="BS375" i="1"/>
  <c r="BO386" i="1"/>
  <c r="BO385" i="1"/>
  <c r="BO384" i="1"/>
  <c r="BO383" i="1"/>
  <c r="BO382" i="1"/>
  <c r="BO381" i="1"/>
  <c r="BO380" i="1"/>
  <c r="BO379" i="1"/>
  <c r="BO378" i="1"/>
  <c r="BO377" i="1"/>
  <c r="BO376" i="1"/>
  <c r="BO375" i="1"/>
  <c r="BU371" i="1" l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CT371" i="1"/>
  <c r="CT370" i="1"/>
  <c r="CT369" i="1"/>
  <c r="CT368" i="1"/>
  <c r="CT367" i="1"/>
  <c r="CT366" i="1"/>
  <c r="CT365" i="1"/>
  <c r="CT364" i="1"/>
  <c r="CT363" i="1"/>
  <c r="CT362" i="1"/>
  <c r="CT361" i="1"/>
  <c r="CT360" i="1"/>
  <c r="CT359" i="1"/>
  <c r="CT358" i="1"/>
  <c r="CT357" i="1"/>
  <c r="CT356" i="1"/>
  <c r="CT355" i="1"/>
  <c r="CT354" i="1"/>
  <c r="CT353" i="1"/>
  <c r="CT352" i="1"/>
  <c r="CT351" i="1"/>
  <c r="CT350" i="1"/>
  <c r="CT349" i="1"/>
  <c r="CT348" i="1"/>
  <c r="CT347" i="1"/>
  <c r="CT346" i="1"/>
  <c r="CT345" i="1"/>
  <c r="CT344" i="1"/>
  <c r="CT343" i="1"/>
  <c r="CT342" i="1"/>
  <c r="CT341" i="1"/>
  <c r="CT340" i="1"/>
  <c r="CT339" i="1"/>
  <c r="CT338" i="1"/>
  <c r="CT337" i="1"/>
  <c r="CT336" i="1"/>
  <c r="CT335" i="1"/>
  <c r="CT334" i="1"/>
  <c r="CT333" i="1"/>
  <c r="CT332" i="1"/>
  <c r="CT331" i="1"/>
  <c r="CT330" i="1"/>
  <c r="CT329" i="1"/>
  <c r="CT328" i="1"/>
  <c r="CT327" i="1"/>
  <c r="CT326" i="1"/>
  <c r="CT325" i="1"/>
  <c r="CT324" i="1"/>
  <c r="CT323" i="1"/>
  <c r="CT322" i="1"/>
  <c r="CT321" i="1"/>
  <c r="CT320" i="1"/>
  <c r="CT319" i="1"/>
  <c r="CT318" i="1"/>
  <c r="CT317" i="1"/>
  <c r="CT316" i="1"/>
  <c r="CT315" i="1"/>
  <c r="CT314" i="1"/>
  <c r="CT313" i="1"/>
  <c r="CT312" i="1"/>
  <c r="CT311" i="1"/>
  <c r="CT310" i="1"/>
  <c r="CT309" i="1"/>
  <c r="CT308" i="1"/>
  <c r="CT307" i="1"/>
  <c r="CT306" i="1"/>
  <c r="CT305" i="1"/>
  <c r="CT304" i="1"/>
  <c r="CT303" i="1"/>
  <c r="CT302" i="1"/>
  <c r="CT301" i="1"/>
  <c r="CT300" i="1"/>
  <c r="CT299" i="1"/>
  <c r="CT298" i="1"/>
  <c r="CT297" i="1"/>
  <c r="CT296" i="1"/>
  <c r="CT295" i="1"/>
  <c r="CT294" i="1"/>
  <c r="CT293" i="1"/>
  <c r="CT292" i="1"/>
  <c r="CT291" i="1"/>
  <c r="CT290" i="1"/>
  <c r="CT289" i="1"/>
  <c r="CT288" i="1"/>
  <c r="CT287" i="1"/>
  <c r="CT286" i="1"/>
  <c r="CT285" i="1"/>
  <c r="CT284" i="1"/>
  <c r="CT283" i="1"/>
  <c r="CT282" i="1"/>
  <c r="CT281" i="1"/>
  <c r="CT280" i="1"/>
  <c r="CT279" i="1"/>
  <c r="CT278" i="1"/>
  <c r="CT277" i="1"/>
  <c r="CT276" i="1"/>
  <c r="CT275" i="1"/>
  <c r="CT274" i="1"/>
  <c r="CT273" i="1"/>
  <c r="CT272" i="1"/>
  <c r="CT271" i="1"/>
  <c r="CT270" i="1"/>
  <c r="CT269" i="1"/>
  <c r="CT268" i="1"/>
  <c r="CT267" i="1"/>
  <c r="CT266" i="1"/>
  <c r="CT265" i="1"/>
  <c r="CT264" i="1"/>
  <c r="CT263" i="1"/>
  <c r="CT262" i="1"/>
  <c r="CT261" i="1"/>
  <c r="CT260" i="1"/>
  <c r="CT259" i="1"/>
  <c r="CT258" i="1"/>
  <c r="CT257" i="1"/>
  <c r="CT256" i="1"/>
  <c r="CT255" i="1"/>
  <c r="CT254" i="1"/>
  <c r="CT253" i="1"/>
  <c r="CT252" i="1"/>
  <c r="CT251" i="1"/>
  <c r="CT250" i="1"/>
  <c r="CT249" i="1"/>
  <c r="CT248" i="1"/>
  <c r="CT247" i="1"/>
  <c r="CT246" i="1"/>
  <c r="CT245" i="1"/>
  <c r="CT244" i="1"/>
  <c r="CT243" i="1"/>
  <c r="CT242" i="1"/>
  <c r="CT241" i="1"/>
  <c r="CT240" i="1"/>
  <c r="CT239" i="1"/>
  <c r="CT238" i="1"/>
  <c r="CT237" i="1"/>
  <c r="CT236" i="1"/>
  <c r="CT235" i="1"/>
  <c r="CT234" i="1"/>
  <c r="CT233" i="1"/>
  <c r="CT232" i="1"/>
  <c r="CT231" i="1"/>
  <c r="CT230" i="1"/>
  <c r="CT229" i="1"/>
  <c r="CT228" i="1"/>
  <c r="CT227" i="1"/>
  <c r="CT226" i="1"/>
  <c r="CT225" i="1"/>
  <c r="CT224" i="1"/>
  <c r="CT223" i="1"/>
  <c r="CT222" i="1"/>
  <c r="CT221" i="1"/>
  <c r="CT220" i="1"/>
  <c r="CT219" i="1"/>
  <c r="CT218" i="1"/>
  <c r="CT217" i="1"/>
  <c r="CT216" i="1"/>
  <c r="CT215" i="1"/>
  <c r="CT214" i="1"/>
  <c r="CT213" i="1"/>
  <c r="CT212" i="1"/>
  <c r="CT211" i="1"/>
  <c r="CT210" i="1"/>
  <c r="CT209" i="1"/>
  <c r="CT208" i="1"/>
  <c r="CT207" i="1"/>
  <c r="CT206" i="1"/>
  <c r="CT205" i="1"/>
  <c r="CT204" i="1"/>
  <c r="CT203" i="1"/>
  <c r="CT202" i="1"/>
  <c r="CT201" i="1"/>
  <c r="CT200" i="1"/>
  <c r="CT199" i="1"/>
  <c r="CT198" i="1"/>
  <c r="CT197" i="1"/>
  <c r="CT196" i="1"/>
  <c r="CT195" i="1"/>
  <c r="CT194" i="1"/>
  <c r="CT193" i="1"/>
  <c r="CT192" i="1"/>
  <c r="CT191" i="1"/>
  <c r="CT190" i="1"/>
  <c r="CT189" i="1"/>
  <c r="CT188" i="1"/>
  <c r="CT187" i="1"/>
  <c r="CT186" i="1"/>
  <c r="CT185" i="1"/>
  <c r="CT184" i="1"/>
  <c r="CT183" i="1"/>
  <c r="CT182" i="1"/>
  <c r="CT181" i="1"/>
  <c r="CT180" i="1"/>
  <c r="CT179" i="1"/>
  <c r="CT178" i="1"/>
  <c r="CT177" i="1"/>
  <c r="CT176" i="1"/>
  <c r="CT175" i="1"/>
  <c r="CT174" i="1"/>
  <c r="CT173" i="1"/>
  <c r="CT172" i="1"/>
  <c r="CT171" i="1"/>
  <c r="CT170" i="1"/>
  <c r="CT169" i="1"/>
  <c r="CT168" i="1"/>
  <c r="CT167" i="1"/>
  <c r="CT166" i="1"/>
  <c r="CT165" i="1"/>
  <c r="CT164" i="1"/>
  <c r="CT163" i="1"/>
  <c r="CT162" i="1"/>
  <c r="CT161" i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T115" i="1"/>
  <c r="CT114" i="1"/>
  <c r="CT113" i="1"/>
  <c r="CT112" i="1"/>
  <c r="CT111" i="1"/>
  <c r="CT110" i="1"/>
  <c r="CT109" i="1"/>
  <c r="CT108" i="1"/>
  <c r="CT107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R371" i="1"/>
  <c r="CQ371" i="1"/>
  <c r="CP371" i="1"/>
  <c r="CO371" i="1"/>
  <c r="CN371" i="1"/>
  <c r="CM371" i="1"/>
  <c r="CL371" i="1"/>
  <c r="CR370" i="1"/>
  <c r="CQ370" i="1"/>
  <c r="CP370" i="1"/>
  <c r="CO370" i="1"/>
  <c r="CN370" i="1"/>
  <c r="CM370" i="1"/>
  <c r="CL370" i="1"/>
  <c r="CR369" i="1"/>
  <c r="CQ369" i="1"/>
  <c r="CP369" i="1"/>
  <c r="CO369" i="1"/>
  <c r="CN369" i="1"/>
  <c r="CM369" i="1"/>
  <c r="CL369" i="1"/>
  <c r="CR368" i="1"/>
  <c r="CQ368" i="1"/>
  <c r="CP368" i="1"/>
  <c r="CO368" i="1"/>
  <c r="CN368" i="1"/>
  <c r="CM368" i="1"/>
  <c r="CL368" i="1"/>
  <c r="CR367" i="1"/>
  <c r="CQ367" i="1"/>
  <c r="CP367" i="1"/>
  <c r="CO367" i="1"/>
  <c r="CN367" i="1"/>
  <c r="CM367" i="1"/>
  <c r="CL367" i="1"/>
  <c r="CR366" i="1"/>
  <c r="CQ366" i="1"/>
  <c r="CP366" i="1"/>
  <c r="CO366" i="1"/>
  <c r="CN366" i="1"/>
  <c r="CM366" i="1"/>
  <c r="CL366" i="1"/>
  <c r="CR365" i="1"/>
  <c r="CQ365" i="1"/>
  <c r="CP365" i="1"/>
  <c r="CO365" i="1"/>
  <c r="CN365" i="1"/>
  <c r="CM365" i="1"/>
  <c r="CL365" i="1"/>
  <c r="CR364" i="1"/>
  <c r="CQ364" i="1"/>
  <c r="CP364" i="1"/>
  <c r="CO364" i="1"/>
  <c r="CN364" i="1"/>
  <c r="CM364" i="1"/>
  <c r="CL364" i="1"/>
  <c r="CR363" i="1"/>
  <c r="CQ363" i="1"/>
  <c r="CP363" i="1"/>
  <c r="CO363" i="1"/>
  <c r="CN363" i="1"/>
  <c r="CM363" i="1"/>
  <c r="CL363" i="1"/>
  <c r="CR362" i="1"/>
  <c r="CQ362" i="1"/>
  <c r="CP362" i="1"/>
  <c r="CO362" i="1"/>
  <c r="CN362" i="1"/>
  <c r="CM362" i="1"/>
  <c r="CL362" i="1"/>
  <c r="CR361" i="1"/>
  <c r="CQ361" i="1"/>
  <c r="CP361" i="1"/>
  <c r="CO361" i="1"/>
  <c r="CN361" i="1"/>
  <c r="CM361" i="1"/>
  <c r="CL361" i="1"/>
  <c r="CR360" i="1"/>
  <c r="CQ360" i="1"/>
  <c r="CP360" i="1"/>
  <c r="CO360" i="1"/>
  <c r="CN360" i="1"/>
  <c r="CM360" i="1"/>
  <c r="CL360" i="1"/>
  <c r="CR359" i="1"/>
  <c r="CQ359" i="1"/>
  <c r="CP359" i="1"/>
  <c r="CO359" i="1"/>
  <c r="CN359" i="1"/>
  <c r="CM359" i="1"/>
  <c r="CL359" i="1"/>
  <c r="CR358" i="1"/>
  <c r="CQ358" i="1"/>
  <c r="CP358" i="1"/>
  <c r="CO358" i="1"/>
  <c r="CN358" i="1"/>
  <c r="CM358" i="1"/>
  <c r="CL358" i="1"/>
  <c r="CR357" i="1"/>
  <c r="CQ357" i="1"/>
  <c r="CP357" i="1"/>
  <c r="CO357" i="1"/>
  <c r="CN357" i="1"/>
  <c r="CM357" i="1"/>
  <c r="CL357" i="1"/>
  <c r="CR356" i="1"/>
  <c r="CQ356" i="1"/>
  <c r="CP356" i="1"/>
  <c r="CO356" i="1"/>
  <c r="CN356" i="1"/>
  <c r="CM356" i="1"/>
  <c r="CL356" i="1"/>
  <c r="CR355" i="1"/>
  <c r="CQ355" i="1"/>
  <c r="CP355" i="1"/>
  <c r="CO355" i="1"/>
  <c r="CN355" i="1"/>
  <c r="CM355" i="1"/>
  <c r="CL355" i="1"/>
  <c r="CR354" i="1"/>
  <c r="CQ354" i="1"/>
  <c r="CP354" i="1"/>
  <c r="CO354" i="1"/>
  <c r="CN354" i="1"/>
  <c r="CM354" i="1"/>
  <c r="CL354" i="1"/>
  <c r="CR353" i="1"/>
  <c r="CQ353" i="1"/>
  <c r="CP353" i="1"/>
  <c r="CO353" i="1"/>
  <c r="CN353" i="1"/>
  <c r="CM353" i="1"/>
  <c r="CL353" i="1"/>
  <c r="CR352" i="1"/>
  <c r="CQ352" i="1"/>
  <c r="CP352" i="1"/>
  <c r="CO352" i="1"/>
  <c r="CN352" i="1"/>
  <c r="CM352" i="1"/>
  <c r="CL352" i="1"/>
  <c r="CR351" i="1"/>
  <c r="CQ351" i="1"/>
  <c r="CP351" i="1"/>
  <c r="CO351" i="1"/>
  <c r="CN351" i="1"/>
  <c r="CM351" i="1"/>
  <c r="CL351" i="1"/>
  <c r="CR350" i="1"/>
  <c r="CQ350" i="1"/>
  <c r="CP350" i="1"/>
  <c r="CO350" i="1"/>
  <c r="CN350" i="1"/>
  <c r="CM350" i="1"/>
  <c r="CL350" i="1"/>
  <c r="CR349" i="1"/>
  <c r="CQ349" i="1"/>
  <c r="CP349" i="1"/>
  <c r="CO349" i="1"/>
  <c r="CN349" i="1"/>
  <c r="CM349" i="1"/>
  <c r="CL349" i="1"/>
  <c r="CR348" i="1"/>
  <c r="CQ348" i="1"/>
  <c r="CP348" i="1"/>
  <c r="CO348" i="1"/>
  <c r="CN348" i="1"/>
  <c r="CM348" i="1"/>
  <c r="CL348" i="1"/>
  <c r="CR347" i="1"/>
  <c r="CQ347" i="1"/>
  <c r="CP347" i="1"/>
  <c r="CO347" i="1"/>
  <c r="CN347" i="1"/>
  <c r="CM347" i="1"/>
  <c r="CL347" i="1"/>
  <c r="CR346" i="1"/>
  <c r="CQ346" i="1"/>
  <c r="CP346" i="1"/>
  <c r="CO346" i="1"/>
  <c r="CN346" i="1"/>
  <c r="CM346" i="1"/>
  <c r="CL346" i="1"/>
  <c r="CR345" i="1"/>
  <c r="CQ345" i="1"/>
  <c r="CP345" i="1"/>
  <c r="CO345" i="1"/>
  <c r="CN345" i="1"/>
  <c r="CM345" i="1"/>
  <c r="CL345" i="1"/>
  <c r="CR344" i="1"/>
  <c r="CQ344" i="1"/>
  <c r="CP344" i="1"/>
  <c r="CO344" i="1"/>
  <c r="CN344" i="1"/>
  <c r="CM344" i="1"/>
  <c r="CL344" i="1"/>
  <c r="CR343" i="1"/>
  <c r="CQ343" i="1"/>
  <c r="CP343" i="1"/>
  <c r="CO343" i="1"/>
  <c r="CN343" i="1"/>
  <c r="CM343" i="1"/>
  <c r="CL343" i="1"/>
  <c r="CR342" i="1"/>
  <c r="CQ342" i="1"/>
  <c r="CP342" i="1"/>
  <c r="CO342" i="1"/>
  <c r="CN342" i="1"/>
  <c r="CM342" i="1"/>
  <c r="CL342" i="1"/>
  <c r="CR341" i="1"/>
  <c r="CQ341" i="1"/>
  <c r="CP341" i="1"/>
  <c r="CO341" i="1"/>
  <c r="CN341" i="1"/>
  <c r="CM341" i="1"/>
  <c r="CL341" i="1"/>
  <c r="CR340" i="1"/>
  <c r="CQ340" i="1"/>
  <c r="CP340" i="1"/>
  <c r="CO340" i="1"/>
  <c r="CN340" i="1"/>
  <c r="CM340" i="1"/>
  <c r="CL340" i="1"/>
  <c r="CR339" i="1"/>
  <c r="CQ339" i="1"/>
  <c r="CP339" i="1"/>
  <c r="CO339" i="1"/>
  <c r="CN339" i="1"/>
  <c r="CM339" i="1"/>
  <c r="CL339" i="1"/>
  <c r="CR338" i="1"/>
  <c r="CQ338" i="1"/>
  <c r="CP338" i="1"/>
  <c r="CO338" i="1"/>
  <c r="CN338" i="1"/>
  <c r="CM338" i="1"/>
  <c r="CL338" i="1"/>
  <c r="CR337" i="1"/>
  <c r="CQ337" i="1"/>
  <c r="CP337" i="1"/>
  <c r="CO337" i="1"/>
  <c r="CN337" i="1"/>
  <c r="CM337" i="1"/>
  <c r="CL337" i="1"/>
  <c r="CR336" i="1"/>
  <c r="CQ336" i="1"/>
  <c r="CP336" i="1"/>
  <c r="CO336" i="1"/>
  <c r="CN336" i="1"/>
  <c r="CM336" i="1"/>
  <c r="CL336" i="1"/>
  <c r="CR335" i="1"/>
  <c r="CQ335" i="1"/>
  <c r="CP335" i="1"/>
  <c r="CO335" i="1"/>
  <c r="CN335" i="1"/>
  <c r="CM335" i="1"/>
  <c r="CL335" i="1"/>
  <c r="CR334" i="1"/>
  <c r="CQ334" i="1"/>
  <c r="CP334" i="1"/>
  <c r="CO334" i="1"/>
  <c r="CN334" i="1"/>
  <c r="CM334" i="1"/>
  <c r="CL334" i="1"/>
  <c r="CR333" i="1"/>
  <c r="CQ333" i="1"/>
  <c r="CP333" i="1"/>
  <c r="CO333" i="1"/>
  <c r="CN333" i="1"/>
  <c r="CM333" i="1"/>
  <c r="CL333" i="1"/>
  <c r="CR332" i="1"/>
  <c r="CQ332" i="1"/>
  <c r="CP332" i="1"/>
  <c r="CO332" i="1"/>
  <c r="CN332" i="1"/>
  <c r="CM332" i="1"/>
  <c r="CL332" i="1"/>
  <c r="CR331" i="1"/>
  <c r="CQ331" i="1"/>
  <c r="CP331" i="1"/>
  <c r="CO331" i="1"/>
  <c r="CN331" i="1"/>
  <c r="CM331" i="1"/>
  <c r="CL331" i="1"/>
  <c r="CR330" i="1"/>
  <c r="CQ330" i="1"/>
  <c r="CP330" i="1"/>
  <c r="CO330" i="1"/>
  <c r="CN330" i="1"/>
  <c r="CM330" i="1"/>
  <c r="CL330" i="1"/>
  <c r="CR329" i="1"/>
  <c r="CQ329" i="1"/>
  <c r="CP329" i="1"/>
  <c r="CO329" i="1"/>
  <c r="CN329" i="1"/>
  <c r="CM329" i="1"/>
  <c r="CL329" i="1"/>
  <c r="CR328" i="1"/>
  <c r="CQ328" i="1"/>
  <c r="CP328" i="1"/>
  <c r="CO328" i="1"/>
  <c r="CN328" i="1"/>
  <c r="CM328" i="1"/>
  <c r="CL328" i="1"/>
  <c r="CR327" i="1"/>
  <c r="CQ327" i="1"/>
  <c r="CP327" i="1"/>
  <c r="CO327" i="1"/>
  <c r="CN327" i="1"/>
  <c r="CM327" i="1"/>
  <c r="CL327" i="1"/>
  <c r="CR326" i="1"/>
  <c r="CQ326" i="1"/>
  <c r="CP326" i="1"/>
  <c r="CO326" i="1"/>
  <c r="CN326" i="1"/>
  <c r="CM326" i="1"/>
  <c r="CL326" i="1"/>
  <c r="CR325" i="1"/>
  <c r="CQ325" i="1"/>
  <c r="CP325" i="1"/>
  <c r="CO325" i="1"/>
  <c r="CN325" i="1"/>
  <c r="CM325" i="1"/>
  <c r="CL325" i="1"/>
  <c r="CR324" i="1"/>
  <c r="CQ324" i="1"/>
  <c r="CP324" i="1"/>
  <c r="CO324" i="1"/>
  <c r="CN324" i="1"/>
  <c r="CM324" i="1"/>
  <c r="CL324" i="1"/>
  <c r="CR323" i="1"/>
  <c r="CQ323" i="1"/>
  <c r="CP323" i="1"/>
  <c r="CO323" i="1"/>
  <c r="CN323" i="1"/>
  <c r="CM323" i="1"/>
  <c r="CL323" i="1"/>
  <c r="CR322" i="1"/>
  <c r="CQ322" i="1"/>
  <c r="CP322" i="1"/>
  <c r="CO322" i="1"/>
  <c r="CN322" i="1"/>
  <c r="CM322" i="1"/>
  <c r="CL322" i="1"/>
  <c r="CR321" i="1"/>
  <c r="CQ321" i="1"/>
  <c r="CP321" i="1"/>
  <c r="CO321" i="1"/>
  <c r="CN321" i="1"/>
  <c r="CM321" i="1"/>
  <c r="CL321" i="1"/>
  <c r="CR320" i="1"/>
  <c r="CQ320" i="1"/>
  <c r="CP320" i="1"/>
  <c r="CO320" i="1"/>
  <c r="CN320" i="1"/>
  <c r="CM320" i="1"/>
  <c r="CL320" i="1"/>
  <c r="CR319" i="1"/>
  <c r="CQ319" i="1"/>
  <c r="CP319" i="1"/>
  <c r="CO319" i="1"/>
  <c r="CN319" i="1"/>
  <c r="CM319" i="1"/>
  <c r="CL319" i="1"/>
  <c r="CR318" i="1"/>
  <c r="CQ318" i="1"/>
  <c r="CP318" i="1"/>
  <c r="CO318" i="1"/>
  <c r="CN318" i="1"/>
  <c r="CM318" i="1"/>
  <c r="CL318" i="1"/>
  <c r="CR317" i="1"/>
  <c r="CQ317" i="1"/>
  <c r="CP317" i="1"/>
  <c r="CO317" i="1"/>
  <c r="CN317" i="1"/>
  <c r="CM317" i="1"/>
  <c r="CL317" i="1"/>
  <c r="CR316" i="1"/>
  <c r="CQ316" i="1"/>
  <c r="CP316" i="1"/>
  <c r="CO316" i="1"/>
  <c r="CN316" i="1"/>
  <c r="CM316" i="1"/>
  <c r="CL316" i="1"/>
  <c r="CR315" i="1"/>
  <c r="CQ315" i="1"/>
  <c r="CP315" i="1"/>
  <c r="CO315" i="1"/>
  <c r="CN315" i="1"/>
  <c r="CM315" i="1"/>
  <c r="CL315" i="1"/>
  <c r="CR314" i="1"/>
  <c r="CQ314" i="1"/>
  <c r="CP314" i="1"/>
  <c r="CO314" i="1"/>
  <c r="CN314" i="1"/>
  <c r="CM314" i="1"/>
  <c r="CL314" i="1"/>
  <c r="CR313" i="1"/>
  <c r="CQ313" i="1"/>
  <c r="CP313" i="1"/>
  <c r="CO313" i="1"/>
  <c r="CN313" i="1"/>
  <c r="CM313" i="1"/>
  <c r="CL313" i="1"/>
  <c r="CR312" i="1"/>
  <c r="CQ312" i="1"/>
  <c r="CP312" i="1"/>
  <c r="CO312" i="1"/>
  <c r="CN312" i="1"/>
  <c r="CM312" i="1"/>
  <c r="CL312" i="1"/>
  <c r="CR311" i="1"/>
  <c r="CQ311" i="1"/>
  <c r="CP311" i="1"/>
  <c r="CO311" i="1"/>
  <c r="CN311" i="1"/>
  <c r="CM311" i="1"/>
  <c r="CL311" i="1"/>
  <c r="CR310" i="1"/>
  <c r="CQ310" i="1"/>
  <c r="CP310" i="1"/>
  <c r="CO310" i="1"/>
  <c r="CN310" i="1"/>
  <c r="CM310" i="1"/>
  <c r="CL310" i="1"/>
  <c r="CR309" i="1"/>
  <c r="CQ309" i="1"/>
  <c r="CP309" i="1"/>
  <c r="CO309" i="1"/>
  <c r="CN309" i="1"/>
  <c r="CM309" i="1"/>
  <c r="CL309" i="1"/>
  <c r="CR308" i="1"/>
  <c r="CQ308" i="1"/>
  <c r="CP308" i="1"/>
  <c r="CO308" i="1"/>
  <c r="CN308" i="1"/>
  <c r="CM308" i="1"/>
  <c r="CL308" i="1"/>
  <c r="CR307" i="1"/>
  <c r="CQ307" i="1"/>
  <c r="CP307" i="1"/>
  <c r="CO307" i="1"/>
  <c r="CN307" i="1"/>
  <c r="CM307" i="1"/>
  <c r="CL307" i="1"/>
  <c r="CR306" i="1"/>
  <c r="CQ306" i="1"/>
  <c r="CP306" i="1"/>
  <c r="CO306" i="1"/>
  <c r="CN306" i="1"/>
  <c r="CM306" i="1"/>
  <c r="CL306" i="1"/>
  <c r="CR305" i="1"/>
  <c r="CQ305" i="1"/>
  <c r="CP305" i="1"/>
  <c r="CO305" i="1"/>
  <c r="CN305" i="1"/>
  <c r="CM305" i="1"/>
  <c r="CL305" i="1"/>
  <c r="CR304" i="1"/>
  <c r="CQ304" i="1"/>
  <c r="CP304" i="1"/>
  <c r="CO304" i="1"/>
  <c r="CN304" i="1"/>
  <c r="CM304" i="1"/>
  <c r="CL304" i="1"/>
  <c r="CR303" i="1"/>
  <c r="CQ303" i="1"/>
  <c r="CP303" i="1"/>
  <c r="CO303" i="1"/>
  <c r="CN303" i="1"/>
  <c r="CM303" i="1"/>
  <c r="CL303" i="1"/>
  <c r="CR302" i="1"/>
  <c r="CQ302" i="1"/>
  <c r="CP302" i="1"/>
  <c r="CO302" i="1"/>
  <c r="CN302" i="1"/>
  <c r="CM302" i="1"/>
  <c r="CL302" i="1"/>
  <c r="CR301" i="1"/>
  <c r="CQ301" i="1"/>
  <c r="CP301" i="1"/>
  <c r="CO301" i="1"/>
  <c r="CN301" i="1"/>
  <c r="CM301" i="1"/>
  <c r="CL301" i="1"/>
  <c r="CR300" i="1"/>
  <c r="CQ300" i="1"/>
  <c r="CP300" i="1"/>
  <c r="CO300" i="1"/>
  <c r="CN300" i="1"/>
  <c r="CM300" i="1"/>
  <c r="CL300" i="1"/>
  <c r="CR299" i="1"/>
  <c r="CQ299" i="1"/>
  <c r="CP299" i="1"/>
  <c r="CO299" i="1"/>
  <c r="CN299" i="1"/>
  <c r="CM299" i="1"/>
  <c r="CL299" i="1"/>
  <c r="CR298" i="1"/>
  <c r="CQ298" i="1"/>
  <c r="CP298" i="1"/>
  <c r="CO298" i="1"/>
  <c r="CN298" i="1"/>
  <c r="CM298" i="1"/>
  <c r="CL298" i="1"/>
  <c r="CR297" i="1"/>
  <c r="CQ297" i="1"/>
  <c r="CP297" i="1"/>
  <c r="CO297" i="1"/>
  <c r="CN297" i="1"/>
  <c r="CM297" i="1"/>
  <c r="CL297" i="1"/>
  <c r="CR296" i="1"/>
  <c r="CQ296" i="1"/>
  <c r="CP296" i="1"/>
  <c r="CO296" i="1"/>
  <c r="CN296" i="1"/>
  <c r="CM296" i="1"/>
  <c r="CL296" i="1"/>
  <c r="CR295" i="1"/>
  <c r="CQ295" i="1"/>
  <c r="CP295" i="1"/>
  <c r="CO295" i="1"/>
  <c r="CN295" i="1"/>
  <c r="CM295" i="1"/>
  <c r="CL295" i="1"/>
  <c r="CR294" i="1"/>
  <c r="CQ294" i="1"/>
  <c r="CP294" i="1"/>
  <c r="CO294" i="1"/>
  <c r="CN294" i="1"/>
  <c r="CM294" i="1"/>
  <c r="CL294" i="1"/>
  <c r="CR293" i="1"/>
  <c r="CQ293" i="1"/>
  <c r="CP293" i="1"/>
  <c r="CO293" i="1"/>
  <c r="CN293" i="1"/>
  <c r="CM293" i="1"/>
  <c r="CL293" i="1"/>
  <c r="CR292" i="1"/>
  <c r="CQ292" i="1"/>
  <c r="CP292" i="1"/>
  <c r="CO292" i="1"/>
  <c r="CN292" i="1"/>
  <c r="CM292" i="1"/>
  <c r="CL292" i="1"/>
  <c r="CR291" i="1"/>
  <c r="CQ291" i="1"/>
  <c r="CP291" i="1"/>
  <c r="CO291" i="1"/>
  <c r="CN291" i="1"/>
  <c r="CM291" i="1"/>
  <c r="CL291" i="1"/>
  <c r="CR290" i="1"/>
  <c r="CQ290" i="1"/>
  <c r="CP290" i="1"/>
  <c r="CO290" i="1"/>
  <c r="CN290" i="1"/>
  <c r="CM290" i="1"/>
  <c r="CL290" i="1"/>
  <c r="CR289" i="1"/>
  <c r="CQ289" i="1"/>
  <c r="CP289" i="1"/>
  <c r="CO289" i="1"/>
  <c r="CN289" i="1"/>
  <c r="CM289" i="1"/>
  <c r="CL289" i="1"/>
  <c r="CR288" i="1"/>
  <c r="CQ288" i="1"/>
  <c r="CP288" i="1"/>
  <c r="CO288" i="1"/>
  <c r="CN288" i="1"/>
  <c r="CM288" i="1"/>
  <c r="CL288" i="1"/>
  <c r="CR287" i="1"/>
  <c r="CQ287" i="1"/>
  <c r="CP287" i="1"/>
  <c r="CO287" i="1"/>
  <c r="CN287" i="1"/>
  <c r="CM287" i="1"/>
  <c r="CL287" i="1"/>
  <c r="CR286" i="1"/>
  <c r="CQ286" i="1"/>
  <c r="CP286" i="1"/>
  <c r="CO286" i="1"/>
  <c r="CN286" i="1"/>
  <c r="CM286" i="1"/>
  <c r="CL286" i="1"/>
  <c r="CR285" i="1"/>
  <c r="CQ285" i="1"/>
  <c r="CP285" i="1"/>
  <c r="CO285" i="1"/>
  <c r="CN285" i="1"/>
  <c r="CM285" i="1"/>
  <c r="CL285" i="1"/>
  <c r="CR284" i="1"/>
  <c r="CQ284" i="1"/>
  <c r="CP284" i="1"/>
  <c r="CO284" i="1"/>
  <c r="CN284" i="1"/>
  <c r="CM284" i="1"/>
  <c r="CL284" i="1"/>
  <c r="CR283" i="1"/>
  <c r="CQ283" i="1"/>
  <c r="CP283" i="1"/>
  <c r="CO283" i="1"/>
  <c r="CN283" i="1"/>
  <c r="CM283" i="1"/>
  <c r="CL283" i="1"/>
  <c r="CR282" i="1"/>
  <c r="CQ282" i="1"/>
  <c r="CP282" i="1"/>
  <c r="CO282" i="1"/>
  <c r="CN282" i="1"/>
  <c r="CM282" i="1"/>
  <c r="CL282" i="1"/>
  <c r="CR281" i="1"/>
  <c r="CQ281" i="1"/>
  <c r="CP281" i="1"/>
  <c r="CO281" i="1"/>
  <c r="CN281" i="1"/>
  <c r="CM281" i="1"/>
  <c r="CL281" i="1"/>
  <c r="CR280" i="1"/>
  <c r="CQ280" i="1"/>
  <c r="CP280" i="1"/>
  <c r="CO280" i="1"/>
  <c r="CN280" i="1"/>
  <c r="CM280" i="1"/>
  <c r="CL280" i="1"/>
  <c r="CR279" i="1"/>
  <c r="CQ279" i="1"/>
  <c r="CP279" i="1"/>
  <c r="CO279" i="1"/>
  <c r="CN279" i="1"/>
  <c r="CM279" i="1"/>
  <c r="CL279" i="1"/>
  <c r="CR278" i="1"/>
  <c r="CQ278" i="1"/>
  <c r="CP278" i="1"/>
  <c r="CO278" i="1"/>
  <c r="CN278" i="1"/>
  <c r="CM278" i="1"/>
  <c r="CL278" i="1"/>
  <c r="CR277" i="1"/>
  <c r="CQ277" i="1"/>
  <c r="CP277" i="1"/>
  <c r="CO277" i="1"/>
  <c r="CN277" i="1"/>
  <c r="CM277" i="1"/>
  <c r="CL277" i="1"/>
  <c r="CR276" i="1"/>
  <c r="CQ276" i="1"/>
  <c r="CP276" i="1"/>
  <c r="CO276" i="1"/>
  <c r="CN276" i="1"/>
  <c r="CM276" i="1"/>
  <c r="CL276" i="1"/>
  <c r="CR275" i="1"/>
  <c r="CQ275" i="1"/>
  <c r="CP275" i="1"/>
  <c r="CO275" i="1"/>
  <c r="CN275" i="1"/>
  <c r="CM275" i="1"/>
  <c r="CL275" i="1"/>
  <c r="CR274" i="1"/>
  <c r="CQ274" i="1"/>
  <c r="CP274" i="1"/>
  <c r="CO274" i="1"/>
  <c r="CN274" i="1"/>
  <c r="CM274" i="1"/>
  <c r="CL274" i="1"/>
  <c r="CR273" i="1"/>
  <c r="CQ273" i="1"/>
  <c r="CP273" i="1"/>
  <c r="CO273" i="1"/>
  <c r="CN273" i="1"/>
  <c r="CM273" i="1"/>
  <c r="CL273" i="1"/>
  <c r="CR272" i="1"/>
  <c r="CQ272" i="1"/>
  <c r="CP272" i="1"/>
  <c r="CO272" i="1"/>
  <c r="CN272" i="1"/>
  <c r="CM272" i="1"/>
  <c r="CL272" i="1"/>
  <c r="CR271" i="1"/>
  <c r="CQ271" i="1"/>
  <c r="CP271" i="1"/>
  <c r="CO271" i="1"/>
  <c r="CN271" i="1"/>
  <c r="CM271" i="1"/>
  <c r="CL271" i="1"/>
  <c r="CR270" i="1"/>
  <c r="CQ270" i="1"/>
  <c r="CP270" i="1"/>
  <c r="CO270" i="1"/>
  <c r="CN270" i="1"/>
  <c r="CM270" i="1"/>
  <c r="CL270" i="1"/>
  <c r="CR269" i="1"/>
  <c r="CQ269" i="1"/>
  <c r="CP269" i="1"/>
  <c r="CO269" i="1"/>
  <c r="CN269" i="1"/>
  <c r="CM269" i="1"/>
  <c r="CL269" i="1"/>
  <c r="CR268" i="1"/>
  <c r="CQ268" i="1"/>
  <c r="CP268" i="1"/>
  <c r="CO268" i="1"/>
  <c r="CN268" i="1"/>
  <c r="CM268" i="1"/>
  <c r="CL268" i="1"/>
  <c r="CR267" i="1"/>
  <c r="CQ267" i="1"/>
  <c r="CP267" i="1"/>
  <c r="CO267" i="1"/>
  <c r="CN267" i="1"/>
  <c r="CM267" i="1"/>
  <c r="CL267" i="1"/>
  <c r="CR266" i="1"/>
  <c r="CQ266" i="1"/>
  <c r="CP266" i="1"/>
  <c r="CO266" i="1"/>
  <c r="CN266" i="1"/>
  <c r="CM266" i="1"/>
  <c r="CL266" i="1"/>
  <c r="CR265" i="1"/>
  <c r="CQ265" i="1"/>
  <c r="CP265" i="1"/>
  <c r="CO265" i="1"/>
  <c r="CN265" i="1"/>
  <c r="CM265" i="1"/>
  <c r="CL265" i="1"/>
  <c r="CR264" i="1"/>
  <c r="CQ264" i="1"/>
  <c r="CP264" i="1"/>
  <c r="CO264" i="1"/>
  <c r="CN264" i="1"/>
  <c r="CM264" i="1"/>
  <c r="CL264" i="1"/>
  <c r="CR263" i="1"/>
  <c r="CQ263" i="1"/>
  <c r="CP263" i="1"/>
  <c r="CO263" i="1"/>
  <c r="CN263" i="1"/>
  <c r="CM263" i="1"/>
  <c r="CL263" i="1"/>
  <c r="CR262" i="1"/>
  <c r="CQ262" i="1"/>
  <c r="CP262" i="1"/>
  <c r="CO262" i="1"/>
  <c r="CN262" i="1"/>
  <c r="CM262" i="1"/>
  <c r="CL262" i="1"/>
  <c r="CR261" i="1"/>
  <c r="CQ261" i="1"/>
  <c r="CP261" i="1"/>
  <c r="CO261" i="1"/>
  <c r="CN261" i="1"/>
  <c r="CM261" i="1"/>
  <c r="CL261" i="1"/>
  <c r="CR260" i="1"/>
  <c r="CQ260" i="1"/>
  <c r="CP260" i="1"/>
  <c r="CO260" i="1"/>
  <c r="CN260" i="1"/>
  <c r="CM260" i="1"/>
  <c r="CL260" i="1"/>
  <c r="CR259" i="1"/>
  <c r="CQ259" i="1"/>
  <c r="CP259" i="1"/>
  <c r="CO259" i="1"/>
  <c r="CN259" i="1"/>
  <c r="CM259" i="1"/>
  <c r="CL259" i="1"/>
  <c r="CR258" i="1"/>
  <c r="CQ258" i="1"/>
  <c r="CP258" i="1"/>
  <c r="CO258" i="1"/>
  <c r="CN258" i="1"/>
  <c r="CM258" i="1"/>
  <c r="CL258" i="1"/>
  <c r="CR257" i="1"/>
  <c r="CQ257" i="1"/>
  <c r="CP257" i="1"/>
  <c r="CO257" i="1"/>
  <c r="CN257" i="1"/>
  <c r="CM257" i="1"/>
  <c r="CL257" i="1"/>
  <c r="CR256" i="1"/>
  <c r="CQ256" i="1"/>
  <c r="CP256" i="1"/>
  <c r="CO256" i="1"/>
  <c r="CN256" i="1"/>
  <c r="CM256" i="1"/>
  <c r="CL256" i="1"/>
  <c r="CR255" i="1"/>
  <c r="CQ255" i="1"/>
  <c r="CP255" i="1"/>
  <c r="CO255" i="1"/>
  <c r="CN255" i="1"/>
  <c r="CM255" i="1"/>
  <c r="CL255" i="1"/>
  <c r="CR254" i="1"/>
  <c r="CQ254" i="1"/>
  <c r="CP254" i="1"/>
  <c r="CO254" i="1"/>
  <c r="CN254" i="1"/>
  <c r="CM254" i="1"/>
  <c r="CL254" i="1"/>
  <c r="CR253" i="1"/>
  <c r="CQ253" i="1"/>
  <c r="CP253" i="1"/>
  <c r="CO253" i="1"/>
  <c r="CN253" i="1"/>
  <c r="CM253" i="1"/>
  <c r="CL253" i="1"/>
  <c r="CR252" i="1"/>
  <c r="CQ252" i="1"/>
  <c r="CP252" i="1"/>
  <c r="CO252" i="1"/>
  <c r="CN252" i="1"/>
  <c r="CM252" i="1"/>
  <c r="CL252" i="1"/>
  <c r="CR251" i="1"/>
  <c r="CQ251" i="1"/>
  <c r="CP251" i="1"/>
  <c r="CO251" i="1"/>
  <c r="CN251" i="1"/>
  <c r="CM251" i="1"/>
  <c r="CL251" i="1"/>
  <c r="CR250" i="1"/>
  <c r="CQ250" i="1"/>
  <c r="CP250" i="1"/>
  <c r="CO250" i="1"/>
  <c r="CN250" i="1"/>
  <c r="CM250" i="1"/>
  <c r="CL250" i="1"/>
  <c r="CR249" i="1"/>
  <c r="CQ249" i="1"/>
  <c r="CP249" i="1"/>
  <c r="CO249" i="1"/>
  <c r="CN249" i="1"/>
  <c r="CM249" i="1"/>
  <c r="CL249" i="1"/>
  <c r="CR248" i="1"/>
  <c r="CQ248" i="1"/>
  <c r="CP248" i="1"/>
  <c r="CO248" i="1"/>
  <c r="CN248" i="1"/>
  <c r="CM248" i="1"/>
  <c r="CL248" i="1"/>
  <c r="CR247" i="1"/>
  <c r="CQ247" i="1"/>
  <c r="CP247" i="1"/>
  <c r="CO247" i="1"/>
  <c r="CN247" i="1"/>
  <c r="CM247" i="1"/>
  <c r="CL247" i="1"/>
  <c r="CR246" i="1"/>
  <c r="CQ246" i="1"/>
  <c r="CP246" i="1"/>
  <c r="CO246" i="1"/>
  <c r="CN246" i="1"/>
  <c r="CM246" i="1"/>
  <c r="CL246" i="1"/>
  <c r="CR245" i="1"/>
  <c r="CQ245" i="1"/>
  <c r="CP245" i="1"/>
  <c r="CO245" i="1"/>
  <c r="CN245" i="1"/>
  <c r="CM245" i="1"/>
  <c r="CL245" i="1"/>
  <c r="CR244" i="1"/>
  <c r="CQ244" i="1"/>
  <c r="CP244" i="1"/>
  <c r="CO244" i="1"/>
  <c r="CN244" i="1"/>
  <c r="CM244" i="1"/>
  <c r="CL244" i="1"/>
  <c r="CR243" i="1"/>
  <c r="CQ243" i="1"/>
  <c r="CP243" i="1"/>
  <c r="CO243" i="1"/>
  <c r="CN243" i="1"/>
  <c r="CM243" i="1"/>
  <c r="CL243" i="1"/>
  <c r="CR242" i="1"/>
  <c r="CQ242" i="1"/>
  <c r="CP242" i="1"/>
  <c r="CO242" i="1"/>
  <c r="CN242" i="1"/>
  <c r="CM242" i="1"/>
  <c r="CL242" i="1"/>
  <c r="CR241" i="1"/>
  <c r="CQ241" i="1"/>
  <c r="CP241" i="1"/>
  <c r="CO241" i="1"/>
  <c r="CN241" i="1"/>
  <c r="CM241" i="1"/>
  <c r="CL241" i="1"/>
  <c r="CR240" i="1"/>
  <c r="CQ240" i="1"/>
  <c r="CP240" i="1"/>
  <c r="CO240" i="1"/>
  <c r="CN240" i="1"/>
  <c r="CM240" i="1"/>
  <c r="CL240" i="1"/>
  <c r="CR239" i="1"/>
  <c r="CQ239" i="1"/>
  <c r="CP239" i="1"/>
  <c r="CO239" i="1"/>
  <c r="CN239" i="1"/>
  <c r="CM239" i="1"/>
  <c r="CL239" i="1"/>
  <c r="CR238" i="1"/>
  <c r="CQ238" i="1"/>
  <c r="CP238" i="1"/>
  <c r="CO238" i="1"/>
  <c r="CN238" i="1"/>
  <c r="CM238" i="1"/>
  <c r="CL238" i="1"/>
  <c r="CR237" i="1"/>
  <c r="CQ237" i="1"/>
  <c r="CP237" i="1"/>
  <c r="CO237" i="1"/>
  <c r="CN237" i="1"/>
  <c r="CM237" i="1"/>
  <c r="CL237" i="1"/>
  <c r="CR236" i="1"/>
  <c r="CQ236" i="1"/>
  <c r="CP236" i="1"/>
  <c r="CO236" i="1"/>
  <c r="CN236" i="1"/>
  <c r="CM236" i="1"/>
  <c r="CL236" i="1"/>
  <c r="CR235" i="1"/>
  <c r="CQ235" i="1"/>
  <c r="CP235" i="1"/>
  <c r="CO235" i="1"/>
  <c r="CN235" i="1"/>
  <c r="CM235" i="1"/>
  <c r="CL235" i="1"/>
  <c r="CR234" i="1"/>
  <c r="CQ234" i="1"/>
  <c r="CP234" i="1"/>
  <c r="CO234" i="1"/>
  <c r="CN234" i="1"/>
  <c r="CM234" i="1"/>
  <c r="CL234" i="1"/>
  <c r="CR233" i="1"/>
  <c r="CQ233" i="1"/>
  <c r="CP233" i="1"/>
  <c r="CO233" i="1"/>
  <c r="CN233" i="1"/>
  <c r="CM233" i="1"/>
  <c r="CL233" i="1"/>
  <c r="CR232" i="1"/>
  <c r="CQ232" i="1"/>
  <c r="CP232" i="1"/>
  <c r="CO232" i="1"/>
  <c r="CN232" i="1"/>
  <c r="CM232" i="1"/>
  <c r="CL232" i="1"/>
  <c r="CR231" i="1"/>
  <c r="CQ231" i="1"/>
  <c r="CP231" i="1"/>
  <c r="CO231" i="1"/>
  <c r="CN231" i="1"/>
  <c r="CM231" i="1"/>
  <c r="CL231" i="1"/>
  <c r="CR230" i="1"/>
  <c r="CQ230" i="1"/>
  <c r="CP230" i="1"/>
  <c r="CO230" i="1"/>
  <c r="CN230" i="1"/>
  <c r="CM230" i="1"/>
  <c r="CL230" i="1"/>
  <c r="CR229" i="1"/>
  <c r="CQ229" i="1"/>
  <c r="CP229" i="1"/>
  <c r="CO229" i="1"/>
  <c r="CN229" i="1"/>
  <c r="CM229" i="1"/>
  <c r="CL229" i="1"/>
  <c r="CR228" i="1"/>
  <c r="CQ228" i="1"/>
  <c r="CP228" i="1"/>
  <c r="CO228" i="1"/>
  <c r="CN228" i="1"/>
  <c r="CM228" i="1"/>
  <c r="CL228" i="1"/>
  <c r="CR227" i="1"/>
  <c r="CQ227" i="1"/>
  <c r="CP227" i="1"/>
  <c r="CO227" i="1"/>
  <c r="CN227" i="1"/>
  <c r="CM227" i="1"/>
  <c r="CL227" i="1"/>
  <c r="CR226" i="1"/>
  <c r="CQ226" i="1"/>
  <c r="CP226" i="1"/>
  <c r="CO226" i="1"/>
  <c r="CN226" i="1"/>
  <c r="CM226" i="1"/>
  <c r="CL226" i="1"/>
  <c r="CR225" i="1"/>
  <c r="CQ225" i="1"/>
  <c r="CP225" i="1"/>
  <c r="CO225" i="1"/>
  <c r="CN225" i="1"/>
  <c r="CM225" i="1"/>
  <c r="CL225" i="1"/>
  <c r="CR224" i="1"/>
  <c r="CQ224" i="1"/>
  <c r="CP224" i="1"/>
  <c r="CO224" i="1"/>
  <c r="CN224" i="1"/>
  <c r="CM224" i="1"/>
  <c r="CL224" i="1"/>
  <c r="CR223" i="1"/>
  <c r="CQ223" i="1"/>
  <c r="CP223" i="1"/>
  <c r="CO223" i="1"/>
  <c r="CN223" i="1"/>
  <c r="CM223" i="1"/>
  <c r="CL223" i="1"/>
  <c r="CR222" i="1"/>
  <c r="CQ222" i="1"/>
  <c r="CP222" i="1"/>
  <c r="CO222" i="1"/>
  <c r="CN222" i="1"/>
  <c r="CM222" i="1"/>
  <c r="CL222" i="1"/>
  <c r="CR221" i="1"/>
  <c r="CQ221" i="1"/>
  <c r="CP221" i="1"/>
  <c r="CO221" i="1"/>
  <c r="CN221" i="1"/>
  <c r="CM221" i="1"/>
  <c r="CL221" i="1"/>
  <c r="CR220" i="1"/>
  <c r="CQ220" i="1"/>
  <c r="CP220" i="1"/>
  <c r="CO220" i="1"/>
  <c r="CN220" i="1"/>
  <c r="CM220" i="1"/>
  <c r="CL220" i="1"/>
  <c r="CR219" i="1"/>
  <c r="CQ219" i="1"/>
  <c r="CP219" i="1"/>
  <c r="CO219" i="1"/>
  <c r="CN219" i="1"/>
  <c r="CM219" i="1"/>
  <c r="CL219" i="1"/>
  <c r="CR218" i="1"/>
  <c r="CQ218" i="1"/>
  <c r="CP218" i="1"/>
  <c r="CO218" i="1"/>
  <c r="CN218" i="1"/>
  <c r="CM218" i="1"/>
  <c r="CL218" i="1"/>
  <c r="CR217" i="1"/>
  <c r="CQ217" i="1"/>
  <c r="CP217" i="1"/>
  <c r="CO217" i="1"/>
  <c r="CN217" i="1"/>
  <c r="CM217" i="1"/>
  <c r="CL217" i="1"/>
  <c r="CR216" i="1"/>
  <c r="CQ216" i="1"/>
  <c r="CP216" i="1"/>
  <c r="CO216" i="1"/>
  <c r="CN216" i="1"/>
  <c r="CM216" i="1"/>
  <c r="CL216" i="1"/>
  <c r="CR215" i="1"/>
  <c r="CQ215" i="1"/>
  <c r="CP215" i="1"/>
  <c r="CO215" i="1"/>
  <c r="CN215" i="1"/>
  <c r="CM215" i="1"/>
  <c r="CL215" i="1"/>
  <c r="CR214" i="1"/>
  <c r="CQ214" i="1"/>
  <c r="CP214" i="1"/>
  <c r="CO214" i="1"/>
  <c r="CN214" i="1"/>
  <c r="CM214" i="1"/>
  <c r="CL214" i="1"/>
  <c r="CR213" i="1"/>
  <c r="CQ213" i="1"/>
  <c r="CP213" i="1"/>
  <c r="CO213" i="1"/>
  <c r="CN213" i="1"/>
  <c r="CM213" i="1"/>
  <c r="CL213" i="1"/>
  <c r="CR212" i="1"/>
  <c r="CQ212" i="1"/>
  <c r="CP212" i="1"/>
  <c r="CO212" i="1"/>
  <c r="CN212" i="1"/>
  <c r="CM212" i="1"/>
  <c r="CL212" i="1"/>
  <c r="CR211" i="1"/>
  <c r="CQ211" i="1"/>
  <c r="CP211" i="1"/>
  <c r="CO211" i="1"/>
  <c r="CN211" i="1"/>
  <c r="CM211" i="1"/>
  <c r="CL211" i="1"/>
  <c r="CR210" i="1"/>
  <c r="CQ210" i="1"/>
  <c r="CP210" i="1"/>
  <c r="CO210" i="1"/>
  <c r="CN210" i="1"/>
  <c r="CM210" i="1"/>
  <c r="CL210" i="1"/>
  <c r="CR209" i="1"/>
  <c r="CQ209" i="1"/>
  <c r="CP209" i="1"/>
  <c r="CO209" i="1"/>
  <c r="CN209" i="1"/>
  <c r="CM209" i="1"/>
  <c r="CL209" i="1"/>
  <c r="CR208" i="1"/>
  <c r="CQ208" i="1"/>
  <c r="CP208" i="1"/>
  <c r="CO208" i="1"/>
  <c r="CN208" i="1"/>
  <c r="CM208" i="1"/>
  <c r="CL208" i="1"/>
  <c r="CR207" i="1"/>
  <c r="CQ207" i="1"/>
  <c r="CP207" i="1"/>
  <c r="CO207" i="1"/>
  <c r="CN207" i="1"/>
  <c r="CM207" i="1"/>
  <c r="CL207" i="1"/>
  <c r="CR206" i="1"/>
  <c r="CQ206" i="1"/>
  <c r="CP206" i="1"/>
  <c r="CO206" i="1"/>
  <c r="CN206" i="1"/>
  <c r="CM206" i="1"/>
  <c r="CL206" i="1"/>
  <c r="CR205" i="1"/>
  <c r="CQ205" i="1"/>
  <c r="CP205" i="1"/>
  <c r="CO205" i="1"/>
  <c r="CN205" i="1"/>
  <c r="CM205" i="1"/>
  <c r="CL205" i="1"/>
  <c r="CR204" i="1"/>
  <c r="CQ204" i="1"/>
  <c r="CP204" i="1"/>
  <c r="CO204" i="1"/>
  <c r="CN204" i="1"/>
  <c r="CM204" i="1"/>
  <c r="CL204" i="1"/>
  <c r="CR203" i="1"/>
  <c r="CQ203" i="1"/>
  <c r="CP203" i="1"/>
  <c r="CO203" i="1"/>
  <c r="CN203" i="1"/>
  <c r="CM203" i="1"/>
  <c r="CL203" i="1"/>
  <c r="CR202" i="1"/>
  <c r="CQ202" i="1"/>
  <c r="CP202" i="1"/>
  <c r="CO202" i="1"/>
  <c r="CN202" i="1"/>
  <c r="CM202" i="1"/>
  <c r="CL202" i="1"/>
  <c r="CR201" i="1"/>
  <c r="CQ201" i="1"/>
  <c r="CP201" i="1"/>
  <c r="CO201" i="1"/>
  <c r="CN201" i="1"/>
  <c r="CM201" i="1"/>
  <c r="CL201" i="1"/>
  <c r="CR200" i="1"/>
  <c r="CQ200" i="1"/>
  <c r="CP200" i="1"/>
  <c r="CO200" i="1"/>
  <c r="CN200" i="1"/>
  <c r="CM200" i="1"/>
  <c r="CL200" i="1"/>
  <c r="CR199" i="1"/>
  <c r="CQ199" i="1"/>
  <c r="CP199" i="1"/>
  <c r="CO199" i="1"/>
  <c r="CN199" i="1"/>
  <c r="CM199" i="1"/>
  <c r="CL199" i="1"/>
  <c r="CR198" i="1"/>
  <c r="CQ198" i="1"/>
  <c r="CP198" i="1"/>
  <c r="CO198" i="1"/>
  <c r="CN198" i="1"/>
  <c r="CM198" i="1"/>
  <c r="CL198" i="1"/>
  <c r="CR197" i="1"/>
  <c r="CQ197" i="1"/>
  <c r="CP197" i="1"/>
  <c r="CO197" i="1"/>
  <c r="CN197" i="1"/>
  <c r="CM197" i="1"/>
  <c r="CL197" i="1"/>
  <c r="CR196" i="1"/>
  <c r="CQ196" i="1"/>
  <c r="CP196" i="1"/>
  <c r="CO196" i="1"/>
  <c r="CN196" i="1"/>
  <c r="CM196" i="1"/>
  <c r="CL196" i="1"/>
  <c r="CR195" i="1"/>
  <c r="CQ195" i="1"/>
  <c r="CP195" i="1"/>
  <c r="CO195" i="1"/>
  <c r="CN195" i="1"/>
  <c r="CM195" i="1"/>
  <c r="CL195" i="1"/>
  <c r="CR194" i="1"/>
  <c r="CQ194" i="1"/>
  <c r="CP194" i="1"/>
  <c r="CO194" i="1"/>
  <c r="CN194" i="1"/>
  <c r="CM194" i="1"/>
  <c r="CL194" i="1"/>
  <c r="CR193" i="1"/>
  <c r="CQ193" i="1"/>
  <c r="CP193" i="1"/>
  <c r="CO193" i="1"/>
  <c r="CN193" i="1"/>
  <c r="CM193" i="1"/>
  <c r="CL193" i="1"/>
  <c r="CR192" i="1"/>
  <c r="CQ192" i="1"/>
  <c r="CP192" i="1"/>
  <c r="CO192" i="1"/>
  <c r="CN192" i="1"/>
  <c r="CM192" i="1"/>
  <c r="CL192" i="1"/>
  <c r="CR191" i="1"/>
  <c r="CQ191" i="1"/>
  <c r="CP191" i="1"/>
  <c r="CO191" i="1"/>
  <c r="CN191" i="1"/>
  <c r="CM191" i="1"/>
  <c r="CL191" i="1"/>
  <c r="CR190" i="1"/>
  <c r="CQ190" i="1"/>
  <c r="CP190" i="1"/>
  <c r="CO190" i="1"/>
  <c r="CN190" i="1"/>
  <c r="CM190" i="1"/>
  <c r="CL190" i="1"/>
  <c r="CR189" i="1"/>
  <c r="CQ189" i="1"/>
  <c r="CP189" i="1"/>
  <c r="CO189" i="1"/>
  <c r="CN189" i="1"/>
  <c r="CM189" i="1"/>
  <c r="CL189" i="1"/>
  <c r="CR188" i="1"/>
  <c r="CQ188" i="1"/>
  <c r="CP188" i="1"/>
  <c r="CO188" i="1"/>
  <c r="CN188" i="1"/>
  <c r="CM188" i="1"/>
  <c r="CL188" i="1"/>
  <c r="CR187" i="1"/>
  <c r="CQ187" i="1"/>
  <c r="CP187" i="1"/>
  <c r="CO187" i="1"/>
  <c r="CN187" i="1"/>
  <c r="CM187" i="1"/>
  <c r="CL187" i="1"/>
  <c r="CR186" i="1"/>
  <c r="CQ186" i="1"/>
  <c r="CP186" i="1"/>
  <c r="CO186" i="1"/>
  <c r="CN186" i="1"/>
  <c r="CM186" i="1"/>
  <c r="CL186" i="1"/>
  <c r="CR185" i="1"/>
  <c r="CQ185" i="1"/>
  <c r="CP185" i="1"/>
  <c r="CO185" i="1"/>
  <c r="CN185" i="1"/>
  <c r="CM185" i="1"/>
  <c r="CL185" i="1"/>
  <c r="CR184" i="1"/>
  <c r="CQ184" i="1"/>
  <c r="CP184" i="1"/>
  <c r="CO184" i="1"/>
  <c r="CN184" i="1"/>
  <c r="CM184" i="1"/>
  <c r="CL184" i="1"/>
  <c r="CR183" i="1"/>
  <c r="CQ183" i="1"/>
  <c r="CP183" i="1"/>
  <c r="CO183" i="1"/>
  <c r="CN183" i="1"/>
  <c r="CM183" i="1"/>
  <c r="CL183" i="1"/>
  <c r="CR182" i="1"/>
  <c r="CQ182" i="1"/>
  <c r="CP182" i="1"/>
  <c r="CO182" i="1"/>
  <c r="CN182" i="1"/>
  <c r="CM182" i="1"/>
  <c r="CL182" i="1"/>
  <c r="CR181" i="1"/>
  <c r="CQ181" i="1"/>
  <c r="CP181" i="1"/>
  <c r="CO181" i="1"/>
  <c r="CN181" i="1"/>
  <c r="CM181" i="1"/>
  <c r="CL181" i="1"/>
  <c r="CR180" i="1"/>
  <c r="CQ180" i="1"/>
  <c r="CP180" i="1"/>
  <c r="CO180" i="1"/>
  <c r="CN180" i="1"/>
  <c r="CM180" i="1"/>
  <c r="CL180" i="1"/>
  <c r="CR179" i="1"/>
  <c r="CQ179" i="1"/>
  <c r="CP179" i="1"/>
  <c r="CO179" i="1"/>
  <c r="CN179" i="1"/>
  <c r="CM179" i="1"/>
  <c r="CL179" i="1"/>
  <c r="CR178" i="1"/>
  <c r="CQ178" i="1"/>
  <c r="CP178" i="1"/>
  <c r="CO178" i="1"/>
  <c r="CN178" i="1"/>
  <c r="CM178" i="1"/>
  <c r="CL178" i="1"/>
  <c r="CR177" i="1"/>
  <c r="CQ177" i="1"/>
  <c r="CP177" i="1"/>
  <c r="CO177" i="1"/>
  <c r="CN177" i="1"/>
  <c r="CM177" i="1"/>
  <c r="CL177" i="1"/>
  <c r="CR176" i="1"/>
  <c r="CQ176" i="1"/>
  <c r="CP176" i="1"/>
  <c r="CO176" i="1"/>
  <c r="CN176" i="1"/>
  <c r="CM176" i="1"/>
  <c r="CL176" i="1"/>
  <c r="CR175" i="1"/>
  <c r="CQ175" i="1"/>
  <c r="CP175" i="1"/>
  <c r="CO175" i="1"/>
  <c r="CN175" i="1"/>
  <c r="CM175" i="1"/>
  <c r="CL175" i="1"/>
  <c r="CR174" i="1"/>
  <c r="CQ174" i="1"/>
  <c r="CP174" i="1"/>
  <c r="CO174" i="1"/>
  <c r="CN174" i="1"/>
  <c r="CM174" i="1"/>
  <c r="CL174" i="1"/>
  <c r="CR173" i="1"/>
  <c r="CQ173" i="1"/>
  <c r="CP173" i="1"/>
  <c r="CO173" i="1"/>
  <c r="CN173" i="1"/>
  <c r="CM173" i="1"/>
  <c r="CL173" i="1"/>
  <c r="CR172" i="1"/>
  <c r="CQ172" i="1"/>
  <c r="CP172" i="1"/>
  <c r="CO172" i="1"/>
  <c r="CN172" i="1"/>
  <c r="CM172" i="1"/>
  <c r="CL172" i="1"/>
  <c r="CR171" i="1"/>
  <c r="CQ171" i="1"/>
  <c r="CP171" i="1"/>
  <c r="CO171" i="1"/>
  <c r="CN171" i="1"/>
  <c r="CM171" i="1"/>
  <c r="CL171" i="1"/>
  <c r="CR170" i="1"/>
  <c r="CQ170" i="1"/>
  <c r="CP170" i="1"/>
  <c r="CO170" i="1"/>
  <c r="CN170" i="1"/>
  <c r="CM170" i="1"/>
  <c r="CL170" i="1"/>
  <c r="CR169" i="1"/>
  <c r="CQ169" i="1"/>
  <c r="CP169" i="1"/>
  <c r="CO169" i="1"/>
  <c r="CN169" i="1"/>
  <c r="CM169" i="1"/>
  <c r="CL169" i="1"/>
  <c r="CR168" i="1"/>
  <c r="CQ168" i="1"/>
  <c r="CP168" i="1"/>
  <c r="CO168" i="1"/>
  <c r="CN168" i="1"/>
  <c r="CM168" i="1"/>
  <c r="CL168" i="1"/>
  <c r="CR167" i="1"/>
  <c r="CQ167" i="1"/>
  <c r="CP167" i="1"/>
  <c r="CO167" i="1"/>
  <c r="CN167" i="1"/>
  <c r="CM167" i="1"/>
  <c r="CL167" i="1"/>
  <c r="CR166" i="1"/>
  <c r="CQ166" i="1"/>
  <c r="CP166" i="1"/>
  <c r="CO166" i="1"/>
  <c r="CN166" i="1"/>
  <c r="CM166" i="1"/>
  <c r="CL166" i="1"/>
  <c r="CR165" i="1"/>
  <c r="CQ165" i="1"/>
  <c r="CP165" i="1"/>
  <c r="CO165" i="1"/>
  <c r="CN165" i="1"/>
  <c r="CM165" i="1"/>
  <c r="CL165" i="1"/>
  <c r="CR164" i="1"/>
  <c r="CQ164" i="1"/>
  <c r="CP164" i="1"/>
  <c r="CO164" i="1"/>
  <c r="CN164" i="1"/>
  <c r="CM164" i="1"/>
  <c r="CL164" i="1"/>
  <c r="CR163" i="1"/>
  <c r="CQ163" i="1"/>
  <c r="CP163" i="1"/>
  <c r="CO163" i="1"/>
  <c r="CN163" i="1"/>
  <c r="CM163" i="1"/>
  <c r="CL163" i="1"/>
  <c r="CR162" i="1"/>
  <c r="CQ162" i="1"/>
  <c r="CP162" i="1"/>
  <c r="CO162" i="1"/>
  <c r="CN162" i="1"/>
  <c r="CM162" i="1"/>
  <c r="CL162" i="1"/>
  <c r="CR161" i="1"/>
  <c r="CQ161" i="1"/>
  <c r="CP161" i="1"/>
  <c r="CO161" i="1"/>
  <c r="CN161" i="1"/>
  <c r="CM161" i="1"/>
  <c r="CL161" i="1"/>
  <c r="CR160" i="1"/>
  <c r="CQ160" i="1"/>
  <c r="CP160" i="1"/>
  <c r="CO160" i="1"/>
  <c r="CN160" i="1"/>
  <c r="CM160" i="1"/>
  <c r="CL160" i="1"/>
  <c r="CR159" i="1"/>
  <c r="CQ159" i="1"/>
  <c r="CP159" i="1"/>
  <c r="CO159" i="1"/>
  <c r="CN159" i="1"/>
  <c r="CM159" i="1"/>
  <c r="CL159" i="1"/>
  <c r="CR158" i="1"/>
  <c r="CQ158" i="1"/>
  <c r="CP158" i="1"/>
  <c r="CO158" i="1"/>
  <c r="CN158" i="1"/>
  <c r="CM158" i="1"/>
  <c r="CL158" i="1"/>
  <c r="CR157" i="1"/>
  <c r="CQ157" i="1"/>
  <c r="CP157" i="1"/>
  <c r="CO157" i="1"/>
  <c r="CN157" i="1"/>
  <c r="CM157" i="1"/>
  <c r="CL157" i="1"/>
  <c r="CR156" i="1"/>
  <c r="CQ156" i="1"/>
  <c r="CP156" i="1"/>
  <c r="CO156" i="1"/>
  <c r="CN156" i="1"/>
  <c r="CM156" i="1"/>
  <c r="CL156" i="1"/>
  <c r="CR155" i="1"/>
  <c r="CQ155" i="1"/>
  <c r="CP155" i="1"/>
  <c r="CO155" i="1"/>
  <c r="CN155" i="1"/>
  <c r="CM155" i="1"/>
  <c r="CL155" i="1"/>
  <c r="CR154" i="1"/>
  <c r="CQ154" i="1"/>
  <c r="CP154" i="1"/>
  <c r="CO154" i="1"/>
  <c r="CN154" i="1"/>
  <c r="CM154" i="1"/>
  <c r="CL154" i="1"/>
  <c r="CR153" i="1"/>
  <c r="CQ153" i="1"/>
  <c r="CP153" i="1"/>
  <c r="CO153" i="1"/>
  <c r="CN153" i="1"/>
  <c r="CM153" i="1"/>
  <c r="CL153" i="1"/>
  <c r="CR152" i="1"/>
  <c r="CQ152" i="1"/>
  <c r="CP152" i="1"/>
  <c r="CO152" i="1"/>
  <c r="CN152" i="1"/>
  <c r="CM152" i="1"/>
  <c r="CL152" i="1"/>
  <c r="CR151" i="1"/>
  <c r="CQ151" i="1"/>
  <c r="CP151" i="1"/>
  <c r="CO151" i="1"/>
  <c r="CN151" i="1"/>
  <c r="CM151" i="1"/>
  <c r="CL151" i="1"/>
  <c r="CR150" i="1"/>
  <c r="CQ150" i="1"/>
  <c r="CP150" i="1"/>
  <c r="CO150" i="1"/>
  <c r="CN150" i="1"/>
  <c r="CM150" i="1"/>
  <c r="CL150" i="1"/>
  <c r="CR149" i="1"/>
  <c r="CQ149" i="1"/>
  <c r="CP149" i="1"/>
  <c r="CO149" i="1"/>
  <c r="CN149" i="1"/>
  <c r="CM149" i="1"/>
  <c r="CL149" i="1"/>
  <c r="CR148" i="1"/>
  <c r="CQ148" i="1"/>
  <c r="CP148" i="1"/>
  <c r="CO148" i="1"/>
  <c r="CN148" i="1"/>
  <c r="CM148" i="1"/>
  <c r="CL148" i="1"/>
  <c r="CR147" i="1"/>
  <c r="CQ147" i="1"/>
  <c r="CP147" i="1"/>
  <c r="CO147" i="1"/>
  <c r="CN147" i="1"/>
  <c r="CM147" i="1"/>
  <c r="CL147" i="1"/>
  <c r="CR146" i="1"/>
  <c r="CQ146" i="1"/>
  <c r="CP146" i="1"/>
  <c r="CO146" i="1"/>
  <c r="CN146" i="1"/>
  <c r="CM146" i="1"/>
  <c r="CL146" i="1"/>
  <c r="CR145" i="1"/>
  <c r="CQ145" i="1"/>
  <c r="CP145" i="1"/>
  <c r="CO145" i="1"/>
  <c r="CN145" i="1"/>
  <c r="CM145" i="1"/>
  <c r="CL145" i="1"/>
  <c r="CR144" i="1"/>
  <c r="CQ144" i="1"/>
  <c r="CP144" i="1"/>
  <c r="CO144" i="1"/>
  <c r="CN144" i="1"/>
  <c r="CM144" i="1"/>
  <c r="CL144" i="1"/>
  <c r="CR143" i="1"/>
  <c r="CQ143" i="1"/>
  <c r="CP143" i="1"/>
  <c r="CO143" i="1"/>
  <c r="CN143" i="1"/>
  <c r="CM143" i="1"/>
  <c r="CL143" i="1"/>
  <c r="CR142" i="1"/>
  <c r="CQ142" i="1"/>
  <c r="CP142" i="1"/>
  <c r="CO142" i="1"/>
  <c r="CN142" i="1"/>
  <c r="CM142" i="1"/>
  <c r="CL142" i="1"/>
  <c r="CR141" i="1"/>
  <c r="CQ141" i="1"/>
  <c r="CP141" i="1"/>
  <c r="CO141" i="1"/>
  <c r="CN141" i="1"/>
  <c r="CM141" i="1"/>
  <c r="CL141" i="1"/>
  <c r="CR140" i="1"/>
  <c r="CQ140" i="1"/>
  <c r="CP140" i="1"/>
  <c r="CO140" i="1"/>
  <c r="CN140" i="1"/>
  <c r="CM140" i="1"/>
  <c r="CL140" i="1"/>
  <c r="CR139" i="1"/>
  <c r="CQ139" i="1"/>
  <c r="CP139" i="1"/>
  <c r="CO139" i="1"/>
  <c r="CN139" i="1"/>
  <c r="CM139" i="1"/>
  <c r="CL139" i="1"/>
  <c r="CR138" i="1"/>
  <c r="CQ138" i="1"/>
  <c r="CP138" i="1"/>
  <c r="CO138" i="1"/>
  <c r="CN138" i="1"/>
  <c r="CM138" i="1"/>
  <c r="CL138" i="1"/>
  <c r="CR137" i="1"/>
  <c r="CQ137" i="1"/>
  <c r="CP137" i="1"/>
  <c r="CO137" i="1"/>
  <c r="CN137" i="1"/>
  <c r="CM137" i="1"/>
  <c r="CL137" i="1"/>
  <c r="CR136" i="1"/>
  <c r="CQ136" i="1"/>
  <c r="CP136" i="1"/>
  <c r="CO136" i="1"/>
  <c r="CN136" i="1"/>
  <c r="CM136" i="1"/>
  <c r="CL136" i="1"/>
  <c r="CR135" i="1"/>
  <c r="CQ135" i="1"/>
  <c r="CP135" i="1"/>
  <c r="CO135" i="1"/>
  <c r="CN135" i="1"/>
  <c r="CM135" i="1"/>
  <c r="CL135" i="1"/>
  <c r="CR134" i="1"/>
  <c r="CQ134" i="1"/>
  <c r="CP134" i="1"/>
  <c r="CO134" i="1"/>
  <c r="CN134" i="1"/>
  <c r="CM134" i="1"/>
  <c r="CL134" i="1"/>
  <c r="CR133" i="1"/>
  <c r="CQ133" i="1"/>
  <c r="CP133" i="1"/>
  <c r="CO133" i="1"/>
  <c r="CN133" i="1"/>
  <c r="CM133" i="1"/>
  <c r="CL133" i="1"/>
  <c r="CR132" i="1"/>
  <c r="CQ132" i="1"/>
  <c r="CP132" i="1"/>
  <c r="CO132" i="1"/>
  <c r="CN132" i="1"/>
  <c r="CM132" i="1"/>
  <c r="CL132" i="1"/>
  <c r="CR131" i="1"/>
  <c r="CQ131" i="1"/>
  <c r="CP131" i="1"/>
  <c r="CO131" i="1"/>
  <c r="CN131" i="1"/>
  <c r="CM131" i="1"/>
  <c r="CL131" i="1"/>
  <c r="CR130" i="1"/>
  <c r="CQ130" i="1"/>
  <c r="CP130" i="1"/>
  <c r="CO130" i="1"/>
  <c r="CN130" i="1"/>
  <c r="CM130" i="1"/>
  <c r="CL130" i="1"/>
  <c r="CR129" i="1"/>
  <c r="CQ129" i="1"/>
  <c r="CP129" i="1"/>
  <c r="CO129" i="1"/>
  <c r="CN129" i="1"/>
  <c r="CM129" i="1"/>
  <c r="CL129" i="1"/>
  <c r="CR128" i="1"/>
  <c r="CQ128" i="1"/>
  <c r="CP128" i="1"/>
  <c r="CO128" i="1"/>
  <c r="CN128" i="1"/>
  <c r="CM128" i="1"/>
  <c r="CL128" i="1"/>
  <c r="CR127" i="1"/>
  <c r="CQ127" i="1"/>
  <c r="CP127" i="1"/>
  <c r="CO127" i="1"/>
  <c r="CN127" i="1"/>
  <c r="CM127" i="1"/>
  <c r="CL127" i="1"/>
  <c r="CR126" i="1"/>
  <c r="CQ126" i="1"/>
  <c r="CP126" i="1"/>
  <c r="CO126" i="1"/>
  <c r="CN126" i="1"/>
  <c r="CM126" i="1"/>
  <c r="CL126" i="1"/>
  <c r="CR125" i="1"/>
  <c r="CQ125" i="1"/>
  <c r="CP125" i="1"/>
  <c r="CO125" i="1"/>
  <c r="CN125" i="1"/>
  <c r="CM125" i="1"/>
  <c r="CL125" i="1"/>
  <c r="CR124" i="1"/>
  <c r="CQ124" i="1"/>
  <c r="CP124" i="1"/>
  <c r="CO124" i="1"/>
  <c r="CN124" i="1"/>
  <c r="CM124" i="1"/>
  <c r="CL124" i="1"/>
  <c r="CR123" i="1"/>
  <c r="CQ123" i="1"/>
  <c r="CP123" i="1"/>
  <c r="CO123" i="1"/>
  <c r="CN123" i="1"/>
  <c r="CM123" i="1"/>
  <c r="CL123" i="1"/>
  <c r="CR122" i="1"/>
  <c r="CQ122" i="1"/>
  <c r="CP122" i="1"/>
  <c r="CO122" i="1"/>
  <c r="CN122" i="1"/>
  <c r="CM122" i="1"/>
  <c r="CL122" i="1"/>
  <c r="CR121" i="1"/>
  <c r="CQ121" i="1"/>
  <c r="CP121" i="1"/>
  <c r="CO121" i="1"/>
  <c r="CN121" i="1"/>
  <c r="CM121" i="1"/>
  <c r="CL121" i="1"/>
  <c r="CR120" i="1"/>
  <c r="CQ120" i="1"/>
  <c r="CP120" i="1"/>
  <c r="CO120" i="1"/>
  <c r="CN120" i="1"/>
  <c r="CM120" i="1"/>
  <c r="CL120" i="1"/>
  <c r="CR119" i="1"/>
  <c r="CQ119" i="1"/>
  <c r="CP119" i="1"/>
  <c r="CO119" i="1"/>
  <c r="CN119" i="1"/>
  <c r="CM119" i="1"/>
  <c r="CL119" i="1"/>
  <c r="CR118" i="1"/>
  <c r="CQ118" i="1"/>
  <c r="CP118" i="1"/>
  <c r="CO118" i="1"/>
  <c r="CN118" i="1"/>
  <c r="CM118" i="1"/>
  <c r="CL118" i="1"/>
  <c r="CR117" i="1"/>
  <c r="CQ117" i="1"/>
  <c r="CP117" i="1"/>
  <c r="CO117" i="1"/>
  <c r="CN117" i="1"/>
  <c r="CM117" i="1"/>
  <c r="CL117" i="1"/>
  <c r="CR116" i="1"/>
  <c r="CQ116" i="1"/>
  <c r="CP116" i="1"/>
  <c r="CO116" i="1"/>
  <c r="CN116" i="1"/>
  <c r="CM116" i="1"/>
  <c r="CL116" i="1"/>
  <c r="CR115" i="1"/>
  <c r="CQ115" i="1"/>
  <c r="CP115" i="1"/>
  <c r="CO115" i="1"/>
  <c r="CN115" i="1"/>
  <c r="CM115" i="1"/>
  <c r="CL115" i="1"/>
  <c r="CR114" i="1"/>
  <c r="CQ114" i="1"/>
  <c r="CP114" i="1"/>
  <c r="CO114" i="1"/>
  <c r="CN114" i="1"/>
  <c r="CM114" i="1"/>
  <c r="CL114" i="1"/>
  <c r="CR113" i="1"/>
  <c r="CQ113" i="1"/>
  <c r="CP113" i="1"/>
  <c r="CO113" i="1"/>
  <c r="CN113" i="1"/>
  <c r="CM113" i="1"/>
  <c r="CL113" i="1"/>
  <c r="CR112" i="1"/>
  <c r="CQ112" i="1"/>
  <c r="CP112" i="1"/>
  <c r="CO112" i="1"/>
  <c r="CN112" i="1"/>
  <c r="CM112" i="1"/>
  <c r="CL112" i="1"/>
  <c r="CR111" i="1"/>
  <c r="CQ111" i="1"/>
  <c r="CP111" i="1"/>
  <c r="CO111" i="1"/>
  <c r="CN111" i="1"/>
  <c r="CM111" i="1"/>
  <c r="CL111" i="1"/>
  <c r="CR110" i="1"/>
  <c r="CQ110" i="1"/>
  <c r="CP110" i="1"/>
  <c r="CO110" i="1"/>
  <c r="CN110" i="1"/>
  <c r="CM110" i="1"/>
  <c r="CL110" i="1"/>
  <c r="CR109" i="1"/>
  <c r="CQ109" i="1"/>
  <c r="CP109" i="1"/>
  <c r="CO109" i="1"/>
  <c r="CN109" i="1"/>
  <c r="CM109" i="1"/>
  <c r="CL109" i="1"/>
  <c r="CR108" i="1"/>
  <c r="CQ108" i="1"/>
  <c r="CP108" i="1"/>
  <c r="CO108" i="1"/>
  <c r="CN108" i="1"/>
  <c r="CM108" i="1"/>
  <c r="CL108" i="1"/>
  <c r="CR107" i="1"/>
  <c r="CQ107" i="1"/>
  <c r="CP107" i="1"/>
  <c r="CO107" i="1"/>
  <c r="CN107" i="1"/>
  <c r="CM107" i="1"/>
  <c r="CL107" i="1"/>
  <c r="CR106" i="1"/>
  <c r="CQ106" i="1"/>
  <c r="CP106" i="1"/>
  <c r="CO106" i="1"/>
  <c r="CN106" i="1"/>
  <c r="CM106" i="1"/>
  <c r="CL106" i="1"/>
  <c r="CR105" i="1"/>
  <c r="CQ105" i="1"/>
  <c r="CP105" i="1"/>
  <c r="CO105" i="1"/>
  <c r="CN105" i="1"/>
  <c r="CM105" i="1"/>
  <c r="CL105" i="1"/>
  <c r="CR104" i="1"/>
  <c r="CQ104" i="1"/>
  <c r="CP104" i="1"/>
  <c r="CO104" i="1"/>
  <c r="CN104" i="1"/>
  <c r="CM104" i="1"/>
  <c r="CL104" i="1"/>
  <c r="CR103" i="1"/>
  <c r="CQ103" i="1"/>
  <c r="CP103" i="1"/>
  <c r="CO103" i="1"/>
  <c r="CN103" i="1"/>
  <c r="CM103" i="1"/>
  <c r="CL103" i="1"/>
  <c r="CR102" i="1"/>
  <c r="CQ102" i="1"/>
  <c r="CP102" i="1"/>
  <c r="CO102" i="1"/>
  <c r="CN102" i="1"/>
  <c r="CM102" i="1"/>
  <c r="CL102" i="1"/>
  <c r="CR101" i="1"/>
  <c r="CQ101" i="1"/>
  <c r="CP101" i="1"/>
  <c r="CO101" i="1"/>
  <c r="CN101" i="1"/>
  <c r="CM101" i="1"/>
  <c r="CL101" i="1"/>
  <c r="CR100" i="1"/>
  <c r="CQ100" i="1"/>
  <c r="CP100" i="1"/>
  <c r="CO100" i="1"/>
  <c r="CN100" i="1"/>
  <c r="CM100" i="1"/>
  <c r="CL100" i="1"/>
  <c r="CR99" i="1"/>
  <c r="CQ99" i="1"/>
  <c r="CP99" i="1"/>
  <c r="CO99" i="1"/>
  <c r="CN99" i="1"/>
  <c r="CM99" i="1"/>
  <c r="CL99" i="1"/>
  <c r="CR98" i="1"/>
  <c r="CQ98" i="1"/>
  <c r="CP98" i="1"/>
  <c r="CO98" i="1"/>
  <c r="CN98" i="1"/>
  <c r="CM98" i="1"/>
  <c r="CL98" i="1"/>
  <c r="CR97" i="1"/>
  <c r="CQ97" i="1"/>
  <c r="CP97" i="1"/>
  <c r="CO97" i="1"/>
  <c r="CN97" i="1"/>
  <c r="CM97" i="1"/>
  <c r="CL97" i="1"/>
  <c r="CR96" i="1"/>
  <c r="CQ96" i="1"/>
  <c r="CP96" i="1"/>
  <c r="CO96" i="1"/>
  <c r="CN96" i="1"/>
  <c r="CM96" i="1"/>
  <c r="CL96" i="1"/>
  <c r="CR95" i="1"/>
  <c r="CQ95" i="1"/>
  <c r="CP95" i="1"/>
  <c r="CO95" i="1"/>
  <c r="CN95" i="1"/>
  <c r="CM95" i="1"/>
  <c r="CL95" i="1"/>
  <c r="CR94" i="1"/>
  <c r="CQ94" i="1"/>
  <c r="CP94" i="1"/>
  <c r="CO94" i="1"/>
  <c r="CN94" i="1"/>
  <c r="CM94" i="1"/>
  <c r="CL94" i="1"/>
  <c r="CR93" i="1"/>
  <c r="CQ93" i="1"/>
  <c r="CP93" i="1"/>
  <c r="CO93" i="1"/>
  <c r="CN93" i="1"/>
  <c r="CM93" i="1"/>
  <c r="CL93" i="1"/>
  <c r="CR92" i="1"/>
  <c r="CQ92" i="1"/>
  <c r="CP92" i="1"/>
  <c r="CO92" i="1"/>
  <c r="CN92" i="1"/>
  <c r="CM92" i="1"/>
  <c r="CL92" i="1"/>
  <c r="CR91" i="1"/>
  <c r="CQ91" i="1"/>
  <c r="CP91" i="1"/>
  <c r="CO91" i="1"/>
  <c r="CN91" i="1"/>
  <c r="CM91" i="1"/>
  <c r="CL91" i="1"/>
  <c r="CR90" i="1"/>
  <c r="CQ90" i="1"/>
  <c r="CP90" i="1"/>
  <c r="CO90" i="1"/>
  <c r="CN90" i="1"/>
  <c r="CM90" i="1"/>
  <c r="CL90" i="1"/>
  <c r="CR89" i="1"/>
  <c r="CQ89" i="1"/>
  <c r="CP89" i="1"/>
  <c r="CO89" i="1"/>
  <c r="CN89" i="1"/>
  <c r="CM89" i="1"/>
  <c r="CL89" i="1"/>
  <c r="CR88" i="1"/>
  <c r="CQ88" i="1"/>
  <c r="CP88" i="1"/>
  <c r="CO88" i="1"/>
  <c r="CN88" i="1"/>
  <c r="CM88" i="1"/>
  <c r="CL88" i="1"/>
  <c r="CR87" i="1"/>
  <c r="CQ87" i="1"/>
  <c r="CP87" i="1"/>
  <c r="CO87" i="1"/>
  <c r="CN87" i="1"/>
  <c r="CM87" i="1"/>
  <c r="CL87" i="1"/>
  <c r="CR86" i="1"/>
  <c r="CQ86" i="1"/>
  <c r="CP86" i="1"/>
  <c r="CO86" i="1"/>
  <c r="CN86" i="1"/>
  <c r="CM86" i="1"/>
  <c r="CL86" i="1"/>
  <c r="CR85" i="1"/>
  <c r="CQ85" i="1"/>
  <c r="CP85" i="1"/>
  <c r="CO85" i="1"/>
  <c r="CN85" i="1"/>
  <c r="CM85" i="1"/>
  <c r="CL85" i="1"/>
  <c r="CR84" i="1"/>
  <c r="CQ84" i="1"/>
  <c r="CP84" i="1"/>
  <c r="CO84" i="1"/>
  <c r="CN84" i="1"/>
  <c r="CM84" i="1"/>
  <c r="CL84" i="1"/>
  <c r="CR83" i="1"/>
  <c r="CQ83" i="1"/>
  <c r="CP83" i="1"/>
  <c r="CO83" i="1"/>
  <c r="CN83" i="1"/>
  <c r="CM83" i="1"/>
  <c r="CL83" i="1"/>
  <c r="CR82" i="1"/>
  <c r="CQ82" i="1"/>
  <c r="CP82" i="1"/>
  <c r="CO82" i="1"/>
  <c r="CN82" i="1"/>
  <c r="CM82" i="1"/>
  <c r="CL82" i="1"/>
  <c r="CR81" i="1"/>
  <c r="CQ81" i="1"/>
  <c r="CP81" i="1"/>
  <c r="CO81" i="1"/>
  <c r="CN81" i="1"/>
  <c r="CM81" i="1"/>
  <c r="CL81" i="1"/>
  <c r="CR80" i="1"/>
  <c r="CQ80" i="1"/>
  <c r="CP80" i="1"/>
  <c r="CO80" i="1"/>
  <c r="CN80" i="1"/>
  <c r="CM80" i="1"/>
  <c r="CL80" i="1"/>
  <c r="CR79" i="1"/>
  <c r="CQ79" i="1"/>
  <c r="CP79" i="1"/>
  <c r="CO79" i="1"/>
  <c r="CN79" i="1"/>
  <c r="CM79" i="1"/>
  <c r="CL79" i="1"/>
  <c r="CR78" i="1"/>
  <c r="CQ78" i="1"/>
  <c r="CP78" i="1"/>
  <c r="CO78" i="1"/>
  <c r="CN78" i="1"/>
  <c r="CM78" i="1"/>
  <c r="CL78" i="1"/>
  <c r="CR77" i="1"/>
  <c r="CQ77" i="1"/>
  <c r="CP77" i="1"/>
  <c r="CO77" i="1"/>
  <c r="CN77" i="1"/>
  <c r="CM77" i="1"/>
  <c r="CL77" i="1"/>
  <c r="CR76" i="1"/>
  <c r="CQ76" i="1"/>
  <c r="CP76" i="1"/>
  <c r="CO76" i="1"/>
  <c r="CN76" i="1"/>
  <c r="CM76" i="1"/>
  <c r="CL76" i="1"/>
  <c r="CR75" i="1"/>
  <c r="CQ75" i="1"/>
  <c r="CP75" i="1"/>
  <c r="CO75" i="1"/>
  <c r="CN75" i="1"/>
  <c r="CM75" i="1"/>
  <c r="CL75" i="1"/>
  <c r="CR74" i="1"/>
  <c r="CQ74" i="1"/>
  <c r="CP74" i="1"/>
  <c r="CO74" i="1"/>
  <c r="CN74" i="1"/>
  <c r="CM74" i="1"/>
  <c r="CL74" i="1"/>
  <c r="CR73" i="1"/>
  <c r="CQ73" i="1"/>
  <c r="CP73" i="1"/>
  <c r="CO73" i="1"/>
  <c r="CN73" i="1"/>
  <c r="CM73" i="1"/>
  <c r="CL73" i="1"/>
  <c r="CR72" i="1"/>
  <c r="CQ72" i="1"/>
  <c r="CP72" i="1"/>
  <c r="CO72" i="1"/>
  <c r="CN72" i="1"/>
  <c r="CM72" i="1"/>
  <c r="CL72" i="1"/>
  <c r="CR71" i="1"/>
  <c r="CQ71" i="1"/>
  <c r="CP71" i="1"/>
  <c r="CO71" i="1"/>
  <c r="CN71" i="1"/>
  <c r="CM71" i="1"/>
  <c r="CL71" i="1"/>
  <c r="CR70" i="1"/>
  <c r="CQ70" i="1"/>
  <c r="CP70" i="1"/>
  <c r="CO70" i="1"/>
  <c r="CN70" i="1"/>
  <c r="CM70" i="1"/>
  <c r="CL70" i="1"/>
  <c r="CR69" i="1"/>
  <c r="CQ69" i="1"/>
  <c r="CP69" i="1"/>
  <c r="CO69" i="1"/>
  <c r="CN69" i="1"/>
  <c r="CM69" i="1"/>
  <c r="CL69" i="1"/>
  <c r="CR68" i="1"/>
  <c r="CQ68" i="1"/>
  <c r="CP68" i="1"/>
  <c r="CO68" i="1"/>
  <c r="CN68" i="1"/>
  <c r="CM68" i="1"/>
  <c r="CL68" i="1"/>
  <c r="CR67" i="1"/>
  <c r="CQ67" i="1"/>
  <c r="CP67" i="1"/>
  <c r="CO67" i="1"/>
  <c r="CN67" i="1"/>
  <c r="CM67" i="1"/>
  <c r="CL67" i="1"/>
  <c r="CR66" i="1"/>
  <c r="CQ66" i="1"/>
  <c r="CP66" i="1"/>
  <c r="CO66" i="1"/>
  <c r="CN66" i="1"/>
  <c r="CM66" i="1"/>
  <c r="CL66" i="1"/>
  <c r="CR65" i="1"/>
  <c r="CQ65" i="1"/>
  <c r="CP65" i="1"/>
  <c r="CO65" i="1"/>
  <c r="CN65" i="1"/>
  <c r="CM65" i="1"/>
  <c r="CL65" i="1"/>
  <c r="CR64" i="1"/>
  <c r="CQ64" i="1"/>
  <c r="CP64" i="1"/>
  <c r="CO64" i="1"/>
  <c r="CN64" i="1"/>
  <c r="CM64" i="1"/>
  <c r="CL64" i="1"/>
  <c r="CR63" i="1"/>
  <c r="CQ63" i="1"/>
  <c r="CP63" i="1"/>
  <c r="CO63" i="1"/>
  <c r="CN63" i="1"/>
  <c r="CM63" i="1"/>
  <c r="CL63" i="1"/>
  <c r="CR62" i="1"/>
  <c r="CQ62" i="1"/>
  <c r="CP62" i="1"/>
  <c r="CO62" i="1"/>
  <c r="CN62" i="1"/>
  <c r="CM62" i="1"/>
  <c r="CL62" i="1"/>
  <c r="CR61" i="1"/>
  <c r="CQ61" i="1"/>
  <c r="CP61" i="1"/>
  <c r="CO61" i="1"/>
  <c r="CN61" i="1"/>
  <c r="CM61" i="1"/>
  <c r="CL61" i="1"/>
  <c r="CR60" i="1"/>
  <c r="CQ60" i="1"/>
  <c r="CP60" i="1"/>
  <c r="CO60" i="1"/>
  <c r="CN60" i="1"/>
  <c r="CM60" i="1"/>
  <c r="CL60" i="1"/>
  <c r="CR59" i="1"/>
  <c r="CQ59" i="1"/>
  <c r="CP59" i="1"/>
  <c r="CO59" i="1"/>
  <c r="CN59" i="1"/>
  <c r="CM59" i="1"/>
  <c r="CL59" i="1"/>
  <c r="CR58" i="1"/>
  <c r="CQ58" i="1"/>
  <c r="CP58" i="1"/>
  <c r="CO58" i="1"/>
  <c r="CN58" i="1"/>
  <c r="CM58" i="1"/>
  <c r="CL58" i="1"/>
  <c r="CR57" i="1"/>
  <c r="CQ57" i="1"/>
  <c r="CP57" i="1"/>
  <c r="CO57" i="1"/>
  <c r="CN57" i="1"/>
  <c r="CM57" i="1"/>
  <c r="CL57" i="1"/>
  <c r="CR56" i="1"/>
  <c r="CQ56" i="1"/>
  <c r="CP56" i="1"/>
  <c r="CO56" i="1"/>
  <c r="CN56" i="1"/>
  <c r="CM56" i="1"/>
  <c r="CL56" i="1"/>
  <c r="CR55" i="1"/>
  <c r="CQ55" i="1"/>
  <c r="CP55" i="1"/>
  <c r="CO55" i="1"/>
  <c r="CN55" i="1"/>
  <c r="CM55" i="1"/>
  <c r="CL55" i="1"/>
  <c r="CR54" i="1"/>
  <c r="CQ54" i="1"/>
  <c r="CP54" i="1"/>
  <c r="CO54" i="1"/>
  <c r="CN54" i="1"/>
  <c r="CM54" i="1"/>
  <c r="CL54" i="1"/>
  <c r="CR53" i="1"/>
  <c r="CQ53" i="1"/>
  <c r="CP53" i="1"/>
  <c r="CO53" i="1"/>
  <c r="CN53" i="1"/>
  <c r="CM53" i="1"/>
  <c r="CL53" i="1"/>
  <c r="CR52" i="1"/>
  <c r="CQ52" i="1"/>
  <c r="CP52" i="1"/>
  <c r="CO52" i="1"/>
  <c r="CN52" i="1"/>
  <c r="CM52" i="1"/>
  <c r="CL52" i="1"/>
  <c r="CR51" i="1"/>
  <c r="CQ51" i="1"/>
  <c r="CP51" i="1"/>
  <c r="CO51" i="1"/>
  <c r="CN51" i="1"/>
  <c r="CM51" i="1"/>
  <c r="CL51" i="1"/>
  <c r="CR50" i="1"/>
  <c r="CQ50" i="1"/>
  <c r="CP50" i="1"/>
  <c r="CO50" i="1"/>
  <c r="CN50" i="1"/>
  <c r="CM50" i="1"/>
  <c r="CL50" i="1"/>
  <c r="CR49" i="1"/>
  <c r="CQ49" i="1"/>
  <c r="CP49" i="1"/>
  <c r="CO49" i="1"/>
  <c r="CN49" i="1"/>
  <c r="CM49" i="1"/>
  <c r="CL49" i="1"/>
  <c r="CR48" i="1"/>
  <c r="CQ48" i="1"/>
  <c r="CP48" i="1"/>
  <c r="CO48" i="1"/>
  <c r="CN48" i="1"/>
  <c r="CM48" i="1"/>
  <c r="CL48" i="1"/>
  <c r="CR47" i="1"/>
  <c r="CQ47" i="1"/>
  <c r="CP47" i="1"/>
  <c r="CO47" i="1"/>
  <c r="CN47" i="1"/>
  <c r="CM47" i="1"/>
  <c r="CL47" i="1"/>
  <c r="CR46" i="1"/>
  <c r="CQ46" i="1"/>
  <c r="CP46" i="1"/>
  <c r="CO46" i="1"/>
  <c r="CN46" i="1"/>
  <c r="CM46" i="1"/>
  <c r="CL46" i="1"/>
  <c r="CR45" i="1"/>
  <c r="CQ45" i="1"/>
  <c r="CP45" i="1"/>
  <c r="CO45" i="1"/>
  <c r="CN45" i="1"/>
  <c r="CM45" i="1"/>
  <c r="CL45" i="1"/>
  <c r="CR44" i="1"/>
  <c r="CQ44" i="1"/>
  <c r="CP44" i="1"/>
  <c r="CO44" i="1"/>
  <c r="CN44" i="1"/>
  <c r="CM44" i="1"/>
  <c r="CL44" i="1"/>
  <c r="CR43" i="1"/>
  <c r="CQ43" i="1"/>
  <c r="CP43" i="1"/>
  <c r="CO43" i="1"/>
  <c r="CN43" i="1"/>
  <c r="CM43" i="1"/>
  <c r="CL43" i="1"/>
  <c r="CR42" i="1"/>
  <c r="CQ42" i="1"/>
  <c r="CP42" i="1"/>
  <c r="CO42" i="1"/>
  <c r="CN42" i="1"/>
  <c r="CM42" i="1"/>
  <c r="CL42" i="1"/>
  <c r="CR41" i="1"/>
  <c r="CQ41" i="1"/>
  <c r="CP41" i="1"/>
  <c r="CO41" i="1"/>
  <c r="CN41" i="1"/>
  <c r="CM41" i="1"/>
  <c r="CL41" i="1"/>
  <c r="CR40" i="1"/>
  <c r="CQ40" i="1"/>
  <c r="CP40" i="1"/>
  <c r="CO40" i="1"/>
  <c r="CN40" i="1"/>
  <c r="CM40" i="1"/>
  <c r="CL40" i="1"/>
  <c r="CR39" i="1"/>
  <c r="CQ39" i="1"/>
  <c r="CP39" i="1"/>
  <c r="CO39" i="1"/>
  <c r="CN39" i="1"/>
  <c r="CM39" i="1"/>
  <c r="CL39" i="1"/>
  <c r="CR38" i="1"/>
  <c r="CQ38" i="1"/>
  <c r="CP38" i="1"/>
  <c r="CO38" i="1"/>
  <c r="CN38" i="1"/>
  <c r="CM38" i="1"/>
  <c r="CL38" i="1"/>
  <c r="CR37" i="1"/>
  <c r="CQ37" i="1"/>
  <c r="CP37" i="1"/>
  <c r="CO37" i="1"/>
  <c r="CN37" i="1"/>
  <c r="CM37" i="1"/>
  <c r="CL37" i="1"/>
  <c r="CR36" i="1"/>
  <c r="CQ36" i="1"/>
  <c r="CP36" i="1"/>
  <c r="CO36" i="1"/>
  <c r="CN36" i="1"/>
  <c r="CM36" i="1"/>
  <c r="CL36" i="1"/>
  <c r="CR35" i="1"/>
  <c r="CQ35" i="1"/>
  <c r="CP35" i="1"/>
  <c r="CO35" i="1"/>
  <c r="CN35" i="1"/>
  <c r="CM35" i="1"/>
  <c r="CL35" i="1"/>
  <c r="CR34" i="1"/>
  <c r="CQ34" i="1"/>
  <c r="CP34" i="1"/>
  <c r="CO34" i="1"/>
  <c r="CN34" i="1"/>
  <c r="CM34" i="1"/>
  <c r="CL34" i="1"/>
  <c r="CR33" i="1"/>
  <c r="CQ33" i="1"/>
  <c r="CP33" i="1"/>
  <c r="CO33" i="1"/>
  <c r="CN33" i="1"/>
  <c r="CM33" i="1"/>
  <c r="CL33" i="1"/>
  <c r="CR32" i="1"/>
  <c r="CQ32" i="1"/>
  <c r="CP32" i="1"/>
  <c r="CO32" i="1"/>
  <c r="CN32" i="1"/>
  <c r="CM32" i="1"/>
  <c r="CL32" i="1"/>
  <c r="CR31" i="1"/>
  <c r="CQ31" i="1"/>
  <c r="CP31" i="1"/>
  <c r="CO31" i="1"/>
  <c r="CN31" i="1"/>
  <c r="CM31" i="1"/>
  <c r="CL31" i="1"/>
  <c r="CR30" i="1"/>
  <c r="CQ30" i="1"/>
  <c r="CP30" i="1"/>
  <c r="CO30" i="1"/>
  <c r="CN30" i="1"/>
  <c r="CM30" i="1"/>
  <c r="CL30" i="1"/>
  <c r="CR29" i="1"/>
  <c r="CQ29" i="1"/>
  <c r="CP29" i="1"/>
  <c r="CO29" i="1"/>
  <c r="CN29" i="1"/>
  <c r="CM29" i="1"/>
  <c r="CL29" i="1"/>
  <c r="CR28" i="1"/>
  <c r="CQ28" i="1"/>
  <c r="CP28" i="1"/>
  <c r="CO28" i="1"/>
  <c r="CN28" i="1"/>
  <c r="CM28" i="1"/>
  <c r="CL28" i="1"/>
  <c r="CR27" i="1"/>
  <c r="CQ27" i="1"/>
  <c r="CP27" i="1"/>
  <c r="CO27" i="1"/>
  <c r="CN27" i="1"/>
  <c r="CM27" i="1"/>
  <c r="CL27" i="1"/>
  <c r="CR26" i="1"/>
  <c r="CQ26" i="1"/>
  <c r="CP26" i="1"/>
  <c r="CO26" i="1"/>
  <c r="CN26" i="1"/>
  <c r="CM26" i="1"/>
  <c r="CL26" i="1"/>
  <c r="CR25" i="1"/>
  <c r="CQ25" i="1"/>
  <c r="CP25" i="1"/>
  <c r="CO25" i="1"/>
  <c r="CN25" i="1"/>
  <c r="CM25" i="1"/>
  <c r="CL25" i="1"/>
  <c r="CR24" i="1"/>
  <c r="CQ24" i="1"/>
  <c r="CP24" i="1"/>
  <c r="CO24" i="1"/>
  <c r="CN24" i="1"/>
  <c r="CM24" i="1"/>
  <c r="CL24" i="1"/>
  <c r="CR23" i="1"/>
  <c r="CQ23" i="1"/>
  <c r="CP23" i="1"/>
  <c r="CO23" i="1"/>
  <c r="CN23" i="1"/>
  <c r="CM23" i="1"/>
  <c r="CL23" i="1"/>
  <c r="CR22" i="1"/>
  <c r="CQ22" i="1"/>
  <c r="CP22" i="1"/>
  <c r="CO22" i="1"/>
  <c r="CN22" i="1"/>
  <c r="CM22" i="1"/>
  <c r="CL22" i="1"/>
  <c r="CR21" i="1"/>
  <c r="CQ21" i="1"/>
  <c r="CP21" i="1"/>
  <c r="CO21" i="1"/>
  <c r="CN21" i="1"/>
  <c r="CM21" i="1"/>
  <c r="CL21" i="1"/>
  <c r="CR20" i="1"/>
  <c r="CQ20" i="1"/>
  <c r="CP20" i="1"/>
  <c r="CO20" i="1"/>
  <c r="CN20" i="1"/>
  <c r="CM20" i="1"/>
  <c r="CL20" i="1"/>
  <c r="CR19" i="1"/>
  <c r="CQ19" i="1"/>
  <c r="CP19" i="1"/>
  <c r="CO19" i="1"/>
  <c r="CN19" i="1"/>
  <c r="CM19" i="1"/>
  <c r="CL19" i="1"/>
  <c r="CR18" i="1"/>
  <c r="CQ18" i="1"/>
  <c r="CP18" i="1"/>
  <c r="CO18" i="1"/>
  <c r="CN18" i="1"/>
  <c r="CM18" i="1"/>
  <c r="CL18" i="1"/>
  <c r="CR17" i="1"/>
  <c r="CQ17" i="1"/>
  <c r="CP17" i="1"/>
  <c r="CO17" i="1"/>
  <c r="CN17" i="1"/>
  <c r="CM17" i="1"/>
  <c r="CL17" i="1"/>
  <c r="CR16" i="1"/>
  <c r="CQ16" i="1"/>
  <c r="CP16" i="1"/>
  <c r="CO16" i="1"/>
  <c r="CN16" i="1"/>
  <c r="CM16" i="1"/>
  <c r="CL16" i="1"/>
  <c r="CR15" i="1"/>
  <c r="CQ15" i="1"/>
  <c r="CP15" i="1"/>
  <c r="CO15" i="1"/>
  <c r="CN15" i="1"/>
  <c r="CM15" i="1"/>
  <c r="CL15" i="1"/>
  <c r="CR14" i="1"/>
  <c r="CQ14" i="1"/>
  <c r="CP14" i="1"/>
  <c r="CO14" i="1"/>
  <c r="CN14" i="1"/>
  <c r="CM14" i="1"/>
  <c r="CL14" i="1"/>
  <c r="CR13" i="1"/>
  <c r="CQ13" i="1"/>
  <c r="CP13" i="1"/>
  <c r="CO13" i="1"/>
  <c r="CN13" i="1"/>
  <c r="CM13" i="1"/>
  <c r="CL13" i="1"/>
  <c r="CR12" i="1"/>
  <c r="CQ12" i="1"/>
  <c r="CP12" i="1"/>
  <c r="CO12" i="1"/>
  <c r="CN12" i="1"/>
  <c r="CM12" i="1"/>
  <c r="CL12" i="1"/>
  <c r="CR11" i="1"/>
  <c r="CQ11" i="1"/>
  <c r="CP11" i="1"/>
  <c r="CO11" i="1"/>
  <c r="CN11" i="1"/>
  <c r="CM11" i="1"/>
  <c r="CL11" i="1"/>
  <c r="CR10" i="1"/>
  <c r="CQ10" i="1"/>
  <c r="CP10" i="1"/>
  <c r="CO10" i="1"/>
  <c r="CN10" i="1"/>
  <c r="CM10" i="1"/>
  <c r="CL10" i="1"/>
  <c r="CR9" i="1"/>
  <c r="CQ9" i="1"/>
  <c r="CP9" i="1"/>
  <c r="CO9" i="1"/>
  <c r="CN9" i="1"/>
  <c r="CM9" i="1"/>
  <c r="CL9" i="1"/>
  <c r="CR8" i="1"/>
  <c r="CQ8" i="1"/>
  <c r="CP8" i="1"/>
  <c r="CO8" i="1"/>
  <c r="CN8" i="1"/>
  <c r="CM8" i="1"/>
  <c r="CL8" i="1"/>
  <c r="CR7" i="1"/>
  <c r="CQ7" i="1"/>
  <c r="CP7" i="1"/>
  <c r="CO7" i="1"/>
  <c r="CN7" i="1"/>
  <c r="CM7" i="1"/>
  <c r="CL7" i="1"/>
  <c r="CJ7" i="1"/>
  <c r="CI7" i="1"/>
  <c r="CH7" i="1"/>
  <c r="CG7" i="1"/>
  <c r="CF7" i="1"/>
  <c r="CE7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W371" i="1"/>
  <c r="CW370" i="1"/>
  <c r="CW369" i="1"/>
  <c r="CW368" i="1"/>
  <c r="CW367" i="1"/>
  <c r="CW366" i="1"/>
  <c r="CW365" i="1"/>
  <c r="CW364" i="1"/>
  <c r="CW363" i="1"/>
  <c r="CW362" i="1"/>
  <c r="CW361" i="1"/>
  <c r="CW360" i="1"/>
  <c r="CW359" i="1"/>
  <c r="CW358" i="1"/>
  <c r="CW357" i="1"/>
  <c r="CW356" i="1"/>
  <c r="CW355" i="1"/>
  <c r="CW354" i="1"/>
  <c r="CW353" i="1"/>
  <c r="CW352" i="1"/>
  <c r="CW351" i="1"/>
  <c r="CW350" i="1"/>
  <c r="CW349" i="1"/>
  <c r="CW348" i="1"/>
  <c r="CW347" i="1"/>
  <c r="CW346" i="1"/>
  <c r="CW345" i="1"/>
  <c r="CW344" i="1"/>
  <c r="CW343" i="1"/>
  <c r="CW342" i="1"/>
  <c r="CW341" i="1"/>
  <c r="CW340" i="1"/>
  <c r="CW339" i="1"/>
  <c r="CW338" i="1"/>
  <c r="CW337" i="1"/>
  <c r="CW336" i="1"/>
  <c r="CW335" i="1"/>
  <c r="CW334" i="1"/>
  <c r="CW333" i="1"/>
  <c r="CW332" i="1"/>
  <c r="CW331" i="1"/>
  <c r="CW330" i="1"/>
  <c r="CW329" i="1"/>
  <c r="CW328" i="1"/>
  <c r="CW327" i="1"/>
  <c r="CW326" i="1"/>
  <c r="CW325" i="1"/>
  <c r="CW324" i="1"/>
  <c r="CW323" i="1"/>
  <c r="CW322" i="1"/>
  <c r="CW321" i="1"/>
  <c r="CW320" i="1"/>
  <c r="CW319" i="1"/>
  <c r="CW318" i="1"/>
  <c r="CW317" i="1"/>
  <c r="CW316" i="1"/>
  <c r="CW315" i="1"/>
  <c r="CW314" i="1"/>
  <c r="CW313" i="1"/>
  <c r="CW312" i="1"/>
  <c r="CW311" i="1"/>
  <c r="CW310" i="1"/>
  <c r="CW309" i="1"/>
  <c r="CW308" i="1"/>
  <c r="CW307" i="1"/>
  <c r="CW306" i="1"/>
  <c r="CW305" i="1"/>
  <c r="CW304" i="1"/>
  <c r="CW303" i="1"/>
  <c r="CW302" i="1"/>
  <c r="CW301" i="1"/>
  <c r="CW300" i="1"/>
  <c r="CW299" i="1"/>
  <c r="CW298" i="1"/>
  <c r="CW29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CZ371" i="1"/>
  <c r="CZ370" i="1"/>
  <c r="CZ369" i="1"/>
  <c r="CZ368" i="1"/>
  <c r="CZ367" i="1"/>
  <c r="CZ366" i="1"/>
  <c r="CZ365" i="1"/>
  <c r="CZ364" i="1"/>
  <c r="CZ363" i="1"/>
  <c r="CZ362" i="1"/>
  <c r="CZ361" i="1"/>
  <c r="CZ360" i="1"/>
  <c r="CZ359" i="1"/>
  <c r="CZ358" i="1"/>
  <c r="CZ357" i="1"/>
  <c r="CZ356" i="1"/>
  <c r="CZ355" i="1"/>
  <c r="CZ354" i="1"/>
  <c r="CZ353" i="1"/>
  <c r="CZ352" i="1"/>
  <c r="CZ351" i="1"/>
  <c r="CZ350" i="1"/>
  <c r="CZ349" i="1"/>
  <c r="CZ348" i="1"/>
  <c r="CZ347" i="1"/>
  <c r="CZ346" i="1"/>
  <c r="CZ345" i="1"/>
  <c r="CZ344" i="1"/>
  <c r="CZ343" i="1"/>
  <c r="CZ342" i="1"/>
  <c r="CZ341" i="1"/>
  <c r="CZ340" i="1"/>
  <c r="CZ339" i="1"/>
  <c r="CZ338" i="1"/>
  <c r="CZ337" i="1"/>
  <c r="CZ336" i="1"/>
  <c r="CZ335" i="1"/>
  <c r="CZ334" i="1"/>
  <c r="CZ333" i="1"/>
  <c r="CZ332" i="1"/>
  <c r="CZ331" i="1"/>
  <c r="CZ330" i="1"/>
  <c r="CZ329" i="1"/>
  <c r="CZ328" i="1"/>
  <c r="CZ327" i="1"/>
  <c r="CZ326" i="1"/>
  <c r="CZ325" i="1"/>
  <c r="CZ324" i="1"/>
  <c r="CZ323" i="1"/>
  <c r="CZ322" i="1"/>
  <c r="CZ321" i="1"/>
  <c r="CZ320" i="1"/>
  <c r="CZ319" i="1"/>
  <c r="CZ318" i="1"/>
  <c r="CZ317" i="1"/>
  <c r="CZ316" i="1"/>
  <c r="CZ315" i="1"/>
  <c r="CZ314" i="1"/>
  <c r="CZ313" i="1"/>
  <c r="CZ312" i="1"/>
  <c r="CZ311" i="1"/>
  <c r="CZ310" i="1"/>
  <c r="CZ309" i="1"/>
  <c r="CZ308" i="1"/>
  <c r="CZ307" i="1"/>
  <c r="CZ306" i="1"/>
  <c r="CZ305" i="1"/>
  <c r="CZ304" i="1"/>
  <c r="CZ303" i="1"/>
  <c r="CZ302" i="1"/>
  <c r="CZ301" i="1"/>
  <c r="CZ300" i="1"/>
  <c r="CZ299" i="1"/>
  <c r="CZ298" i="1"/>
  <c r="CZ297" i="1"/>
  <c r="CZ296" i="1"/>
  <c r="CZ295" i="1"/>
  <c r="CZ294" i="1"/>
  <c r="CZ293" i="1"/>
  <c r="CZ292" i="1"/>
  <c r="CZ291" i="1"/>
  <c r="CZ290" i="1"/>
  <c r="CZ289" i="1"/>
  <c r="CZ288" i="1"/>
  <c r="CZ287" i="1"/>
  <c r="CZ286" i="1"/>
  <c r="CZ285" i="1"/>
  <c r="CZ284" i="1"/>
  <c r="CZ283" i="1"/>
  <c r="CZ282" i="1"/>
  <c r="CZ281" i="1"/>
  <c r="CZ280" i="1"/>
  <c r="CZ279" i="1"/>
  <c r="CZ278" i="1"/>
  <c r="CZ277" i="1"/>
  <c r="CZ276" i="1"/>
  <c r="CZ275" i="1"/>
  <c r="CZ274" i="1"/>
  <c r="CZ273" i="1"/>
  <c r="CZ272" i="1"/>
  <c r="CZ271" i="1"/>
  <c r="CZ270" i="1"/>
  <c r="CZ269" i="1"/>
  <c r="CZ268" i="1"/>
  <c r="CZ267" i="1"/>
  <c r="CZ266" i="1"/>
  <c r="CZ265" i="1"/>
  <c r="CZ264" i="1"/>
  <c r="CZ263" i="1"/>
  <c r="CZ262" i="1"/>
  <c r="CZ261" i="1"/>
  <c r="CZ260" i="1"/>
  <c r="CZ259" i="1"/>
  <c r="CZ258" i="1"/>
  <c r="CZ257" i="1"/>
  <c r="CZ256" i="1"/>
  <c r="CZ255" i="1"/>
  <c r="CZ254" i="1"/>
  <c r="CZ253" i="1"/>
  <c r="CZ252" i="1"/>
  <c r="CZ251" i="1"/>
  <c r="CZ250" i="1"/>
  <c r="CZ249" i="1"/>
  <c r="CZ248" i="1"/>
  <c r="CZ247" i="1"/>
  <c r="CZ246" i="1"/>
  <c r="CZ245" i="1"/>
  <c r="CZ244" i="1"/>
  <c r="CZ243" i="1"/>
  <c r="CZ242" i="1"/>
  <c r="CZ241" i="1"/>
  <c r="CZ240" i="1"/>
  <c r="CZ239" i="1"/>
  <c r="CZ238" i="1"/>
  <c r="CZ237" i="1"/>
  <c r="CZ236" i="1"/>
  <c r="CZ235" i="1"/>
  <c r="CZ234" i="1"/>
  <c r="CZ233" i="1"/>
  <c r="CZ232" i="1"/>
  <c r="CZ231" i="1"/>
  <c r="CZ230" i="1"/>
  <c r="CZ229" i="1"/>
  <c r="CZ228" i="1"/>
  <c r="CZ227" i="1"/>
  <c r="CZ226" i="1"/>
  <c r="CZ225" i="1"/>
  <c r="CZ224" i="1"/>
  <c r="CZ223" i="1"/>
  <c r="CZ222" i="1"/>
  <c r="CZ221" i="1"/>
  <c r="CZ220" i="1"/>
  <c r="CZ219" i="1"/>
  <c r="CZ218" i="1"/>
  <c r="CZ217" i="1"/>
  <c r="CZ216" i="1"/>
  <c r="CZ215" i="1"/>
  <c r="CZ214" i="1"/>
  <c r="CZ213" i="1"/>
  <c r="CZ212" i="1"/>
  <c r="CZ211" i="1"/>
  <c r="CZ210" i="1"/>
  <c r="CZ209" i="1"/>
  <c r="CZ208" i="1"/>
  <c r="CZ207" i="1"/>
  <c r="CZ206" i="1"/>
  <c r="CZ205" i="1"/>
  <c r="CZ204" i="1"/>
  <c r="CZ203" i="1"/>
  <c r="CZ202" i="1"/>
  <c r="CZ201" i="1"/>
  <c r="CZ200" i="1"/>
  <c r="CZ199" i="1"/>
  <c r="CZ198" i="1"/>
  <c r="CZ197" i="1"/>
  <c r="CZ196" i="1"/>
  <c r="CZ195" i="1"/>
  <c r="CZ194" i="1"/>
  <c r="CZ193" i="1"/>
  <c r="CZ192" i="1"/>
  <c r="CZ191" i="1"/>
  <c r="CZ190" i="1"/>
  <c r="CZ189" i="1"/>
  <c r="CZ188" i="1"/>
  <c r="CZ187" i="1"/>
  <c r="CZ186" i="1"/>
  <c r="CZ185" i="1"/>
  <c r="CZ184" i="1"/>
  <c r="CZ183" i="1"/>
  <c r="CZ182" i="1"/>
  <c r="CZ181" i="1"/>
  <c r="CZ180" i="1"/>
  <c r="CZ179" i="1"/>
  <c r="CZ178" i="1"/>
  <c r="CZ177" i="1"/>
  <c r="CZ176" i="1"/>
  <c r="CZ175" i="1"/>
  <c r="CZ174" i="1"/>
  <c r="CZ173" i="1"/>
  <c r="CZ172" i="1"/>
  <c r="CZ171" i="1"/>
  <c r="CZ170" i="1"/>
  <c r="CZ169" i="1"/>
  <c r="CZ168" i="1"/>
  <c r="CZ167" i="1"/>
  <c r="CZ166" i="1"/>
  <c r="CZ165" i="1"/>
  <c r="CZ164" i="1"/>
  <c r="CZ163" i="1"/>
  <c r="CZ162" i="1"/>
  <c r="CZ161" i="1"/>
  <c r="CZ160" i="1"/>
  <c r="CZ159" i="1"/>
  <c r="CZ158" i="1"/>
  <c r="CZ157" i="1"/>
  <c r="CZ156" i="1"/>
  <c r="CZ155" i="1"/>
  <c r="CZ154" i="1"/>
  <c r="CZ153" i="1"/>
  <c r="CZ152" i="1"/>
  <c r="CZ151" i="1"/>
  <c r="CZ150" i="1"/>
  <c r="CZ149" i="1"/>
  <c r="CZ148" i="1"/>
  <c r="CZ147" i="1"/>
  <c r="CZ146" i="1"/>
  <c r="CZ145" i="1"/>
  <c r="CZ144" i="1"/>
  <c r="CZ143" i="1"/>
  <c r="CZ142" i="1"/>
  <c r="CZ141" i="1"/>
  <c r="CZ140" i="1"/>
  <c r="CZ139" i="1"/>
  <c r="CZ138" i="1"/>
  <c r="CZ137" i="1"/>
  <c r="CZ136" i="1"/>
  <c r="CZ135" i="1"/>
  <c r="CZ134" i="1"/>
  <c r="CZ133" i="1"/>
  <c r="CZ132" i="1"/>
  <c r="CZ131" i="1"/>
  <c r="CZ130" i="1"/>
  <c r="CZ129" i="1"/>
  <c r="CZ128" i="1"/>
  <c r="CZ127" i="1"/>
  <c r="CZ126" i="1"/>
  <c r="CZ125" i="1"/>
  <c r="CZ124" i="1"/>
  <c r="CZ123" i="1"/>
  <c r="CZ122" i="1"/>
  <c r="CZ121" i="1"/>
  <c r="CZ120" i="1"/>
  <c r="CZ119" i="1"/>
  <c r="CZ118" i="1"/>
  <c r="CZ117" i="1"/>
  <c r="CZ116" i="1"/>
  <c r="CZ115" i="1"/>
  <c r="CZ114" i="1"/>
  <c r="CZ113" i="1"/>
  <c r="CZ112" i="1"/>
  <c r="CZ111" i="1"/>
  <c r="CZ110" i="1"/>
  <c r="CZ109" i="1"/>
  <c r="CZ108" i="1"/>
  <c r="CZ107" i="1"/>
  <c r="CZ106" i="1"/>
  <c r="CZ105" i="1"/>
  <c r="CZ104" i="1"/>
  <c r="CZ103" i="1"/>
  <c r="CZ102" i="1"/>
  <c r="CZ101" i="1"/>
  <c r="CZ100" i="1"/>
  <c r="CZ99" i="1"/>
  <c r="CZ98" i="1"/>
  <c r="CZ97" i="1"/>
  <c r="CZ96" i="1"/>
  <c r="CZ95" i="1"/>
  <c r="CZ94" i="1"/>
  <c r="CZ93" i="1"/>
  <c r="CZ92" i="1"/>
  <c r="CZ91" i="1"/>
  <c r="CZ90" i="1"/>
  <c r="CZ89" i="1"/>
  <c r="CZ88" i="1"/>
  <c r="CZ87" i="1"/>
  <c r="CZ86" i="1"/>
  <c r="CZ85" i="1"/>
  <c r="CZ84" i="1"/>
  <c r="CZ83" i="1"/>
  <c r="CZ82" i="1"/>
  <c r="CZ81" i="1"/>
  <c r="CZ80" i="1"/>
  <c r="CZ79" i="1"/>
  <c r="CZ78" i="1"/>
  <c r="CZ77" i="1"/>
  <c r="CZ76" i="1"/>
  <c r="CZ75" i="1"/>
  <c r="CZ74" i="1"/>
  <c r="CZ73" i="1"/>
  <c r="CZ72" i="1"/>
  <c r="CZ71" i="1"/>
  <c r="CZ70" i="1"/>
  <c r="CZ69" i="1"/>
  <c r="CZ68" i="1"/>
  <c r="CZ67" i="1"/>
  <c r="CZ66" i="1"/>
  <c r="CZ65" i="1"/>
  <c r="CZ64" i="1"/>
  <c r="CZ63" i="1"/>
  <c r="CZ62" i="1"/>
  <c r="CZ61" i="1"/>
  <c r="CZ60" i="1"/>
  <c r="CZ59" i="1"/>
  <c r="CZ58" i="1"/>
  <c r="CZ57" i="1"/>
  <c r="CZ56" i="1"/>
  <c r="CZ55" i="1"/>
  <c r="CZ54" i="1"/>
  <c r="CZ53" i="1"/>
  <c r="CZ52" i="1"/>
  <c r="CZ51" i="1"/>
  <c r="CZ50" i="1"/>
  <c r="CZ49" i="1"/>
  <c r="CZ48" i="1"/>
  <c r="CZ47" i="1"/>
  <c r="CZ46" i="1"/>
  <c r="CZ45" i="1"/>
  <c r="CZ44" i="1"/>
  <c r="CZ43" i="1"/>
  <c r="CZ42" i="1"/>
  <c r="CZ41" i="1"/>
  <c r="CZ40" i="1"/>
  <c r="CZ39" i="1"/>
  <c r="CZ38" i="1"/>
  <c r="CZ37" i="1"/>
  <c r="CZ36" i="1"/>
  <c r="CZ35" i="1"/>
  <c r="CZ34" i="1"/>
  <c r="CZ33" i="1"/>
  <c r="CZ32" i="1"/>
  <c r="CZ31" i="1"/>
  <c r="CZ30" i="1"/>
  <c r="CZ29" i="1"/>
  <c r="CZ28" i="1"/>
  <c r="CZ27" i="1"/>
  <c r="CZ26" i="1"/>
  <c r="CZ25" i="1"/>
  <c r="CZ24" i="1"/>
  <c r="CZ23" i="1"/>
  <c r="CZ22" i="1"/>
  <c r="CZ21" i="1"/>
  <c r="CZ20" i="1"/>
  <c r="CZ19" i="1"/>
  <c r="CZ18" i="1"/>
  <c r="CZ17" i="1"/>
  <c r="CZ16" i="1"/>
  <c r="CZ15" i="1"/>
  <c r="CZ14" i="1"/>
  <c r="CZ13" i="1"/>
  <c r="CZ12" i="1"/>
  <c r="CZ11" i="1"/>
  <c r="CZ10" i="1"/>
  <c r="CZ9" i="1"/>
  <c r="CZ8" i="1"/>
  <c r="CZ7" i="1"/>
  <c r="CY371" i="1"/>
  <c r="CX371" i="1"/>
  <c r="CV371" i="1"/>
  <c r="CS371" i="1"/>
  <c r="CK371" i="1"/>
  <c r="CC371" i="1"/>
  <c r="CB371" i="1"/>
  <c r="CA371" i="1"/>
  <c r="BZ371" i="1"/>
  <c r="BY371" i="1"/>
  <c r="BX371" i="1"/>
  <c r="BW371" i="1"/>
  <c r="BV371" i="1"/>
  <c r="BT371" i="1"/>
  <c r="CY370" i="1"/>
  <c r="CX370" i="1"/>
  <c r="CV370" i="1"/>
  <c r="CS370" i="1"/>
  <c r="CK370" i="1"/>
  <c r="CC370" i="1"/>
  <c r="CB370" i="1"/>
  <c r="CA370" i="1"/>
  <c r="BZ370" i="1"/>
  <c r="BY370" i="1"/>
  <c r="BX370" i="1"/>
  <c r="BW370" i="1"/>
  <c r="BV370" i="1"/>
  <c r="BT370" i="1"/>
  <c r="CY369" i="1"/>
  <c r="CX369" i="1"/>
  <c r="CV369" i="1"/>
  <c r="CS369" i="1"/>
  <c r="CK369" i="1"/>
  <c r="CC369" i="1"/>
  <c r="CB369" i="1"/>
  <c r="CA369" i="1"/>
  <c r="BZ369" i="1"/>
  <c r="BY369" i="1"/>
  <c r="BX369" i="1"/>
  <c r="BW369" i="1"/>
  <c r="BV369" i="1"/>
  <c r="BT369" i="1"/>
  <c r="CY368" i="1"/>
  <c r="CX368" i="1"/>
  <c r="CV368" i="1"/>
  <c r="CS368" i="1"/>
  <c r="CK368" i="1"/>
  <c r="CC368" i="1"/>
  <c r="CB368" i="1"/>
  <c r="CA368" i="1"/>
  <c r="BZ368" i="1"/>
  <c r="BY368" i="1"/>
  <c r="BX368" i="1"/>
  <c r="BW368" i="1"/>
  <c r="BV368" i="1"/>
  <c r="BT368" i="1"/>
  <c r="CY367" i="1"/>
  <c r="CX367" i="1"/>
  <c r="CV367" i="1"/>
  <c r="CS367" i="1"/>
  <c r="CK367" i="1"/>
  <c r="CC367" i="1"/>
  <c r="CB367" i="1"/>
  <c r="CA367" i="1"/>
  <c r="BZ367" i="1"/>
  <c r="BY367" i="1"/>
  <c r="BX367" i="1"/>
  <c r="BW367" i="1"/>
  <c r="BV367" i="1"/>
  <c r="BT367" i="1"/>
  <c r="CY366" i="1"/>
  <c r="CX366" i="1"/>
  <c r="CV366" i="1"/>
  <c r="CS366" i="1"/>
  <c r="CK366" i="1"/>
  <c r="CC366" i="1"/>
  <c r="CB366" i="1"/>
  <c r="CA366" i="1"/>
  <c r="BZ366" i="1"/>
  <c r="BY366" i="1"/>
  <c r="BX366" i="1"/>
  <c r="BW366" i="1"/>
  <c r="BV366" i="1"/>
  <c r="BT366" i="1"/>
  <c r="CY365" i="1"/>
  <c r="CX365" i="1"/>
  <c r="CV365" i="1"/>
  <c r="CS365" i="1"/>
  <c r="CK365" i="1"/>
  <c r="CC365" i="1"/>
  <c r="CB365" i="1"/>
  <c r="CA365" i="1"/>
  <c r="BZ365" i="1"/>
  <c r="BY365" i="1"/>
  <c r="BX365" i="1"/>
  <c r="BW365" i="1"/>
  <c r="BV365" i="1"/>
  <c r="BT365" i="1"/>
  <c r="CY364" i="1"/>
  <c r="CX364" i="1"/>
  <c r="CV364" i="1"/>
  <c r="CS364" i="1"/>
  <c r="CK364" i="1"/>
  <c r="CC364" i="1"/>
  <c r="CB364" i="1"/>
  <c r="CA364" i="1"/>
  <c r="BZ364" i="1"/>
  <c r="BY364" i="1"/>
  <c r="BX364" i="1"/>
  <c r="BW364" i="1"/>
  <c r="BV364" i="1"/>
  <c r="BT364" i="1"/>
  <c r="CY363" i="1"/>
  <c r="CX363" i="1"/>
  <c r="CV363" i="1"/>
  <c r="CS363" i="1"/>
  <c r="CK363" i="1"/>
  <c r="CC363" i="1"/>
  <c r="CB363" i="1"/>
  <c r="CA363" i="1"/>
  <c r="BZ363" i="1"/>
  <c r="BY363" i="1"/>
  <c r="BX363" i="1"/>
  <c r="BW363" i="1"/>
  <c r="BV363" i="1"/>
  <c r="BT363" i="1"/>
  <c r="CY362" i="1"/>
  <c r="CX362" i="1"/>
  <c r="CV362" i="1"/>
  <c r="CS362" i="1"/>
  <c r="CK362" i="1"/>
  <c r="CC362" i="1"/>
  <c r="CB362" i="1"/>
  <c r="CA362" i="1"/>
  <c r="BZ362" i="1"/>
  <c r="BY362" i="1"/>
  <c r="BX362" i="1"/>
  <c r="BW362" i="1"/>
  <c r="BV362" i="1"/>
  <c r="BT362" i="1"/>
  <c r="CY361" i="1"/>
  <c r="CX361" i="1"/>
  <c r="CV361" i="1"/>
  <c r="CS361" i="1"/>
  <c r="CK361" i="1"/>
  <c r="CC361" i="1"/>
  <c r="CB361" i="1"/>
  <c r="CA361" i="1"/>
  <c r="BZ361" i="1"/>
  <c r="BY361" i="1"/>
  <c r="BX361" i="1"/>
  <c r="BW361" i="1"/>
  <c r="BV361" i="1"/>
  <c r="BT361" i="1"/>
  <c r="CY360" i="1"/>
  <c r="CX360" i="1"/>
  <c r="CV360" i="1"/>
  <c r="CS360" i="1"/>
  <c r="CK360" i="1"/>
  <c r="CC360" i="1"/>
  <c r="CB360" i="1"/>
  <c r="CA360" i="1"/>
  <c r="BZ360" i="1"/>
  <c r="BY360" i="1"/>
  <c r="BX360" i="1"/>
  <c r="BW360" i="1"/>
  <c r="BV360" i="1"/>
  <c r="BT360" i="1"/>
  <c r="CY359" i="1"/>
  <c r="CX359" i="1"/>
  <c r="CV359" i="1"/>
  <c r="CS359" i="1"/>
  <c r="CK359" i="1"/>
  <c r="CC359" i="1"/>
  <c r="CB359" i="1"/>
  <c r="CA359" i="1"/>
  <c r="BZ359" i="1"/>
  <c r="BY359" i="1"/>
  <c r="BX359" i="1"/>
  <c r="BW359" i="1"/>
  <c r="BV359" i="1"/>
  <c r="BT359" i="1"/>
  <c r="CY358" i="1"/>
  <c r="CX358" i="1"/>
  <c r="CV358" i="1"/>
  <c r="CS358" i="1"/>
  <c r="CK358" i="1"/>
  <c r="CC358" i="1"/>
  <c r="CB358" i="1"/>
  <c r="CA358" i="1"/>
  <c r="BZ358" i="1"/>
  <c r="BY358" i="1"/>
  <c r="BX358" i="1"/>
  <c r="BW358" i="1"/>
  <c r="BV358" i="1"/>
  <c r="BT358" i="1"/>
  <c r="CY357" i="1"/>
  <c r="CX357" i="1"/>
  <c r="CV357" i="1"/>
  <c r="CS357" i="1"/>
  <c r="CK357" i="1"/>
  <c r="CC357" i="1"/>
  <c r="CB357" i="1"/>
  <c r="CA357" i="1"/>
  <c r="BZ357" i="1"/>
  <c r="BY357" i="1"/>
  <c r="BX357" i="1"/>
  <c r="BW357" i="1"/>
  <c r="BV357" i="1"/>
  <c r="BT357" i="1"/>
  <c r="CY356" i="1"/>
  <c r="CX356" i="1"/>
  <c r="CV356" i="1"/>
  <c r="CS356" i="1"/>
  <c r="CK356" i="1"/>
  <c r="CC356" i="1"/>
  <c r="CB356" i="1"/>
  <c r="CA356" i="1"/>
  <c r="BZ356" i="1"/>
  <c r="BY356" i="1"/>
  <c r="BX356" i="1"/>
  <c r="BW356" i="1"/>
  <c r="BV356" i="1"/>
  <c r="BT356" i="1"/>
  <c r="CY355" i="1"/>
  <c r="CX355" i="1"/>
  <c r="CV355" i="1"/>
  <c r="CS355" i="1"/>
  <c r="CK355" i="1"/>
  <c r="CC355" i="1"/>
  <c r="CB355" i="1"/>
  <c r="CA355" i="1"/>
  <c r="BZ355" i="1"/>
  <c r="BY355" i="1"/>
  <c r="BX355" i="1"/>
  <c r="BW355" i="1"/>
  <c r="BV355" i="1"/>
  <c r="BT355" i="1"/>
  <c r="CY354" i="1"/>
  <c r="CX354" i="1"/>
  <c r="CV354" i="1"/>
  <c r="CS354" i="1"/>
  <c r="CK354" i="1"/>
  <c r="CC354" i="1"/>
  <c r="CB354" i="1"/>
  <c r="CA354" i="1"/>
  <c r="BZ354" i="1"/>
  <c r="BY354" i="1"/>
  <c r="BX354" i="1"/>
  <c r="BW354" i="1"/>
  <c r="BV354" i="1"/>
  <c r="BT354" i="1"/>
  <c r="CY353" i="1"/>
  <c r="CX353" i="1"/>
  <c r="CV353" i="1"/>
  <c r="CS353" i="1"/>
  <c r="CK353" i="1"/>
  <c r="CC353" i="1"/>
  <c r="CB353" i="1"/>
  <c r="CA353" i="1"/>
  <c r="BZ353" i="1"/>
  <c r="BY353" i="1"/>
  <c r="BX353" i="1"/>
  <c r="BW353" i="1"/>
  <c r="BV353" i="1"/>
  <c r="BT353" i="1"/>
  <c r="CY352" i="1"/>
  <c r="CX352" i="1"/>
  <c r="CV352" i="1"/>
  <c r="CS352" i="1"/>
  <c r="CK352" i="1"/>
  <c r="CC352" i="1"/>
  <c r="CB352" i="1"/>
  <c r="CA352" i="1"/>
  <c r="BZ352" i="1"/>
  <c r="BY352" i="1"/>
  <c r="BX352" i="1"/>
  <c r="BW352" i="1"/>
  <c r="BV352" i="1"/>
  <c r="BT352" i="1"/>
  <c r="CY351" i="1"/>
  <c r="CX351" i="1"/>
  <c r="CV351" i="1"/>
  <c r="CS351" i="1"/>
  <c r="CK351" i="1"/>
  <c r="CC351" i="1"/>
  <c r="CB351" i="1"/>
  <c r="CA351" i="1"/>
  <c r="BZ351" i="1"/>
  <c r="BY351" i="1"/>
  <c r="BX351" i="1"/>
  <c r="BW351" i="1"/>
  <c r="BV351" i="1"/>
  <c r="BT351" i="1"/>
  <c r="CY350" i="1"/>
  <c r="CX350" i="1"/>
  <c r="CV350" i="1"/>
  <c r="CS350" i="1"/>
  <c r="CK350" i="1"/>
  <c r="CC350" i="1"/>
  <c r="CB350" i="1"/>
  <c r="CA350" i="1"/>
  <c r="BZ350" i="1"/>
  <c r="BY350" i="1"/>
  <c r="BX350" i="1"/>
  <c r="BW350" i="1"/>
  <c r="BV350" i="1"/>
  <c r="BT350" i="1"/>
  <c r="CY349" i="1"/>
  <c r="CX349" i="1"/>
  <c r="CV349" i="1"/>
  <c r="CS349" i="1"/>
  <c r="CK349" i="1"/>
  <c r="CC349" i="1"/>
  <c r="CB349" i="1"/>
  <c r="CA349" i="1"/>
  <c r="BZ349" i="1"/>
  <c r="BY349" i="1"/>
  <c r="BX349" i="1"/>
  <c r="BW349" i="1"/>
  <c r="BV349" i="1"/>
  <c r="BT349" i="1"/>
  <c r="CY348" i="1"/>
  <c r="CX348" i="1"/>
  <c r="CV348" i="1"/>
  <c r="CS348" i="1"/>
  <c r="CK348" i="1"/>
  <c r="CC348" i="1"/>
  <c r="CB348" i="1"/>
  <c r="CA348" i="1"/>
  <c r="BZ348" i="1"/>
  <c r="BY348" i="1"/>
  <c r="BX348" i="1"/>
  <c r="BW348" i="1"/>
  <c r="BV348" i="1"/>
  <c r="BT348" i="1"/>
  <c r="CY347" i="1"/>
  <c r="CX347" i="1"/>
  <c r="CV347" i="1"/>
  <c r="CS347" i="1"/>
  <c r="CK347" i="1"/>
  <c r="CC347" i="1"/>
  <c r="CB347" i="1"/>
  <c r="CA347" i="1"/>
  <c r="BZ347" i="1"/>
  <c r="BY347" i="1"/>
  <c r="BX347" i="1"/>
  <c r="BW347" i="1"/>
  <c r="BV347" i="1"/>
  <c r="BT347" i="1"/>
  <c r="CY346" i="1"/>
  <c r="CX346" i="1"/>
  <c r="CV346" i="1"/>
  <c r="CS346" i="1"/>
  <c r="CK346" i="1"/>
  <c r="CC346" i="1"/>
  <c r="CB346" i="1"/>
  <c r="CA346" i="1"/>
  <c r="BZ346" i="1"/>
  <c r="BY346" i="1"/>
  <c r="BX346" i="1"/>
  <c r="BW346" i="1"/>
  <c r="BV346" i="1"/>
  <c r="BT346" i="1"/>
  <c r="CY345" i="1"/>
  <c r="CX345" i="1"/>
  <c r="CV345" i="1"/>
  <c r="CS345" i="1"/>
  <c r="CK345" i="1"/>
  <c r="CC345" i="1"/>
  <c r="CB345" i="1"/>
  <c r="CA345" i="1"/>
  <c r="BZ345" i="1"/>
  <c r="BY345" i="1"/>
  <c r="BX345" i="1"/>
  <c r="BW345" i="1"/>
  <c r="BV345" i="1"/>
  <c r="BT345" i="1"/>
  <c r="CY344" i="1"/>
  <c r="CX344" i="1"/>
  <c r="CV344" i="1"/>
  <c r="CS344" i="1"/>
  <c r="CK344" i="1"/>
  <c r="CC344" i="1"/>
  <c r="CB344" i="1"/>
  <c r="CA344" i="1"/>
  <c r="BZ344" i="1"/>
  <c r="BY344" i="1"/>
  <c r="BX344" i="1"/>
  <c r="BW344" i="1"/>
  <c r="BV344" i="1"/>
  <c r="BT344" i="1"/>
  <c r="CY343" i="1"/>
  <c r="CX343" i="1"/>
  <c r="CV343" i="1"/>
  <c r="CS343" i="1"/>
  <c r="CK343" i="1"/>
  <c r="CC343" i="1"/>
  <c r="CB343" i="1"/>
  <c r="CA343" i="1"/>
  <c r="BZ343" i="1"/>
  <c r="BY343" i="1"/>
  <c r="BX343" i="1"/>
  <c r="BW343" i="1"/>
  <c r="BV343" i="1"/>
  <c r="BT343" i="1"/>
  <c r="CY342" i="1"/>
  <c r="CX342" i="1"/>
  <c r="CV342" i="1"/>
  <c r="CS342" i="1"/>
  <c r="CK342" i="1"/>
  <c r="CC342" i="1"/>
  <c r="CB342" i="1"/>
  <c r="CA342" i="1"/>
  <c r="BZ342" i="1"/>
  <c r="BY342" i="1"/>
  <c r="BX342" i="1"/>
  <c r="BW342" i="1"/>
  <c r="BV342" i="1"/>
  <c r="BT342" i="1"/>
  <c r="CY341" i="1"/>
  <c r="CX341" i="1"/>
  <c r="CV341" i="1"/>
  <c r="CS341" i="1"/>
  <c r="CK341" i="1"/>
  <c r="CC341" i="1"/>
  <c r="CB341" i="1"/>
  <c r="CA341" i="1"/>
  <c r="BZ341" i="1"/>
  <c r="BY341" i="1"/>
  <c r="BX341" i="1"/>
  <c r="BW341" i="1"/>
  <c r="BV341" i="1"/>
  <c r="BT341" i="1"/>
  <c r="CY340" i="1"/>
  <c r="CX340" i="1"/>
  <c r="CV340" i="1"/>
  <c r="CS340" i="1"/>
  <c r="CK340" i="1"/>
  <c r="CC340" i="1"/>
  <c r="CB340" i="1"/>
  <c r="CA340" i="1"/>
  <c r="BZ340" i="1"/>
  <c r="BY340" i="1"/>
  <c r="BX340" i="1"/>
  <c r="BW340" i="1"/>
  <c r="BV340" i="1"/>
  <c r="BT340" i="1"/>
  <c r="CY339" i="1"/>
  <c r="CX339" i="1"/>
  <c r="CV339" i="1"/>
  <c r="CS339" i="1"/>
  <c r="CK339" i="1"/>
  <c r="CC339" i="1"/>
  <c r="CB339" i="1"/>
  <c r="CA339" i="1"/>
  <c r="BZ339" i="1"/>
  <c r="BY339" i="1"/>
  <c r="BX339" i="1"/>
  <c r="BW339" i="1"/>
  <c r="BV339" i="1"/>
  <c r="BT339" i="1"/>
  <c r="CY338" i="1"/>
  <c r="CX338" i="1"/>
  <c r="CV338" i="1"/>
  <c r="CS338" i="1"/>
  <c r="CK338" i="1"/>
  <c r="CC338" i="1"/>
  <c r="CB338" i="1"/>
  <c r="CA338" i="1"/>
  <c r="BZ338" i="1"/>
  <c r="BY338" i="1"/>
  <c r="BX338" i="1"/>
  <c r="BW338" i="1"/>
  <c r="BV338" i="1"/>
  <c r="BT338" i="1"/>
  <c r="CY337" i="1"/>
  <c r="CX337" i="1"/>
  <c r="CV337" i="1"/>
  <c r="CS337" i="1"/>
  <c r="CK337" i="1"/>
  <c r="CC337" i="1"/>
  <c r="CB337" i="1"/>
  <c r="CA337" i="1"/>
  <c r="BZ337" i="1"/>
  <c r="BY337" i="1"/>
  <c r="BX337" i="1"/>
  <c r="BW337" i="1"/>
  <c r="BV337" i="1"/>
  <c r="BT337" i="1"/>
  <c r="CY336" i="1"/>
  <c r="CX336" i="1"/>
  <c r="CV336" i="1"/>
  <c r="CS336" i="1"/>
  <c r="CK336" i="1"/>
  <c r="CC336" i="1"/>
  <c r="CB336" i="1"/>
  <c r="CA336" i="1"/>
  <c r="BZ336" i="1"/>
  <c r="BY336" i="1"/>
  <c r="BX336" i="1"/>
  <c r="BW336" i="1"/>
  <c r="BV336" i="1"/>
  <c r="BT336" i="1"/>
  <c r="CY335" i="1"/>
  <c r="CX335" i="1"/>
  <c r="CV335" i="1"/>
  <c r="CS335" i="1"/>
  <c r="CK335" i="1"/>
  <c r="CC335" i="1"/>
  <c r="CB335" i="1"/>
  <c r="CA335" i="1"/>
  <c r="BZ335" i="1"/>
  <c r="BY335" i="1"/>
  <c r="BX335" i="1"/>
  <c r="BW335" i="1"/>
  <c r="BV335" i="1"/>
  <c r="BT335" i="1"/>
  <c r="CY334" i="1"/>
  <c r="CX334" i="1"/>
  <c r="CV334" i="1"/>
  <c r="CS334" i="1"/>
  <c r="CK334" i="1"/>
  <c r="CC334" i="1"/>
  <c r="CB334" i="1"/>
  <c r="CA334" i="1"/>
  <c r="BZ334" i="1"/>
  <c r="BY334" i="1"/>
  <c r="BX334" i="1"/>
  <c r="BW334" i="1"/>
  <c r="BV334" i="1"/>
  <c r="BT334" i="1"/>
  <c r="CY333" i="1"/>
  <c r="CX333" i="1"/>
  <c r="CV333" i="1"/>
  <c r="CS333" i="1"/>
  <c r="CK333" i="1"/>
  <c r="CC333" i="1"/>
  <c r="CB333" i="1"/>
  <c r="CA333" i="1"/>
  <c r="BZ333" i="1"/>
  <c r="BY333" i="1"/>
  <c r="BX333" i="1"/>
  <c r="BW333" i="1"/>
  <c r="BV333" i="1"/>
  <c r="BT333" i="1"/>
  <c r="CY332" i="1"/>
  <c r="CX332" i="1"/>
  <c r="CV332" i="1"/>
  <c r="CS332" i="1"/>
  <c r="CK332" i="1"/>
  <c r="CC332" i="1"/>
  <c r="CB332" i="1"/>
  <c r="CA332" i="1"/>
  <c r="BZ332" i="1"/>
  <c r="BY332" i="1"/>
  <c r="BX332" i="1"/>
  <c r="BW332" i="1"/>
  <c r="BV332" i="1"/>
  <c r="BT332" i="1"/>
  <c r="CY331" i="1"/>
  <c r="CX331" i="1"/>
  <c r="CV331" i="1"/>
  <c r="CS331" i="1"/>
  <c r="CK331" i="1"/>
  <c r="CC331" i="1"/>
  <c r="CB331" i="1"/>
  <c r="CA331" i="1"/>
  <c r="BZ331" i="1"/>
  <c r="BY331" i="1"/>
  <c r="BX331" i="1"/>
  <c r="BW331" i="1"/>
  <c r="BV331" i="1"/>
  <c r="BT331" i="1"/>
  <c r="CY330" i="1"/>
  <c r="CX330" i="1"/>
  <c r="CV330" i="1"/>
  <c r="CS330" i="1"/>
  <c r="CK330" i="1"/>
  <c r="CC330" i="1"/>
  <c r="CB330" i="1"/>
  <c r="CA330" i="1"/>
  <c r="BZ330" i="1"/>
  <c r="BY330" i="1"/>
  <c r="BX330" i="1"/>
  <c r="BW330" i="1"/>
  <c r="BV330" i="1"/>
  <c r="BT330" i="1"/>
  <c r="CY329" i="1"/>
  <c r="CX329" i="1"/>
  <c r="CV329" i="1"/>
  <c r="CS329" i="1"/>
  <c r="CK329" i="1"/>
  <c r="CC329" i="1"/>
  <c r="CB329" i="1"/>
  <c r="CA329" i="1"/>
  <c r="BZ329" i="1"/>
  <c r="BY329" i="1"/>
  <c r="BX329" i="1"/>
  <c r="BW329" i="1"/>
  <c r="BV329" i="1"/>
  <c r="BT329" i="1"/>
  <c r="CY328" i="1"/>
  <c r="CX328" i="1"/>
  <c r="CV328" i="1"/>
  <c r="CS328" i="1"/>
  <c r="CK328" i="1"/>
  <c r="CC328" i="1"/>
  <c r="CB328" i="1"/>
  <c r="CA328" i="1"/>
  <c r="BZ328" i="1"/>
  <c r="BY328" i="1"/>
  <c r="BX328" i="1"/>
  <c r="BW328" i="1"/>
  <c r="BV328" i="1"/>
  <c r="BT328" i="1"/>
  <c r="CY327" i="1"/>
  <c r="CX327" i="1"/>
  <c r="CV327" i="1"/>
  <c r="CS327" i="1"/>
  <c r="CK327" i="1"/>
  <c r="CC327" i="1"/>
  <c r="CB327" i="1"/>
  <c r="CA327" i="1"/>
  <c r="BZ327" i="1"/>
  <c r="BY327" i="1"/>
  <c r="BX327" i="1"/>
  <c r="BW327" i="1"/>
  <c r="BV327" i="1"/>
  <c r="BT327" i="1"/>
  <c r="CY326" i="1"/>
  <c r="CX326" i="1"/>
  <c r="CV326" i="1"/>
  <c r="CS326" i="1"/>
  <c r="CK326" i="1"/>
  <c r="CC326" i="1"/>
  <c r="CB326" i="1"/>
  <c r="CA326" i="1"/>
  <c r="BZ326" i="1"/>
  <c r="BY326" i="1"/>
  <c r="BX326" i="1"/>
  <c r="BW326" i="1"/>
  <c r="BV326" i="1"/>
  <c r="BT326" i="1"/>
  <c r="CY325" i="1"/>
  <c r="CX325" i="1"/>
  <c r="CV325" i="1"/>
  <c r="CS325" i="1"/>
  <c r="CK325" i="1"/>
  <c r="CC325" i="1"/>
  <c r="CB325" i="1"/>
  <c r="CA325" i="1"/>
  <c r="BZ325" i="1"/>
  <c r="BY325" i="1"/>
  <c r="BX325" i="1"/>
  <c r="BW325" i="1"/>
  <c r="BV325" i="1"/>
  <c r="BT325" i="1"/>
  <c r="CY324" i="1"/>
  <c r="CX324" i="1"/>
  <c r="CV324" i="1"/>
  <c r="CS324" i="1"/>
  <c r="CK324" i="1"/>
  <c r="CC324" i="1"/>
  <c r="CB324" i="1"/>
  <c r="CA324" i="1"/>
  <c r="BZ324" i="1"/>
  <c r="BY324" i="1"/>
  <c r="BX324" i="1"/>
  <c r="BW324" i="1"/>
  <c r="BV324" i="1"/>
  <c r="BT324" i="1"/>
  <c r="CY323" i="1"/>
  <c r="CX323" i="1"/>
  <c r="CV323" i="1"/>
  <c r="CS323" i="1"/>
  <c r="CK323" i="1"/>
  <c r="CC323" i="1"/>
  <c r="CB323" i="1"/>
  <c r="CA323" i="1"/>
  <c r="BZ323" i="1"/>
  <c r="BY323" i="1"/>
  <c r="BX323" i="1"/>
  <c r="BW323" i="1"/>
  <c r="BV323" i="1"/>
  <c r="BT323" i="1"/>
  <c r="CY322" i="1"/>
  <c r="CX322" i="1"/>
  <c r="CV322" i="1"/>
  <c r="CS322" i="1"/>
  <c r="CK322" i="1"/>
  <c r="CC322" i="1"/>
  <c r="CB322" i="1"/>
  <c r="CA322" i="1"/>
  <c r="BZ322" i="1"/>
  <c r="BY322" i="1"/>
  <c r="BX322" i="1"/>
  <c r="BW322" i="1"/>
  <c r="BV322" i="1"/>
  <c r="BT322" i="1"/>
  <c r="CY321" i="1"/>
  <c r="CX321" i="1"/>
  <c r="CV321" i="1"/>
  <c r="CS321" i="1"/>
  <c r="CK321" i="1"/>
  <c r="CC321" i="1"/>
  <c r="CB321" i="1"/>
  <c r="CA321" i="1"/>
  <c r="BZ321" i="1"/>
  <c r="BY321" i="1"/>
  <c r="BX321" i="1"/>
  <c r="BW321" i="1"/>
  <c r="BV321" i="1"/>
  <c r="BT321" i="1"/>
  <c r="CY320" i="1"/>
  <c r="CX320" i="1"/>
  <c r="CV320" i="1"/>
  <c r="CS320" i="1"/>
  <c r="CK320" i="1"/>
  <c r="CC320" i="1"/>
  <c r="CB320" i="1"/>
  <c r="CA320" i="1"/>
  <c r="BZ320" i="1"/>
  <c r="BY320" i="1"/>
  <c r="BX320" i="1"/>
  <c r="BW320" i="1"/>
  <c r="BV320" i="1"/>
  <c r="BT320" i="1"/>
  <c r="CY319" i="1"/>
  <c r="CX319" i="1"/>
  <c r="CV319" i="1"/>
  <c r="CS319" i="1"/>
  <c r="CK319" i="1"/>
  <c r="CC319" i="1"/>
  <c r="CB319" i="1"/>
  <c r="CA319" i="1"/>
  <c r="BZ319" i="1"/>
  <c r="BY319" i="1"/>
  <c r="BX319" i="1"/>
  <c r="BW319" i="1"/>
  <c r="BV319" i="1"/>
  <c r="BT319" i="1"/>
  <c r="CY318" i="1"/>
  <c r="CX318" i="1"/>
  <c r="CV318" i="1"/>
  <c r="CS318" i="1"/>
  <c r="CK318" i="1"/>
  <c r="CC318" i="1"/>
  <c r="CB318" i="1"/>
  <c r="CA318" i="1"/>
  <c r="BZ318" i="1"/>
  <c r="BY318" i="1"/>
  <c r="BX318" i="1"/>
  <c r="BW318" i="1"/>
  <c r="BV318" i="1"/>
  <c r="BT318" i="1"/>
  <c r="CY317" i="1"/>
  <c r="CX317" i="1"/>
  <c r="CV317" i="1"/>
  <c r="CS317" i="1"/>
  <c r="CK317" i="1"/>
  <c r="CC317" i="1"/>
  <c r="CB317" i="1"/>
  <c r="CA317" i="1"/>
  <c r="BZ317" i="1"/>
  <c r="BY317" i="1"/>
  <c r="BX317" i="1"/>
  <c r="BW317" i="1"/>
  <c r="BV317" i="1"/>
  <c r="BT317" i="1"/>
  <c r="CY316" i="1"/>
  <c r="CX316" i="1"/>
  <c r="CV316" i="1"/>
  <c r="CS316" i="1"/>
  <c r="CK316" i="1"/>
  <c r="CC316" i="1"/>
  <c r="CB316" i="1"/>
  <c r="CA316" i="1"/>
  <c r="BZ316" i="1"/>
  <c r="BY316" i="1"/>
  <c r="BX316" i="1"/>
  <c r="BW316" i="1"/>
  <c r="BV316" i="1"/>
  <c r="BT316" i="1"/>
  <c r="CY315" i="1"/>
  <c r="CX315" i="1"/>
  <c r="CV315" i="1"/>
  <c r="CS315" i="1"/>
  <c r="CK315" i="1"/>
  <c r="CC315" i="1"/>
  <c r="CB315" i="1"/>
  <c r="CA315" i="1"/>
  <c r="BZ315" i="1"/>
  <c r="BY315" i="1"/>
  <c r="BX315" i="1"/>
  <c r="BW315" i="1"/>
  <c r="BV315" i="1"/>
  <c r="BT315" i="1"/>
  <c r="CY314" i="1"/>
  <c r="CX314" i="1"/>
  <c r="CV314" i="1"/>
  <c r="CS314" i="1"/>
  <c r="CK314" i="1"/>
  <c r="CC314" i="1"/>
  <c r="CB314" i="1"/>
  <c r="CA314" i="1"/>
  <c r="BZ314" i="1"/>
  <c r="BY314" i="1"/>
  <c r="BX314" i="1"/>
  <c r="BW314" i="1"/>
  <c r="BV314" i="1"/>
  <c r="BT314" i="1"/>
  <c r="CY313" i="1"/>
  <c r="CX313" i="1"/>
  <c r="CV313" i="1"/>
  <c r="CS313" i="1"/>
  <c r="CK313" i="1"/>
  <c r="CC313" i="1"/>
  <c r="CB313" i="1"/>
  <c r="CA313" i="1"/>
  <c r="BZ313" i="1"/>
  <c r="BY313" i="1"/>
  <c r="BX313" i="1"/>
  <c r="BW313" i="1"/>
  <c r="BV313" i="1"/>
  <c r="BT313" i="1"/>
  <c r="CY312" i="1"/>
  <c r="CX312" i="1"/>
  <c r="CV312" i="1"/>
  <c r="CS312" i="1"/>
  <c r="CK312" i="1"/>
  <c r="CC312" i="1"/>
  <c r="CB312" i="1"/>
  <c r="CA312" i="1"/>
  <c r="BZ312" i="1"/>
  <c r="BY312" i="1"/>
  <c r="BX312" i="1"/>
  <c r="BW312" i="1"/>
  <c r="BV312" i="1"/>
  <c r="BT312" i="1"/>
  <c r="CY311" i="1"/>
  <c r="CX311" i="1"/>
  <c r="CV311" i="1"/>
  <c r="CS311" i="1"/>
  <c r="CK311" i="1"/>
  <c r="CC311" i="1"/>
  <c r="CB311" i="1"/>
  <c r="CA311" i="1"/>
  <c r="BZ311" i="1"/>
  <c r="BY311" i="1"/>
  <c r="BX311" i="1"/>
  <c r="BW311" i="1"/>
  <c r="BV311" i="1"/>
  <c r="BT311" i="1"/>
  <c r="CY310" i="1"/>
  <c r="CX310" i="1"/>
  <c r="CV310" i="1"/>
  <c r="CS310" i="1"/>
  <c r="CK310" i="1"/>
  <c r="CC310" i="1"/>
  <c r="CB310" i="1"/>
  <c r="CA310" i="1"/>
  <c r="BZ310" i="1"/>
  <c r="BY310" i="1"/>
  <c r="BX310" i="1"/>
  <c r="BW310" i="1"/>
  <c r="BV310" i="1"/>
  <c r="BT310" i="1"/>
  <c r="CY309" i="1"/>
  <c r="CX309" i="1"/>
  <c r="CV309" i="1"/>
  <c r="CS309" i="1"/>
  <c r="CK309" i="1"/>
  <c r="CC309" i="1"/>
  <c r="CB309" i="1"/>
  <c r="CA309" i="1"/>
  <c r="BZ309" i="1"/>
  <c r="BY309" i="1"/>
  <c r="BX309" i="1"/>
  <c r="BW309" i="1"/>
  <c r="BV309" i="1"/>
  <c r="BT309" i="1"/>
  <c r="CY308" i="1"/>
  <c r="CX308" i="1"/>
  <c r="CV308" i="1"/>
  <c r="CS308" i="1"/>
  <c r="CK308" i="1"/>
  <c r="CC308" i="1"/>
  <c r="CB308" i="1"/>
  <c r="CA308" i="1"/>
  <c r="BZ308" i="1"/>
  <c r="BY308" i="1"/>
  <c r="BX308" i="1"/>
  <c r="BW308" i="1"/>
  <c r="BV308" i="1"/>
  <c r="BT308" i="1"/>
  <c r="CY307" i="1"/>
  <c r="CX307" i="1"/>
  <c r="CV307" i="1"/>
  <c r="CS307" i="1"/>
  <c r="CK307" i="1"/>
  <c r="CC307" i="1"/>
  <c r="CB307" i="1"/>
  <c r="CA307" i="1"/>
  <c r="BZ307" i="1"/>
  <c r="BY307" i="1"/>
  <c r="BX307" i="1"/>
  <c r="BW307" i="1"/>
  <c r="BV307" i="1"/>
  <c r="BT307" i="1"/>
  <c r="CY306" i="1"/>
  <c r="CX306" i="1"/>
  <c r="CV306" i="1"/>
  <c r="CS306" i="1"/>
  <c r="CK306" i="1"/>
  <c r="CC306" i="1"/>
  <c r="CB306" i="1"/>
  <c r="CA306" i="1"/>
  <c r="BZ306" i="1"/>
  <c r="BY306" i="1"/>
  <c r="BX306" i="1"/>
  <c r="BW306" i="1"/>
  <c r="BV306" i="1"/>
  <c r="BT306" i="1"/>
  <c r="CY305" i="1"/>
  <c r="CX305" i="1"/>
  <c r="CV305" i="1"/>
  <c r="CS305" i="1"/>
  <c r="CK305" i="1"/>
  <c r="CC305" i="1"/>
  <c r="CB305" i="1"/>
  <c r="CA305" i="1"/>
  <c r="BZ305" i="1"/>
  <c r="BY305" i="1"/>
  <c r="BX305" i="1"/>
  <c r="BW305" i="1"/>
  <c r="BV305" i="1"/>
  <c r="BT305" i="1"/>
  <c r="CY304" i="1"/>
  <c r="CX304" i="1"/>
  <c r="CV304" i="1"/>
  <c r="CS304" i="1"/>
  <c r="CK304" i="1"/>
  <c r="CC304" i="1"/>
  <c r="CB304" i="1"/>
  <c r="CA304" i="1"/>
  <c r="BZ304" i="1"/>
  <c r="BY304" i="1"/>
  <c r="BX304" i="1"/>
  <c r="BW304" i="1"/>
  <c r="BV304" i="1"/>
  <c r="BT304" i="1"/>
  <c r="CY303" i="1"/>
  <c r="CX303" i="1"/>
  <c r="CV303" i="1"/>
  <c r="CS303" i="1"/>
  <c r="CK303" i="1"/>
  <c r="CC303" i="1"/>
  <c r="CB303" i="1"/>
  <c r="CA303" i="1"/>
  <c r="BZ303" i="1"/>
  <c r="BY303" i="1"/>
  <c r="BX303" i="1"/>
  <c r="BW303" i="1"/>
  <c r="BV303" i="1"/>
  <c r="BT303" i="1"/>
  <c r="CY302" i="1"/>
  <c r="CX302" i="1"/>
  <c r="CV302" i="1"/>
  <c r="CS302" i="1"/>
  <c r="CK302" i="1"/>
  <c r="CC302" i="1"/>
  <c r="CB302" i="1"/>
  <c r="CA302" i="1"/>
  <c r="BZ302" i="1"/>
  <c r="BY302" i="1"/>
  <c r="BX302" i="1"/>
  <c r="BW302" i="1"/>
  <c r="BV302" i="1"/>
  <c r="BT302" i="1"/>
  <c r="CY301" i="1"/>
  <c r="CX301" i="1"/>
  <c r="CV301" i="1"/>
  <c r="CS301" i="1"/>
  <c r="CK301" i="1"/>
  <c r="CC301" i="1"/>
  <c r="CB301" i="1"/>
  <c r="CA301" i="1"/>
  <c r="BZ301" i="1"/>
  <c r="BY301" i="1"/>
  <c r="BX301" i="1"/>
  <c r="BW301" i="1"/>
  <c r="BV301" i="1"/>
  <c r="BT301" i="1"/>
  <c r="CY300" i="1"/>
  <c r="CX300" i="1"/>
  <c r="CV300" i="1"/>
  <c r="CS300" i="1"/>
  <c r="CK300" i="1"/>
  <c r="CC300" i="1"/>
  <c r="CB300" i="1"/>
  <c r="CA300" i="1"/>
  <c r="BZ300" i="1"/>
  <c r="BY300" i="1"/>
  <c r="BX300" i="1"/>
  <c r="BW300" i="1"/>
  <c r="BV300" i="1"/>
  <c r="BT300" i="1"/>
  <c r="CY299" i="1"/>
  <c r="CX299" i="1"/>
  <c r="CV299" i="1"/>
  <c r="CS299" i="1"/>
  <c r="CK299" i="1"/>
  <c r="CC299" i="1"/>
  <c r="CB299" i="1"/>
  <c r="CA299" i="1"/>
  <c r="BZ299" i="1"/>
  <c r="BY299" i="1"/>
  <c r="BX299" i="1"/>
  <c r="BW299" i="1"/>
  <c r="BV299" i="1"/>
  <c r="BT299" i="1"/>
  <c r="CY298" i="1"/>
  <c r="CX298" i="1"/>
  <c r="CV298" i="1"/>
  <c r="CS298" i="1"/>
  <c r="CK298" i="1"/>
  <c r="CC298" i="1"/>
  <c r="CB298" i="1"/>
  <c r="CA298" i="1"/>
  <c r="BZ298" i="1"/>
  <c r="BY298" i="1"/>
  <c r="BX298" i="1"/>
  <c r="BW298" i="1"/>
  <c r="BV298" i="1"/>
  <c r="BT298" i="1"/>
  <c r="CY297" i="1"/>
  <c r="CX297" i="1"/>
  <c r="CV297" i="1"/>
  <c r="CS297" i="1"/>
  <c r="CK297" i="1"/>
  <c r="CC297" i="1"/>
  <c r="CB297" i="1"/>
  <c r="CA297" i="1"/>
  <c r="BZ297" i="1"/>
  <c r="BY297" i="1"/>
  <c r="BX297" i="1"/>
  <c r="BW297" i="1"/>
  <c r="BV297" i="1"/>
  <c r="BT297" i="1"/>
  <c r="CY296" i="1"/>
  <c r="CX296" i="1"/>
  <c r="CV296" i="1"/>
  <c r="CS296" i="1"/>
  <c r="CK296" i="1"/>
  <c r="CC296" i="1"/>
  <c r="CB296" i="1"/>
  <c r="CA296" i="1"/>
  <c r="BZ296" i="1"/>
  <c r="BY296" i="1"/>
  <c r="BX296" i="1"/>
  <c r="BW296" i="1"/>
  <c r="BV296" i="1"/>
  <c r="BT296" i="1"/>
  <c r="CY295" i="1"/>
  <c r="CX295" i="1"/>
  <c r="CV295" i="1"/>
  <c r="CS295" i="1"/>
  <c r="CK295" i="1"/>
  <c r="CC295" i="1"/>
  <c r="CB295" i="1"/>
  <c r="CA295" i="1"/>
  <c r="BZ295" i="1"/>
  <c r="BY295" i="1"/>
  <c r="BX295" i="1"/>
  <c r="BW295" i="1"/>
  <c r="BV295" i="1"/>
  <c r="BT295" i="1"/>
  <c r="CY294" i="1"/>
  <c r="CX294" i="1"/>
  <c r="CV294" i="1"/>
  <c r="CS294" i="1"/>
  <c r="CK294" i="1"/>
  <c r="CC294" i="1"/>
  <c r="CB294" i="1"/>
  <c r="CA294" i="1"/>
  <c r="BZ294" i="1"/>
  <c r="BY294" i="1"/>
  <c r="BX294" i="1"/>
  <c r="BW294" i="1"/>
  <c r="BV294" i="1"/>
  <c r="BT294" i="1"/>
  <c r="CY293" i="1"/>
  <c r="CX293" i="1"/>
  <c r="CV293" i="1"/>
  <c r="CS293" i="1"/>
  <c r="CK293" i="1"/>
  <c r="CC293" i="1"/>
  <c r="CB293" i="1"/>
  <c r="CA293" i="1"/>
  <c r="BZ293" i="1"/>
  <c r="BY293" i="1"/>
  <c r="BX293" i="1"/>
  <c r="BW293" i="1"/>
  <c r="BV293" i="1"/>
  <c r="BT293" i="1"/>
  <c r="CY292" i="1"/>
  <c r="CX292" i="1"/>
  <c r="CV292" i="1"/>
  <c r="CS292" i="1"/>
  <c r="CK292" i="1"/>
  <c r="CC292" i="1"/>
  <c r="CB292" i="1"/>
  <c r="CA292" i="1"/>
  <c r="BZ292" i="1"/>
  <c r="BY292" i="1"/>
  <c r="BX292" i="1"/>
  <c r="BW292" i="1"/>
  <c r="BV292" i="1"/>
  <c r="BT292" i="1"/>
  <c r="CY291" i="1"/>
  <c r="CX291" i="1"/>
  <c r="CV291" i="1"/>
  <c r="CS291" i="1"/>
  <c r="CK291" i="1"/>
  <c r="CC291" i="1"/>
  <c r="CB291" i="1"/>
  <c r="CA291" i="1"/>
  <c r="BZ291" i="1"/>
  <c r="BY291" i="1"/>
  <c r="BX291" i="1"/>
  <c r="BW291" i="1"/>
  <c r="BV291" i="1"/>
  <c r="BT291" i="1"/>
  <c r="CY290" i="1"/>
  <c r="CX290" i="1"/>
  <c r="CV290" i="1"/>
  <c r="CS290" i="1"/>
  <c r="CK290" i="1"/>
  <c r="CC290" i="1"/>
  <c r="CB290" i="1"/>
  <c r="CA290" i="1"/>
  <c r="BZ290" i="1"/>
  <c r="BY290" i="1"/>
  <c r="BX290" i="1"/>
  <c r="BW290" i="1"/>
  <c r="BV290" i="1"/>
  <c r="BT290" i="1"/>
  <c r="CY289" i="1"/>
  <c r="CX289" i="1"/>
  <c r="CV289" i="1"/>
  <c r="CS289" i="1"/>
  <c r="CK289" i="1"/>
  <c r="CC289" i="1"/>
  <c r="CB289" i="1"/>
  <c r="CA289" i="1"/>
  <c r="BZ289" i="1"/>
  <c r="BY289" i="1"/>
  <c r="BX289" i="1"/>
  <c r="BW289" i="1"/>
  <c r="BV289" i="1"/>
  <c r="BT289" i="1"/>
  <c r="CY288" i="1"/>
  <c r="CX288" i="1"/>
  <c r="CV288" i="1"/>
  <c r="CS288" i="1"/>
  <c r="CK288" i="1"/>
  <c r="CC288" i="1"/>
  <c r="CB288" i="1"/>
  <c r="CA288" i="1"/>
  <c r="BZ288" i="1"/>
  <c r="BY288" i="1"/>
  <c r="BX288" i="1"/>
  <c r="BW288" i="1"/>
  <c r="BV288" i="1"/>
  <c r="BT288" i="1"/>
  <c r="CY287" i="1"/>
  <c r="CX287" i="1"/>
  <c r="CV287" i="1"/>
  <c r="CS287" i="1"/>
  <c r="CK287" i="1"/>
  <c r="CC287" i="1"/>
  <c r="CB287" i="1"/>
  <c r="CA287" i="1"/>
  <c r="BZ287" i="1"/>
  <c r="BY287" i="1"/>
  <c r="BX287" i="1"/>
  <c r="BW287" i="1"/>
  <c r="BV287" i="1"/>
  <c r="BT287" i="1"/>
  <c r="CY286" i="1"/>
  <c r="CX286" i="1"/>
  <c r="CV286" i="1"/>
  <c r="CS286" i="1"/>
  <c r="CK286" i="1"/>
  <c r="CC286" i="1"/>
  <c r="CB286" i="1"/>
  <c r="CA286" i="1"/>
  <c r="BZ286" i="1"/>
  <c r="BY286" i="1"/>
  <c r="BX286" i="1"/>
  <c r="BW286" i="1"/>
  <c r="BV286" i="1"/>
  <c r="BT286" i="1"/>
  <c r="CY285" i="1"/>
  <c r="CX285" i="1"/>
  <c r="CV285" i="1"/>
  <c r="CS285" i="1"/>
  <c r="CK285" i="1"/>
  <c r="CC285" i="1"/>
  <c r="CB285" i="1"/>
  <c r="CA285" i="1"/>
  <c r="BZ285" i="1"/>
  <c r="BY285" i="1"/>
  <c r="BX285" i="1"/>
  <c r="BW285" i="1"/>
  <c r="BV285" i="1"/>
  <c r="BT285" i="1"/>
  <c r="CY284" i="1"/>
  <c r="CX284" i="1"/>
  <c r="CV284" i="1"/>
  <c r="CS284" i="1"/>
  <c r="CK284" i="1"/>
  <c r="CC284" i="1"/>
  <c r="CB284" i="1"/>
  <c r="CA284" i="1"/>
  <c r="BZ284" i="1"/>
  <c r="BY284" i="1"/>
  <c r="BX284" i="1"/>
  <c r="BW284" i="1"/>
  <c r="BV284" i="1"/>
  <c r="BT284" i="1"/>
  <c r="CY283" i="1"/>
  <c r="CX283" i="1"/>
  <c r="CV283" i="1"/>
  <c r="CS283" i="1"/>
  <c r="CK283" i="1"/>
  <c r="CC283" i="1"/>
  <c r="CB283" i="1"/>
  <c r="CA283" i="1"/>
  <c r="BZ283" i="1"/>
  <c r="BY283" i="1"/>
  <c r="BX283" i="1"/>
  <c r="BW283" i="1"/>
  <c r="BV283" i="1"/>
  <c r="BT283" i="1"/>
  <c r="CY282" i="1"/>
  <c r="CX282" i="1"/>
  <c r="CV282" i="1"/>
  <c r="CS282" i="1"/>
  <c r="CK282" i="1"/>
  <c r="CC282" i="1"/>
  <c r="CB282" i="1"/>
  <c r="CA282" i="1"/>
  <c r="BZ282" i="1"/>
  <c r="BY282" i="1"/>
  <c r="BX282" i="1"/>
  <c r="BW282" i="1"/>
  <c r="BV282" i="1"/>
  <c r="BT282" i="1"/>
  <c r="CY281" i="1"/>
  <c r="CX281" i="1"/>
  <c r="CV281" i="1"/>
  <c r="CS281" i="1"/>
  <c r="CK281" i="1"/>
  <c r="CC281" i="1"/>
  <c r="CB281" i="1"/>
  <c r="CA281" i="1"/>
  <c r="BZ281" i="1"/>
  <c r="BY281" i="1"/>
  <c r="BX281" i="1"/>
  <c r="BW281" i="1"/>
  <c r="BV281" i="1"/>
  <c r="BT281" i="1"/>
  <c r="CY280" i="1"/>
  <c r="CX280" i="1"/>
  <c r="CV280" i="1"/>
  <c r="CS280" i="1"/>
  <c r="CK280" i="1"/>
  <c r="CC280" i="1"/>
  <c r="CB280" i="1"/>
  <c r="CA280" i="1"/>
  <c r="BZ280" i="1"/>
  <c r="BY280" i="1"/>
  <c r="BX280" i="1"/>
  <c r="BW280" i="1"/>
  <c r="BV280" i="1"/>
  <c r="BT280" i="1"/>
  <c r="CY279" i="1"/>
  <c r="CX279" i="1"/>
  <c r="CV279" i="1"/>
  <c r="CS279" i="1"/>
  <c r="CK279" i="1"/>
  <c r="CC279" i="1"/>
  <c r="CB279" i="1"/>
  <c r="CA279" i="1"/>
  <c r="BZ279" i="1"/>
  <c r="BY279" i="1"/>
  <c r="BX279" i="1"/>
  <c r="BW279" i="1"/>
  <c r="BV279" i="1"/>
  <c r="BT279" i="1"/>
  <c r="CY278" i="1"/>
  <c r="CX278" i="1"/>
  <c r="CV278" i="1"/>
  <c r="CS278" i="1"/>
  <c r="CK278" i="1"/>
  <c r="CC278" i="1"/>
  <c r="CB278" i="1"/>
  <c r="CA278" i="1"/>
  <c r="BZ278" i="1"/>
  <c r="BY278" i="1"/>
  <c r="BX278" i="1"/>
  <c r="BW278" i="1"/>
  <c r="BV278" i="1"/>
  <c r="BT278" i="1"/>
  <c r="CY277" i="1"/>
  <c r="CX277" i="1"/>
  <c r="CV277" i="1"/>
  <c r="CS277" i="1"/>
  <c r="CK277" i="1"/>
  <c r="CC277" i="1"/>
  <c r="CB277" i="1"/>
  <c r="CA277" i="1"/>
  <c r="BZ277" i="1"/>
  <c r="BY277" i="1"/>
  <c r="BX277" i="1"/>
  <c r="BW277" i="1"/>
  <c r="BV277" i="1"/>
  <c r="BT277" i="1"/>
  <c r="CY276" i="1"/>
  <c r="CX276" i="1"/>
  <c r="CV276" i="1"/>
  <c r="CS276" i="1"/>
  <c r="CK276" i="1"/>
  <c r="CC276" i="1"/>
  <c r="CB276" i="1"/>
  <c r="CA276" i="1"/>
  <c r="BZ276" i="1"/>
  <c r="BY276" i="1"/>
  <c r="BX276" i="1"/>
  <c r="BW276" i="1"/>
  <c r="BV276" i="1"/>
  <c r="BT276" i="1"/>
  <c r="CY275" i="1"/>
  <c r="CX275" i="1"/>
  <c r="CV275" i="1"/>
  <c r="CS275" i="1"/>
  <c r="CK275" i="1"/>
  <c r="CC275" i="1"/>
  <c r="CB275" i="1"/>
  <c r="CA275" i="1"/>
  <c r="BZ275" i="1"/>
  <c r="BY275" i="1"/>
  <c r="BX275" i="1"/>
  <c r="BW275" i="1"/>
  <c r="BV275" i="1"/>
  <c r="BT275" i="1"/>
  <c r="CY274" i="1"/>
  <c r="CX274" i="1"/>
  <c r="CV274" i="1"/>
  <c r="CS274" i="1"/>
  <c r="CK274" i="1"/>
  <c r="CC274" i="1"/>
  <c r="CB274" i="1"/>
  <c r="CA274" i="1"/>
  <c r="BZ274" i="1"/>
  <c r="BY274" i="1"/>
  <c r="BX274" i="1"/>
  <c r="BW274" i="1"/>
  <c r="BV274" i="1"/>
  <c r="BT274" i="1"/>
  <c r="CY273" i="1"/>
  <c r="CX273" i="1"/>
  <c r="CV273" i="1"/>
  <c r="CS273" i="1"/>
  <c r="CK273" i="1"/>
  <c r="CC273" i="1"/>
  <c r="CB273" i="1"/>
  <c r="CA273" i="1"/>
  <c r="BZ273" i="1"/>
  <c r="BY273" i="1"/>
  <c r="BX273" i="1"/>
  <c r="BW273" i="1"/>
  <c r="BV273" i="1"/>
  <c r="BT273" i="1"/>
  <c r="CY272" i="1"/>
  <c r="CX272" i="1"/>
  <c r="CV272" i="1"/>
  <c r="CS272" i="1"/>
  <c r="CK272" i="1"/>
  <c r="CC272" i="1"/>
  <c r="CB272" i="1"/>
  <c r="CA272" i="1"/>
  <c r="BZ272" i="1"/>
  <c r="BY272" i="1"/>
  <c r="BX272" i="1"/>
  <c r="BW272" i="1"/>
  <c r="BV272" i="1"/>
  <c r="BT272" i="1"/>
  <c r="CY271" i="1"/>
  <c r="CX271" i="1"/>
  <c r="CV271" i="1"/>
  <c r="CS271" i="1"/>
  <c r="CK271" i="1"/>
  <c r="CC271" i="1"/>
  <c r="CB271" i="1"/>
  <c r="CA271" i="1"/>
  <c r="BZ271" i="1"/>
  <c r="BY271" i="1"/>
  <c r="BX271" i="1"/>
  <c r="BW271" i="1"/>
  <c r="BV271" i="1"/>
  <c r="BT271" i="1"/>
  <c r="CY270" i="1"/>
  <c r="CX270" i="1"/>
  <c r="CV270" i="1"/>
  <c r="CS270" i="1"/>
  <c r="CK270" i="1"/>
  <c r="CC270" i="1"/>
  <c r="CB270" i="1"/>
  <c r="CA270" i="1"/>
  <c r="BZ270" i="1"/>
  <c r="BY270" i="1"/>
  <c r="BX270" i="1"/>
  <c r="BW270" i="1"/>
  <c r="BV270" i="1"/>
  <c r="BT270" i="1"/>
  <c r="CY269" i="1"/>
  <c r="CX269" i="1"/>
  <c r="CV269" i="1"/>
  <c r="CS269" i="1"/>
  <c r="CK269" i="1"/>
  <c r="CC269" i="1"/>
  <c r="CB269" i="1"/>
  <c r="CA269" i="1"/>
  <c r="BZ269" i="1"/>
  <c r="BY269" i="1"/>
  <c r="BX269" i="1"/>
  <c r="BW269" i="1"/>
  <c r="BV269" i="1"/>
  <c r="BT269" i="1"/>
  <c r="CY268" i="1"/>
  <c r="CX268" i="1"/>
  <c r="CV268" i="1"/>
  <c r="CS268" i="1"/>
  <c r="CK268" i="1"/>
  <c r="CC268" i="1"/>
  <c r="CB268" i="1"/>
  <c r="CA268" i="1"/>
  <c r="BZ268" i="1"/>
  <c r="BY268" i="1"/>
  <c r="BX268" i="1"/>
  <c r="BW268" i="1"/>
  <c r="BV268" i="1"/>
  <c r="BT268" i="1"/>
  <c r="CY267" i="1"/>
  <c r="CX267" i="1"/>
  <c r="CV267" i="1"/>
  <c r="CS267" i="1"/>
  <c r="CK267" i="1"/>
  <c r="CC267" i="1"/>
  <c r="CB267" i="1"/>
  <c r="CA267" i="1"/>
  <c r="BZ267" i="1"/>
  <c r="BY267" i="1"/>
  <c r="BX267" i="1"/>
  <c r="BW267" i="1"/>
  <c r="BV267" i="1"/>
  <c r="BT267" i="1"/>
  <c r="CY266" i="1"/>
  <c r="CX266" i="1"/>
  <c r="CV266" i="1"/>
  <c r="CS266" i="1"/>
  <c r="CK266" i="1"/>
  <c r="CC266" i="1"/>
  <c r="CB266" i="1"/>
  <c r="CA266" i="1"/>
  <c r="BZ266" i="1"/>
  <c r="BY266" i="1"/>
  <c r="BX266" i="1"/>
  <c r="BW266" i="1"/>
  <c r="BV266" i="1"/>
  <c r="BT266" i="1"/>
  <c r="CY265" i="1"/>
  <c r="CX265" i="1"/>
  <c r="CV265" i="1"/>
  <c r="CS265" i="1"/>
  <c r="CK265" i="1"/>
  <c r="CC265" i="1"/>
  <c r="CB265" i="1"/>
  <c r="CA265" i="1"/>
  <c r="BZ265" i="1"/>
  <c r="BY265" i="1"/>
  <c r="BX265" i="1"/>
  <c r="BW265" i="1"/>
  <c r="BV265" i="1"/>
  <c r="BT265" i="1"/>
  <c r="CY264" i="1"/>
  <c r="CX264" i="1"/>
  <c r="CV264" i="1"/>
  <c r="CS264" i="1"/>
  <c r="CK264" i="1"/>
  <c r="CC264" i="1"/>
  <c r="CB264" i="1"/>
  <c r="CA264" i="1"/>
  <c r="BZ264" i="1"/>
  <c r="BY264" i="1"/>
  <c r="BX264" i="1"/>
  <c r="BW264" i="1"/>
  <c r="BV264" i="1"/>
  <c r="BT264" i="1"/>
  <c r="CY263" i="1"/>
  <c r="CX263" i="1"/>
  <c r="CV263" i="1"/>
  <c r="CS263" i="1"/>
  <c r="CK263" i="1"/>
  <c r="CC263" i="1"/>
  <c r="CB263" i="1"/>
  <c r="CA263" i="1"/>
  <c r="BZ263" i="1"/>
  <c r="BY263" i="1"/>
  <c r="BX263" i="1"/>
  <c r="BW263" i="1"/>
  <c r="BV263" i="1"/>
  <c r="BT263" i="1"/>
  <c r="CY262" i="1"/>
  <c r="CX262" i="1"/>
  <c r="CV262" i="1"/>
  <c r="CS262" i="1"/>
  <c r="CK262" i="1"/>
  <c r="CC262" i="1"/>
  <c r="CB262" i="1"/>
  <c r="CA262" i="1"/>
  <c r="BZ262" i="1"/>
  <c r="BY262" i="1"/>
  <c r="BX262" i="1"/>
  <c r="BW262" i="1"/>
  <c r="BV262" i="1"/>
  <c r="BT262" i="1"/>
  <c r="CY261" i="1"/>
  <c r="CX261" i="1"/>
  <c r="CV261" i="1"/>
  <c r="CS261" i="1"/>
  <c r="CK261" i="1"/>
  <c r="CC261" i="1"/>
  <c r="CB261" i="1"/>
  <c r="CA261" i="1"/>
  <c r="BZ261" i="1"/>
  <c r="BY261" i="1"/>
  <c r="BX261" i="1"/>
  <c r="BW261" i="1"/>
  <c r="BV261" i="1"/>
  <c r="BT261" i="1"/>
  <c r="CY260" i="1"/>
  <c r="CX260" i="1"/>
  <c r="CV260" i="1"/>
  <c r="CS260" i="1"/>
  <c r="CK260" i="1"/>
  <c r="CC260" i="1"/>
  <c r="CB260" i="1"/>
  <c r="CA260" i="1"/>
  <c r="BZ260" i="1"/>
  <c r="BY260" i="1"/>
  <c r="BX260" i="1"/>
  <c r="BW260" i="1"/>
  <c r="BV260" i="1"/>
  <c r="BT260" i="1"/>
  <c r="CY259" i="1"/>
  <c r="CX259" i="1"/>
  <c r="CV259" i="1"/>
  <c r="CS259" i="1"/>
  <c r="CK259" i="1"/>
  <c r="CC259" i="1"/>
  <c r="CB259" i="1"/>
  <c r="CA259" i="1"/>
  <c r="BZ259" i="1"/>
  <c r="BY259" i="1"/>
  <c r="BX259" i="1"/>
  <c r="BW259" i="1"/>
  <c r="BV259" i="1"/>
  <c r="BT259" i="1"/>
  <c r="CY258" i="1"/>
  <c r="CX258" i="1"/>
  <c r="CV258" i="1"/>
  <c r="CS258" i="1"/>
  <c r="CK258" i="1"/>
  <c r="CC258" i="1"/>
  <c r="CB258" i="1"/>
  <c r="CA258" i="1"/>
  <c r="BZ258" i="1"/>
  <c r="BY258" i="1"/>
  <c r="BX258" i="1"/>
  <c r="BW258" i="1"/>
  <c r="BV258" i="1"/>
  <c r="BT258" i="1"/>
  <c r="CY257" i="1"/>
  <c r="CX257" i="1"/>
  <c r="CV257" i="1"/>
  <c r="CS257" i="1"/>
  <c r="CK257" i="1"/>
  <c r="CC257" i="1"/>
  <c r="CB257" i="1"/>
  <c r="CA257" i="1"/>
  <c r="BZ257" i="1"/>
  <c r="BY257" i="1"/>
  <c r="BX257" i="1"/>
  <c r="BW257" i="1"/>
  <c r="BV257" i="1"/>
  <c r="BT257" i="1"/>
  <c r="CY256" i="1"/>
  <c r="CX256" i="1"/>
  <c r="CV256" i="1"/>
  <c r="CS256" i="1"/>
  <c r="CK256" i="1"/>
  <c r="CC256" i="1"/>
  <c r="CB256" i="1"/>
  <c r="CA256" i="1"/>
  <c r="BZ256" i="1"/>
  <c r="BY256" i="1"/>
  <c r="BX256" i="1"/>
  <c r="BW256" i="1"/>
  <c r="BV256" i="1"/>
  <c r="BT256" i="1"/>
  <c r="CY255" i="1"/>
  <c r="CX255" i="1"/>
  <c r="CV255" i="1"/>
  <c r="CS255" i="1"/>
  <c r="CK255" i="1"/>
  <c r="CC255" i="1"/>
  <c r="CB255" i="1"/>
  <c r="CA255" i="1"/>
  <c r="BZ255" i="1"/>
  <c r="BY255" i="1"/>
  <c r="BX255" i="1"/>
  <c r="BW255" i="1"/>
  <c r="BV255" i="1"/>
  <c r="BT255" i="1"/>
  <c r="CY254" i="1"/>
  <c r="CX254" i="1"/>
  <c r="CV254" i="1"/>
  <c r="CS254" i="1"/>
  <c r="CK254" i="1"/>
  <c r="CC254" i="1"/>
  <c r="CB254" i="1"/>
  <c r="CA254" i="1"/>
  <c r="BZ254" i="1"/>
  <c r="BY254" i="1"/>
  <c r="BX254" i="1"/>
  <c r="BW254" i="1"/>
  <c r="BV254" i="1"/>
  <c r="BT254" i="1"/>
  <c r="CY253" i="1"/>
  <c r="CX253" i="1"/>
  <c r="CV253" i="1"/>
  <c r="CS253" i="1"/>
  <c r="CK253" i="1"/>
  <c r="CC253" i="1"/>
  <c r="CB253" i="1"/>
  <c r="CA253" i="1"/>
  <c r="BZ253" i="1"/>
  <c r="BY253" i="1"/>
  <c r="BX253" i="1"/>
  <c r="BW253" i="1"/>
  <c r="BV253" i="1"/>
  <c r="BT253" i="1"/>
  <c r="CY252" i="1"/>
  <c r="CX252" i="1"/>
  <c r="CV252" i="1"/>
  <c r="CS252" i="1"/>
  <c r="CK252" i="1"/>
  <c r="CC252" i="1"/>
  <c r="CB252" i="1"/>
  <c r="CA252" i="1"/>
  <c r="BZ252" i="1"/>
  <c r="BY252" i="1"/>
  <c r="BX252" i="1"/>
  <c r="BW252" i="1"/>
  <c r="BV252" i="1"/>
  <c r="BT252" i="1"/>
  <c r="CY251" i="1"/>
  <c r="CX251" i="1"/>
  <c r="CV251" i="1"/>
  <c r="CS251" i="1"/>
  <c r="CK251" i="1"/>
  <c r="CC251" i="1"/>
  <c r="CB251" i="1"/>
  <c r="CA251" i="1"/>
  <c r="BZ251" i="1"/>
  <c r="BY251" i="1"/>
  <c r="BX251" i="1"/>
  <c r="BW251" i="1"/>
  <c r="BV251" i="1"/>
  <c r="BT251" i="1"/>
  <c r="CY250" i="1"/>
  <c r="CX250" i="1"/>
  <c r="CV250" i="1"/>
  <c r="CS250" i="1"/>
  <c r="CK250" i="1"/>
  <c r="CC250" i="1"/>
  <c r="CB250" i="1"/>
  <c r="CA250" i="1"/>
  <c r="BZ250" i="1"/>
  <c r="BY250" i="1"/>
  <c r="BX250" i="1"/>
  <c r="BW250" i="1"/>
  <c r="BV250" i="1"/>
  <c r="BT250" i="1"/>
  <c r="CY249" i="1"/>
  <c r="CX249" i="1"/>
  <c r="CV249" i="1"/>
  <c r="CS249" i="1"/>
  <c r="CK249" i="1"/>
  <c r="CC249" i="1"/>
  <c r="CB249" i="1"/>
  <c r="CA249" i="1"/>
  <c r="BZ249" i="1"/>
  <c r="BY249" i="1"/>
  <c r="BX249" i="1"/>
  <c r="BW249" i="1"/>
  <c r="BV249" i="1"/>
  <c r="BT249" i="1"/>
  <c r="CY248" i="1"/>
  <c r="CX248" i="1"/>
  <c r="CV248" i="1"/>
  <c r="CS248" i="1"/>
  <c r="CK248" i="1"/>
  <c r="CC248" i="1"/>
  <c r="CB248" i="1"/>
  <c r="CA248" i="1"/>
  <c r="BZ248" i="1"/>
  <c r="BY248" i="1"/>
  <c r="BX248" i="1"/>
  <c r="BW248" i="1"/>
  <c r="BV248" i="1"/>
  <c r="BT248" i="1"/>
  <c r="CY247" i="1"/>
  <c r="CX247" i="1"/>
  <c r="CV247" i="1"/>
  <c r="CS247" i="1"/>
  <c r="CK247" i="1"/>
  <c r="CC247" i="1"/>
  <c r="CB247" i="1"/>
  <c r="CA247" i="1"/>
  <c r="BZ247" i="1"/>
  <c r="BY247" i="1"/>
  <c r="BX247" i="1"/>
  <c r="BW247" i="1"/>
  <c r="BV247" i="1"/>
  <c r="BT247" i="1"/>
  <c r="CY246" i="1"/>
  <c r="CX246" i="1"/>
  <c r="CV246" i="1"/>
  <c r="CS246" i="1"/>
  <c r="CK246" i="1"/>
  <c r="CC246" i="1"/>
  <c r="CB246" i="1"/>
  <c r="CA246" i="1"/>
  <c r="BZ246" i="1"/>
  <c r="BY246" i="1"/>
  <c r="BX246" i="1"/>
  <c r="BW246" i="1"/>
  <c r="BV246" i="1"/>
  <c r="BT246" i="1"/>
  <c r="CY245" i="1"/>
  <c r="CX245" i="1"/>
  <c r="CV245" i="1"/>
  <c r="CS245" i="1"/>
  <c r="CK245" i="1"/>
  <c r="CC245" i="1"/>
  <c r="CB245" i="1"/>
  <c r="CA245" i="1"/>
  <c r="BZ245" i="1"/>
  <c r="BY245" i="1"/>
  <c r="BX245" i="1"/>
  <c r="BW245" i="1"/>
  <c r="BV245" i="1"/>
  <c r="BT245" i="1"/>
  <c r="CY244" i="1"/>
  <c r="CX244" i="1"/>
  <c r="CV244" i="1"/>
  <c r="CS244" i="1"/>
  <c r="CK244" i="1"/>
  <c r="CC244" i="1"/>
  <c r="CB244" i="1"/>
  <c r="CA244" i="1"/>
  <c r="BZ244" i="1"/>
  <c r="BY244" i="1"/>
  <c r="BX244" i="1"/>
  <c r="BW244" i="1"/>
  <c r="BV244" i="1"/>
  <c r="BT244" i="1"/>
  <c r="CY243" i="1"/>
  <c r="CX243" i="1"/>
  <c r="CV243" i="1"/>
  <c r="CS243" i="1"/>
  <c r="CK243" i="1"/>
  <c r="CC243" i="1"/>
  <c r="CB243" i="1"/>
  <c r="CA243" i="1"/>
  <c r="BZ243" i="1"/>
  <c r="BY243" i="1"/>
  <c r="BX243" i="1"/>
  <c r="BW243" i="1"/>
  <c r="BV243" i="1"/>
  <c r="BT243" i="1"/>
  <c r="CY242" i="1"/>
  <c r="CX242" i="1"/>
  <c r="CV242" i="1"/>
  <c r="CS242" i="1"/>
  <c r="CK242" i="1"/>
  <c r="CC242" i="1"/>
  <c r="CB242" i="1"/>
  <c r="CA242" i="1"/>
  <c r="BZ242" i="1"/>
  <c r="BY242" i="1"/>
  <c r="BX242" i="1"/>
  <c r="BW242" i="1"/>
  <c r="BV242" i="1"/>
  <c r="BT242" i="1"/>
  <c r="CY241" i="1"/>
  <c r="CX241" i="1"/>
  <c r="CV241" i="1"/>
  <c r="CS241" i="1"/>
  <c r="CK241" i="1"/>
  <c r="CC241" i="1"/>
  <c r="CB241" i="1"/>
  <c r="CA241" i="1"/>
  <c r="BZ241" i="1"/>
  <c r="BY241" i="1"/>
  <c r="BX241" i="1"/>
  <c r="BW241" i="1"/>
  <c r="BV241" i="1"/>
  <c r="BT241" i="1"/>
  <c r="CY240" i="1"/>
  <c r="CX240" i="1"/>
  <c r="CV240" i="1"/>
  <c r="CS240" i="1"/>
  <c r="CK240" i="1"/>
  <c r="CC240" i="1"/>
  <c r="CB240" i="1"/>
  <c r="CA240" i="1"/>
  <c r="BZ240" i="1"/>
  <c r="BY240" i="1"/>
  <c r="BX240" i="1"/>
  <c r="BW240" i="1"/>
  <c r="BV240" i="1"/>
  <c r="BT240" i="1"/>
  <c r="CY239" i="1"/>
  <c r="CX239" i="1"/>
  <c r="CV239" i="1"/>
  <c r="CS239" i="1"/>
  <c r="CK239" i="1"/>
  <c r="CC239" i="1"/>
  <c r="CB239" i="1"/>
  <c r="CA239" i="1"/>
  <c r="BZ239" i="1"/>
  <c r="BY239" i="1"/>
  <c r="BX239" i="1"/>
  <c r="BW239" i="1"/>
  <c r="BV239" i="1"/>
  <c r="BT239" i="1"/>
  <c r="CY238" i="1"/>
  <c r="CX238" i="1"/>
  <c r="CV238" i="1"/>
  <c r="CS238" i="1"/>
  <c r="CK238" i="1"/>
  <c r="CC238" i="1"/>
  <c r="CB238" i="1"/>
  <c r="CA238" i="1"/>
  <c r="BZ238" i="1"/>
  <c r="BY238" i="1"/>
  <c r="BX238" i="1"/>
  <c r="BW238" i="1"/>
  <c r="BV238" i="1"/>
  <c r="BT238" i="1"/>
  <c r="CY237" i="1"/>
  <c r="CX237" i="1"/>
  <c r="CV237" i="1"/>
  <c r="CS237" i="1"/>
  <c r="CK237" i="1"/>
  <c r="CC237" i="1"/>
  <c r="CB237" i="1"/>
  <c r="CA237" i="1"/>
  <c r="BZ237" i="1"/>
  <c r="BY237" i="1"/>
  <c r="BX237" i="1"/>
  <c r="BW237" i="1"/>
  <c r="BV237" i="1"/>
  <c r="BT237" i="1"/>
  <c r="CY236" i="1"/>
  <c r="CX236" i="1"/>
  <c r="CV236" i="1"/>
  <c r="CS236" i="1"/>
  <c r="CK236" i="1"/>
  <c r="CC236" i="1"/>
  <c r="CB236" i="1"/>
  <c r="CA236" i="1"/>
  <c r="BZ236" i="1"/>
  <c r="BY236" i="1"/>
  <c r="BX236" i="1"/>
  <c r="BW236" i="1"/>
  <c r="BV236" i="1"/>
  <c r="BT236" i="1"/>
  <c r="CY235" i="1"/>
  <c r="CX235" i="1"/>
  <c r="CV235" i="1"/>
  <c r="CS235" i="1"/>
  <c r="CK235" i="1"/>
  <c r="CC235" i="1"/>
  <c r="CB235" i="1"/>
  <c r="CA235" i="1"/>
  <c r="BZ235" i="1"/>
  <c r="BY235" i="1"/>
  <c r="BX235" i="1"/>
  <c r="BW235" i="1"/>
  <c r="BV235" i="1"/>
  <c r="BT235" i="1"/>
  <c r="CY234" i="1"/>
  <c r="CX234" i="1"/>
  <c r="CV234" i="1"/>
  <c r="CS234" i="1"/>
  <c r="CK234" i="1"/>
  <c r="CC234" i="1"/>
  <c r="CB234" i="1"/>
  <c r="CA234" i="1"/>
  <c r="BZ234" i="1"/>
  <c r="BY234" i="1"/>
  <c r="BX234" i="1"/>
  <c r="BW234" i="1"/>
  <c r="BV234" i="1"/>
  <c r="BT234" i="1"/>
  <c r="CY233" i="1"/>
  <c r="CX233" i="1"/>
  <c r="CV233" i="1"/>
  <c r="CS233" i="1"/>
  <c r="CK233" i="1"/>
  <c r="CC233" i="1"/>
  <c r="CB233" i="1"/>
  <c r="CA233" i="1"/>
  <c r="BZ233" i="1"/>
  <c r="BY233" i="1"/>
  <c r="BX233" i="1"/>
  <c r="BW233" i="1"/>
  <c r="BV233" i="1"/>
  <c r="BT233" i="1"/>
  <c r="CY232" i="1"/>
  <c r="CX232" i="1"/>
  <c r="CV232" i="1"/>
  <c r="CS232" i="1"/>
  <c r="CK232" i="1"/>
  <c r="CC232" i="1"/>
  <c r="CB232" i="1"/>
  <c r="CA232" i="1"/>
  <c r="BZ232" i="1"/>
  <c r="BY232" i="1"/>
  <c r="BX232" i="1"/>
  <c r="BW232" i="1"/>
  <c r="BV232" i="1"/>
  <c r="BT232" i="1"/>
  <c r="CY231" i="1"/>
  <c r="CX231" i="1"/>
  <c r="CV231" i="1"/>
  <c r="CS231" i="1"/>
  <c r="CK231" i="1"/>
  <c r="CC231" i="1"/>
  <c r="CB231" i="1"/>
  <c r="CA231" i="1"/>
  <c r="BZ231" i="1"/>
  <c r="BY231" i="1"/>
  <c r="BX231" i="1"/>
  <c r="BW231" i="1"/>
  <c r="BV231" i="1"/>
  <c r="BT231" i="1"/>
  <c r="CY230" i="1"/>
  <c r="CX230" i="1"/>
  <c r="CV230" i="1"/>
  <c r="CS230" i="1"/>
  <c r="CK230" i="1"/>
  <c r="CC230" i="1"/>
  <c r="CB230" i="1"/>
  <c r="CA230" i="1"/>
  <c r="BZ230" i="1"/>
  <c r="BY230" i="1"/>
  <c r="BX230" i="1"/>
  <c r="BW230" i="1"/>
  <c r="BV230" i="1"/>
  <c r="BT230" i="1"/>
  <c r="CY229" i="1"/>
  <c r="CX229" i="1"/>
  <c r="CV229" i="1"/>
  <c r="CS229" i="1"/>
  <c r="CK229" i="1"/>
  <c r="CC229" i="1"/>
  <c r="CB229" i="1"/>
  <c r="CA229" i="1"/>
  <c r="BZ229" i="1"/>
  <c r="BY229" i="1"/>
  <c r="BX229" i="1"/>
  <c r="BW229" i="1"/>
  <c r="BV229" i="1"/>
  <c r="BT229" i="1"/>
  <c r="CY228" i="1"/>
  <c r="CX228" i="1"/>
  <c r="CV228" i="1"/>
  <c r="CS228" i="1"/>
  <c r="CK228" i="1"/>
  <c r="CC228" i="1"/>
  <c r="CB228" i="1"/>
  <c r="CA228" i="1"/>
  <c r="BZ228" i="1"/>
  <c r="BY228" i="1"/>
  <c r="BX228" i="1"/>
  <c r="BW228" i="1"/>
  <c r="BV228" i="1"/>
  <c r="BT228" i="1"/>
  <c r="CY227" i="1"/>
  <c r="CX227" i="1"/>
  <c r="CV227" i="1"/>
  <c r="CS227" i="1"/>
  <c r="CK227" i="1"/>
  <c r="CC227" i="1"/>
  <c r="CB227" i="1"/>
  <c r="CA227" i="1"/>
  <c r="BZ227" i="1"/>
  <c r="BY227" i="1"/>
  <c r="BX227" i="1"/>
  <c r="BW227" i="1"/>
  <c r="BV227" i="1"/>
  <c r="BT227" i="1"/>
  <c r="CY226" i="1"/>
  <c r="CX226" i="1"/>
  <c r="CV226" i="1"/>
  <c r="CS226" i="1"/>
  <c r="CK226" i="1"/>
  <c r="CC226" i="1"/>
  <c r="CB226" i="1"/>
  <c r="CA226" i="1"/>
  <c r="BZ226" i="1"/>
  <c r="BY226" i="1"/>
  <c r="BX226" i="1"/>
  <c r="BW226" i="1"/>
  <c r="BV226" i="1"/>
  <c r="BT226" i="1"/>
  <c r="CY225" i="1"/>
  <c r="CX225" i="1"/>
  <c r="CV225" i="1"/>
  <c r="CS225" i="1"/>
  <c r="CK225" i="1"/>
  <c r="CC225" i="1"/>
  <c r="CB225" i="1"/>
  <c r="CA225" i="1"/>
  <c r="BZ225" i="1"/>
  <c r="BY225" i="1"/>
  <c r="BX225" i="1"/>
  <c r="BW225" i="1"/>
  <c r="BV225" i="1"/>
  <c r="BT225" i="1"/>
  <c r="CY224" i="1"/>
  <c r="CX224" i="1"/>
  <c r="CV224" i="1"/>
  <c r="CS224" i="1"/>
  <c r="CK224" i="1"/>
  <c r="CC224" i="1"/>
  <c r="CB224" i="1"/>
  <c r="CA224" i="1"/>
  <c r="BZ224" i="1"/>
  <c r="BY224" i="1"/>
  <c r="BX224" i="1"/>
  <c r="BW224" i="1"/>
  <c r="BV224" i="1"/>
  <c r="BT224" i="1"/>
  <c r="CY223" i="1"/>
  <c r="CX223" i="1"/>
  <c r="CV223" i="1"/>
  <c r="CS223" i="1"/>
  <c r="CK223" i="1"/>
  <c r="CC223" i="1"/>
  <c r="CB223" i="1"/>
  <c r="CA223" i="1"/>
  <c r="BZ223" i="1"/>
  <c r="BY223" i="1"/>
  <c r="BX223" i="1"/>
  <c r="BW223" i="1"/>
  <c r="BV223" i="1"/>
  <c r="BT223" i="1"/>
  <c r="CY222" i="1"/>
  <c r="CX222" i="1"/>
  <c r="CV222" i="1"/>
  <c r="CS222" i="1"/>
  <c r="CK222" i="1"/>
  <c r="CC222" i="1"/>
  <c r="CB222" i="1"/>
  <c r="CA222" i="1"/>
  <c r="BZ222" i="1"/>
  <c r="BY222" i="1"/>
  <c r="BX222" i="1"/>
  <c r="BW222" i="1"/>
  <c r="BV222" i="1"/>
  <c r="BT222" i="1"/>
  <c r="CY221" i="1"/>
  <c r="CX221" i="1"/>
  <c r="CV221" i="1"/>
  <c r="CS221" i="1"/>
  <c r="CK221" i="1"/>
  <c r="CC221" i="1"/>
  <c r="CB221" i="1"/>
  <c r="CA221" i="1"/>
  <c r="BZ221" i="1"/>
  <c r="BY221" i="1"/>
  <c r="BX221" i="1"/>
  <c r="BW221" i="1"/>
  <c r="BV221" i="1"/>
  <c r="BT221" i="1"/>
  <c r="CY220" i="1"/>
  <c r="CX220" i="1"/>
  <c r="CV220" i="1"/>
  <c r="CS220" i="1"/>
  <c r="CK220" i="1"/>
  <c r="CC220" i="1"/>
  <c r="CB220" i="1"/>
  <c r="CA220" i="1"/>
  <c r="BZ220" i="1"/>
  <c r="BY220" i="1"/>
  <c r="BX220" i="1"/>
  <c r="BW220" i="1"/>
  <c r="BV220" i="1"/>
  <c r="BT220" i="1"/>
  <c r="CY219" i="1"/>
  <c r="CX219" i="1"/>
  <c r="CV219" i="1"/>
  <c r="CS219" i="1"/>
  <c r="CK219" i="1"/>
  <c r="CC219" i="1"/>
  <c r="CB219" i="1"/>
  <c r="CA219" i="1"/>
  <c r="BZ219" i="1"/>
  <c r="BY219" i="1"/>
  <c r="BX219" i="1"/>
  <c r="BW219" i="1"/>
  <c r="BV219" i="1"/>
  <c r="BT219" i="1"/>
  <c r="CY218" i="1"/>
  <c r="CX218" i="1"/>
  <c r="CV218" i="1"/>
  <c r="CS218" i="1"/>
  <c r="CK218" i="1"/>
  <c r="CC218" i="1"/>
  <c r="CB218" i="1"/>
  <c r="CA218" i="1"/>
  <c r="BZ218" i="1"/>
  <c r="BY218" i="1"/>
  <c r="BX218" i="1"/>
  <c r="BW218" i="1"/>
  <c r="BV218" i="1"/>
  <c r="BT218" i="1"/>
  <c r="CY217" i="1"/>
  <c r="CX217" i="1"/>
  <c r="CV217" i="1"/>
  <c r="CS217" i="1"/>
  <c r="CK217" i="1"/>
  <c r="CC217" i="1"/>
  <c r="CB217" i="1"/>
  <c r="CA217" i="1"/>
  <c r="BZ217" i="1"/>
  <c r="BY217" i="1"/>
  <c r="BX217" i="1"/>
  <c r="BW217" i="1"/>
  <c r="BV217" i="1"/>
  <c r="BT217" i="1"/>
  <c r="CY216" i="1"/>
  <c r="CX216" i="1"/>
  <c r="CV216" i="1"/>
  <c r="CS216" i="1"/>
  <c r="CK216" i="1"/>
  <c r="CC216" i="1"/>
  <c r="CB216" i="1"/>
  <c r="CA216" i="1"/>
  <c r="BZ216" i="1"/>
  <c r="BY216" i="1"/>
  <c r="BX216" i="1"/>
  <c r="BW216" i="1"/>
  <c r="BV216" i="1"/>
  <c r="BT216" i="1"/>
  <c r="CY215" i="1"/>
  <c r="CX215" i="1"/>
  <c r="CV215" i="1"/>
  <c r="CS215" i="1"/>
  <c r="CK215" i="1"/>
  <c r="CC215" i="1"/>
  <c r="CB215" i="1"/>
  <c r="CA215" i="1"/>
  <c r="BZ215" i="1"/>
  <c r="BY215" i="1"/>
  <c r="BX215" i="1"/>
  <c r="BW215" i="1"/>
  <c r="BV215" i="1"/>
  <c r="BT215" i="1"/>
  <c r="CY214" i="1"/>
  <c r="CX214" i="1"/>
  <c r="CV214" i="1"/>
  <c r="CS214" i="1"/>
  <c r="CK214" i="1"/>
  <c r="CC214" i="1"/>
  <c r="CB214" i="1"/>
  <c r="CA214" i="1"/>
  <c r="BZ214" i="1"/>
  <c r="BY214" i="1"/>
  <c r="BX214" i="1"/>
  <c r="BW214" i="1"/>
  <c r="BV214" i="1"/>
  <c r="BT214" i="1"/>
  <c r="CY213" i="1"/>
  <c r="CX213" i="1"/>
  <c r="CV213" i="1"/>
  <c r="CS213" i="1"/>
  <c r="CK213" i="1"/>
  <c r="CC213" i="1"/>
  <c r="CB213" i="1"/>
  <c r="CA213" i="1"/>
  <c r="BZ213" i="1"/>
  <c r="BY213" i="1"/>
  <c r="BX213" i="1"/>
  <c r="BW213" i="1"/>
  <c r="BV213" i="1"/>
  <c r="BT213" i="1"/>
  <c r="CY212" i="1"/>
  <c r="CX212" i="1"/>
  <c r="CV212" i="1"/>
  <c r="CS212" i="1"/>
  <c r="CK212" i="1"/>
  <c r="CC212" i="1"/>
  <c r="CB212" i="1"/>
  <c r="CA212" i="1"/>
  <c r="BZ212" i="1"/>
  <c r="BY212" i="1"/>
  <c r="BX212" i="1"/>
  <c r="BW212" i="1"/>
  <c r="BV212" i="1"/>
  <c r="BT212" i="1"/>
  <c r="CY211" i="1"/>
  <c r="CX211" i="1"/>
  <c r="CV211" i="1"/>
  <c r="CS211" i="1"/>
  <c r="CK211" i="1"/>
  <c r="CC211" i="1"/>
  <c r="CB211" i="1"/>
  <c r="CA211" i="1"/>
  <c r="BZ211" i="1"/>
  <c r="BY211" i="1"/>
  <c r="BX211" i="1"/>
  <c r="BW211" i="1"/>
  <c r="BV211" i="1"/>
  <c r="BT211" i="1"/>
  <c r="CY210" i="1"/>
  <c r="CX210" i="1"/>
  <c r="CV210" i="1"/>
  <c r="CS210" i="1"/>
  <c r="CK210" i="1"/>
  <c r="CC210" i="1"/>
  <c r="CB210" i="1"/>
  <c r="CA210" i="1"/>
  <c r="BZ210" i="1"/>
  <c r="BY210" i="1"/>
  <c r="BX210" i="1"/>
  <c r="BW210" i="1"/>
  <c r="BV210" i="1"/>
  <c r="BT210" i="1"/>
  <c r="CY209" i="1"/>
  <c r="CX209" i="1"/>
  <c r="CV209" i="1"/>
  <c r="CS209" i="1"/>
  <c r="CK209" i="1"/>
  <c r="CC209" i="1"/>
  <c r="CB209" i="1"/>
  <c r="CA209" i="1"/>
  <c r="BZ209" i="1"/>
  <c r="BY209" i="1"/>
  <c r="BX209" i="1"/>
  <c r="BW209" i="1"/>
  <c r="BV209" i="1"/>
  <c r="BT209" i="1"/>
  <c r="CY208" i="1"/>
  <c r="CX208" i="1"/>
  <c r="CV208" i="1"/>
  <c r="CS208" i="1"/>
  <c r="CK208" i="1"/>
  <c r="CC208" i="1"/>
  <c r="CB208" i="1"/>
  <c r="CA208" i="1"/>
  <c r="BZ208" i="1"/>
  <c r="BY208" i="1"/>
  <c r="BX208" i="1"/>
  <c r="BW208" i="1"/>
  <c r="BV208" i="1"/>
  <c r="BT208" i="1"/>
  <c r="CY207" i="1"/>
  <c r="CX207" i="1"/>
  <c r="CV207" i="1"/>
  <c r="CS207" i="1"/>
  <c r="CK207" i="1"/>
  <c r="CC207" i="1"/>
  <c r="CB207" i="1"/>
  <c r="CA207" i="1"/>
  <c r="BZ207" i="1"/>
  <c r="BY207" i="1"/>
  <c r="BX207" i="1"/>
  <c r="BW207" i="1"/>
  <c r="BV207" i="1"/>
  <c r="BT207" i="1"/>
  <c r="CY206" i="1"/>
  <c r="CX206" i="1"/>
  <c r="CV206" i="1"/>
  <c r="CS206" i="1"/>
  <c r="CK206" i="1"/>
  <c r="CC206" i="1"/>
  <c r="CB206" i="1"/>
  <c r="CA206" i="1"/>
  <c r="BZ206" i="1"/>
  <c r="BY206" i="1"/>
  <c r="BX206" i="1"/>
  <c r="BW206" i="1"/>
  <c r="BV206" i="1"/>
  <c r="BT206" i="1"/>
  <c r="CY205" i="1"/>
  <c r="CX205" i="1"/>
  <c r="CV205" i="1"/>
  <c r="CS205" i="1"/>
  <c r="CK205" i="1"/>
  <c r="CC205" i="1"/>
  <c r="CB205" i="1"/>
  <c r="CA205" i="1"/>
  <c r="BZ205" i="1"/>
  <c r="BY205" i="1"/>
  <c r="BX205" i="1"/>
  <c r="BW205" i="1"/>
  <c r="BV205" i="1"/>
  <c r="BT205" i="1"/>
  <c r="CY204" i="1"/>
  <c r="CX204" i="1"/>
  <c r="CV204" i="1"/>
  <c r="CS204" i="1"/>
  <c r="CK204" i="1"/>
  <c r="CC204" i="1"/>
  <c r="CB204" i="1"/>
  <c r="CA204" i="1"/>
  <c r="BZ204" i="1"/>
  <c r="BY204" i="1"/>
  <c r="BX204" i="1"/>
  <c r="BW204" i="1"/>
  <c r="BV204" i="1"/>
  <c r="BT204" i="1"/>
  <c r="CY203" i="1"/>
  <c r="CX203" i="1"/>
  <c r="CV203" i="1"/>
  <c r="CS203" i="1"/>
  <c r="CK203" i="1"/>
  <c r="CC203" i="1"/>
  <c r="CB203" i="1"/>
  <c r="CA203" i="1"/>
  <c r="BZ203" i="1"/>
  <c r="BY203" i="1"/>
  <c r="BX203" i="1"/>
  <c r="BW203" i="1"/>
  <c r="BV203" i="1"/>
  <c r="BT203" i="1"/>
  <c r="CY202" i="1"/>
  <c r="CX202" i="1"/>
  <c r="CV202" i="1"/>
  <c r="CS202" i="1"/>
  <c r="CK202" i="1"/>
  <c r="CC202" i="1"/>
  <c r="CB202" i="1"/>
  <c r="CA202" i="1"/>
  <c r="BZ202" i="1"/>
  <c r="BY202" i="1"/>
  <c r="BX202" i="1"/>
  <c r="BW202" i="1"/>
  <c r="BV202" i="1"/>
  <c r="BT202" i="1"/>
  <c r="CY201" i="1"/>
  <c r="CX201" i="1"/>
  <c r="CV201" i="1"/>
  <c r="CS201" i="1"/>
  <c r="CK201" i="1"/>
  <c r="CC201" i="1"/>
  <c r="CB201" i="1"/>
  <c r="CA201" i="1"/>
  <c r="BZ201" i="1"/>
  <c r="BY201" i="1"/>
  <c r="BX201" i="1"/>
  <c r="BW201" i="1"/>
  <c r="BV201" i="1"/>
  <c r="BT201" i="1"/>
  <c r="CY200" i="1"/>
  <c r="CX200" i="1"/>
  <c r="CV200" i="1"/>
  <c r="CS200" i="1"/>
  <c r="CK200" i="1"/>
  <c r="CC200" i="1"/>
  <c r="CB200" i="1"/>
  <c r="CA200" i="1"/>
  <c r="BZ200" i="1"/>
  <c r="BY200" i="1"/>
  <c r="BX200" i="1"/>
  <c r="BW200" i="1"/>
  <c r="BV200" i="1"/>
  <c r="BT200" i="1"/>
  <c r="CY199" i="1"/>
  <c r="CX199" i="1"/>
  <c r="CV199" i="1"/>
  <c r="CS199" i="1"/>
  <c r="CK199" i="1"/>
  <c r="CC199" i="1"/>
  <c r="CB199" i="1"/>
  <c r="CA199" i="1"/>
  <c r="BZ199" i="1"/>
  <c r="BY199" i="1"/>
  <c r="BX199" i="1"/>
  <c r="BW199" i="1"/>
  <c r="BV199" i="1"/>
  <c r="BT199" i="1"/>
  <c r="CY198" i="1"/>
  <c r="CX198" i="1"/>
  <c r="CV198" i="1"/>
  <c r="CS198" i="1"/>
  <c r="CK198" i="1"/>
  <c r="CC198" i="1"/>
  <c r="CB198" i="1"/>
  <c r="CA198" i="1"/>
  <c r="BZ198" i="1"/>
  <c r="BY198" i="1"/>
  <c r="BX198" i="1"/>
  <c r="BW198" i="1"/>
  <c r="BV198" i="1"/>
  <c r="BT198" i="1"/>
  <c r="CY197" i="1"/>
  <c r="CX197" i="1"/>
  <c r="CV197" i="1"/>
  <c r="CS197" i="1"/>
  <c r="CK197" i="1"/>
  <c r="CC197" i="1"/>
  <c r="CB197" i="1"/>
  <c r="CA197" i="1"/>
  <c r="BZ197" i="1"/>
  <c r="BY197" i="1"/>
  <c r="BX197" i="1"/>
  <c r="BW197" i="1"/>
  <c r="BV197" i="1"/>
  <c r="BT197" i="1"/>
  <c r="CY196" i="1"/>
  <c r="CX196" i="1"/>
  <c r="CV196" i="1"/>
  <c r="CS196" i="1"/>
  <c r="CK196" i="1"/>
  <c r="CC196" i="1"/>
  <c r="CB196" i="1"/>
  <c r="CA196" i="1"/>
  <c r="BZ196" i="1"/>
  <c r="BY196" i="1"/>
  <c r="BX196" i="1"/>
  <c r="BW196" i="1"/>
  <c r="BV196" i="1"/>
  <c r="BT196" i="1"/>
  <c r="CY195" i="1"/>
  <c r="CX195" i="1"/>
  <c r="CV195" i="1"/>
  <c r="CS195" i="1"/>
  <c r="CK195" i="1"/>
  <c r="CC195" i="1"/>
  <c r="CB195" i="1"/>
  <c r="CA195" i="1"/>
  <c r="BZ195" i="1"/>
  <c r="BY195" i="1"/>
  <c r="BX195" i="1"/>
  <c r="BW195" i="1"/>
  <c r="BV195" i="1"/>
  <c r="BT195" i="1"/>
  <c r="CY194" i="1"/>
  <c r="CX194" i="1"/>
  <c r="CV194" i="1"/>
  <c r="CS194" i="1"/>
  <c r="CK194" i="1"/>
  <c r="CC194" i="1"/>
  <c r="CB194" i="1"/>
  <c r="CA194" i="1"/>
  <c r="BZ194" i="1"/>
  <c r="BY194" i="1"/>
  <c r="BX194" i="1"/>
  <c r="BW194" i="1"/>
  <c r="BV194" i="1"/>
  <c r="BT194" i="1"/>
  <c r="CY193" i="1"/>
  <c r="CX193" i="1"/>
  <c r="CV193" i="1"/>
  <c r="CS193" i="1"/>
  <c r="CK193" i="1"/>
  <c r="CC193" i="1"/>
  <c r="CB193" i="1"/>
  <c r="CA193" i="1"/>
  <c r="BZ193" i="1"/>
  <c r="BY193" i="1"/>
  <c r="BX193" i="1"/>
  <c r="BW193" i="1"/>
  <c r="BV193" i="1"/>
  <c r="BT193" i="1"/>
  <c r="CY192" i="1"/>
  <c r="CX192" i="1"/>
  <c r="CV192" i="1"/>
  <c r="CS192" i="1"/>
  <c r="CK192" i="1"/>
  <c r="CC192" i="1"/>
  <c r="CB192" i="1"/>
  <c r="CA192" i="1"/>
  <c r="BZ192" i="1"/>
  <c r="BY192" i="1"/>
  <c r="BX192" i="1"/>
  <c r="BW192" i="1"/>
  <c r="BV192" i="1"/>
  <c r="BT192" i="1"/>
  <c r="CY191" i="1"/>
  <c r="CX191" i="1"/>
  <c r="CV191" i="1"/>
  <c r="CS191" i="1"/>
  <c r="CK191" i="1"/>
  <c r="CC191" i="1"/>
  <c r="CB191" i="1"/>
  <c r="CA191" i="1"/>
  <c r="BZ191" i="1"/>
  <c r="BY191" i="1"/>
  <c r="BX191" i="1"/>
  <c r="BW191" i="1"/>
  <c r="BV191" i="1"/>
  <c r="BT191" i="1"/>
  <c r="CY190" i="1"/>
  <c r="CX190" i="1"/>
  <c r="CV190" i="1"/>
  <c r="CS190" i="1"/>
  <c r="CK190" i="1"/>
  <c r="CC190" i="1"/>
  <c r="CB190" i="1"/>
  <c r="CA190" i="1"/>
  <c r="BZ190" i="1"/>
  <c r="BY190" i="1"/>
  <c r="BX190" i="1"/>
  <c r="BW190" i="1"/>
  <c r="BV190" i="1"/>
  <c r="BT190" i="1"/>
  <c r="CY189" i="1"/>
  <c r="CX189" i="1"/>
  <c r="CV189" i="1"/>
  <c r="CS189" i="1"/>
  <c r="CK189" i="1"/>
  <c r="CC189" i="1"/>
  <c r="CB189" i="1"/>
  <c r="CA189" i="1"/>
  <c r="BZ189" i="1"/>
  <c r="BY189" i="1"/>
  <c r="BX189" i="1"/>
  <c r="BW189" i="1"/>
  <c r="BV189" i="1"/>
  <c r="BT189" i="1"/>
  <c r="CY188" i="1"/>
  <c r="CX188" i="1"/>
  <c r="CV188" i="1"/>
  <c r="CS188" i="1"/>
  <c r="CK188" i="1"/>
  <c r="CC188" i="1"/>
  <c r="CB188" i="1"/>
  <c r="CA188" i="1"/>
  <c r="BZ188" i="1"/>
  <c r="BY188" i="1"/>
  <c r="BX188" i="1"/>
  <c r="BW188" i="1"/>
  <c r="BV188" i="1"/>
  <c r="BT188" i="1"/>
  <c r="CY187" i="1"/>
  <c r="CX187" i="1"/>
  <c r="CV187" i="1"/>
  <c r="CS187" i="1"/>
  <c r="CK187" i="1"/>
  <c r="CC187" i="1"/>
  <c r="CB187" i="1"/>
  <c r="CA187" i="1"/>
  <c r="BZ187" i="1"/>
  <c r="BY187" i="1"/>
  <c r="BX187" i="1"/>
  <c r="BW187" i="1"/>
  <c r="BV187" i="1"/>
  <c r="BT187" i="1"/>
  <c r="CY186" i="1"/>
  <c r="CX186" i="1"/>
  <c r="CV186" i="1"/>
  <c r="CS186" i="1"/>
  <c r="CK186" i="1"/>
  <c r="CC186" i="1"/>
  <c r="CB186" i="1"/>
  <c r="CA186" i="1"/>
  <c r="BZ186" i="1"/>
  <c r="BY186" i="1"/>
  <c r="BX186" i="1"/>
  <c r="BW186" i="1"/>
  <c r="BV186" i="1"/>
  <c r="BT186" i="1"/>
  <c r="CY185" i="1"/>
  <c r="CX185" i="1"/>
  <c r="CV185" i="1"/>
  <c r="CS185" i="1"/>
  <c r="CK185" i="1"/>
  <c r="CC185" i="1"/>
  <c r="CB185" i="1"/>
  <c r="CA185" i="1"/>
  <c r="BZ185" i="1"/>
  <c r="BY185" i="1"/>
  <c r="BX185" i="1"/>
  <c r="BW185" i="1"/>
  <c r="BV185" i="1"/>
  <c r="BT185" i="1"/>
  <c r="CY184" i="1"/>
  <c r="CX184" i="1"/>
  <c r="CV184" i="1"/>
  <c r="CS184" i="1"/>
  <c r="CK184" i="1"/>
  <c r="CC184" i="1"/>
  <c r="CB184" i="1"/>
  <c r="CA184" i="1"/>
  <c r="BZ184" i="1"/>
  <c r="BY184" i="1"/>
  <c r="BX184" i="1"/>
  <c r="BW184" i="1"/>
  <c r="BV184" i="1"/>
  <c r="BT184" i="1"/>
  <c r="CY183" i="1"/>
  <c r="CX183" i="1"/>
  <c r="CV183" i="1"/>
  <c r="CS183" i="1"/>
  <c r="CK183" i="1"/>
  <c r="CC183" i="1"/>
  <c r="CB183" i="1"/>
  <c r="CA183" i="1"/>
  <c r="BZ183" i="1"/>
  <c r="BY183" i="1"/>
  <c r="BX183" i="1"/>
  <c r="BW183" i="1"/>
  <c r="BV183" i="1"/>
  <c r="BT183" i="1"/>
  <c r="CY182" i="1"/>
  <c r="CX182" i="1"/>
  <c r="CV182" i="1"/>
  <c r="CS182" i="1"/>
  <c r="CK182" i="1"/>
  <c r="CC182" i="1"/>
  <c r="CB182" i="1"/>
  <c r="CA182" i="1"/>
  <c r="BZ182" i="1"/>
  <c r="BY182" i="1"/>
  <c r="BX182" i="1"/>
  <c r="BW182" i="1"/>
  <c r="BV182" i="1"/>
  <c r="BT182" i="1"/>
  <c r="CY181" i="1"/>
  <c r="CX181" i="1"/>
  <c r="CV181" i="1"/>
  <c r="CS181" i="1"/>
  <c r="CK181" i="1"/>
  <c r="CC181" i="1"/>
  <c r="CB181" i="1"/>
  <c r="CA181" i="1"/>
  <c r="BZ181" i="1"/>
  <c r="BY181" i="1"/>
  <c r="BX181" i="1"/>
  <c r="BW181" i="1"/>
  <c r="BV181" i="1"/>
  <c r="BT181" i="1"/>
  <c r="CY180" i="1"/>
  <c r="CX180" i="1"/>
  <c r="CV180" i="1"/>
  <c r="CS180" i="1"/>
  <c r="CK180" i="1"/>
  <c r="CC180" i="1"/>
  <c r="CB180" i="1"/>
  <c r="CA180" i="1"/>
  <c r="BZ180" i="1"/>
  <c r="BY180" i="1"/>
  <c r="BX180" i="1"/>
  <c r="BW180" i="1"/>
  <c r="BV180" i="1"/>
  <c r="BT180" i="1"/>
  <c r="CY179" i="1"/>
  <c r="CX179" i="1"/>
  <c r="CV179" i="1"/>
  <c r="CS179" i="1"/>
  <c r="CK179" i="1"/>
  <c r="CC179" i="1"/>
  <c r="CB179" i="1"/>
  <c r="CA179" i="1"/>
  <c r="BZ179" i="1"/>
  <c r="BY179" i="1"/>
  <c r="BX179" i="1"/>
  <c r="BW179" i="1"/>
  <c r="BV179" i="1"/>
  <c r="BT179" i="1"/>
  <c r="CY178" i="1"/>
  <c r="CX178" i="1"/>
  <c r="CV178" i="1"/>
  <c r="CS178" i="1"/>
  <c r="CK178" i="1"/>
  <c r="CC178" i="1"/>
  <c r="CB178" i="1"/>
  <c r="CA178" i="1"/>
  <c r="BZ178" i="1"/>
  <c r="BY178" i="1"/>
  <c r="BX178" i="1"/>
  <c r="BW178" i="1"/>
  <c r="BV178" i="1"/>
  <c r="BT178" i="1"/>
  <c r="CY177" i="1"/>
  <c r="CX177" i="1"/>
  <c r="CV177" i="1"/>
  <c r="CS177" i="1"/>
  <c r="CK177" i="1"/>
  <c r="CC177" i="1"/>
  <c r="CB177" i="1"/>
  <c r="CA177" i="1"/>
  <c r="BZ177" i="1"/>
  <c r="BY177" i="1"/>
  <c r="BX177" i="1"/>
  <c r="BW177" i="1"/>
  <c r="BV177" i="1"/>
  <c r="BT177" i="1"/>
  <c r="CY176" i="1"/>
  <c r="CX176" i="1"/>
  <c r="CV176" i="1"/>
  <c r="CS176" i="1"/>
  <c r="CK176" i="1"/>
  <c r="CC176" i="1"/>
  <c r="CB176" i="1"/>
  <c r="CA176" i="1"/>
  <c r="BZ176" i="1"/>
  <c r="BY176" i="1"/>
  <c r="BX176" i="1"/>
  <c r="BW176" i="1"/>
  <c r="BV176" i="1"/>
  <c r="BT176" i="1"/>
  <c r="CY175" i="1"/>
  <c r="CX175" i="1"/>
  <c r="CV175" i="1"/>
  <c r="CS175" i="1"/>
  <c r="CK175" i="1"/>
  <c r="CC175" i="1"/>
  <c r="CB175" i="1"/>
  <c r="CA175" i="1"/>
  <c r="BZ175" i="1"/>
  <c r="BY175" i="1"/>
  <c r="BX175" i="1"/>
  <c r="BW175" i="1"/>
  <c r="BV175" i="1"/>
  <c r="BT175" i="1"/>
  <c r="CY174" i="1"/>
  <c r="CX174" i="1"/>
  <c r="CV174" i="1"/>
  <c r="CS174" i="1"/>
  <c r="CK174" i="1"/>
  <c r="CC174" i="1"/>
  <c r="CB174" i="1"/>
  <c r="CA174" i="1"/>
  <c r="BZ174" i="1"/>
  <c r="BY174" i="1"/>
  <c r="BX174" i="1"/>
  <c r="BW174" i="1"/>
  <c r="BV174" i="1"/>
  <c r="BT174" i="1"/>
  <c r="CY173" i="1"/>
  <c r="CX173" i="1"/>
  <c r="CV173" i="1"/>
  <c r="CS173" i="1"/>
  <c r="CK173" i="1"/>
  <c r="CC173" i="1"/>
  <c r="CB173" i="1"/>
  <c r="CA173" i="1"/>
  <c r="BZ173" i="1"/>
  <c r="BY173" i="1"/>
  <c r="BX173" i="1"/>
  <c r="BW173" i="1"/>
  <c r="BV173" i="1"/>
  <c r="BT173" i="1"/>
  <c r="CY172" i="1"/>
  <c r="CX172" i="1"/>
  <c r="CV172" i="1"/>
  <c r="CS172" i="1"/>
  <c r="CK172" i="1"/>
  <c r="CC172" i="1"/>
  <c r="CB172" i="1"/>
  <c r="CA172" i="1"/>
  <c r="BZ172" i="1"/>
  <c r="BY172" i="1"/>
  <c r="BX172" i="1"/>
  <c r="BW172" i="1"/>
  <c r="BV172" i="1"/>
  <c r="BT172" i="1"/>
  <c r="CY171" i="1"/>
  <c r="CX171" i="1"/>
  <c r="CV171" i="1"/>
  <c r="CS171" i="1"/>
  <c r="CK171" i="1"/>
  <c r="CC171" i="1"/>
  <c r="CB171" i="1"/>
  <c r="CA171" i="1"/>
  <c r="BZ171" i="1"/>
  <c r="BY171" i="1"/>
  <c r="BX171" i="1"/>
  <c r="BW171" i="1"/>
  <c r="BV171" i="1"/>
  <c r="BT171" i="1"/>
  <c r="CY170" i="1"/>
  <c r="CX170" i="1"/>
  <c r="CV170" i="1"/>
  <c r="CS170" i="1"/>
  <c r="CK170" i="1"/>
  <c r="CC170" i="1"/>
  <c r="CB170" i="1"/>
  <c r="CA170" i="1"/>
  <c r="BZ170" i="1"/>
  <c r="BY170" i="1"/>
  <c r="BX170" i="1"/>
  <c r="BW170" i="1"/>
  <c r="BV170" i="1"/>
  <c r="BT170" i="1"/>
  <c r="CY169" i="1"/>
  <c r="CX169" i="1"/>
  <c r="CV169" i="1"/>
  <c r="CS169" i="1"/>
  <c r="CK169" i="1"/>
  <c r="CC169" i="1"/>
  <c r="CB169" i="1"/>
  <c r="CA169" i="1"/>
  <c r="BZ169" i="1"/>
  <c r="BY169" i="1"/>
  <c r="BX169" i="1"/>
  <c r="BW169" i="1"/>
  <c r="BV169" i="1"/>
  <c r="BT169" i="1"/>
  <c r="CY168" i="1"/>
  <c r="CX168" i="1"/>
  <c r="CV168" i="1"/>
  <c r="CS168" i="1"/>
  <c r="CK168" i="1"/>
  <c r="CC168" i="1"/>
  <c r="CB168" i="1"/>
  <c r="CA168" i="1"/>
  <c r="BZ168" i="1"/>
  <c r="BY168" i="1"/>
  <c r="BX168" i="1"/>
  <c r="BW168" i="1"/>
  <c r="BV168" i="1"/>
  <c r="BT168" i="1"/>
  <c r="CY167" i="1"/>
  <c r="CX167" i="1"/>
  <c r="CV167" i="1"/>
  <c r="CS167" i="1"/>
  <c r="CK167" i="1"/>
  <c r="CC167" i="1"/>
  <c r="CB167" i="1"/>
  <c r="CA167" i="1"/>
  <c r="BZ167" i="1"/>
  <c r="BY167" i="1"/>
  <c r="BX167" i="1"/>
  <c r="BW167" i="1"/>
  <c r="BV167" i="1"/>
  <c r="BT167" i="1"/>
  <c r="CY166" i="1"/>
  <c r="CX166" i="1"/>
  <c r="CV166" i="1"/>
  <c r="CS166" i="1"/>
  <c r="CK166" i="1"/>
  <c r="CC166" i="1"/>
  <c r="CB166" i="1"/>
  <c r="CA166" i="1"/>
  <c r="BZ166" i="1"/>
  <c r="BY166" i="1"/>
  <c r="BX166" i="1"/>
  <c r="BW166" i="1"/>
  <c r="BV166" i="1"/>
  <c r="BT166" i="1"/>
  <c r="CY165" i="1"/>
  <c r="CX165" i="1"/>
  <c r="CV165" i="1"/>
  <c r="CS165" i="1"/>
  <c r="CK165" i="1"/>
  <c r="CC165" i="1"/>
  <c r="CB165" i="1"/>
  <c r="CA165" i="1"/>
  <c r="BZ165" i="1"/>
  <c r="BY165" i="1"/>
  <c r="BX165" i="1"/>
  <c r="BW165" i="1"/>
  <c r="BV165" i="1"/>
  <c r="BT165" i="1"/>
  <c r="CY164" i="1"/>
  <c r="CX164" i="1"/>
  <c r="CV164" i="1"/>
  <c r="CS164" i="1"/>
  <c r="CK164" i="1"/>
  <c r="CC164" i="1"/>
  <c r="CB164" i="1"/>
  <c r="CA164" i="1"/>
  <c r="BZ164" i="1"/>
  <c r="BY164" i="1"/>
  <c r="BX164" i="1"/>
  <c r="BW164" i="1"/>
  <c r="BV164" i="1"/>
  <c r="BT164" i="1"/>
  <c r="CY163" i="1"/>
  <c r="CX163" i="1"/>
  <c r="CV163" i="1"/>
  <c r="CS163" i="1"/>
  <c r="CK163" i="1"/>
  <c r="CC163" i="1"/>
  <c r="CB163" i="1"/>
  <c r="CA163" i="1"/>
  <c r="BZ163" i="1"/>
  <c r="BY163" i="1"/>
  <c r="BX163" i="1"/>
  <c r="BW163" i="1"/>
  <c r="BV163" i="1"/>
  <c r="BT163" i="1"/>
  <c r="CY162" i="1"/>
  <c r="CX162" i="1"/>
  <c r="CV162" i="1"/>
  <c r="CS162" i="1"/>
  <c r="CK162" i="1"/>
  <c r="CC162" i="1"/>
  <c r="CB162" i="1"/>
  <c r="CA162" i="1"/>
  <c r="BZ162" i="1"/>
  <c r="BY162" i="1"/>
  <c r="BX162" i="1"/>
  <c r="BW162" i="1"/>
  <c r="BV162" i="1"/>
  <c r="BT162" i="1"/>
  <c r="CY161" i="1"/>
  <c r="CX161" i="1"/>
  <c r="CV161" i="1"/>
  <c r="CS161" i="1"/>
  <c r="CK161" i="1"/>
  <c r="CC161" i="1"/>
  <c r="CB161" i="1"/>
  <c r="CA161" i="1"/>
  <c r="BZ161" i="1"/>
  <c r="BY161" i="1"/>
  <c r="BX161" i="1"/>
  <c r="BW161" i="1"/>
  <c r="BV161" i="1"/>
  <c r="BT161" i="1"/>
  <c r="CY160" i="1"/>
  <c r="CX160" i="1"/>
  <c r="CV160" i="1"/>
  <c r="CS160" i="1"/>
  <c r="CK160" i="1"/>
  <c r="CC160" i="1"/>
  <c r="CB160" i="1"/>
  <c r="CA160" i="1"/>
  <c r="BZ160" i="1"/>
  <c r="BY160" i="1"/>
  <c r="BX160" i="1"/>
  <c r="BW160" i="1"/>
  <c r="BV160" i="1"/>
  <c r="BT160" i="1"/>
  <c r="CY159" i="1"/>
  <c r="CX159" i="1"/>
  <c r="CV159" i="1"/>
  <c r="CS159" i="1"/>
  <c r="CK159" i="1"/>
  <c r="CC159" i="1"/>
  <c r="CB159" i="1"/>
  <c r="CA159" i="1"/>
  <c r="BZ159" i="1"/>
  <c r="BY159" i="1"/>
  <c r="BX159" i="1"/>
  <c r="BW159" i="1"/>
  <c r="BV159" i="1"/>
  <c r="BT159" i="1"/>
  <c r="CY158" i="1"/>
  <c r="CX158" i="1"/>
  <c r="CV158" i="1"/>
  <c r="CS158" i="1"/>
  <c r="CK158" i="1"/>
  <c r="CC158" i="1"/>
  <c r="CB158" i="1"/>
  <c r="CA158" i="1"/>
  <c r="BZ158" i="1"/>
  <c r="BY158" i="1"/>
  <c r="BX158" i="1"/>
  <c r="BW158" i="1"/>
  <c r="BV158" i="1"/>
  <c r="BT158" i="1"/>
  <c r="CY157" i="1"/>
  <c r="CX157" i="1"/>
  <c r="CV157" i="1"/>
  <c r="CS157" i="1"/>
  <c r="CK157" i="1"/>
  <c r="CC157" i="1"/>
  <c r="CB157" i="1"/>
  <c r="CA157" i="1"/>
  <c r="BZ157" i="1"/>
  <c r="BY157" i="1"/>
  <c r="BX157" i="1"/>
  <c r="BW157" i="1"/>
  <c r="BV157" i="1"/>
  <c r="BT157" i="1"/>
  <c r="CY156" i="1"/>
  <c r="CX156" i="1"/>
  <c r="CV156" i="1"/>
  <c r="CS156" i="1"/>
  <c r="CK156" i="1"/>
  <c r="CC156" i="1"/>
  <c r="CB156" i="1"/>
  <c r="CA156" i="1"/>
  <c r="BZ156" i="1"/>
  <c r="BY156" i="1"/>
  <c r="BX156" i="1"/>
  <c r="BW156" i="1"/>
  <c r="BV156" i="1"/>
  <c r="BT156" i="1"/>
  <c r="CY155" i="1"/>
  <c r="CX155" i="1"/>
  <c r="CV155" i="1"/>
  <c r="CS155" i="1"/>
  <c r="CK155" i="1"/>
  <c r="CC155" i="1"/>
  <c r="CB155" i="1"/>
  <c r="CA155" i="1"/>
  <c r="BZ155" i="1"/>
  <c r="BY155" i="1"/>
  <c r="BX155" i="1"/>
  <c r="BW155" i="1"/>
  <c r="BV155" i="1"/>
  <c r="BT155" i="1"/>
  <c r="CY154" i="1"/>
  <c r="CX154" i="1"/>
  <c r="CV154" i="1"/>
  <c r="CS154" i="1"/>
  <c r="CK154" i="1"/>
  <c r="CC154" i="1"/>
  <c r="CB154" i="1"/>
  <c r="CA154" i="1"/>
  <c r="BZ154" i="1"/>
  <c r="BY154" i="1"/>
  <c r="BX154" i="1"/>
  <c r="BW154" i="1"/>
  <c r="BV154" i="1"/>
  <c r="BT154" i="1"/>
  <c r="CY153" i="1"/>
  <c r="CX153" i="1"/>
  <c r="CV153" i="1"/>
  <c r="CS153" i="1"/>
  <c r="CK153" i="1"/>
  <c r="CC153" i="1"/>
  <c r="CB153" i="1"/>
  <c r="CA153" i="1"/>
  <c r="BZ153" i="1"/>
  <c r="BY153" i="1"/>
  <c r="BX153" i="1"/>
  <c r="BW153" i="1"/>
  <c r="BV153" i="1"/>
  <c r="BT153" i="1"/>
  <c r="CY152" i="1"/>
  <c r="CX152" i="1"/>
  <c r="CV152" i="1"/>
  <c r="CS152" i="1"/>
  <c r="CK152" i="1"/>
  <c r="CC152" i="1"/>
  <c r="CB152" i="1"/>
  <c r="CA152" i="1"/>
  <c r="BZ152" i="1"/>
  <c r="BY152" i="1"/>
  <c r="BX152" i="1"/>
  <c r="BW152" i="1"/>
  <c r="BV152" i="1"/>
  <c r="BT152" i="1"/>
  <c r="CY151" i="1"/>
  <c r="CX151" i="1"/>
  <c r="CV151" i="1"/>
  <c r="CS151" i="1"/>
  <c r="CK151" i="1"/>
  <c r="CC151" i="1"/>
  <c r="CB151" i="1"/>
  <c r="CA151" i="1"/>
  <c r="BZ151" i="1"/>
  <c r="BY151" i="1"/>
  <c r="BX151" i="1"/>
  <c r="BW151" i="1"/>
  <c r="BV151" i="1"/>
  <c r="BT151" i="1"/>
  <c r="CY150" i="1"/>
  <c r="CX150" i="1"/>
  <c r="CV150" i="1"/>
  <c r="CS150" i="1"/>
  <c r="CK150" i="1"/>
  <c r="CC150" i="1"/>
  <c r="CB150" i="1"/>
  <c r="CA150" i="1"/>
  <c r="BZ150" i="1"/>
  <c r="BY150" i="1"/>
  <c r="BX150" i="1"/>
  <c r="BW150" i="1"/>
  <c r="BV150" i="1"/>
  <c r="BT150" i="1"/>
  <c r="CY149" i="1"/>
  <c r="CX149" i="1"/>
  <c r="CV149" i="1"/>
  <c r="CS149" i="1"/>
  <c r="CK149" i="1"/>
  <c r="CC149" i="1"/>
  <c r="CB149" i="1"/>
  <c r="CA149" i="1"/>
  <c r="BZ149" i="1"/>
  <c r="BY149" i="1"/>
  <c r="BX149" i="1"/>
  <c r="BW149" i="1"/>
  <c r="BV149" i="1"/>
  <c r="BT149" i="1"/>
  <c r="CY148" i="1"/>
  <c r="CX148" i="1"/>
  <c r="CV148" i="1"/>
  <c r="CS148" i="1"/>
  <c r="CK148" i="1"/>
  <c r="CC148" i="1"/>
  <c r="CB148" i="1"/>
  <c r="CA148" i="1"/>
  <c r="BZ148" i="1"/>
  <c r="BY148" i="1"/>
  <c r="BX148" i="1"/>
  <c r="BW148" i="1"/>
  <c r="BV148" i="1"/>
  <c r="BT148" i="1"/>
  <c r="CY147" i="1"/>
  <c r="CX147" i="1"/>
  <c r="CV147" i="1"/>
  <c r="CS147" i="1"/>
  <c r="CK147" i="1"/>
  <c r="CC147" i="1"/>
  <c r="CB147" i="1"/>
  <c r="CA147" i="1"/>
  <c r="BZ147" i="1"/>
  <c r="BY147" i="1"/>
  <c r="BX147" i="1"/>
  <c r="BW147" i="1"/>
  <c r="BV147" i="1"/>
  <c r="BT147" i="1"/>
  <c r="CY146" i="1"/>
  <c r="CX146" i="1"/>
  <c r="CV146" i="1"/>
  <c r="CS146" i="1"/>
  <c r="CK146" i="1"/>
  <c r="CC146" i="1"/>
  <c r="CB146" i="1"/>
  <c r="CA146" i="1"/>
  <c r="BZ146" i="1"/>
  <c r="BY146" i="1"/>
  <c r="BX146" i="1"/>
  <c r="BW146" i="1"/>
  <c r="BV146" i="1"/>
  <c r="BT146" i="1"/>
  <c r="CY145" i="1"/>
  <c r="CX145" i="1"/>
  <c r="CV145" i="1"/>
  <c r="CS145" i="1"/>
  <c r="CK145" i="1"/>
  <c r="CC145" i="1"/>
  <c r="CB145" i="1"/>
  <c r="CA145" i="1"/>
  <c r="BZ145" i="1"/>
  <c r="BY145" i="1"/>
  <c r="BX145" i="1"/>
  <c r="BW145" i="1"/>
  <c r="BV145" i="1"/>
  <c r="BT145" i="1"/>
  <c r="CY144" i="1"/>
  <c r="CX144" i="1"/>
  <c r="CV144" i="1"/>
  <c r="CS144" i="1"/>
  <c r="CK144" i="1"/>
  <c r="CC144" i="1"/>
  <c r="CB144" i="1"/>
  <c r="CA144" i="1"/>
  <c r="BZ144" i="1"/>
  <c r="BY144" i="1"/>
  <c r="BX144" i="1"/>
  <c r="BW144" i="1"/>
  <c r="BV144" i="1"/>
  <c r="BT144" i="1"/>
  <c r="CY143" i="1"/>
  <c r="CX143" i="1"/>
  <c r="CV143" i="1"/>
  <c r="CS143" i="1"/>
  <c r="CK143" i="1"/>
  <c r="CC143" i="1"/>
  <c r="CB143" i="1"/>
  <c r="CA143" i="1"/>
  <c r="BZ143" i="1"/>
  <c r="BY143" i="1"/>
  <c r="BX143" i="1"/>
  <c r="BW143" i="1"/>
  <c r="BV143" i="1"/>
  <c r="BT143" i="1"/>
  <c r="CY142" i="1"/>
  <c r="CX142" i="1"/>
  <c r="CV142" i="1"/>
  <c r="CS142" i="1"/>
  <c r="CK142" i="1"/>
  <c r="CC142" i="1"/>
  <c r="CB142" i="1"/>
  <c r="CA142" i="1"/>
  <c r="BZ142" i="1"/>
  <c r="BY142" i="1"/>
  <c r="BX142" i="1"/>
  <c r="BW142" i="1"/>
  <c r="BV142" i="1"/>
  <c r="BT142" i="1"/>
  <c r="CY141" i="1"/>
  <c r="CX141" i="1"/>
  <c r="CV141" i="1"/>
  <c r="CS141" i="1"/>
  <c r="CK141" i="1"/>
  <c r="CC141" i="1"/>
  <c r="CB141" i="1"/>
  <c r="CA141" i="1"/>
  <c r="BZ141" i="1"/>
  <c r="BY141" i="1"/>
  <c r="BX141" i="1"/>
  <c r="BW141" i="1"/>
  <c r="BV141" i="1"/>
  <c r="BT141" i="1"/>
  <c r="CY140" i="1"/>
  <c r="CX140" i="1"/>
  <c r="CV140" i="1"/>
  <c r="CS140" i="1"/>
  <c r="CK140" i="1"/>
  <c r="CC140" i="1"/>
  <c r="CB140" i="1"/>
  <c r="CA140" i="1"/>
  <c r="BZ140" i="1"/>
  <c r="BY140" i="1"/>
  <c r="BX140" i="1"/>
  <c r="BW140" i="1"/>
  <c r="BV140" i="1"/>
  <c r="BT140" i="1"/>
  <c r="CY139" i="1"/>
  <c r="CX139" i="1"/>
  <c r="CV139" i="1"/>
  <c r="CS139" i="1"/>
  <c r="CK139" i="1"/>
  <c r="CC139" i="1"/>
  <c r="CB139" i="1"/>
  <c r="CA139" i="1"/>
  <c r="BZ139" i="1"/>
  <c r="BY139" i="1"/>
  <c r="BX139" i="1"/>
  <c r="BW139" i="1"/>
  <c r="BV139" i="1"/>
  <c r="BT139" i="1"/>
  <c r="CY138" i="1"/>
  <c r="CX138" i="1"/>
  <c r="CV138" i="1"/>
  <c r="CS138" i="1"/>
  <c r="CK138" i="1"/>
  <c r="CC138" i="1"/>
  <c r="CB138" i="1"/>
  <c r="CA138" i="1"/>
  <c r="BZ138" i="1"/>
  <c r="BY138" i="1"/>
  <c r="BX138" i="1"/>
  <c r="BW138" i="1"/>
  <c r="BV138" i="1"/>
  <c r="BT138" i="1"/>
  <c r="CY137" i="1"/>
  <c r="CX137" i="1"/>
  <c r="CV137" i="1"/>
  <c r="CS137" i="1"/>
  <c r="CK137" i="1"/>
  <c r="CC137" i="1"/>
  <c r="CB137" i="1"/>
  <c r="CA137" i="1"/>
  <c r="BZ137" i="1"/>
  <c r="BY137" i="1"/>
  <c r="BX137" i="1"/>
  <c r="BW137" i="1"/>
  <c r="BV137" i="1"/>
  <c r="BT137" i="1"/>
  <c r="CY136" i="1"/>
  <c r="CX136" i="1"/>
  <c r="CV136" i="1"/>
  <c r="CS136" i="1"/>
  <c r="CK136" i="1"/>
  <c r="CC136" i="1"/>
  <c r="CB136" i="1"/>
  <c r="CA136" i="1"/>
  <c r="BZ136" i="1"/>
  <c r="BY136" i="1"/>
  <c r="BX136" i="1"/>
  <c r="BW136" i="1"/>
  <c r="BV136" i="1"/>
  <c r="BT136" i="1"/>
  <c r="CY135" i="1"/>
  <c r="CX135" i="1"/>
  <c r="CV135" i="1"/>
  <c r="CS135" i="1"/>
  <c r="CK135" i="1"/>
  <c r="CC135" i="1"/>
  <c r="CB135" i="1"/>
  <c r="CA135" i="1"/>
  <c r="BZ135" i="1"/>
  <c r="BY135" i="1"/>
  <c r="BX135" i="1"/>
  <c r="BW135" i="1"/>
  <c r="BV135" i="1"/>
  <c r="BT135" i="1"/>
  <c r="CY134" i="1"/>
  <c r="CX134" i="1"/>
  <c r="CV134" i="1"/>
  <c r="CS134" i="1"/>
  <c r="CK134" i="1"/>
  <c r="CC134" i="1"/>
  <c r="CB134" i="1"/>
  <c r="CA134" i="1"/>
  <c r="BZ134" i="1"/>
  <c r="BY134" i="1"/>
  <c r="BX134" i="1"/>
  <c r="BW134" i="1"/>
  <c r="BV134" i="1"/>
  <c r="BT134" i="1"/>
  <c r="CY133" i="1"/>
  <c r="CX133" i="1"/>
  <c r="CV133" i="1"/>
  <c r="CS133" i="1"/>
  <c r="CK133" i="1"/>
  <c r="CC133" i="1"/>
  <c r="CB133" i="1"/>
  <c r="CA133" i="1"/>
  <c r="BZ133" i="1"/>
  <c r="BY133" i="1"/>
  <c r="BX133" i="1"/>
  <c r="BW133" i="1"/>
  <c r="BV133" i="1"/>
  <c r="BT133" i="1"/>
  <c r="CY132" i="1"/>
  <c r="CX132" i="1"/>
  <c r="CV132" i="1"/>
  <c r="CS132" i="1"/>
  <c r="CK132" i="1"/>
  <c r="CC132" i="1"/>
  <c r="CB132" i="1"/>
  <c r="CA132" i="1"/>
  <c r="BZ132" i="1"/>
  <c r="BY132" i="1"/>
  <c r="BX132" i="1"/>
  <c r="BW132" i="1"/>
  <c r="BV132" i="1"/>
  <c r="BT132" i="1"/>
  <c r="CY131" i="1"/>
  <c r="CX131" i="1"/>
  <c r="CV131" i="1"/>
  <c r="CS131" i="1"/>
  <c r="CK131" i="1"/>
  <c r="CC131" i="1"/>
  <c r="CB131" i="1"/>
  <c r="CA131" i="1"/>
  <c r="BZ131" i="1"/>
  <c r="BY131" i="1"/>
  <c r="BX131" i="1"/>
  <c r="BW131" i="1"/>
  <c r="BV131" i="1"/>
  <c r="BT131" i="1"/>
  <c r="CY130" i="1"/>
  <c r="CX130" i="1"/>
  <c r="CV130" i="1"/>
  <c r="CS130" i="1"/>
  <c r="CK130" i="1"/>
  <c r="CC130" i="1"/>
  <c r="CB130" i="1"/>
  <c r="CA130" i="1"/>
  <c r="BZ130" i="1"/>
  <c r="BY130" i="1"/>
  <c r="BX130" i="1"/>
  <c r="BW130" i="1"/>
  <c r="BV130" i="1"/>
  <c r="BT130" i="1"/>
  <c r="CY129" i="1"/>
  <c r="CX129" i="1"/>
  <c r="CV129" i="1"/>
  <c r="CS129" i="1"/>
  <c r="CK129" i="1"/>
  <c r="CC129" i="1"/>
  <c r="CB129" i="1"/>
  <c r="CA129" i="1"/>
  <c r="BZ129" i="1"/>
  <c r="BY129" i="1"/>
  <c r="BX129" i="1"/>
  <c r="BW129" i="1"/>
  <c r="BV129" i="1"/>
  <c r="BT129" i="1"/>
  <c r="CY128" i="1"/>
  <c r="CX128" i="1"/>
  <c r="CV128" i="1"/>
  <c r="CS128" i="1"/>
  <c r="CK128" i="1"/>
  <c r="CC128" i="1"/>
  <c r="CB128" i="1"/>
  <c r="CA128" i="1"/>
  <c r="BZ128" i="1"/>
  <c r="BY128" i="1"/>
  <c r="BX128" i="1"/>
  <c r="BW128" i="1"/>
  <c r="BV128" i="1"/>
  <c r="BT128" i="1"/>
  <c r="CY127" i="1"/>
  <c r="CX127" i="1"/>
  <c r="CV127" i="1"/>
  <c r="CS127" i="1"/>
  <c r="CK127" i="1"/>
  <c r="CC127" i="1"/>
  <c r="CB127" i="1"/>
  <c r="CA127" i="1"/>
  <c r="BZ127" i="1"/>
  <c r="BY127" i="1"/>
  <c r="BX127" i="1"/>
  <c r="BW127" i="1"/>
  <c r="BV127" i="1"/>
  <c r="BT127" i="1"/>
  <c r="CY126" i="1"/>
  <c r="CX126" i="1"/>
  <c r="CV126" i="1"/>
  <c r="CS126" i="1"/>
  <c r="CK126" i="1"/>
  <c r="CC126" i="1"/>
  <c r="CB126" i="1"/>
  <c r="CA126" i="1"/>
  <c r="BZ126" i="1"/>
  <c r="BY126" i="1"/>
  <c r="BX126" i="1"/>
  <c r="BW126" i="1"/>
  <c r="BV126" i="1"/>
  <c r="BT126" i="1"/>
  <c r="CY125" i="1"/>
  <c r="CX125" i="1"/>
  <c r="CV125" i="1"/>
  <c r="CS125" i="1"/>
  <c r="CK125" i="1"/>
  <c r="CC125" i="1"/>
  <c r="CB125" i="1"/>
  <c r="CA125" i="1"/>
  <c r="BZ125" i="1"/>
  <c r="BY125" i="1"/>
  <c r="BX125" i="1"/>
  <c r="BW125" i="1"/>
  <c r="BV125" i="1"/>
  <c r="BT125" i="1"/>
  <c r="CY124" i="1"/>
  <c r="CX124" i="1"/>
  <c r="CV124" i="1"/>
  <c r="CS124" i="1"/>
  <c r="CK124" i="1"/>
  <c r="CC124" i="1"/>
  <c r="CB124" i="1"/>
  <c r="CA124" i="1"/>
  <c r="BZ124" i="1"/>
  <c r="BY124" i="1"/>
  <c r="BX124" i="1"/>
  <c r="BW124" i="1"/>
  <c r="BV124" i="1"/>
  <c r="BT124" i="1"/>
  <c r="CY123" i="1"/>
  <c r="CX123" i="1"/>
  <c r="CV123" i="1"/>
  <c r="CS123" i="1"/>
  <c r="CK123" i="1"/>
  <c r="CC123" i="1"/>
  <c r="CB123" i="1"/>
  <c r="CA123" i="1"/>
  <c r="BZ123" i="1"/>
  <c r="BY123" i="1"/>
  <c r="BX123" i="1"/>
  <c r="BW123" i="1"/>
  <c r="BV123" i="1"/>
  <c r="BT123" i="1"/>
  <c r="CY122" i="1"/>
  <c r="CX122" i="1"/>
  <c r="CV122" i="1"/>
  <c r="CS122" i="1"/>
  <c r="CK122" i="1"/>
  <c r="CC122" i="1"/>
  <c r="CB122" i="1"/>
  <c r="CA122" i="1"/>
  <c r="BZ122" i="1"/>
  <c r="BY122" i="1"/>
  <c r="BX122" i="1"/>
  <c r="BW122" i="1"/>
  <c r="BV122" i="1"/>
  <c r="BT122" i="1"/>
  <c r="CY121" i="1"/>
  <c r="CX121" i="1"/>
  <c r="CV121" i="1"/>
  <c r="CS121" i="1"/>
  <c r="CK121" i="1"/>
  <c r="CC121" i="1"/>
  <c r="CB121" i="1"/>
  <c r="CA121" i="1"/>
  <c r="BZ121" i="1"/>
  <c r="BY121" i="1"/>
  <c r="BX121" i="1"/>
  <c r="BW121" i="1"/>
  <c r="BV121" i="1"/>
  <c r="BT121" i="1"/>
  <c r="CY120" i="1"/>
  <c r="CX120" i="1"/>
  <c r="CV120" i="1"/>
  <c r="CS120" i="1"/>
  <c r="CK120" i="1"/>
  <c r="CC120" i="1"/>
  <c r="CB120" i="1"/>
  <c r="CA120" i="1"/>
  <c r="BZ120" i="1"/>
  <c r="BY120" i="1"/>
  <c r="BX120" i="1"/>
  <c r="BW120" i="1"/>
  <c r="BV120" i="1"/>
  <c r="BT120" i="1"/>
  <c r="CY119" i="1"/>
  <c r="CX119" i="1"/>
  <c r="CV119" i="1"/>
  <c r="CS119" i="1"/>
  <c r="CK119" i="1"/>
  <c r="CC119" i="1"/>
  <c r="CB119" i="1"/>
  <c r="CA119" i="1"/>
  <c r="BZ119" i="1"/>
  <c r="BY119" i="1"/>
  <c r="BX119" i="1"/>
  <c r="BW119" i="1"/>
  <c r="BV119" i="1"/>
  <c r="BT119" i="1"/>
  <c r="CY118" i="1"/>
  <c r="CX118" i="1"/>
  <c r="CV118" i="1"/>
  <c r="CS118" i="1"/>
  <c r="CK118" i="1"/>
  <c r="CC118" i="1"/>
  <c r="CB118" i="1"/>
  <c r="CA118" i="1"/>
  <c r="BZ118" i="1"/>
  <c r="BY118" i="1"/>
  <c r="BX118" i="1"/>
  <c r="BW118" i="1"/>
  <c r="BV118" i="1"/>
  <c r="BT118" i="1"/>
  <c r="CY117" i="1"/>
  <c r="CX117" i="1"/>
  <c r="CV117" i="1"/>
  <c r="CS117" i="1"/>
  <c r="CK117" i="1"/>
  <c r="CC117" i="1"/>
  <c r="CB117" i="1"/>
  <c r="CA117" i="1"/>
  <c r="BZ117" i="1"/>
  <c r="BY117" i="1"/>
  <c r="BX117" i="1"/>
  <c r="BW117" i="1"/>
  <c r="BV117" i="1"/>
  <c r="BT117" i="1"/>
  <c r="CY116" i="1"/>
  <c r="CX116" i="1"/>
  <c r="CV116" i="1"/>
  <c r="CS116" i="1"/>
  <c r="CK116" i="1"/>
  <c r="CC116" i="1"/>
  <c r="CB116" i="1"/>
  <c r="CA116" i="1"/>
  <c r="BZ116" i="1"/>
  <c r="BY116" i="1"/>
  <c r="BX116" i="1"/>
  <c r="BW116" i="1"/>
  <c r="BV116" i="1"/>
  <c r="BT116" i="1"/>
  <c r="CY115" i="1"/>
  <c r="CX115" i="1"/>
  <c r="CV115" i="1"/>
  <c r="CS115" i="1"/>
  <c r="CK115" i="1"/>
  <c r="CC115" i="1"/>
  <c r="CB115" i="1"/>
  <c r="CA115" i="1"/>
  <c r="BZ115" i="1"/>
  <c r="BY115" i="1"/>
  <c r="BX115" i="1"/>
  <c r="BW115" i="1"/>
  <c r="BV115" i="1"/>
  <c r="BT115" i="1"/>
  <c r="CY114" i="1"/>
  <c r="CX114" i="1"/>
  <c r="CV114" i="1"/>
  <c r="CS114" i="1"/>
  <c r="CK114" i="1"/>
  <c r="CC114" i="1"/>
  <c r="CB114" i="1"/>
  <c r="CA114" i="1"/>
  <c r="BZ114" i="1"/>
  <c r="BY114" i="1"/>
  <c r="BX114" i="1"/>
  <c r="BW114" i="1"/>
  <c r="BV114" i="1"/>
  <c r="BT114" i="1"/>
  <c r="CY113" i="1"/>
  <c r="CX113" i="1"/>
  <c r="CV113" i="1"/>
  <c r="CS113" i="1"/>
  <c r="CK113" i="1"/>
  <c r="CC113" i="1"/>
  <c r="CB113" i="1"/>
  <c r="CA113" i="1"/>
  <c r="BZ113" i="1"/>
  <c r="BY113" i="1"/>
  <c r="BX113" i="1"/>
  <c r="BW113" i="1"/>
  <c r="BV113" i="1"/>
  <c r="BT113" i="1"/>
  <c r="CY112" i="1"/>
  <c r="CX112" i="1"/>
  <c r="CV112" i="1"/>
  <c r="CS112" i="1"/>
  <c r="CK112" i="1"/>
  <c r="CC112" i="1"/>
  <c r="CB112" i="1"/>
  <c r="CA112" i="1"/>
  <c r="BZ112" i="1"/>
  <c r="BY112" i="1"/>
  <c r="BX112" i="1"/>
  <c r="BW112" i="1"/>
  <c r="BV112" i="1"/>
  <c r="BT112" i="1"/>
  <c r="CY111" i="1"/>
  <c r="CX111" i="1"/>
  <c r="CV111" i="1"/>
  <c r="CS111" i="1"/>
  <c r="CK111" i="1"/>
  <c r="CC111" i="1"/>
  <c r="CB111" i="1"/>
  <c r="CA111" i="1"/>
  <c r="BZ111" i="1"/>
  <c r="BY111" i="1"/>
  <c r="BX111" i="1"/>
  <c r="BW111" i="1"/>
  <c r="BV111" i="1"/>
  <c r="BT111" i="1"/>
  <c r="CY110" i="1"/>
  <c r="CX110" i="1"/>
  <c r="CV110" i="1"/>
  <c r="CS110" i="1"/>
  <c r="CK110" i="1"/>
  <c r="CC110" i="1"/>
  <c r="CB110" i="1"/>
  <c r="CA110" i="1"/>
  <c r="BZ110" i="1"/>
  <c r="BY110" i="1"/>
  <c r="BX110" i="1"/>
  <c r="BW110" i="1"/>
  <c r="BV110" i="1"/>
  <c r="BT110" i="1"/>
  <c r="CY109" i="1"/>
  <c r="CX109" i="1"/>
  <c r="CV109" i="1"/>
  <c r="CS109" i="1"/>
  <c r="CK109" i="1"/>
  <c r="CC109" i="1"/>
  <c r="CB109" i="1"/>
  <c r="CA109" i="1"/>
  <c r="BZ109" i="1"/>
  <c r="BY109" i="1"/>
  <c r="BX109" i="1"/>
  <c r="BW109" i="1"/>
  <c r="BV109" i="1"/>
  <c r="BT109" i="1"/>
  <c r="CY108" i="1"/>
  <c r="CX108" i="1"/>
  <c r="CV108" i="1"/>
  <c r="CS108" i="1"/>
  <c r="CK108" i="1"/>
  <c r="CC108" i="1"/>
  <c r="CB108" i="1"/>
  <c r="CA108" i="1"/>
  <c r="BZ108" i="1"/>
  <c r="BY108" i="1"/>
  <c r="BX108" i="1"/>
  <c r="BW108" i="1"/>
  <c r="BV108" i="1"/>
  <c r="BT108" i="1"/>
  <c r="CY107" i="1"/>
  <c r="CX107" i="1"/>
  <c r="CV107" i="1"/>
  <c r="CS107" i="1"/>
  <c r="CK107" i="1"/>
  <c r="CC107" i="1"/>
  <c r="CB107" i="1"/>
  <c r="CA107" i="1"/>
  <c r="BZ107" i="1"/>
  <c r="BY107" i="1"/>
  <c r="BX107" i="1"/>
  <c r="BW107" i="1"/>
  <c r="BV107" i="1"/>
  <c r="BT107" i="1"/>
  <c r="CY106" i="1"/>
  <c r="CX106" i="1"/>
  <c r="CV106" i="1"/>
  <c r="CS106" i="1"/>
  <c r="CK106" i="1"/>
  <c r="CC106" i="1"/>
  <c r="CB106" i="1"/>
  <c r="CA106" i="1"/>
  <c r="BZ106" i="1"/>
  <c r="BY106" i="1"/>
  <c r="BX106" i="1"/>
  <c r="BW106" i="1"/>
  <c r="BV106" i="1"/>
  <c r="BT106" i="1"/>
  <c r="CY105" i="1"/>
  <c r="CX105" i="1"/>
  <c r="CV105" i="1"/>
  <c r="CS105" i="1"/>
  <c r="CK105" i="1"/>
  <c r="CC105" i="1"/>
  <c r="CB105" i="1"/>
  <c r="CA105" i="1"/>
  <c r="BZ105" i="1"/>
  <c r="BY105" i="1"/>
  <c r="BX105" i="1"/>
  <c r="BW105" i="1"/>
  <c r="BV105" i="1"/>
  <c r="BT105" i="1"/>
  <c r="CY104" i="1"/>
  <c r="CX104" i="1"/>
  <c r="CV104" i="1"/>
  <c r="CS104" i="1"/>
  <c r="CK104" i="1"/>
  <c r="CC104" i="1"/>
  <c r="CB104" i="1"/>
  <c r="CA104" i="1"/>
  <c r="BZ104" i="1"/>
  <c r="BY104" i="1"/>
  <c r="BX104" i="1"/>
  <c r="BW104" i="1"/>
  <c r="BV104" i="1"/>
  <c r="BT104" i="1"/>
  <c r="CY103" i="1"/>
  <c r="CX103" i="1"/>
  <c r="CV103" i="1"/>
  <c r="CS103" i="1"/>
  <c r="CK103" i="1"/>
  <c r="CC103" i="1"/>
  <c r="CB103" i="1"/>
  <c r="CA103" i="1"/>
  <c r="BZ103" i="1"/>
  <c r="BY103" i="1"/>
  <c r="BX103" i="1"/>
  <c r="BW103" i="1"/>
  <c r="BV103" i="1"/>
  <c r="BT103" i="1"/>
  <c r="CY102" i="1"/>
  <c r="CX102" i="1"/>
  <c r="CV102" i="1"/>
  <c r="CS102" i="1"/>
  <c r="CK102" i="1"/>
  <c r="CC102" i="1"/>
  <c r="CB102" i="1"/>
  <c r="CA102" i="1"/>
  <c r="BZ102" i="1"/>
  <c r="BY102" i="1"/>
  <c r="BX102" i="1"/>
  <c r="BW102" i="1"/>
  <c r="BV102" i="1"/>
  <c r="BT102" i="1"/>
  <c r="CY101" i="1"/>
  <c r="CX101" i="1"/>
  <c r="CV101" i="1"/>
  <c r="CS101" i="1"/>
  <c r="CK101" i="1"/>
  <c r="CC101" i="1"/>
  <c r="CB101" i="1"/>
  <c r="CA101" i="1"/>
  <c r="BZ101" i="1"/>
  <c r="BY101" i="1"/>
  <c r="BX101" i="1"/>
  <c r="BW101" i="1"/>
  <c r="BV101" i="1"/>
  <c r="BT101" i="1"/>
  <c r="CY100" i="1"/>
  <c r="CX100" i="1"/>
  <c r="CV100" i="1"/>
  <c r="CS100" i="1"/>
  <c r="CK100" i="1"/>
  <c r="CC100" i="1"/>
  <c r="CB100" i="1"/>
  <c r="CA100" i="1"/>
  <c r="BZ100" i="1"/>
  <c r="BY100" i="1"/>
  <c r="BX100" i="1"/>
  <c r="BW100" i="1"/>
  <c r="BV100" i="1"/>
  <c r="BT100" i="1"/>
  <c r="CY99" i="1"/>
  <c r="CX99" i="1"/>
  <c r="CV99" i="1"/>
  <c r="CS99" i="1"/>
  <c r="CK99" i="1"/>
  <c r="CC99" i="1"/>
  <c r="CB99" i="1"/>
  <c r="CA99" i="1"/>
  <c r="BZ99" i="1"/>
  <c r="BY99" i="1"/>
  <c r="BX99" i="1"/>
  <c r="BW99" i="1"/>
  <c r="BV99" i="1"/>
  <c r="BT99" i="1"/>
  <c r="CY98" i="1"/>
  <c r="CX98" i="1"/>
  <c r="CV98" i="1"/>
  <c r="CS98" i="1"/>
  <c r="CK98" i="1"/>
  <c r="CC98" i="1"/>
  <c r="CB98" i="1"/>
  <c r="CA98" i="1"/>
  <c r="BZ98" i="1"/>
  <c r="BY98" i="1"/>
  <c r="BX98" i="1"/>
  <c r="BW98" i="1"/>
  <c r="BV98" i="1"/>
  <c r="BT98" i="1"/>
  <c r="CY97" i="1"/>
  <c r="CX97" i="1"/>
  <c r="CV97" i="1"/>
  <c r="CS97" i="1"/>
  <c r="CK97" i="1"/>
  <c r="CC97" i="1"/>
  <c r="CB97" i="1"/>
  <c r="CA97" i="1"/>
  <c r="BZ97" i="1"/>
  <c r="BY97" i="1"/>
  <c r="BX97" i="1"/>
  <c r="BW97" i="1"/>
  <c r="BV97" i="1"/>
  <c r="BT97" i="1"/>
  <c r="CY96" i="1"/>
  <c r="CX96" i="1"/>
  <c r="CV96" i="1"/>
  <c r="CS96" i="1"/>
  <c r="CK96" i="1"/>
  <c r="CC96" i="1"/>
  <c r="CB96" i="1"/>
  <c r="CA96" i="1"/>
  <c r="BZ96" i="1"/>
  <c r="BY96" i="1"/>
  <c r="BX96" i="1"/>
  <c r="BW96" i="1"/>
  <c r="BV96" i="1"/>
  <c r="BT96" i="1"/>
  <c r="CY95" i="1"/>
  <c r="CX95" i="1"/>
  <c r="CV95" i="1"/>
  <c r="CS95" i="1"/>
  <c r="CK95" i="1"/>
  <c r="CC95" i="1"/>
  <c r="CB95" i="1"/>
  <c r="CA95" i="1"/>
  <c r="BZ95" i="1"/>
  <c r="BY95" i="1"/>
  <c r="BX95" i="1"/>
  <c r="BW95" i="1"/>
  <c r="BV95" i="1"/>
  <c r="BT95" i="1"/>
  <c r="CY94" i="1"/>
  <c r="CX94" i="1"/>
  <c r="CV94" i="1"/>
  <c r="CS94" i="1"/>
  <c r="CK94" i="1"/>
  <c r="CC94" i="1"/>
  <c r="CB94" i="1"/>
  <c r="CA94" i="1"/>
  <c r="BZ94" i="1"/>
  <c r="BY94" i="1"/>
  <c r="BX94" i="1"/>
  <c r="BW94" i="1"/>
  <c r="BV94" i="1"/>
  <c r="BT94" i="1"/>
  <c r="CY93" i="1"/>
  <c r="CX93" i="1"/>
  <c r="CV93" i="1"/>
  <c r="CS93" i="1"/>
  <c r="CK93" i="1"/>
  <c r="CC93" i="1"/>
  <c r="CB93" i="1"/>
  <c r="CA93" i="1"/>
  <c r="BZ93" i="1"/>
  <c r="BY93" i="1"/>
  <c r="BX93" i="1"/>
  <c r="BW93" i="1"/>
  <c r="BV93" i="1"/>
  <c r="BT93" i="1"/>
  <c r="CY92" i="1"/>
  <c r="CX92" i="1"/>
  <c r="CV92" i="1"/>
  <c r="CS92" i="1"/>
  <c r="CK92" i="1"/>
  <c r="CC92" i="1"/>
  <c r="CB92" i="1"/>
  <c r="CA92" i="1"/>
  <c r="BZ92" i="1"/>
  <c r="BY92" i="1"/>
  <c r="BX92" i="1"/>
  <c r="BW92" i="1"/>
  <c r="BV92" i="1"/>
  <c r="BT92" i="1"/>
  <c r="CY91" i="1"/>
  <c r="CX91" i="1"/>
  <c r="CV91" i="1"/>
  <c r="CS91" i="1"/>
  <c r="CK91" i="1"/>
  <c r="CC91" i="1"/>
  <c r="CB91" i="1"/>
  <c r="CA91" i="1"/>
  <c r="BZ91" i="1"/>
  <c r="BY91" i="1"/>
  <c r="BX91" i="1"/>
  <c r="BW91" i="1"/>
  <c r="BV91" i="1"/>
  <c r="BT91" i="1"/>
  <c r="CY90" i="1"/>
  <c r="CX90" i="1"/>
  <c r="CV90" i="1"/>
  <c r="CS90" i="1"/>
  <c r="CK90" i="1"/>
  <c r="CC90" i="1"/>
  <c r="CB90" i="1"/>
  <c r="CA90" i="1"/>
  <c r="BZ90" i="1"/>
  <c r="BY90" i="1"/>
  <c r="BX90" i="1"/>
  <c r="BW90" i="1"/>
  <c r="BV90" i="1"/>
  <c r="BT90" i="1"/>
  <c r="CY89" i="1"/>
  <c r="CX89" i="1"/>
  <c r="CV89" i="1"/>
  <c r="CS89" i="1"/>
  <c r="CK89" i="1"/>
  <c r="CC89" i="1"/>
  <c r="CB89" i="1"/>
  <c r="CA89" i="1"/>
  <c r="BZ89" i="1"/>
  <c r="BY89" i="1"/>
  <c r="BX89" i="1"/>
  <c r="BW89" i="1"/>
  <c r="BV89" i="1"/>
  <c r="BT89" i="1"/>
  <c r="CY88" i="1"/>
  <c r="CX88" i="1"/>
  <c r="CV88" i="1"/>
  <c r="CS88" i="1"/>
  <c r="CK88" i="1"/>
  <c r="CC88" i="1"/>
  <c r="CB88" i="1"/>
  <c r="CA88" i="1"/>
  <c r="BZ88" i="1"/>
  <c r="BY88" i="1"/>
  <c r="BX88" i="1"/>
  <c r="BW88" i="1"/>
  <c r="BV88" i="1"/>
  <c r="BT88" i="1"/>
  <c r="CY87" i="1"/>
  <c r="CX87" i="1"/>
  <c r="CV87" i="1"/>
  <c r="CS87" i="1"/>
  <c r="CK87" i="1"/>
  <c r="CC87" i="1"/>
  <c r="CB87" i="1"/>
  <c r="CA87" i="1"/>
  <c r="BZ87" i="1"/>
  <c r="BY87" i="1"/>
  <c r="BX87" i="1"/>
  <c r="BW87" i="1"/>
  <c r="BV87" i="1"/>
  <c r="BT87" i="1"/>
  <c r="CY86" i="1"/>
  <c r="CX86" i="1"/>
  <c r="CV86" i="1"/>
  <c r="CS86" i="1"/>
  <c r="CK86" i="1"/>
  <c r="CC86" i="1"/>
  <c r="CB86" i="1"/>
  <c r="CA86" i="1"/>
  <c r="BZ86" i="1"/>
  <c r="BY86" i="1"/>
  <c r="BX86" i="1"/>
  <c r="BW86" i="1"/>
  <c r="BV86" i="1"/>
  <c r="BT86" i="1"/>
  <c r="CY85" i="1"/>
  <c r="CX85" i="1"/>
  <c r="CV85" i="1"/>
  <c r="CS85" i="1"/>
  <c r="CK85" i="1"/>
  <c r="CC85" i="1"/>
  <c r="CB85" i="1"/>
  <c r="CA85" i="1"/>
  <c r="BZ85" i="1"/>
  <c r="BY85" i="1"/>
  <c r="BX85" i="1"/>
  <c r="BW85" i="1"/>
  <c r="BV85" i="1"/>
  <c r="BT85" i="1"/>
  <c r="CY84" i="1"/>
  <c r="CX84" i="1"/>
  <c r="CV84" i="1"/>
  <c r="CS84" i="1"/>
  <c r="CK84" i="1"/>
  <c r="CC84" i="1"/>
  <c r="CB84" i="1"/>
  <c r="CA84" i="1"/>
  <c r="BZ84" i="1"/>
  <c r="BY84" i="1"/>
  <c r="BX84" i="1"/>
  <c r="BW84" i="1"/>
  <c r="BV84" i="1"/>
  <c r="BT84" i="1"/>
  <c r="CY83" i="1"/>
  <c r="CX83" i="1"/>
  <c r="CV83" i="1"/>
  <c r="CS83" i="1"/>
  <c r="CK83" i="1"/>
  <c r="CC83" i="1"/>
  <c r="CB83" i="1"/>
  <c r="CA83" i="1"/>
  <c r="BZ83" i="1"/>
  <c r="BY83" i="1"/>
  <c r="BX83" i="1"/>
  <c r="BW83" i="1"/>
  <c r="BV83" i="1"/>
  <c r="BT83" i="1"/>
  <c r="CY82" i="1"/>
  <c r="CX82" i="1"/>
  <c r="CV82" i="1"/>
  <c r="CS82" i="1"/>
  <c r="CK82" i="1"/>
  <c r="CC82" i="1"/>
  <c r="CB82" i="1"/>
  <c r="CA82" i="1"/>
  <c r="BZ82" i="1"/>
  <c r="BY82" i="1"/>
  <c r="BX82" i="1"/>
  <c r="BW82" i="1"/>
  <c r="BV82" i="1"/>
  <c r="BT82" i="1"/>
  <c r="CY81" i="1"/>
  <c r="CX81" i="1"/>
  <c r="CV81" i="1"/>
  <c r="CS81" i="1"/>
  <c r="CK81" i="1"/>
  <c r="CC81" i="1"/>
  <c r="CB81" i="1"/>
  <c r="CA81" i="1"/>
  <c r="BZ81" i="1"/>
  <c r="BY81" i="1"/>
  <c r="BX81" i="1"/>
  <c r="BW81" i="1"/>
  <c r="BV81" i="1"/>
  <c r="BT81" i="1"/>
  <c r="CY80" i="1"/>
  <c r="CX80" i="1"/>
  <c r="CV80" i="1"/>
  <c r="CS80" i="1"/>
  <c r="CK80" i="1"/>
  <c r="CC80" i="1"/>
  <c r="CB80" i="1"/>
  <c r="CA80" i="1"/>
  <c r="BZ80" i="1"/>
  <c r="BY80" i="1"/>
  <c r="BX80" i="1"/>
  <c r="BW80" i="1"/>
  <c r="BV80" i="1"/>
  <c r="BT80" i="1"/>
  <c r="CY79" i="1"/>
  <c r="CX79" i="1"/>
  <c r="CV79" i="1"/>
  <c r="CS79" i="1"/>
  <c r="CK79" i="1"/>
  <c r="CC79" i="1"/>
  <c r="CB79" i="1"/>
  <c r="CA79" i="1"/>
  <c r="BZ79" i="1"/>
  <c r="BY79" i="1"/>
  <c r="BX79" i="1"/>
  <c r="BW79" i="1"/>
  <c r="BV79" i="1"/>
  <c r="BT79" i="1"/>
  <c r="CY78" i="1"/>
  <c r="CX78" i="1"/>
  <c r="CV78" i="1"/>
  <c r="CS78" i="1"/>
  <c r="CK78" i="1"/>
  <c r="CC78" i="1"/>
  <c r="CB78" i="1"/>
  <c r="CA78" i="1"/>
  <c r="BZ78" i="1"/>
  <c r="BY78" i="1"/>
  <c r="BX78" i="1"/>
  <c r="BW78" i="1"/>
  <c r="BV78" i="1"/>
  <c r="BT78" i="1"/>
  <c r="CY77" i="1"/>
  <c r="CX77" i="1"/>
  <c r="CV77" i="1"/>
  <c r="CS77" i="1"/>
  <c r="CK77" i="1"/>
  <c r="CC77" i="1"/>
  <c r="CB77" i="1"/>
  <c r="CA77" i="1"/>
  <c r="BZ77" i="1"/>
  <c r="BY77" i="1"/>
  <c r="BX77" i="1"/>
  <c r="BW77" i="1"/>
  <c r="BV77" i="1"/>
  <c r="BT77" i="1"/>
  <c r="CY76" i="1"/>
  <c r="CX76" i="1"/>
  <c r="CV76" i="1"/>
  <c r="CS76" i="1"/>
  <c r="CK76" i="1"/>
  <c r="CC76" i="1"/>
  <c r="CB76" i="1"/>
  <c r="CA76" i="1"/>
  <c r="BZ76" i="1"/>
  <c r="BY76" i="1"/>
  <c r="BX76" i="1"/>
  <c r="BW76" i="1"/>
  <c r="BV76" i="1"/>
  <c r="BT76" i="1"/>
  <c r="CY75" i="1"/>
  <c r="CX75" i="1"/>
  <c r="CV75" i="1"/>
  <c r="CS75" i="1"/>
  <c r="CK75" i="1"/>
  <c r="CC75" i="1"/>
  <c r="CB75" i="1"/>
  <c r="CA75" i="1"/>
  <c r="BZ75" i="1"/>
  <c r="BY75" i="1"/>
  <c r="BX75" i="1"/>
  <c r="BW75" i="1"/>
  <c r="BV75" i="1"/>
  <c r="BT75" i="1"/>
  <c r="CY74" i="1"/>
  <c r="CX74" i="1"/>
  <c r="CV74" i="1"/>
  <c r="CS74" i="1"/>
  <c r="CK74" i="1"/>
  <c r="CC74" i="1"/>
  <c r="CB74" i="1"/>
  <c r="CA74" i="1"/>
  <c r="BZ74" i="1"/>
  <c r="BY74" i="1"/>
  <c r="BX74" i="1"/>
  <c r="BW74" i="1"/>
  <c r="BV74" i="1"/>
  <c r="BT74" i="1"/>
  <c r="CY73" i="1"/>
  <c r="CX73" i="1"/>
  <c r="CV73" i="1"/>
  <c r="CS73" i="1"/>
  <c r="CK73" i="1"/>
  <c r="CC73" i="1"/>
  <c r="CB73" i="1"/>
  <c r="CA73" i="1"/>
  <c r="BZ73" i="1"/>
  <c r="BY73" i="1"/>
  <c r="BX73" i="1"/>
  <c r="BW73" i="1"/>
  <c r="BV73" i="1"/>
  <c r="BT73" i="1"/>
  <c r="CY72" i="1"/>
  <c r="CX72" i="1"/>
  <c r="CV72" i="1"/>
  <c r="CS72" i="1"/>
  <c r="CK72" i="1"/>
  <c r="CC72" i="1"/>
  <c r="CB72" i="1"/>
  <c r="CA72" i="1"/>
  <c r="BZ72" i="1"/>
  <c r="BY72" i="1"/>
  <c r="BX72" i="1"/>
  <c r="BW72" i="1"/>
  <c r="BV72" i="1"/>
  <c r="BT72" i="1"/>
  <c r="CY71" i="1"/>
  <c r="CX71" i="1"/>
  <c r="CV71" i="1"/>
  <c r="CS71" i="1"/>
  <c r="CK71" i="1"/>
  <c r="CC71" i="1"/>
  <c r="CB71" i="1"/>
  <c r="CA71" i="1"/>
  <c r="BZ71" i="1"/>
  <c r="BY71" i="1"/>
  <c r="BX71" i="1"/>
  <c r="BW71" i="1"/>
  <c r="BV71" i="1"/>
  <c r="BT71" i="1"/>
  <c r="CY70" i="1"/>
  <c r="CX70" i="1"/>
  <c r="CV70" i="1"/>
  <c r="CS70" i="1"/>
  <c r="CK70" i="1"/>
  <c r="CC70" i="1"/>
  <c r="CB70" i="1"/>
  <c r="CA70" i="1"/>
  <c r="BZ70" i="1"/>
  <c r="BY70" i="1"/>
  <c r="BX70" i="1"/>
  <c r="BW70" i="1"/>
  <c r="BV70" i="1"/>
  <c r="BT70" i="1"/>
  <c r="CY69" i="1"/>
  <c r="CX69" i="1"/>
  <c r="CV69" i="1"/>
  <c r="CS69" i="1"/>
  <c r="CK69" i="1"/>
  <c r="CC69" i="1"/>
  <c r="CB69" i="1"/>
  <c r="CA69" i="1"/>
  <c r="BZ69" i="1"/>
  <c r="BY69" i="1"/>
  <c r="BX69" i="1"/>
  <c r="BW69" i="1"/>
  <c r="BV69" i="1"/>
  <c r="BT69" i="1"/>
  <c r="CY68" i="1"/>
  <c r="CX68" i="1"/>
  <c r="CV68" i="1"/>
  <c r="CS68" i="1"/>
  <c r="CK68" i="1"/>
  <c r="CC68" i="1"/>
  <c r="CB68" i="1"/>
  <c r="CA68" i="1"/>
  <c r="BZ68" i="1"/>
  <c r="BY68" i="1"/>
  <c r="BX68" i="1"/>
  <c r="BW68" i="1"/>
  <c r="BV68" i="1"/>
  <c r="BT68" i="1"/>
  <c r="CY67" i="1"/>
  <c r="CX67" i="1"/>
  <c r="CV67" i="1"/>
  <c r="CS67" i="1"/>
  <c r="CK67" i="1"/>
  <c r="CC67" i="1"/>
  <c r="CB67" i="1"/>
  <c r="CA67" i="1"/>
  <c r="BZ67" i="1"/>
  <c r="BY67" i="1"/>
  <c r="BX67" i="1"/>
  <c r="BW67" i="1"/>
  <c r="BV67" i="1"/>
  <c r="BT67" i="1"/>
  <c r="CY66" i="1"/>
  <c r="CX66" i="1"/>
  <c r="CV66" i="1"/>
  <c r="CS66" i="1"/>
  <c r="CK66" i="1"/>
  <c r="CC66" i="1"/>
  <c r="CB66" i="1"/>
  <c r="CA66" i="1"/>
  <c r="BZ66" i="1"/>
  <c r="BY66" i="1"/>
  <c r="BX66" i="1"/>
  <c r="BW66" i="1"/>
  <c r="BV66" i="1"/>
  <c r="BT66" i="1"/>
  <c r="CY65" i="1"/>
  <c r="CX65" i="1"/>
  <c r="CV65" i="1"/>
  <c r="CS65" i="1"/>
  <c r="CK65" i="1"/>
  <c r="CC65" i="1"/>
  <c r="CB65" i="1"/>
  <c r="CA65" i="1"/>
  <c r="BZ65" i="1"/>
  <c r="BY65" i="1"/>
  <c r="BX65" i="1"/>
  <c r="BW65" i="1"/>
  <c r="BV65" i="1"/>
  <c r="BT65" i="1"/>
  <c r="CY64" i="1"/>
  <c r="CX64" i="1"/>
  <c r="CV64" i="1"/>
  <c r="CS64" i="1"/>
  <c r="CK64" i="1"/>
  <c r="CC64" i="1"/>
  <c r="CB64" i="1"/>
  <c r="CA64" i="1"/>
  <c r="BZ64" i="1"/>
  <c r="BY64" i="1"/>
  <c r="BX64" i="1"/>
  <c r="BW64" i="1"/>
  <c r="BV64" i="1"/>
  <c r="BT64" i="1"/>
  <c r="CY63" i="1"/>
  <c r="CX63" i="1"/>
  <c r="CV63" i="1"/>
  <c r="CS63" i="1"/>
  <c r="CK63" i="1"/>
  <c r="CC63" i="1"/>
  <c r="CB63" i="1"/>
  <c r="CA63" i="1"/>
  <c r="BZ63" i="1"/>
  <c r="BY63" i="1"/>
  <c r="BX63" i="1"/>
  <c r="BW63" i="1"/>
  <c r="BV63" i="1"/>
  <c r="BT63" i="1"/>
  <c r="CY62" i="1"/>
  <c r="CX62" i="1"/>
  <c r="CV62" i="1"/>
  <c r="CS62" i="1"/>
  <c r="CK62" i="1"/>
  <c r="CC62" i="1"/>
  <c r="CB62" i="1"/>
  <c r="CA62" i="1"/>
  <c r="BZ62" i="1"/>
  <c r="BY62" i="1"/>
  <c r="BX62" i="1"/>
  <c r="BW62" i="1"/>
  <c r="BV62" i="1"/>
  <c r="BT62" i="1"/>
  <c r="CY61" i="1"/>
  <c r="CX61" i="1"/>
  <c r="CV61" i="1"/>
  <c r="CS61" i="1"/>
  <c r="CK61" i="1"/>
  <c r="CC61" i="1"/>
  <c r="CB61" i="1"/>
  <c r="CA61" i="1"/>
  <c r="BZ61" i="1"/>
  <c r="BY61" i="1"/>
  <c r="BX61" i="1"/>
  <c r="BW61" i="1"/>
  <c r="BV61" i="1"/>
  <c r="BT61" i="1"/>
  <c r="CY60" i="1"/>
  <c r="CX60" i="1"/>
  <c r="CV60" i="1"/>
  <c r="CS60" i="1"/>
  <c r="CK60" i="1"/>
  <c r="CC60" i="1"/>
  <c r="CB60" i="1"/>
  <c r="CA60" i="1"/>
  <c r="BZ60" i="1"/>
  <c r="BY60" i="1"/>
  <c r="BX60" i="1"/>
  <c r="BW60" i="1"/>
  <c r="BV60" i="1"/>
  <c r="BT60" i="1"/>
  <c r="CY59" i="1"/>
  <c r="CX59" i="1"/>
  <c r="CV59" i="1"/>
  <c r="CS59" i="1"/>
  <c r="CK59" i="1"/>
  <c r="CC59" i="1"/>
  <c r="CB59" i="1"/>
  <c r="CA59" i="1"/>
  <c r="BZ59" i="1"/>
  <c r="BY59" i="1"/>
  <c r="BX59" i="1"/>
  <c r="BW59" i="1"/>
  <c r="BV59" i="1"/>
  <c r="BT59" i="1"/>
  <c r="CY58" i="1"/>
  <c r="CX58" i="1"/>
  <c r="CV58" i="1"/>
  <c r="CS58" i="1"/>
  <c r="CK58" i="1"/>
  <c r="CC58" i="1"/>
  <c r="CB58" i="1"/>
  <c r="CA58" i="1"/>
  <c r="BZ58" i="1"/>
  <c r="BY58" i="1"/>
  <c r="BX58" i="1"/>
  <c r="BW58" i="1"/>
  <c r="BV58" i="1"/>
  <c r="BT58" i="1"/>
  <c r="CY57" i="1"/>
  <c r="CX57" i="1"/>
  <c r="CV57" i="1"/>
  <c r="CS57" i="1"/>
  <c r="CK57" i="1"/>
  <c r="CC57" i="1"/>
  <c r="CB57" i="1"/>
  <c r="CA57" i="1"/>
  <c r="BZ57" i="1"/>
  <c r="BY57" i="1"/>
  <c r="BX57" i="1"/>
  <c r="BW57" i="1"/>
  <c r="BV57" i="1"/>
  <c r="BT57" i="1"/>
  <c r="CY56" i="1"/>
  <c r="CX56" i="1"/>
  <c r="CV56" i="1"/>
  <c r="CS56" i="1"/>
  <c r="CK56" i="1"/>
  <c r="CC56" i="1"/>
  <c r="CB56" i="1"/>
  <c r="CA56" i="1"/>
  <c r="BZ56" i="1"/>
  <c r="BY56" i="1"/>
  <c r="BX56" i="1"/>
  <c r="BW56" i="1"/>
  <c r="BV56" i="1"/>
  <c r="BT56" i="1"/>
  <c r="CY55" i="1"/>
  <c r="CX55" i="1"/>
  <c r="CV55" i="1"/>
  <c r="CS55" i="1"/>
  <c r="CK55" i="1"/>
  <c r="CC55" i="1"/>
  <c r="CB55" i="1"/>
  <c r="CA55" i="1"/>
  <c r="BZ55" i="1"/>
  <c r="BY55" i="1"/>
  <c r="BX55" i="1"/>
  <c r="BW55" i="1"/>
  <c r="BV55" i="1"/>
  <c r="BT55" i="1"/>
  <c r="CY54" i="1"/>
  <c r="CX54" i="1"/>
  <c r="CV54" i="1"/>
  <c r="CS54" i="1"/>
  <c r="CK54" i="1"/>
  <c r="CC54" i="1"/>
  <c r="CB54" i="1"/>
  <c r="CA54" i="1"/>
  <c r="BZ54" i="1"/>
  <c r="BY54" i="1"/>
  <c r="BX54" i="1"/>
  <c r="BW54" i="1"/>
  <c r="BV54" i="1"/>
  <c r="BT54" i="1"/>
  <c r="CY53" i="1"/>
  <c r="CX53" i="1"/>
  <c r="CV53" i="1"/>
  <c r="CS53" i="1"/>
  <c r="CK53" i="1"/>
  <c r="CC53" i="1"/>
  <c r="CB53" i="1"/>
  <c r="CA53" i="1"/>
  <c r="BZ53" i="1"/>
  <c r="BY53" i="1"/>
  <c r="BX53" i="1"/>
  <c r="BW53" i="1"/>
  <c r="BV53" i="1"/>
  <c r="BT53" i="1"/>
  <c r="CY52" i="1"/>
  <c r="CX52" i="1"/>
  <c r="CV52" i="1"/>
  <c r="CS52" i="1"/>
  <c r="CK52" i="1"/>
  <c r="CC52" i="1"/>
  <c r="CB52" i="1"/>
  <c r="CA52" i="1"/>
  <c r="BZ52" i="1"/>
  <c r="BY52" i="1"/>
  <c r="BX52" i="1"/>
  <c r="BW52" i="1"/>
  <c r="BV52" i="1"/>
  <c r="BT52" i="1"/>
  <c r="CY51" i="1"/>
  <c r="CX51" i="1"/>
  <c r="CV51" i="1"/>
  <c r="CS51" i="1"/>
  <c r="CK51" i="1"/>
  <c r="CC51" i="1"/>
  <c r="CB51" i="1"/>
  <c r="CA51" i="1"/>
  <c r="BZ51" i="1"/>
  <c r="BY51" i="1"/>
  <c r="BX51" i="1"/>
  <c r="BW51" i="1"/>
  <c r="BV51" i="1"/>
  <c r="BT51" i="1"/>
  <c r="CY50" i="1"/>
  <c r="CX50" i="1"/>
  <c r="CV50" i="1"/>
  <c r="CS50" i="1"/>
  <c r="CK50" i="1"/>
  <c r="CC50" i="1"/>
  <c r="CB50" i="1"/>
  <c r="CA50" i="1"/>
  <c r="BZ50" i="1"/>
  <c r="BY50" i="1"/>
  <c r="BX50" i="1"/>
  <c r="BW50" i="1"/>
  <c r="BV50" i="1"/>
  <c r="BT50" i="1"/>
  <c r="CY49" i="1"/>
  <c r="CX49" i="1"/>
  <c r="CV49" i="1"/>
  <c r="CS49" i="1"/>
  <c r="CK49" i="1"/>
  <c r="CC49" i="1"/>
  <c r="CB49" i="1"/>
  <c r="CA49" i="1"/>
  <c r="BZ49" i="1"/>
  <c r="BY49" i="1"/>
  <c r="BX49" i="1"/>
  <c r="BW49" i="1"/>
  <c r="BV49" i="1"/>
  <c r="BT49" i="1"/>
  <c r="CY48" i="1"/>
  <c r="CX48" i="1"/>
  <c r="CV48" i="1"/>
  <c r="CS48" i="1"/>
  <c r="CK48" i="1"/>
  <c r="CC48" i="1"/>
  <c r="CB48" i="1"/>
  <c r="CA48" i="1"/>
  <c r="BZ48" i="1"/>
  <c r="BY48" i="1"/>
  <c r="BX48" i="1"/>
  <c r="BW48" i="1"/>
  <c r="BV48" i="1"/>
  <c r="BT48" i="1"/>
  <c r="CY47" i="1"/>
  <c r="CX47" i="1"/>
  <c r="CV47" i="1"/>
  <c r="CS47" i="1"/>
  <c r="CK47" i="1"/>
  <c r="CC47" i="1"/>
  <c r="CB47" i="1"/>
  <c r="CA47" i="1"/>
  <c r="BZ47" i="1"/>
  <c r="BY47" i="1"/>
  <c r="BX47" i="1"/>
  <c r="BW47" i="1"/>
  <c r="BV47" i="1"/>
  <c r="BT47" i="1"/>
  <c r="CY46" i="1"/>
  <c r="CX46" i="1"/>
  <c r="CV46" i="1"/>
  <c r="CS46" i="1"/>
  <c r="CK46" i="1"/>
  <c r="CC46" i="1"/>
  <c r="CB46" i="1"/>
  <c r="CA46" i="1"/>
  <c r="BZ46" i="1"/>
  <c r="BY46" i="1"/>
  <c r="BX46" i="1"/>
  <c r="BW46" i="1"/>
  <c r="BV46" i="1"/>
  <c r="BT46" i="1"/>
  <c r="CY45" i="1"/>
  <c r="CX45" i="1"/>
  <c r="CV45" i="1"/>
  <c r="CS45" i="1"/>
  <c r="CK45" i="1"/>
  <c r="CC45" i="1"/>
  <c r="CB45" i="1"/>
  <c r="CA45" i="1"/>
  <c r="BZ45" i="1"/>
  <c r="BY45" i="1"/>
  <c r="BX45" i="1"/>
  <c r="BW45" i="1"/>
  <c r="BV45" i="1"/>
  <c r="BT45" i="1"/>
  <c r="CY44" i="1"/>
  <c r="CX44" i="1"/>
  <c r="CV44" i="1"/>
  <c r="CS44" i="1"/>
  <c r="CK44" i="1"/>
  <c r="CC44" i="1"/>
  <c r="CB44" i="1"/>
  <c r="CA44" i="1"/>
  <c r="BZ44" i="1"/>
  <c r="BY44" i="1"/>
  <c r="BX44" i="1"/>
  <c r="BW44" i="1"/>
  <c r="BV44" i="1"/>
  <c r="BT44" i="1"/>
  <c r="CY43" i="1"/>
  <c r="CX43" i="1"/>
  <c r="CV43" i="1"/>
  <c r="CS43" i="1"/>
  <c r="CK43" i="1"/>
  <c r="CC43" i="1"/>
  <c r="CB43" i="1"/>
  <c r="CA43" i="1"/>
  <c r="BZ43" i="1"/>
  <c r="BY43" i="1"/>
  <c r="BX43" i="1"/>
  <c r="BW43" i="1"/>
  <c r="BV43" i="1"/>
  <c r="BT43" i="1"/>
  <c r="CY42" i="1"/>
  <c r="CX42" i="1"/>
  <c r="CV42" i="1"/>
  <c r="CS42" i="1"/>
  <c r="CK42" i="1"/>
  <c r="CC42" i="1"/>
  <c r="CB42" i="1"/>
  <c r="CA42" i="1"/>
  <c r="BZ42" i="1"/>
  <c r="BY42" i="1"/>
  <c r="BX42" i="1"/>
  <c r="BW42" i="1"/>
  <c r="BV42" i="1"/>
  <c r="BT42" i="1"/>
  <c r="CY41" i="1"/>
  <c r="CX41" i="1"/>
  <c r="CV41" i="1"/>
  <c r="CS41" i="1"/>
  <c r="CK41" i="1"/>
  <c r="CC41" i="1"/>
  <c r="CB41" i="1"/>
  <c r="CA41" i="1"/>
  <c r="BZ41" i="1"/>
  <c r="BY41" i="1"/>
  <c r="BX41" i="1"/>
  <c r="BW41" i="1"/>
  <c r="BV41" i="1"/>
  <c r="BT41" i="1"/>
  <c r="CY40" i="1"/>
  <c r="CX40" i="1"/>
  <c r="CV40" i="1"/>
  <c r="CS40" i="1"/>
  <c r="CK40" i="1"/>
  <c r="CC40" i="1"/>
  <c r="CB40" i="1"/>
  <c r="CA40" i="1"/>
  <c r="BZ40" i="1"/>
  <c r="BY40" i="1"/>
  <c r="BX40" i="1"/>
  <c r="BW40" i="1"/>
  <c r="BV40" i="1"/>
  <c r="BT40" i="1"/>
  <c r="CY39" i="1"/>
  <c r="CX39" i="1"/>
  <c r="CV39" i="1"/>
  <c r="CS39" i="1"/>
  <c r="CK39" i="1"/>
  <c r="CC39" i="1"/>
  <c r="CB39" i="1"/>
  <c r="CA39" i="1"/>
  <c r="BZ39" i="1"/>
  <c r="BY39" i="1"/>
  <c r="BX39" i="1"/>
  <c r="BW39" i="1"/>
  <c r="BV39" i="1"/>
  <c r="BT39" i="1"/>
  <c r="CY38" i="1"/>
  <c r="CX38" i="1"/>
  <c r="CV38" i="1"/>
  <c r="CS38" i="1"/>
  <c r="CK38" i="1"/>
  <c r="CC38" i="1"/>
  <c r="CB38" i="1"/>
  <c r="CA38" i="1"/>
  <c r="BZ38" i="1"/>
  <c r="BY38" i="1"/>
  <c r="BX38" i="1"/>
  <c r="BW38" i="1"/>
  <c r="BV38" i="1"/>
  <c r="BT38" i="1"/>
  <c r="CY37" i="1"/>
  <c r="CX37" i="1"/>
  <c r="CV37" i="1"/>
  <c r="CS37" i="1"/>
  <c r="CK37" i="1"/>
  <c r="CC37" i="1"/>
  <c r="CB37" i="1"/>
  <c r="CA37" i="1"/>
  <c r="BZ37" i="1"/>
  <c r="BY37" i="1"/>
  <c r="BX37" i="1"/>
  <c r="BW37" i="1"/>
  <c r="BV37" i="1"/>
  <c r="BT37" i="1"/>
  <c r="CY36" i="1"/>
  <c r="CX36" i="1"/>
  <c r="CV36" i="1"/>
  <c r="CS36" i="1"/>
  <c r="CK36" i="1"/>
  <c r="CC36" i="1"/>
  <c r="CB36" i="1"/>
  <c r="CA36" i="1"/>
  <c r="BZ36" i="1"/>
  <c r="BY36" i="1"/>
  <c r="BX36" i="1"/>
  <c r="BW36" i="1"/>
  <c r="BV36" i="1"/>
  <c r="BT36" i="1"/>
  <c r="CY35" i="1"/>
  <c r="CX35" i="1"/>
  <c r="CV35" i="1"/>
  <c r="CS35" i="1"/>
  <c r="CK35" i="1"/>
  <c r="CC35" i="1"/>
  <c r="CB35" i="1"/>
  <c r="CA35" i="1"/>
  <c r="BZ35" i="1"/>
  <c r="BY35" i="1"/>
  <c r="BX35" i="1"/>
  <c r="BW35" i="1"/>
  <c r="BV35" i="1"/>
  <c r="BT35" i="1"/>
  <c r="CY34" i="1"/>
  <c r="CX34" i="1"/>
  <c r="CV34" i="1"/>
  <c r="CS34" i="1"/>
  <c r="CK34" i="1"/>
  <c r="CC34" i="1"/>
  <c r="CB34" i="1"/>
  <c r="CA34" i="1"/>
  <c r="BZ34" i="1"/>
  <c r="BY34" i="1"/>
  <c r="BX34" i="1"/>
  <c r="BW34" i="1"/>
  <c r="BV34" i="1"/>
  <c r="BT34" i="1"/>
  <c r="CY33" i="1"/>
  <c r="CX33" i="1"/>
  <c r="CV33" i="1"/>
  <c r="CS33" i="1"/>
  <c r="CK33" i="1"/>
  <c r="CC33" i="1"/>
  <c r="CB33" i="1"/>
  <c r="CA33" i="1"/>
  <c r="BZ33" i="1"/>
  <c r="BY33" i="1"/>
  <c r="BX33" i="1"/>
  <c r="BW33" i="1"/>
  <c r="BV33" i="1"/>
  <c r="BT33" i="1"/>
  <c r="CY32" i="1"/>
  <c r="CX32" i="1"/>
  <c r="CV32" i="1"/>
  <c r="CS32" i="1"/>
  <c r="CK32" i="1"/>
  <c r="CC32" i="1"/>
  <c r="CB32" i="1"/>
  <c r="CA32" i="1"/>
  <c r="BZ32" i="1"/>
  <c r="BY32" i="1"/>
  <c r="BX32" i="1"/>
  <c r="BW32" i="1"/>
  <c r="BV32" i="1"/>
  <c r="BT32" i="1"/>
  <c r="CY31" i="1"/>
  <c r="CX31" i="1"/>
  <c r="CV31" i="1"/>
  <c r="CS31" i="1"/>
  <c r="CK31" i="1"/>
  <c r="CC31" i="1"/>
  <c r="CB31" i="1"/>
  <c r="CA31" i="1"/>
  <c r="BZ31" i="1"/>
  <c r="BY31" i="1"/>
  <c r="BX31" i="1"/>
  <c r="BW31" i="1"/>
  <c r="BV31" i="1"/>
  <c r="BT31" i="1"/>
  <c r="CY30" i="1"/>
  <c r="CX30" i="1"/>
  <c r="CV30" i="1"/>
  <c r="CS30" i="1"/>
  <c r="CK30" i="1"/>
  <c r="CC30" i="1"/>
  <c r="CB30" i="1"/>
  <c r="CA30" i="1"/>
  <c r="BZ30" i="1"/>
  <c r="BY30" i="1"/>
  <c r="BX30" i="1"/>
  <c r="BW30" i="1"/>
  <c r="BV30" i="1"/>
  <c r="BT30" i="1"/>
  <c r="CY29" i="1"/>
  <c r="CX29" i="1"/>
  <c r="CV29" i="1"/>
  <c r="CS29" i="1"/>
  <c r="CK29" i="1"/>
  <c r="CC29" i="1"/>
  <c r="CB29" i="1"/>
  <c r="CA29" i="1"/>
  <c r="BZ29" i="1"/>
  <c r="BY29" i="1"/>
  <c r="BX29" i="1"/>
  <c r="BW29" i="1"/>
  <c r="BV29" i="1"/>
  <c r="BT29" i="1"/>
  <c r="CY28" i="1"/>
  <c r="CX28" i="1"/>
  <c r="CV28" i="1"/>
  <c r="CS28" i="1"/>
  <c r="CK28" i="1"/>
  <c r="CC28" i="1"/>
  <c r="CB28" i="1"/>
  <c r="CA28" i="1"/>
  <c r="BZ28" i="1"/>
  <c r="BY28" i="1"/>
  <c r="BX28" i="1"/>
  <c r="BW28" i="1"/>
  <c r="BV28" i="1"/>
  <c r="BT28" i="1"/>
  <c r="CY27" i="1"/>
  <c r="CX27" i="1"/>
  <c r="CV27" i="1"/>
  <c r="CS27" i="1"/>
  <c r="CK27" i="1"/>
  <c r="CC27" i="1"/>
  <c r="CB27" i="1"/>
  <c r="CA27" i="1"/>
  <c r="BZ27" i="1"/>
  <c r="BY27" i="1"/>
  <c r="BX27" i="1"/>
  <c r="BW27" i="1"/>
  <c r="BV27" i="1"/>
  <c r="BT27" i="1"/>
  <c r="CY26" i="1"/>
  <c r="CX26" i="1"/>
  <c r="CV26" i="1"/>
  <c r="CS26" i="1"/>
  <c r="CK26" i="1"/>
  <c r="CC26" i="1"/>
  <c r="CB26" i="1"/>
  <c r="CA26" i="1"/>
  <c r="BZ26" i="1"/>
  <c r="BY26" i="1"/>
  <c r="BX26" i="1"/>
  <c r="BW26" i="1"/>
  <c r="BV26" i="1"/>
  <c r="BT26" i="1"/>
  <c r="CY25" i="1"/>
  <c r="CX25" i="1"/>
  <c r="CV25" i="1"/>
  <c r="CS25" i="1"/>
  <c r="CK25" i="1"/>
  <c r="CC25" i="1"/>
  <c r="CB25" i="1"/>
  <c r="CA25" i="1"/>
  <c r="BZ25" i="1"/>
  <c r="BY25" i="1"/>
  <c r="BX25" i="1"/>
  <c r="BW25" i="1"/>
  <c r="BV25" i="1"/>
  <c r="BT25" i="1"/>
  <c r="CY24" i="1"/>
  <c r="CX24" i="1"/>
  <c r="CV24" i="1"/>
  <c r="CS24" i="1"/>
  <c r="CK24" i="1"/>
  <c r="CC24" i="1"/>
  <c r="CB24" i="1"/>
  <c r="CA24" i="1"/>
  <c r="BZ24" i="1"/>
  <c r="BY24" i="1"/>
  <c r="BX24" i="1"/>
  <c r="BW24" i="1"/>
  <c r="BV24" i="1"/>
  <c r="BT24" i="1"/>
  <c r="CY23" i="1"/>
  <c r="CX23" i="1"/>
  <c r="CV23" i="1"/>
  <c r="CS23" i="1"/>
  <c r="CK23" i="1"/>
  <c r="CC23" i="1"/>
  <c r="CB23" i="1"/>
  <c r="CA23" i="1"/>
  <c r="BZ23" i="1"/>
  <c r="BY23" i="1"/>
  <c r="BX23" i="1"/>
  <c r="BW23" i="1"/>
  <c r="BV23" i="1"/>
  <c r="BT23" i="1"/>
  <c r="CY22" i="1"/>
  <c r="CX22" i="1"/>
  <c r="CV22" i="1"/>
  <c r="CS22" i="1"/>
  <c r="CK22" i="1"/>
  <c r="CC22" i="1"/>
  <c r="CB22" i="1"/>
  <c r="CA22" i="1"/>
  <c r="BZ22" i="1"/>
  <c r="BY22" i="1"/>
  <c r="BX22" i="1"/>
  <c r="BW22" i="1"/>
  <c r="BV22" i="1"/>
  <c r="BT22" i="1"/>
  <c r="CY21" i="1"/>
  <c r="CX21" i="1"/>
  <c r="CV21" i="1"/>
  <c r="CS21" i="1"/>
  <c r="CK21" i="1"/>
  <c r="CC21" i="1"/>
  <c r="CB21" i="1"/>
  <c r="CA21" i="1"/>
  <c r="BZ21" i="1"/>
  <c r="BY21" i="1"/>
  <c r="BX21" i="1"/>
  <c r="BW21" i="1"/>
  <c r="BV21" i="1"/>
  <c r="BT21" i="1"/>
  <c r="CY20" i="1"/>
  <c r="CX20" i="1"/>
  <c r="CV20" i="1"/>
  <c r="CS20" i="1"/>
  <c r="CK20" i="1"/>
  <c r="CC20" i="1"/>
  <c r="CB20" i="1"/>
  <c r="CA20" i="1"/>
  <c r="BZ20" i="1"/>
  <c r="BY20" i="1"/>
  <c r="BX20" i="1"/>
  <c r="BW20" i="1"/>
  <c r="BV20" i="1"/>
  <c r="BT20" i="1"/>
  <c r="CY19" i="1"/>
  <c r="CX19" i="1"/>
  <c r="CV19" i="1"/>
  <c r="CS19" i="1"/>
  <c r="CK19" i="1"/>
  <c r="CC19" i="1"/>
  <c r="CB19" i="1"/>
  <c r="CA19" i="1"/>
  <c r="BZ19" i="1"/>
  <c r="BY19" i="1"/>
  <c r="BX19" i="1"/>
  <c r="BW19" i="1"/>
  <c r="BV19" i="1"/>
  <c r="BT19" i="1"/>
  <c r="CY18" i="1"/>
  <c r="CX18" i="1"/>
  <c r="CV18" i="1"/>
  <c r="CS18" i="1"/>
  <c r="CK18" i="1"/>
  <c r="CC18" i="1"/>
  <c r="CB18" i="1"/>
  <c r="CA18" i="1"/>
  <c r="BZ18" i="1"/>
  <c r="BY18" i="1"/>
  <c r="BX18" i="1"/>
  <c r="BW18" i="1"/>
  <c r="BV18" i="1"/>
  <c r="BT18" i="1"/>
  <c r="CY17" i="1"/>
  <c r="CX17" i="1"/>
  <c r="CV17" i="1"/>
  <c r="CS17" i="1"/>
  <c r="CK17" i="1"/>
  <c r="CC17" i="1"/>
  <c r="CB17" i="1"/>
  <c r="CA17" i="1"/>
  <c r="BZ17" i="1"/>
  <c r="BY17" i="1"/>
  <c r="BX17" i="1"/>
  <c r="BW17" i="1"/>
  <c r="BV17" i="1"/>
  <c r="BT17" i="1"/>
  <c r="CY16" i="1"/>
  <c r="CX16" i="1"/>
  <c r="CV16" i="1"/>
  <c r="CS16" i="1"/>
  <c r="CK16" i="1"/>
  <c r="CC16" i="1"/>
  <c r="CB16" i="1"/>
  <c r="CA16" i="1"/>
  <c r="BZ16" i="1"/>
  <c r="BY16" i="1"/>
  <c r="BX16" i="1"/>
  <c r="BW16" i="1"/>
  <c r="BV16" i="1"/>
  <c r="BT16" i="1"/>
  <c r="CY15" i="1"/>
  <c r="CX15" i="1"/>
  <c r="CV15" i="1"/>
  <c r="CS15" i="1"/>
  <c r="CK15" i="1"/>
  <c r="CC15" i="1"/>
  <c r="CB15" i="1"/>
  <c r="CA15" i="1"/>
  <c r="BZ15" i="1"/>
  <c r="BY15" i="1"/>
  <c r="BX15" i="1"/>
  <c r="BW15" i="1"/>
  <c r="BV15" i="1"/>
  <c r="BT15" i="1"/>
  <c r="CY14" i="1"/>
  <c r="CX14" i="1"/>
  <c r="CV14" i="1"/>
  <c r="CS14" i="1"/>
  <c r="CK14" i="1"/>
  <c r="CC14" i="1"/>
  <c r="CB14" i="1"/>
  <c r="CA14" i="1"/>
  <c r="BZ14" i="1"/>
  <c r="BY14" i="1"/>
  <c r="BX14" i="1"/>
  <c r="BW14" i="1"/>
  <c r="BV14" i="1"/>
  <c r="BT14" i="1"/>
  <c r="CY13" i="1"/>
  <c r="CX13" i="1"/>
  <c r="CV13" i="1"/>
  <c r="CS13" i="1"/>
  <c r="CK13" i="1"/>
  <c r="CC13" i="1"/>
  <c r="CB13" i="1"/>
  <c r="CA13" i="1"/>
  <c r="BZ13" i="1"/>
  <c r="BY13" i="1"/>
  <c r="BX13" i="1"/>
  <c r="BW13" i="1"/>
  <c r="BV13" i="1"/>
  <c r="BT13" i="1"/>
  <c r="CY12" i="1"/>
  <c r="CX12" i="1"/>
  <c r="CV12" i="1"/>
  <c r="CS12" i="1"/>
  <c r="CK12" i="1"/>
  <c r="CC12" i="1"/>
  <c r="CB12" i="1"/>
  <c r="CA12" i="1"/>
  <c r="BZ12" i="1"/>
  <c r="BY12" i="1"/>
  <c r="BX12" i="1"/>
  <c r="BW12" i="1"/>
  <c r="BV12" i="1"/>
  <c r="BT12" i="1"/>
  <c r="CY11" i="1"/>
  <c r="CX11" i="1"/>
  <c r="CV11" i="1"/>
  <c r="CS11" i="1"/>
  <c r="CK11" i="1"/>
  <c r="CC11" i="1"/>
  <c r="CB11" i="1"/>
  <c r="CA11" i="1"/>
  <c r="BZ11" i="1"/>
  <c r="BY11" i="1"/>
  <c r="BX11" i="1"/>
  <c r="BW11" i="1"/>
  <c r="BV11" i="1"/>
  <c r="BT11" i="1"/>
  <c r="CY10" i="1"/>
  <c r="CX10" i="1"/>
  <c r="CV10" i="1"/>
  <c r="CS10" i="1"/>
  <c r="CK10" i="1"/>
  <c r="CC10" i="1"/>
  <c r="CB10" i="1"/>
  <c r="CA10" i="1"/>
  <c r="BZ10" i="1"/>
  <c r="BY10" i="1"/>
  <c r="BX10" i="1"/>
  <c r="BW10" i="1"/>
  <c r="BV10" i="1"/>
  <c r="BT10" i="1"/>
  <c r="CY9" i="1"/>
  <c r="CX9" i="1"/>
  <c r="CV9" i="1"/>
  <c r="CS9" i="1"/>
  <c r="CK9" i="1"/>
  <c r="CC9" i="1"/>
  <c r="CB9" i="1"/>
  <c r="CA9" i="1"/>
  <c r="BZ9" i="1"/>
  <c r="BY9" i="1"/>
  <c r="BX9" i="1"/>
  <c r="BW9" i="1"/>
  <c r="BV9" i="1"/>
  <c r="BT9" i="1"/>
  <c r="CY8" i="1"/>
  <c r="CX8" i="1"/>
  <c r="CV8" i="1"/>
  <c r="CS8" i="1"/>
  <c r="CK8" i="1"/>
  <c r="CC8" i="1"/>
  <c r="CB8" i="1"/>
  <c r="CA8" i="1"/>
  <c r="BZ8" i="1"/>
  <c r="BY8" i="1"/>
  <c r="BX8" i="1"/>
  <c r="BW8" i="1"/>
  <c r="BV8" i="1"/>
  <c r="BT8" i="1"/>
  <c r="CY7" i="1"/>
  <c r="CX7" i="1"/>
  <c r="CV7" i="1"/>
  <c r="CS7" i="1"/>
  <c r="CK7" i="1"/>
  <c r="CC7" i="1"/>
  <c r="CB7" i="1"/>
  <c r="CA7" i="1"/>
  <c r="BZ7" i="1"/>
  <c r="BY7" i="1"/>
  <c r="BX7" i="1"/>
  <c r="BW7" i="1"/>
  <c r="BV7" i="1"/>
  <c r="BT7" i="1"/>
  <c r="A2" i="26"/>
  <c r="A8" i="29" l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A371" i="29" s="1"/>
  <c r="E371" i="29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M7" i="29"/>
  <c r="O7" i="29" s="1"/>
  <c r="L7" i="29"/>
  <c r="O8" i="29" l="1"/>
  <c r="O9" i="29" s="1"/>
  <c r="O10" i="29" s="1"/>
  <c r="O11" i="29" s="1"/>
  <c r="O12" i="29" s="1"/>
  <c r="O13" i="29" s="1"/>
  <c r="O14" i="29" s="1"/>
  <c r="O15" i="29" s="1"/>
  <c r="O16" i="29" s="1"/>
  <c r="O17" i="29" s="1"/>
  <c r="O18" i="29" s="1"/>
  <c r="P8" i="29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E396" i="1" l="1"/>
  <c r="BE395" i="1"/>
  <c r="BE394" i="1"/>
  <c r="BE393" i="1"/>
  <c r="BR399" i="1"/>
  <c r="BR398" i="1"/>
  <c r="BR397" i="1"/>
  <c r="BR396" i="1"/>
  <c r="BR395" i="1"/>
  <c r="BR394" i="1"/>
  <c r="BR393" i="1"/>
  <c r="BR392" i="1"/>
  <c r="BR391" i="1"/>
  <c r="BR390" i="1"/>
  <c r="BR389" i="1"/>
  <c r="BR388" i="1"/>
  <c r="BR386" i="1"/>
  <c r="BR385" i="1"/>
  <c r="BR384" i="1"/>
  <c r="BR383" i="1"/>
  <c r="BR382" i="1"/>
  <c r="BR381" i="1"/>
  <c r="BR380" i="1"/>
  <c r="BR379" i="1"/>
  <c r="BR378" i="1"/>
  <c r="BR377" i="1"/>
  <c r="BR376" i="1"/>
  <c r="BR375" i="1"/>
  <c r="Q143" i="26" l="1"/>
  <c r="J371" i="26"/>
  <c r="G371" i="26"/>
  <c r="J370" i="26"/>
  <c r="G370" i="26"/>
  <c r="J369" i="26"/>
  <c r="G369" i="26"/>
  <c r="J368" i="26"/>
  <c r="G368" i="26"/>
  <c r="J367" i="26"/>
  <c r="H367" i="26"/>
  <c r="G367" i="26"/>
  <c r="J366" i="26"/>
  <c r="G366" i="26"/>
  <c r="J365" i="26"/>
  <c r="G365" i="26"/>
  <c r="J364" i="26"/>
  <c r="G364" i="26"/>
  <c r="J363" i="26"/>
  <c r="G363" i="26"/>
  <c r="J362" i="26"/>
  <c r="G362" i="26"/>
  <c r="J361" i="26"/>
  <c r="G361" i="26"/>
  <c r="J360" i="26"/>
  <c r="G360" i="26"/>
  <c r="J359" i="26"/>
  <c r="G359" i="26"/>
  <c r="J358" i="26"/>
  <c r="G358" i="26"/>
  <c r="J357" i="26"/>
  <c r="G357" i="26"/>
  <c r="J356" i="26"/>
  <c r="G356" i="26"/>
  <c r="J355" i="26"/>
  <c r="G355" i="26"/>
  <c r="J354" i="26"/>
  <c r="G354" i="26"/>
  <c r="J353" i="26"/>
  <c r="G353" i="26"/>
  <c r="J352" i="26"/>
  <c r="G352" i="26"/>
  <c r="J351" i="26"/>
  <c r="G351" i="26"/>
  <c r="J350" i="26"/>
  <c r="H350" i="26"/>
  <c r="G350" i="26"/>
  <c r="J349" i="26"/>
  <c r="H349" i="26"/>
  <c r="G349" i="26"/>
  <c r="J348" i="26"/>
  <c r="H348" i="26"/>
  <c r="G348" i="26"/>
  <c r="J347" i="26"/>
  <c r="G347" i="26"/>
  <c r="J346" i="26"/>
  <c r="H346" i="26"/>
  <c r="G346" i="26"/>
  <c r="J345" i="26"/>
  <c r="G345" i="26"/>
  <c r="J344" i="26"/>
  <c r="G344" i="26"/>
  <c r="J343" i="26"/>
  <c r="G343" i="26"/>
  <c r="J342" i="26"/>
  <c r="G342" i="26"/>
  <c r="J341" i="26"/>
  <c r="G341" i="26"/>
  <c r="J340" i="26"/>
  <c r="H340" i="26"/>
  <c r="G340" i="26"/>
  <c r="J339" i="26"/>
  <c r="H339" i="26"/>
  <c r="G339" i="26"/>
  <c r="J338" i="26"/>
  <c r="H338" i="26"/>
  <c r="G338" i="26"/>
  <c r="J337" i="26"/>
  <c r="H337" i="26"/>
  <c r="G337" i="26"/>
  <c r="J336" i="26"/>
  <c r="H336" i="26"/>
  <c r="G336" i="26"/>
  <c r="J335" i="26"/>
  <c r="H335" i="26"/>
  <c r="G335" i="26"/>
  <c r="J334" i="26"/>
  <c r="G334" i="26"/>
  <c r="J333" i="26"/>
  <c r="G333" i="26"/>
  <c r="J332" i="26"/>
  <c r="G332" i="26"/>
  <c r="J331" i="26"/>
  <c r="G331" i="26"/>
  <c r="J330" i="26"/>
  <c r="G330" i="26"/>
  <c r="J329" i="26"/>
  <c r="K329" i="26" s="1"/>
  <c r="G329" i="26"/>
  <c r="J328" i="26"/>
  <c r="G328" i="26"/>
  <c r="J327" i="26"/>
  <c r="G327" i="26"/>
  <c r="J326" i="26"/>
  <c r="H326" i="26"/>
  <c r="G326" i="26"/>
  <c r="J325" i="26"/>
  <c r="G325" i="26"/>
  <c r="J324" i="26"/>
  <c r="G324" i="26"/>
  <c r="J323" i="26"/>
  <c r="H323" i="26"/>
  <c r="G323" i="26"/>
  <c r="J322" i="26"/>
  <c r="H322" i="26"/>
  <c r="G322" i="26"/>
  <c r="J321" i="26"/>
  <c r="G321" i="26"/>
  <c r="J320" i="26"/>
  <c r="K320" i="26" s="1"/>
  <c r="H320" i="26"/>
  <c r="G320" i="26"/>
  <c r="J319" i="26"/>
  <c r="K319" i="26" s="1"/>
  <c r="G319" i="26"/>
  <c r="J318" i="26"/>
  <c r="K318" i="26" s="1"/>
  <c r="H318" i="26"/>
  <c r="G318" i="26"/>
  <c r="J317" i="26"/>
  <c r="G317" i="26"/>
  <c r="J316" i="26"/>
  <c r="K316" i="26" s="1"/>
  <c r="G316" i="26"/>
  <c r="J315" i="26"/>
  <c r="K315" i="26" s="1"/>
  <c r="H315" i="26"/>
  <c r="G315" i="26"/>
  <c r="J314" i="26"/>
  <c r="G314" i="26"/>
  <c r="J313" i="26"/>
  <c r="G313" i="26"/>
  <c r="J312" i="26"/>
  <c r="G312" i="26"/>
  <c r="J311" i="26"/>
  <c r="G311" i="26"/>
  <c r="J310" i="26"/>
  <c r="G310" i="26"/>
  <c r="J309" i="26"/>
  <c r="H309" i="26"/>
  <c r="G309" i="26"/>
  <c r="J308" i="26"/>
  <c r="G308" i="26"/>
  <c r="J307" i="26"/>
  <c r="G307" i="26"/>
  <c r="J306" i="26"/>
  <c r="G306" i="26"/>
  <c r="K306" i="26" s="1"/>
  <c r="J305" i="26"/>
  <c r="H305" i="26"/>
  <c r="G305" i="26"/>
  <c r="K305" i="26" s="1"/>
  <c r="J304" i="26"/>
  <c r="H304" i="26"/>
  <c r="G304" i="26"/>
  <c r="K304" i="26" s="1"/>
  <c r="J303" i="26"/>
  <c r="H303" i="26"/>
  <c r="G303" i="26"/>
  <c r="K303" i="26" s="1"/>
  <c r="J302" i="26"/>
  <c r="H302" i="26"/>
  <c r="G302" i="26"/>
  <c r="K302" i="26" s="1"/>
  <c r="J301" i="26"/>
  <c r="H301" i="26"/>
  <c r="G301" i="26"/>
  <c r="K301" i="26" s="1"/>
  <c r="J300" i="26"/>
  <c r="H300" i="26"/>
  <c r="G300" i="26"/>
  <c r="K300" i="26" s="1"/>
  <c r="J299" i="26"/>
  <c r="H299" i="26"/>
  <c r="G299" i="26"/>
  <c r="K299" i="26" s="1"/>
  <c r="J298" i="26"/>
  <c r="H298" i="26"/>
  <c r="G298" i="26"/>
  <c r="K298" i="26" s="1"/>
  <c r="J297" i="26"/>
  <c r="H297" i="26"/>
  <c r="G297" i="26"/>
  <c r="K297" i="26" s="1"/>
  <c r="J296" i="26"/>
  <c r="H296" i="26"/>
  <c r="G296" i="26"/>
  <c r="K296" i="26" s="1"/>
  <c r="J295" i="26"/>
  <c r="H295" i="26"/>
  <c r="G295" i="26"/>
  <c r="K295" i="26" s="1"/>
  <c r="J294" i="26"/>
  <c r="H294" i="26"/>
  <c r="G294" i="26"/>
  <c r="K294" i="26" s="1"/>
  <c r="J293" i="26"/>
  <c r="H293" i="26"/>
  <c r="G293" i="26"/>
  <c r="K293" i="26" s="1"/>
  <c r="J292" i="26"/>
  <c r="H292" i="26"/>
  <c r="G292" i="26"/>
  <c r="K292" i="26" s="1"/>
  <c r="J291" i="26"/>
  <c r="H291" i="26"/>
  <c r="G291" i="26"/>
  <c r="K291" i="26" s="1"/>
  <c r="J290" i="26"/>
  <c r="H290" i="26"/>
  <c r="G290" i="26"/>
  <c r="K290" i="26" s="1"/>
  <c r="J289" i="26"/>
  <c r="H289" i="26"/>
  <c r="G289" i="26"/>
  <c r="K289" i="26" s="1"/>
  <c r="J288" i="26"/>
  <c r="H288" i="26"/>
  <c r="G288" i="26"/>
  <c r="K288" i="26" s="1"/>
  <c r="J287" i="26"/>
  <c r="H287" i="26"/>
  <c r="G287" i="26"/>
  <c r="K287" i="26" s="1"/>
  <c r="J286" i="26"/>
  <c r="H286" i="26"/>
  <c r="G286" i="26"/>
  <c r="K286" i="26" s="1"/>
  <c r="J285" i="26"/>
  <c r="H285" i="26"/>
  <c r="G285" i="26"/>
  <c r="K285" i="26" s="1"/>
  <c r="J284" i="26"/>
  <c r="H284" i="26"/>
  <c r="G284" i="26"/>
  <c r="K284" i="26" s="1"/>
  <c r="J283" i="26"/>
  <c r="H283" i="26"/>
  <c r="G283" i="26"/>
  <c r="K283" i="26" s="1"/>
  <c r="J282" i="26"/>
  <c r="H282" i="26"/>
  <c r="G282" i="26"/>
  <c r="K282" i="26" s="1"/>
  <c r="J281" i="26"/>
  <c r="H281" i="26"/>
  <c r="G281" i="26"/>
  <c r="K281" i="26" s="1"/>
  <c r="J280" i="26"/>
  <c r="H280" i="26"/>
  <c r="G280" i="26"/>
  <c r="K280" i="26" s="1"/>
  <c r="J279" i="26"/>
  <c r="H279" i="26"/>
  <c r="G279" i="26"/>
  <c r="K279" i="26" s="1"/>
  <c r="J278" i="26"/>
  <c r="H278" i="26"/>
  <c r="G278" i="26"/>
  <c r="K278" i="26" s="1"/>
  <c r="J277" i="26"/>
  <c r="H277" i="26"/>
  <c r="G277" i="26"/>
  <c r="K277" i="26" s="1"/>
  <c r="J276" i="26"/>
  <c r="H276" i="26"/>
  <c r="G276" i="26"/>
  <c r="K276" i="26" s="1"/>
  <c r="J275" i="26"/>
  <c r="H275" i="26"/>
  <c r="G275" i="26"/>
  <c r="K275" i="26" s="1"/>
  <c r="J274" i="26"/>
  <c r="H274" i="26"/>
  <c r="G274" i="26"/>
  <c r="K274" i="26" s="1"/>
  <c r="J273" i="26"/>
  <c r="H273" i="26"/>
  <c r="G273" i="26"/>
  <c r="K273" i="26" s="1"/>
  <c r="J272" i="26"/>
  <c r="H272" i="26"/>
  <c r="G272" i="26"/>
  <c r="K272" i="26" s="1"/>
  <c r="J271" i="26"/>
  <c r="H271" i="26"/>
  <c r="G271" i="26"/>
  <c r="K271" i="26" s="1"/>
  <c r="J270" i="26"/>
  <c r="H270" i="26"/>
  <c r="G270" i="26"/>
  <c r="K270" i="26" s="1"/>
  <c r="J269" i="26"/>
  <c r="H269" i="26"/>
  <c r="G269" i="26"/>
  <c r="K269" i="26" s="1"/>
  <c r="J268" i="26"/>
  <c r="H268" i="26"/>
  <c r="G268" i="26"/>
  <c r="K268" i="26" s="1"/>
  <c r="J267" i="26"/>
  <c r="H267" i="26"/>
  <c r="G267" i="26"/>
  <c r="J266" i="26"/>
  <c r="H266" i="26"/>
  <c r="G266" i="26"/>
  <c r="K266" i="26" s="1"/>
  <c r="J265" i="26"/>
  <c r="H265" i="26"/>
  <c r="G265" i="26"/>
  <c r="K265" i="26" s="1"/>
  <c r="J264" i="26"/>
  <c r="H264" i="26"/>
  <c r="G264" i="26"/>
  <c r="K264" i="26" s="1"/>
  <c r="J263" i="26"/>
  <c r="H263" i="26"/>
  <c r="G263" i="26"/>
  <c r="K263" i="26" s="1"/>
  <c r="J262" i="26"/>
  <c r="H262" i="26"/>
  <c r="G262" i="26"/>
  <c r="K262" i="26" s="1"/>
  <c r="J261" i="26"/>
  <c r="H261" i="26"/>
  <c r="G261" i="26"/>
  <c r="K261" i="26" s="1"/>
  <c r="J260" i="26"/>
  <c r="H260" i="26"/>
  <c r="G260" i="26"/>
  <c r="K260" i="26" s="1"/>
  <c r="J259" i="26"/>
  <c r="H259" i="26"/>
  <c r="G259" i="26"/>
  <c r="K259" i="26" s="1"/>
  <c r="J258" i="26"/>
  <c r="H258" i="26"/>
  <c r="G258" i="26"/>
  <c r="K258" i="26" s="1"/>
  <c r="J257" i="26"/>
  <c r="H257" i="26"/>
  <c r="G257" i="26"/>
  <c r="K257" i="26" s="1"/>
  <c r="J256" i="26"/>
  <c r="H256" i="26"/>
  <c r="G256" i="26"/>
  <c r="K256" i="26" s="1"/>
  <c r="J255" i="26"/>
  <c r="H255" i="26"/>
  <c r="G255" i="26"/>
  <c r="K255" i="26" s="1"/>
  <c r="J254" i="26"/>
  <c r="H254" i="26"/>
  <c r="G254" i="26"/>
  <c r="K254" i="26" s="1"/>
  <c r="J253" i="26"/>
  <c r="H253" i="26"/>
  <c r="G253" i="26"/>
  <c r="K253" i="26" s="1"/>
  <c r="J252" i="26"/>
  <c r="H252" i="26"/>
  <c r="G252" i="26"/>
  <c r="K252" i="26" s="1"/>
  <c r="J251" i="26"/>
  <c r="H251" i="26"/>
  <c r="G251" i="26"/>
  <c r="K251" i="26" s="1"/>
  <c r="J250" i="26"/>
  <c r="H250" i="26"/>
  <c r="G250" i="26"/>
  <c r="K250" i="26" s="1"/>
  <c r="J249" i="26"/>
  <c r="H249" i="26"/>
  <c r="G249" i="26"/>
  <c r="K249" i="26" s="1"/>
  <c r="J248" i="26"/>
  <c r="H248" i="26"/>
  <c r="G248" i="26"/>
  <c r="K248" i="26" s="1"/>
  <c r="J247" i="26"/>
  <c r="H247" i="26"/>
  <c r="G247" i="26"/>
  <c r="K247" i="26" s="1"/>
  <c r="J246" i="26"/>
  <c r="H246" i="26"/>
  <c r="G246" i="26"/>
  <c r="K246" i="26" s="1"/>
  <c r="J245" i="26"/>
  <c r="H245" i="26"/>
  <c r="G245" i="26"/>
  <c r="K245" i="26" s="1"/>
  <c r="J244" i="26"/>
  <c r="H244" i="26"/>
  <c r="G244" i="26"/>
  <c r="K244" i="26" s="1"/>
  <c r="J243" i="26"/>
  <c r="H243" i="26"/>
  <c r="G243" i="26"/>
  <c r="K243" i="26" s="1"/>
  <c r="J242" i="26"/>
  <c r="H242" i="26"/>
  <c r="G242" i="26"/>
  <c r="K242" i="26" s="1"/>
  <c r="J241" i="26"/>
  <c r="H241" i="26"/>
  <c r="G241" i="26"/>
  <c r="K241" i="26" s="1"/>
  <c r="J240" i="26"/>
  <c r="H240" i="26"/>
  <c r="G240" i="26"/>
  <c r="K240" i="26" s="1"/>
  <c r="J239" i="26"/>
  <c r="H239" i="26"/>
  <c r="G239" i="26"/>
  <c r="K239" i="26" s="1"/>
  <c r="J238" i="26"/>
  <c r="H238" i="26"/>
  <c r="G238" i="26"/>
  <c r="K238" i="26" s="1"/>
  <c r="J237" i="26"/>
  <c r="H237" i="26"/>
  <c r="G237" i="26"/>
  <c r="K237" i="26" s="1"/>
  <c r="J236" i="26"/>
  <c r="H236" i="26"/>
  <c r="G236" i="26"/>
  <c r="K236" i="26" s="1"/>
  <c r="J235" i="26"/>
  <c r="H235" i="26"/>
  <c r="G235" i="26"/>
  <c r="K235" i="26" s="1"/>
  <c r="J234" i="26"/>
  <c r="H234" i="26"/>
  <c r="G234" i="26"/>
  <c r="K234" i="26" s="1"/>
  <c r="J233" i="26"/>
  <c r="H233" i="26"/>
  <c r="G233" i="26"/>
  <c r="K233" i="26" s="1"/>
  <c r="J232" i="26"/>
  <c r="H232" i="26"/>
  <c r="G232" i="26"/>
  <c r="K232" i="26" s="1"/>
  <c r="J231" i="26"/>
  <c r="H231" i="26"/>
  <c r="G231" i="26"/>
  <c r="K231" i="26" s="1"/>
  <c r="J230" i="26"/>
  <c r="H230" i="26"/>
  <c r="G230" i="26"/>
  <c r="K230" i="26" s="1"/>
  <c r="J229" i="26"/>
  <c r="H229" i="26"/>
  <c r="G229" i="26"/>
  <c r="K229" i="26" s="1"/>
  <c r="J228" i="26"/>
  <c r="H228" i="26"/>
  <c r="G228" i="26"/>
  <c r="K228" i="26" s="1"/>
  <c r="J227" i="26"/>
  <c r="H227" i="26"/>
  <c r="G227" i="26"/>
  <c r="K227" i="26" s="1"/>
  <c r="J226" i="26"/>
  <c r="H226" i="26"/>
  <c r="G226" i="26"/>
  <c r="K226" i="26" s="1"/>
  <c r="J225" i="26"/>
  <c r="H225" i="26"/>
  <c r="G225" i="26"/>
  <c r="K225" i="26" s="1"/>
  <c r="J224" i="26"/>
  <c r="H224" i="26"/>
  <c r="G224" i="26"/>
  <c r="K224" i="26" s="1"/>
  <c r="J223" i="26"/>
  <c r="H223" i="26"/>
  <c r="G223" i="26"/>
  <c r="K223" i="26" s="1"/>
  <c r="J222" i="26"/>
  <c r="H222" i="26"/>
  <c r="G222" i="26"/>
  <c r="K222" i="26" s="1"/>
  <c r="J221" i="26"/>
  <c r="H221" i="26"/>
  <c r="G221" i="26"/>
  <c r="K221" i="26" s="1"/>
  <c r="J220" i="26"/>
  <c r="H220" i="26"/>
  <c r="G220" i="26"/>
  <c r="K220" i="26" s="1"/>
  <c r="J219" i="26"/>
  <c r="H219" i="26"/>
  <c r="G219" i="26"/>
  <c r="K219" i="26" s="1"/>
  <c r="J218" i="26"/>
  <c r="H218" i="26"/>
  <c r="G218" i="26"/>
  <c r="K218" i="26" s="1"/>
  <c r="J217" i="26"/>
  <c r="H217" i="26"/>
  <c r="G217" i="26"/>
  <c r="K217" i="26" s="1"/>
  <c r="J216" i="26"/>
  <c r="H216" i="26"/>
  <c r="G216" i="26"/>
  <c r="K216" i="26" s="1"/>
  <c r="J215" i="26"/>
  <c r="H215" i="26"/>
  <c r="G215" i="26"/>
  <c r="K215" i="26" s="1"/>
  <c r="J214" i="26"/>
  <c r="H214" i="26"/>
  <c r="G214" i="26"/>
  <c r="K214" i="26" s="1"/>
  <c r="J213" i="26"/>
  <c r="H213" i="26"/>
  <c r="G213" i="26"/>
  <c r="K213" i="26" s="1"/>
  <c r="J212" i="26"/>
  <c r="H212" i="26"/>
  <c r="G212" i="26"/>
  <c r="K212" i="26" s="1"/>
  <c r="J211" i="26"/>
  <c r="H211" i="26"/>
  <c r="G211" i="26"/>
  <c r="K211" i="26" s="1"/>
  <c r="J210" i="26"/>
  <c r="H210" i="26"/>
  <c r="G210" i="26"/>
  <c r="K210" i="26" s="1"/>
  <c r="J209" i="26"/>
  <c r="H209" i="26"/>
  <c r="G209" i="26"/>
  <c r="K209" i="26" s="1"/>
  <c r="J208" i="26"/>
  <c r="H208" i="26"/>
  <c r="G208" i="26"/>
  <c r="K208" i="26" s="1"/>
  <c r="J207" i="26"/>
  <c r="H207" i="26"/>
  <c r="G207" i="26"/>
  <c r="K207" i="26" s="1"/>
  <c r="J206" i="26"/>
  <c r="H206" i="26"/>
  <c r="G206" i="26"/>
  <c r="K206" i="26" s="1"/>
  <c r="J205" i="26"/>
  <c r="H205" i="26"/>
  <c r="G205" i="26"/>
  <c r="K205" i="26" s="1"/>
  <c r="J204" i="26"/>
  <c r="H204" i="26"/>
  <c r="G204" i="26"/>
  <c r="K204" i="26" s="1"/>
  <c r="J203" i="26"/>
  <c r="H203" i="26"/>
  <c r="G203" i="26"/>
  <c r="K203" i="26" s="1"/>
  <c r="J202" i="26"/>
  <c r="H202" i="26"/>
  <c r="G202" i="26"/>
  <c r="K202" i="26" s="1"/>
  <c r="J201" i="26"/>
  <c r="H201" i="26"/>
  <c r="G201" i="26"/>
  <c r="K201" i="26" s="1"/>
  <c r="J200" i="26"/>
  <c r="H200" i="26"/>
  <c r="G200" i="26"/>
  <c r="K200" i="26" s="1"/>
  <c r="J199" i="26"/>
  <c r="H199" i="26"/>
  <c r="G199" i="26"/>
  <c r="K199" i="26" s="1"/>
  <c r="J198" i="26"/>
  <c r="H198" i="26"/>
  <c r="G198" i="26"/>
  <c r="K198" i="26" s="1"/>
  <c r="J197" i="26"/>
  <c r="H197" i="26"/>
  <c r="G197" i="26"/>
  <c r="K197" i="26" s="1"/>
  <c r="J196" i="26"/>
  <c r="H196" i="26"/>
  <c r="G196" i="26"/>
  <c r="K196" i="26" s="1"/>
  <c r="J195" i="26"/>
  <c r="H195" i="26"/>
  <c r="G195" i="26"/>
  <c r="K195" i="26" s="1"/>
  <c r="J194" i="26"/>
  <c r="H194" i="26"/>
  <c r="G194" i="26"/>
  <c r="K194" i="26" s="1"/>
  <c r="J193" i="26"/>
  <c r="H193" i="26"/>
  <c r="G193" i="26"/>
  <c r="K193" i="26" s="1"/>
  <c r="J192" i="26"/>
  <c r="H192" i="26"/>
  <c r="G192" i="26"/>
  <c r="K192" i="26" s="1"/>
  <c r="J191" i="26"/>
  <c r="H191" i="26"/>
  <c r="G191" i="26"/>
  <c r="K191" i="26" s="1"/>
  <c r="J190" i="26"/>
  <c r="H190" i="26"/>
  <c r="G190" i="26"/>
  <c r="K190" i="26" s="1"/>
  <c r="J189" i="26"/>
  <c r="H189" i="26"/>
  <c r="G189" i="26"/>
  <c r="K189" i="26" s="1"/>
  <c r="J188" i="26"/>
  <c r="H188" i="26"/>
  <c r="G188" i="26"/>
  <c r="K188" i="26" s="1"/>
  <c r="J187" i="26"/>
  <c r="H187" i="26"/>
  <c r="G187" i="26"/>
  <c r="K187" i="26" s="1"/>
  <c r="J186" i="26"/>
  <c r="H186" i="26"/>
  <c r="G186" i="26"/>
  <c r="K186" i="26" s="1"/>
  <c r="J185" i="26"/>
  <c r="H185" i="26"/>
  <c r="G185" i="26"/>
  <c r="K185" i="26" s="1"/>
  <c r="J184" i="26"/>
  <c r="H184" i="26"/>
  <c r="G184" i="26"/>
  <c r="K184" i="26" s="1"/>
  <c r="J183" i="26"/>
  <c r="H183" i="26"/>
  <c r="G183" i="26"/>
  <c r="K183" i="26" s="1"/>
  <c r="J182" i="26"/>
  <c r="H182" i="26"/>
  <c r="G182" i="26"/>
  <c r="K182" i="26" s="1"/>
  <c r="J181" i="26"/>
  <c r="H181" i="26"/>
  <c r="G181" i="26"/>
  <c r="K181" i="26" s="1"/>
  <c r="J180" i="26"/>
  <c r="H180" i="26"/>
  <c r="G180" i="26"/>
  <c r="K180" i="26" s="1"/>
  <c r="J179" i="26"/>
  <c r="H179" i="26"/>
  <c r="G179" i="26"/>
  <c r="K179" i="26" s="1"/>
  <c r="J178" i="26"/>
  <c r="H178" i="26"/>
  <c r="G178" i="26"/>
  <c r="K178" i="26" s="1"/>
  <c r="J177" i="26"/>
  <c r="H177" i="26"/>
  <c r="G177" i="26"/>
  <c r="K177" i="26" s="1"/>
  <c r="J176" i="26"/>
  <c r="H176" i="26"/>
  <c r="G176" i="26"/>
  <c r="K176" i="26" s="1"/>
  <c r="J175" i="26"/>
  <c r="H175" i="26"/>
  <c r="G175" i="26"/>
  <c r="K175" i="26" s="1"/>
  <c r="J174" i="26"/>
  <c r="H174" i="26"/>
  <c r="G174" i="26"/>
  <c r="K174" i="26" s="1"/>
  <c r="J173" i="26"/>
  <c r="H173" i="26"/>
  <c r="G173" i="26"/>
  <c r="K173" i="26" s="1"/>
  <c r="J172" i="26"/>
  <c r="H172" i="26"/>
  <c r="G172" i="26"/>
  <c r="K172" i="26" s="1"/>
  <c r="J171" i="26"/>
  <c r="H171" i="26"/>
  <c r="G171" i="26"/>
  <c r="K171" i="26" s="1"/>
  <c r="J170" i="26"/>
  <c r="H170" i="26"/>
  <c r="G170" i="26"/>
  <c r="K170" i="26" s="1"/>
  <c r="J169" i="26"/>
  <c r="H169" i="26"/>
  <c r="G169" i="26"/>
  <c r="K169" i="26" s="1"/>
  <c r="J168" i="26"/>
  <c r="H168" i="26"/>
  <c r="G168" i="26"/>
  <c r="K168" i="26" s="1"/>
  <c r="J167" i="26"/>
  <c r="H167" i="26"/>
  <c r="G167" i="26"/>
  <c r="K167" i="26" s="1"/>
  <c r="J166" i="26"/>
  <c r="H166" i="26"/>
  <c r="G166" i="26"/>
  <c r="K166" i="26" s="1"/>
  <c r="J165" i="26"/>
  <c r="H165" i="26"/>
  <c r="G165" i="26"/>
  <c r="K165" i="26" s="1"/>
  <c r="J164" i="26"/>
  <c r="H164" i="26"/>
  <c r="G164" i="26"/>
  <c r="K164" i="26" s="1"/>
  <c r="J163" i="26"/>
  <c r="H163" i="26"/>
  <c r="G163" i="26"/>
  <c r="K163" i="26" s="1"/>
  <c r="J162" i="26"/>
  <c r="H162" i="26"/>
  <c r="G162" i="26"/>
  <c r="K162" i="26" s="1"/>
  <c r="J161" i="26"/>
  <c r="H161" i="26"/>
  <c r="G161" i="26"/>
  <c r="K161" i="26" s="1"/>
  <c r="J160" i="26"/>
  <c r="H160" i="26"/>
  <c r="G160" i="26"/>
  <c r="K160" i="26" s="1"/>
  <c r="J159" i="26"/>
  <c r="H159" i="26"/>
  <c r="G159" i="26"/>
  <c r="K159" i="26" s="1"/>
  <c r="J158" i="26"/>
  <c r="H158" i="26"/>
  <c r="G158" i="26"/>
  <c r="K158" i="26" s="1"/>
  <c r="J157" i="26"/>
  <c r="H157" i="26"/>
  <c r="G157" i="26"/>
  <c r="K157" i="26" s="1"/>
  <c r="J156" i="26"/>
  <c r="H156" i="26"/>
  <c r="G156" i="26"/>
  <c r="K156" i="26" s="1"/>
  <c r="J155" i="26"/>
  <c r="H155" i="26"/>
  <c r="G155" i="26"/>
  <c r="K155" i="26" s="1"/>
  <c r="J154" i="26"/>
  <c r="H154" i="26"/>
  <c r="G154" i="26"/>
  <c r="K154" i="26" s="1"/>
  <c r="J153" i="26"/>
  <c r="H153" i="26"/>
  <c r="G153" i="26"/>
  <c r="K153" i="26" s="1"/>
  <c r="J152" i="26"/>
  <c r="H152" i="26"/>
  <c r="G152" i="26"/>
  <c r="K152" i="26" s="1"/>
  <c r="J151" i="26"/>
  <c r="H151" i="26"/>
  <c r="G151" i="26"/>
  <c r="K151" i="26" s="1"/>
  <c r="J150" i="26"/>
  <c r="H150" i="26"/>
  <c r="G150" i="26"/>
  <c r="K150" i="26" s="1"/>
  <c r="J149" i="26"/>
  <c r="H149" i="26"/>
  <c r="G149" i="26"/>
  <c r="K149" i="26" s="1"/>
  <c r="J148" i="26"/>
  <c r="H148" i="26"/>
  <c r="G148" i="26"/>
  <c r="K148" i="26" s="1"/>
  <c r="J147" i="26"/>
  <c r="H147" i="26"/>
  <c r="G147" i="26"/>
  <c r="K147" i="26" s="1"/>
  <c r="J146" i="26"/>
  <c r="H146" i="26"/>
  <c r="G146" i="26"/>
  <c r="K146" i="26" s="1"/>
  <c r="J145" i="26"/>
  <c r="H145" i="26"/>
  <c r="G145" i="26"/>
  <c r="K145" i="26" s="1"/>
  <c r="J144" i="26"/>
  <c r="H144" i="26"/>
  <c r="G144" i="26"/>
  <c r="K144" i="26" s="1"/>
  <c r="J143" i="26"/>
  <c r="H143" i="26"/>
  <c r="G143" i="26"/>
  <c r="K143" i="26" s="1"/>
  <c r="J142" i="26"/>
  <c r="G142" i="26"/>
  <c r="K142" i="26" s="1"/>
  <c r="J141" i="26"/>
  <c r="G141" i="26"/>
  <c r="K141" i="26" s="1"/>
  <c r="J140" i="26"/>
  <c r="G140" i="26"/>
  <c r="K140" i="26" s="1"/>
  <c r="J139" i="26"/>
  <c r="G139" i="26"/>
  <c r="K139" i="26" s="1"/>
  <c r="J138" i="26"/>
  <c r="G138" i="26"/>
  <c r="K138" i="26" s="1"/>
  <c r="J137" i="26"/>
  <c r="G137" i="26"/>
  <c r="K137" i="26" s="1"/>
  <c r="J136" i="26"/>
  <c r="G136" i="26"/>
  <c r="K136" i="26" s="1"/>
  <c r="J135" i="26"/>
  <c r="G135" i="26"/>
  <c r="K135" i="26" s="1"/>
  <c r="J134" i="26"/>
  <c r="G134" i="26"/>
  <c r="K134" i="26" s="1"/>
  <c r="J133" i="26"/>
  <c r="K133" i="26" s="1"/>
  <c r="G133" i="26"/>
  <c r="J132" i="26"/>
  <c r="K132" i="26" s="1"/>
  <c r="G132" i="26"/>
  <c r="J131" i="26"/>
  <c r="K131" i="26" s="1"/>
  <c r="G131" i="26"/>
  <c r="J130" i="26"/>
  <c r="K130" i="26" s="1"/>
  <c r="G130" i="26"/>
  <c r="J129" i="26"/>
  <c r="K129" i="26" s="1"/>
  <c r="G129" i="26"/>
  <c r="J128" i="26"/>
  <c r="K128" i="26" s="1"/>
  <c r="G128" i="26"/>
  <c r="J127" i="26"/>
  <c r="K127" i="26" s="1"/>
  <c r="G127" i="26"/>
  <c r="J126" i="26"/>
  <c r="K126" i="26" s="1"/>
  <c r="G126" i="26"/>
  <c r="J125" i="26"/>
  <c r="K125" i="26" s="1"/>
  <c r="H125" i="26"/>
  <c r="G125" i="26"/>
  <c r="J124" i="26"/>
  <c r="G124" i="26"/>
  <c r="J123" i="26"/>
  <c r="G123" i="26"/>
  <c r="J122" i="26"/>
  <c r="G122" i="26"/>
  <c r="J121" i="26"/>
  <c r="G121" i="26"/>
  <c r="J120" i="26"/>
  <c r="G120" i="26"/>
  <c r="J119" i="26"/>
  <c r="G119" i="26"/>
  <c r="J118" i="26"/>
  <c r="H118" i="26"/>
  <c r="G118" i="26"/>
  <c r="J117" i="26"/>
  <c r="G117" i="26"/>
  <c r="J116" i="26"/>
  <c r="G116" i="26"/>
  <c r="J115" i="26"/>
  <c r="G115" i="26"/>
  <c r="J114" i="26"/>
  <c r="G114" i="26"/>
  <c r="J113" i="26"/>
  <c r="G113" i="26"/>
  <c r="J112" i="26"/>
  <c r="G112" i="26"/>
  <c r="J111" i="26"/>
  <c r="G111" i="26"/>
  <c r="J110" i="26"/>
  <c r="G110" i="26"/>
  <c r="J109" i="26"/>
  <c r="G109" i="26"/>
  <c r="J108" i="26"/>
  <c r="K108" i="26" s="1"/>
  <c r="G108" i="26"/>
  <c r="J107" i="26"/>
  <c r="K107" i="26" s="1"/>
  <c r="G107" i="26"/>
  <c r="J106" i="26"/>
  <c r="K106" i="26" s="1"/>
  <c r="G106" i="26"/>
  <c r="J105" i="26"/>
  <c r="K105" i="26" s="1"/>
  <c r="H105" i="26"/>
  <c r="G105" i="26"/>
  <c r="J104" i="26"/>
  <c r="K104" i="26" s="1"/>
  <c r="H104" i="26"/>
  <c r="G104" i="26"/>
  <c r="J103" i="26"/>
  <c r="K103" i="26" s="1"/>
  <c r="G103" i="26"/>
  <c r="J102" i="26"/>
  <c r="K102" i="26" s="1"/>
  <c r="G102" i="26"/>
  <c r="J101" i="26"/>
  <c r="K101" i="26" s="1"/>
  <c r="H101" i="26"/>
  <c r="G101" i="26"/>
  <c r="J100" i="26"/>
  <c r="K100" i="26" s="1"/>
  <c r="G100" i="26"/>
  <c r="J99" i="26"/>
  <c r="G99" i="26"/>
  <c r="J98" i="26"/>
  <c r="G98" i="26"/>
  <c r="J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G90" i="26"/>
  <c r="J89" i="26"/>
  <c r="G89" i="26"/>
  <c r="J88" i="26"/>
  <c r="G88" i="26"/>
  <c r="J87" i="26"/>
  <c r="G87" i="26"/>
  <c r="J86" i="26"/>
  <c r="G86" i="26"/>
  <c r="J85" i="26"/>
  <c r="G85" i="26"/>
  <c r="J84" i="26"/>
  <c r="G84" i="26"/>
  <c r="J83" i="26"/>
  <c r="G83" i="26"/>
  <c r="J82" i="26"/>
  <c r="G82" i="26"/>
  <c r="J81" i="26"/>
  <c r="G81" i="26"/>
  <c r="J80" i="26"/>
  <c r="G80" i="26"/>
  <c r="J79" i="26"/>
  <c r="G79" i="26"/>
  <c r="J78" i="26"/>
  <c r="G78" i="26"/>
  <c r="J77" i="26"/>
  <c r="G77" i="26"/>
  <c r="J76" i="26"/>
  <c r="G76" i="26"/>
  <c r="J75" i="26"/>
  <c r="G75" i="26"/>
  <c r="J74" i="26"/>
  <c r="G74" i="26"/>
  <c r="J73" i="26"/>
  <c r="G73" i="26"/>
  <c r="J72" i="26"/>
  <c r="G72" i="26"/>
  <c r="J71" i="26"/>
  <c r="G71" i="26"/>
  <c r="J70" i="26"/>
  <c r="G70" i="26"/>
  <c r="J69" i="26"/>
  <c r="G69" i="26"/>
  <c r="J68" i="26"/>
  <c r="G68" i="26"/>
  <c r="J67" i="26"/>
  <c r="G67" i="26"/>
  <c r="J66" i="26"/>
  <c r="G66" i="26"/>
  <c r="J65" i="26"/>
  <c r="G65" i="26"/>
  <c r="J64" i="26"/>
  <c r="G64" i="26"/>
  <c r="J63" i="26"/>
  <c r="H63" i="26"/>
  <c r="G63" i="26"/>
  <c r="J62" i="26"/>
  <c r="G62" i="26"/>
  <c r="J61" i="26"/>
  <c r="G61" i="26"/>
  <c r="J60" i="26"/>
  <c r="G60" i="26"/>
  <c r="J59" i="26"/>
  <c r="H59" i="26"/>
  <c r="G59" i="26"/>
  <c r="J58" i="26"/>
  <c r="G58" i="26"/>
  <c r="J57" i="26"/>
  <c r="G57" i="26"/>
  <c r="J56" i="26"/>
  <c r="G56" i="26"/>
  <c r="J55" i="26"/>
  <c r="G55" i="26"/>
  <c r="J54" i="26"/>
  <c r="G54" i="26"/>
  <c r="J53" i="26"/>
  <c r="G53" i="26"/>
  <c r="J52" i="26"/>
  <c r="H52" i="26"/>
  <c r="G52" i="26"/>
  <c r="J51" i="26"/>
  <c r="G51" i="26"/>
  <c r="J50" i="26"/>
  <c r="G50" i="26"/>
  <c r="J49" i="26"/>
  <c r="H49" i="26"/>
  <c r="G49" i="26"/>
  <c r="J48" i="26"/>
  <c r="G48" i="26"/>
  <c r="J47" i="26"/>
  <c r="G47" i="26"/>
  <c r="J46" i="26"/>
  <c r="H46" i="26"/>
  <c r="G46" i="26"/>
  <c r="J45" i="26"/>
  <c r="H45" i="26"/>
  <c r="G45" i="26"/>
  <c r="J44" i="26"/>
  <c r="G44" i="26"/>
  <c r="J43" i="26"/>
  <c r="G43" i="26"/>
  <c r="J42" i="26"/>
  <c r="G42" i="26"/>
  <c r="J41" i="26"/>
  <c r="G41" i="26"/>
  <c r="J40" i="26"/>
  <c r="G40" i="26"/>
  <c r="J39" i="26"/>
  <c r="G39" i="26"/>
  <c r="J38" i="26"/>
  <c r="G38" i="26"/>
  <c r="J37" i="26"/>
  <c r="G37" i="26"/>
  <c r="J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G30" i="26"/>
  <c r="J29" i="26"/>
  <c r="G29" i="26"/>
  <c r="J28" i="26"/>
  <c r="G28" i="26"/>
  <c r="J27" i="26"/>
  <c r="G27" i="26"/>
  <c r="J26" i="26"/>
  <c r="G26" i="26"/>
  <c r="J25" i="26"/>
  <c r="G25" i="26"/>
  <c r="J24" i="26"/>
  <c r="G24" i="26"/>
  <c r="J23" i="26"/>
  <c r="G23" i="26"/>
  <c r="J22" i="26"/>
  <c r="G22" i="26"/>
  <c r="J21" i="26"/>
  <c r="G21" i="26"/>
  <c r="J20" i="26"/>
  <c r="G20" i="26"/>
  <c r="J19" i="26"/>
  <c r="G19" i="26"/>
  <c r="J18" i="26"/>
  <c r="G18" i="26"/>
  <c r="J17" i="26"/>
  <c r="H17" i="26"/>
  <c r="G17" i="26"/>
  <c r="J16" i="26"/>
  <c r="G16" i="26"/>
  <c r="J15" i="26"/>
  <c r="G15" i="26"/>
  <c r="J14" i="26"/>
  <c r="G14" i="26"/>
  <c r="J13" i="26"/>
  <c r="G13" i="26"/>
  <c r="J12" i="26"/>
  <c r="G12" i="26"/>
  <c r="J11" i="26"/>
  <c r="G11" i="26"/>
  <c r="J10" i="26"/>
  <c r="G10" i="26"/>
  <c r="J9" i="26"/>
  <c r="G9" i="26"/>
  <c r="J8" i="26"/>
  <c r="G8" i="26"/>
  <c r="J7" i="26"/>
  <c r="M7" i="26" s="1"/>
  <c r="H6" i="26"/>
  <c r="R6" i="26" s="1"/>
  <c r="G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K314" i="26"/>
  <c r="K267" i="26"/>
  <c r="Q6" i="26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AH386" i="1"/>
  <c r="AG386" i="1"/>
  <c r="AF386" i="1"/>
  <c r="AE386" i="1"/>
  <c r="AD386" i="1"/>
  <c r="AC386" i="1"/>
  <c r="AB386" i="1"/>
  <c r="AA386" i="1"/>
  <c r="Z386" i="1"/>
  <c r="Y386" i="1"/>
  <c r="V386" i="1"/>
  <c r="U386" i="1"/>
  <c r="T386" i="1"/>
  <c r="S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E385" i="1"/>
  <c r="AH385" i="1"/>
  <c r="AG385" i="1"/>
  <c r="AF385" i="1"/>
  <c r="AE385" i="1"/>
  <c r="AD385" i="1"/>
  <c r="AC385" i="1"/>
  <c r="AB385" i="1"/>
  <c r="AA385" i="1"/>
  <c r="Z385" i="1"/>
  <c r="Y385" i="1"/>
  <c r="V385" i="1"/>
  <c r="U385" i="1"/>
  <c r="T385" i="1"/>
  <c r="S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AH384" i="1"/>
  <c r="AG384" i="1"/>
  <c r="AF384" i="1"/>
  <c r="AE384" i="1"/>
  <c r="AD384" i="1"/>
  <c r="AC384" i="1"/>
  <c r="AB384" i="1"/>
  <c r="AA384" i="1"/>
  <c r="Z384" i="1"/>
  <c r="Y384" i="1"/>
  <c r="V384" i="1"/>
  <c r="U384" i="1"/>
  <c r="T384" i="1"/>
  <c r="S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E383" i="1"/>
  <c r="AH383" i="1"/>
  <c r="AG383" i="1"/>
  <c r="AF383" i="1"/>
  <c r="AE383" i="1"/>
  <c r="AD383" i="1"/>
  <c r="AC383" i="1"/>
  <c r="AB383" i="1"/>
  <c r="AA383" i="1"/>
  <c r="Z383" i="1"/>
  <c r="Y383" i="1"/>
  <c r="V383" i="1"/>
  <c r="U383" i="1"/>
  <c r="T383" i="1"/>
  <c r="S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AH382" i="1"/>
  <c r="AG382" i="1"/>
  <c r="AF382" i="1"/>
  <c r="AE382" i="1"/>
  <c r="AD382" i="1"/>
  <c r="AC382" i="1"/>
  <c r="AB382" i="1"/>
  <c r="AA382" i="1"/>
  <c r="Z382" i="1"/>
  <c r="Y382" i="1"/>
  <c r="V382" i="1"/>
  <c r="U382" i="1"/>
  <c r="T382" i="1"/>
  <c r="S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H381" i="1"/>
  <c r="AG381" i="1"/>
  <c r="AF381" i="1"/>
  <c r="AE381" i="1"/>
  <c r="AD381" i="1"/>
  <c r="AC381" i="1"/>
  <c r="AB381" i="1"/>
  <c r="AA381" i="1"/>
  <c r="Z381" i="1"/>
  <c r="Y381" i="1"/>
  <c r="V381" i="1"/>
  <c r="U381" i="1"/>
  <c r="T381" i="1"/>
  <c r="S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E380" i="1"/>
  <c r="AH380" i="1"/>
  <c r="AG380" i="1"/>
  <c r="AF380" i="1"/>
  <c r="AE380" i="1"/>
  <c r="AD380" i="1"/>
  <c r="AC380" i="1"/>
  <c r="AB380" i="1"/>
  <c r="AA380" i="1"/>
  <c r="Z380" i="1"/>
  <c r="Y380" i="1"/>
  <c r="V380" i="1"/>
  <c r="U380" i="1"/>
  <c r="T380" i="1"/>
  <c r="S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E379" i="1"/>
  <c r="AH379" i="1"/>
  <c r="AG379" i="1"/>
  <c r="AF379" i="1"/>
  <c r="AE379" i="1"/>
  <c r="AD379" i="1"/>
  <c r="AC379" i="1"/>
  <c r="AB379" i="1"/>
  <c r="AA379" i="1"/>
  <c r="Z379" i="1"/>
  <c r="Y379" i="1"/>
  <c r="V379" i="1"/>
  <c r="U379" i="1"/>
  <c r="T379" i="1"/>
  <c r="S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H378" i="1"/>
  <c r="AG378" i="1"/>
  <c r="AF378" i="1"/>
  <c r="AE378" i="1"/>
  <c r="AD378" i="1"/>
  <c r="AC378" i="1"/>
  <c r="AB378" i="1"/>
  <c r="AA378" i="1"/>
  <c r="Z378" i="1"/>
  <c r="Y378" i="1"/>
  <c r="V378" i="1"/>
  <c r="U378" i="1"/>
  <c r="T378" i="1"/>
  <c r="S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H377" i="1"/>
  <c r="AG377" i="1"/>
  <c r="AF377" i="1"/>
  <c r="AE377" i="1"/>
  <c r="AD377" i="1"/>
  <c r="AC377" i="1"/>
  <c r="AB377" i="1"/>
  <c r="AA377" i="1"/>
  <c r="Z377" i="1"/>
  <c r="Y377" i="1"/>
  <c r="V377" i="1"/>
  <c r="U377" i="1"/>
  <c r="T377" i="1"/>
  <c r="S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AH376" i="1"/>
  <c r="AG376" i="1"/>
  <c r="AF376" i="1"/>
  <c r="AE376" i="1"/>
  <c r="AD376" i="1"/>
  <c r="AC376" i="1"/>
  <c r="AB376" i="1"/>
  <c r="AA376" i="1"/>
  <c r="Z376" i="1"/>
  <c r="Y376" i="1"/>
  <c r="V376" i="1"/>
  <c r="U376" i="1"/>
  <c r="T376" i="1"/>
  <c r="S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AH375" i="1"/>
  <c r="AG375" i="1"/>
  <c r="AF375" i="1"/>
  <c r="AE375" i="1"/>
  <c r="AD375" i="1"/>
  <c r="AC375" i="1"/>
  <c r="AB375" i="1"/>
  <c r="AA375" i="1"/>
  <c r="Z375" i="1"/>
  <c r="Y375" i="1"/>
  <c r="V375" i="1"/>
  <c r="U375" i="1"/>
  <c r="T375" i="1"/>
  <c r="S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S340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S126" i="1"/>
  <c r="BN371" i="1"/>
  <c r="BL371" i="1"/>
  <c r="BM371" i="1"/>
  <c r="BN370" i="1"/>
  <c r="BL370" i="1"/>
  <c r="BM370" i="1"/>
  <c r="BN369" i="1"/>
  <c r="BL369" i="1"/>
  <c r="BM369" i="1"/>
  <c r="BN368" i="1"/>
  <c r="BL368" i="1"/>
  <c r="BM368" i="1"/>
  <c r="BN367" i="1"/>
  <c r="BL367" i="1"/>
  <c r="BM367" i="1"/>
  <c r="BN366" i="1"/>
  <c r="BL366" i="1"/>
  <c r="BM366" i="1"/>
  <c r="BN365" i="1"/>
  <c r="BL365" i="1"/>
  <c r="BM365" i="1"/>
  <c r="BN364" i="1"/>
  <c r="BL364" i="1"/>
  <c r="BM364" i="1"/>
  <c r="BN363" i="1"/>
  <c r="BL363" i="1"/>
  <c r="BM363" i="1"/>
  <c r="BN362" i="1"/>
  <c r="BL362" i="1"/>
  <c r="BM362" i="1"/>
  <c r="BN361" i="1"/>
  <c r="BL361" i="1"/>
  <c r="BM361" i="1"/>
  <c r="BN360" i="1"/>
  <c r="BL360" i="1"/>
  <c r="BM360" i="1"/>
  <c r="BN359" i="1"/>
  <c r="BL359" i="1"/>
  <c r="BM359" i="1"/>
  <c r="BN358" i="1"/>
  <c r="BL358" i="1"/>
  <c r="BM358" i="1"/>
  <c r="BN357" i="1"/>
  <c r="BL357" i="1"/>
  <c r="BM357" i="1"/>
  <c r="BN356" i="1"/>
  <c r="BL356" i="1"/>
  <c r="BM356" i="1"/>
  <c r="BN355" i="1"/>
  <c r="BL355" i="1"/>
  <c r="BM355" i="1"/>
  <c r="BN354" i="1"/>
  <c r="BL354" i="1"/>
  <c r="BM354" i="1"/>
  <c r="BN353" i="1"/>
  <c r="BL353" i="1"/>
  <c r="BM353" i="1"/>
  <c r="BN352" i="1"/>
  <c r="BL352" i="1"/>
  <c r="BM352" i="1"/>
  <c r="BN351" i="1"/>
  <c r="BL351" i="1"/>
  <c r="BM351" i="1"/>
  <c r="BN350" i="1"/>
  <c r="BL350" i="1"/>
  <c r="BM350" i="1"/>
  <c r="BN349" i="1"/>
  <c r="BL349" i="1"/>
  <c r="BM349" i="1"/>
  <c r="BN348" i="1"/>
  <c r="BL348" i="1"/>
  <c r="BM348" i="1"/>
  <c r="BN347" i="1"/>
  <c r="BL347" i="1"/>
  <c r="BM347" i="1"/>
  <c r="BN346" i="1"/>
  <c r="BL346" i="1"/>
  <c r="BM346" i="1"/>
  <c r="BN345" i="1"/>
  <c r="BL345" i="1"/>
  <c r="BM345" i="1"/>
  <c r="BN344" i="1"/>
  <c r="BL344" i="1"/>
  <c r="BM344" i="1"/>
  <c r="BN343" i="1"/>
  <c r="BL343" i="1"/>
  <c r="BM343" i="1"/>
  <c r="BN342" i="1"/>
  <c r="BL342" i="1"/>
  <c r="BM342" i="1"/>
  <c r="BN341" i="1"/>
  <c r="BL341" i="1"/>
  <c r="BM341" i="1"/>
  <c r="BN340" i="1"/>
  <c r="BL340" i="1"/>
  <c r="BM340" i="1"/>
  <c r="BN339" i="1"/>
  <c r="BL339" i="1"/>
  <c r="BM339" i="1"/>
  <c r="BN338" i="1"/>
  <c r="BL338" i="1"/>
  <c r="BM338" i="1"/>
  <c r="BN337" i="1"/>
  <c r="BL337" i="1"/>
  <c r="BM337" i="1"/>
  <c r="BN336" i="1"/>
  <c r="BL336" i="1"/>
  <c r="BM336" i="1"/>
  <c r="BN335" i="1"/>
  <c r="BL335" i="1"/>
  <c r="BM335" i="1"/>
  <c r="BN334" i="1"/>
  <c r="BL334" i="1"/>
  <c r="BM334" i="1"/>
  <c r="BN333" i="1"/>
  <c r="BL333" i="1"/>
  <c r="BM333" i="1"/>
  <c r="BN332" i="1"/>
  <c r="BL332" i="1"/>
  <c r="BM332" i="1"/>
  <c r="BN331" i="1"/>
  <c r="BL331" i="1"/>
  <c r="BM331" i="1"/>
  <c r="BN330" i="1"/>
  <c r="BL330" i="1"/>
  <c r="BM330" i="1"/>
  <c r="BN329" i="1"/>
  <c r="BL329" i="1"/>
  <c r="BM329" i="1"/>
  <c r="BN328" i="1"/>
  <c r="BL328" i="1"/>
  <c r="BM328" i="1"/>
  <c r="BN327" i="1"/>
  <c r="BL327" i="1"/>
  <c r="BM327" i="1"/>
  <c r="BN326" i="1"/>
  <c r="BL326" i="1"/>
  <c r="BM326" i="1"/>
  <c r="BN325" i="1"/>
  <c r="BL325" i="1"/>
  <c r="BM325" i="1"/>
  <c r="BN324" i="1"/>
  <c r="BL324" i="1"/>
  <c r="BM324" i="1"/>
  <c r="BN323" i="1"/>
  <c r="BL323" i="1"/>
  <c r="BM323" i="1"/>
  <c r="BN322" i="1"/>
  <c r="BL322" i="1"/>
  <c r="BM322" i="1"/>
  <c r="BN321" i="1"/>
  <c r="BL321" i="1"/>
  <c r="BM321" i="1"/>
  <c r="BN320" i="1"/>
  <c r="BL320" i="1"/>
  <c r="BM320" i="1"/>
  <c r="BN319" i="1"/>
  <c r="BL319" i="1"/>
  <c r="BM319" i="1"/>
  <c r="BN318" i="1"/>
  <c r="BL318" i="1"/>
  <c r="BM318" i="1"/>
  <c r="BN317" i="1"/>
  <c r="BL317" i="1"/>
  <c r="BM317" i="1"/>
  <c r="BN316" i="1"/>
  <c r="BL316" i="1"/>
  <c r="BM316" i="1"/>
  <c r="BN315" i="1"/>
  <c r="BL315" i="1"/>
  <c r="BM315" i="1"/>
  <c r="BN314" i="1"/>
  <c r="BL314" i="1"/>
  <c r="BM314" i="1"/>
  <c r="BN313" i="1"/>
  <c r="BL313" i="1"/>
  <c r="BM313" i="1"/>
  <c r="BN312" i="1"/>
  <c r="BL312" i="1"/>
  <c r="BM312" i="1"/>
  <c r="BN311" i="1"/>
  <c r="BL311" i="1"/>
  <c r="BM311" i="1"/>
  <c r="BN310" i="1"/>
  <c r="BL310" i="1"/>
  <c r="BM310" i="1"/>
  <c r="BN309" i="1"/>
  <c r="BL309" i="1"/>
  <c r="BM309" i="1"/>
  <c r="BN308" i="1"/>
  <c r="BL308" i="1"/>
  <c r="BM308" i="1"/>
  <c r="BN307" i="1"/>
  <c r="BL307" i="1"/>
  <c r="BM307" i="1"/>
  <c r="BN306" i="1"/>
  <c r="BL306" i="1"/>
  <c r="BM306" i="1"/>
  <c r="BN305" i="1"/>
  <c r="BL305" i="1"/>
  <c r="BM305" i="1"/>
  <c r="BN304" i="1"/>
  <c r="BL304" i="1"/>
  <c r="BM304" i="1"/>
  <c r="BN303" i="1"/>
  <c r="BL303" i="1"/>
  <c r="BM303" i="1"/>
  <c r="BN302" i="1"/>
  <c r="BL302" i="1"/>
  <c r="BM302" i="1"/>
  <c r="BN301" i="1"/>
  <c r="BL301" i="1"/>
  <c r="BM301" i="1"/>
  <c r="BN300" i="1"/>
  <c r="BL300" i="1"/>
  <c r="BM300" i="1"/>
  <c r="BN299" i="1"/>
  <c r="BL299" i="1"/>
  <c r="BM299" i="1"/>
  <c r="BN298" i="1"/>
  <c r="BL298" i="1"/>
  <c r="BM298" i="1"/>
  <c r="BN297" i="1"/>
  <c r="BL297" i="1"/>
  <c r="BM297" i="1"/>
  <c r="BN296" i="1"/>
  <c r="BL296" i="1"/>
  <c r="BM296" i="1"/>
  <c r="BN295" i="1"/>
  <c r="BL295" i="1"/>
  <c r="BM295" i="1"/>
  <c r="BN294" i="1"/>
  <c r="BL294" i="1"/>
  <c r="BM294" i="1"/>
  <c r="BN293" i="1"/>
  <c r="BL293" i="1"/>
  <c r="BM293" i="1"/>
  <c r="BN292" i="1"/>
  <c r="BL292" i="1"/>
  <c r="BM292" i="1"/>
  <c r="BN291" i="1"/>
  <c r="BL291" i="1"/>
  <c r="BM291" i="1"/>
  <c r="BN290" i="1"/>
  <c r="BL290" i="1"/>
  <c r="BM290" i="1"/>
  <c r="BN289" i="1"/>
  <c r="BL289" i="1"/>
  <c r="BM289" i="1"/>
  <c r="BN288" i="1"/>
  <c r="BL288" i="1"/>
  <c r="BM288" i="1"/>
  <c r="BN287" i="1"/>
  <c r="BL287" i="1"/>
  <c r="BM287" i="1"/>
  <c r="BN286" i="1"/>
  <c r="BL286" i="1"/>
  <c r="BM286" i="1"/>
  <c r="BN285" i="1"/>
  <c r="BL285" i="1"/>
  <c r="BM285" i="1"/>
  <c r="BN284" i="1"/>
  <c r="BL284" i="1"/>
  <c r="BM284" i="1"/>
  <c r="BN283" i="1"/>
  <c r="BL283" i="1"/>
  <c r="BM283" i="1"/>
  <c r="BN282" i="1"/>
  <c r="BL282" i="1"/>
  <c r="BM282" i="1"/>
  <c r="BN281" i="1"/>
  <c r="BL281" i="1"/>
  <c r="BM281" i="1"/>
  <c r="BN280" i="1"/>
  <c r="BL280" i="1"/>
  <c r="BM280" i="1"/>
  <c r="BN279" i="1"/>
  <c r="BL279" i="1"/>
  <c r="BM279" i="1"/>
  <c r="BN278" i="1"/>
  <c r="BL278" i="1"/>
  <c r="BM278" i="1"/>
  <c r="BN277" i="1"/>
  <c r="BL277" i="1"/>
  <c r="BM277" i="1"/>
  <c r="BN276" i="1"/>
  <c r="BL276" i="1"/>
  <c r="BM276" i="1"/>
  <c r="BN275" i="1"/>
  <c r="BL275" i="1"/>
  <c r="BM275" i="1"/>
  <c r="BN274" i="1"/>
  <c r="BL274" i="1"/>
  <c r="BM274" i="1"/>
  <c r="BN273" i="1"/>
  <c r="BL273" i="1"/>
  <c r="BM273" i="1"/>
  <c r="BN272" i="1"/>
  <c r="BL272" i="1"/>
  <c r="BM272" i="1"/>
  <c r="BN271" i="1"/>
  <c r="BL271" i="1"/>
  <c r="BM271" i="1"/>
  <c r="BN270" i="1"/>
  <c r="BL270" i="1"/>
  <c r="BM270" i="1"/>
  <c r="BN269" i="1"/>
  <c r="BL269" i="1"/>
  <c r="BM269" i="1"/>
  <c r="BN268" i="1"/>
  <c r="BL268" i="1"/>
  <c r="BM268" i="1"/>
  <c r="BN267" i="1"/>
  <c r="BL267" i="1"/>
  <c r="BM267" i="1"/>
  <c r="BN266" i="1"/>
  <c r="BL266" i="1"/>
  <c r="BM266" i="1"/>
  <c r="BN265" i="1"/>
  <c r="BL265" i="1"/>
  <c r="BM265" i="1"/>
  <c r="BN264" i="1"/>
  <c r="BL264" i="1"/>
  <c r="BM264" i="1"/>
  <c r="BN263" i="1"/>
  <c r="BL263" i="1"/>
  <c r="BM263" i="1"/>
  <c r="BN262" i="1"/>
  <c r="BL262" i="1"/>
  <c r="BM262" i="1"/>
  <c r="BN261" i="1"/>
  <c r="BL261" i="1"/>
  <c r="BM261" i="1"/>
  <c r="BN260" i="1"/>
  <c r="BL260" i="1"/>
  <c r="BM260" i="1"/>
  <c r="BN259" i="1"/>
  <c r="BL259" i="1"/>
  <c r="BM259" i="1"/>
  <c r="BN258" i="1"/>
  <c r="BL258" i="1"/>
  <c r="BM258" i="1"/>
  <c r="BN257" i="1"/>
  <c r="BL257" i="1"/>
  <c r="BM257" i="1"/>
  <c r="BN256" i="1"/>
  <c r="BL256" i="1"/>
  <c r="BM256" i="1"/>
  <c r="BN255" i="1"/>
  <c r="BL255" i="1"/>
  <c r="BM255" i="1"/>
  <c r="BN254" i="1"/>
  <c r="BL254" i="1"/>
  <c r="BM254" i="1"/>
  <c r="BN253" i="1"/>
  <c r="BL253" i="1"/>
  <c r="BM253" i="1"/>
  <c r="BN252" i="1"/>
  <c r="BL252" i="1"/>
  <c r="BM252" i="1"/>
  <c r="BN251" i="1"/>
  <c r="BL251" i="1"/>
  <c r="BM251" i="1"/>
  <c r="BN250" i="1"/>
  <c r="BL250" i="1"/>
  <c r="BM250" i="1"/>
  <c r="BN249" i="1"/>
  <c r="BL249" i="1"/>
  <c r="BM249" i="1"/>
  <c r="BN248" i="1"/>
  <c r="BL248" i="1"/>
  <c r="BM248" i="1"/>
  <c r="BN247" i="1"/>
  <c r="BL247" i="1"/>
  <c r="BM247" i="1"/>
  <c r="BN246" i="1"/>
  <c r="BL246" i="1"/>
  <c r="BM246" i="1"/>
  <c r="BN245" i="1"/>
  <c r="BL245" i="1"/>
  <c r="BM245" i="1"/>
  <c r="BN244" i="1"/>
  <c r="BL244" i="1"/>
  <c r="BM244" i="1"/>
  <c r="BN243" i="1"/>
  <c r="BL243" i="1"/>
  <c r="BM243" i="1"/>
  <c r="BN242" i="1"/>
  <c r="BL242" i="1"/>
  <c r="BM242" i="1"/>
  <c r="BN241" i="1"/>
  <c r="BL241" i="1"/>
  <c r="BM241" i="1"/>
  <c r="BN240" i="1"/>
  <c r="BL240" i="1"/>
  <c r="BM240" i="1"/>
  <c r="BN239" i="1"/>
  <c r="BL239" i="1"/>
  <c r="BM239" i="1"/>
  <c r="BN238" i="1"/>
  <c r="BL238" i="1"/>
  <c r="BM238" i="1"/>
  <c r="BN237" i="1"/>
  <c r="BL237" i="1"/>
  <c r="BM237" i="1"/>
  <c r="BN236" i="1"/>
  <c r="BL236" i="1"/>
  <c r="BM236" i="1"/>
  <c r="BN235" i="1"/>
  <c r="BL235" i="1"/>
  <c r="BM235" i="1"/>
  <c r="BN234" i="1"/>
  <c r="BL234" i="1"/>
  <c r="BM234" i="1"/>
  <c r="BN233" i="1"/>
  <c r="BL233" i="1"/>
  <c r="BM233" i="1"/>
  <c r="BN232" i="1"/>
  <c r="BL232" i="1"/>
  <c r="BM232" i="1"/>
  <c r="BN231" i="1"/>
  <c r="BL231" i="1"/>
  <c r="BM231" i="1"/>
  <c r="BN230" i="1"/>
  <c r="BL230" i="1"/>
  <c r="BM230" i="1"/>
  <c r="BN229" i="1"/>
  <c r="BL229" i="1"/>
  <c r="BM229" i="1"/>
  <c r="BN228" i="1"/>
  <c r="BL228" i="1"/>
  <c r="BM228" i="1"/>
  <c r="BN227" i="1"/>
  <c r="BL227" i="1"/>
  <c r="BM227" i="1"/>
  <c r="BN226" i="1"/>
  <c r="BL226" i="1"/>
  <c r="BM226" i="1"/>
  <c r="BN225" i="1"/>
  <c r="BL225" i="1"/>
  <c r="BM225" i="1"/>
  <c r="BN224" i="1"/>
  <c r="BL224" i="1"/>
  <c r="BM224" i="1"/>
  <c r="BN223" i="1"/>
  <c r="BL223" i="1"/>
  <c r="BM223" i="1"/>
  <c r="BN222" i="1"/>
  <c r="BL222" i="1"/>
  <c r="BM222" i="1"/>
  <c r="BN221" i="1"/>
  <c r="BL221" i="1"/>
  <c r="BM221" i="1"/>
  <c r="BN220" i="1"/>
  <c r="BL220" i="1"/>
  <c r="BM220" i="1"/>
  <c r="BN219" i="1"/>
  <c r="BL219" i="1"/>
  <c r="BM219" i="1"/>
  <c r="BN218" i="1"/>
  <c r="BL218" i="1"/>
  <c r="BM218" i="1"/>
  <c r="BN217" i="1"/>
  <c r="BL217" i="1"/>
  <c r="BM217" i="1"/>
  <c r="BN216" i="1"/>
  <c r="BL216" i="1"/>
  <c r="BM216" i="1"/>
  <c r="BN215" i="1"/>
  <c r="BL215" i="1"/>
  <c r="BM215" i="1"/>
  <c r="BN214" i="1"/>
  <c r="BL214" i="1"/>
  <c r="BM214" i="1"/>
  <c r="BN213" i="1"/>
  <c r="BL213" i="1"/>
  <c r="BM213" i="1"/>
  <c r="BN212" i="1"/>
  <c r="BL212" i="1"/>
  <c r="BM212" i="1"/>
  <c r="BN211" i="1"/>
  <c r="BL211" i="1"/>
  <c r="BM211" i="1"/>
  <c r="BN210" i="1"/>
  <c r="BL210" i="1"/>
  <c r="BM210" i="1"/>
  <c r="BN209" i="1"/>
  <c r="BL209" i="1"/>
  <c r="BM209" i="1"/>
  <c r="BN208" i="1"/>
  <c r="BL208" i="1"/>
  <c r="BM208" i="1"/>
  <c r="BN207" i="1"/>
  <c r="BL207" i="1"/>
  <c r="BM207" i="1"/>
  <c r="BN206" i="1"/>
  <c r="BL206" i="1"/>
  <c r="BM206" i="1"/>
  <c r="BN205" i="1"/>
  <c r="BL205" i="1"/>
  <c r="BM205" i="1"/>
  <c r="BN204" i="1"/>
  <c r="BL204" i="1"/>
  <c r="BM204" i="1"/>
  <c r="BN203" i="1"/>
  <c r="BL203" i="1"/>
  <c r="BM203" i="1"/>
  <c r="BN202" i="1"/>
  <c r="BL202" i="1"/>
  <c r="BM202" i="1"/>
  <c r="BN201" i="1"/>
  <c r="BL201" i="1"/>
  <c r="BM201" i="1"/>
  <c r="BN200" i="1"/>
  <c r="BL200" i="1"/>
  <c r="BM200" i="1"/>
  <c r="BN199" i="1"/>
  <c r="BL199" i="1"/>
  <c r="BM199" i="1"/>
  <c r="BN198" i="1"/>
  <c r="BL198" i="1"/>
  <c r="BM198" i="1"/>
  <c r="BN197" i="1"/>
  <c r="BL197" i="1"/>
  <c r="BM197" i="1"/>
  <c r="BN196" i="1"/>
  <c r="BL196" i="1"/>
  <c r="BM196" i="1"/>
  <c r="BN195" i="1"/>
  <c r="BL195" i="1"/>
  <c r="BM195" i="1"/>
  <c r="BN194" i="1"/>
  <c r="BL194" i="1"/>
  <c r="BM194" i="1"/>
  <c r="BN193" i="1"/>
  <c r="BL193" i="1"/>
  <c r="BM193" i="1"/>
  <c r="BN192" i="1"/>
  <c r="BL192" i="1"/>
  <c r="BM192" i="1"/>
  <c r="BN191" i="1"/>
  <c r="BL191" i="1"/>
  <c r="BM191" i="1"/>
  <c r="BN190" i="1"/>
  <c r="BL190" i="1"/>
  <c r="BM190" i="1"/>
  <c r="BN189" i="1"/>
  <c r="BL189" i="1"/>
  <c r="BM189" i="1"/>
  <c r="BN188" i="1"/>
  <c r="BL188" i="1"/>
  <c r="BM188" i="1"/>
  <c r="BN187" i="1"/>
  <c r="BL187" i="1"/>
  <c r="BM187" i="1"/>
  <c r="BN186" i="1"/>
  <c r="BL186" i="1"/>
  <c r="BM186" i="1"/>
  <c r="BN185" i="1"/>
  <c r="BL185" i="1"/>
  <c r="BM185" i="1"/>
  <c r="BN184" i="1"/>
  <c r="BL184" i="1"/>
  <c r="BM184" i="1"/>
  <c r="BN183" i="1"/>
  <c r="BL183" i="1"/>
  <c r="BM183" i="1"/>
  <c r="BN182" i="1"/>
  <c r="BL182" i="1"/>
  <c r="BM182" i="1"/>
  <c r="BN181" i="1"/>
  <c r="BL181" i="1"/>
  <c r="BM181" i="1"/>
  <c r="BN180" i="1"/>
  <c r="BL180" i="1"/>
  <c r="BM180" i="1"/>
  <c r="BN179" i="1"/>
  <c r="BL179" i="1"/>
  <c r="BM179" i="1"/>
  <c r="BN178" i="1"/>
  <c r="BL178" i="1"/>
  <c r="BM178" i="1"/>
  <c r="BN177" i="1"/>
  <c r="BL177" i="1"/>
  <c r="BM177" i="1"/>
  <c r="BN176" i="1"/>
  <c r="BL176" i="1"/>
  <c r="BM176" i="1"/>
  <c r="BN175" i="1"/>
  <c r="BL175" i="1"/>
  <c r="BM175" i="1"/>
  <c r="BN174" i="1"/>
  <c r="BL174" i="1"/>
  <c r="BM174" i="1"/>
  <c r="BN173" i="1"/>
  <c r="BL173" i="1"/>
  <c r="BM173" i="1"/>
  <c r="BN172" i="1"/>
  <c r="BL172" i="1"/>
  <c r="BM172" i="1"/>
  <c r="BN171" i="1"/>
  <c r="BL171" i="1"/>
  <c r="BM171" i="1"/>
  <c r="BN170" i="1"/>
  <c r="BL170" i="1"/>
  <c r="BM170" i="1"/>
  <c r="BN169" i="1"/>
  <c r="BL169" i="1"/>
  <c r="BM169" i="1"/>
  <c r="BN168" i="1"/>
  <c r="BL168" i="1"/>
  <c r="BM168" i="1"/>
  <c r="BN167" i="1"/>
  <c r="BL167" i="1"/>
  <c r="BM167" i="1"/>
  <c r="BN166" i="1"/>
  <c r="BL166" i="1"/>
  <c r="BM166" i="1"/>
  <c r="BN165" i="1"/>
  <c r="BL165" i="1"/>
  <c r="BM165" i="1"/>
  <c r="BN164" i="1"/>
  <c r="BL164" i="1"/>
  <c r="BM164" i="1"/>
  <c r="BN163" i="1"/>
  <c r="BL163" i="1"/>
  <c r="BM163" i="1"/>
  <c r="BN162" i="1"/>
  <c r="BL162" i="1"/>
  <c r="BM162" i="1"/>
  <c r="BN161" i="1"/>
  <c r="BL161" i="1"/>
  <c r="BM161" i="1"/>
  <c r="BN160" i="1"/>
  <c r="BL160" i="1"/>
  <c r="BM160" i="1"/>
  <c r="BN159" i="1"/>
  <c r="BL159" i="1"/>
  <c r="BM159" i="1"/>
  <c r="BN158" i="1"/>
  <c r="BL158" i="1"/>
  <c r="BM158" i="1"/>
  <c r="BN157" i="1"/>
  <c r="BL157" i="1"/>
  <c r="BM157" i="1"/>
  <c r="BN156" i="1"/>
  <c r="BL156" i="1"/>
  <c r="BM156" i="1"/>
  <c r="BN155" i="1"/>
  <c r="BL155" i="1"/>
  <c r="BM155" i="1"/>
  <c r="BN154" i="1"/>
  <c r="BL154" i="1"/>
  <c r="BM154" i="1"/>
  <c r="BN153" i="1"/>
  <c r="BL153" i="1"/>
  <c r="BM153" i="1"/>
  <c r="BN152" i="1"/>
  <c r="BL152" i="1"/>
  <c r="BM152" i="1"/>
  <c r="BN151" i="1"/>
  <c r="BL151" i="1"/>
  <c r="BM151" i="1"/>
  <c r="BN150" i="1"/>
  <c r="BL150" i="1"/>
  <c r="BM150" i="1"/>
  <c r="BN149" i="1"/>
  <c r="BL149" i="1"/>
  <c r="BM149" i="1"/>
  <c r="BN148" i="1"/>
  <c r="BL148" i="1"/>
  <c r="BM148" i="1"/>
  <c r="BN147" i="1"/>
  <c r="BL147" i="1"/>
  <c r="BM147" i="1"/>
  <c r="BN146" i="1"/>
  <c r="BL146" i="1"/>
  <c r="BM146" i="1"/>
  <c r="BN145" i="1"/>
  <c r="BL145" i="1"/>
  <c r="BM145" i="1"/>
  <c r="BN144" i="1"/>
  <c r="BL144" i="1"/>
  <c r="BM144" i="1"/>
  <c r="BN143" i="1"/>
  <c r="BL143" i="1"/>
  <c r="BM143" i="1"/>
  <c r="BN142" i="1"/>
  <c r="BL142" i="1"/>
  <c r="BM142" i="1"/>
  <c r="BN141" i="1"/>
  <c r="BL141" i="1"/>
  <c r="BM141" i="1"/>
  <c r="BN140" i="1"/>
  <c r="BL140" i="1"/>
  <c r="BM140" i="1"/>
  <c r="BN139" i="1"/>
  <c r="BL139" i="1"/>
  <c r="BM139" i="1"/>
  <c r="BN138" i="1"/>
  <c r="BL138" i="1"/>
  <c r="BM138" i="1"/>
  <c r="BN137" i="1"/>
  <c r="BL137" i="1"/>
  <c r="BM137" i="1"/>
  <c r="BN136" i="1"/>
  <c r="BL136" i="1"/>
  <c r="BM136" i="1"/>
  <c r="BN135" i="1"/>
  <c r="BL135" i="1"/>
  <c r="BM135" i="1"/>
  <c r="BN134" i="1"/>
  <c r="BL134" i="1"/>
  <c r="BM134" i="1"/>
  <c r="BN133" i="1"/>
  <c r="BL133" i="1"/>
  <c r="BM133" i="1"/>
  <c r="BN132" i="1"/>
  <c r="BL132" i="1"/>
  <c r="BM132" i="1"/>
  <c r="BN131" i="1"/>
  <c r="BL131" i="1"/>
  <c r="BM131" i="1"/>
  <c r="BN130" i="1"/>
  <c r="BL130" i="1"/>
  <c r="BM130" i="1"/>
  <c r="BN129" i="1"/>
  <c r="BL129" i="1"/>
  <c r="BM129" i="1"/>
  <c r="BN128" i="1"/>
  <c r="BL128" i="1"/>
  <c r="BM128" i="1"/>
  <c r="BN127" i="1"/>
  <c r="BL127" i="1"/>
  <c r="BM127" i="1"/>
  <c r="BN126" i="1"/>
  <c r="BL126" i="1"/>
  <c r="BM126" i="1"/>
  <c r="BN125" i="1"/>
  <c r="BL125" i="1"/>
  <c r="BM125" i="1"/>
  <c r="BN124" i="1"/>
  <c r="BL124" i="1"/>
  <c r="BM124" i="1"/>
  <c r="BN123" i="1"/>
  <c r="BL123" i="1"/>
  <c r="BM123" i="1"/>
  <c r="BN122" i="1"/>
  <c r="BL122" i="1"/>
  <c r="BM122" i="1"/>
  <c r="BN121" i="1"/>
  <c r="BL121" i="1"/>
  <c r="BM121" i="1"/>
  <c r="BN120" i="1"/>
  <c r="BL120" i="1"/>
  <c r="BM120" i="1"/>
  <c r="BN119" i="1"/>
  <c r="BL119" i="1"/>
  <c r="BM119" i="1"/>
  <c r="BN118" i="1"/>
  <c r="BL118" i="1"/>
  <c r="BM118" i="1"/>
  <c r="BN117" i="1"/>
  <c r="BL117" i="1"/>
  <c r="BM117" i="1"/>
  <c r="BN116" i="1"/>
  <c r="BL116" i="1"/>
  <c r="BM116" i="1"/>
  <c r="BN115" i="1"/>
  <c r="BL115" i="1"/>
  <c r="BM115" i="1"/>
  <c r="BN114" i="1"/>
  <c r="BL114" i="1"/>
  <c r="BM114" i="1"/>
  <c r="BN113" i="1"/>
  <c r="BL113" i="1"/>
  <c r="BM113" i="1"/>
  <c r="BN112" i="1"/>
  <c r="BL112" i="1"/>
  <c r="BM112" i="1"/>
  <c r="BN111" i="1"/>
  <c r="BL111" i="1"/>
  <c r="BM111" i="1"/>
  <c r="BN110" i="1"/>
  <c r="BL110" i="1"/>
  <c r="BM110" i="1"/>
  <c r="BN109" i="1"/>
  <c r="BL109" i="1"/>
  <c r="BM109" i="1"/>
  <c r="BN108" i="1"/>
  <c r="BL108" i="1"/>
  <c r="BM108" i="1"/>
  <c r="BN107" i="1"/>
  <c r="BL107" i="1"/>
  <c r="BM107" i="1"/>
  <c r="BN106" i="1"/>
  <c r="BL106" i="1"/>
  <c r="BM106" i="1"/>
  <c r="BN105" i="1"/>
  <c r="BL105" i="1"/>
  <c r="BM105" i="1"/>
  <c r="BN104" i="1"/>
  <c r="BL104" i="1"/>
  <c r="BM104" i="1"/>
  <c r="BN103" i="1"/>
  <c r="BL103" i="1"/>
  <c r="BM103" i="1"/>
  <c r="BN102" i="1"/>
  <c r="BL102" i="1"/>
  <c r="BM102" i="1"/>
  <c r="BN101" i="1"/>
  <c r="BL101" i="1"/>
  <c r="BM101" i="1"/>
  <c r="BN100" i="1"/>
  <c r="BL100" i="1"/>
  <c r="BM100" i="1"/>
  <c r="BN99" i="1"/>
  <c r="BL99" i="1"/>
  <c r="BM99" i="1"/>
  <c r="BN98" i="1"/>
  <c r="BL98" i="1"/>
  <c r="BM98" i="1"/>
  <c r="BN97" i="1"/>
  <c r="BL97" i="1"/>
  <c r="BM97" i="1"/>
  <c r="BN96" i="1"/>
  <c r="BL96" i="1"/>
  <c r="BM96" i="1"/>
  <c r="BN95" i="1"/>
  <c r="BL95" i="1"/>
  <c r="BM95" i="1"/>
  <c r="BN94" i="1"/>
  <c r="BL94" i="1"/>
  <c r="BM94" i="1"/>
  <c r="BN93" i="1"/>
  <c r="BL93" i="1"/>
  <c r="BM93" i="1"/>
  <c r="BN92" i="1"/>
  <c r="BL92" i="1"/>
  <c r="BM92" i="1"/>
  <c r="BN91" i="1"/>
  <c r="BL91" i="1"/>
  <c r="BM91" i="1"/>
  <c r="BN90" i="1"/>
  <c r="BL90" i="1"/>
  <c r="BM90" i="1"/>
  <c r="BN89" i="1"/>
  <c r="BL89" i="1"/>
  <c r="BM89" i="1"/>
  <c r="BN88" i="1"/>
  <c r="BL88" i="1"/>
  <c r="BM88" i="1"/>
  <c r="BN87" i="1"/>
  <c r="BL87" i="1"/>
  <c r="BM87" i="1"/>
  <c r="BN86" i="1"/>
  <c r="BL86" i="1"/>
  <c r="BM86" i="1"/>
  <c r="BN85" i="1"/>
  <c r="BL85" i="1"/>
  <c r="BM85" i="1"/>
  <c r="BN84" i="1"/>
  <c r="BL84" i="1"/>
  <c r="BM84" i="1"/>
  <c r="BN83" i="1"/>
  <c r="BL83" i="1"/>
  <c r="BM83" i="1"/>
  <c r="BN82" i="1"/>
  <c r="BL82" i="1"/>
  <c r="BM82" i="1"/>
  <c r="BN81" i="1"/>
  <c r="BL81" i="1"/>
  <c r="BM81" i="1"/>
  <c r="BN80" i="1"/>
  <c r="BL80" i="1"/>
  <c r="BM80" i="1"/>
  <c r="BN79" i="1"/>
  <c r="BL79" i="1"/>
  <c r="BM79" i="1"/>
  <c r="BN78" i="1"/>
  <c r="BL78" i="1"/>
  <c r="BM78" i="1"/>
  <c r="BN77" i="1"/>
  <c r="BL77" i="1"/>
  <c r="BM77" i="1"/>
  <c r="BN76" i="1"/>
  <c r="BL76" i="1"/>
  <c r="BM76" i="1"/>
  <c r="BN75" i="1"/>
  <c r="BL75" i="1"/>
  <c r="BM75" i="1"/>
  <c r="BN74" i="1"/>
  <c r="BL74" i="1"/>
  <c r="BM74" i="1"/>
  <c r="BN73" i="1"/>
  <c r="BL73" i="1"/>
  <c r="BM73" i="1"/>
  <c r="BN72" i="1"/>
  <c r="BL72" i="1"/>
  <c r="BM72" i="1"/>
  <c r="BN71" i="1"/>
  <c r="BL71" i="1"/>
  <c r="BM71" i="1"/>
  <c r="BN70" i="1"/>
  <c r="BL70" i="1"/>
  <c r="BM70" i="1"/>
  <c r="BN69" i="1"/>
  <c r="BL69" i="1"/>
  <c r="BM69" i="1"/>
  <c r="BN68" i="1"/>
  <c r="BL68" i="1"/>
  <c r="BM68" i="1"/>
  <c r="BN67" i="1"/>
  <c r="BL67" i="1"/>
  <c r="BM67" i="1"/>
  <c r="BN66" i="1"/>
  <c r="BL66" i="1"/>
  <c r="BM66" i="1"/>
  <c r="BN65" i="1"/>
  <c r="BL65" i="1"/>
  <c r="BM65" i="1"/>
  <c r="BN64" i="1"/>
  <c r="BL64" i="1"/>
  <c r="BM64" i="1"/>
  <c r="BN63" i="1"/>
  <c r="BL63" i="1"/>
  <c r="BM63" i="1"/>
  <c r="BN62" i="1"/>
  <c r="BL62" i="1"/>
  <c r="BM62" i="1"/>
  <c r="BN61" i="1"/>
  <c r="BL61" i="1"/>
  <c r="BM61" i="1"/>
  <c r="BN60" i="1"/>
  <c r="BL60" i="1"/>
  <c r="BM60" i="1"/>
  <c r="BN59" i="1"/>
  <c r="BL59" i="1"/>
  <c r="BM59" i="1"/>
  <c r="BN58" i="1"/>
  <c r="BL58" i="1"/>
  <c r="BM58" i="1"/>
  <c r="BN57" i="1"/>
  <c r="BL57" i="1"/>
  <c r="BM57" i="1"/>
  <c r="BN56" i="1"/>
  <c r="BL56" i="1"/>
  <c r="BM56" i="1"/>
  <c r="BN55" i="1"/>
  <c r="BL55" i="1"/>
  <c r="BM55" i="1"/>
  <c r="BN54" i="1"/>
  <c r="BL54" i="1"/>
  <c r="BM54" i="1"/>
  <c r="BN53" i="1"/>
  <c r="BL53" i="1"/>
  <c r="BM53" i="1"/>
  <c r="BN52" i="1"/>
  <c r="BL52" i="1"/>
  <c r="BM52" i="1"/>
  <c r="BN51" i="1"/>
  <c r="BL51" i="1"/>
  <c r="BM51" i="1"/>
  <c r="BN50" i="1"/>
  <c r="BL50" i="1"/>
  <c r="BM50" i="1"/>
  <c r="BN49" i="1"/>
  <c r="BL49" i="1"/>
  <c r="BM49" i="1"/>
  <c r="BN48" i="1"/>
  <c r="BL48" i="1"/>
  <c r="BM48" i="1"/>
  <c r="BN47" i="1"/>
  <c r="BL47" i="1"/>
  <c r="BM47" i="1"/>
  <c r="BN46" i="1"/>
  <c r="BL46" i="1"/>
  <c r="BM46" i="1"/>
  <c r="BN45" i="1"/>
  <c r="BL45" i="1"/>
  <c r="BM45" i="1"/>
  <c r="BN44" i="1"/>
  <c r="BL44" i="1"/>
  <c r="BM44" i="1"/>
  <c r="BN43" i="1"/>
  <c r="BL43" i="1"/>
  <c r="BM43" i="1"/>
  <c r="BN42" i="1"/>
  <c r="BL42" i="1"/>
  <c r="BM42" i="1"/>
  <c r="BN41" i="1"/>
  <c r="BL41" i="1"/>
  <c r="BM41" i="1"/>
  <c r="BN40" i="1"/>
  <c r="BL40" i="1"/>
  <c r="BM40" i="1"/>
  <c r="BN39" i="1"/>
  <c r="BL39" i="1"/>
  <c r="BM39" i="1"/>
  <c r="BN38" i="1"/>
  <c r="BL38" i="1"/>
  <c r="BM38" i="1"/>
  <c r="BN37" i="1"/>
  <c r="BL37" i="1"/>
  <c r="BM37" i="1"/>
  <c r="BN36" i="1"/>
  <c r="BL36" i="1"/>
  <c r="BM36" i="1"/>
  <c r="BN35" i="1"/>
  <c r="BL35" i="1"/>
  <c r="BM35" i="1"/>
  <c r="BN34" i="1"/>
  <c r="BL34" i="1"/>
  <c r="BM34" i="1"/>
  <c r="BN33" i="1"/>
  <c r="BL33" i="1"/>
  <c r="BM33" i="1"/>
  <c r="BN32" i="1"/>
  <c r="BL32" i="1"/>
  <c r="BM32" i="1"/>
  <c r="BN31" i="1"/>
  <c r="BL31" i="1"/>
  <c r="BM31" i="1"/>
  <c r="BN30" i="1"/>
  <c r="BL30" i="1"/>
  <c r="BM30" i="1"/>
  <c r="BN29" i="1"/>
  <c r="BL29" i="1"/>
  <c r="BM29" i="1"/>
  <c r="BN28" i="1"/>
  <c r="BL28" i="1"/>
  <c r="BM28" i="1"/>
  <c r="BN27" i="1"/>
  <c r="BL27" i="1"/>
  <c r="BM27" i="1"/>
  <c r="BN26" i="1"/>
  <c r="BL26" i="1"/>
  <c r="BM26" i="1"/>
  <c r="BN25" i="1"/>
  <c r="BL25" i="1"/>
  <c r="BM25" i="1"/>
  <c r="BN24" i="1"/>
  <c r="BL24" i="1"/>
  <c r="BM24" i="1"/>
  <c r="BN23" i="1"/>
  <c r="BL23" i="1"/>
  <c r="BM23" i="1"/>
  <c r="BN22" i="1"/>
  <c r="BL22" i="1"/>
  <c r="BM22" i="1"/>
  <c r="BN21" i="1"/>
  <c r="BL21" i="1"/>
  <c r="BM21" i="1"/>
  <c r="BN20" i="1"/>
  <c r="BL20" i="1"/>
  <c r="BM20" i="1"/>
  <c r="BN19" i="1"/>
  <c r="BL19" i="1"/>
  <c r="BM19" i="1"/>
  <c r="BN18" i="1"/>
  <c r="BL18" i="1"/>
  <c r="BM18" i="1"/>
  <c r="BN17" i="1"/>
  <c r="BL17" i="1"/>
  <c r="BM17" i="1"/>
  <c r="BN16" i="1"/>
  <c r="BL16" i="1"/>
  <c r="BM16" i="1"/>
  <c r="BN15" i="1"/>
  <c r="BL15" i="1"/>
  <c r="BM15" i="1"/>
  <c r="BN14" i="1"/>
  <c r="BL14" i="1"/>
  <c r="BM14" i="1"/>
  <c r="BN13" i="1"/>
  <c r="BL13" i="1"/>
  <c r="BM13" i="1"/>
  <c r="BN12" i="1"/>
  <c r="BL12" i="1"/>
  <c r="BM12" i="1"/>
  <c r="BN11" i="1"/>
  <c r="BL11" i="1"/>
  <c r="BM11" i="1"/>
  <c r="BN10" i="1"/>
  <c r="BL10" i="1"/>
  <c r="BM10" i="1"/>
  <c r="BN9" i="1"/>
  <c r="BL9" i="1"/>
  <c r="BM9" i="1"/>
  <c r="BN8" i="1"/>
  <c r="BL8" i="1"/>
  <c r="BM8" i="1"/>
  <c r="BN7" i="1"/>
  <c r="BL7" i="1"/>
  <c r="BM7" i="1"/>
  <c r="BI282" i="1"/>
  <c r="C282" i="26" s="1"/>
  <c r="BH1" i="1"/>
  <c r="BH239" i="1" s="1"/>
  <c r="BJ163" i="1"/>
  <c r="BI200" i="1"/>
  <c r="C200" i="26" s="1"/>
  <c r="BI192" i="1"/>
  <c r="C192" i="26" s="1"/>
  <c r="BI185" i="1"/>
  <c r="C185" i="26" s="1"/>
  <c r="BI165" i="1"/>
  <c r="C165" i="26" s="1"/>
  <c r="BH163" i="1"/>
  <c r="BJ161" i="1"/>
  <c r="BJ153" i="1"/>
  <c r="BJ146" i="1"/>
  <c r="BI132" i="1"/>
  <c r="C132" i="26" s="1"/>
  <c r="BJ129" i="1"/>
  <c r="BJ123" i="1"/>
  <c r="BI121" i="1"/>
  <c r="C121" i="26" s="1"/>
  <c r="BI116" i="1"/>
  <c r="C116" i="26" s="1"/>
  <c r="BJ114" i="1"/>
  <c r="BJ106" i="1"/>
  <c r="BJ99" i="1"/>
  <c r="BI97" i="1"/>
  <c r="BJ89" i="1"/>
  <c r="BI88" i="1"/>
  <c r="C88" i="26" s="1"/>
  <c r="BJ82" i="1"/>
  <c r="BI81" i="1"/>
  <c r="C81" i="26" s="1"/>
  <c r="BI77" i="1"/>
  <c r="C77" i="26" s="1"/>
  <c r="BI73" i="1"/>
  <c r="C73" i="26" s="1"/>
  <c r="BI68" i="1"/>
  <c r="C68" i="26" s="1"/>
  <c r="BI64" i="1"/>
  <c r="C64" i="26" s="1"/>
  <c r="BJ59" i="1"/>
  <c r="BJ57" i="1"/>
  <c r="BI56" i="1"/>
  <c r="C56" i="26" s="1"/>
  <c r="BJ50" i="1"/>
  <c r="BI49" i="1"/>
  <c r="C49" i="26" s="1"/>
  <c r="BJ42" i="1"/>
  <c r="BI40" i="1"/>
  <c r="C40" i="26" s="1"/>
  <c r="BJ35" i="1"/>
  <c r="BI33" i="1"/>
  <c r="C33" i="26" s="1"/>
  <c r="BJ27" i="1"/>
  <c r="BJ25" i="1"/>
  <c r="BI20" i="1"/>
  <c r="C20" i="26" s="1"/>
  <c r="BJ18" i="1"/>
  <c r="BI13" i="1"/>
  <c r="C13" i="26" s="1"/>
  <c r="BJ10" i="1"/>
  <c r="BI8" i="1"/>
  <c r="C8" i="26" s="1"/>
  <c r="BE371" i="1"/>
  <c r="H371" i="26" s="1"/>
  <c r="BE370" i="1"/>
  <c r="H370" i="26" s="1"/>
  <c r="BE369" i="1"/>
  <c r="H369" i="26" s="1"/>
  <c r="BE368" i="1"/>
  <c r="BE366" i="1"/>
  <c r="H366" i="26" s="1"/>
  <c r="BE365" i="1"/>
  <c r="H365" i="26" s="1"/>
  <c r="BE364" i="1"/>
  <c r="H364" i="26" s="1"/>
  <c r="BE363" i="1"/>
  <c r="H363" i="26" s="1"/>
  <c r="BE362" i="1"/>
  <c r="H362" i="26" s="1"/>
  <c r="BE361" i="1"/>
  <c r="H361" i="26" s="1"/>
  <c r="BE360" i="1"/>
  <c r="H360" i="26" s="1"/>
  <c r="BE359" i="1"/>
  <c r="H359" i="26" s="1"/>
  <c r="BE358" i="1"/>
  <c r="H358" i="26" s="1"/>
  <c r="BE357" i="1"/>
  <c r="H357" i="26" s="1"/>
  <c r="BE356" i="1"/>
  <c r="H356" i="26" s="1"/>
  <c r="BE355" i="1"/>
  <c r="H355" i="26" s="1"/>
  <c r="BE354" i="1"/>
  <c r="H354" i="26" s="1"/>
  <c r="BE353" i="1"/>
  <c r="H353" i="26" s="1"/>
  <c r="BE352" i="1"/>
  <c r="H352" i="26" s="1"/>
  <c r="BE351" i="1"/>
  <c r="BE347" i="1"/>
  <c r="H347" i="26" s="1"/>
  <c r="BE345" i="1"/>
  <c r="H345" i="26" s="1"/>
  <c r="BE344" i="1"/>
  <c r="H344" i="26" s="1"/>
  <c r="BE343" i="1"/>
  <c r="H343" i="26" s="1"/>
  <c r="BE342" i="1"/>
  <c r="H342" i="26" s="1"/>
  <c r="BE341" i="1"/>
  <c r="BE334" i="1"/>
  <c r="H334" i="26" s="1"/>
  <c r="BE333" i="1"/>
  <c r="H333" i="26" s="1"/>
  <c r="BE332" i="1"/>
  <c r="BE331" i="1"/>
  <c r="H331" i="26" s="1"/>
  <c r="BE330" i="1"/>
  <c r="H330" i="26" s="1"/>
  <c r="BE329" i="1"/>
  <c r="H329" i="26" s="1"/>
  <c r="BE328" i="1"/>
  <c r="H328" i="26" s="1"/>
  <c r="BE327" i="1"/>
  <c r="BE325" i="1"/>
  <c r="H325" i="26" s="1"/>
  <c r="BE324" i="1"/>
  <c r="BE321" i="1"/>
  <c r="BE319" i="1"/>
  <c r="H319" i="26" s="1"/>
  <c r="BE317" i="1"/>
  <c r="BE316" i="1"/>
  <c r="BE314" i="1"/>
  <c r="H314" i="26" s="1"/>
  <c r="BE313" i="1"/>
  <c r="H313" i="26" s="1"/>
  <c r="BE312" i="1"/>
  <c r="H312" i="26" s="1"/>
  <c r="BE311" i="1"/>
  <c r="BE310" i="1"/>
  <c r="BE308" i="1"/>
  <c r="H308" i="26" s="1"/>
  <c r="BE307" i="1"/>
  <c r="H307" i="26" s="1"/>
  <c r="BE306" i="1"/>
  <c r="AU18" i="1"/>
  <c r="BE18" i="1" s="1"/>
  <c r="AU21" i="1"/>
  <c r="BE21" i="1" s="1"/>
  <c r="H21" i="26" s="1"/>
  <c r="AU32" i="1"/>
  <c r="BE32" i="1" s="1"/>
  <c r="H32" i="26" s="1"/>
  <c r="BE77" i="1"/>
  <c r="BE76" i="1"/>
  <c r="H76" i="26" s="1"/>
  <c r="BE75" i="1"/>
  <c r="H75" i="26" s="1"/>
  <c r="BE74" i="1"/>
  <c r="H74" i="26" s="1"/>
  <c r="BE73" i="1"/>
  <c r="BE72" i="1"/>
  <c r="H72" i="26" s="1"/>
  <c r="BE71" i="1"/>
  <c r="H71" i="26" s="1"/>
  <c r="BE70" i="1"/>
  <c r="H70" i="26" s="1"/>
  <c r="BE69" i="1"/>
  <c r="H69" i="26" s="1"/>
  <c r="BE67" i="1"/>
  <c r="H67" i="26" s="1"/>
  <c r="BE66" i="1"/>
  <c r="BE64" i="1"/>
  <c r="BE58" i="1"/>
  <c r="BE56" i="1"/>
  <c r="H56" i="26" s="1"/>
  <c r="BE55" i="1"/>
  <c r="H55" i="26" s="1"/>
  <c r="BE54" i="1"/>
  <c r="H54" i="26" s="1"/>
  <c r="BE53" i="1"/>
  <c r="BE44" i="1"/>
  <c r="H44" i="26" s="1"/>
  <c r="BE43" i="1"/>
  <c r="H43" i="26" s="1"/>
  <c r="BE42" i="1"/>
  <c r="H42" i="26" s="1"/>
  <c r="BE41" i="1"/>
  <c r="H41" i="26" s="1"/>
  <c r="BE40" i="1"/>
  <c r="H40" i="26" s="1"/>
  <c r="BE39" i="1"/>
  <c r="H39" i="26" s="1"/>
  <c r="BE38" i="1"/>
  <c r="BE37" i="1"/>
  <c r="BE36" i="1"/>
  <c r="H36" i="26" s="1"/>
  <c r="BE35" i="1"/>
  <c r="H35" i="26" s="1"/>
  <c r="BE34" i="1"/>
  <c r="H34" i="26" s="1"/>
  <c r="BE33" i="1"/>
  <c r="H33" i="26" s="1"/>
  <c r="BE31" i="1"/>
  <c r="H31" i="26" s="1"/>
  <c r="BE30" i="1"/>
  <c r="H30" i="26" s="1"/>
  <c r="BE29" i="1"/>
  <c r="H29" i="26" s="1"/>
  <c r="BE28" i="1"/>
  <c r="H28" i="26" s="1"/>
  <c r="BE27" i="1"/>
  <c r="H27" i="26" s="1"/>
  <c r="BE26" i="1"/>
  <c r="H26" i="26" s="1"/>
  <c r="BE25" i="1"/>
  <c r="H25" i="26" s="1"/>
  <c r="BE24" i="1"/>
  <c r="H24" i="26" s="1"/>
  <c r="BE23" i="1"/>
  <c r="H23" i="26" s="1"/>
  <c r="BE22" i="1"/>
  <c r="H22" i="26" s="1"/>
  <c r="I22" i="26" s="1"/>
  <c r="BE20" i="1"/>
  <c r="H20" i="26" s="1"/>
  <c r="BE19" i="1"/>
  <c r="H19" i="26" s="1"/>
  <c r="AU96" i="1"/>
  <c r="BE96" i="1" s="1"/>
  <c r="AU89" i="1"/>
  <c r="AU81" i="1"/>
  <c r="BE81" i="1" s="1"/>
  <c r="H81" i="26" s="1"/>
  <c r="AU79" i="1"/>
  <c r="BE79" i="1" s="1"/>
  <c r="H79" i="26" s="1"/>
  <c r="AU68" i="1"/>
  <c r="AU65" i="1"/>
  <c r="BE65" i="1" s="1"/>
  <c r="H65" i="26" s="1"/>
  <c r="AU62" i="1"/>
  <c r="BE62" i="1" s="1"/>
  <c r="H62" i="26" s="1"/>
  <c r="AU61" i="1"/>
  <c r="BE61" i="1" s="1"/>
  <c r="H61" i="26" s="1"/>
  <c r="AU60" i="1"/>
  <c r="BE60" i="1" s="1"/>
  <c r="AU57" i="1"/>
  <c r="BE57" i="1" s="1"/>
  <c r="H57" i="26" s="1"/>
  <c r="AU51" i="1"/>
  <c r="BE51" i="1" s="1"/>
  <c r="H51" i="26" s="1"/>
  <c r="AU50" i="1"/>
  <c r="BE50" i="1" s="1"/>
  <c r="AU48" i="1"/>
  <c r="BE48" i="1" s="1"/>
  <c r="H48" i="26" s="1"/>
  <c r="AU47" i="1"/>
  <c r="BE142" i="1"/>
  <c r="H142" i="26" s="1"/>
  <c r="BE141" i="1"/>
  <c r="H141" i="26" s="1"/>
  <c r="BE140" i="1"/>
  <c r="H140" i="26" s="1"/>
  <c r="BE139" i="1"/>
  <c r="H139" i="26" s="1"/>
  <c r="BE138" i="1"/>
  <c r="H138" i="26" s="1"/>
  <c r="BE137" i="1"/>
  <c r="H137" i="26" s="1"/>
  <c r="BE136" i="1"/>
  <c r="H136" i="26" s="1"/>
  <c r="BE135" i="1"/>
  <c r="H135" i="26" s="1"/>
  <c r="BE134" i="1"/>
  <c r="H134" i="26" s="1"/>
  <c r="BE133" i="1"/>
  <c r="H133" i="26" s="1"/>
  <c r="BE132" i="1"/>
  <c r="H132" i="26" s="1"/>
  <c r="BE131" i="1"/>
  <c r="H131" i="26" s="1"/>
  <c r="BE130" i="1"/>
  <c r="H130" i="26" s="1"/>
  <c r="BE129" i="1"/>
  <c r="H129" i="26" s="1"/>
  <c r="BE128" i="1"/>
  <c r="H128" i="26" s="1"/>
  <c r="BE127" i="1"/>
  <c r="BE126" i="1"/>
  <c r="BE124" i="1"/>
  <c r="H124" i="26" s="1"/>
  <c r="BE123" i="1"/>
  <c r="H123" i="26" s="1"/>
  <c r="BE122" i="1"/>
  <c r="H122" i="26" s="1"/>
  <c r="BE121" i="1"/>
  <c r="H121" i="26" s="1"/>
  <c r="BE120" i="1"/>
  <c r="H120" i="26" s="1"/>
  <c r="BE119" i="1"/>
  <c r="BE117" i="1"/>
  <c r="H117" i="26" s="1"/>
  <c r="BE116" i="1"/>
  <c r="H116" i="26" s="1"/>
  <c r="BE115" i="1"/>
  <c r="H115" i="26" s="1"/>
  <c r="BE114" i="1"/>
  <c r="H114" i="26" s="1"/>
  <c r="BE113" i="1"/>
  <c r="H113" i="26" s="1"/>
  <c r="BE112" i="1"/>
  <c r="H112" i="26" s="1"/>
  <c r="BE111" i="1"/>
  <c r="H111" i="26" s="1"/>
  <c r="BE110" i="1"/>
  <c r="H110" i="26" s="1"/>
  <c r="BE109" i="1"/>
  <c r="H109" i="26" s="1"/>
  <c r="BE108" i="1"/>
  <c r="H108" i="26" s="1"/>
  <c r="BE107" i="1"/>
  <c r="H107" i="26" s="1"/>
  <c r="BE106" i="1"/>
  <c r="BE103" i="1"/>
  <c r="H103" i="26" s="1"/>
  <c r="BE102" i="1"/>
  <c r="BE100" i="1"/>
  <c r="H100" i="26" s="1"/>
  <c r="BE99" i="1"/>
  <c r="H99" i="26" s="1"/>
  <c r="BE98" i="1"/>
  <c r="H98" i="26" s="1"/>
  <c r="BE97" i="1"/>
  <c r="BE95" i="1"/>
  <c r="BE94" i="1"/>
  <c r="H94" i="26" s="1"/>
  <c r="BE93" i="1"/>
  <c r="H93" i="26" s="1"/>
  <c r="BE92" i="1"/>
  <c r="H92" i="26" s="1"/>
  <c r="BE91" i="1"/>
  <c r="BE90" i="1"/>
  <c r="H90" i="26" s="1"/>
  <c r="BE89" i="1"/>
  <c r="H89" i="26" s="1"/>
  <c r="BE88" i="1"/>
  <c r="H88" i="26" s="1"/>
  <c r="BE87" i="1"/>
  <c r="BE86" i="1"/>
  <c r="H86" i="26" s="1"/>
  <c r="BE85" i="1"/>
  <c r="H85" i="26" s="1"/>
  <c r="BE84" i="1"/>
  <c r="H84" i="26" s="1"/>
  <c r="BE83" i="1"/>
  <c r="BE82" i="1"/>
  <c r="H82" i="26" s="1"/>
  <c r="BE80" i="1"/>
  <c r="H80" i="26" s="1"/>
  <c r="BE78" i="1"/>
  <c r="H78" i="26" s="1"/>
  <c r="BE16" i="1"/>
  <c r="H16" i="26" s="1"/>
  <c r="BE15" i="1"/>
  <c r="H15" i="26" s="1"/>
  <c r="BE14" i="1"/>
  <c r="H14" i="26" s="1"/>
  <c r="BE13" i="1"/>
  <c r="H13" i="26" s="1"/>
  <c r="BE12" i="1"/>
  <c r="H12" i="26" s="1"/>
  <c r="BE11" i="1"/>
  <c r="H11" i="26" s="1"/>
  <c r="BE10" i="1"/>
  <c r="H10" i="26" s="1"/>
  <c r="BE9" i="1"/>
  <c r="H9" i="26" s="1"/>
  <c r="BE8" i="1"/>
  <c r="H8" i="26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E7" i="1"/>
  <c r="BH152" i="1" l="1"/>
  <c r="BO7" i="1"/>
  <c r="BH283" i="1"/>
  <c r="BH35" i="1"/>
  <c r="BH180" i="1"/>
  <c r="BE388" i="1"/>
  <c r="BN391" i="1"/>
  <c r="BN399" i="1"/>
  <c r="I224" i="26"/>
  <c r="I161" i="26"/>
  <c r="I165" i="26"/>
  <c r="I169" i="26"/>
  <c r="I177" i="26"/>
  <c r="I185" i="26"/>
  <c r="I189" i="26"/>
  <c r="I193" i="26"/>
  <c r="I197" i="26"/>
  <c r="I209" i="26"/>
  <c r="I213" i="26"/>
  <c r="I217" i="26"/>
  <c r="I265" i="26"/>
  <c r="H127" i="26"/>
  <c r="I128" i="26" s="1"/>
  <c r="BE392" i="1"/>
  <c r="H66" i="26"/>
  <c r="I67" i="26" s="1"/>
  <c r="K67" i="26" s="1"/>
  <c r="BE391" i="1"/>
  <c r="H38" i="26"/>
  <c r="I39" i="26" s="1"/>
  <c r="K39" i="26" s="1"/>
  <c r="BE397" i="1"/>
  <c r="H311" i="26"/>
  <c r="I312" i="26" s="1"/>
  <c r="K312" i="26" s="1"/>
  <c r="BE398" i="1"/>
  <c r="BN389" i="1"/>
  <c r="BN390" i="1"/>
  <c r="BN393" i="1"/>
  <c r="BN396" i="1"/>
  <c r="BE399" i="1"/>
  <c r="BN394" i="1"/>
  <c r="BN397" i="1"/>
  <c r="BN388" i="1"/>
  <c r="BN392" i="1"/>
  <c r="BN395" i="1"/>
  <c r="BN398" i="1"/>
  <c r="I201" i="26"/>
  <c r="I82" i="26"/>
  <c r="K82" i="26" s="1"/>
  <c r="I153" i="26"/>
  <c r="I173" i="26"/>
  <c r="I181" i="26"/>
  <c r="I205" i="26"/>
  <c r="I288" i="26"/>
  <c r="I292" i="26"/>
  <c r="I296" i="26"/>
  <c r="I300" i="26"/>
  <c r="I304" i="26"/>
  <c r="I286" i="26"/>
  <c r="K381" i="26"/>
  <c r="K379" i="26"/>
  <c r="I147" i="26"/>
  <c r="I151" i="26"/>
  <c r="K380" i="26"/>
  <c r="K383" i="26"/>
  <c r="I267" i="26"/>
  <c r="I279" i="26"/>
  <c r="I222" i="26"/>
  <c r="K382" i="26"/>
  <c r="BH313" i="1"/>
  <c r="BH287" i="1"/>
  <c r="BH271" i="1"/>
  <c r="BH243" i="1"/>
  <c r="BH223" i="1"/>
  <c r="BH187" i="1"/>
  <c r="BH135" i="1"/>
  <c r="BH124" i="1"/>
  <c r="BH119" i="1"/>
  <c r="BH100" i="1"/>
  <c r="BH95" i="1"/>
  <c r="BH72" i="1"/>
  <c r="BH64" i="1"/>
  <c r="BH59" i="1"/>
  <c r="BH44" i="1"/>
  <c r="BH40" i="1"/>
  <c r="BH24" i="1"/>
  <c r="BH11" i="1"/>
  <c r="BH327" i="1"/>
  <c r="BH301" i="1"/>
  <c r="BH279" i="1"/>
  <c r="BH257" i="1"/>
  <c r="BH235" i="1"/>
  <c r="BH209" i="1"/>
  <c r="BH203" i="1"/>
  <c r="BH185" i="1"/>
  <c r="BH155" i="1"/>
  <c r="BH139" i="1"/>
  <c r="BH132" i="1"/>
  <c r="BH116" i="1"/>
  <c r="BH92" i="1"/>
  <c r="BH75" i="1"/>
  <c r="BH52" i="1"/>
  <c r="BH47" i="1"/>
  <c r="BH16" i="1"/>
  <c r="BH23" i="1"/>
  <c r="BH28" i="1"/>
  <c r="BH51" i="1"/>
  <c r="BH91" i="1"/>
  <c r="BH136" i="1"/>
  <c r="BH195" i="1"/>
  <c r="BH205" i="1"/>
  <c r="BH253" i="1"/>
  <c r="BH295" i="1"/>
  <c r="F10" i="26"/>
  <c r="F14" i="26"/>
  <c r="F18" i="26"/>
  <c r="F22" i="26"/>
  <c r="F26" i="26"/>
  <c r="F30" i="26"/>
  <c r="F34" i="26"/>
  <c r="F42" i="26"/>
  <c r="F46" i="26"/>
  <c r="F50" i="26"/>
  <c r="F54" i="26"/>
  <c r="F58" i="26"/>
  <c r="F62" i="26"/>
  <c r="F70" i="26"/>
  <c r="F74" i="26"/>
  <c r="F78" i="26"/>
  <c r="F82" i="26"/>
  <c r="F86" i="26"/>
  <c r="F90" i="26"/>
  <c r="F94" i="26"/>
  <c r="F98" i="26"/>
  <c r="F102" i="26"/>
  <c r="F106" i="26"/>
  <c r="F110" i="26"/>
  <c r="F114" i="26"/>
  <c r="F118" i="26"/>
  <c r="F122" i="26"/>
  <c r="F126" i="26"/>
  <c r="F130" i="26"/>
  <c r="F134" i="26"/>
  <c r="F138" i="26"/>
  <c r="F142" i="26"/>
  <c r="F146" i="26"/>
  <c r="F150" i="26"/>
  <c r="F154" i="26"/>
  <c r="F158" i="26"/>
  <c r="F162" i="26"/>
  <c r="F166" i="26"/>
  <c r="F170" i="26"/>
  <c r="F174" i="26"/>
  <c r="F178" i="26"/>
  <c r="F182" i="26"/>
  <c r="F186" i="26"/>
  <c r="F190" i="26"/>
  <c r="F194" i="26"/>
  <c r="F198" i="26"/>
  <c r="F202" i="26"/>
  <c r="F206" i="26"/>
  <c r="F210" i="26"/>
  <c r="F214" i="26"/>
  <c r="F218" i="26"/>
  <c r="F222" i="26"/>
  <c r="F226" i="26"/>
  <c r="F230" i="26"/>
  <c r="F234" i="26"/>
  <c r="BI16" i="1"/>
  <c r="C16" i="26" s="1"/>
  <c r="BI24" i="1"/>
  <c r="C24" i="26" s="1"/>
  <c r="BI29" i="1"/>
  <c r="C29" i="26" s="1"/>
  <c r="BI36" i="1"/>
  <c r="C36" i="26" s="1"/>
  <c r="BI44" i="1"/>
  <c r="C44" i="26" s="1"/>
  <c r="BI52" i="1"/>
  <c r="C52" i="26" s="1"/>
  <c r="BI61" i="1"/>
  <c r="C61" i="26" s="1"/>
  <c r="BH76" i="1"/>
  <c r="BH83" i="1"/>
  <c r="BI92" i="1"/>
  <c r="C92" i="26" s="1"/>
  <c r="BH111" i="1"/>
  <c r="BI141" i="1"/>
  <c r="C141" i="26" s="1"/>
  <c r="BI161" i="1"/>
  <c r="C161" i="26" s="1"/>
  <c r="BI171" i="1"/>
  <c r="C171" i="26" s="1"/>
  <c r="BI187" i="1"/>
  <c r="C187" i="26" s="1"/>
  <c r="BH219" i="1"/>
  <c r="BH267" i="1"/>
  <c r="BH305" i="1"/>
  <c r="BH39" i="1"/>
  <c r="BH177" i="1"/>
  <c r="BH190" i="1"/>
  <c r="BI243" i="1"/>
  <c r="C243" i="26" s="1"/>
  <c r="BI198" i="1"/>
  <c r="C198" i="26" s="1"/>
  <c r="BI190" i="1"/>
  <c r="C190" i="26" s="1"/>
  <c r="BI178" i="1"/>
  <c r="C178" i="26" s="1"/>
  <c r="BI168" i="1"/>
  <c r="C168" i="26" s="1"/>
  <c r="BI152" i="1"/>
  <c r="C152" i="26" s="1"/>
  <c r="BI144" i="1"/>
  <c r="C144" i="26" s="1"/>
  <c r="BI113" i="1"/>
  <c r="C113" i="26" s="1"/>
  <c r="BI76" i="1"/>
  <c r="C76" i="26" s="1"/>
  <c r="BI53" i="1"/>
  <c r="C53" i="26" s="1"/>
  <c r="BI32" i="1"/>
  <c r="C32" i="26" s="1"/>
  <c r="BI194" i="1"/>
  <c r="C194" i="26" s="1"/>
  <c r="BI189" i="1"/>
  <c r="C189" i="26" s="1"/>
  <c r="BI175" i="1"/>
  <c r="C175" i="26" s="1"/>
  <c r="BI149" i="1"/>
  <c r="C149" i="26" s="1"/>
  <c r="BI108" i="1"/>
  <c r="C108" i="26" s="1"/>
  <c r="BI85" i="1"/>
  <c r="C85" i="26" s="1"/>
  <c r="BI80" i="1"/>
  <c r="C80" i="26" s="1"/>
  <c r="BI60" i="1"/>
  <c r="C60" i="26" s="1"/>
  <c r="BI57" i="1"/>
  <c r="C57" i="26" s="1"/>
  <c r="BI41" i="1"/>
  <c r="C41" i="26" s="1"/>
  <c r="BI37" i="1"/>
  <c r="C37" i="26" s="1"/>
  <c r="BI28" i="1"/>
  <c r="C28" i="26" s="1"/>
  <c r="BI25" i="1"/>
  <c r="C25" i="26" s="1"/>
  <c r="BI21" i="1"/>
  <c r="C21" i="26" s="1"/>
  <c r="BI9" i="1"/>
  <c r="C9" i="26" s="1"/>
  <c r="BH227" i="1"/>
  <c r="BH275" i="1"/>
  <c r="BH321" i="1"/>
  <c r="F8" i="26"/>
  <c r="F12" i="26"/>
  <c r="F16" i="26"/>
  <c r="F20" i="26"/>
  <c r="F24" i="26"/>
  <c r="F28" i="26"/>
  <c r="F32" i="26"/>
  <c r="F36" i="26"/>
  <c r="F40" i="26"/>
  <c r="F44" i="26"/>
  <c r="F48" i="26"/>
  <c r="F52" i="26"/>
  <c r="F56" i="26"/>
  <c r="F60" i="26"/>
  <c r="F64" i="26"/>
  <c r="F68" i="26"/>
  <c r="F72" i="26"/>
  <c r="F76" i="26"/>
  <c r="F80" i="26"/>
  <c r="F84" i="26"/>
  <c r="F88" i="26"/>
  <c r="F92" i="26"/>
  <c r="F96" i="26"/>
  <c r="F100" i="26"/>
  <c r="F104" i="26"/>
  <c r="F108" i="26"/>
  <c r="F112" i="26"/>
  <c r="F116" i="26"/>
  <c r="F120" i="26"/>
  <c r="F124" i="26"/>
  <c r="F128" i="26"/>
  <c r="F132" i="26"/>
  <c r="F136" i="26"/>
  <c r="F140" i="26"/>
  <c r="F144" i="26"/>
  <c r="F148" i="26"/>
  <c r="F152" i="26"/>
  <c r="F156" i="26"/>
  <c r="F160" i="26"/>
  <c r="F164" i="26"/>
  <c r="F168" i="26"/>
  <c r="F172" i="26"/>
  <c r="F176" i="26"/>
  <c r="F180" i="26"/>
  <c r="F184" i="26"/>
  <c r="F188" i="26"/>
  <c r="F192" i="26"/>
  <c r="F196" i="26"/>
  <c r="F200" i="26"/>
  <c r="F204" i="26"/>
  <c r="F208" i="26"/>
  <c r="F212" i="26"/>
  <c r="F216" i="26"/>
  <c r="F220" i="26"/>
  <c r="F224" i="26"/>
  <c r="F228" i="26"/>
  <c r="F238" i="26"/>
  <c r="F242" i="26"/>
  <c r="F246" i="26"/>
  <c r="F250" i="26"/>
  <c r="F254" i="26"/>
  <c r="F258" i="26"/>
  <c r="F262" i="26"/>
  <c r="F266" i="26"/>
  <c r="F270" i="26"/>
  <c r="F274" i="26"/>
  <c r="F278" i="26"/>
  <c r="F282" i="26"/>
  <c r="F286" i="26"/>
  <c r="F290" i="26"/>
  <c r="F294" i="26"/>
  <c r="F298" i="26"/>
  <c r="F302" i="26"/>
  <c r="F306" i="26"/>
  <c r="F310" i="26"/>
  <c r="F314" i="26"/>
  <c r="F318" i="26"/>
  <c r="F322" i="26"/>
  <c r="F326" i="26"/>
  <c r="F330" i="26"/>
  <c r="F334" i="26"/>
  <c r="F338" i="26"/>
  <c r="F342" i="26"/>
  <c r="F346" i="26"/>
  <c r="F350" i="26"/>
  <c r="F354" i="26"/>
  <c r="F358" i="26"/>
  <c r="F362" i="26"/>
  <c r="F366" i="26"/>
  <c r="F370" i="26"/>
  <c r="I109" i="26"/>
  <c r="K109" i="26" s="1"/>
  <c r="I118" i="26"/>
  <c r="K118" i="26" s="1"/>
  <c r="I122" i="26"/>
  <c r="K122" i="26" s="1"/>
  <c r="I139" i="26"/>
  <c r="I57" i="26"/>
  <c r="K57" i="26" s="1"/>
  <c r="BJ33" i="1"/>
  <c r="BJ65" i="1"/>
  <c r="BJ97" i="1"/>
  <c r="BJ121" i="1"/>
  <c r="F9" i="26"/>
  <c r="F13" i="26"/>
  <c r="F17" i="26"/>
  <c r="F21" i="26"/>
  <c r="F25" i="26"/>
  <c r="F29" i="26"/>
  <c r="F33" i="26"/>
  <c r="F37" i="26"/>
  <c r="F41" i="26"/>
  <c r="F45" i="26"/>
  <c r="F49" i="26"/>
  <c r="F53" i="26"/>
  <c r="F57" i="26"/>
  <c r="F61" i="26"/>
  <c r="F65" i="26"/>
  <c r="F69" i="26"/>
  <c r="F73" i="26"/>
  <c r="F77" i="26"/>
  <c r="F81" i="26"/>
  <c r="F85" i="26"/>
  <c r="F89" i="26"/>
  <c r="F93" i="26"/>
  <c r="F101" i="26"/>
  <c r="F105" i="26"/>
  <c r="F109" i="26"/>
  <c r="F113" i="26"/>
  <c r="F117" i="26"/>
  <c r="F121" i="26"/>
  <c r="F125" i="26"/>
  <c r="F129" i="26"/>
  <c r="F133" i="26"/>
  <c r="F137" i="26"/>
  <c r="F141" i="26"/>
  <c r="F145" i="26"/>
  <c r="F149" i="26"/>
  <c r="F153" i="26"/>
  <c r="F157" i="26"/>
  <c r="F161" i="26"/>
  <c r="F165" i="26"/>
  <c r="F169" i="26"/>
  <c r="F173" i="26"/>
  <c r="F177" i="26"/>
  <c r="F181" i="26"/>
  <c r="F185" i="26"/>
  <c r="F193" i="26"/>
  <c r="F197" i="26"/>
  <c r="F201" i="26"/>
  <c r="F205" i="26"/>
  <c r="F209" i="26"/>
  <c r="F213" i="26"/>
  <c r="F217" i="26"/>
  <c r="F221" i="26"/>
  <c r="F225" i="26"/>
  <c r="F229" i="26"/>
  <c r="F233" i="26"/>
  <c r="F237" i="26"/>
  <c r="F241" i="26"/>
  <c r="F245" i="26"/>
  <c r="F249" i="26"/>
  <c r="F253" i="26"/>
  <c r="F257" i="26"/>
  <c r="F261" i="26"/>
  <c r="F265" i="26"/>
  <c r="F269" i="26"/>
  <c r="F273" i="26"/>
  <c r="F277" i="26"/>
  <c r="F281" i="26"/>
  <c r="F285" i="26"/>
  <c r="F289" i="26"/>
  <c r="F293" i="26"/>
  <c r="F297" i="26"/>
  <c r="F301" i="26"/>
  <c r="F305" i="26"/>
  <c r="F309" i="26"/>
  <c r="F313" i="26"/>
  <c r="F317" i="26"/>
  <c r="F321" i="26"/>
  <c r="F325" i="26"/>
  <c r="F329" i="26"/>
  <c r="F333" i="26"/>
  <c r="F337" i="26"/>
  <c r="F345" i="26"/>
  <c r="F349" i="26"/>
  <c r="F353" i="26"/>
  <c r="F357" i="26"/>
  <c r="F361" i="26"/>
  <c r="F365" i="26"/>
  <c r="F369" i="26"/>
  <c r="I263" i="26"/>
  <c r="I270" i="26"/>
  <c r="I281" i="26"/>
  <c r="F236" i="26"/>
  <c r="F244" i="26"/>
  <c r="F248" i="26"/>
  <c r="F256" i="26"/>
  <c r="F260" i="26"/>
  <c r="F264" i="26"/>
  <c r="F268" i="26"/>
  <c r="F272" i="26"/>
  <c r="F276" i="26"/>
  <c r="F232" i="26"/>
  <c r="F240" i="26"/>
  <c r="F252" i="26"/>
  <c r="F280" i="26"/>
  <c r="F284" i="26"/>
  <c r="F288" i="26"/>
  <c r="F292" i="26"/>
  <c r="F296" i="26"/>
  <c r="F300" i="26"/>
  <c r="F304" i="26"/>
  <c r="F308" i="26"/>
  <c r="F312" i="26"/>
  <c r="F316" i="26"/>
  <c r="F320" i="26"/>
  <c r="F324" i="26"/>
  <c r="F328" i="26"/>
  <c r="F332" i="26"/>
  <c r="F336" i="26"/>
  <c r="F340" i="26"/>
  <c r="F344" i="26"/>
  <c r="F348" i="26"/>
  <c r="F352" i="26"/>
  <c r="F356" i="26"/>
  <c r="F360" i="26"/>
  <c r="F364" i="26"/>
  <c r="F368" i="26"/>
  <c r="F11" i="26"/>
  <c r="F15" i="26"/>
  <c r="F19" i="26"/>
  <c r="F23" i="26"/>
  <c r="F27" i="26"/>
  <c r="F31" i="26"/>
  <c r="F35" i="26"/>
  <c r="F39" i="26"/>
  <c r="F43" i="26"/>
  <c r="F47" i="26"/>
  <c r="F51" i="26"/>
  <c r="F55" i="26"/>
  <c r="F59" i="26"/>
  <c r="F63" i="26"/>
  <c r="F67" i="26"/>
  <c r="F71" i="26"/>
  <c r="F75" i="26"/>
  <c r="F79" i="26"/>
  <c r="F83" i="26"/>
  <c r="F87" i="26"/>
  <c r="F91" i="26"/>
  <c r="F95" i="26"/>
  <c r="F99" i="26"/>
  <c r="F103" i="26"/>
  <c r="F107" i="26"/>
  <c r="F111" i="26"/>
  <c r="F115" i="26"/>
  <c r="F119" i="26"/>
  <c r="F123" i="26"/>
  <c r="F131" i="26"/>
  <c r="F135" i="26"/>
  <c r="F139" i="26"/>
  <c r="F143" i="26"/>
  <c r="F147" i="26"/>
  <c r="F151" i="26"/>
  <c r="F155" i="26"/>
  <c r="F159" i="26"/>
  <c r="F163" i="26"/>
  <c r="F167" i="26"/>
  <c r="F171" i="26"/>
  <c r="F175" i="26"/>
  <c r="F179" i="26"/>
  <c r="F183" i="26"/>
  <c r="F187" i="26"/>
  <c r="F191" i="26"/>
  <c r="F195" i="26"/>
  <c r="F199" i="26"/>
  <c r="F203" i="26"/>
  <c r="F207" i="26"/>
  <c r="F211" i="26"/>
  <c r="F215" i="26"/>
  <c r="F223" i="26"/>
  <c r="F227" i="26"/>
  <c r="F231" i="26"/>
  <c r="F235" i="26"/>
  <c r="F239" i="26"/>
  <c r="F243" i="26"/>
  <c r="F247" i="26"/>
  <c r="F255" i="26"/>
  <c r="F259" i="26"/>
  <c r="F263" i="26"/>
  <c r="F267" i="26"/>
  <c r="F271" i="26"/>
  <c r="F275" i="26"/>
  <c r="F279" i="26"/>
  <c r="F283" i="26"/>
  <c r="F287" i="26"/>
  <c r="F291" i="26"/>
  <c r="F295" i="26"/>
  <c r="F299" i="26"/>
  <c r="F303" i="26"/>
  <c r="F307" i="26"/>
  <c r="F315" i="26"/>
  <c r="F319" i="26"/>
  <c r="F323" i="26"/>
  <c r="F327" i="26"/>
  <c r="F331" i="26"/>
  <c r="F335" i="26"/>
  <c r="F339" i="26"/>
  <c r="F343" i="26"/>
  <c r="F347" i="26"/>
  <c r="F351" i="26"/>
  <c r="F355" i="26"/>
  <c r="F359" i="26"/>
  <c r="F363" i="26"/>
  <c r="F367" i="26"/>
  <c r="F371" i="26"/>
  <c r="I105" i="26"/>
  <c r="I157" i="26"/>
  <c r="I229" i="26"/>
  <c r="I241" i="26"/>
  <c r="I248" i="26"/>
  <c r="I283" i="26"/>
  <c r="I49" i="26"/>
  <c r="K49" i="26" s="1"/>
  <c r="I308" i="26"/>
  <c r="K308" i="26" s="1"/>
  <c r="I313" i="26"/>
  <c r="I345" i="26"/>
  <c r="K345" i="26" s="1"/>
  <c r="I353" i="26"/>
  <c r="K353" i="26" s="1"/>
  <c r="I361" i="26"/>
  <c r="K361" i="26" s="1"/>
  <c r="I365" i="26"/>
  <c r="K365" i="26" s="1"/>
  <c r="I52" i="26"/>
  <c r="K52" i="26" s="1"/>
  <c r="I232" i="26"/>
  <c r="I269" i="26"/>
  <c r="I273" i="26"/>
  <c r="I277" i="26"/>
  <c r="I145" i="26"/>
  <c r="I155" i="26"/>
  <c r="I257" i="26"/>
  <c r="I261" i="26"/>
  <c r="I285" i="26"/>
  <c r="BH259" i="1"/>
  <c r="I76" i="26"/>
  <c r="K76" i="26" s="1"/>
  <c r="BH335" i="1"/>
  <c r="I148" i="26"/>
  <c r="I258" i="26"/>
  <c r="I274" i="26"/>
  <c r="I72" i="26"/>
  <c r="K72" i="26" s="1"/>
  <c r="BH7" i="1"/>
  <c r="BH12" i="1"/>
  <c r="BH19" i="1"/>
  <c r="BH31" i="1"/>
  <c r="BH48" i="1"/>
  <c r="BH55" i="1"/>
  <c r="BH67" i="1"/>
  <c r="BH79" i="1"/>
  <c r="BH84" i="1"/>
  <c r="BH96" i="1"/>
  <c r="BH104" i="1"/>
  <c r="BH112" i="1"/>
  <c r="BH120" i="1"/>
  <c r="BH128" i="1"/>
  <c r="BH140" i="1"/>
  <c r="BH147" i="1"/>
  <c r="BH156" i="1"/>
  <c r="BH159" i="1"/>
  <c r="BH164" i="1"/>
  <c r="BH173" i="1"/>
  <c r="BH182" i="1"/>
  <c r="BI351" i="1"/>
  <c r="C351" i="26" s="1"/>
  <c r="BI204" i="1"/>
  <c r="C204" i="26" s="1"/>
  <c r="BI196" i="1"/>
  <c r="C196" i="26" s="1"/>
  <c r="BI183" i="1"/>
  <c r="C183" i="26" s="1"/>
  <c r="BI180" i="1"/>
  <c r="C180" i="26" s="1"/>
  <c r="BI169" i="1"/>
  <c r="C169" i="26" s="1"/>
  <c r="BI164" i="1"/>
  <c r="C164" i="26" s="1"/>
  <c r="BI160" i="1"/>
  <c r="C160" i="26" s="1"/>
  <c r="BI157" i="1"/>
  <c r="C157" i="26" s="1"/>
  <c r="BI153" i="1"/>
  <c r="C153" i="26" s="1"/>
  <c r="BI148" i="1"/>
  <c r="C148" i="26" s="1"/>
  <c r="BI136" i="1"/>
  <c r="C136" i="26" s="1"/>
  <c r="BI133" i="1"/>
  <c r="C133" i="26" s="1"/>
  <c r="BI129" i="1"/>
  <c r="C129" i="26" s="1"/>
  <c r="BI124" i="1"/>
  <c r="C124" i="26" s="1"/>
  <c r="BI120" i="1"/>
  <c r="C120" i="26" s="1"/>
  <c r="BI117" i="1"/>
  <c r="C117" i="26" s="1"/>
  <c r="BI105" i="1"/>
  <c r="C105" i="26" s="1"/>
  <c r="BI100" i="1"/>
  <c r="C100" i="26" s="1"/>
  <c r="BI96" i="1"/>
  <c r="C96" i="26" s="1"/>
  <c r="BI93" i="1"/>
  <c r="C93" i="26" s="1"/>
  <c r="BI89" i="1"/>
  <c r="C89" i="26" s="1"/>
  <c r="BI84" i="1"/>
  <c r="C84" i="26" s="1"/>
  <c r="BI72" i="1"/>
  <c r="C72" i="26" s="1"/>
  <c r="BI69" i="1"/>
  <c r="C69" i="26" s="1"/>
  <c r="BI65" i="1"/>
  <c r="C65" i="26" s="1"/>
  <c r="BH207" i="1"/>
  <c r="BH211" i="1"/>
  <c r="BH221" i="1"/>
  <c r="BH225" i="1"/>
  <c r="BH247" i="1"/>
  <c r="BH251" i="1"/>
  <c r="BH261" i="1"/>
  <c r="BH265" i="1"/>
  <c r="BH269" i="1"/>
  <c r="BH273" i="1"/>
  <c r="BH281" i="1"/>
  <c r="BQ386" i="1"/>
  <c r="I152" i="26"/>
  <c r="I262" i="26"/>
  <c r="I271" i="26"/>
  <c r="I278" i="26"/>
  <c r="I20" i="26"/>
  <c r="K20" i="26" s="1"/>
  <c r="I34" i="26"/>
  <c r="K34" i="26" s="1"/>
  <c r="I42" i="26"/>
  <c r="K42" i="26" s="1"/>
  <c r="BH8" i="1"/>
  <c r="BI12" i="1"/>
  <c r="C12" i="26" s="1"/>
  <c r="BH15" i="1"/>
  <c r="BI17" i="1"/>
  <c r="C17" i="26" s="1"/>
  <c r="BH20" i="1"/>
  <c r="BH27" i="1"/>
  <c r="BH32" i="1"/>
  <c r="BH36" i="1"/>
  <c r="BH43" i="1"/>
  <c r="BI45" i="1"/>
  <c r="C45" i="26" s="1"/>
  <c r="C48" i="26"/>
  <c r="BH56" i="1"/>
  <c r="BH60" i="1"/>
  <c r="BH68" i="1"/>
  <c r="BH71" i="1"/>
  <c r="BH88" i="1"/>
  <c r="BH99" i="1"/>
  <c r="BI101" i="1"/>
  <c r="C101" i="26" s="1"/>
  <c r="BI104" i="1"/>
  <c r="C104" i="26" s="1"/>
  <c r="BH107" i="1"/>
  <c r="BI109" i="1"/>
  <c r="C109" i="26" s="1"/>
  <c r="BI112" i="1"/>
  <c r="C112" i="26" s="1"/>
  <c r="BH123" i="1"/>
  <c r="BI125" i="1"/>
  <c r="C125" i="26" s="1"/>
  <c r="BI128" i="1"/>
  <c r="C128" i="26" s="1"/>
  <c r="BH131" i="1"/>
  <c r="BI137" i="1"/>
  <c r="C137" i="26" s="1"/>
  <c r="BI140" i="1"/>
  <c r="C140" i="26" s="1"/>
  <c r="BH143" i="1"/>
  <c r="BI145" i="1"/>
  <c r="C145" i="26" s="1"/>
  <c r="BH148" i="1"/>
  <c r="BI156" i="1"/>
  <c r="C156" i="26" s="1"/>
  <c r="BH160" i="1"/>
  <c r="BH168" i="1"/>
  <c r="BH171" i="1"/>
  <c r="BI173" i="1"/>
  <c r="C173" i="26" s="1"/>
  <c r="BH197" i="1"/>
  <c r="BI202" i="1"/>
  <c r="C202" i="26" s="1"/>
  <c r="BJ371" i="1"/>
  <c r="BJ155" i="1"/>
  <c r="BJ138" i="1"/>
  <c r="BJ131" i="1"/>
  <c r="BJ91" i="1"/>
  <c r="BJ74" i="1"/>
  <c r="BJ67" i="1"/>
  <c r="BH215" i="1"/>
  <c r="BH229" i="1"/>
  <c r="BH233" i="1"/>
  <c r="BH237" i="1"/>
  <c r="BH241" i="1"/>
  <c r="BH255" i="1"/>
  <c r="BH289" i="1"/>
  <c r="BH293" i="1"/>
  <c r="BH319" i="1"/>
  <c r="BH329" i="1"/>
  <c r="BH333" i="1"/>
  <c r="BI225" i="1"/>
  <c r="C225" i="26" s="1"/>
  <c r="I149" i="26"/>
  <c r="I156" i="26"/>
  <c r="I259" i="26"/>
  <c r="I266" i="26"/>
  <c r="I275" i="26"/>
  <c r="I282" i="26"/>
  <c r="I146" i="26"/>
  <c r="I154" i="26"/>
  <c r="I227" i="26"/>
  <c r="I264" i="26"/>
  <c r="I272" i="26"/>
  <c r="I280" i="26"/>
  <c r="BH63" i="1"/>
  <c r="BH80" i="1"/>
  <c r="BH87" i="1"/>
  <c r="BH103" i="1"/>
  <c r="BH108" i="1"/>
  <c r="BH115" i="1"/>
  <c r="BH127" i="1"/>
  <c r="BH144" i="1"/>
  <c r="BH151" i="1"/>
  <c r="BH167" i="1"/>
  <c r="BH213" i="1"/>
  <c r="BH217" i="1"/>
  <c r="BH231" i="1"/>
  <c r="BH245" i="1"/>
  <c r="BH249" i="1"/>
  <c r="BH263" i="1"/>
  <c r="BH303" i="1"/>
  <c r="BH307" i="1"/>
  <c r="BH311" i="1"/>
  <c r="BH325" i="1"/>
  <c r="BH360" i="1"/>
  <c r="BH364" i="1"/>
  <c r="BH368" i="1"/>
  <c r="I150" i="26"/>
  <c r="I219" i="26"/>
  <c r="I226" i="26"/>
  <c r="I244" i="26"/>
  <c r="I260" i="26"/>
  <c r="I268" i="26"/>
  <c r="I276" i="26"/>
  <c r="I284" i="26"/>
  <c r="I237" i="26"/>
  <c r="I236" i="26"/>
  <c r="I11" i="26"/>
  <c r="K11" i="26" s="1"/>
  <c r="I15" i="26"/>
  <c r="K15" i="26" s="1"/>
  <c r="I86" i="26"/>
  <c r="K86" i="26" s="1"/>
  <c r="I94" i="26"/>
  <c r="K94" i="26" s="1"/>
  <c r="I110" i="26"/>
  <c r="K110" i="26" s="1"/>
  <c r="I123" i="26"/>
  <c r="K123" i="26" s="1"/>
  <c r="I132" i="26"/>
  <c r="I140" i="26"/>
  <c r="I30" i="26"/>
  <c r="K30" i="26" s="1"/>
  <c r="I55" i="26"/>
  <c r="K55" i="26" s="1"/>
  <c r="BJ292" i="1"/>
  <c r="BJ228" i="1"/>
  <c r="BJ166" i="1"/>
  <c r="BJ159" i="1"/>
  <c r="BJ157" i="1"/>
  <c r="BJ150" i="1"/>
  <c r="BJ143" i="1"/>
  <c r="BJ141" i="1"/>
  <c r="BJ134" i="1"/>
  <c r="BJ127" i="1"/>
  <c r="BJ125" i="1"/>
  <c r="BJ118" i="1"/>
  <c r="BJ111" i="1"/>
  <c r="BJ109" i="1"/>
  <c r="BJ102" i="1"/>
  <c r="BJ95" i="1"/>
  <c r="BJ93" i="1"/>
  <c r="BJ86" i="1"/>
  <c r="BJ79" i="1"/>
  <c r="BJ77" i="1"/>
  <c r="BJ70" i="1"/>
  <c r="BJ63" i="1"/>
  <c r="BJ61" i="1"/>
  <c r="BJ54" i="1"/>
  <c r="BJ45" i="1"/>
  <c r="BJ38" i="1"/>
  <c r="BJ31" i="1"/>
  <c r="BJ29" i="1"/>
  <c r="BJ22" i="1"/>
  <c r="BJ15" i="1"/>
  <c r="BJ13" i="1"/>
  <c r="BJ335" i="1"/>
  <c r="BJ264" i="1"/>
  <c r="BJ167" i="1"/>
  <c r="BJ165" i="1"/>
  <c r="BJ158" i="1"/>
  <c r="BJ151" i="1"/>
  <c r="BJ149" i="1"/>
  <c r="BJ142" i="1"/>
  <c r="BJ135" i="1"/>
  <c r="BJ133" i="1"/>
  <c r="BJ126" i="1"/>
  <c r="BJ119" i="1"/>
  <c r="BJ117" i="1"/>
  <c r="BJ110" i="1"/>
  <c r="BJ103" i="1"/>
  <c r="BJ101" i="1"/>
  <c r="BJ94" i="1"/>
  <c r="BJ87" i="1"/>
  <c r="BJ85" i="1"/>
  <c r="BJ78" i="1"/>
  <c r="BJ71" i="1"/>
  <c r="BJ69" i="1"/>
  <c r="BJ62" i="1"/>
  <c r="BJ55" i="1"/>
  <c r="BJ53" i="1"/>
  <c r="BJ39" i="1"/>
  <c r="BJ37" i="1"/>
  <c r="BJ30" i="1"/>
  <c r="BJ23" i="1"/>
  <c r="BJ21" i="1"/>
  <c r="BJ14" i="1"/>
  <c r="BJ7" i="1"/>
  <c r="I46" i="26"/>
  <c r="K46" i="26" s="1"/>
  <c r="I256" i="26"/>
  <c r="I16" i="26"/>
  <c r="K16" i="26" s="1"/>
  <c r="I100" i="26"/>
  <c r="I111" i="26"/>
  <c r="K111" i="26" s="1"/>
  <c r="I115" i="26"/>
  <c r="K115" i="26" s="1"/>
  <c r="I124" i="26"/>
  <c r="K124" i="26" s="1"/>
  <c r="I129" i="26"/>
  <c r="I133" i="26"/>
  <c r="I137" i="26"/>
  <c r="I141" i="26"/>
  <c r="I23" i="26"/>
  <c r="K23" i="26" s="1"/>
  <c r="I27" i="26"/>
  <c r="K27" i="26" s="1"/>
  <c r="I31" i="26"/>
  <c r="K31" i="26" s="1"/>
  <c r="I36" i="26"/>
  <c r="K36" i="26" s="1"/>
  <c r="I40" i="26"/>
  <c r="K40" i="26" s="1"/>
  <c r="I44" i="26"/>
  <c r="K44" i="26" s="1"/>
  <c r="I56" i="26"/>
  <c r="K56" i="26" s="1"/>
  <c r="I70" i="26"/>
  <c r="K70" i="26" s="1"/>
  <c r="I32" i="26"/>
  <c r="K32" i="26" s="1"/>
  <c r="BJ17" i="1"/>
  <c r="BJ19" i="1"/>
  <c r="BJ34" i="1"/>
  <c r="BJ49" i="1"/>
  <c r="BJ51" i="1"/>
  <c r="BJ113" i="1"/>
  <c r="BJ115" i="1"/>
  <c r="BJ145" i="1"/>
  <c r="BJ147" i="1"/>
  <c r="I144" i="26"/>
  <c r="I228" i="26"/>
  <c r="I90" i="26"/>
  <c r="K90" i="26" s="1"/>
  <c r="I99" i="26"/>
  <c r="K99" i="26" s="1"/>
  <c r="I114" i="26"/>
  <c r="K114" i="26" s="1"/>
  <c r="I136" i="26"/>
  <c r="I26" i="26"/>
  <c r="K26" i="26" s="1"/>
  <c r="I35" i="26"/>
  <c r="K35" i="26" s="1"/>
  <c r="I43" i="26"/>
  <c r="K43" i="26" s="1"/>
  <c r="I253" i="26"/>
  <c r="I252" i="26"/>
  <c r="I12" i="26"/>
  <c r="K12" i="26" s="1"/>
  <c r="BJ66" i="1"/>
  <c r="BJ81" i="1"/>
  <c r="BJ83" i="1"/>
  <c r="BJ98" i="1"/>
  <c r="BJ130" i="1"/>
  <c r="BJ162" i="1"/>
  <c r="I10" i="26"/>
  <c r="K10" i="26" s="1"/>
  <c r="I14" i="26"/>
  <c r="K14" i="26" s="1"/>
  <c r="I89" i="26"/>
  <c r="K89" i="26" s="1"/>
  <c r="I112" i="26"/>
  <c r="K112" i="26" s="1"/>
  <c r="I117" i="26"/>
  <c r="K117" i="26" s="1"/>
  <c r="I130" i="26"/>
  <c r="I135" i="26"/>
  <c r="I62" i="26"/>
  <c r="K62" i="26" s="1"/>
  <c r="I81" i="26"/>
  <c r="K81" i="26" s="1"/>
  <c r="I25" i="26"/>
  <c r="K25" i="26" s="1"/>
  <c r="I29" i="26"/>
  <c r="K29" i="26" s="1"/>
  <c r="I33" i="26"/>
  <c r="K33" i="26" s="1"/>
  <c r="I41" i="26"/>
  <c r="K41" i="26" s="1"/>
  <c r="I71" i="26"/>
  <c r="K71" i="26" s="1"/>
  <c r="I75" i="26"/>
  <c r="K75" i="26" s="1"/>
  <c r="I21" i="26"/>
  <c r="K21" i="26" s="1"/>
  <c r="BJ9" i="1"/>
  <c r="BJ11" i="1"/>
  <c r="BJ26" i="1"/>
  <c r="BJ41" i="1"/>
  <c r="BJ43" i="1"/>
  <c r="BJ58" i="1"/>
  <c r="BJ73" i="1"/>
  <c r="BJ75" i="1"/>
  <c r="BJ90" i="1"/>
  <c r="BJ105" i="1"/>
  <c r="BJ107" i="1"/>
  <c r="BJ122" i="1"/>
  <c r="BJ137" i="1"/>
  <c r="BJ139" i="1"/>
  <c r="BJ154" i="1"/>
  <c r="BJ169" i="1"/>
  <c r="BJ307" i="1"/>
  <c r="I356" i="26"/>
  <c r="K356" i="26" s="1"/>
  <c r="BH297" i="1"/>
  <c r="BH315" i="1"/>
  <c r="BI211" i="1"/>
  <c r="C211" i="26" s="1"/>
  <c r="BQ382" i="1"/>
  <c r="BQ378" i="1"/>
  <c r="I215" i="26"/>
  <c r="I220" i="26"/>
  <c r="I223" i="26"/>
  <c r="I225" i="26"/>
  <c r="I231" i="26"/>
  <c r="I240" i="26"/>
  <c r="I245" i="26"/>
  <c r="I336" i="26"/>
  <c r="K336" i="26" s="1"/>
  <c r="I340" i="26"/>
  <c r="K340" i="26" s="1"/>
  <c r="BH309" i="1"/>
  <c r="BI300" i="1"/>
  <c r="C300" i="26" s="1"/>
  <c r="I230" i="26"/>
  <c r="I233" i="26"/>
  <c r="I249" i="26"/>
  <c r="I79" i="26"/>
  <c r="K79" i="26" s="1"/>
  <c r="I80" i="26"/>
  <c r="K80" i="26" s="1"/>
  <c r="H7" i="26"/>
  <c r="I8" i="26" s="1"/>
  <c r="K8" i="26" s="1"/>
  <c r="H83" i="26"/>
  <c r="I83" i="26" s="1"/>
  <c r="K83" i="26" s="1"/>
  <c r="H87" i="26"/>
  <c r="I87" i="26" s="1"/>
  <c r="K87" i="26" s="1"/>
  <c r="H95" i="26"/>
  <c r="I95" i="26" s="1"/>
  <c r="K95" i="26" s="1"/>
  <c r="H50" i="26"/>
  <c r="I50" i="26" s="1"/>
  <c r="K50" i="26" s="1"/>
  <c r="H18" i="26"/>
  <c r="I18" i="26" s="1"/>
  <c r="K18" i="26" s="1"/>
  <c r="H310" i="26"/>
  <c r="H321" i="26"/>
  <c r="I321" i="26" s="1"/>
  <c r="K321" i="26" s="1"/>
  <c r="H332" i="26"/>
  <c r="I332" i="26" s="1"/>
  <c r="K332" i="26" s="1"/>
  <c r="C97" i="26"/>
  <c r="I329" i="26"/>
  <c r="H351" i="26"/>
  <c r="I352" i="26" s="1"/>
  <c r="K352" i="26" s="1"/>
  <c r="H368" i="26"/>
  <c r="I368" i="26" s="1"/>
  <c r="K368" i="26" s="1"/>
  <c r="BI214" i="1"/>
  <c r="C214" i="26" s="1"/>
  <c r="BI286" i="1"/>
  <c r="C286" i="26" s="1"/>
  <c r="F189" i="26"/>
  <c r="BQ381" i="1"/>
  <c r="F341" i="26"/>
  <c r="BN386" i="1"/>
  <c r="BE386" i="1"/>
  <c r="BQ380" i="1"/>
  <c r="I17" i="26"/>
  <c r="K17" i="26" s="1"/>
  <c r="I63" i="26"/>
  <c r="K63" i="26" s="1"/>
  <c r="H97" i="26"/>
  <c r="I98" i="26" s="1"/>
  <c r="K98" i="26" s="1"/>
  <c r="I125" i="26"/>
  <c r="I85" i="26"/>
  <c r="K85" i="26" s="1"/>
  <c r="I93" i="26"/>
  <c r="K93" i="26" s="1"/>
  <c r="I113" i="26"/>
  <c r="K113" i="26" s="1"/>
  <c r="I131" i="26"/>
  <c r="BE47" i="1"/>
  <c r="BE389" i="1" s="1"/>
  <c r="H58" i="26"/>
  <c r="H317" i="26"/>
  <c r="I318" i="26" s="1"/>
  <c r="I344" i="26"/>
  <c r="K344" i="26" s="1"/>
  <c r="I360" i="26"/>
  <c r="K360" i="26" s="1"/>
  <c r="I364" i="26"/>
  <c r="K364" i="26" s="1"/>
  <c r="BI7" i="1"/>
  <c r="BJ8" i="1"/>
  <c r="BI11" i="1"/>
  <c r="C11" i="26" s="1"/>
  <c r="BJ12" i="1"/>
  <c r="BI15" i="1"/>
  <c r="C15" i="26" s="1"/>
  <c r="BJ16" i="1"/>
  <c r="BI19" i="1"/>
  <c r="C19" i="26" s="1"/>
  <c r="BJ20" i="1"/>
  <c r="BI23" i="1"/>
  <c r="C23" i="26" s="1"/>
  <c r="BJ24" i="1"/>
  <c r="BI27" i="1"/>
  <c r="C27" i="26" s="1"/>
  <c r="BJ28" i="1"/>
  <c r="BI31" i="1"/>
  <c r="C31" i="26" s="1"/>
  <c r="BJ32" i="1"/>
  <c r="BI35" i="1"/>
  <c r="C35" i="26" s="1"/>
  <c r="BJ36" i="1"/>
  <c r="BI39" i="1"/>
  <c r="C39" i="26" s="1"/>
  <c r="BJ40" i="1"/>
  <c r="BI43" i="1"/>
  <c r="C43" i="26" s="1"/>
  <c r="BJ44" i="1"/>
  <c r="C47" i="26"/>
  <c r="BI51" i="1"/>
  <c r="C51" i="26" s="1"/>
  <c r="BJ52" i="1"/>
  <c r="BI55" i="1"/>
  <c r="C55" i="26" s="1"/>
  <c r="BJ56" i="1"/>
  <c r="BI59" i="1"/>
  <c r="C59" i="26" s="1"/>
  <c r="BJ60" i="1"/>
  <c r="BI63" i="1"/>
  <c r="C63" i="26" s="1"/>
  <c r="BJ64" i="1"/>
  <c r="BI67" i="1"/>
  <c r="C67" i="26" s="1"/>
  <c r="BJ68" i="1"/>
  <c r="BI71" i="1"/>
  <c r="C71" i="26" s="1"/>
  <c r="BJ72" i="1"/>
  <c r="BI75" i="1"/>
  <c r="C75" i="26" s="1"/>
  <c r="BJ76" i="1"/>
  <c r="BI79" i="1"/>
  <c r="C79" i="26" s="1"/>
  <c r="BJ80" i="1"/>
  <c r="BI83" i="1"/>
  <c r="C83" i="26" s="1"/>
  <c r="BJ84" i="1"/>
  <c r="BI87" i="1"/>
  <c r="C87" i="26" s="1"/>
  <c r="BJ88" i="1"/>
  <c r="BI91" i="1"/>
  <c r="C91" i="26" s="1"/>
  <c r="BJ92" i="1"/>
  <c r="BI95" i="1"/>
  <c r="C95" i="26" s="1"/>
  <c r="BJ96" i="1"/>
  <c r="BI99" i="1"/>
  <c r="C99" i="26" s="1"/>
  <c r="BJ100" i="1"/>
  <c r="BI103" i="1"/>
  <c r="C103" i="26" s="1"/>
  <c r="BJ104" i="1"/>
  <c r="BI107" i="1"/>
  <c r="C107" i="26" s="1"/>
  <c r="BJ108" i="1"/>
  <c r="BI111" i="1"/>
  <c r="C111" i="26" s="1"/>
  <c r="BJ112" i="1"/>
  <c r="BI115" i="1"/>
  <c r="C115" i="26" s="1"/>
  <c r="BJ116" i="1"/>
  <c r="BI119" i="1"/>
  <c r="C119" i="26" s="1"/>
  <c r="BJ120" i="1"/>
  <c r="BI123" i="1"/>
  <c r="C123" i="26" s="1"/>
  <c r="BJ124" i="1"/>
  <c r="BI127" i="1"/>
  <c r="BJ128" i="1"/>
  <c r="BI131" i="1"/>
  <c r="C131" i="26" s="1"/>
  <c r="BJ132" i="1"/>
  <c r="BI135" i="1"/>
  <c r="C135" i="26" s="1"/>
  <c r="BJ136" i="1"/>
  <c r="BI139" i="1"/>
  <c r="C139" i="26" s="1"/>
  <c r="BJ140" i="1"/>
  <c r="BI143" i="1"/>
  <c r="C143" i="26" s="1"/>
  <c r="BJ144" i="1"/>
  <c r="BI147" i="1"/>
  <c r="C147" i="26" s="1"/>
  <c r="BJ148" i="1"/>
  <c r="BI151" i="1"/>
  <c r="C151" i="26" s="1"/>
  <c r="BJ152" i="1"/>
  <c r="BI155" i="1"/>
  <c r="C155" i="26" s="1"/>
  <c r="BJ156" i="1"/>
  <c r="BI159" i="1"/>
  <c r="C159" i="26" s="1"/>
  <c r="BJ160" i="1"/>
  <c r="BI163" i="1"/>
  <c r="C163" i="26" s="1"/>
  <c r="BJ164" i="1"/>
  <c r="BI167" i="1"/>
  <c r="C167" i="26" s="1"/>
  <c r="BJ168" i="1"/>
  <c r="BI177" i="1"/>
  <c r="C177" i="26" s="1"/>
  <c r="BI179" i="1"/>
  <c r="C179" i="26" s="1"/>
  <c r="BI182" i="1"/>
  <c r="C182" i="26" s="1"/>
  <c r="BI184" i="1"/>
  <c r="C184" i="26" s="1"/>
  <c r="BI191" i="1"/>
  <c r="C191" i="26" s="1"/>
  <c r="BI193" i="1"/>
  <c r="C193" i="26" s="1"/>
  <c r="BI195" i="1"/>
  <c r="C195" i="26" s="1"/>
  <c r="BI197" i="1"/>
  <c r="C197" i="26" s="1"/>
  <c r="BI199" i="1"/>
  <c r="C199" i="26" s="1"/>
  <c r="BI201" i="1"/>
  <c r="C201" i="26" s="1"/>
  <c r="BI203" i="1"/>
  <c r="C203" i="26" s="1"/>
  <c r="BJ204" i="1"/>
  <c r="BH285" i="1"/>
  <c r="BH299" i="1"/>
  <c r="BH317" i="1"/>
  <c r="BH331" i="1"/>
  <c r="BH337" i="1"/>
  <c r="BH341" i="1"/>
  <c r="BH349" i="1"/>
  <c r="BJ216" i="1"/>
  <c r="BI236" i="1"/>
  <c r="C236" i="26" s="1"/>
  <c r="BI254" i="1"/>
  <c r="C254" i="26" s="1"/>
  <c r="BI271" i="1"/>
  <c r="C271" i="26" s="1"/>
  <c r="BI315" i="1"/>
  <c r="C315" i="26" s="1"/>
  <c r="BE376" i="1"/>
  <c r="I45" i="26"/>
  <c r="K45" i="26" s="1"/>
  <c r="I104" i="26"/>
  <c r="I239" i="26"/>
  <c r="I238" i="26"/>
  <c r="I255" i="26"/>
  <c r="I254" i="26"/>
  <c r="BN376" i="1"/>
  <c r="F38" i="26"/>
  <c r="BQ377" i="1"/>
  <c r="F66" i="26"/>
  <c r="BN377" i="1"/>
  <c r="I9" i="26"/>
  <c r="K9" i="26" s="1"/>
  <c r="I13" i="26"/>
  <c r="K13" i="26" s="1"/>
  <c r="I24" i="26"/>
  <c r="K24" i="26" s="1"/>
  <c r="I28" i="26"/>
  <c r="K28" i="26" s="1"/>
  <c r="H102" i="26"/>
  <c r="I102" i="26" s="1"/>
  <c r="I108" i="26"/>
  <c r="I116" i="26"/>
  <c r="K116" i="26" s="1"/>
  <c r="I121" i="26"/>
  <c r="K121" i="26" s="1"/>
  <c r="H126" i="26"/>
  <c r="I126" i="26" s="1"/>
  <c r="I134" i="26"/>
  <c r="I138" i="26"/>
  <c r="I142" i="26"/>
  <c r="I143" i="26"/>
  <c r="H37" i="26"/>
  <c r="I37" i="26" s="1"/>
  <c r="K37" i="26" s="1"/>
  <c r="BE375" i="1"/>
  <c r="H53" i="26"/>
  <c r="I53" i="26" s="1"/>
  <c r="K53" i="26" s="1"/>
  <c r="H306" i="26"/>
  <c r="R306" i="26" s="1"/>
  <c r="H316" i="26"/>
  <c r="I316" i="26" s="1"/>
  <c r="H324" i="26"/>
  <c r="I324" i="26" s="1"/>
  <c r="K324" i="26" s="1"/>
  <c r="BI347" i="1"/>
  <c r="C347" i="26" s="1"/>
  <c r="BI303" i="1"/>
  <c r="C303" i="26" s="1"/>
  <c r="BI289" i="1"/>
  <c r="C289" i="26" s="1"/>
  <c r="BI275" i="1"/>
  <c r="C275" i="26" s="1"/>
  <c r="BI219" i="1"/>
  <c r="BI250" i="1"/>
  <c r="BI268" i="1"/>
  <c r="C268" i="26" s="1"/>
  <c r="BI343" i="1"/>
  <c r="C343" i="26" s="1"/>
  <c r="F97" i="26"/>
  <c r="BN378" i="1"/>
  <c r="H106" i="26"/>
  <c r="I106" i="26" s="1"/>
  <c r="H119" i="26"/>
  <c r="I119" i="26" s="1"/>
  <c r="K119" i="26" s="1"/>
  <c r="H60" i="26"/>
  <c r="I60" i="26" s="1"/>
  <c r="K60" i="26" s="1"/>
  <c r="BE68" i="1"/>
  <c r="H68" i="26" s="1"/>
  <c r="I68" i="26" s="1"/>
  <c r="K68" i="26" s="1"/>
  <c r="H96" i="26"/>
  <c r="BE377" i="1"/>
  <c r="H64" i="26"/>
  <c r="I64" i="26" s="1"/>
  <c r="K64" i="26" s="1"/>
  <c r="H73" i="26"/>
  <c r="I73" i="26" s="1"/>
  <c r="K73" i="26" s="1"/>
  <c r="H77" i="26"/>
  <c r="I77" i="26" s="1"/>
  <c r="K77" i="26" s="1"/>
  <c r="H327" i="26"/>
  <c r="I328" i="26" s="1"/>
  <c r="K328" i="26" s="1"/>
  <c r="H341" i="26"/>
  <c r="I341" i="26" s="1"/>
  <c r="K341" i="26" s="1"/>
  <c r="I357" i="26"/>
  <c r="K357" i="26" s="1"/>
  <c r="BI10" i="1"/>
  <c r="C10" i="26" s="1"/>
  <c r="BI14" i="1"/>
  <c r="C14" i="26" s="1"/>
  <c r="BI18" i="1"/>
  <c r="C18" i="26" s="1"/>
  <c r="BI22" i="1"/>
  <c r="C22" i="26" s="1"/>
  <c r="BI26" i="1"/>
  <c r="C26" i="26" s="1"/>
  <c r="BI30" i="1"/>
  <c r="C30" i="26" s="1"/>
  <c r="BI34" i="1"/>
  <c r="C34" i="26" s="1"/>
  <c r="BI38" i="1"/>
  <c r="BI42" i="1"/>
  <c r="C42" i="26" s="1"/>
  <c r="C46" i="26"/>
  <c r="BI50" i="1"/>
  <c r="C50" i="26" s="1"/>
  <c r="BI54" i="1"/>
  <c r="C54" i="26" s="1"/>
  <c r="BI58" i="1"/>
  <c r="C58" i="26" s="1"/>
  <c r="BI62" i="1"/>
  <c r="C62" i="26" s="1"/>
  <c r="BI66" i="1"/>
  <c r="BI70" i="1"/>
  <c r="C70" i="26" s="1"/>
  <c r="BI74" i="1"/>
  <c r="C74" i="26" s="1"/>
  <c r="BI78" i="1"/>
  <c r="C78" i="26" s="1"/>
  <c r="BI82" i="1"/>
  <c r="C82" i="26" s="1"/>
  <c r="BI86" i="1"/>
  <c r="C86" i="26" s="1"/>
  <c r="BI90" i="1"/>
  <c r="C90" i="26" s="1"/>
  <c r="BI94" i="1"/>
  <c r="C94" i="26" s="1"/>
  <c r="BI98" i="1"/>
  <c r="C98" i="26" s="1"/>
  <c r="BI102" i="1"/>
  <c r="C102" i="26" s="1"/>
  <c r="BI106" i="1"/>
  <c r="C106" i="26" s="1"/>
  <c r="BI110" i="1"/>
  <c r="C110" i="26" s="1"/>
  <c r="BI114" i="1"/>
  <c r="C114" i="26" s="1"/>
  <c r="BI118" i="1"/>
  <c r="C118" i="26" s="1"/>
  <c r="BI122" i="1"/>
  <c r="C122" i="26" s="1"/>
  <c r="BI126" i="1"/>
  <c r="C126" i="26" s="1"/>
  <c r="BI130" i="1"/>
  <c r="C130" i="26" s="1"/>
  <c r="BI134" i="1"/>
  <c r="C134" i="26" s="1"/>
  <c r="BI138" i="1"/>
  <c r="C138" i="26" s="1"/>
  <c r="BI142" i="1"/>
  <c r="C142" i="26" s="1"/>
  <c r="BI146" i="1"/>
  <c r="C146" i="26" s="1"/>
  <c r="BI150" i="1"/>
  <c r="C150" i="26" s="1"/>
  <c r="BI154" i="1"/>
  <c r="C154" i="26" s="1"/>
  <c r="BI158" i="1"/>
  <c r="BI162" i="1"/>
  <c r="C162" i="26" s="1"/>
  <c r="BI166" i="1"/>
  <c r="C166" i="26" s="1"/>
  <c r="BI170" i="1"/>
  <c r="C170" i="26" s="1"/>
  <c r="BI172" i="1"/>
  <c r="C172" i="26" s="1"/>
  <c r="BI174" i="1"/>
  <c r="C174" i="26" s="1"/>
  <c r="BI176" i="1"/>
  <c r="C176" i="26" s="1"/>
  <c r="BH178" i="1"/>
  <c r="BI181" i="1"/>
  <c r="C181" i="26" s="1"/>
  <c r="BI186" i="1"/>
  <c r="C186" i="26" s="1"/>
  <c r="BI188" i="1"/>
  <c r="BH192" i="1"/>
  <c r="BJ369" i="1"/>
  <c r="BJ357" i="1"/>
  <c r="BJ329" i="1"/>
  <c r="BJ260" i="1"/>
  <c r="BJ246" i="1"/>
  <c r="BJ232" i="1"/>
  <c r="BJ208" i="1"/>
  <c r="BH277" i="1"/>
  <c r="BH291" i="1"/>
  <c r="BH323" i="1"/>
  <c r="BI206" i="1"/>
  <c r="C206" i="26" s="1"/>
  <c r="BI222" i="1"/>
  <c r="C222" i="26" s="1"/>
  <c r="BI239" i="1"/>
  <c r="C239" i="26" s="1"/>
  <c r="BI257" i="1"/>
  <c r="C257" i="26" s="1"/>
  <c r="BJ278" i="1"/>
  <c r="BJ296" i="1"/>
  <c r="BJ321" i="1"/>
  <c r="BJ363" i="1"/>
  <c r="BQ375" i="1"/>
  <c r="F7" i="26"/>
  <c r="BN375" i="1"/>
  <c r="F127" i="26"/>
  <c r="BQ379" i="1"/>
  <c r="BN379" i="1"/>
  <c r="F219" i="26"/>
  <c r="BN382" i="1"/>
  <c r="F251" i="26"/>
  <c r="BQ383" i="1"/>
  <c r="F311" i="26"/>
  <c r="BQ385" i="1"/>
  <c r="BN385" i="1"/>
  <c r="BE378" i="1"/>
  <c r="BE384" i="1"/>
  <c r="BQ376" i="1"/>
  <c r="BQ384" i="1"/>
  <c r="H91" i="26"/>
  <c r="I101" i="26"/>
  <c r="BN381" i="1"/>
  <c r="BN383" i="1"/>
  <c r="I243" i="26"/>
  <c r="I242" i="26"/>
  <c r="I247" i="26"/>
  <c r="I246" i="26"/>
  <c r="BH352" i="1"/>
  <c r="BH356" i="1"/>
  <c r="BH363" i="1"/>
  <c r="BN380" i="1"/>
  <c r="BN384" i="1"/>
  <c r="I235" i="26"/>
  <c r="I234" i="26"/>
  <c r="I251" i="26"/>
  <c r="I250" i="26"/>
  <c r="I162" i="26"/>
  <c r="I166" i="26"/>
  <c r="I170" i="26"/>
  <c r="I174" i="26"/>
  <c r="I178" i="26"/>
  <c r="I182" i="26"/>
  <c r="I186" i="26"/>
  <c r="I190" i="26"/>
  <c r="I194" i="26"/>
  <c r="I198" i="26"/>
  <c r="I202" i="26"/>
  <c r="I206" i="26"/>
  <c r="I210" i="26"/>
  <c r="I320" i="26"/>
  <c r="I160" i="26"/>
  <c r="I164" i="26"/>
  <c r="I168" i="26"/>
  <c r="I172" i="26"/>
  <c r="I176" i="26"/>
  <c r="I180" i="26"/>
  <c r="I184" i="26"/>
  <c r="I188" i="26"/>
  <c r="I192" i="26"/>
  <c r="I196" i="26"/>
  <c r="I200" i="26"/>
  <c r="I204" i="26"/>
  <c r="I208" i="26"/>
  <c r="I211" i="26"/>
  <c r="I214" i="26"/>
  <c r="I159" i="26"/>
  <c r="I163" i="26"/>
  <c r="I167" i="26"/>
  <c r="I171" i="26"/>
  <c r="I175" i="26"/>
  <c r="I179" i="26"/>
  <c r="I183" i="26"/>
  <c r="I187" i="26"/>
  <c r="I191" i="26"/>
  <c r="I195" i="26"/>
  <c r="I199" i="26"/>
  <c r="I203" i="26"/>
  <c r="I207" i="26"/>
  <c r="I212" i="26"/>
  <c r="I216" i="26"/>
  <c r="I221" i="26"/>
  <c r="I348" i="26"/>
  <c r="K348" i="26" s="1"/>
  <c r="I289" i="26"/>
  <c r="I293" i="26"/>
  <c r="I297" i="26"/>
  <c r="I301" i="26"/>
  <c r="I305" i="26"/>
  <c r="I309" i="26"/>
  <c r="K309" i="26" s="1"/>
  <c r="I337" i="26"/>
  <c r="K337" i="26" s="1"/>
  <c r="I349" i="26"/>
  <c r="K349" i="26" s="1"/>
  <c r="R143" i="26"/>
  <c r="I158" i="26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I287" i="26"/>
  <c r="I291" i="26"/>
  <c r="I295" i="26"/>
  <c r="I299" i="26"/>
  <c r="I303" i="26"/>
  <c r="I315" i="26"/>
  <c r="I319" i="26"/>
  <c r="I323" i="26"/>
  <c r="K323" i="26" s="1"/>
  <c r="I331" i="26"/>
  <c r="K331" i="26" s="1"/>
  <c r="I335" i="26"/>
  <c r="K335" i="26" s="1"/>
  <c r="I339" i="26"/>
  <c r="K339" i="26" s="1"/>
  <c r="I343" i="26"/>
  <c r="K343" i="26" s="1"/>
  <c r="I347" i="26"/>
  <c r="K347" i="26" s="1"/>
  <c r="I355" i="26"/>
  <c r="K355" i="26" s="1"/>
  <c r="I359" i="26"/>
  <c r="K359" i="26" s="1"/>
  <c r="I363" i="26"/>
  <c r="K363" i="26" s="1"/>
  <c r="I367" i="26"/>
  <c r="K367" i="26" s="1"/>
  <c r="I371" i="26"/>
  <c r="K371" i="26" s="1"/>
  <c r="I218" i="26"/>
  <c r="I290" i="26"/>
  <c r="I294" i="26"/>
  <c r="I298" i="26"/>
  <c r="I302" i="26"/>
  <c r="I314" i="26"/>
  <c r="I326" i="26"/>
  <c r="K326" i="26" s="1"/>
  <c r="I330" i="26"/>
  <c r="K330" i="26" s="1"/>
  <c r="I334" i="26"/>
  <c r="K334" i="26" s="1"/>
  <c r="I338" i="26"/>
  <c r="K338" i="26" s="1"/>
  <c r="I342" i="26"/>
  <c r="K342" i="26" s="1"/>
  <c r="I346" i="26"/>
  <c r="K346" i="26" s="1"/>
  <c r="I350" i="26"/>
  <c r="K350" i="26" s="1"/>
  <c r="I354" i="26"/>
  <c r="K354" i="26" s="1"/>
  <c r="I358" i="26"/>
  <c r="K358" i="26" s="1"/>
  <c r="I362" i="26"/>
  <c r="K362" i="26" s="1"/>
  <c r="I366" i="26"/>
  <c r="K366" i="26" s="1"/>
  <c r="I370" i="26"/>
  <c r="K370" i="26" s="1"/>
  <c r="K22" i="26"/>
  <c r="K317" i="26"/>
  <c r="K313" i="26"/>
  <c r="BH348" i="1"/>
  <c r="BH201" i="1"/>
  <c r="BH196" i="1"/>
  <c r="BH174" i="1"/>
  <c r="BH10" i="1"/>
  <c r="BH14" i="1"/>
  <c r="BH18" i="1"/>
  <c r="BH22" i="1"/>
  <c r="BH26" i="1"/>
  <c r="BH30" i="1"/>
  <c r="BH34" i="1"/>
  <c r="BH38" i="1"/>
  <c r="BH42" i="1"/>
  <c r="BH46" i="1"/>
  <c r="BH50" i="1"/>
  <c r="BH54" i="1"/>
  <c r="BH58" i="1"/>
  <c r="BH62" i="1"/>
  <c r="BH66" i="1"/>
  <c r="BH70" i="1"/>
  <c r="BH74" i="1"/>
  <c r="BH78" i="1"/>
  <c r="BH82" i="1"/>
  <c r="BH86" i="1"/>
  <c r="BH90" i="1"/>
  <c r="BH94" i="1"/>
  <c r="BH98" i="1"/>
  <c r="BH102" i="1"/>
  <c r="BH106" i="1"/>
  <c r="BH110" i="1"/>
  <c r="BH114" i="1"/>
  <c r="BH118" i="1"/>
  <c r="BH122" i="1"/>
  <c r="BH126" i="1"/>
  <c r="BH130" i="1"/>
  <c r="BH134" i="1"/>
  <c r="BH138" i="1"/>
  <c r="BH142" i="1"/>
  <c r="BH146" i="1"/>
  <c r="BH150" i="1"/>
  <c r="BH154" i="1"/>
  <c r="BH158" i="1"/>
  <c r="BH162" i="1"/>
  <c r="BH166" i="1"/>
  <c r="BH170" i="1"/>
  <c r="BH172" i="1"/>
  <c r="BH198" i="1"/>
  <c r="BH346" i="1"/>
  <c r="BH354" i="1"/>
  <c r="BH358" i="1"/>
  <c r="BH361" i="1"/>
  <c r="BH9" i="1"/>
  <c r="BH13" i="1"/>
  <c r="BH17" i="1"/>
  <c r="BH21" i="1"/>
  <c r="BH25" i="1"/>
  <c r="BH29" i="1"/>
  <c r="BH33" i="1"/>
  <c r="BH37" i="1"/>
  <c r="BH41" i="1"/>
  <c r="BH45" i="1"/>
  <c r="BH49" i="1"/>
  <c r="BH53" i="1"/>
  <c r="BH57" i="1"/>
  <c r="BH61" i="1"/>
  <c r="BH65" i="1"/>
  <c r="BH69" i="1"/>
  <c r="BH73" i="1"/>
  <c r="BH77" i="1"/>
  <c r="BH81" i="1"/>
  <c r="BH85" i="1"/>
  <c r="BH89" i="1"/>
  <c r="BH93" i="1"/>
  <c r="BH97" i="1"/>
  <c r="BH101" i="1"/>
  <c r="BH105" i="1"/>
  <c r="BH109" i="1"/>
  <c r="BH113" i="1"/>
  <c r="BH117" i="1"/>
  <c r="BH176" i="1"/>
  <c r="BH181" i="1"/>
  <c r="BH186" i="1"/>
  <c r="BH188" i="1"/>
  <c r="BH193" i="1"/>
  <c r="BH200" i="1"/>
  <c r="BH202" i="1"/>
  <c r="BH204" i="1"/>
  <c r="BH206" i="1"/>
  <c r="BH208" i="1"/>
  <c r="BH210" i="1"/>
  <c r="BH212" i="1"/>
  <c r="BH214" i="1"/>
  <c r="BH216" i="1"/>
  <c r="BH218" i="1"/>
  <c r="BH220" i="1"/>
  <c r="BH222" i="1"/>
  <c r="BH224" i="1"/>
  <c r="BH226" i="1"/>
  <c r="BH228" i="1"/>
  <c r="BH230" i="1"/>
  <c r="BH232" i="1"/>
  <c r="BH234" i="1"/>
  <c r="BH236" i="1"/>
  <c r="BH238" i="1"/>
  <c r="BH240" i="1"/>
  <c r="BH242" i="1"/>
  <c r="BH244" i="1"/>
  <c r="BH246" i="1"/>
  <c r="BH248" i="1"/>
  <c r="BH250" i="1"/>
  <c r="BH252" i="1"/>
  <c r="BH254" i="1"/>
  <c r="BH256" i="1"/>
  <c r="BH258" i="1"/>
  <c r="BH260" i="1"/>
  <c r="BH262" i="1"/>
  <c r="BH264" i="1"/>
  <c r="BH266" i="1"/>
  <c r="BH268" i="1"/>
  <c r="BH270" i="1"/>
  <c r="BH272" i="1"/>
  <c r="BH274" i="1"/>
  <c r="BH276" i="1"/>
  <c r="BH278" i="1"/>
  <c r="BH280" i="1"/>
  <c r="BH282" i="1"/>
  <c r="BH284" i="1"/>
  <c r="BH286" i="1"/>
  <c r="BH288" i="1"/>
  <c r="BH290" i="1"/>
  <c r="BH292" i="1"/>
  <c r="BH294" i="1"/>
  <c r="BH296" i="1"/>
  <c r="BH298" i="1"/>
  <c r="BH300" i="1"/>
  <c r="BH302" i="1"/>
  <c r="BH304" i="1"/>
  <c r="BH306" i="1"/>
  <c r="BH308" i="1"/>
  <c r="BH310" i="1"/>
  <c r="BH312" i="1"/>
  <c r="BH314" i="1"/>
  <c r="BH316" i="1"/>
  <c r="BH318" i="1"/>
  <c r="BH320" i="1"/>
  <c r="BH322" i="1"/>
  <c r="BH324" i="1"/>
  <c r="BH326" i="1"/>
  <c r="BH328" i="1"/>
  <c r="BH330" i="1"/>
  <c r="BH332" i="1"/>
  <c r="BH334" i="1"/>
  <c r="BH336" i="1"/>
  <c r="BH339" i="1"/>
  <c r="BH121" i="1"/>
  <c r="BH125" i="1"/>
  <c r="BH129" i="1"/>
  <c r="BH133" i="1"/>
  <c r="BH137" i="1"/>
  <c r="BH141" i="1"/>
  <c r="BH145" i="1"/>
  <c r="BH149" i="1"/>
  <c r="BH153" i="1"/>
  <c r="BH157" i="1"/>
  <c r="BH161" i="1"/>
  <c r="BH165" i="1"/>
  <c r="BH169" i="1"/>
  <c r="BH179" i="1"/>
  <c r="BH184" i="1"/>
  <c r="BH189" i="1"/>
  <c r="BH194" i="1"/>
  <c r="BH344" i="1"/>
  <c r="BH366" i="1"/>
  <c r="BH369" i="1"/>
  <c r="BH175" i="1"/>
  <c r="BH191" i="1"/>
  <c r="BH340" i="1"/>
  <c r="BH347" i="1"/>
  <c r="BH350" i="1"/>
  <c r="BH353" i="1"/>
  <c r="BH357" i="1"/>
  <c r="BH370" i="1"/>
  <c r="BI207" i="1"/>
  <c r="C207" i="26" s="1"/>
  <c r="BJ212" i="1"/>
  <c r="BI218" i="1"/>
  <c r="C218" i="26" s="1"/>
  <c r="BI223" i="1"/>
  <c r="C223" i="26" s="1"/>
  <c r="BJ230" i="1"/>
  <c r="BI238" i="1"/>
  <c r="C238" i="26" s="1"/>
  <c r="BJ244" i="1"/>
  <c r="BI252" i="1"/>
  <c r="C252" i="26" s="1"/>
  <c r="BI259" i="1"/>
  <c r="C259" i="26" s="1"/>
  <c r="BI266" i="1"/>
  <c r="C266" i="26" s="1"/>
  <c r="BI273" i="1"/>
  <c r="C273" i="26" s="1"/>
  <c r="BJ280" i="1"/>
  <c r="BI287" i="1"/>
  <c r="C287" i="26" s="1"/>
  <c r="BJ294" i="1"/>
  <c r="BI302" i="1"/>
  <c r="C302" i="26" s="1"/>
  <c r="BI311" i="1"/>
  <c r="BJ325" i="1"/>
  <c r="BJ339" i="1"/>
  <c r="BJ353" i="1"/>
  <c r="BJ367" i="1"/>
  <c r="BH183" i="1"/>
  <c r="BH199" i="1"/>
  <c r="BH338" i="1"/>
  <c r="BH342" i="1"/>
  <c r="BH345" i="1"/>
  <c r="BH355" i="1"/>
  <c r="BH362" i="1"/>
  <c r="BH365" i="1"/>
  <c r="BH371" i="1"/>
  <c r="BI210" i="1"/>
  <c r="C210" i="26" s="1"/>
  <c r="BI215" i="1"/>
  <c r="C215" i="26" s="1"/>
  <c r="BJ220" i="1"/>
  <c r="BI227" i="1"/>
  <c r="C227" i="26" s="1"/>
  <c r="BI234" i="1"/>
  <c r="C234" i="26" s="1"/>
  <c r="BI241" i="1"/>
  <c r="C241" i="26" s="1"/>
  <c r="BJ248" i="1"/>
  <c r="BI255" i="1"/>
  <c r="C255" i="26" s="1"/>
  <c r="BJ262" i="1"/>
  <c r="BI270" i="1"/>
  <c r="C270" i="26" s="1"/>
  <c r="BJ276" i="1"/>
  <c r="BI284" i="1"/>
  <c r="C284" i="26" s="1"/>
  <c r="BI291" i="1"/>
  <c r="C291" i="26" s="1"/>
  <c r="BI298" i="1"/>
  <c r="C298" i="26" s="1"/>
  <c r="BI305" i="1"/>
  <c r="C305" i="26" s="1"/>
  <c r="BI319" i="1"/>
  <c r="C319" i="26" s="1"/>
  <c r="BJ331" i="1"/>
  <c r="BJ361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I370" i="1"/>
  <c r="C370" i="26" s="1"/>
  <c r="C368" i="26"/>
  <c r="BI366" i="1"/>
  <c r="C366" i="26" s="1"/>
  <c r="BI364" i="1"/>
  <c r="C364" i="26" s="1"/>
  <c r="BI362" i="1"/>
  <c r="C362" i="26" s="1"/>
  <c r="BI360" i="1"/>
  <c r="C360" i="26" s="1"/>
  <c r="BI358" i="1"/>
  <c r="C358" i="26" s="1"/>
  <c r="BI356" i="1"/>
  <c r="C356" i="26" s="1"/>
  <c r="BI354" i="1"/>
  <c r="C354" i="26" s="1"/>
  <c r="BI352" i="1"/>
  <c r="C352" i="26" s="1"/>
  <c r="BI350" i="1"/>
  <c r="C350" i="26" s="1"/>
  <c r="BI348" i="1"/>
  <c r="C348" i="26" s="1"/>
  <c r="BI346" i="1"/>
  <c r="C346" i="26" s="1"/>
  <c r="BI344" i="1"/>
  <c r="C344" i="26" s="1"/>
  <c r="BI342" i="1"/>
  <c r="C342" i="26" s="1"/>
  <c r="BI340" i="1"/>
  <c r="C340" i="26" s="1"/>
  <c r="BI338" i="1"/>
  <c r="C338" i="26" s="1"/>
  <c r="BI336" i="1"/>
  <c r="C336" i="26" s="1"/>
  <c r="BI334" i="1"/>
  <c r="C334" i="26" s="1"/>
  <c r="BI332" i="1"/>
  <c r="C332" i="26" s="1"/>
  <c r="BI330" i="1"/>
  <c r="C330" i="26" s="1"/>
  <c r="BI328" i="1"/>
  <c r="C328" i="26" s="1"/>
  <c r="BI326" i="1"/>
  <c r="C326" i="26" s="1"/>
  <c r="BI324" i="1"/>
  <c r="C324" i="26" s="1"/>
  <c r="BI322" i="1"/>
  <c r="C322" i="26" s="1"/>
  <c r="BI320" i="1"/>
  <c r="C320" i="26" s="1"/>
  <c r="BI318" i="1"/>
  <c r="C318" i="26" s="1"/>
  <c r="BI316" i="1"/>
  <c r="C316" i="26" s="1"/>
  <c r="BI314" i="1"/>
  <c r="C314" i="26" s="1"/>
  <c r="BI312" i="1"/>
  <c r="C312" i="26" s="1"/>
  <c r="BI310" i="1"/>
  <c r="C310" i="26" s="1"/>
  <c r="BI308" i="1"/>
  <c r="C308" i="26" s="1"/>
  <c r="BI306" i="1"/>
  <c r="C306" i="26" s="1"/>
  <c r="BI369" i="1"/>
  <c r="C369" i="26" s="1"/>
  <c r="BI365" i="1"/>
  <c r="C365" i="26" s="1"/>
  <c r="BI361" i="1"/>
  <c r="C361" i="26" s="1"/>
  <c r="BI357" i="1"/>
  <c r="C357" i="26" s="1"/>
  <c r="BI353" i="1"/>
  <c r="C353" i="26" s="1"/>
  <c r="BI349" i="1"/>
  <c r="C349" i="26" s="1"/>
  <c r="BI345" i="1"/>
  <c r="C345" i="26" s="1"/>
  <c r="BI341" i="1"/>
  <c r="BI337" i="1"/>
  <c r="C337" i="26" s="1"/>
  <c r="BI333" i="1"/>
  <c r="C333" i="26" s="1"/>
  <c r="BI329" i="1"/>
  <c r="C329" i="26" s="1"/>
  <c r="BI325" i="1"/>
  <c r="C325" i="26" s="1"/>
  <c r="BI321" i="1"/>
  <c r="C321" i="26" s="1"/>
  <c r="BI317" i="1"/>
  <c r="C317" i="26" s="1"/>
  <c r="BI313" i="1"/>
  <c r="C313" i="26" s="1"/>
  <c r="BI309" i="1"/>
  <c r="C309" i="26" s="1"/>
  <c r="BI371" i="1"/>
  <c r="C371" i="26" s="1"/>
  <c r="BI355" i="1"/>
  <c r="C355" i="26" s="1"/>
  <c r="BI339" i="1"/>
  <c r="C339" i="26" s="1"/>
  <c r="BI323" i="1"/>
  <c r="C323" i="26" s="1"/>
  <c r="BI307" i="1"/>
  <c r="C307" i="26" s="1"/>
  <c r="BI304" i="1"/>
  <c r="C304" i="26" s="1"/>
  <c r="BI301" i="1"/>
  <c r="C301" i="26" s="1"/>
  <c r="BI296" i="1"/>
  <c r="C296" i="26" s="1"/>
  <c r="BI293" i="1"/>
  <c r="C293" i="26" s="1"/>
  <c r="BI288" i="1"/>
  <c r="C288" i="26" s="1"/>
  <c r="BI285" i="1"/>
  <c r="C285" i="26" s="1"/>
  <c r="BI280" i="1"/>
  <c r="BI277" i="1"/>
  <c r="C277" i="26" s="1"/>
  <c r="BI272" i="1"/>
  <c r="C272" i="26" s="1"/>
  <c r="BI269" i="1"/>
  <c r="C269" i="26" s="1"/>
  <c r="BI264" i="1"/>
  <c r="C264" i="26" s="1"/>
  <c r="BI261" i="1"/>
  <c r="C261" i="26" s="1"/>
  <c r="BI256" i="1"/>
  <c r="C256" i="26" s="1"/>
  <c r="BI253" i="1"/>
  <c r="C253" i="26" s="1"/>
  <c r="BI248" i="1"/>
  <c r="C248" i="26" s="1"/>
  <c r="BI245" i="1"/>
  <c r="C245" i="26" s="1"/>
  <c r="BI240" i="1"/>
  <c r="C240" i="26" s="1"/>
  <c r="BI237" i="1"/>
  <c r="C237" i="26" s="1"/>
  <c r="BI232" i="1"/>
  <c r="C232" i="26" s="1"/>
  <c r="BI229" i="1"/>
  <c r="C229" i="26" s="1"/>
  <c r="BI224" i="1"/>
  <c r="C224" i="26" s="1"/>
  <c r="BH343" i="1"/>
  <c r="BH351" i="1"/>
  <c r="BH359" i="1"/>
  <c r="BH367" i="1"/>
  <c r="BI205" i="1"/>
  <c r="C205" i="26" s="1"/>
  <c r="BI208" i="1"/>
  <c r="C208" i="26" s="1"/>
  <c r="BJ210" i="1"/>
  <c r="BI213" i="1"/>
  <c r="C213" i="26" s="1"/>
  <c r="BI216" i="1"/>
  <c r="C216" i="26" s="1"/>
  <c r="BJ218" i="1"/>
  <c r="BI221" i="1"/>
  <c r="C221" i="26" s="1"/>
  <c r="BJ224" i="1"/>
  <c r="BI228" i="1"/>
  <c r="C228" i="26" s="1"/>
  <c r="BI231" i="1"/>
  <c r="C231" i="26" s="1"/>
  <c r="BI235" i="1"/>
  <c r="C235" i="26" s="1"/>
  <c r="BJ238" i="1"/>
  <c r="BI242" i="1"/>
  <c r="C242" i="26" s="1"/>
  <c r="BI246" i="1"/>
  <c r="C246" i="26" s="1"/>
  <c r="BI249" i="1"/>
  <c r="C249" i="26" s="1"/>
  <c r="BJ252" i="1"/>
  <c r="BJ256" i="1"/>
  <c r="BI260" i="1"/>
  <c r="C260" i="26" s="1"/>
  <c r="BI263" i="1"/>
  <c r="C263" i="26" s="1"/>
  <c r="BI267" i="1"/>
  <c r="C267" i="26" s="1"/>
  <c r="BJ270" i="1"/>
  <c r="BI274" i="1"/>
  <c r="C274" i="26" s="1"/>
  <c r="BI278" i="1"/>
  <c r="C278" i="26" s="1"/>
  <c r="BI281" i="1"/>
  <c r="C281" i="26" s="1"/>
  <c r="BJ284" i="1"/>
  <c r="BJ288" i="1"/>
  <c r="BI292" i="1"/>
  <c r="C292" i="26" s="1"/>
  <c r="BI295" i="1"/>
  <c r="C295" i="26" s="1"/>
  <c r="BI299" i="1"/>
  <c r="C299" i="26" s="1"/>
  <c r="BJ302" i="1"/>
  <c r="BJ306" i="1"/>
  <c r="BJ313" i="1"/>
  <c r="BJ319" i="1"/>
  <c r="BI327" i="1"/>
  <c r="C327" i="26" s="1"/>
  <c r="BI335" i="1"/>
  <c r="C335" i="26" s="1"/>
  <c r="BJ341" i="1"/>
  <c r="BJ347" i="1"/>
  <c r="BJ355" i="1"/>
  <c r="BI363" i="1"/>
  <c r="C363" i="26" s="1"/>
  <c r="BJ370" i="1"/>
  <c r="BJ368" i="1"/>
  <c r="BJ366" i="1"/>
  <c r="BJ364" i="1"/>
  <c r="BJ362" i="1"/>
  <c r="BJ360" i="1"/>
  <c r="BJ358" i="1"/>
  <c r="BJ356" i="1"/>
  <c r="BJ354" i="1"/>
  <c r="BJ352" i="1"/>
  <c r="BJ350" i="1"/>
  <c r="BJ348" i="1"/>
  <c r="BJ346" i="1"/>
  <c r="BJ344" i="1"/>
  <c r="BJ342" i="1"/>
  <c r="BJ340" i="1"/>
  <c r="BJ338" i="1"/>
  <c r="BJ336" i="1"/>
  <c r="BJ334" i="1"/>
  <c r="BJ332" i="1"/>
  <c r="BJ330" i="1"/>
  <c r="BJ328" i="1"/>
  <c r="BJ326" i="1"/>
  <c r="BJ324" i="1"/>
  <c r="BJ322" i="1"/>
  <c r="BJ320" i="1"/>
  <c r="BJ318" i="1"/>
  <c r="BJ316" i="1"/>
  <c r="BJ314" i="1"/>
  <c r="BJ312" i="1"/>
  <c r="BJ310" i="1"/>
  <c r="BJ308" i="1"/>
  <c r="BJ305" i="1"/>
  <c r="BJ303" i="1"/>
  <c r="BJ301" i="1"/>
  <c r="BJ299" i="1"/>
  <c r="BJ297" i="1"/>
  <c r="BJ295" i="1"/>
  <c r="BJ293" i="1"/>
  <c r="BJ291" i="1"/>
  <c r="BJ289" i="1"/>
  <c r="BJ287" i="1"/>
  <c r="BJ285" i="1"/>
  <c r="BJ283" i="1"/>
  <c r="BJ281" i="1"/>
  <c r="BJ279" i="1"/>
  <c r="BJ277" i="1"/>
  <c r="BJ275" i="1"/>
  <c r="BJ273" i="1"/>
  <c r="BJ271" i="1"/>
  <c r="BJ269" i="1"/>
  <c r="BJ267" i="1"/>
  <c r="BJ265" i="1"/>
  <c r="BJ263" i="1"/>
  <c r="BJ261" i="1"/>
  <c r="BJ259" i="1"/>
  <c r="BJ257" i="1"/>
  <c r="BJ255" i="1"/>
  <c r="BJ253" i="1"/>
  <c r="BJ251" i="1"/>
  <c r="BJ249" i="1"/>
  <c r="BJ247" i="1"/>
  <c r="BJ245" i="1"/>
  <c r="BJ243" i="1"/>
  <c r="BJ241" i="1"/>
  <c r="BJ239" i="1"/>
  <c r="BJ237" i="1"/>
  <c r="BJ235" i="1"/>
  <c r="BJ233" i="1"/>
  <c r="BJ231" i="1"/>
  <c r="BJ229" i="1"/>
  <c r="BJ227" i="1"/>
  <c r="BJ225" i="1"/>
  <c r="BJ223" i="1"/>
  <c r="BJ365" i="1"/>
  <c r="BJ359" i="1"/>
  <c r="BJ349" i="1"/>
  <c r="BJ343" i="1"/>
  <c r="BJ333" i="1"/>
  <c r="BJ327" i="1"/>
  <c r="BJ317" i="1"/>
  <c r="BJ311" i="1"/>
  <c r="BJ298" i="1"/>
  <c r="BJ290" i="1"/>
  <c r="BJ282" i="1"/>
  <c r="BJ274" i="1"/>
  <c r="BJ266" i="1"/>
  <c r="BJ258" i="1"/>
  <c r="BJ250" i="1"/>
  <c r="BJ242" i="1"/>
  <c r="BJ234" i="1"/>
  <c r="BJ226" i="1"/>
  <c r="BJ221" i="1"/>
  <c r="BJ219" i="1"/>
  <c r="BJ217" i="1"/>
  <c r="BJ215" i="1"/>
  <c r="BJ213" i="1"/>
  <c r="BJ211" i="1"/>
  <c r="BJ209" i="1"/>
  <c r="BJ207" i="1"/>
  <c r="BJ205" i="1"/>
  <c r="BJ206" i="1"/>
  <c r="BI209" i="1"/>
  <c r="C209" i="26" s="1"/>
  <c r="BI212" i="1"/>
  <c r="C212" i="26" s="1"/>
  <c r="BJ214" i="1"/>
  <c r="BI217" i="1"/>
  <c r="C217" i="26" s="1"/>
  <c r="BI220" i="1"/>
  <c r="C220" i="26" s="1"/>
  <c r="BJ222" i="1"/>
  <c r="BI226" i="1"/>
  <c r="C226" i="26" s="1"/>
  <c r="BI230" i="1"/>
  <c r="C230" i="26" s="1"/>
  <c r="BI233" i="1"/>
  <c r="C233" i="26" s="1"/>
  <c r="BJ236" i="1"/>
  <c r="BJ240" i="1"/>
  <c r="BI244" i="1"/>
  <c r="C244" i="26" s="1"/>
  <c r="BI247" i="1"/>
  <c r="C247" i="26" s="1"/>
  <c r="BI251" i="1"/>
  <c r="C251" i="26" s="1"/>
  <c r="BJ254" i="1"/>
  <c r="BI258" i="1"/>
  <c r="C258" i="26" s="1"/>
  <c r="BI262" i="1"/>
  <c r="C262" i="26" s="1"/>
  <c r="BI265" i="1"/>
  <c r="C265" i="26" s="1"/>
  <c r="BJ268" i="1"/>
  <c r="BJ272" i="1"/>
  <c r="BI276" i="1"/>
  <c r="C276" i="26" s="1"/>
  <c r="BI279" i="1"/>
  <c r="C279" i="26" s="1"/>
  <c r="BI283" i="1"/>
  <c r="C283" i="26" s="1"/>
  <c r="BJ286" i="1"/>
  <c r="BI290" i="1"/>
  <c r="C290" i="26" s="1"/>
  <c r="BI294" i="1"/>
  <c r="C294" i="26" s="1"/>
  <c r="BI297" i="1"/>
  <c r="C297" i="26" s="1"/>
  <c r="BJ300" i="1"/>
  <c r="BJ304" i="1"/>
  <c r="BJ309" i="1"/>
  <c r="BJ315" i="1"/>
  <c r="BJ323" i="1"/>
  <c r="BI331" i="1"/>
  <c r="C331" i="26" s="1"/>
  <c r="BJ337" i="1"/>
  <c r="BJ345" i="1"/>
  <c r="BJ351" i="1"/>
  <c r="BI359" i="1"/>
  <c r="C359" i="26" s="1"/>
  <c r="BI367" i="1"/>
  <c r="C367" i="26" s="1"/>
  <c r="I311" i="26" l="1"/>
  <c r="K311" i="26" s="1"/>
  <c r="I66" i="26"/>
  <c r="K66" i="26" s="1"/>
  <c r="BP395" i="1"/>
  <c r="BP388" i="1"/>
  <c r="BP381" i="1"/>
  <c r="BE390" i="1"/>
  <c r="BJ399" i="1"/>
  <c r="BI398" i="1"/>
  <c r="BI389" i="1"/>
  <c r="BJ393" i="1"/>
  <c r="BP391" i="1"/>
  <c r="BI390" i="1"/>
  <c r="BP392" i="1"/>
  <c r="BP389" i="1"/>
  <c r="BI397" i="1"/>
  <c r="BJ394" i="1"/>
  <c r="BI393" i="1"/>
  <c r="BI388" i="1"/>
  <c r="BJ389" i="1"/>
  <c r="BJ392" i="1"/>
  <c r="BP386" i="1"/>
  <c r="BJ391" i="1"/>
  <c r="BP385" i="1"/>
  <c r="BP383" i="1"/>
  <c r="BP396" i="1"/>
  <c r="BP382" i="1"/>
  <c r="BP394" i="1"/>
  <c r="BP379" i="1"/>
  <c r="BP380" i="1"/>
  <c r="BP393" i="1"/>
  <c r="BJ396" i="1"/>
  <c r="BJ397" i="1"/>
  <c r="BI394" i="1"/>
  <c r="BI396" i="1"/>
  <c r="BP398" i="1"/>
  <c r="BP399" i="1"/>
  <c r="BI395" i="1"/>
  <c r="BP378" i="1"/>
  <c r="BJ388" i="1"/>
  <c r="BP397" i="1"/>
  <c r="BI399" i="1"/>
  <c r="BJ395" i="1"/>
  <c r="BJ398" i="1"/>
  <c r="BI392" i="1"/>
  <c r="BJ390" i="1"/>
  <c r="BP376" i="1"/>
  <c r="BP375" i="1"/>
  <c r="BI391" i="1"/>
  <c r="BP390" i="1"/>
  <c r="BP384" i="1"/>
  <c r="BP377" i="1"/>
  <c r="I96" i="26"/>
  <c r="K96" i="26" s="1"/>
  <c r="I333" i="26"/>
  <c r="K333" i="26" s="1"/>
  <c r="BJ379" i="1"/>
  <c r="I84" i="26"/>
  <c r="K84" i="26" s="1"/>
  <c r="I369" i="26"/>
  <c r="K369" i="26" s="1"/>
  <c r="I310" i="26"/>
  <c r="K310" i="26" s="1"/>
  <c r="I351" i="26"/>
  <c r="K351" i="26" s="1"/>
  <c r="I107" i="26"/>
  <c r="BJ380" i="1"/>
  <c r="I7" i="26"/>
  <c r="K7" i="26" s="1"/>
  <c r="I306" i="26"/>
  <c r="I88" i="26"/>
  <c r="K88" i="26" s="1"/>
  <c r="I103" i="26"/>
  <c r="I120" i="26"/>
  <c r="K120" i="26" s="1"/>
  <c r="I51" i="26"/>
  <c r="K51" i="26" s="1"/>
  <c r="I61" i="26"/>
  <c r="K61" i="26" s="1"/>
  <c r="I74" i="26"/>
  <c r="K74" i="26" s="1"/>
  <c r="I327" i="26"/>
  <c r="K327" i="26" s="1"/>
  <c r="BJ378" i="1"/>
  <c r="BJ377" i="1"/>
  <c r="BJ376" i="1"/>
  <c r="BJ375" i="1"/>
  <c r="I127" i="26"/>
  <c r="I91" i="26"/>
  <c r="K91" i="26" s="1"/>
  <c r="I92" i="26"/>
  <c r="K92" i="26" s="1"/>
  <c r="C7" i="26"/>
  <c r="BI375" i="1"/>
  <c r="BJ384" i="1"/>
  <c r="I65" i="26"/>
  <c r="K65" i="26" s="1"/>
  <c r="BJ382" i="1"/>
  <c r="BJ385" i="1"/>
  <c r="C250" i="26"/>
  <c r="BI383" i="1"/>
  <c r="I78" i="26"/>
  <c r="K78" i="26" s="1"/>
  <c r="I325" i="26"/>
  <c r="K325" i="26" s="1"/>
  <c r="H47" i="26"/>
  <c r="I97" i="26"/>
  <c r="K97" i="26" s="1"/>
  <c r="I54" i="26"/>
  <c r="K54" i="26" s="1"/>
  <c r="I19" i="26"/>
  <c r="K19" i="26" s="1"/>
  <c r="I69" i="26"/>
  <c r="K69" i="26" s="1"/>
  <c r="BI376" i="1"/>
  <c r="C38" i="26"/>
  <c r="C127" i="26"/>
  <c r="BI379" i="1"/>
  <c r="BJ386" i="1"/>
  <c r="C311" i="26"/>
  <c r="BI385" i="1"/>
  <c r="I322" i="26"/>
  <c r="K322" i="26" s="1"/>
  <c r="C158" i="26"/>
  <c r="BI380" i="1"/>
  <c r="C66" i="26"/>
  <c r="BI377" i="1"/>
  <c r="BJ383" i="1"/>
  <c r="C280" i="26"/>
  <c r="BI384" i="1"/>
  <c r="C341" i="26"/>
  <c r="BI386" i="1"/>
  <c r="BJ381" i="1"/>
  <c r="I307" i="26"/>
  <c r="K307" i="26" s="1"/>
  <c r="C188" i="26"/>
  <c r="BI381" i="1"/>
  <c r="C219" i="26"/>
  <c r="BI382" i="1"/>
  <c r="I317" i="26"/>
  <c r="I59" i="26"/>
  <c r="K59" i="26" s="1"/>
  <c r="I58" i="26"/>
  <c r="K58" i="26" s="1"/>
  <c r="BI378" i="1"/>
  <c r="I38" i="26"/>
  <c r="K38" i="26" s="1"/>
  <c r="K384" i="26" l="1"/>
  <c r="K385" i="26"/>
  <c r="K386" i="26"/>
  <c r="K377" i="26"/>
  <c r="N7" i="26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K375" i="26"/>
  <c r="K378" i="26"/>
  <c r="P307" i="26"/>
  <c r="Q307" i="26" s="1"/>
  <c r="R307" i="26" s="1"/>
  <c r="P7" i="26"/>
  <c r="Q7" i="26" s="1"/>
  <c r="R7" i="26" s="1"/>
  <c r="P8" i="26" s="1"/>
  <c r="Q8" i="26" s="1"/>
  <c r="R8" i="26" s="1"/>
  <c r="I47" i="26"/>
  <c r="K47" i="26" s="1"/>
  <c r="I48" i="26"/>
  <c r="K48" i="26" s="1"/>
  <c r="S7" i="26" l="1"/>
  <c r="T7" i="26" s="1"/>
  <c r="K376" i="26"/>
  <c r="K388" i="26" s="1"/>
  <c r="S307" i="26"/>
  <c r="T307" i="26" s="1"/>
  <c r="P308" i="26"/>
  <c r="Q308" i="26" s="1"/>
  <c r="R308" i="26" s="1"/>
  <c r="N47" i="26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S8" i="26"/>
  <c r="T8" i="26" s="1"/>
  <c r="P9" i="26"/>
  <c r="Q9" i="26" s="1"/>
  <c r="R9" i="26" s="1"/>
  <c r="S308" i="26" l="1"/>
  <c r="T308" i="26" s="1"/>
  <c r="P309" i="26"/>
  <c r="Q309" i="26" s="1"/>
  <c r="R309" i="26" s="1"/>
  <c r="S9" i="26"/>
  <c r="T9" i="26" s="1"/>
  <c r="P10" i="26"/>
  <c r="Q10" i="26" s="1"/>
  <c r="R10" i="26" s="1"/>
  <c r="S309" i="26" l="1"/>
  <c r="T309" i="26" s="1"/>
  <c r="P310" i="26"/>
  <c r="Q310" i="26" s="1"/>
  <c r="R310" i="26" s="1"/>
  <c r="S10" i="26"/>
  <c r="T10" i="26" s="1"/>
  <c r="P11" i="26"/>
  <c r="Q11" i="26" s="1"/>
  <c r="R11" i="26" s="1"/>
  <c r="P311" i="26" l="1"/>
  <c r="Q311" i="26" s="1"/>
  <c r="R311" i="26" s="1"/>
  <c r="S310" i="26"/>
  <c r="T310" i="26" s="1"/>
  <c r="P12" i="26"/>
  <c r="Q12" i="26" s="1"/>
  <c r="R12" i="26" s="1"/>
  <c r="S11" i="26"/>
  <c r="T11" i="26" s="1"/>
  <c r="P312" i="26" l="1"/>
  <c r="Q312" i="26" s="1"/>
  <c r="R312" i="26" s="1"/>
  <c r="S311" i="26"/>
  <c r="T311" i="26" s="1"/>
  <c r="S12" i="26"/>
  <c r="T12" i="26" s="1"/>
  <c r="P13" i="26"/>
  <c r="Q13" i="26" s="1"/>
  <c r="R13" i="26" s="1"/>
  <c r="P313" i="26" l="1"/>
  <c r="Q313" i="26" s="1"/>
  <c r="R313" i="26" s="1"/>
  <c r="S312" i="26"/>
  <c r="T312" i="26" s="1"/>
  <c r="S13" i="26"/>
  <c r="T13" i="26" s="1"/>
  <c r="P14" i="26"/>
  <c r="Q14" i="26" s="1"/>
  <c r="R14" i="26" s="1"/>
  <c r="P314" i="26" l="1"/>
  <c r="Q314" i="26" s="1"/>
  <c r="R314" i="26" s="1"/>
  <c r="S313" i="26"/>
  <c r="T313" i="26" s="1"/>
  <c r="S14" i="26"/>
  <c r="T14" i="26" s="1"/>
  <c r="P15" i="26"/>
  <c r="Q15" i="26" s="1"/>
  <c r="R15" i="26" s="1"/>
  <c r="P315" i="26" l="1"/>
  <c r="Q315" i="26" s="1"/>
  <c r="R315" i="26" s="1"/>
  <c r="S314" i="26"/>
  <c r="T314" i="26" s="1"/>
  <c r="P16" i="26"/>
  <c r="Q16" i="26" s="1"/>
  <c r="R16" i="26" s="1"/>
  <c r="S15" i="26"/>
  <c r="T15" i="26" s="1"/>
  <c r="P316" i="26" l="1"/>
  <c r="Q316" i="26" s="1"/>
  <c r="R316" i="26" s="1"/>
  <c r="S315" i="26"/>
  <c r="T315" i="26" s="1"/>
  <c r="S16" i="26"/>
  <c r="T16" i="26" s="1"/>
  <c r="P17" i="26"/>
  <c r="Q17" i="26" s="1"/>
  <c r="R17" i="26" s="1"/>
  <c r="P317" i="26" l="1"/>
  <c r="Q317" i="26" s="1"/>
  <c r="R317" i="26" s="1"/>
  <c r="S316" i="26"/>
  <c r="T316" i="26" s="1"/>
  <c r="S17" i="26"/>
  <c r="T17" i="26" s="1"/>
  <c r="P18" i="26"/>
  <c r="Q18" i="26" s="1"/>
  <c r="R18" i="26" s="1"/>
  <c r="P318" i="26" l="1"/>
  <c r="Q318" i="26" s="1"/>
  <c r="R318" i="26" s="1"/>
  <c r="S317" i="26"/>
  <c r="T317" i="26" s="1"/>
  <c r="S18" i="26"/>
  <c r="T18" i="26" s="1"/>
  <c r="P19" i="26"/>
  <c r="Q19" i="26" s="1"/>
  <c r="R19" i="26" s="1"/>
  <c r="P319" i="26" l="1"/>
  <c r="Q319" i="26" s="1"/>
  <c r="R319" i="26" s="1"/>
  <c r="S318" i="26"/>
  <c r="T318" i="26" s="1"/>
  <c r="P20" i="26"/>
  <c r="Q20" i="26" s="1"/>
  <c r="R20" i="26" s="1"/>
  <c r="S19" i="26"/>
  <c r="T19" i="26" s="1"/>
  <c r="S319" i="26" l="1"/>
  <c r="T319" i="26" s="1"/>
  <c r="P320" i="26"/>
  <c r="Q320" i="26" s="1"/>
  <c r="R320" i="26" s="1"/>
  <c r="S20" i="26"/>
  <c r="T20" i="26" s="1"/>
  <c r="P21" i="26"/>
  <c r="Q21" i="26" s="1"/>
  <c r="R21" i="26" s="1"/>
  <c r="P321" i="26" l="1"/>
  <c r="Q321" i="26" s="1"/>
  <c r="R321" i="26" s="1"/>
  <c r="S320" i="26"/>
  <c r="T320" i="26" s="1"/>
  <c r="S21" i="26"/>
  <c r="T21" i="26" s="1"/>
  <c r="P22" i="26"/>
  <c r="Q22" i="26" s="1"/>
  <c r="R22" i="26" s="1"/>
  <c r="P322" i="26" l="1"/>
  <c r="Q322" i="26" s="1"/>
  <c r="R322" i="26" s="1"/>
  <c r="S321" i="26"/>
  <c r="T321" i="26" s="1"/>
  <c r="S22" i="26"/>
  <c r="T22" i="26" s="1"/>
  <c r="P23" i="26"/>
  <c r="Q23" i="26" s="1"/>
  <c r="R23" i="26" s="1"/>
  <c r="P323" i="26" l="1"/>
  <c r="Q323" i="26" s="1"/>
  <c r="R323" i="26" s="1"/>
  <c r="S322" i="26"/>
  <c r="T322" i="26" s="1"/>
  <c r="P24" i="26"/>
  <c r="Q24" i="26" s="1"/>
  <c r="R24" i="26" s="1"/>
  <c r="S23" i="26"/>
  <c r="T23" i="26" s="1"/>
  <c r="S323" i="26" l="1"/>
  <c r="T323" i="26" s="1"/>
  <c r="P324" i="26"/>
  <c r="Q324" i="26" s="1"/>
  <c r="R324" i="26" s="1"/>
  <c r="S24" i="26"/>
  <c r="T24" i="26" s="1"/>
  <c r="P25" i="26"/>
  <c r="Q25" i="26" s="1"/>
  <c r="R25" i="26" s="1"/>
  <c r="S324" i="26" l="1"/>
  <c r="T324" i="26" s="1"/>
  <c r="P325" i="26"/>
  <c r="Q325" i="26" s="1"/>
  <c r="R325" i="26" s="1"/>
  <c r="S25" i="26"/>
  <c r="T25" i="26" s="1"/>
  <c r="P26" i="26"/>
  <c r="Q26" i="26" s="1"/>
  <c r="R26" i="26" s="1"/>
  <c r="P326" i="26" l="1"/>
  <c r="Q326" i="26" s="1"/>
  <c r="R326" i="26" s="1"/>
  <c r="S325" i="26"/>
  <c r="T325" i="26" s="1"/>
  <c r="S26" i="26"/>
  <c r="T26" i="26" s="1"/>
  <c r="P27" i="26"/>
  <c r="Q27" i="26" s="1"/>
  <c r="R27" i="26" s="1"/>
  <c r="S326" i="26" l="1"/>
  <c r="T326" i="26" s="1"/>
  <c r="P327" i="26"/>
  <c r="Q327" i="26" s="1"/>
  <c r="R327" i="26" s="1"/>
  <c r="P28" i="26"/>
  <c r="Q28" i="26" s="1"/>
  <c r="R28" i="26" s="1"/>
  <c r="S27" i="26"/>
  <c r="T27" i="26" s="1"/>
  <c r="S327" i="26" l="1"/>
  <c r="T327" i="26" s="1"/>
  <c r="P328" i="26"/>
  <c r="Q328" i="26" s="1"/>
  <c r="R328" i="26" s="1"/>
  <c r="S28" i="26"/>
  <c r="T28" i="26" s="1"/>
  <c r="P29" i="26"/>
  <c r="Q29" i="26" s="1"/>
  <c r="R29" i="26" s="1"/>
  <c r="P329" i="26" l="1"/>
  <c r="Q329" i="26" s="1"/>
  <c r="R329" i="26" s="1"/>
  <c r="S328" i="26"/>
  <c r="T328" i="26" s="1"/>
  <c r="S29" i="26"/>
  <c r="T29" i="26" s="1"/>
  <c r="P30" i="26"/>
  <c r="Q30" i="26" s="1"/>
  <c r="R30" i="26" s="1"/>
  <c r="P330" i="26" l="1"/>
  <c r="Q330" i="26" s="1"/>
  <c r="R330" i="26" s="1"/>
  <c r="S329" i="26"/>
  <c r="T329" i="26" s="1"/>
  <c r="S30" i="26"/>
  <c r="T30" i="26" s="1"/>
  <c r="P31" i="26"/>
  <c r="Q31" i="26" s="1"/>
  <c r="R31" i="26" s="1"/>
  <c r="S330" i="26" l="1"/>
  <c r="T330" i="26" s="1"/>
  <c r="P331" i="26"/>
  <c r="Q331" i="26" s="1"/>
  <c r="R331" i="26" s="1"/>
  <c r="P32" i="26"/>
  <c r="Q32" i="26" s="1"/>
  <c r="R32" i="26" s="1"/>
  <c r="S31" i="26"/>
  <c r="T31" i="26" s="1"/>
  <c r="S331" i="26" l="1"/>
  <c r="T331" i="26" s="1"/>
  <c r="P332" i="26"/>
  <c r="Q332" i="26" s="1"/>
  <c r="R332" i="26" s="1"/>
  <c r="S32" i="26"/>
  <c r="T32" i="26" s="1"/>
  <c r="P33" i="26"/>
  <c r="Q33" i="26" s="1"/>
  <c r="R33" i="26" s="1"/>
  <c r="S332" i="26" l="1"/>
  <c r="T332" i="26" s="1"/>
  <c r="P333" i="26"/>
  <c r="Q333" i="26" s="1"/>
  <c r="R333" i="26" s="1"/>
  <c r="S33" i="26"/>
  <c r="T33" i="26" s="1"/>
  <c r="P34" i="26"/>
  <c r="Q34" i="26" s="1"/>
  <c r="R34" i="26" s="1"/>
  <c r="P334" i="26" l="1"/>
  <c r="Q334" i="26" s="1"/>
  <c r="R334" i="26" s="1"/>
  <c r="S333" i="26"/>
  <c r="T333" i="26" s="1"/>
  <c r="S34" i="26"/>
  <c r="T34" i="26" s="1"/>
  <c r="P35" i="26"/>
  <c r="Q35" i="26" s="1"/>
  <c r="R35" i="26" s="1"/>
  <c r="S334" i="26" l="1"/>
  <c r="T334" i="26" s="1"/>
  <c r="P335" i="26"/>
  <c r="Q335" i="26" s="1"/>
  <c r="R335" i="26" s="1"/>
  <c r="P36" i="26"/>
  <c r="Q36" i="26" s="1"/>
  <c r="R36" i="26" s="1"/>
  <c r="S35" i="26"/>
  <c r="T35" i="26" s="1"/>
  <c r="P336" i="26" l="1"/>
  <c r="Q336" i="26" s="1"/>
  <c r="R336" i="26" s="1"/>
  <c r="S335" i="26"/>
  <c r="T335" i="26" s="1"/>
  <c r="S36" i="26"/>
  <c r="T36" i="26" s="1"/>
  <c r="P37" i="26"/>
  <c r="Q37" i="26" s="1"/>
  <c r="R37" i="26" s="1"/>
  <c r="S336" i="26" l="1"/>
  <c r="T336" i="26" s="1"/>
  <c r="P337" i="26"/>
  <c r="Q337" i="26" s="1"/>
  <c r="R337" i="26" s="1"/>
  <c r="S37" i="26"/>
  <c r="T37" i="26" s="1"/>
  <c r="P38" i="26"/>
  <c r="Q38" i="26" s="1"/>
  <c r="R38" i="26" s="1"/>
  <c r="S337" i="26" l="1"/>
  <c r="T337" i="26" s="1"/>
  <c r="P338" i="26"/>
  <c r="Q338" i="26" s="1"/>
  <c r="R338" i="26" s="1"/>
  <c r="S38" i="26"/>
  <c r="T38" i="26" s="1"/>
  <c r="P39" i="26"/>
  <c r="Q39" i="26" s="1"/>
  <c r="R39" i="26" s="1"/>
  <c r="P339" i="26" l="1"/>
  <c r="Q339" i="26" s="1"/>
  <c r="R339" i="26" s="1"/>
  <c r="S338" i="26"/>
  <c r="T338" i="26" s="1"/>
  <c r="P40" i="26"/>
  <c r="Q40" i="26" s="1"/>
  <c r="R40" i="26" s="1"/>
  <c r="S39" i="26"/>
  <c r="T39" i="26" s="1"/>
  <c r="P340" i="26" l="1"/>
  <c r="Q340" i="26" s="1"/>
  <c r="R340" i="26" s="1"/>
  <c r="S339" i="26"/>
  <c r="T339" i="26" s="1"/>
  <c r="S40" i="26"/>
  <c r="T40" i="26" s="1"/>
  <c r="P41" i="26"/>
  <c r="Q41" i="26" s="1"/>
  <c r="R41" i="26" s="1"/>
  <c r="S340" i="26" l="1"/>
  <c r="T340" i="26" s="1"/>
  <c r="P341" i="26"/>
  <c r="Q341" i="26" s="1"/>
  <c r="R341" i="26" s="1"/>
  <c r="S41" i="26"/>
  <c r="T41" i="26" s="1"/>
  <c r="P42" i="26"/>
  <c r="Q42" i="26" s="1"/>
  <c r="R42" i="26" s="1"/>
  <c r="P342" i="26" l="1"/>
  <c r="Q342" i="26" s="1"/>
  <c r="R342" i="26" s="1"/>
  <c r="S341" i="26"/>
  <c r="T341" i="26" s="1"/>
  <c r="S42" i="26"/>
  <c r="T42" i="26" s="1"/>
  <c r="P43" i="26"/>
  <c r="Q43" i="26" s="1"/>
  <c r="R43" i="26" s="1"/>
  <c r="P343" i="26" l="1"/>
  <c r="Q343" i="26" s="1"/>
  <c r="R343" i="26" s="1"/>
  <c r="S342" i="26"/>
  <c r="T342" i="26" s="1"/>
  <c r="P44" i="26"/>
  <c r="Q44" i="26" s="1"/>
  <c r="R44" i="26" s="1"/>
  <c r="S43" i="26"/>
  <c r="T43" i="26" s="1"/>
  <c r="P344" i="26" l="1"/>
  <c r="Q344" i="26" s="1"/>
  <c r="R344" i="26" s="1"/>
  <c r="S343" i="26"/>
  <c r="T343" i="26" s="1"/>
  <c r="S44" i="26"/>
  <c r="T44" i="26" s="1"/>
  <c r="P45" i="26"/>
  <c r="Q45" i="26" s="1"/>
  <c r="R45" i="26" s="1"/>
  <c r="P345" i="26" l="1"/>
  <c r="Q345" i="26" s="1"/>
  <c r="R345" i="26" s="1"/>
  <c r="S344" i="26"/>
  <c r="T344" i="26" s="1"/>
  <c r="S45" i="26"/>
  <c r="T45" i="26" s="1"/>
  <c r="P46" i="26"/>
  <c r="Q46" i="26" s="1"/>
  <c r="R46" i="26" s="1"/>
  <c r="S345" i="26" l="1"/>
  <c r="T345" i="26" s="1"/>
  <c r="P346" i="26"/>
  <c r="Q346" i="26" s="1"/>
  <c r="R346" i="26" s="1"/>
  <c r="S46" i="26"/>
  <c r="T46" i="26" s="1"/>
  <c r="P47" i="26"/>
  <c r="Q47" i="26" s="1"/>
  <c r="R47" i="26" s="1"/>
  <c r="P347" i="26" l="1"/>
  <c r="Q347" i="26" s="1"/>
  <c r="R347" i="26" s="1"/>
  <c r="S346" i="26"/>
  <c r="T346" i="26" s="1"/>
  <c r="P48" i="26"/>
  <c r="Q48" i="26" s="1"/>
  <c r="R48" i="26" s="1"/>
  <c r="S47" i="26"/>
  <c r="T47" i="26" s="1"/>
  <c r="P348" i="26" l="1"/>
  <c r="Q348" i="26" s="1"/>
  <c r="R348" i="26" s="1"/>
  <c r="S347" i="26"/>
  <c r="T347" i="26" s="1"/>
  <c r="S48" i="26"/>
  <c r="T48" i="26" s="1"/>
  <c r="P49" i="26"/>
  <c r="Q49" i="26" s="1"/>
  <c r="R49" i="26" s="1"/>
  <c r="S348" i="26" l="1"/>
  <c r="T348" i="26" s="1"/>
  <c r="P349" i="26"/>
  <c r="Q349" i="26" s="1"/>
  <c r="R349" i="26" s="1"/>
  <c r="S49" i="26"/>
  <c r="T49" i="26" s="1"/>
  <c r="P50" i="26"/>
  <c r="Q50" i="26" s="1"/>
  <c r="R50" i="26" s="1"/>
  <c r="S349" i="26" l="1"/>
  <c r="T349" i="26" s="1"/>
  <c r="P350" i="26"/>
  <c r="Q350" i="26" s="1"/>
  <c r="R350" i="26" s="1"/>
  <c r="S50" i="26"/>
  <c r="T50" i="26" s="1"/>
  <c r="P51" i="26"/>
  <c r="Q51" i="26" s="1"/>
  <c r="R51" i="26" s="1"/>
  <c r="S350" i="26" l="1"/>
  <c r="T350" i="26" s="1"/>
  <c r="P351" i="26"/>
  <c r="Q351" i="26" s="1"/>
  <c r="R351" i="26" s="1"/>
  <c r="P52" i="26"/>
  <c r="Q52" i="26" s="1"/>
  <c r="R52" i="26" s="1"/>
  <c r="S51" i="26"/>
  <c r="T51" i="26" s="1"/>
  <c r="P352" i="26" l="1"/>
  <c r="Q352" i="26" s="1"/>
  <c r="R352" i="26" s="1"/>
  <c r="S351" i="26"/>
  <c r="T351" i="26" s="1"/>
  <c r="S52" i="26"/>
  <c r="T52" i="26" s="1"/>
  <c r="P53" i="26"/>
  <c r="Q53" i="26" s="1"/>
  <c r="R53" i="26" s="1"/>
  <c r="P353" i="26" l="1"/>
  <c r="Q353" i="26" s="1"/>
  <c r="R353" i="26" s="1"/>
  <c r="S352" i="26"/>
  <c r="T352" i="26" s="1"/>
  <c r="S53" i="26"/>
  <c r="T53" i="26" s="1"/>
  <c r="P54" i="26"/>
  <c r="Q54" i="26" s="1"/>
  <c r="R54" i="26" s="1"/>
  <c r="S353" i="26" l="1"/>
  <c r="T353" i="26" s="1"/>
  <c r="P354" i="26"/>
  <c r="Q354" i="26" s="1"/>
  <c r="R354" i="26" s="1"/>
  <c r="S54" i="26"/>
  <c r="T54" i="26" s="1"/>
  <c r="P55" i="26"/>
  <c r="Q55" i="26" s="1"/>
  <c r="R55" i="26" s="1"/>
  <c r="P355" i="26" l="1"/>
  <c r="Q355" i="26" s="1"/>
  <c r="R355" i="26" s="1"/>
  <c r="S354" i="26"/>
  <c r="T354" i="26" s="1"/>
  <c r="P56" i="26"/>
  <c r="Q56" i="26" s="1"/>
  <c r="R56" i="26" s="1"/>
  <c r="S55" i="26"/>
  <c r="T55" i="26" s="1"/>
  <c r="P356" i="26" l="1"/>
  <c r="Q356" i="26" s="1"/>
  <c r="R356" i="26" s="1"/>
  <c r="S355" i="26"/>
  <c r="T355" i="26" s="1"/>
  <c r="S56" i="26"/>
  <c r="T56" i="26" s="1"/>
  <c r="P57" i="26"/>
  <c r="Q57" i="26" s="1"/>
  <c r="R57" i="26" s="1"/>
  <c r="S356" i="26" l="1"/>
  <c r="T356" i="26" s="1"/>
  <c r="P357" i="26"/>
  <c r="Q357" i="26" s="1"/>
  <c r="R357" i="26" s="1"/>
  <c r="S57" i="26"/>
  <c r="T57" i="26" s="1"/>
  <c r="P58" i="26"/>
  <c r="Q58" i="26" s="1"/>
  <c r="R58" i="26" s="1"/>
  <c r="S357" i="26" l="1"/>
  <c r="T357" i="26" s="1"/>
  <c r="P358" i="26"/>
  <c r="Q358" i="26" s="1"/>
  <c r="R358" i="26" s="1"/>
  <c r="S58" i="26"/>
  <c r="T58" i="26" s="1"/>
  <c r="P59" i="26"/>
  <c r="Q59" i="26" s="1"/>
  <c r="R59" i="26" s="1"/>
  <c r="P359" i="26" l="1"/>
  <c r="Q359" i="26" s="1"/>
  <c r="R359" i="26" s="1"/>
  <c r="S358" i="26"/>
  <c r="T358" i="26" s="1"/>
  <c r="P60" i="26"/>
  <c r="Q60" i="26" s="1"/>
  <c r="R60" i="26" s="1"/>
  <c r="S59" i="26"/>
  <c r="T59" i="26" s="1"/>
  <c r="P360" i="26" l="1"/>
  <c r="Q360" i="26" s="1"/>
  <c r="R360" i="26" s="1"/>
  <c r="S359" i="26"/>
  <c r="T359" i="26" s="1"/>
  <c r="S60" i="26"/>
  <c r="T60" i="26" s="1"/>
  <c r="P61" i="26"/>
  <c r="Q61" i="26" s="1"/>
  <c r="R61" i="26" s="1"/>
  <c r="P361" i="26" l="1"/>
  <c r="Q361" i="26" s="1"/>
  <c r="R361" i="26" s="1"/>
  <c r="S360" i="26"/>
  <c r="T360" i="26" s="1"/>
  <c r="S61" i="26"/>
  <c r="T61" i="26" s="1"/>
  <c r="P62" i="26"/>
  <c r="Q62" i="26" s="1"/>
  <c r="R62" i="26" s="1"/>
  <c r="S361" i="26" l="1"/>
  <c r="T361" i="26" s="1"/>
  <c r="P362" i="26"/>
  <c r="Q362" i="26" s="1"/>
  <c r="R362" i="26" s="1"/>
  <c r="S62" i="26"/>
  <c r="T62" i="26" s="1"/>
  <c r="P63" i="26"/>
  <c r="Q63" i="26" s="1"/>
  <c r="R63" i="26" s="1"/>
  <c r="S362" i="26" l="1"/>
  <c r="T362" i="26" s="1"/>
  <c r="P363" i="26"/>
  <c r="Q363" i="26" s="1"/>
  <c r="R363" i="26" s="1"/>
  <c r="P64" i="26"/>
  <c r="Q64" i="26" s="1"/>
  <c r="R64" i="26" s="1"/>
  <c r="S63" i="26"/>
  <c r="T63" i="26" s="1"/>
  <c r="S363" i="26" l="1"/>
  <c r="T363" i="26" s="1"/>
  <c r="P364" i="26"/>
  <c r="Q364" i="26" s="1"/>
  <c r="R364" i="26" s="1"/>
  <c r="S64" i="26"/>
  <c r="T64" i="26" s="1"/>
  <c r="P65" i="26"/>
  <c r="Q65" i="26" s="1"/>
  <c r="R65" i="26" s="1"/>
  <c r="P365" i="26" l="1"/>
  <c r="Q365" i="26" s="1"/>
  <c r="R365" i="26" s="1"/>
  <c r="S364" i="26"/>
  <c r="T364" i="26" s="1"/>
  <c r="S65" i="26"/>
  <c r="T65" i="26" s="1"/>
  <c r="P66" i="26"/>
  <c r="Q66" i="26" s="1"/>
  <c r="R66" i="26" s="1"/>
  <c r="S365" i="26" l="1"/>
  <c r="T365" i="26" s="1"/>
  <c r="P366" i="26"/>
  <c r="Q366" i="26" s="1"/>
  <c r="R366" i="26" s="1"/>
  <c r="S66" i="26"/>
  <c r="T66" i="26" s="1"/>
  <c r="P67" i="26"/>
  <c r="Q67" i="26" s="1"/>
  <c r="R67" i="26" s="1"/>
  <c r="P367" i="26" l="1"/>
  <c r="Q367" i="26" s="1"/>
  <c r="R367" i="26" s="1"/>
  <c r="S366" i="26"/>
  <c r="T366" i="26" s="1"/>
  <c r="P68" i="26"/>
  <c r="Q68" i="26" s="1"/>
  <c r="R68" i="26" s="1"/>
  <c r="S67" i="26"/>
  <c r="T67" i="26" s="1"/>
  <c r="P368" i="26" l="1"/>
  <c r="Q368" i="26" s="1"/>
  <c r="R368" i="26" s="1"/>
  <c r="S367" i="26"/>
  <c r="T367" i="26" s="1"/>
  <c r="S68" i="26"/>
  <c r="T68" i="26" s="1"/>
  <c r="P69" i="26"/>
  <c r="Q69" i="26" s="1"/>
  <c r="R69" i="26" s="1"/>
  <c r="S368" i="26" l="1"/>
  <c r="T368" i="26" s="1"/>
  <c r="P369" i="26"/>
  <c r="Q369" i="26" s="1"/>
  <c r="R369" i="26" s="1"/>
  <c r="S69" i="26"/>
  <c r="T69" i="26" s="1"/>
  <c r="P70" i="26"/>
  <c r="Q70" i="26" s="1"/>
  <c r="R70" i="26" s="1"/>
  <c r="S369" i="26" l="1"/>
  <c r="T369" i="26" s="1"/>
  <c r="P370" i="26"/>
  <c r="Q370" i="26" s="1"/>
  <c r="R370" i="26" s="1"/>
  <c r="S70" i="26"/>
  <c r="T70" i="26" s="1"/>
  <c r="P71" i="26"/>
  <c r="Q71" i="26" s="1"/>
  <c r="R71" i="26" s="1"/>
  <c r="P371" i="26" l="1"/>
  <c r="Q371" i="26" s="1"/>
  <c r="R371" i="26" s="1"/>
  <c r="S371" i="26" s="1"/>
  <c r="T371" i="26" s="1"/>
  <c r="S370" i="26"/>
  <c r="T370" i="26" s="1"/>
  <c r="P72" i="26"/>
  <c r="Q72" i="26" s="1"/>
  <c r="R72" i="26" s="1"/>
  <c r="S71" i="26"/>
  <c r="T71" i="26" s="1"/>
  <c r="S72" i="26" l="1"/>
  <c r="T72" i="26" s="1"/>
  <c r="P73" i="26"/>
  <c r="Q73" i="26" s="1"/>
  <c r="R73" i="26" s="1"/>
  <c r="S73" i="26" l="1"/>
  <c r="T73" i="26" s="1"/>
  <c r="P74" i="26"/>
  <c r="Q74" i="26" s="1"/>
  <c r="R74" i="26" s="1"/>
  <c r="S74" i="26" l="1"/>
  <c r="T74" i="26" s="1"/>
  <c r="P75" i="26"/>
  <c r="Q75" i="26" s="1"/>
  <c r="R75" i="26" s="1"/>
  <c r="P76" i="26" l="1"/>
  <c r="Q76" i="26" s="1"/>
  <c r="R76" i="26" s="1"/>
  <c r="S75" i="26"/>
  <c r="T75" i="26" s="1"/>
  <c r="S76" i="26" l="1"/>
  <c r="T76" i="26" s="1"/>
  <c r="P77" i="26"/>
  <c r="Q77" i="26" s="1"/>
  <c r="R77" i="26" s="1"/>
  <c r="S77" i="26" l="1"/>
  <c r="T77" i="26" s="1"/>
  <c r="P78" i="26"/>
  <c r="Q78" i="26" s="1"/>
  <c r="R78" i="26" s="1"/>
  <c r="S78" i="26" l="1"/>
  <c r="T78" i="26" s="1"/>
  <c r="P79" i="26"/>
  <c r="Q79" i="26" s="1"/>
  <c r="R79" i="26" s="1"/>
  <c r="P80" i="26" l="1"/>
  <c r="Q80" i="26" s="1"/>
  <c r="R80" i="26" s="1"/>
  <c r="S79" i="26"/>
  <c r="T79" i="26" s="1"/>
  <c r="S80" i="26" l="1"/>
  <c r="T80" i="26" s="1"/>
  <c r="P81" i="26"/>
  <c r="Q81" i="26" s="1"/>
  <c r="R81" i="26" s="1"/>
  <c r="S81" i="26" l="1"/>
  <c r="T81" i="26" s="1"/>
  <c r="P82" i="26"/>
  <c r="Q82" i="26" s="1"/>
  <c r="R82" i="26" s="1"/>
  <c r="S82" i="26" l="1"/>
  <c r="T82" i="26" s="1"/>
  <c r="P83" i="26"/>
  <c r="Q83" i="26" s="1"/>
  <c r="R83" i="26" s="1"/>
  <c r="P84" i="26" l="1"/>
  <c r="Q84" i="26" s="1"/>
  <c r="R84" i="26" s="1"/>
  <c r="S83" i="26"/>
  <c r="T83" i="26" s="1"/>
  <c r="S84" i="26" l="1"/>
  <c r="T84" i="26" s="1"/>
  <c r="P85" i="26"/>
  <c r="Q85" i="26" s="1"/>
  <c r="R85" i="26" s="1"/>
  <c r="S85" i="26" l="1"/>
  <c r="T85" i="26" s="1"/>
  <c r="P86" i="26"/>
  <c r="Q86" i="26" s="1"/>
  <c r="R86" i="26" s="1"/>
  <c r="S86" i="26" l="1"/>
  <c r="T86" i="26" s="1"/>
  <c r="P87" i="26"/>
  <c r="Q87" i="26" s="1"/>
  <c r="R87" i="26" s="1"/>
  <c r="P88" i="26" l="1"/>
  <c r="Q88" i="26" s="1"/>
  <c r="R88" i="26" s="1"/>
  <c r="S87" i="26"/>
  <c r="T87" i="26" s="1"/>
  <c r="S88" i="26" l="1"/>
  <c r="T88" i="26" s="1"/>
  <c r="P89" i="26"/>
  <c r="Q89" i="26" s="1"/>
  <c r="R89" i="26" s="1"/>
  <c r="S89" i="26" l="1"/>
  <c r="T89" i="26" s="1"/>
  <c r="P90" i="26"/>
  <c r="Q90" i="26" s="1"/>
  <c r="R90" i="26" s="1"/>
  <c r="S90" i="26" l="1"/>
  <c r="T90" i="26" s="1"/>
  <c r="P91" i="26"/>
  <c r="Q91" i="26" s="1"/>
  <c r="R91" i="26" s="1"/>
  <c r="P92" i="26" l="1"/>
  <c r="Q92" i="26" s="1"/>
  <c r="R92" i="26" s="1"/>
  <c r="S91" i="26"/>
  <c r="T91" i="26" s="1"/>
  <c r="S92" i="26" l="1"/>
  <c r="T92" i="26" s="1"/>
  <c r="P93" i="26"/>
  <c r="Q93" i="26" s="1"/>
  <c r="R93" i="26" s="1"/>
  <c r="S93" i="26" l="1"/>
  <c r="T93" i="26" s="1"/>
  <c r="P94" i="26"/>
  <c r="Q94" i="26" s="1"/>
  <c r="R94" i="26" s="1"/>
  <c r="S94" i="26" l="1"/>
  <c r="T94" i="26" s="1"/>
  <c r="P95" i="26"/>
  <c r="Q95" i="26" s="1"/>
  <c r="R95" i="26" s="1"/>
  <c r="P96" i="26" l="1"/>
  <c r="Q96" i="26" s="1"/>
  <c r="R96" i="26" s="1"/>
  <c r="S95" i="26"/>
  <c r="T95" i="26" s="1"/>
  <c r="S96" i="26" l="1"/>
  <c r="T96" i="26" s="1"/>
  <c r="P97" i="26"/>
  <c r="Q97" i="26" s="1"/>
  <c r="R97" i="26" s="1"/>
  <c r="S97" i="26" l="1"/>
  <c r="T97" i="26" s="1"/>
  <c r="P98" i="26"/>
  <c r="Q98" i="26" s="1"/>
  <c r="R98" i="26" s="1"/>
  <c r="S98" i="26" l="1"/>
  <c r="T98" i="26" s="1"/>
  <c r="P99" i="26"/>
  <c r="Q99" i="26" s="1"/>
  <c r="R99" i="26" s="1"/>
  <c r="P100" i="26" l="1"/>
  <c r="Q100" i="26" s="1"/>
  <c r="R100" i="26" s="1"/>
  <c r="S99" i="26"/>
  <c r="T99" i="26" s="1"/>
  <c r="S100" i="26" l="1"/>
  <c r="T100" i="26" s="1"/>
  <c r="P101" i="26"/>
  <c r="Q101" i="26" s="1"/>
  <c r="R101" i="26" s="1"/>
  <c r="S101" i="26" l="1"/>
  <c r="T101" i="26" s="1"/>
  <c r="P102" i="26"/>
  <c r="Q102" i="26" s="1"/>
  <c r="R102" i="26" s="1"/>
  <c r="S102" i="26" l="1"/>
  <c r="T102" i="26" s="1"/>
  <c r="P103" i="26"/>
  <c r="Q103" i="26" s="1"/>
  <c r="R103" i="26" s="1"/>
  <c r="P104" i="26" l="1"/>
  <c r="Q104" i="26" s="1"/>
  <c r="R104" i="26" s="1"/>
  <c r="S103" i="26"/>
  <c r="T103" i="26" s="1"/>
  <c r="S104" i="26" l="1"/>
  <c r="T104" i="26" s="1"/>
  <c r="P105" i="26"/>
  <c r="Q105" i="26" s="1"/>
  <c r="R105" i="26" s="1"/>
  <c r="S105" i="26" l="1"/>
  <c r="T105" i="26" s="1"/>
  <c r="P106" i="26"/>
  <c r="Q106" i="26" s="1"/>
  <c r="R106" i="26" s="1"/>
  <c r="S106" i="26" l="1"/>
  <c r="T106" i="26" s="1"/>
  <c r="P107" i="26"/>
  <c r="Q107" i="26" s="1"/>
  <c r="R107" i="26" s="1"/>
  <c r="P108" i="26" l="1"/>
  <c r="Q108" i="26" s="1"/>
  <c r="R108" i="26" s="1"/>
  <c r="S107" i="26"/>
  <c r="T107" i="26" s="1"/>
  <c r="S108" i="26" l="1"/>
  <c r="T108" i="26" s="1"/>
  <c r="P109" i="26"/>
  <c r="Q109" i="26" s="1"/>
  <c r="R109" i="26" s="1"/>
  <c r="S109" i="26" l="1"/>
  <c r="T109" i="26" s="1"/>
  <c r="P110" i="26"/>
  <c r="Q110" i="26" s="1"/>
  <c r="R110" i="26" s="1"/>
  <c r="S110" i="26" l="1"/>
  <c r="T110" i="26" s="1"/>
  <c r="P111" i="26"/>
  <c r="Q111" i="26" s="1"/>
  <c r="R111" i="26" s="1"/>
  <c r="P112" i="26" l="1"/>
  <c r="Q112" i="26" s="1"/>
  <c r="R112" i="26" s="1"/>
  <c r="S111" i="26"/>
  <c r="T111" i="26" s="1"/>
  <c r="P113" i="26" l="1"/>
  <c r="Q113" i="26" s="1"/>
  <c r="R113" i="26" s="1"/>
  <c r="S112" i="26"/>
  <c r="T112" i="26" s="1"/>
  <c r="S113" i="26" l="1"/>
  <c r="T113" i="26" s="1"/>
  <c r="P114" i="26"/>
  <c r="Q114" i="26" s="1"/>
  <c r="R114" i="26" s="1"/>
  <c r="S114" i="26" l="1"/>
  <c r="T114" i="26" s="1"/>
  <c r="P115" i="26"/>
  <c r="Q115" i="26" s="1"/>
  <c r="R115" i="26" s="1"/>
  <c r="P116" i="26" l="1"/>
  <c r="Q116" i="26" s="1"/>
  <c r="R116" i="26" s="1"/>
  <c r="S115" i="26"/>
  <c r="T115" i="26" s="1"/>
  <c r="P117" i="26" l="1"/>
  <c r="Q117" i="26" s="1"/>
  <c r="R117" i="26" s="1"/>
  <c r="S116" i="26"/>
  <c r="T116" i="26" s="1"/>
  <c r="S117" i="26" l="1"/>
  <c r="T117" i="26" s="1"/>
  <c r="P118" i="26"/>
  <c r="Q118" i="26" s="1"/>
  <c r="R118" i="26" s="1"/>
  <c r="S118" i="26" l="1"/>
  <c r="T118" i="26" s="1"/>
  <c r="P119" i="26"/>
  <c r="Q119" i="26" s="1"/>
  <c r="R119" i="26" s="1"/>
  <c r="P120" i="26" l="1"/>
  <c r="Q120" i="26" s="1"/>
  <c r="R120" i="26" s="1"/>
  <c r="S119" i="26"/>
  <c r="T119" i="26" s="1"/>
  <c r="S120" i="26" l="1"/>
  <c r="T120" i="26" s="1"/>
  <c r="P121" i="26"/>
  <c r="Q121" i="26" s="1"/>
  <c r="R121" i="26" s="1"/>
  <c r="S121" i="26" l="1"/>
  <c r="T121" i="26" s="1"/>
  <c r="P122" i="26"/>
  <c r="Q122" i="26" s="1"/>
  <c r="R122" i="26" s="1"/>
  <c r="P123" i="26" l="1"/>
  <c r="Q123" i="26" s="1"/>
  <c r="R123" i="26" s="1"/>
  <c r="S122" i="26"/>
  <c r="T122" i="26" s="1"/>
  <c r="P124" i="26" l="1"/>
  <c r="Q124" i="26" s="1"/>
  <c r="R124" i="26" s="1"/>
  <c r="S123" i="26"/>
  <c r="T123" i="26" s="1"/>
  <c r="P125" i="26" l="1"/>
  <c r="Q125" i="26" s="1"/>
  <c r="R125" i="26" s="1"/>
  <c r="S124" i="26"/>
  <c r="T124" i="26" s="1"/>
  <c r="S125" i="26" l="1"/>
  <c r="T125" i="26" s="1"/>
  <c r="P126" i="26"/>
  <c r="Q126" i="26" s="1"/>
  <c r="R126" i="26" s="1"/>
  <c r="P127" i="26" l="1"/>
  <c r="Q127" i="26" s="1"/>
  <c r="R127" i="26" s="1"/>
  <c r="S126" i="26"/>
  <c r="T126" i="26" s="1"/>
  <c r="P128" i="26" l="1"/>
  <c r="Q128" i="26" s="1"/>
  <c r="R128" i="26" s="1"/>
  <c r="S127" i="26"/>
  <c r="T127" i="26" s="1"/>
  <c r="S128" i="26" l="1"/>
  <c r="T128" i="26" s="1"/>
  <c r="P129" i="26"/>
  <c r="Q129" i="26" s="1"/>
  <c r="R129" i="26" s="1"/>
  <c r="S129" i="26" l="1"/>
  <c r="T129" i="26" s="1"/>
  <c r="P130" i="26"/>
  <c r="Q130" i="26" s="1"/>
  <c r="R130" i="26" s="1"/>
  <c r="P131" i="26" l="1"/>
  <c r="Q131" i="26" s="1"/>
  <c r="R131" i="26" s="1"/>
  <c r="S130" i="26"/>
  <c r="T130" i="26" s="1"/>
  <c r="P132" i="26" l="1"/>
  <c r="Q132" i="26" s="1"/>
  <c r="R132" i="26" s="1"/>
  <c r="S131" i="26"/>
  <c r="T131" i="26" s="1"/>
  <c r="P133" i="26" l="1"/>
  <c r="Q133" i="26" s="1"/>
  <c r="R133" i="26" s="1"/>
  <c r="S132" i="26"/>
  <c r="T132" i="26" s="1"/>
  <c r="S133" i="26" l="1"/>
  <c r="T133" i="26" s="1"/>
  <c r="P134" i="26"/>
  <c r="Q134" i="26" s="1"/>
  <c r="R134" i="26" s="1"/>
  <c r="S134" i="26" l="1"/>
  <c r="T134" i="26" s="1"/>
  <c r="P135" i="26"/>
  <c r="Q135" i="26" s="1"/>
  <c r="R135" i="26" s="1"/>
  <c r="P136" i="26" l="1"/>
  <c r="Q136" i="26" s="1"/>
  <c r="R136" i="26" s="1"/>
  <c r="S135" i="26"/>
  <c r="T135" i="26" s="1"/>
  <c r="S136" i="26" l="1"/>
  <c r="T136" i="26" s="1"/>
  <c r="P137" i="26"/>
  <c r="Q137" i="26" s="1"/>
  <c r="R137" i="26" s="1"/>
  <c r="S137" i="26" l="1"/>
  <c r="T137" i="26" s="1"/>
  <c r="P138" i="26"/>
  <c r="Q138" i="26" s="1"/>
  <c r="R138" i="26" s="1"/>
  <c r="P139" i="26" l="1"/>
  <c r="Q139" i="26" s="1"/>
  <c r="R139" i="26" s="1"/>
  <c r="S138" i="26"/>
  <c r="T138" i="26" s="1"/>
  <c r="P140" i="26" l="1"/>
  <c r="Q140" i="26" s="1"/>
  <c r="R140" i="26" s="1"/>
  <c r="S139" i="26"/>
  <c r="T139" i="26" s="1"/>
  <c r="P141" i="26" l="1"/>
  <c r="Q141" i="26" s="1"/>
  <c r="R141" i="26" s="1"/>
  <c r="S140" i="26"/>
  <c r="T140" i="26" s="1"/>
  <c r="S141" i="26" l="1"/>
  <c r="T141" i="26" s="1"/>
  <c r="P142" i="26"/>
  <c r="Q142" i="26" s="1"/>
  <c r="R142" i="26" s="1"/>
  <c r="S143" i="26" s="1"/>
  <c r="T143" i="26" s="1"/>
  <c r="S142" i="26" l="1"/>
  <c r="T142" i="26" s="1"/>
</calcChain>
</file>

<file path=xl/sharedStrings.xml><?xml version="1.0" encoding="utf-8"?>
<sst xmlns="http://schemas.openxmlformats.org/spreadsheetml/2006/main" count="387" uniqueCount="193">
  <si>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</si>
  <si>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</si>
  <si>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</si>
  <si>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</si>
  <si>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</si>
  <si>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</si>
  <si>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</si>
  <si>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</si>
  <si>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</si>
  <si>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</si>
  <si>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</si>
  <si>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</si>
  <si>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</si>
  <si>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</si>
  <si>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</si>
  <si>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</si>
  <si>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</si>
  <si>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</si>
  <si>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</si>
  <si>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</si>
  <si>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</si>
  <si>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</si>
  <si>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</si>
  <si>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</si>
  <si>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</si>
  <si>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Removed -6999 indicating bad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</si>
  <si>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</si>
  <si>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</si>
  <si>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</si>
  <si>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</si>
  <si>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</si>
  <si>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</si>
  <si>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</si>
  <si>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</si>
  <si>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</si>
  <si>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</si>
  <si>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</si>
  <si>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</si>
  <si>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</si>
  <si>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</si>
  <si>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</si>
  <si>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</si>
  <si>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</si>
  <si>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</si>
  <si>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</si>
  <si>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</si>
  <si>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</si>
  <si>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</si>
  <si>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</si>
  <si>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</si>
  <si>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</si>
  <si>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PAR 5 to 10% low</t>
  </si>
  <si>
    <t>Sicamous base station 2006</t>
  </si>
  <si>
    <t>Recalibrated 30/07/07</t>
  </si>
  <si>
    <t>Revised</t>
  </si>
  <si>
    <t>RHAvg</t>
  </si>
  <si>
    <t>RHMax</t>
  </si>
  <si>
    <t>RHMin</t>
  </si>
  <si>
    <t xml:space="preserve">Rh_adjustment, 2/08/07) </t>
  </si>
  <si>
    <t>RH, Solar and PAR new calibrations added col BL onwards</t>
  </si>
  <si>
    <t>Precip.from</t>
  </si>
  <si>
    <t>snow depth</t>
  </si>
  <si>
    <t>FWS</t>
  </si>
  <si>
    <t>Monthly Averages</t>
  </si>
  <si>
    <t xml:space="preserve">Solar 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</si>
  <si>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</si>
  <si>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</si>
  <si>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</si>
  <si>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</si>
  <si>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</si>
  <si>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</si>
  <si>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</si>
  <si>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</si>
  <si>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</si>
  <si>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</si>
  <si>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</si>
  <si>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</si>
  <si>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</si>
  <si>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vpdav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</si>
  <si>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</si>
  <si>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</si>
  <si>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</si>
  <si>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</si>
  <si>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</si>
  <si>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</si>
  <si>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</si>
  <si>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</si>
  <si>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</si>
  <si>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</si>
  <si>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</si>
  <si>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</si>
  <si>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</si>
  <si>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</si>
  <si>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</si>
  <si>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</si>
  <si>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</si>
  <si>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</si>
  <si>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</si>
  <si>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</si>
  <si>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</si>
  <si>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</si>
  <si>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</si>
  <si>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</si>
  <si>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</si>
  <si>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</si>
  <si>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</si>
  <si>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</si>
  <si>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</si>
  <si>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</si>
  <si>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</si>
  <si>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</si>
  <si>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</si>
  <si>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Used Rhcor</t>
  </si>
  <si>
    <t/>
  </si>
  <si>
    <t>Doy</t>
  </si>
  <si>
    <t>Meta data for Sicamous base station</t>
  </si>
  <si>
    <t>CR10 data logger and storage module</t>
  </si>
  <si>
    <t>Solar W/m2</t>
  </si>
  <si>
    <t>LiCor silicon Pyranometer at 6 m</t>
  </si>
  <si>
    <t>Kmax from 10 min simulation</t>
  </si>
  <si>
    <t>PAR mol/m2/d</t>
  </si>
  <si>
    <t>LiCor PAR sensor 6 m above surface. Calibration drift problem</t>
  </si>
  <si>
    <t xml:space="preserve">Tair C </t>
  </si>
  <si>
    <t>HMP35C in RMYoung pie plate sheild at 6 m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</si>
  <si>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</si>
  <si>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</si>
  <si>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</si>
  <si>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</si>
  <si>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</si>
  <si>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</si>
  <si>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</si>
  <si>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</si>
  <si>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</si>
  <si>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</si>
  <si>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</si>
  <si>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</si>
  <si>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</si>
  <si>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</si>
  <si>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</si>
  <si>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</si>
  <si>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</si>
  <si>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</si>
  <si>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</si>
  <si>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</si>
  <si>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</si>
  <si>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Vapres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</si>
  <si>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</si>
  <si>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</si>
  <si>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</si>
  <si>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</si>
  <si>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</si>
  <si>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</si>
  <si>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</si>
  <si>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</si>
  <si>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</si>
  <si>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Wind direction degrees</t>
  </si>
  <si>
    <t>April-May, Dec used Sicamous Fire Weather Station rainfall adjusted by *1.05</t>
  </si>
  <si>
    <t>Last edit 11/04/25</t>
  </si>
  <si>
    <t>Influence of snow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</si>
  <si>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</si>
  <si>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</si>
  <si>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</si>
  <si>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</si>
  <si>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</si>
  <si>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</si>
  <si>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</si>
  <si>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</si>
  <si>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</si>
  <si>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</si>
  <si>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</si>
  <si>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</si>
  <si>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</si>
  <si>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</si>
  <si>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</si>
  <si>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</si>
  <si>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</si>
  <si>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</si>
  <si>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</si>
  <si>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</si>
  <si>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</si>
  <si>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</si>
  <si>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</si>
  <si>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</si>
  <si>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</si>
  <si>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</si>
  <si>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vpdX</t>
  </si>
  <si>
    <t>BatV</t>
  </si>
  <si>
    <t>mm/d</t>
  </si>
  <si>
    <t>V</t>
  </si>
  <si>
    <t>Sierra Misco tipping bucket 1 mm/tip</t>
  </si>
  <si>
    <t>VPDx</t>
  </si>
  <si>
    <t>vapres</t>
  </si>
  <si>
    <t>Last edit 18/04/25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</si>
</sst>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Border="1"/>
    <xf numFmtId="168" fontId="2" fillId="0" borderId="0" xfId="0" applyNumberFormat="1" applyFont="1" applyBorder="1"/>
    <xf numFmtId="0" fontId="2" fillId="0" borderId="0" xfId="0" applyFont="1"/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>
      <alignment horizontal="center"/>
    </xf>
    <xf numFmtId="1" fontId="2" fillId="0" borderId="0" xfId="0" applyNumberFormat="1" applyFont="1" applyBorder="1"/>
    <xf numFmtId="166" fontId="2" fillId="0" borderId="0" xfId="0" applyNumberFormat="1" applyFont="1" applyBorder="1"/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Alignment="1" applyProtection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/>
    <xf numFmtId="15" fontId="2" fillId="0" borderId="0" xfId="0" applyNumberFormat="1" applyFont="1" applyBorder="1"/>
    <xf numFmtId="2" fontId="2" fillId="0" borderId="0" xfId="0" applyNumberFormat="1" applyFont="1" applyProtection="1"/>
    <xf numFmtId="2" fontId="2" fillId="0" borderId="0" xfId="0" applyNumberFormat="1" applyFont="1"/>
    <xf numFmtId="2" fontId="2" fillId="0" borderId="0" xfId="0" applyNumberFormat="1" applyFont="1" applyBorder="1"/>
    <xf numFmtId="1" fontId="2" fillId="2" borderId="0" xfId="0" applyNumberFormat="1" applyFont="1" applyFill="1" applyBorder="1"/>
    <xf numFmtId="0" fontId="2" fillId="2" borderId="0" xfId="0" applyFont="1" applyFill="1"/>
    <xf numFmtId="164" fontId="2" fillId="0" borderId="0" xfId="0" applyNumberFormat="1" applyFont="1"/>
    <xf numFmtId="1" fontId="2" fillId="0" borderId="0" xfId="0" applyNumberFormat="1" applyFont="1"/>
    <xf numFmtId="168" fontId="2" fillId="0" borderId="0" xfId="0" applyNumberFormat="1" applyFont="1"/>
    <xf numFmtId="0" fontId="2" fillId="0" borderId="0" xfId="0" applyFont="1" applyBorder="1" applyProtection="1"/>
    <xf numFmtId="166" fontId="2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 applyFill="1"/>
    <xf numFmtId="167" fontId="2" fillId="0" borderId="0" xfId="0" applyNumberFormat="1" applyFont="1" applyFill="1" applyBorder="1"/>
    <xf numFmtId="165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4" borderId="0" xfId="0" applyNumberFormat="1" applyFont="1" applyFill="1" applyBorder="1"/>
    <xf numFmtId="165" fontId="2" fillId="5" borderId="0" xfId="0" applyNumberFormat="1" applyFont="1" applyFill="1" applyBorder="1"/>
    <xf numFmtId="166" fontId="2" fillId="2" borderId="0" xfId="0" applyNumberFormat="1" applyFont="1" applyFill="1"/>
    <xf numFmtId="165" fontId="2" fillId="3" borderId="0" xfId="0" applyNumberFormat="1" applyFont="1" applyFill="1" applyBorder="1"/>
    <xf numFmtId="165" fontId="2" fillId="4" borderId="0" xfId="0" applyNumberFormat="1" applyFont="1" applyFill="1"/>
    <xf numFmtId="165" fontId="2" fillId="5" borderId="0" xfId="0" applyNumberFormat="1" applyFont="1" applyFill="1"/>
    <xf numFmtId="0" fontId="2" fillId="0" borderId="0" xfId="0" applyFont="1" applyFill="1"/>
    <xf numFmtId="166" fontId="2" fillId="0" borderId="0" xfId="0" applyNumberFormat="1" applyFont="1" applyFill="1"/>
    <xf numFmtId="1" fontId="2" fillId="0" borderId="0" xfId="0" applyNumberFormat="1" applyFont="1" applyFill="1"/>
    <xf numFmtId="168" fontId="2" fillId="0" borderId="0" xfId="0" applyNumberFormat="1" applyFont="1" applyFill="1"/>
    <xf numFmtId="167" fontId="2" fillId="0" borderId="0" xfId="0" applyNumberFormat="1" applyFont="1" applyFill="1"/>
    <xf numFmtId="165" fontId="2" fillId="3" borderId="0" xfId="0" applyNumberFormat="1" applyFont="1" applyFill="1"/>
    <xf numFmtId="2" fontId="2" fillId="6" borderId="0" xfId="0" applyNumberFormat="1" applyFont="1" applyFill="1" applyBorder="1"/>
    <xf numFmtId="0" fontId="2" fillId="0" borderId="0" xfId="0" quotePrefix="1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6" fontId="2" fillId="0" borderId="0" xfId="0" applyNumberFormat="1" applyFont="1" applyProtection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2.9</c:v>
                </c:pt>
                <c:pt idx="1">
                  <c:v>2.9</c:v>
                </c:pt>
                <c:pt idx="2">
                  <c:v>14.5</c:v>
                </c:pt>
                <c:pt idx="3">
                  <c:v>14.5</c:v>
                </c:pt>
                <c:pt idx="4">
                  <c:v>14.5</c:v>
                </c:pt>
                <c:pt idx="5">
                  <c:v>14.6</c:v>
                </c:pt>
                <c:pt idx="6">
                  <c:v>17.5</c:v>
                </c:pt>
                <c:pt idx="7">
                  <c:v>19.2</c:v>
                </c:pt>
                <c:pt idx="8">
                  <c:v>33.9</c:v>
                </c:pt>
                <c:pt idx="9">
                  <c:v>45.099999999999994</c:v>
                </c:pt>
                <c:pt idx="10">
                  <c:v>50.399999999999991</c:v>
                </c:pt>
                <c:pt idx="11">
                  <c:v>59.599999999999994</c:v>
                </c:pt>
                <c:pt idx="12">
                  <c:v>59.599999999999994</c:v>
                </c:pt>
                <c:pt idx="13">
                  <c:v>59.599999999999994</c:v>
                </c:pt>
                <c:pt idx="14">
                  <c:v>64.8</c:v>
                </c:pt>
                <c:pt idx="15">
                  <c:v>69.399999999999991</c:v>
                </c:pt>
                <c:pt idx="16">
                  <c:v>69.399999999999991</c:v>
                </c:pt>
                <c:pt idx="17">
                  <c:v>69.399999999999991</c:v>
                </c:pt>
                <c:pt idx="18">
                  <c:v>69.399999999999991</c:v>
                </c:pt>
                <c:pt idx="19">
                  <c:v>78.899999999999991</c:v>
                </c:pt>
                <c:pt idx="20">
                  <c:v>78.899999999999991</c:v>
                </c:pt>
                <c:pt idx="21">
                  <c:v>83.3</c:v>
                </c:pt>
                <c:pt idx="22">
                  <c:v>83.3</c:v>
                </c:pt>
                <c:pt idx="23">
                  <c:v>83.3</c:v>
                </c:pt>
                <c:pt idx="24">
                  <c:v>83.3</c:v>
                </c:pt>
                <c:pt idx="25">
                  <c:v>83.3</c:v>
                </c:pt>
                <c:pt idx="26">
                  <c:v>88.399999999999991</c:v>
                </c:pt>
                <c:pt idx="27">
                  <c:v>107</c:v>
                </c:pt>
                <c:pt idx="28">
                  <c:v>119.7</c:v>
                </c:pt>
                <c:pt idx="29">
                  <c:v>119.7</c:v>
                </c:pt>
                <c:pt idx="30">
                  <c:v>138.69999999999999</c:v>
                </c:pt>
                <c:pt idx="31">
                  <c:v>138.69999999999999</c:v>
                </c:pt>
                <c:pt idx="32">
                  <c:v>140.39999999999998</c:v>
                </c:pt>
                <c:pt idx="33">
                  <c:v>140.39999999999998</c:v>
                </c:pt>
                <c:pt idx="34">
                  <c:v>148.89999999999998</c:v>
                </c:pt>
                <c:pt idx="35">
                  <c:v>148.89999999999998</c:v>
                </c:pt>
                <c:pt idx="36">
                  <c:v>148.89999999999998</c:v>
                </c:pt>
                <c:pt idx="37">
                  <c:v>148.89999999999998</c:v>
                </c:pt>
                <c:pt idx="38">
                  <c:v>148.89999999999998</c:v>
                </c:pt>
                <c:pt idx="39">
                  <c:v>148.89999999999998</c:v>
                </c:pt>
                <c:pt idx="40">
                  <c:v>148.89999999999998</c:v>
                </c:pt>
                <c:pt idx="41">
                  <c:v>148.89999999999998</c:v>
                </c:pt>
                <c:pt idx="42">
                  <c:v>151.59999999999997</c:v>
                </c:pt>
                <c:pt idx="43">
                  <c:v>155.39999999999998</c:v>
                </c:pt>
                <c:pt idx="44">
                  <c:v>155.39999999999998</c:v>
                </c:pt>
                <c:pt idx="45">
                  <c:v>155.39999999999998</c:v>
                </c:pt>
                <c:pt idx="46">
                  <c:v>155.39999999999998</c:v>
                </c:pt>
                <c:pt idx="47">
                  <c:v>155.39999999999998</c:v>
                </c:pt>
                <c:pt idx="48">
                  <c:v>155.39999999999998</c:v>
                </c:pt>
                <c:pt idx="49">
                  <c:v>155.39999999999998</c:v>
                </c:pt>
                <c:pt idx="50">
                  <c:v>159.39999999999998</c:v>
                </c:pt>
                <c:pt idx="51">
                  <c:v>163.19999999999999</c:v>
                </c:pt>
                <c:pt idx="52">
                  <c:v>174.29999999999998</c:v>
                </c:pt>
                <c:pt idx="53">
                  <c:v>180.89999999999998</c:v>
                </c:pt>
                <c:pt idx="54">
                  <c:v>180.89999999999998</c:v>
                </c:pt>
                <c:pt idx="55">
                  <c:v>180.89999999999998</c:v>
                </c:pt>
                <c:pt idx="56">
                  <c:v>180.89999999999998</c:v>
                </c:pt>
                <c:pt idx="57">
                  <c:v>180.89999999999998</c:v>
                </c:pt>
                <c:pt idx="58">
                  <c:v>189.99999999999997</c:v>
                </c:pt>
                <c:pt idx="59">
                  <c:v>189.99999999999997</c:v>
                </c:pt>
                <c:pt idx="60">
                  <c:v>199.49999999999997</c:v>
                </c:pt>
                <c:pt idx="61">
                  <c:v>199.49999999999997</c:v>
                </c:pt>
                <c:pt idx="62">
                  <c:v>199.49999999999997</c:v>
                </c:pt>
                <c:pt idx="63">
                  <c:v>206.39999999999998</c:v>
                </c:pt>
                <c:pt idx="64">
                  <c:v>206.39999999999998</c:v>
                </c:pt>
                <c:pt idx="65">
                  <c:v>206.39999999999998</c:v>
                </c:pt>
                <c:pt idx="66">
                  <c:v>221.09999999999997</c:v>
                </c:pt>
                <c:pt idx="67">
                  <c:v>224.69999999999996</c:v>
                </c:pt>
                <c:pt idx="68">
                  <c:v>224.69999999999996</c:v>
                </c:pt>
                <c:pt idx="69">
                  <c:v>224.69999999999996</c:v>
                </c:pt>
                <c:pt idx="70">
                  <c:v>224.69999999999996</c:v>
                </c:pt>
                <c:pt idx="71">
                  <c:v>224.69999999999996</c:v>
                </c:pt>
                <c:pt idx="72">
                  <c:v>224.69999999999996</c:v>
                </c:pt>
                <c:pt idx="73">
                  <c:v>229.39999999999995</c:v>
                </c:pt>
                <c:pt idx="74">
                  <c:v>229.39999999999995</c:v>
                </c:pt>
                <c:pt idx="75">
                  <c:v>247.19999999999996</c:v>
                </c:pt>
                <c:pt idx="76">
                  <c:v>247.19999999999996</c:v>
                </c:pt>
                <c:pt idx="77">
                  <c:v>247.19999999999996</c:v>
                </c:pt>
                <c:pt idx="78">
                  <c:v>247.19999999999996</c:v>
                </c:pt>
                <c:pt idx="79">
                  <c:v>247.19999999999996</c:v>
                </c:pt>
                <c:pt idx="80">
                  <c:v>247.19999999999996</c:v>
                </c:pt>
                <c:pt idx="81">
                  <c:v>247.19999999999996</c:v>
                </c:pt>
                <c:pt idx="82">
                  <c:v>252.89999999999995</c:v>
                </c:pt>
                <c:pt idx="83">
                  <c:v>255.09999999999994</c:v>
                </c:pt>
                <c:pt idx="84">
                  <c:v>255.09999999999994</c:v>
                </c:pt>
                <c:pt idx="85">
                  <c:v>255.39999999999995</c:v>
                </c:pt>
                <c:pt idx="86">
                  <c:v>255.39999999999995</c:v>
                </c:pt>
                <c:pt idx="87">
                  <c:v>255.39999999999995</c:v>
                </c:pt>
                <c:pt idx="88">
                  <c:v>255.39999999999995</c:v>
                </c:pt>
                <c:pt idx="89">
                  <c:v>258.39999999999998</c:v>
                </c:pt>
                <c:pt idx="90">
                  <c:v>258.39999999999998</c:v>
                </c:pt>
                <c:pt idx="91">
                  <c:v>258.39999999999998</c:v>
                </c:pt>
                <c:pt idx="92">
                  <c:v>258.39999999999998</c:v>
                </c:pt>
                <c:pt idx="93">
                  <c:v>263</c:v>
                </c:pt>
                <c:pt idx="94">
                  <c:v>263.2</c:v>
                </c:pt>
                <c:pt idx="95">
                  <c:v>266.8</c:v>
                </c:pt>
                <c:pt idx="96">
                  <c:v>266.8</c:v>
                </c:pt>
                <c:pt idx="97">
                  <c:v>267.90000000000003</c:v>
                </c:pt>
                <c:pt idx="98">
                  <c:v>269.20000000000005</c:v>
                </c:pt>
                <c:pt idx="99">
                  <c:v>272.40000000000003</c:v>
                </c:pt>
                <c:pt idx="100">
                  <c:v>273.70000000000005</c:v>
                </c:pt>
                <c:pt idx="101">
                  <c:v>275.00000000000006</c:v>
                </c:pt>
                <c:pt idx="102">
                  <c:v>290.10000000000008</c:v>
                </c:pt>
                <c:pt idx="103">
                  <c:v>290.10000000000008</c:v>
                </c:pt>
                <c:pt idx="104">
                  <c:v>305.80000000000007</c:v>
                </c:pt>
                <c:pt idx="105">
                  <c:v>305.80000000000007</c:v>
                </c:pt>
                <c:pt idx="106">
                  <c:v>305.80000000000007</c:v>
                </c:pt>
                <c:pt idx="107">
                  <c:v>305.80000000000007</c:v>
                </c:pt>
                <c:pt idx="108">
                  <c:v>305.80000000000007</c:v>
                </c:pt>
                <c:pt idx="109">
                  <c:v>305.80000000000007</c:v>
                </c:pt>
                <c:pt idx="110">
                  <c:v>313.00000000000006</c:v>
                </c:pt>
                <c:pt idx="111">
                  <c:v>313.00000000000006</c:v>
                </c:pt>
                <c:pt idx="112">
                  <c:v>313.00000000000006</c:v>
                </c:pt>
                <c:pt idx="113">
                  <c:v>313.00000000000006</c:v>
                </c:pt>
                <c:pt idx="114">
                  <c:v>313.00000000000006</c:v>
                </c:pt>
                <c:pt idx="115">
                  <c:v>313.00000000000006</c:v>
                </c:pt>
                <c:pt idx="116">
                  <c:v>313.00000000000006</c:v>
                </c:pt>
                <c:pt idx="117">
                  <c:v>313.00000000000006</c:v>
                </c:pt>
                <c:pt idx="118">
                  <c:v>317.40000000000003</c:v>
                </c:pt>
                <c:pt idx="119">
                  <c:v>317.60000000000002</c:v>
                </c:pt>
                <c:pt idx="120">
                  <c:v>322.40000000000003</c:v>
                </c:pt>
                <c:pt idx="121">
                  <c:v>322.40000000000003</c:v>
                </c:pt>
                <c:pt idx="122">
                  <c:v>322.40000000000003</c:v>
                </c:pt>
                <c:pt idx="123">
                  <c:v>322.40000000000003</c:v>
                </c:pt>
                <c:pt idx="124">
                  <c:v>322.40000000000003</c:v>
                </c:pt>
                <c:pt idx="125">
                  <c:v>322.60000000000002</c:v>
                </c:pt>
                <c:pt idx="126">
                  <c:v>323.40000000000003</c:v>
                </c:pt>
                <c:pt idx="127">
                  <c:v>327.40000000000003</c:v>
                </c:pt>
                <c:pt idx="128">
                  <c:v>327.40000000000003</c:v>
                </c:pt>
                <c:pt idx="129">
                  <c:v>327.40000000000003</c:v>
                </c:pt>
                <c:pt idx="130">
                  <c:v>330.40000000000003</c:v>
                </c:pt>
                <c:pt idx="131">
                  <c:v>330.40000000000003</c:v>
                </c:pt>
                <c:pt idx="132">
                  <c:v>330.40000000000003</c:v>
                </c:pt>
                <c:pt idx="133">
                  <c:v>330.40000000000003</c:v>
                </c:pt>
                <c:pt idx="134">
                  <c:v>330.40000000000003</c:v>
                </c:pt>
                <c:pt idx="135">
                  <c:v>330.40000000000003</c:v>
                </c:pt>
                <c:pt idx="136">
                  <c:v>330.40000000000003</c:v>
                </c:pt>
                <c:pt idx="137">
                  <c:v>330.40000000000003</c:v>
                </c:pt>
                <c:pt idx="138">
                  <c:v>330.40000000000003</c:v>
                </c:pt>
                <c:pt idx="139">
                  <c:v>346.40000000000003</c:v>
                </c:pt>
                <c:pt idx="140">
                  <c:v>347.40000000000003</c:v>
                </c:pt>
                <c:pt idx="141">
                  <c:v>352.40000000000003</c:v>
                </c:pt>
                <c:pt idx="142">
                  <c:v>360.40000000000003</c:v>
                </c:pt>
                <c:pt idx="143">
                  <c:v>380.40000000000003</c:v>
                </c:pt>
                <c:pt idx="144">
                  <c:v>381.40000000000003</c:v>
                </c:pt>
                <c:pt idx="145">
                  <c:v>392.40000000000003</c:v>
                </c:pt>
                <c:pt idx="146">
                  <c:v>397.40000000000003</c:v>
                </c:pt>
                <c:pt idx="147">
                  <c:v>397.40000000000003</c:v>
                </c:pt>
                <c:pt idx="148">
                  <c:v>400.40000000000003</c:v>
                </c:pt>
                <c:pt idx="149">
                  <c:v>400.40000000000003</c:v>
                </c:pt>
                <c:pt idx="150">
                  <c:v>400.40000000000003</c:v>
                </c:pt>
                <c:pt idx="151">
                  <c:v>404.40000000000003</c:v>
                </c:pt>
                <c:pt idx="152">
                  <c:v>410.40000000000003</c:v>
                </c:pt>
                <c:pt idx="153">
                  <c:v>410.40000000000003</c:v>
                </c:pt>
                <c:pt idx="154">
                  <c:v>410.40000000000003</c:v>
                </c:pt>
                <c:pt idx="155">
                  <c:v>410.40000000000003</c:v>
                </c:pt>
                <c:pt idx="156">
                  <c:v>410.40000000000003</c:v>
                </c:pt>
                <c:pt idx="157">
                  <c:v>410.40000000000003</c:v>
                </c:pt>
                <c:pt idx="158">
                  <c:v>421.40000000000003</c:v>
                </c:pt>
                <c:pt idx="159">
                  <c:v>423.40000000000003</c:v>
                </c:pt>
                <c:pt idx="160">
                  <c:v>423.40000000000003</c:v>
                </c:pt>
                <c:pt idx="161">
                  <c:v>424.40000000000003</c:v>
                </c:pt>
                <c:pt idx="162">
                  <c:v>424.40000000000003</c:v>
                </c:pt>
                <c:pt idx="163">
                  <c:v>428.40000000000003</c:v>
                </c:pt>
                <c:pt idx="164">
                  <c:v>480.40000000000003</c:v>
                </c:pt>
                <c:pt idx="165">
                  <c:v>491.40000000000003</c:v>
                </c:pt>
                <c:pt idx="166">
                  <c:v>492.40000000000003</c:v>
                </c:pt>
                <c:pt idx="167">
                  <c:v>494.40000000000003</c:v>
                </c:pt>
                <c:pt idx="168">
                  <c:v>498.40000000000003</c:v>
                </c:pt>
                <c:pt idx="169">
                  <c:v>502.40000000000003</c:v>
                </c:pt>
                <c:pt idx="170">
                  <c:v>502.40000000000003</c:v>
                </c:pt>
                <c:pt idx="171">
                  <c:v>503.40000000000003</c:v>
                </c:pt>
                <c:pt idx="172">
                  <c:v>503.40000000000003</c:v>
                </c:pt>
                <c:pt idx="173">
                  <c:v>503.40000000000003</c:v>
                </c:pt>
                <c:pt idx="174">
                  <c:v>503.40000000000003</c:v>
                </c:pt>
                <c:pt idx="175">
                  <c:v>503.40000000000003</c:v>
                </c:pt>
                <c:pt idx="176">
                  <c:v>503.40000000000003</c:v>
                </c:pt>
                <c:pt idx="177">
                  <c:v>503.40000000000003</c:v>
                </c:pt>
                <c:pt idx="178">
                  <c:v>503.40000000000003</c:v>
                </c:pt>
                <c:pt idx="179">
                  <c:v>503.40000000000003</c:v>
                </c:pt>
                <c:pt idx="180">
                  <c:v>503.40000000000003</c:v>
                </c:pt>
                <c:pt idx="181">
                  <c:v>503.40000000000003</c:v>
                </c:pt>
                <c:pt idx="182">
                  <c:v>503.40000000000003</c:v>
                </c:pt>
                <c:pt idx="183">
                  <c:v>503.40000000000003</c:v>
                </c:pt>
                <c:pt idx="184">
                  <c:v>503.40000000000003</c:v>
                </c:pt>
                <c:pt idx="185">
                  <c:v>522.40000000000009</c:v>
                </c:pt>
                <c:pt idx="186">
                  <c:v>522.40000000000009</c:v>
                </c:pt>
                <c:pt idx="187">
                  <c:v>522.40000000000009</c:v>
                </c:pt>
                <c:pt idx="188">
                  <c:v>522.40000000000009</c:v>
                </c:pt>
                <c:pt idx="189">
                  <c:v>525.40000000000009</c:v>
                </c:pt>
                <c:pt idx="190">
                  <c:v>528.40000000000009</c:v>
                </c:pt>
                <c:pt idx="191">
                  <c:v>529.40000000000009</c:v>
                </c:pt>
                <c:pt idx="192">
                  <c:v>530.40000000000009</c:v>
                </c:pt>
                <c:pt idx="193">
                  <c:v>531.40000000000009</c:v>
                </c:pt>
                <c:pt idx="194">
                  <c:v>531.40000000000009</c:v>
                </c:pt>
                <c:pt idx="195">
                  <c:v>531.40000000000009</c:v>
                </c:pt>
                <c:pt idx="196">
                  <c:v>531.40000000000009</c:v>
                </c:pt>
                <c:pt idx="197">
                  <c:v>531.40000000000009</c:v>
                </c:pt>
                <c:pt idx="198">
                  <c:v>531.40000000000009</c:v>
                </c:pt>
                <c:pt idx="199">
                  <c:v>531.40000000000009</c:v>
                </c:pt>
                <c:pt idx="200">
                  <c:v>531.40000000000009</c:v>
                </c:pt>
                <c:pt idx="201">
                  <c:v>531.40000000000009</c:v>
                </c:pt>
                <c:pt idx="202">
                  <c:v>531.40000000000009</c:v>
                </c:pt>
                <c:pt idx="203">
                  <c:v>543.40000000000009</c:v>
                </c:pt>
                <c:pt idx="204">
                  <c:v>543.40000000000009</c:v>
                </c:pt>
                <c:pt idx="205">
                  <c:v>543.40000000000009</c:v>
                </c:pt>
                <c:pt idx="206">
                  <c:v>543.40000000000009</c:v>
                </c:pt>
                <c:pt idx="207">
                  <c:v>543.40000000000009</c:v>
                </c:pt>
                <c:pt idx="208">
                  <c:v>543.40000000000009</c:v>
                </c:pt>
                <c:pt idx="209">
                  <c:v>543.40000000000009</c:v>
                </c:pt>
                <c:pt idx="210">
                  <c:v>553.40000000000009</c:v>
                </c:pt>
                <c:pt idx="211">
                  <c:v>553.40000000000009</c:v>
                </c:pt>
                <c:pt idx="212">
                  <c:v>553.40000000000009</c:v>
                </c:pt>
                <c:pt idx="213">
                  <c:v>553.40000000000009</c:v>
                </c:pt>
                <c:pt idx="214">
                  <c:v>553.40000000000009</c:v>
                </c:pt>
                <c:pt idx="215">
                  <c:v>553.40000000000009</c:v>
                </c:pt>
                <c:pt idx="216">
                  <c:v>553.40000000000009</c:v>
                </c:pt>
                <c:pt idx="217">
                  <c:v>553.40000000000009</c:v>
                </c:pt>
                <c:pt idx="218">
                  <c:v>553.40000000000009</c:v>
                </c:pt>
                <c:pt idx="219">
                  <c:v>553.40000000000009</c:v>
                </c:pt>
                <c:pt idx="220">
                  <c:v>553.40000000000009</c:v>
                </c:pt>
                <c:pt idx="221">
                  <c:v>584.40000000000009</c:v>
                </c:pt>
                <c:pt idx="222">
                  <c:v>593.40000000000009</c:v>
                </c:pt>
                <c:pt idx="223">
                  <c:v>593.40000000000009</c:v>
                </c:pt>
                <c:pt idx="224">
                  <c:v>593.40000000000009</c:v>
                </c:pt>
                <c:pt idx="225">
                  <c:v>593.40000000000009</c:v>
                </c:pt>
                <c:pt idx="226">
                  <c:v>593.40000000000009</c:v>
                </c:pt>
                <c:pt idx="227">
                  <c:v>593.40000000000009</c:v>
                </c:pt>
                <c:pt idx="228">
                  <c:v>593.40000000000009</c:v>
                </c:pt>
                <c:pt idx="229">
                  <c:v>593.40000000000009</c:v>
                </c:pt>
                <c:pt idx="230">
                  <c:v>593.40000000000009</c:v>
                </c:pt>
                <c:pt idx="231">
                  <c:v>593.40000000000009</c:v>
                </c:pt>
                <c:pt idx="232">
                  <c:v>593.40000000000009</c:v>
                </c:pt>
                <c:pt idx="233">
                  <c:v>593.40000000000009</c:v>
                </c:pt>
                <c:pt idx="234">
                  <c:v>598.40000000000009</c:v>
                </c:pt>
                <c:pt idx="235">
                  <c:v>598.40000000000009</c:v>
                </c:pt>
                <c:pt idx="236">
                  <c:v>598.40000000000009</c:v>
                </c:pt>
                <c:pt idx="237">
                  <c:v>598.40000000000009</c:v>
                </c:pt>
                <c:pt idx="238">
                  <c:v>598.40000000000009</c:v>
                </c:pt>
                <c:pt idx="239">
                  <c:v>598.40000000000009</c:v>
                </c:pt>
                <c:pt idx="240">
                  <c:v>598.40000000000009</c:v>
                </c:pt>
                <c:pt idx="241">
                  <c:v>607.40000000000009</c:v>
                </c:pt>
                <c:pt idx="242">
                  <c:v>607.40000000000009</c:v>
                </c:pt>
                <c:pt idx="243">
                  <c:v>607.40000000000009</c:v>
                </c:pt>
                <c:pt idx="244">
                  <c:v>607.40000000000009</c:v>
                </c:pt>
                <c:pt idx="245">
                  <c:v>607.40000000000009</c:v>
                </c:pt>
                <c:pt idx="246">
                  <c:v>607.40000000000009</c:v>
                </c:pt>
                <c:pt idx="247">
                  <c:v>607.40000000000009</c:v>
                </c:pt>
                <c:pt idx="248">
                  <c:v>607.40000000000009</c:v>
                </c:pt>
                <c:pt idx="249">
                  <c:v>607.40000000000009</c:v>
                </c:pt>
                <c:pt idx="250">
                  <c:v>607.40000000000009</c:v>
                </c:pt>
                <c:pt idx="251">
                  <c:v>631.40000000000009</c:v>
                </c:pt>
                <c:pt idx="252">
                  <c:v>632.40000000000009</c:v>
                </c:pt>
                <c:pt idx="253">
                  <c:v>632.40000000000009</c:v>
                </c:pt>
                <c:pt idx="254">
                  <c:v>632.40000000000009</c:v>
                </c:pt>
                <c:pt idx="255">
                  <c:v>650.40000000000009</c:v>
                </c:pt>
                <c:pt idx="256">
                  <c:v>674.40000000000009</c:v>
                </c:pt>
                <c:pt idx="257">
                  <c:v>679.40000000000009</c:v>
                </c:pt>
                <c:pt idx="258">
                  <c:v>679.40000000000009</c:v>
                </c:pt>
                <c:pt idx="259">
                  <c:v>679.40000000000009</c:v>
                </c:pt>
                <c:pt idx="260">
                  <c:v>680.40000000000009</c:v>
                </c:pt>
                <c:pt idx="261">
                  <c:v>681.40000000000009</c:v>
                </c:pt>
                <c:pt idx="262">
                  <c:v>698.40000000000009</c:v>
                </c:pt>
                <c:pt idx="263">
                  <c:v>702.40000000000009</c:v>
                </c:pt>
                <c:pt idx="264">
                  <c:v>702.40000000000009</c:v>
                </c:pt>
                <c:pt idx="265">
                  <c:v>702.40000000000009</c:v>
                </c:pt>
                <c:pt idx="266">
                  <c:v>702.40000000000009</c:v>
                </c:pt>
                <c:pt idx="267">
                  <c:v>702.40000000000009</c:v>
                </c:pt>
                <c:pt idx="268">
                  <c:v>702.40000000000009</c:v>
                </c:pt>
                <c:pt idx="269">
                  <c:v>702.40000000000009</c:v>
                </c:pt>
                <c:pt idx="270">
                  <c:v>702.40000000000009</c:v>
                </c:pt>
                <c:pt idx="271">
                  <c:v>702.40000000000009</c:v>
                </c:pt>
                <c:pt idx="272">
                  <c:v>702.40000000000009</c:v>
                </c:pt>
                <c:pt idx="273">
                  <c:v>702.40000000000009</c:v>
                </c:pt>
                <c:pt idx="274">
                  <c:v>702.40000000000009</c:v>
                </c:pt>
                <c:pt idx="275">
                  <c:v>702.40000000000009</c:v>
                </c:pt>
                <c:pt idx="276">
                  <c:v>702.40000000000009</c:v>
                </c:pt>
                <c:pt idx="277">
                  <c:v>702.40000000000009</c:v>
                </c:pt>
                <c:pt idx="278">
                  <c:v>702.40000000000009</c:v>
                </c:pt>
                <c:pt idx="279">
                  <c:v>702.40000000000009</c:v>
                </c:pt>
                <c:pt idx="280">
                  <c:v>702.40000000000009</c:v>
                </c:pt>
                <c:pt idx="281">
                  <c:v>702.40000000000009</c:v>
                </c:pt>
                <c:pt idx="282">
                  <c:v>702.40000000000009</c:v>
                </c:pt>
                <c:pt idx="283">
                  <c:v>702.40000000000009</c:v>
                </c:pt>
                <c:pt idx="284">
                  <c:v>702.40000000000009</c:v>
                </c:pt>
                <c:pt idx="285">
                  <c:v>702.40000000000009</c:v>
                </c:pt>
                <c:pt idx="286">
                  <c:v>707.40000000000009</c:v>
                </c:pt>
                <c:pt idx="287">
                  <c:v>714.40000000000009</c:v>
                </c:pt>
                <c:pt idx="288">
                  <c:v>716.40000000000009</c:v>
                </c:pt>
                <c:pt idx="289">
                  <c:v>716.40000000000009</c:v>
                </c:pt>
                <c:pt idx="290">
                  <c:v>717.40000000000009</c:v>
                </c:pt>
                <c:pt idx="291">
                  <c:v>719.40000000000009</c:v>
                </c:pt>
                <c:pt idx="292">
                  <c:v>719.40000000000009</c:v>
                </c:pt>
                <c:pt idx="293">
                  <c:v>719.40000000000009</c:v>
                </c:pt>
                <c:pt idx="294">
                  <c:v>719.40000000000009</c:v>
                </c:pt>
                <c:pt idx="295">
                  <c:v>719.40000000000009</c:v>
                </c:pt>
                <c:pt idx="296">
                  <c:v>719.40000000000009</c:v>
                </c:pt>
                <c:pt idx="297">
                  <c:v>720.40000000000009</c:v>
                </c:pt>
                <c:pt idx="298">
                  <c:v>721.40000000000009</c:v>
                </c:pt>
                <c:pt idx="299">
                  <c:v>723.40000000000009</c:v>
                </c:pt>
                <c:pt idx="300">
                  <c:v>731.2</c:v>
                </c:pt>
                <c:pt idx="301">
                  <c:v>738.40000000000009</c:v>
                </c:pt>
                <c:pt idx="302">
                  <c:v>738.40000000000009</c:v>
                </c:pt>
                <c:pt idx="303">
                  <c:v>738.40000000000009</c:v>
                </c:pt>
                <c:pt idx="304">
                  <c:v>738.7</c:v>
                </c:pt>
                <c:pt idx="305">
                  <c:v>747</c:v>
                </c:pt>
                <c:pt idx="306">
                  <c:v>747</c:v>
                </c:pt>
                <c:pt idx="307">
                  <c:v>784.4</c:v>
                </c:pt>
                <c:pt idx="308">
                  <c:v>792.6</c:v>
                </c:pt>
                <c:pt idx="309">
                  <c:v>804.4</c:v>
                </c:pt>
                <c:pt idx="310">
                  <c:v>806.69999999999993</c:v>
                </c:pt>
                <c:pt idx="311">
                  <c:v>806.69999999999993</c:v>
                </c:pt>
                <c:pt idx="312">
                  <c:v>808.59999999999991</c:v>
                </c:pt>
                <c:pt idx="313">
                  <c:v>808.59999999999991</c:v>
                </c:pt>
                <c:pt idx="314">
                  <c:v>821.19999999999993</c:v>
                </c:pt>
                <c:pt idx="315">
                  <c:v>828.09999999999991</c:v>
                </c:pt>
                <c:pt idx="316">
                  <c:v>834.59999999999991</c:v>
                </c:pt>
                <c:pt idx="317">
                  <c:v>842.89999999999986</c:v>
                </c:pt>
                <c:pt idx="318">
                  <c:v>848.19999999999982</c:v>
                </c:pt>
                <c:pt idx="319">
                  <c:v>848.19999999999982</c:v>
                </c:pt>
                <c:pt idx="320">
                  <c:v>848.19999999999982</c:v>
                </c:pt>
                <c:pt idx="321">
                  <c:v>848.19999999999982</c:v>
                </c:pt>
                <c:pt idx="322">
                  <c:v>856.19999999999982</c:v>
                </c:pt>
                <c:pt idx="323">
                  <c:v>856.19999999999982</c:v>
                </c:pt>
                <c:pt idx="324">
                  <c:v>871.69999999999982</c:v>
                </c:pt>
                <c:pt idx="325">
                  <c:v>871.69999999999982</c:v>
                </c:pt>
                <c:pt idx="326">
                  <c:v>891.69999999999982</c:v>
                </c:pt>
                <c:pt idx="327">
                  <c:v>891.69999999999982</c:v>
                </c:pt>
                <c:pt idx="328">
                  <c:v>893.0999999999998</c:v>
                </c:pt>
                <c:pt idx="329">
                  <c:v>895.69999999999982</c:v>
                </c:pt>
                <c:pt idx="330">
                  <c:v>898.29999999999984</c:v>
                </c:pt>
                <c:pt idx="331">
                  <c:v>899.5999999999998</c:v>
                </c:pt>
                <c:pt idx="332">
                  <c:v>906.0999999999998</c:v>
                </c:pt>
                <c:pt idx="333">
                  <c:v>912.5999999999998</c:v>
                </c:pt>
                <c:pt idx="334">
                  <c:v>914.29999999999984</c:v>
                </c:pt>
                <c:pt idx="335">
                  <c:v>914.29999999999984</c:v>
                </c:pt>
                <c:pt idx="336">
                  <c:v>917.29999999999984</c:v>
                </c:pt>
                <c:pt idx="337">
                  <c:v>917.29999999999984</c:v>
                </c:pt>
                <c:pt idx="338">
                  <c:v>923.29999999999984</c:v>
                </c:pt>
                <c:pt idx="339">
                  <c:v>923.29999999999984</c:v>
                </c:pt>
                <c:pt idx="340">
                  <c:v>923.29999999999984</c:v>
                </c:pt>
                <c:pt idx="341">
                  <c:v>924.29999999999984</c:v>
                </c:pt>
                <c:pt idx="342">
                  <c:v>926.89999999999986</c:v>
                </c:pt>
                <c:pt idx="343">
                  <c:v>928.19999999999982</c:v>
                </c:pt>
                <c:pt idx="344">
                  <c:v>931.29999999999984</c:v>
                </c:pt>
                <c:pt idx="345">
                  <c:v>933.89999999999986</c:v>
                </c:pt>
                <c:pt idx="346">
                  <c:v>935.99999999999989</c:v>
                </c:pt>
                <c:pt idx="347">
                  <c:v>943.39999999999986</c:v>
                </c:pt>
                <c:pt idx="348">
                  <c:v>952.39999999999986</c:v>
                </c:pt>
                <c:pt idx="349">
                  <c:v>952.39999999999986</c:v>
                </c:pt>
                <c:pt idx="350">
                  <c:v>952.39999999999986</c:v>
                </c:pt>
                <c:pt idx="351">
                  <c:v>954.89999999999986</c:v>
                </c:pt>
                <c:pt idx="352">
                  <c:v>954.89999999999986</c:v>
                </c:pt>
                <c:pt idx="353">
                  <c:v>954.89999999999986</c:v>
                </c:pt>
                <c:pt idx="354">
                  <c:v>956.59999999999991</c:v>
                </c:pt>
                <c:pt idx="355">
                  <c:v>956.59999999999991</c:v>
                </c:pt>
                <c:pt idx="356">
                  <c:v>965.69999999999993</c:v>
                </c:pt>
                <c:pt idx="357">
                  <c:v>969.19999999999993</c:v>
                </c:pt>
                <c:pt idx="358">
                  <c:v>969.19999999999993</c:v>
                </c:pt>
                <c:pt idx="359">
                  <c:v>969.19999999999993</c:v>
                </c:pt>
                <c:pt idx="360">
                  <c:v>974.49999999999989</c:v>
                </c:pt>
                <c:pt idx="361">
                  <c:v>978.79999999999984</c:v>
                </c:pt>
                <c:pt idx="362">
                  <c:v>979.49999999999989</c:v>
                </c:pt>
                <c:pt idx="363">
                  <c:v>979.49999999999989</c:v>
                </c:pt>
                <c:pt idx="364">
                  <c:v>979.49999999999989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6.6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9</c:v>
                </c:pt>
                <c:pt idx="74">
                  <c:v>9</c:v>
                </c:pt>
                <c:pt idx="75">
                  <c:v>14.2</c:v>
                </c:pt>
                <c:pt idx="76">
                  <c:v>21.799999999999997</c:v>
                </c:pt>
                <c:pt idx="77">
                  <c:v>21.799999999999997</c:v>
                </c:pt>
                <c:pt idx="78">
                  <c:v>21.799999999999997</c:v>
                </c:pt>
                <c:pt idx="79">
                  <c:v>21.799999999999997</c:v>
                </c:pt>
                <c:pt idx="80">
                  <c:v>21.799999999999997</c:v>
                </c:pt>
                <c:pt idx="81">
                  <c:v>21.799999999999997</c:v>
                </c:pt>
                <c:pt idx="82">
                  <c:v>26.4</c:v>
                </c:pt>
                <c:pt idx="83">
                  <c:v>29.2</c:v>
                </c:pt>
                <c:pt idx="84">
                  <c:v>29.2</c:v>
                </c:pt>
                <c:pt idx="85">
                  <c:v>29.2</c:v>
                </c:pt>
                <c:pt idx="86">
                  <c:v>29.8</c:v>
                </c:pt>
                <c:pt idx="87">
                  <c:v>30</c:v>
                </c:pt>
                <c:pt idx="88">
                  <c:v>30</c:v>
                </c:pt>
                <c:pt idx="89">
                  <c:v>35.4</c:v>
                </c:pt>
                <c:pt idx="90">
                  <c:v>35.6</c:v>
                </c:pt>
                <c:pt idx="91">
                  <c:v>36.4</c:v>
                </c:pt>
                <c:pt idx="92">
                  <c:v>36.4</c:v>
                </c:pt>
                <c:pt idx="93">
                  <c:v>40.799999999999997</c:v>
                </c:pt>
                <c:pt idx="94">
                  <c:v>41</c:v>
                </c:pt>
                <c:pt idx="95">
                  <c:v>44.4</c:v>
                </c:pt>
                <c:pt idx="96">
                  <c:v>44.4</c:v>
                </c:pt>
                <c:pt idx="97">
                  <c:v>45.4</c:v>
                </c:pt>
                <c:pt idx="98">
                  <c:v>46.6</c:v>
                </c:pt>
                <c:pt idx="99">
                  <c:v>49.6</c:v>
                </c:pt>
                <c:pt idx="100">
                  <c:v>50.800000000000004</c:v>
                </c:pt>
                <c:pt idx="101">
                  <c:v>52.000000000000007</c:v>
                </c:pt>
                <c:pt idx="102">
                  <c:v>59.400000000000006</c:v>
                </c:pt>
                <c:pt idx="103">
                  <c:v>60.000000000000007</c:v>
                </c:pt>
                <c:pt idx="104">
                  <c:v>60.000000000000007</c:v>
                </c:pt>
                <c:pt idx="105">
                  <c:v>67.600000000000009</c:v>
                </c:pt>
                <c:pt idx="106">
                  <c:v>67.600000000000009</c:v>
                </c:pt>
                <c:pt idx="107">
                  <c:v>67.600000000000009</c:v>
                </c:pt>
                <c:pt idx="108">
                  <c:v>67.600000000000009</c:v>
                </c:pt>
                <c:pt idx="109">
                  <c:v>67.600000000000009</c:v>
                </c:pt>
                <c:pt idx="110">
                  <c:v>86.4</c:v>
                </c:pt>
                <c:pt idx="111">
                  <c:v>88</c:v>
                </c:pt>
                <c:pt idx="112">
                  <c:v>88</c:v>
                </c:pt>
                <c:pt idx="113">
                  <c:v>88</c:v>
                </c:pt>
                <c:pt idx="114">
                  <c:v>88</c:v>
                </c:pt>
                <c:pt idx="115">
                  <c:v>88</c:v>
                </c:pt>
                <c:pt idx="116">
                  <c:v>88.2</c:v>
                </c:pt>
                <c:pt idx="117">
                  <c:v>89.2</c:v>
                </c:pt>
                <c:pt idx="118">
                  <c:v>93.4</c:v>
                </c:pt>
                <c:pt idx="119">
                  <c:v>93.600000000000009</c:v>
                </c:pt>
                <c:pt idx="120">
                  <c:v>98.2</c:v>
                </c:pt>
                <c:pt idx="121">
                  <c:v>98.2</c:v>
                </c:pt>
                <c:pt idx="122">
                  <c:v>98.2</c:v>
                </c:pt>
                <c:pt idx="123">
                  <c:v>98.2</c:v>
                </c:pt>
                <c:pt idx="124">
                  <c:v>98.2</c:v>
                </c:pt>
                <c:pt idx="125">
                  <c:v>98.4</c:v>
                </c:pt>
                <c:pt idx="126">
                  <c:v>99.2</c:v>
                </c:pt>
                <c:pt idx="127">
                  <c:v>100.8</c:v>
                </c:pt>
                <c:pt idx="128">
                  <c:v>100.8</c:v>
                </c:pt>
                <c:pt idx="129">
                  <c:v>100.8</c:v>
                </c:pt>
                <c:pt idx="130">
                  <c:v>104.8</c:v>
                </c:pt>
                <c:pt idx="131">
                  <c:v>105.39999999999999</c:v>
                </c:pt>
                <c:pt idx="132">
                  <c:v>105.39999999999999</c:v>
                </c:pt>
                <c:pt idx="133">
                  <c:v>105.39999999999999</c:v>
                </c:pt>
                <c:pt idx="134">
                  <c:v>105.39999999999999</c:v>
                </c:pt>
                <c:pt idx="135">
                  <c:v>105.39999999999999</c:v>
                </c:pt>
                <c:pt idx="136">
                  <c:v>106.6</c:v>
                </c:pt>
                <c:pt idx="137">
                  <c:v>106.6</c:v>
                </c:pt>
                <c:pt idx="138">
                  <c:v>106.6</c:v>
                </c:pt>
                <c:pt idx="139">
                  <c:v>120</c:v>
                </c:pt>
                <c:pt idx="140">
                  <c:v>121</c:v>
                </c:pt>
                <c:pt idx="141">
                  <c:v>131</c:v>
                </c:pt>
                <c:pt idx="142">
                  <c:v>137</c:v>
                </c:pt>
                <c:pt idx="143">
                  <c:v>151.80000000000001</c:v>
                </c:pt>
                <c:pt idx="144">
                  <c:v>152</c:v>
                </c:pt>
                <c:pt idx="145">
                  <c:v>156</c:v>
                </c:pt>
                <c:pt idx="146">
                  <c:v>159.80000000000001</c:v>
                </c:pt>
                <c:pt idx="147">
                  <c:v>159.80000000000001</c:v>
                </c:pt>
                <c:pt idx="148">
                  <c:v>163.4</c:v>
                </c:pt>
                <c:pt idx="149">
                  <c:v>163.4</c:v>
                </c:pt>
                <c:pt idx="150">
                  <c:v>163.4</c:v>
                </c:pt>
                <c:pt idx="151">
                  <c:v>166.8</c:v>
                </c:pt>
                <c:pt idx="152">
                  <c:v>168</c:v>
                </c:pt>
                <c:pt idx="153">
                  <c:v>168</c:v>
                </c:pt>
                <c:pt idx="154">
                  <c:v>170</c:v>
                </c:pt>
                <c:pt idx="155">
                  <c:v>170</c:v>
                </c:pt>
                <c:pt idx="156">
                  <c:v>170</c:v>
                </c:pt>
                <c:pt idx="157">
                  <c:v>170</c:v>
                </c:pt>
                <c:pt idx="158">
                  <c:v>178.2</c:v>
                </c:pt>
                <c:pt idx="159">
                  <c:v>178.79999999999998</c:v>
                </c:pt>
                <c:pt idx="160">
                  <c:v>178.79999999999998</c:v>
                </c:pt>
                <c:pt idx="161">
                  <c:v>178.99999999999997</c:v>
                </c:pt>
                <c:pt idx="162">
                  <c:v>178.99999999999997</c:v>
                </c:pt>
                <c:pt idx="163">
                  <c:v>180.19999999999996</c:v>
                </c:pt>
                <c:pt idx="164">
                  <c:v>216.99999999999994</c:v>
                </c:pt>
                <c:pt idx="165">
                  <c:v>219.99999999999994</c:v>
                </c:pt>
                <c:pt idx="166">
                  <c:v>220.59999999999994</c:v>
                </c:pt>
                <c:pt idx="167">
                  <c:v>221.99999999999994</c:v>
                </c:pt>
                <c:pt idx="168">
                  <c:v>222.19999999999993</c:v>
                </c:pt>
                <c:pt idx="169">
                  <c:v>225.39999999999992</c:v>
                </c:pt>
                <c:pt idx="170">
                  <c:v>226.19999999999993</c:v>
                </c:pt>
                <c:pt idx="171">
                  <c:v>226.19999999999993</c:v>
                </c:pt>
                <c:pt idx="172">
                  <c:v>226.39999999999992</c:v>
                </c:pt>
                <c:pt idx="173">
                  <c:v>226.39999999999992</c:v>
                </c:pt>
                <c:pt idx="174">
                  <c:v>226.39999999999992</c:v>
                </c:pt>
                <c:pt idx="175">
                  <c:v>226.39999999999992</c:v>
                </c:pt>
                <c:pt idx="176">
                  <c:v>226.39999999999992</c:v>
                </c:pt>
                <c:pt idx="177">
                  <c:v>226.39999999999992</c:v>
                </c:pt>
                <c:pt idx="178">
                  <c:v>226.39999999999992</c:v>
                </c:pt>
                <c:pt idx="179">
                  <c:v>226.39999999999992</c:v>
                </c:pt>
                <c:pt idx="180">
                  <c:v>226.39999999999992</c:v>
                </c:pt>
                <c:pt idx="181">
                  <c:v>226.39999999999992</c:v>
                </c:pt>
                <c:pt idx="182">
                  <c:v>226.39999999999992</c:v>
                </c:pt>
                <c:pt idx="183">
                  <c:v>226.39999999999992</c:v>
                </c:pt>
                <c:pt idx="184">
                  <c:v>226.39999999999992</c:v>
                </c:pt>
                <c:pt idx="185">
                  <c:v>235.99999999999991</c:v>
                </c:pt>
                <c:pt idx="186">
                  <c:v>236.1999999999999</c:v>
                </c:pt>
                <c:pt idx="187">
                  <c:v>236.1999999999999</c:v>
                </c:pt>
                <c:pt idx="188">
                  <c:v>236.1999999999999</c:v>
                </c:pt>
                <c:pt idx="189">
                  <c:v>236.99999999999991</c:v>
                </c:pt>
                <c:pt idx="190">
                  <c:v>237.99999999999991</c:v>
                </c:pt>
                <c:pt idx="191">
                  <c:v>237.99999999999991</c:v>
                </c:pt>
                <c:pt idx="192">
                  <c:v>238.99999999999991</c:v>
                </c:pt>
                <c:pt idx="193">
                  <c:v>238.99999999999991</c:v>
                </c:pt>
                <c:pt idx="194">
                  <c:v>238.99999999999991</c:v>
                </c:pt>
                <c:pt idx="195">
                  <c:v>238.99999999999991</c:v>
                </c:pt>
                <c:pt idx="196">
                  <c:v>238.99999999999991</c:v>
                </c:pt>
                <c:pt idx="197">
                  <c:v>238.99999999999991</c:v>
                </c:pt>
                <c:pt idx="198">
                  <c:v>238.99999999999991</c:v>
                </c:pt>
                <c:pt idx="199">
                  <c:v>238.99999999999991</c:v>
                </c:pt>
                <c:pt idx="200">
                  <c:v>238.99999999999991</c:v>
                </c:pt>
                <c:pt idx="201">
                  <c:v>238.99999999999991</c:v>
                </c:pt>
                <c:pt idx="202">
                  <c:v>238.99999999999991</c:v>
                </c:pt>
                <c:pt idx="203">
                  <c:v>246.79999999999993</c:v>
                </c:pt>
                <c:pt idx="204">
                  <c:v>246.79999999999993</c:v>
                </c:pt>
                <c:pt idx="205">
                  <c:v>246.79999999999993</c:v>
                </c:pt>
                <c:pt idx="206">
                  <c:v>246.79999999999993</c:v>
                </c:pt>
                <c:pt idx="207">
                  <c:v>246.79999999999993</c:v>
                </c:pt>
                <c:pt idx="208">
                  <c:v>246.79999999999993</c:v>
                </c:pt>
                <c:pt idx="209">
                  <c:v>246.79999999999993</c:v>
                </c:pt>
                <c:pt idx="210">
                  <c:v>251.59999999999994</c:v>
                </c:pt>
                <c:pt idx="211">
                  <c:v>251.59999999999994</c:v>
                </c:pt>
                <c:pt idx="212">
                  <c:v>251.59999999999994</c:v>
                </c:pt>
                <c:pt idx="213">
                  <c:v>251.59999999999994</c:v>
                </c:pt>
                <c:pt idx="214">
                  <c:v>251.59999999999994</c:v>
                </c:pt>
                <c:pt idx="215">
                  <c:v>251.59999999999994</c:v>
                </c:pt>
                <c:pt idx="216">
                  <c:v>251.59999999999994</c:v>
                </c:pt>
                <c:pt idx="217">
                  <c:v>251.59999999999994</c:v>
                </c:pt>
                <c:pt idx="218">
                  <c:v>251.59999999999994</c:v>
                </c:pt>
                <c:pt idx="219">
                  <c:v>251.59999999999994</c:v>
                </c:pt>
                <c:pt idx="220">
                  <c:v>252.19999999999993</c:v>
                </c:pt>
                <c:pt idx="221">
                  <c:v>267.59999999999991</c:v>
                </c:pt>
                <c:pt idx="222">
                  <c:v>275.59999999999991</c:v>
                </c:pt>
                <c:pt idx="223">
                  <c:v>275.59999999999991</c:v>
                </c:pt>
                <c:pt idx="224">
                  <c:v>275.59999999999991</c:v>
                </c:pt>
                <c:pt idx="225">
                  <c:v>275.59999999999991</c:v>
                </c:pt>
                <c:pt idx="226">
                  <c:v>275.59999999999991</c:v>
                </c:pt>
                <c:pt idx="227">
                  <c:v>275.59999999999991</c:v>
                </c:pt>
                <c:pt idx="228">
                  <c:v>275.59999999999991</c:v>
                </c:pt>
                <c:pt idx="229">
                  <c:v>275.59999999999991</c:v>
                </c:pt>
                <c:pt idx="230">
                  <c:v>275.59999999999991</c:v>
                </c:pt>
                <c:pt idx="231">
                  <c:v>275.59999999999991</c:v>
                </c:pt>
                <c:pt idx="232">
                  <c:v>275.59999999999991</c:v>
                </c:pt>
                <c:pt idx="233">
                  <c:v>276.19999999999993</c:v>
                </c:pt>
                <c:pt idx="234">
                  <c:v>278.59999999999991</c:v>
                </c:pt>
                <c:pt idx="235">
                  <c:v>280.7999999999999</c:v>
                </c:pt>
                <c:pt idx="236">
                  <c:v>280.99999999999989</c:v>
                </c:pt>
                <c:pt idx="237">
                  <c:v>280.99999999999989</c:v>
                </c:pt>
                <c:pt idx="238">
                  <c:v>280.99999999999989</c:v>
                </c:pt>
                <c:pt idx="239">
                  <c:v>280.99999999999989</c:v>
                </c:pt>
                <c:pt idx="240">
                  <c:v>280.99999999999989</c:v>
                </c:pt>
                <c:pt idx="241">
                  <c:v>294.59999999999991</c:v>
                </c:pt>
                <c:pt idx="242">
                  <c:v>294.7999999999999</c:v>
                </c:pt>
                <c:pt idx="243">
                  <c:v>294.7999999999999</c:v>
                </c:pt>
                <c:pt idx="244">
                  <c:v>294.7999999999999</c:v>
                </c:pt>
                <c:pt idx="245">
                  <c:v>294.7999999999999</c:v>
                </c:pt>
                <c:pt idx="246">
                  <c:v>294.7999999999999</c:v>
                </c:pt>
                <c:pt idx="247">
                  <c:v>294.7999999999999</c:v>
                </c:pt>
                <c:pt idx="248">
                  <c:v>294.7999999999999</c:v>
                </c:pt>
                <c:pt idx="249">
                  <c:v>294.7999999999999</c:v>
                </c:pt>
                <c:pt idx="250">
                  <c:v>294.7999999999999</c:v>
                </c:pt>
                <c:pt idx="251">
                  <c:v>307.39999999999992</c:v>
                </c:pt>
                <c:pt idx="252">
                  <c:v>307.59999999999991</c:v>
                </c:pt>
                <c:pt idx="253">
                  <c:v>307.59999999999991</c:v>
                </c:pt>
                <c:pt idx="254">
                  <c:v>307.7999999999999</c:v>
                </c:pt>
                <c:pt idx="255">
                  <c:v>330.99999999999989</c:v>
                </c:pt>
                <c:pt idx="256">
                  <c:v>364.19999999999987</c:v>
                </c:pt>
                <c:pt idx="257">
                  <c:v>364.39999999999986</c:v>
                </c:pt>
                <c:pt idx="258">
                  <c:v>364.39999999999986</c:v>
                </c:pt>
                <c:pt idx="259">
                  <c:v>364.59999999999985</c:v>
                </c:pt>
                <c:pt idx="260">
                  <c:v>366.79999999999984</c:v>
                </c:pt>
                <c:pt idx="261">
                  <c:v>368.59999999999985</c:v>
                </c:pt>
                <c:pt idx="262">
                  <c:v>386.99999999999983</c:v>
                </c:pt>
                <c:pt idx="263">
                  <c:v>390.39999999999981</c:v>
                </c:pt>
                <c:pt idx="264">
                  <c:v>390.39999999999981</c:v>
                </c:pt>
                <c:pt idx="265">
                  <c:v>390.39999999999981</c:v>
                </c:pt>
                <c:pt idx="266">
                  <c:v>390.39999999999981</c:v>
                </c:pt>
                <c:pt idx="267">
                  <c:v>390.39999999999981</c:v>
                </c:pt>
                <c:pt idx="268">
                  <c:v>390.39999999999981</c:v>
                </c:pt>
                <c:pt idx="269">
                  <c:v>390.39999999999981</c:v>
                </c:pt>
                <c:pt idx="270">
                  <c:v>390.39999999999981</c:v>
                </c:pt>
                <c:pt idx="271">
                  <c:v>390.39999999999981</c:v>
                </c:pt>
                <c:pt idx="272">
                  <c:v>390.39999999999981</c:v>
                </c:pt>
                <c:pt idx="273">
                  <c:v>390.39999999999981</c:v>
                </c:pt>
                <c:pt idx="274">
                  <c:v>390.39999999999981</c:v>
                </c:pt>
                <c:pt idx="275">
                  <c:v>390.39999999999981</c:v>
                </c:pt>
                <c:pt idx="276">
                  <c:v>390.39999999999981</c:v>
                </c:pt>
                <c:pt idx="277">
                  <c:v>390.39999999999981</c:v>
                </c:pt>
                <c:pt idx="278">
                  <c:v>393.39999999999981</c:v>
                </c:pt>
                <c:pt idx="279">
                  <c:v>393.39999999999981</c:v>
                </c:pt>
                <c:pt idx="280">
                  <c:v>393.39999999999981</c:v>
                </c:pt>
                <c:pt idx="281">
                  <c:v>393.39999999999981</c:v>
                </c:pt>
                <c:pt idx="282">
                  <c:v>393.39999999999981</c:v>
                </c:pt>
                <c:pt idx="283">
                  <c:v>393.39999999999981</c:v>
                </c:pt>
                <c:pt idx="284">
                  <c:v>393.39999999999981</c:v>
                </c:pt>
                <c:pt idx="285">
                  <c:v>393.39999999999981</c:v>
                </c:pt>
                <c:pt idx="286">
                  <c:v>397.19999999999982</c:v>
                </c:pt>
                <c:pt idx="287">
                  <c:v>406.39999999999981</c:v>
                </c:pt>
                <c:pt idx="288">
                  <c:v>406.39999999999981</c:v>
                </c:pt>
                <c:pt idx="289">
                  <c:v>406.39999999999981</c:v>
                </c:pt>
                <c:pt idx="290">
                  <c:v>407.5999999999998</c:v>
                </c:pt>
                <c:pt idx="291">
                  <c:v>413.39999999999981</c:v>
                </c:pt>
                <c:pt idx="292">
                  <c:v>413.5999999999998</c:v>
                </c:pt>
                <c:pt idx="293">
                  <c:v>413.79999999999978</c:v>
                </c:pt>
                <c:pt idx="294">
                  <c:v>413.79999999999978</c:v>
                </c:pt>
                <c:pt idx="295">
                  <c:v>413.79999999999978</c:v>
                </c:pt>
                <c:pt idx="296">
                  <c:v>415.79999999999978</c:v>
                </c:pt>
                <c:pt idx="297">
                  <c:v>415.99999999999977</c:v>
                </c:pt>
                <c:pt idx="298">
                  <c:v>419.99999999999977</c:v>
                </c:pt>
                <c:pt idx="299">
                  <c:v>421.79999999999978</c:v>
                </c:pt>
                <c:pt idx="300">
                  <c:v>422.5999999999998</c:v>
                </c:pt>
                <c:pt idx="301">
                  <c:v>423.99999999999977</c:v>
                </c:pt>
                <c:pt idx="302">
                  <c:v>427.19999999999976</c:v>
                </c:pt>
                <c:pt idx="303">
                  <c:v>427.39999999999975</c:v>
                </c:pt>
                <c:pt idx="304">
                  <c:v>429.19999999999976</c:v>
                </c:pt>
                <c:pt idx="305">
                  <c:v>429.19999999999976</c:v>
                </c:pt>
                <c:pt idx="306">
                  <c:v>429.19999999999976</c:v>
                </c:pt>
                <c:pt idx="307">
                  <c:v>464.79999999999978</c:v>
                </c:pt>
                <c:pt idx="308">
                  <c:v>472.5999999999998</c:v>
                </c:pt>
                <c:pt idx="309">
                  <c:v>483.79999999999978</c:v>
                </c:pt>
                <c:pt idx="310">
                  <c:v>485.99999999999977</c:v>
                </c:pt>
                <c:pt idx="311">
                  <c:v>485.99999999999977</c:v>
                </c:pt>
                <c:pt idx="312">
                  <c:v>487.79999999999978</c:v>
                </c:pt>
                <c:pt idx="313">
                  <c:v>487.79999999999978</c:v>
                </c:pt>
                <c:pt idx="314">
                  <c:v>490.39999999999981</c:v>
                </c:pt>
                <c:pt idx="315">
                  <c:v>490.39999999999981</c:v>
                </c:pt>
                <c:pt idx="316">
                  <c:v>490.79999999999978</c:v>
                </c:pt>
                <c:pt idx="317">
                  <c:v>491.19999999999976</c:v>
                </c:pt>
                <c:pt idx="318">
                  <c:v>501.79999999999978</c:v>
                </c:pt>
                <c:pt idx="319">
                  <c:v>506.99999999999977</c:v>
                </c:pt>
                <c:pt idx="320">
                  <c:v>507.39999999999975</c:v>
                </c:pt>
                <c:pt idx="321">
                  <c:v>508.19999999999976</c:v>
                </c:pt>
                <c:pt idx="322">
                  <c:v>515.79999999999973</c:v>
                </c:pt>
                <c:pt idx="323">
                  <c:v>515.79999999999973</c:v>
                </c:pt>
                <c:pt idx="324">
                  <c:v>517.79999999999973</c:v>
                </c:pt>
                <c:pt idx="325">
                  <c:v>517.79999999999973</c:v>
                </c:pt>
                <c:pt idx="326">
                  <c:v>517.79999999999973</c:v>
                </c:pt>
                <c:pt idx="327">
                  <c:v>518.59999999999968</c:v>
                </c:pt>
                <c:pt idx="328">
                  <c:v>519.1999999999997</c:v>
                </c:pt>
                <c:pt idx="329">
                  <c:v>519.1999999999997</c:v>
                </c:pt>
                <c:pt idx="330">
                  <c:v>519.1999999999997</c:v>
                </c:pt>
                <c:pt idx="331">
                  <c:v>519.1999999999997</c:v>
                </c:pt>
                <c:pt idx="332">
                  <c:v>519.1999999999997</c:v>
                </c:pt>
                <c:pt idx="333">
                  <c:v>519.1999999999997</c:v>
                </c:pt>
                <c:pt idx="334">
                  <c:v>519.1999999999997</c:v>
                </c:pt>
                <c:pt idx="335">
                  <c:v>519.1999999999997</c:v>
                </c:pt>
                <c:pt idx="336">
                  <c:v>519.1999999999997</c:v>
                </c:pt>
                <c:pt idx="337">
                  <c:v>519.1999999999997</c:v>
                </c:pt>
                <c:pt idx="338">
                  <c:v>519.1999999999997</c:v>
                </c:pt>
                <c:pt idx="339">
                  <c:v>519.59999999999968</c:v>
                </c:pt>
                <c:pt idx="340">
                  <c:v>519.59999999999968</c:v>
                </c:pt>
                <c:pt idx="341">
                  <c:v>519.59999999999968</c:v>
                </c:pt>
                <c:pt idx="342">
                  <c:v>520.79999999999973</c:v>
                </c:pt>
                <c:pt idx="343">
                  <c:v>522.1999999999997</c:v>
                </c:pt>
                <c:pt idx="344">
                  <c:v>522.99999999999966</c:v>
                </c:pt>
                <c:pt idx="345">
                  <c:v>525.39999999999964</c:v>
                </c:pt>
                <c:pt idx="346">
                  <c:v>526.79999999999961</c:v>
                </c:pt>
                <c:pt idx="347">
                  <c:v>526.79999999999961</c:v>
                </c:pt>
                <c:pt idx="348">
                  <c:v>526.79999999999961</c:v>
                </c:pt>
                <c:pt idx="349">
                  <c:v>526.79999999999961</c:v>
                </c:pt>
                <c:pt idx="350">
                  <c:v>526.99999999999966</c:v>
                </c:pt>
                <c:pt idx="351">
                  <c:v>526.99999999999966</c:v>
                </c:pt>
                <c:pt idx="352">
                  <c:v>526.99999999999966</c:v>
                </c:pt>
                <c:pt idx="353">
                  <c:v>526.99999999999966</c:v>
                </c:pt>
                <c:pt idx="354">
                  <c:v>526.99999999999966</c:v>
                </c:pt>
                <c:pt idx="355">
                  <c:v>527.59999999999968</c:v>
                </c:pt>
                <c:pt idx="356">
                  <c:v>527.59999999999968</c:v>
                </c:pt>
                <c:pt idx="357">
                  <c:v>527.59999999999968</c:v>
                </c:pt>
                <c:pt idx="358">
                  <c:v>532.79999999999973</c:v>
                </c:pt>
                <c:pt idx="359">
                  <c:v>532.79999999999973</c:v>
                </c:pt>
                <c:pt idx="360">
                  <c:v>532.79999999999973</c:v>
                </c:pt>
                <c:pt idx="361">
                  <c:v>533.39999999999975</c:v>
                </c:pt>
                <c:pt idx="362">
                  <c:v>533.39999999999975</c:v>
                </c:pt>
                <c:pt idx="363">
                  <c:v>535.5999999999998</c:v>
                </c:pt>
                <c:pt idx="364">
                  <c:v>535.5999999999998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15904"/>
        <c:axId val="215517440"/>
      </c:lineChart>
      <c:catAx>
        <c:axId val="2155159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5517440"/>
        <c:crosses val="autoZero"/>
        <c:auto val="1"/>
        <c:lblAlgn val="ctr"/>
        <c:lblOffset val="100"/>
        <c:tickMarkSkip val="15"/>
        <c:noMultiLvlLbl val="0"/>
      </c:catAx>
      <c:valAx>
        <c:axId val="215517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1551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197.62200000000001</c:v>
                </c:pt>
                <c:pt idx="1">
                  <c:v>197.62199999999999</c:v>
                </c:pt>
                <c:pt idx="2">
                  <c:v>209.22199999999995</c:v>
                </c:pt>
                <c:pt idx="3">
                  <c:v>209.22199999999995</c:v>
                </c:pt>
                <c:pt idx="4">
                  <c:v>209.22199999999995</c:v>
                </c:pt>
                <c:pt idx="5">
                  <c:v>209.32199999999995</c:v>
                </c:pt>
                <c:pt idx="6">
                  <c:v>212.22199999999995</c:v>
                </c:pt>
                <c:pt idx="7">
                  <c:v>213.92199999999994</c:v>
                </c:pt>
                <c:pt idx="8">
                  <c:v>228.62199999999993</c:v>
                </c:pt>
                <c:pt idx="9">
                  <c:v>239.82199999999989</c:v>
                </c:pt>
                <c:pt idx="10">
                  <c:v>245.12199999999993</c:v>
                </c:pt>
                <c:pt idx="11">
                  <c:v>254.32199999999995</c:v>
                </c:pt>
                <c:pt idx="12">
                  <c:v>254.32199999999997</c:v>
                </c:pt>
                <c:pt idx="13">
                  <c:v>254.322</c:v>
                </c:pt>
                <c:pt idx="14">
                  <c:v>259.52199999999999</c:v>
                </c:pt>
                <c:pt idx="15">
                  <c:v>264.12200000000001</c:v>
                </c:pt>
                <c:pt idx="16">
                  <c:v>264.12200000000001</c:v>
                </c:pt>
                <c:pt idx="17">
                  <c:v>264.12200000000001</c:v>
                </c:pt>
                <c:pt idx="18">
                  <c:v>264.12200000000001</c:v>
                </c:pt>
                <c:pt idx="19">
                  <c:v>273.62200000000001</c:v>
                </c:pt>
                <c:pt idx="20">
                  <c:v>273.62200000000001</c:v>
                </c:pt>
                <c:pt idx="21">
                  <c:v>278.02199999999999</c:v>
                </c:pt>
                <c:pt idx="22">
                  <c:v>278.02199999999999</c:v>
                </c:pt>
                <c:pt idx="23">
                  <c:v>278.02199999999999</c:v>
                </c:pt>
                <c:pt idx="24">
                  <c:v>278.02199999999999</c:v>
                </c:pt>
                <c:pt idx="25">
                  <c:v>278.02199999999999</c:v>
                </c:pt>
                <c:pt idx="26">
                  <c:v>283.12200000000001</c:v>
                </c:pt>
                <c:pt idx="27">
                  <c:v>301.72200000000004</c:v>
                </c:pt>
                <c:pt idx="28">
                  <c:v>314.42200000000003</c:v>
                </c:pt>
                <c:pt idx="29">
                  <c:v>314.42200000000003</c:v>
                </c:pt>
                <c:pt idx="30">
                  <c:v>333.42200000000003</c:v>
                </c:pt>
                <c:pt idx="31">
                  <c:v>333.42200000000003</c:v>
                </c:pt>
                <c:pt idx="32">
                  <c:v>335.12200000000001</c:v>
                </c:pt>
                <c:pt idx="33">
                  <c:v>335.12199999999996</c:v>
                </c:pt>
                <c:pt idx="34">
                  <c:v>343.62200000000001</c:v>
                </c:pt>
                <c:pt idx="35">
                  <c:v>343.62200000000001</c:v>
                </c:pt>
                <c:pt idx="36">
                  <c:v>343.62200000000001</c:v>
                </c:pt>
                <c:pt idx="37">
                  <c:v>343.62200000000001</c:v>
                </c:pt>
                <c:pt idx="38">
                  <c:v>343.62200000000001</c:v>
                </c:pt>
                <c:pt idx="39">
                  <c:v>343.62200000000001</c:v>
                </c:pt>
                <c:pt idx="40">
                  <c:v>343.62200000000001</c:v>
                </c:pt>
                <c:pt idx="41">
                  <c:v>343.62200000000007</c:v>
                </c:pt>
                <c:pt idx="42">
                  <c:v>346.32200000000006</c:v>
                </c:pt>
                <c:pt idx="43">
                  <c:v>350.12200000000007</c:v>
                </c:pt>
                <c:pt idx="44">
                  <c:v>350.12200000000007</c:v>
                </c:pt>
                <c:pt idx="45">
                  <c:v>350.12200000000007</c:v>
                </c:pt>
                <c:pt idx="46">
                  <c:v>350.12200000000007</c:v>
                </c:pt>
                <c:pt idx="47">
                  <c:v>350.12200000000007</c:v>
                </c:pt>
                <c:pt idx="48">
                  <c:v>350.12200000000007</c:v>
                </c:pt>
                <c:pt idx="49">
                  <c:v>350.12200000000007</c:v>
                </c:pt>
                <c:pt idx="50">
                  <c:v>354.12200000000007</c:v>
                </c:pt>
                <c:pt idx="51">
                  <c:v>357.92200000000008</c:v>
                </c:pt>
                <c:pt idx="52">
                  <c:v>369.02200000000005</c:v>
                </c:pt>
                <c:pt idx="53">
                  <c:v>375.62200000000007</c:v>
                </c:pt>
                <c:pt idx="54">
                  <c:v>375.62200000000007</c:v>
                </c:pt>
                <c:pt idx="55">
                  <c:v>375.62200000000007</c:v>
                </c:pt>
                <c:pt idx="56">
                  <c:v>375.62200000000007</c:v>
                </c:pt>
                <c:pt idx="57">
                  <c:v>375.62200000000007</c:v>
                </c:pt>
                <c:pt idx="58">
                  <c:v>384.72200000000009</c:v>
                </c:pt>
                <c:pt idx="59">
                  <c:v>384.72200000000009</c:v>
                </c:pt>
                <c:pt idx="60">
                  <c:v>394.22200000000009</c:v>
                </c:pt>
                <c:pt idx="61">
                  <c:v>394.22200000000009</c:v>
                </c:pt>
                <c:pt idx="62">
                  <c:v>394.22200000000009</c:v>
                </c:pt>
                <c:pt idx="63">
                  <c:v>401.12200000000007</c:v>
                </c:pt>
                <c:pt idx="64">
                  <c:v>401.12200000000007</c:v>
                </c:pt>
                <c:pt idx="65">
                  <c:v>401.12200000000007</c:v>
                </c:pt>
                <c:pt idx="66">
                  <c:v>415.82200000000006</c:v>
                </c:pt>
                <c:pt idx="67">
                  <c:v>419.42200000000003</c:v>
                </c:pt>
                <c:pt idx="68">
                  <c:v>419.42200000000003</c:v>
                </c:pt>
                <c:pt idx="69">
                  <c:v>419.42199999999997</c:v>
                </c:pt>
                <c:pt idx="70">
                  <c:v>419.42200000000003</c:v>
                </c:pt>
                <c:pt idx="71">
                  <c:v>419.42200000000003</c:v>
                </c:pt>
                <c:pt idx="72">
                  <c:v>419.42200000000003</c:v>
                </c:pt>
                <c:pt idx="73">
                  <c:v>424.12200000000001</c:v>
                </c:pt>
                <c:pt idx="74">
                  <c:v>424.12200000000001</c:v>
                </c:pt>
                <c:pt idx="75">
                  <c:v>441.92200000000003</c:v>
                </c:pt>
                <c:pt idx="76">
                  <c:v>441.92199999999997</c:v>
                </c:pt>
                <c:pt idx="77">
                  <c:v>441.92199999999997</c:v>
                </c:pt>
                <c:pt idx="78">
                  <c:v>441.92199999999997</c:v>
                </c:pt>
                <c:pt idx="79">
                  <c:v>441.92199999999997</c:v>
                </c:pt>
                <c:pt idx="80">
                  <c:v>441.92199999999997</c:v>
                </c:pt>
                <c:pt idx="81">
                  <c:v>441.92199999999997</c:v>
                </c:pt>
                <c:pt idx="82">
                  <c:v>447.62199999999996</c:v>
                </c:pt>
                <c:pt idx="83">
                  <c:v>449.82199999999995</c:v>
                </c:pt>
                <c:pt idx="84">
                  <c:v>449.82199999999995</c:v>
                </c:pt>
                <c:pt idx="85">
                  <c:v>450.12199999999996</c:v>
                </c:pt>
                <c:pt idx="86">
                  <c:v>450.12199999999996</c:v>
                </c:pt>
                <c:pt idx="87">
                  <c:v>450.12199999999996</c:v>
                </c:pt>
                <c:pt idx="88">
                  <c:v>450.12199999999996</c:v>
                </c:pt>
                <c:pt idx="89">
                  <c:v>453.12199999999996</c:v>
                </c:pt>
                <c:pt idx="90">
                  <c:v>453.12199999999996</c:v>
                </c:pt>
                <c:pt idx="91">
                  <c:v>453.12199999999996</c:v>
                </c:pt>
                <c:pt idx="92">
                  <c:v>453.12199999999996</c:v>
                </c:pt>
                <c:pt idx="93">
                  <c:v>457.72199999999998</c:v>
                </c:pt>
                <c:pt idx="94">
                  <c:v>440</c:v>
                </c:pt>
                <c:pt idx="95">
                  <c:v>431.6</c:v>
                </c:pt>
                <c:pt idx="96">
                  <c:v>420.8</c:v>
                </c:pt>
                <c:pt idx="97">
                  <c:v>408</c:v>
                </c:pt>
                <c:pt idx="98">
                  <c:v>396</c:v>
                </c:pt>
                <c:pt idx="99">
                  <c:v>390.40000000000003</c:v>
                </c:pt>
                <c:pt idx="100">
                  <c:v>390.8</c:v>
                </c:pt>
                <c:pt idx="101">
                  <c:v>389.6</c:v>
                </c:pt>
                <c:pt idx="102">
                  <c:v>404.70000000000005</c:v>
                </c:pt>
                <c:pt idx="103">
                  <c:v>404.70000000000005</c:v>
                </c:pt>
                <c:pt idx="104">
                  <c:v>420.40000000000003</c:v>
                </c:pt>
                <c:pt idx="105">
                  <c:v>420.40000000000003</c:v>
                </c:pt>
                <c:pt idx="106">
                  <c:v>416.8</c:v>
                </c:pt>
                <c:pt idx="107">
                  <c:v>406</c:v>
                </c:pt>
                <c:pt idx="108">
                  <c:v>396.8</c:v>
                </c:pt>
                <c:pt idx="109">
                  <c:v>382</c:v>
                </c:pt>
                <c:pt idx="110">
                  <c:v>389.2</c:v>
                </c:pt>
                <c:pt idx="111">
                  <c:v>389.2</c:v>
                </c:pt>
                <c:pt idx="112">
                  <c:v>367.6</c:v>
                </c:pt>
                <c:pt idx="113">
                  <c:v>343.20000000000005</c:v>
                </c:pt>
                <c:pt idx="114">
                  <c:v>328</c:v>
                </c:pt>
                <c:pt idx="115">
                  <c:v>318.8</c:v>
                </c:pt>
                <c:pt idx="116">
                  <c:v>304</c:v>
                </c:pt>
                <c:pt idx="117">
                  <c:v>286</c:v>
                </c:pt>
                <c:pt idx="118">
                  <c:v>264</c:v>
                </c:pt>
                <c:pt idx="119">
                  <c:v>248</c:v>
                </c:pt>
                <c:pt idx="120">
                  <c:v>251.60000000000002</c:v>
                </c:pt>
                <c:pt idx="121">
                  <c:v>245.60000000000002</c:v>
                </c:pt>
                <c:pt idx="122">
                  <c:v>226.8</c:v>
                </c:pt>
                <c:pt idx="123">
                  <c:v>216.4</c:v>
                </c:pt>
                <c:pt idx="124">
                  <c:v>192.4</c:v>
                </c:pt>
                <c:pt idx="125">
                  <c:v>189.60000000000002</c:v>
                </c:pt>
                <c:pt idx="126">
                  <c:v>175.20000000000002</c:v>
                </c:pt>
                <c:pt idx="127">
                  <c:v>179.20000000000002</c:v>
                </c:pt>
                <c:pt idx="128">
                  <c:v>169.60000000000002</c:v>
                </c:pt>
                <c:pt idx="129">
                  <c:v>157.60000000000002</c:v>
                </c:pt>
                <c:pt idx="130">
                  <c:v>146</c:v>
                </c:pt>
                <c:pt idx="131">
                  <c:v>114.4</c:v>
                </c:pt>
                <c:pt idx="132">
                  <c:v>114.4</c:v>
                </c:pt>
                <c:pt idx="133">
                  <c:v>107.60000000000001</c:v>
                </c:pt>
                <c:pt idx="134">
                  <c:v>72</c:v>
                </c:pt>
                <c:pt idx="135">
                  <c:v>14.8</c:v>
                </c:pt>
                <c:pt idx="136">
                  <c:v>0</c:v>
                </c:pt>
                <c:pt idx="299">
                  <c:v>0</c:v>
                </c:pt>
                <c:pt idx="300">
                  <c:v>7.8000000000000007</c:v>
                </c:pt>
                <c:pt idx="301">
                  <c:v>15</c:v>
                </c:pt>
                <c:pt idx="302">
                  <c:v>15</c:v>
                </c:pt>
                <c:pt idx="303">
                  <c:v>14.999999999999998</c:v>
                </c:pt>
                <c:pt idx="304">
                  <c:v>15.299999999999999</c:v>
                </c:pt>
                <c:pt idx="305">
                  <c:v>23.599999999999998</c:v>
                </c:pt>
                <c:pt idx="306">
                  <c:v>23.599999999999998</c:v>
                </c:pt>
                <c:pt idx="307">
                  <c:v>61</c:v>
                </c:pt>
                <c:pt idx="308">
                  <c:v>40</c:v>
                </c:pt>
                <c:pt idx="309">
                  <c:v>34</c:v>
                </c:pt>
                <c:pt idx="310">
                  <c:v>23.200000000000003</c:v>
                </c:pt>
                <c:pt idx="311">
                  <c:v>23.200000000000003</c:v>
                </c:pt>
                <c:pt idx="312">
                  <c:v>25.1</c:v>
                </c:pt>
                <c:pt idx="313">
                  <c:v>25.1</c:v>
                </c:pt>
                <c:pt idx="314">
                  <c:v>37.700000000000003</c:v>
                </c:pt>
                <c:pt idx="315">
                  <c:v>44.6</c:v>
                </c:pt>
                <c:pt idx="316">
                  <c:v>51.099999999999994</c:v>
                </c:pt>
                <c:pt idx="317">
                  <c:v>59.399999999999991</c:v>
                </c:pt>
                <c:pt idx="318">
                  <c:v>64.699999999999989</c:v>
                </c:pt>
                <c:pt idx="319">
                  <c:v>64.699999999999989</c:v>
                </c:pt>
                <c:pt idx="320">
                  <c:v>64.699999999999989</c:v>
                </c:pt>
                <c:pt idx="321">
                  <c:v>64.699999999999989</c:v>
                </c:pt>
                <c:pt idx="322">
                  <c:v>72.699999999999989</c:v>
                </c:pt>
                <c:pt idx="323">
                  <c:v>72.699999999999989</c:v>
                </c:pt>
                <c:pt idx="324">
                  <c:v>88.199999999999989</c:v>
                </c:pt>
                <c:pt idx="325">
                  <c:v>88.199999999999989</c:v>
                </c:pt>
                <c:pt idx="326">
                  <c:v>108.19999999999999</c:v>
                </c:pt>
                <c:pt idx="327">
                  <c:v>108.19999999999999</c:v>
                </c:pt>
                <c:pt idx="328">
                  <c:v>109.6</c:v>
                </c:pt>
                <c:pt idx="329">
                  <c:v>112.19999999999999</c:v>
                </c:pt>
                <c:pt idx="330">
                  <c:v>114.79999999999997</c:v>
                </c:pt>
                <c:pt idx="331">
                  <c:v>116.09999999999997</c:v>
                </c:pt>
                <c:pt idx="332">
                  <c:v>122.59999999999997</c:v>
                </c:pt>
                <c:pt idx="333">
                  <c:v>129.09999999999997</c:v>
                </c:pt>
                <c:pt idx="334">
                  <c:v>130.79999999999995</c:v>
                </c:pt>
                <c:pt idx="335">
                  <c:v>130.79999999999995</c:v>
                </c:pt>
                <c:pt idx="336">
                  <c:v>133.79999999999995</c:v>
                </c:pt>
                <c:pt idx="337">
                  <c:v>133.79999999999995</c:v>
                </c:pt>
                <c:pt idx="338">
                  <c:v>139.79999999999995</c:v>
                </c:pt>
                <c:pt idx="339">
                  <c:v>139.79999999999995</c:v>
                </c:pt>
                <c:pt idx="340">
                  <c:v>139.79999999999995</c:v>
                </c:pt>
                <c:pt idx="341">
                  <c:v>140.79999999999995</c:v>
                </c:pt>
                <c:pt idx="342">
                  <c:v>143.39999999999995</c:v>
                </c:pt>
                <c:pt idx="343">
                  <c:v>144.69999999999996</c:v>
                </c:pt>
                <c:pt idx="344">
                  <c:v>147.79999999999995</c:v>
                </c:pt>
                <c:pt idx="345">
                  <c:v>150.39999999999995</c:v>
                </c:pt>
                <c:pt idx="346">
                  <c:v>152.49999999999994</c:v>
                </c:pt>
                <c:pt idx="347">
                  <c:v>159.89999999999995</c:v>
                </c:pt>
                <c:pt idx="348">
                  <c:v>168.89999999999995</c:v>
                </c:pt>
                <c:pt idx="349">
                  <c:v>168.89999999999995</c:v>
                </c:pt>
                <c:pt idx="350">
                  <c:v>168.89999999999995</c:v>
                </c:pt>
                <c:pt idx="351">
                  <c:v>171.39999999999995</c:v>
                </c:pt>
                <c:pt idx="352">
                  <c:v>171.39999999999995</c:v>
                </c:pt>
                <c:pt idx="353">
                  <c:v>171.39999999999995</c:v>
                </c:pt>
                <c:pt idx="354">
                  <c:v>173.09999999999994</c:v>
                </c:pt>
                <c:pt idx="355">
                  <c:v>173.09999999999994</c:v>
                </c:pt>
                <c:pt idx="356">
                  <c:v>182.19999999999993</c:v>
                </c:pt>
                <c:pt idx="357">
                  <c:v>185.69999999999993</c:v>
                </c:pt>
                <c:pt idx="358">
                  <c:v>185.69999999999993</c:v>
                </c:pt>
                <c:pt idx="359">
                  <c:v>185.69999999999993</c:v>
                </c:pt>
                <c:pt idx="360">
                  <c:v>190.99999999999994</c:v>
                </c:pt>
                <c:pt idx="361">
                  <c:v>195.29999999999995</c:v>
                </c:pt>
                <c:pt idx="362">
                  <c:v>195.99999999999994</c:v>
                </c:pt>
                <c:pt idx="363">
                  <c:v>195.99999999999994</c:v>
                </c:pt>
                <c:pt idx="364">
                  <c:v>195.99999999999994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92576"/>
        <c:axId val="255848832"/>
      </c:lineChart>
      <c:catAx>
        <c:axId val="2507925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5848832"/>
        <c:crosses val="autoZero"/>
        <c:auto val="1"/>
        <c:lblAlgn val="ctr"/>
        <c:lblOffset val="100"/>
        <c:tickMarkSkip val="18"/>
        <c:noMultiLvlLbl val="0"/>
      </c:catAx>
      <c:valAx>
        <c:axId val="255848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5079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-5.773159728050814E-15</c:v>
                </c:pt>
                <c:pt idx="1">
                  <c:v>0</c:v>
                </c:pt>
                <c:pt idx="2">
                  <c:v>3.3750779948604759E-14</c:v>
                </c:pt>
                <c:pt idx="3">
                  <c:v>0</c:v>
                </c:pt>
                <c:pt idx="4">
                  <c:v>0</c:v>
                </c:pt>
                <c:pt idx="5">
                  <c:v>5.6898930012039273E-15</c:v>
                </c:pt>
                <c:pt idx="6">
                  <c:v>-5.773159728050814E-15</c:v>
                </c:pt>
                <c:pt idx="7">
                  <c:v>1.1324274851176597E-14</c:v>
                </c:pt>
                <c:pt idx="8">
                  <c:v>0</c:v>
                </c:pt>
                <c:pt idx="9">
                  <c:v>3.907985046680551E-14</c:v>
                </c:pt>
                <c:pt idx="10">
                  <c:v>-3.9968028886505635E-14</c:v>
                </c:pt>
                <c:pt idx="11">
                  <c:v>-1.7763568394002505E-14</c:v>
                </c:pt>
                <c:pt idx="12">
                  <c:v>0</c:v>
                </c:pt>
                <c:pt idx="13">
                  <c:v>0</c:v>
                </c:pt>
                <c:pt idx="14">
                  <c:v>1.1546319456101628E-14</c:v>
                </c:pt>
                <c:pt idx="15">
                  <c:v>-2.3092638912203256E-14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2.3092638912203256E-14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-2.3092638912203256E-14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1.1324274851176597E-14</c:v>
                </c:pt>
                <c:pt idx="33">
                  <c:v>0</c:v>
                </c:pt>
                <c:pt idx="34">
                  <c:v>-5.6843418860808015E-14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1.1546319456101628E-14</c:v>
                </c:pt>
                <c:pt idx="43">
                  <c:v>-1.1546319456101628E-14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-1.1546319456101628E-14</c:v>
                </c:pt>
                <c:pt idx="52">
                  <c:v>3.3750779948604759E-14</c:v>
                </c:pt>
                <c:pt idx="53">
                  <c:v>-2.3092638912203256E-14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-2.3092638912203256E-14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2.3092638912203256E-14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3.4194869158454821E-14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1.1546319456101628E-14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1.1546319456101628E-14</c:v>
                </c:pt>
                <c:pt idx="83">
                  <c:v>1.1546319456101628E-14</c:v>
                </c:pt>
                <c:pt idx="84">
                  <c:v>0</c:v>
                </c:pt>
                <c:pt idx="85">
                  <c:v>-1.1379786002407855E-14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-2.3092638912203256E-14</c:v>
                </c:pt>
                <c:pt idx="94">
                  <c:v>17.921999999999979</c:v>
                </c:pt>
                <c:pt idx="95">
                  <c:v>11.999999999999977</c:v>
                </c:pt>
                <c:pt idx="96">
                  <c:v>10.800000000000011</c:v>
                </c:pt>
                <c:pt idx="97">
                  <c:v>13.900000000000011</c:v>
                </c:pt>
                <c:pt idx="98">
                  <c:v>13.3</c:v>
                </c:pt>
                <c:pt idx="99">
                  <c:v>8.7999999999999652</c:v>
                </c:pt>
                <c:pt idx="100">
                  <c:v>0.90000000000002278</c:v>
                </c:pt>
                <c:pt idx="101">
                  <c:v>2.4999999999999885</c:v>
                </c:pt>
                <c:pt idx="102">
                  <c:v>-2.3092638912203256E-14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3.6000000000000227</c:v>
                </c:pt>
                <c:pt idx="107">
                  <c:v>10.800000000000011</c:v>
                </c:pt>
                <c:pt idx="108">
                  <c:v>9.1999999999999886</c:v>
                </c:pt>
                <c:pt idx="109">
                  <c:v>14.800000000000011</c:v>
                </c:pt>
                <c:pt idx="110">
                  <c:v>1.1546319456101628E-14</c:v>
                </c:pt>
                <c:pt idx="111">
                  <c:v>0</c:v>
                </c:pt>
                <c:pt idx="112">
                  <c:v>21.599999999999966</c:v>
                </c:pt>
                <c:pt idx="113">
                  <c:v>24.399999999999977</c:v>
                </c:pt>
                <c:pt idx="114">
                  <c:v>15.200000000000045</c:v>
                </c:pt>
                <c:pt idx="115">
                  <c:v>9.1999999999999886</c:v>
                </c:pt>
                <c:pt idx="116">
                  <c:v>14.800000000000011</c:v>
                </c:pt>
                <c:pt idx="117">
                  <c:v>18</c:v>
                </c:pt>
                <c:pt idx="118">
                  <c:v>26.4</c:v>
                </c:pt>
                <c:pt idx="119">
                  <c:v>16.2</c:v>
                </c:pt>
                <c:pt idx="120">
                  <c:v>1.1999999999999771</c:v>
                </c:pt>
                <c:pt idx="121">
                  <c:v>6</c:v>
                </c:pt>
                <c:pt idx="122">
                  <c:v>18.800000000000011</c:v>
                </c:pt>
                <c:pt idx="123">
                  <c:v>10.400000000000006</c:v>
                </c:pt>
                <c:pt idx="124">
                  <c:v>24</c:v>
                </c:pt>
                <c:pt idx="125">
                  <c:v>2.9999999999999831</c:v>
                </c:pt>
                <c:pt idx="126">
                  <c:v>15.200000000000006</c:v>
                </c:pt>
                <c:pt idx="127">
                  <c:v>0</c:v>
                </c:pt>
                <c:pt idx="128">
                  <c:v>9.5999999999999943</c:v>
                </c:pt>
                <c:pt idx="129">
                  <c:v>12</c:v>
                </c:pt>
                <c:pt idx="130">
                  <c:v>14.600000000000023</c:v>
                </c:pt>
                <c:pt idx="131">
                  <c:v>31.599999999999994</c:v>
                </c:pt>
                <c:pt idx="132">
                  <c:v>0</c:v>
                </c:pt>
                <c:pt idx="133">
                  <c:v>6.7999999999999972</c:v>
                </c:pt>
                <c:pt idx="134">
                  <c:v>35.600000000000009</c:v>
                </c:pt>
                <c:pt idx="135">
                  <c:v>57.2</c:v>
                </c:pt>
                <c:pt idx="136">
                  <c:v>14.8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-7.2164496600635175E-16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29.2</c:v>
                </c:pt>
                <c:pt idx="309">
                  <c:v>17.8</c:v>
                </c:pt>
                <c:pt idx="310">
                  <c:v>13.099999999999998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7.1054273576010019E-15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-5.773159728050814E-15</c:v>
                </c:pt>
                <c:pt idx="329">
                  <c:v>5.773159728050814E-15</c:v>
                </c:pt>
                <c:pt idx="330">
                  <c:v>1.9984014443252818E-14</c:v>
                </c:pt>
                <c:pt idx="331">
                  <c:v>2.886579864025407E-15</c:v>
                </c:pt>
                <c:pt idx="332">
                  <c:v>0</c:v>
                </c:pt>
                <c:pt idx="333">
                  <c:v>0</c:v>
                </c:pt>
                <c:pt idx="334">
                  <c:v>1.1324274851176597E-14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5.773159728050814E-15</c:v>
                </c:pt>
                <c:pt idx="343">
                  <c:v>-1.1324274851176597E-14</c:v>
                </c:pt>
                <c:pt idx="344">
                  <c:v>5.773159728050814E-15</c:v>
                </c:pt>
                <c:pt idx="345">
                  <c:v>5.773159728050814E-15</c:v>
                </c:pt>
                <c:pt idx="346">
                  <c:v>5.773159728050814E-15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1.1324274851176597E-14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-1.1546319456101628E-14</c:v>
                </c:pt>
                <c:pt idx="361">
                  <c:v>-1.1546319456101628E-14</c:v>
                </c:pt>
                <c:pt idx="362">
                  <c:v>1.1324274851176597E-14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885888"/>
        <c:axId val="256887424"/>
      </c:barChart>
      <c:catAx>
        <c:axId val="256885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887424"/>
        <c:crosses val="autoZero"/>
        <c:auto val="1"/>
        <c:lblAlgn val="ctr"/>
        <c:lblOffset val="100"/>
        <c:tickMarkSkip val="18"/>
        <c:noMultiLvlLbl val="0"/>
      </c:catAx>
      <c:valAx>
        <c:axId val="256887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56885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0.32664793388429753</c:v>
                </c:pt>
                <c:pt idx="1">
                  <c:v>0.33723890784982935</c:v>
                </c:pt>
                <c:pt idx="2">
                  <c:v>0.30995851851851847</c:v>
                </c:pt>
                <c:pt idx="3">
                  <c:v>0.31652344931921322</c:v>
                </c:pt>
                <c:pt idx="4">
                  <c:v>0.32487888198757758</c:v>
                </c:pt>
                <c:pt idx="5">
                  <c:v>0.32453023255813945</c:v>
                </c:pt>
                <c:pt idx="6">
                  <c:v>0.3181739130434782</c:v>
                </c:pt>
                <c:pt idx="7">
                  <c:v>0.31459117647058815</c:v>
                </c:pt>
                <c:pt idx="8">
                  <c:v>0.28830012610340472</c:v>
                </c:pt>
                <c:pt idx="9">
                  <c:v>0.27283503981797486</c:v>
                </c:pt>
                <c:pt idx="10">
                  <c:v>0.26643695652173904</c:v>
                </c:pt>
                <c:pt idx="11">
                  <c:v>0.25663168516649842</c:v>
                </c:pt>
                <c:pt idx="12">
                  <c:v>0.27375888051668457</c:v>
                </c:pt>
                <c:pt idx="13">
                  <c:v>0.28384151785714284</c:v>
                </c:pt>
                <c:pt idx="14">
                  <c:v>0.27726709401709398</c:v>
                </c:pt>
                <c:pt idx="15">
                  <c:v>0.27201029866117404</c:v>
                </c:pt>
                <c:pt idx="16">
                  <c:v>0.28430785791173308</c:v>
                </c:pt>
                <c:pt idx="17">
                  <c:v>0.30013863636363636</c:v>
                </c:pt>
                <c:pt idx="18">
                  <c:v>0.30013863636363636</c:v>
                </c:pt>
                <c:pt idx="19">
                  <c:v>0.28711647429171039</c:v>
                </c:pt>
                <c:pt idx="20">
                  <c:v>0.29806318082788674</c:v>
                </c:pt>
                <c:pt idx="21">
                  <c:v>0.29203991596638657</c:v>
                </c:pt>
                <c:pt idx="22">
                  <c:v>0.30154229934924076</c:v>
                </c:pt>
                <c:pt idx="23">
                  <c:v>0.30686754966887414</c:v>
                </c:pt>
                <c:pt idx="24">
                  <c:v>0.31846735395189002</c:v>
                </c:pt>
                <c:pt idx="25">
                  <c:v>0.32517192982456139</c:v>
                </c:pt>
                <c:pt idx="26">
                  <c:v>0.31669127516778522</c:v>
                </c:pt>
                <c:pt idx="27">
                  <c:v>0.29095660559305692</c:v>
                </c:pt>
                <c:pt idx="28">
                  <c:v>0.27702378854625553</c:v>
                </c:pt>
                <c:pt idx="29">
                  <c:v>0.2812361359570662</c:v>
                </c:pt>
                <c:pt idx="30">
                  <c:v>0.26378322784810126</c:v>
                </c:pt>
                <c:pt idx="31">
                  <c:v>0.28352210884353746</c:v>
                </c:pt>
                <c:pt idx="32">
                  <c:v>0.28185197645079901</c:v>
                </c:pt>
                <c:pt idx="33">
                  <c:v>0.2823268744734625</c:v>
                </c:pt>
                <c:pt idx="34">
                  <c:v>0.27445846645367411</c:v>
                </c:pt>
                <c:pt idx="35">
                  <c:v>0.28492703150912108</c:v>
                </c:pt>
                <c:pt idx="36">
                  <c:v>0.29269335604770019</c:v>
                </c:pt>
                <c:pt idx="37">
                  <c:v>0.29880173913043478</c:v>
                </c:pt>
                <c:pt idx="38">
                  <c:v>0.31238363636363636</c:v>
                </c:pt>
                <c:pt idx="39">
                  <c:v>0.31964837209302327</c:v>
                </c:pt>
                <c:pt idx="40">
                  <c:v>0.32295300751879702</c:v>
                </c:pt>
                <c:pt idx="41">
                  <c:v>0.32447780925401326</c:v>
                </c:pt>
                <c:pt idx="42">
                  <c:v>0.32066851851851857</c:v>
                </c:pt>
                <c:pt idx="43">
                  <c:v>0.31570964833183052</c:v>
                </c:pt>
                <c:pt idx="44">
                  <c:v>0.32691129785247441</c:v>
                </c:pt>
                <c:pt idx="45">
                  <c:v>0.32721682242990663</c:v>
                </c:pt>
                <c:pt idx="46">
                  <c:v>0.32813683223992507</c:v>
                </c:pt>
                <c:pt idx="47">
                  <c:v>0.32875305164319257</c:v>
                </c:pt>
                <c:pt idx="48">
                  <c:v>0.33124124881740785</c:v>
                </c:pt>
                <c:pt idx="49">
                  <c:v>0.33186919431279627</c:v>
                </c:pt>
                <c:pt idx="50">
                  <c:v>0.32607918968692456</c:v>
                </c:pt>
                <c:pt idx="51">
                  <c:v>0.3210062780269059</c:v>
                </c:pt>
                <c:pt idx="52">
                  <c:v>0.30751833333333339</c:v>
                </c:pt>
                <c:pt idx="53">
                  <c:v>0.30025739408473229</c:v>
                </c:pt>
                <c:pt idx="54">
                  <c:v>0.30788688524590169</c:v>
                </c:pt>
                <c:pt idx="55">
                  <c:v>0.3145912897822446</c:v>
                </c:pt>
                <c:pt idx="56">
                  <c:v>0.31832372881355936</c:v>
                </c:pt>
                <c:pt idx="57">
                  <c:v>0.32049658703071676</c:v>
                </c:pt>
                <c:pt idx="58">
                  <c:v>0.30976006441223841</c:v>
                </c:pt>
                <c:pt idx="59">
                  <c:v>0.31716570486397372</c:v>
                </c:pt>
                <c:pt idx="60">
                  <c:v>0.3065489891135304</c:v>
                </c:pt>
                <c:pt idx="61">
                  <c:v>0.31462250598563457</c:v>
                </c:pt>
                <c:pt idx="62">
                  <c:v>0.31869199676637033</c:v>
                </c:pt>
                <c:pt idx="63">
                  <c:v>0.31094728682170547</c:v>
                </c:pt>
                <c:pt idx="64">
                  <c:v>0.32115452361889518</c:v>
                </c:pt>
                <c:pt idx="65">
                  <c:v>0.33014156378600829</c:v>
                </c:pt>
                <c:pt idx="66">
                  <c:v>0.31311897590361448</c:v>
                </c:pt>
                <c:pt idx="67">
                  <c:v>0.30930825958702068</c:v>
                </c:pt>
                <c:pt idx="68">
                  <c:v>0.32065902140672786</c:v>
                </c:pt>
                <c:pt idx="69">
                  <c:v>0.32513333333333333</c:v>
                </c:pt>
                <c:pt idx="70">
                  <c:v>0.3276734375</c:v>
                </c:pt>
                <c:pt idx="71">
                  <c:v>0.33287460317460321</c:v>
                </c:pt>
                <c:pt idx="72">
                  <c:v>0.336885140562249</c:v>
                </c:pt>
                <c:pt idx="73">
                  <c:v>0.3310866510538642</c:v>
                </c:pt>
                <c:pt idx="74">
                  <c:v>0.33474506708760854</c:v>
                </c:pt>
                <c:pt idx="75">
                  <c:v>0.31475925925925929</c:v>
                </c:pt>
                <c:pt idx="76">
                  <c:v>0.32139781818181817</c:v>
                </c:pt>
                <c:pt idx="77">
                  <c:v>0.33504321455648217</c:v>
                </c:pt>
                <c:pt idx="78">
                  <c:v>0.34046379044684127</c:v>
                </c:pt>
                <c:pt idx="79">
                  <c:v>0.34230983733539888</c:v>
                </c:pt>
                <c:pt idx="80">
                  <c:v>0.34633385579937304</c:v>
                </c:pt>
                <c:pt idx="81">
                  <c:v>0.36857547956630521</c:v>
                </c:pt>
                <c:pt idx="82">
                  <c:v>0.3601142397425583</c:v>
                </c:pt>
                <c:pt idx="83">
                  <c:v>0.35700158730158726</c:v>
                </c:pt>
                <c:pt idx="84">
                  <c:v>0.36014571657325856</c:v>
                </c:pt>
                <c:pt idx="85">
                  <c:v>0.35980975219824135</c:v>
                </c:pt>
                <c:pt idx="86">
                  <c:v>0.36270910556003222</c:v>
                </c:pt>
                <c:pt idx="87">
                  <c:v>0.37169446738232864</c:v>
                </c:pt>
                <c:pt idx="88">
                  <c:v>0.37416625103906898</c:v>
                </c:pt>
                <c:pt idx="89">
                  <c:v>0.3695938009787928</c:v>
                </c:pt>
                <c:pt idx="90">
                  <c:v>0.3782320534223706</c:v>
                </c:pt>
                <c:pt idx="91">
                  <c:v>0.3820590219224283</c:v>
                </c:pt>
                <c:pt idx="92">
                  <c:v>0.3836765453005927</c:v>
                </c:pt>
                <c:pt idx="93">
                  <c:v>0.39390877796901891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0.37128440366972482</c:v>
                </c:pt>
                <c:pt idx="103">
                  <c:v>0.38690248565965585</c:v>
                </c:pt>
                <c:pt idx="104">
                  <c:v>0.36023993144815769</c:v>
                </c:pt>
                <c:pt idx="105">
                  <c:v>0.38148820326678767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0.38534653465346536</c:v>
                </c:pt>
                <c:pt idx="111">
                  <c:v>0.38919999999999999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0.35092024539877303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300">
                  <c:v>0.13</c:v>
                </c:pt>
                <c:pt idx="301">
                  <c:v>0.13043478260869565</c:v>
                </c:pt>
                <c:pt idx="302">
                  <c:v>0.16666666666666666</c:v>
                </c:pt>
                <c:pt idx="303">
                  <c:v>0.17045454545454544</c:v>
                </c:pt>
                <c:pt idx="304">
                  <c:v>0.16999999999999998</c:v>
                </c:pt>
                <c:pt idx="305">
                  <c:v>0.15324675324675324</c:v>
                </c:pt>
                <c:pt idx="306">
                  <c:v>9.6326530612244887E-2</c:v>
                </c:pt>
                <c:pt idx="307">
                  <c:v>0.35882352941176471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0.28850574712643678</c:v>
                </c:pt>
                <c:pt idx="313">
                  <c:v>0.16733333333333333</c:v>
                </c:pt>
                <c:pt idx="314">
                  <c:v>0.15263157894736842</c:v>
                </c:pt>
                <c:pt idx="315">
                  <c:v>0.14866666666666667</c:v>
                </c:pt>
                <c:pt idx="316">
                  <c:v>0.14599999999999999</c:v>
                </c:pt>
                <c:pt idx="317">
                  <c:v>0.14347826086956519</c:v>
                </c:pt>
                <c:pt idx="318">
                  <c:v>0.14219780219780218</c:v>
                </c:pt>
                <c:pt idx="319">
                  <c:v>0.15046511627906975</c:v>
                </c:pt>
                <c:pt idx="320">
                  <c:v>0.16014851485148512</c:v>
                </c:pt>
                <c:pt idx="321">
                  <c:v>0.16256281407035172</c:v>
                </c:pt>
                <c:pt idx="322">
                  <c:v>0.2025069637883008</c:v>
                </c:pt>
                <c:pt idx="323">
                  <c:v>0.22097264437689967</c:v>
                </c:pt>
                <c:pt idx="324">
                  <c:v>0.19687499999999997</c:v>
                </c:pt>
                <c:pt idx="325">
                  <c:v>0.22105263157894733</c:v>
                </c:pt>
                <c:pt idx="326">
                  <c:v>0.19566003616636526</c:v>
                </c:pt>
                <c:pt idx="327">
                  <c:v>0.20074211502782929</c:v>
                </c:pt>
                <c:pt idx="328">
                  <c:v>0.19927272727272727</c:v>
                </c:pt>
                <c:pt idx="329">
                  <c:v>0.19684210526315787</c:v>
                </c:pt>
                <c:pt idx="330">
                  <c:v>0.19457627118644064</c:v>
                </c:pt>
                <c:pt idx="331">
                  <c:v>0.19349999999999995</c:v>
                </c:pt>
                <c:pt idx="332">
                  <c:v>0.18861538461538457</c:v>
                </c:pt>
                <c:pt idx="333">
                  <c:v>0.18442857142857139</c:v>
                </c:pt>
                <c:pt idx="334">
                  <c:v>0.18345021037868156</c:v>
                </c:pt>
                <c:pt idx="335">
                  <c:v>0.18396624472573833</c:v>
                </c:pt>
                <c:pt idx="336">
                  <c:v>0.1822888283378746</c:v>
                </c:pt>
                <c:pt idx="337">
                  <c:v>0.18609179415855348</c:v>
                </c:pt>
                <c:pt idx="338">
                  <c:v>0.18274509803921563</c:v>
                </c:pt>
                <c:pt idx="339">
                  <c:v>0.18639999999999993</c:v>
                </c:pt>
                <c:pt idx="340">
                  <c:v>0.19634831460674151</c:v>
                </c:pt>
                <c:pt idx="341">
                  <c:v>0.19555555555555548</c:v>
                </c:pt>
                <c:pt idx="342">
                  <c:v>0.19378378378378372</c:v>
                </c:pt>
                <c:pt idx="343">
                  <c:v>0.19293333333333329</c:v>
                </c:pt>
                <c:pt idx="344">
                  <c:v>0.19095607235142112</c:v>
                </c:pt>
                <c:pt idx="345">
                  <c:v>0.18942065491183874</c:v>
                </c:pt>
                <c:pt idx="346">
                  <c:v>0.18827160493827153</c:v>
                </c:pt>
                <c:pt idx="347">
                  <c:v>0.18442906574394458</c:v>
                </c:pt>
                <c:pt idx="348">
                  <c:v>0.18044871794871789</c:v>
                </c:pt>
                <c:pt idx="349">
                  <c:v>0.18787541713014455</c:v>
                </c:pt>
                <c:pt idx="350">
                  <c:v>0.19988165680473366</c:v>
                </c:pt>
                <c:pt idx="351">
                  <c:v>0.19837962962962957</c:v>
                </c:pt>
                <c:pt idx="352">
                  <c:v>0.20332147093712924</c:v>
                </c:pt>
                <c:pt idx="353">
                  <c:v>0.20927960927960923</c:v>
                </c:pt>
                <c:pt idx="354">
                  <c:v>0.20805288461538454</c:v>
                </c:pt>
                <c:pt idx="355">
                  <c:v>0.21476426799007436</c:v>
                </c:pt>
                <c:pt idx="356">
                  <c:v>0.20799086757990859</c:v>
                </c:pt>
                <c:pt idx="357">
                  <c:v>0.20564784053156138</c:v>
                </c:pt>
                <c:pt idx="358">
                  <c:v>0.2112627986348122</c:v>
                </c:pt>
                <c:pt idx="359">
                  <c:v>0.22400482509047037</c:v>
                </c:pt>
                <c:pt idx="360">
                  <c:v>0.21954022988505742</c:v>
                </c:pt>
                <c:pt idx="361">
                  <c:v>0.21627906976744182</c:v>
                </c:pt>
                <c:pt idx="362">
                  <c:v>0.21585903083700433</c:v>
                </c:pt>
                <c:pt idx="363">
                  <c:v>0.2212189616252821</c:v>
                </c:pt>
                <c:pt idx="364">
                  <c:v>0.22737819025522035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61248"/>
        <c:axId val="257782528"/>
      </c:lineChart>
      <c:catAx>
        <c:axId val="2574612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7782528"/>
        <c:crosses val="autoZero"/>
        <c:auto val="1"/>
        <c:lblAlgn val="ctr"/>
        <c:lblOffset val="100"/>
        <c:tickMarkSkip val="18"/>
        <c:noMultiLvlLbl val="0"/>
      </c:catAx>
      <c:valAx>
        <c:axId val="257782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5746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7425083240843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801331853496109E-2"/>
          <c:y val="0.12234910277324633"/>
          <c:w val="0.91009988901220862"/>
          <c:h val="0.8075040783034257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13.03</c:v>
                </c:pt>
                <c:pt idx="1">
                  <c:v>13.01</c:v>
                </c:pt>
                <c:pt idx="2">
                  <c:v>13.11</c:v>
                </c:pt>
                <c:pt idx="3">
                  <c:v>13.1</c:v>
                </c:pt>
                <c:pt idx="4">
                  <c:v>12.7</c:v>
                </c:pt>
                <c:pt idx="5">
                  <c:v>12.8</c:v>
                </c:pt>
                <c:pt idx="6">
                  <c:v>13.02</c:v>
                </c:pt>
                <c:pt idx="7">
                  <c:v>13.01</c:v>
                </c:pt>
                <c:pt idx="8">
                  <c:v>12.65</c:v>
                </c:pt>
                <c:pt idx="9">
                  <c:v>12.59</c:v>
                </c:pt>
                <c:pt idx="10">
                  <c:v>12.93</c:v>
                </c:pt>
                <c:pt idx="11">
                  <c:v>12.9</c:v>
                </c:pt>
                <c:pt idx="12">
                  <c:v>12.93</c:v>
                </c:pt>
                <c:pt idx="13">
                  <c:v>13.01</c:v>
                </c:pt>
                <c:pt idx="14">
                  <c:v>12.97</c:v>
                </c:pt>
                <c:pt idx="15">
                  <c:v>13.03</c:v>
                </c:pt>
                <c:pt idx="16">
                  <c:v>13.08</c:v>
                </c:pt>
                <c:pt idx="17">
                  <c:v>12.93</c:v>
                </c:pt>
                <c:pt idx="18">
                  <c:v>13.07</c:v>
                </c:pt>
                <c:pt idx="19">
                  <c:v>12.84</c:v>
                </c:pt>
                <c:pt idx="20">
                  <c:v>13.13</c:v>
                </c:pt>
                <c:pt idx="21">
                  <c:v>13.01</c:v>
                </c:pt>
                <c:pt idx="22">
                  <c:v>13.09</c:v>
                </c:pt>
                <c:pt idx="23">
                  <c:v>13.1</c:v>
                </c:pt>
                <c:pt idx="24">
                  <c:v>13.13</c:v>
                </c:pt>
                <c:pt idx="25">
                  <c:v>13.06</c:v>
                </c:pt>
                <c:pt idx="26">
                  <c:v>13.1</c:v>
                </c:pt>
                <c:pt idx="27">
                  <c:v>13.05</c:v>
                </c:pt>
                <c:pt idx="28">
                  <c:v>13.05</c:v>
                </c:pt>
                <c:pt idx="29">
                  <c:v>12.87</c:v>
                </c:pt>
                <c:pt idx="30">
                  <c:v>12.95</c:v>
                </c:pt>
                <c:pt idx="31">
                  <c:v>13.06</c:v>
                </c:pt>
                <c:pt idx="32">
                  <c:v>13.08</c:v>
                </c:pt>
                <c:pt idx="33">
                  <c:v>13.1</c:v>
                </c:pt>
                <c:pt idx="34">
                  <c:v>13.02</c:v>
                </c:pt>
                <c:pt idx="35">
                  <c:v>13.11</c:v>
                </c:pt>
                <c:pt idx="36">
                  <c:v>13.12</c:v>
                </c:pt>
                <c:pt idx="37">
                  <c:v>13.07</c:v>
                </c:pt>
                <c:pt idx="38">
                  <c:v>13.12</c:v>
                </c:pt>
                <c:pt idx="39">
                  <c:v>13.14</c:v>
                </c:pt>
                <c:pt idx="40">
                  <c:v>13.15</c:v>
                </c:pt>
                <c:pt idx="41">
                  <c:v>13.15</c:v>
                </c:pt>
                <c:pt idx="42">
                  <c:v>13.14</c:v>
                </c:pt>
                <c:pt idx="43">
                  <c:v>13.1</c:v>
                </c:pt>
                <c:pt idx="44">
                  <c:v>13.15</c:v>
                </c:pt>
                <c:pt idx="45">
                  <c:v>13.18</c:v>
                </c:pt>
                <c:pt idx="46">
                  <c:v>13.17</c:v>
                </c:pt>
                <c:pt idx="47">
                  <c:v>13.18</c:v>
                </c:pt>
                <c:pt idx="48">
                  <c:v>13.19</c:v>
                </c:pt>
                <c:pt idx="49">
                  <c:v>13.16</c:v>
                </c:pt>
                <c:pt idx="50">
                  <c:v>13.13</c:v>
                </c:pt>
                <c:pt idx="51">
                  <c:v>13.07</c:v>
                </c:pt>
                <c:pt idx="52">
                  <c:v>13.15</c:v>
                </c:pt>
                <c:pt idx="53">
                  <c:v>13.17</c:v>
                </c:pt>
                <c:pt idx="54">
                  <c:v>13.18</c:v>
                </c:pt>
                <c:pt idx="55">
                  <c:v>13.16</c:v>
                </c:pt>
                <c:pt idx="56">
                  <c:v>13.1</c:v>
                </c:pt>
                <c:pt idx="57">
                  <c:v>13.16</c:v>
                </c:pt>
                <c:pt idx="58">
                  <c:v>13.13</c:v>
                </c:pt>
                <c:pt idx="59">
                  <c:v>13.19</c:v>
                </c:pt>
                <c:pt idx="60">
                  <c:v>13.1</c:v>
                </c:pt>
                <c:pt idx="61">
                  <c:v>13.18</c:v>
                </c:pt>
                <c:pt idx="62">
                  <c:v>13.18</c:v>
                </c:pt>
                <c:pt idx="63">
                  <c:v>13.12</c:v>
                </c:pt>
                <c:pt idx="64">
                  <c:v>13.16</c:v>
                </c:pt>
                <c:pt idx="65">
                  <c:v>13.18</c:v>
                </c:pt>
                <c:pt idx="66">
                  <c:v>13.09</c:v>
                </c:pt>
                <c:pt idx="67">
                  <c:v>13.2</c:v>
                </c:pt>
                <c:pt idx="68">
                  <c:v>13.2</c:v>
                </c:pt>
                <c:pt idx="69">
                  <c:v>13.18</c:v>
                </c:pt>
                <c:pt idx="70">
                  <c:v>13.18</c:v>
                </c:pt>
                <c:pt idx="71">
                  <c:v>13.2</c:v>
                </c:pt>
                <c:pt idx="72">
                  <c:v>13.18</c:v>
                </c:pt>
                <c:pt idx="73">
                  <c:v>13.19</c:v>
                </c:pt>
                <c:pt idx="74">
                  <c:v>13.16</c:v>
                </c:pt>
                <c:pt idx="75">
                  <c:v>13.2</c:v>
                </c:pt>
                <c:pt idx="76">
                  <c:v>13.22</c:v>
                </c:pt>
                <c:pt idx="77">
                  <c:v>13.21</c:v>
                </c:pt>
                <c:pt idx="78">
                  <c:v>13.18</c:v>
                </c:pt>
                <c:pt idx="79">
                  <c:v>13.2</c:v>
                </c:pt>
                <c:pt idx="80">
                  <c:v>13.2</c:v>
                </c:pt>
                <c:pt idx="81">
                  <c:v>13.2</c:v>
                </c:pt>
                <c:pt idx="82">
                  <c:v>13.11</c:v>
                </c:pt>
                <c:pt idx="83">
                  <c:v>13.2</c:v>
                </c:pt>
                <c:pt idx="84">
                  <c:v>13.2</c:v>
                </c:pt>
                <c:pt idx="85">
                  <c:v>13.19</c:v>
                </c:pt>
                <c:pt idx="86">
                  <c:v>13.18</c:v>
                </c:pt>
                <c:pt idx="87">
                  <c:v>13.2</c:v>
                </c:pt>
                <c:pt idx="88">
                  <c:v>13.22</c:v>
                </c:pt>
                <c:pt idx="89">
                  <c:v>13.17</c:v>
                </c:pt>
                <c:pt idx="90">
                  <c:v>13.22</c:v>
                </c:pt>
                <c:pt idx="91">
                  <c:v>13.22</c:v>
                </c:pt>
                <c:pt idx="92">
                  <c:v>13.18</c:v>
                </c:pt>
                <c:pt idx="93">
                  <c:v>13.19</c:v>
                </c:pt>
                <c:pt idx="94">
                  <c:v>13.19</c:v>
                </c:pt>
                <c:pt idx="95">
                  <c:v>13.2</c:v>
                </c:pt>
                <c:pt idx="96">
                  <c:v>13.22</c:v>
                </c:pt>
                <c:pt idx="97">
                  <c:v>13.2</c:v>
                </c:pt>
                <c:pt idx="98">
                  <c:v>13.21</c:v>
                </c:pt>
                <c:pt idx="99">
                  <c:v>13.2</c:v>
                </c:pt>
                <c:pt idx="100">
                  <c:v>13.19</c:v>
                </c:pt>
                <c:pt idx="101">
                  <c:v>13.22</c:v>
                </c:pt>
                <c:pt idx="102">
                  <c:v>13.12</c:v>
                </c:pt>
                <c:pt idx="103">
                  <c:v>13.14</c:v>
                </c:pt>
                <c:pt idx="104">
                  <c:v>13.19</c:v>
                </c:pt>
                <c:pt idx="105">
                  <c:v>13.21</c:v>
                </c:pt>
                <c:pt idx="106">
                  <c:v>13.22</c:v>
                </c:pt>
                <c:pt idx="107">
                  <c:v>13.23</c:v>
                </c:pt>
                <c:pt idx="108">
                  <c:v>13.21</c:v>
                </c:pt>
                <c:pt idx="109">
                  <c:v>13.22</c:v>
                </c:pt>
                <c:pt idx="110">
                  <c:v>13.16</c:v>
                </c:pt>
                <c:pt idx="111">
                  <c:v>13.22</c:v>
                </c:pt>
                <c:pt idx="112">
                  <c:v>13.23</c:v>
                </c:pt>
                <c:pt idx="113">
                  <c:v>13.22</c:v>
                </c:pt>
                <c:pt idx="114">
                  <c:v>13.23</c:v>
                </c:pt>
                <c:pt idx="115">
                  <c:v>13.21</c:v>
                </c:pt>
                <c:pt idx="116">
                  <c:v>13.22</c:v>
                </c:pt>
                <c:pt idx="117">
                  <c:v>13.2</c:v>
                </c:pt>
                <c:pt idx="118">
                  <c:v>13.12</c:v>
                </c:pt>
                <c:pt idx="119">
                  <c:v>13.18</c:v>
                </c:pt>
                <c:pt idx="120">
                  <c:v>13.24</c:v>
                </c:pt>
                <c:pt idx="121">
                  <c:v>13.24</c:v>
                </c:pt>
                <c:pt idx="122">
                  <c:v>13.2</c:v>
                </c:pt>
                <c:pt idx="123">
                  <c:v>13.15</c:v>
                </c:pt>
                <c:pt idx="124">
                  <c:v>13.09</c:v>
                </c:pt>
                <c:pt idx="125">
                  <c:v>13.12</c:v>
                </c:pt>
                <c:pt idx="126">
                  <c:v>13.16</c:v>
                </c:pt>
                <c:pt idx="127">
                  <c:v>13.19</c:v>
                </c:pt>
                <c:pt idx="128">
                  <c:v>13.18</c:v>
                </c:pt>
                <c:pt idx="129">
                  <c:v>13.14</c:v>
                </c:pt>
                <c:pt idx="130">
                  <c:v>13.05</c:v>
                </c:pt>
                <c:pt idx="131">
                  <c:v>13.17</c:v>
                </c:pt>
                <c:pt idx="132">
                  <c:v>13.13</c:v>
                </c:pt>
                <c:pt idx="133">
                  <c:v>13.02</c:v>
                </c:pt>
                <c:pt idx="134">
                  <c:v>12.92</c:v>
                </c:pt>
                <c:pt idx="135">
                  <c:v>12.86</c:v>
                </c:pt>
                <c:pt idx="136">
                  <c:v>12.86</c:v>
                </c:pt>
                <c:pt idx="137">
                  <c:v>12.83</c:v>
                </c:pt>
                <c:pt idx="138">
                  <c:v>12.86</c:v>
                </c:pt>
                <c:pt idx="139">
                  <c:v>12.77</c:v>
                </c:pt>
                <c:pt idx="140">
                  <c:v>12.92</c:v>
                </c:pt>
                <c:pt idx="141">
                  <c:v>12.92</c:v>
                </c:pt>
                <c:pt idx="142">
                  <c:v>12.95</c:v>
                </c:pt>
                <c:pt idx="143">
                  <c:v>13.01</c:v>
                </c:pt>
                <c:pt idx="144">
                  <c:v>13.08</c:v>
                </c:pt>
                <c:pt idx="145">
                  <c:v>13.05</c:v>
                </c:pt>
                <c:pt idx="146">
                  <c:v>13.1</c:v>
                </c:pt>
                <c:pt idx="147">
                  <c:v>13.07</c:v>
                </c:pt>
                <c:pt idx="148">
                  <c:v>13.08</c:v>
                </c:pt>
                <c:pt idx="149">
                  <c:v>12.99</c:v>
                </c:pt>
                <c:pt idx="150">
                  <c:v>12.94</c:v>
                </c:pt>
                <c:pt idx="151">
                  <c:v>12.91</c:v>
                </c:pt>
                <c:pt idx="152">
                  <c:v>12.98</c:v>
                </c:pt>
                <c:pt idx="153">
                  <c:v>13.04</c:v>
                </c:pt>
                <c:pt idx="154">
                  <c:v>13.04</c:v>
                </c:pt>
                <c:pt idx="155">
                  <c:v>13.02</c:v>
                </c:pt>
                <c:pt idx="156">
                  <c:v>12.98</c:v>
                </c:pt>
                <c:pt idx="157">
                  <c:v>12.9</c:v>
                </c:pt>
                <c:pt idx="158">
                  <c:v>12.98</c:v>
                </c:pt>
                <c:pt idx="159">
                  <c:v>13.03</c:v>
                </c:pt>
                <c:pt idx="160">
                  <c:v>12.99</c:v>
                </c:pt>
                <c:pt idx="161">
                  <c:v>13.03</c:v>
                </c:pt>
                <c:pt idx="162">
                  <c:v>12.94</c:v>
                </c:pt>
                <c:pt idx="163">
                  <c:v>12.9</c:v>
                </c:pt>
                <c:pt idx="164">
                  <c:v>12.88</c:v>
                </c:pt>
                <c:pt idx="165">
                  <c:v>12.79</c:v>
                </c:pt>
                <c:pt idx="166">
                  <c:v>13.04</c:v>
                </c:pt>
                <c:pt idx="167">
                  <c:v>13.05</c:v>
                </c:pt>
                <c:pt idx="168">
                  <c:v>13.05</c:v>
                </c:pt>
                <c:pt idx="169">
                  <c:v>13.09</c:v>
                </c:pt>
                <c:pt idx="170">
                  <c:v>13.06</c:v>
                </c:pt>
                <c:pt idx="171">
                  <c:v>13.01</c:v>
                </c:pt>
                <c:pt idx="172">
                  <c:v>13.01</c:v>
                </c:pt>
                <c:pt idx="173">
                  <c:v>12.92</c:v>
                </c:pt>
                <c:pt idx="174">
                  <c:v>12.86</c:v>
                </c:pt>
                <c:pt idx="175">
                  <c:v>12.79</c:v>
                </c:pt>
                <c:pt idx="176">
                  <c:v>12.75</c:v>
                </c:pt>
                <c:pt idx="177">
                  <c:v>12.76</c:v>
                </c:pt>
                <c:pt idx="178">
                  <c:v>12.79</c:v>
                </c:pt>
                <c:pt idx="179">
                  <c:v>12.83</c:v>
                </c:pt>
                <c:pt idx="180">
                  <c:v>12.79</c:v>
                </c:pt>
                <c:pt idx="181">
                  <c:v>12.77</c:v>
                </c:pt>
                <c:pt idx="182">
                  <c:v>12.79</c:v>
                </c:pt>
                <c:pt idx="183">
                  <c:v>12.76</c:v>
                </c:pt>
                <c:pt idx="184">
                  <c:v>12.83</c:v>
                </c:pt>
                <c:pt idx="185">
                  <c:v>12.74</c:v>
                </c:pt>
                <c:pt idx="186">
                  <c:v>12.87</c:v>
                </c:pt>
                <c:pt idx="187">
                  <c:v>12.93</c:v>
                </c:pt>
                <c:pt idx="188">
                  <c:v>12.83</c:v>
                </c:pt>
                <c:pt idx="189">
                  <c:v>12.87</c:v>
                </c:pt>
                <c:pt idx="190">
                  <c:v>12.89</c:v>
                </c:pt>
                <c:pt idx="191">
                  <c:v>12.97</c:v>
                </c:pt>
                <c:pt idx="192">
                  <c:v>12.96</c:v>
                </c:pt>
                <c:pt idx="193">
                  <c:v>13.04</c:v>
                </c:pt>
                <c:pt idx="194">
                  <c:v>12.98</c:v>
                </c:pt>
                <c:pt idx="195">
                  <c:v>12.92</c:v>
                </c:pt>
                <c:pt idx="196">
                  <c:v>12.92</c:v>
                </c:pt>
                <c:pt idx="197">
                  <c:v>12.87</c:v>
                </c:pt>
                <c:pt idx="198">
                  <c:v>12.94</c:v>
                </c:pt>
                <c:pt idx="199">
                  <c:v>12.92</c:v>
                </c:pt>
                <c:pt idx="200">
                  <c:v>12.83</c:v>
                </c:pt>
                <c:pt idx="201">
                  <c:v>12.76</c:v>
                </c:pt>
                <c:pt idx="202">
                  <c:v>12.76</c:v>
                </c:pt>
                <c:pt idx="203">
                  <c:v>12.72</c:v>
                </c:pt>
                <c:pt idx="204">
                  <c:v>12.78</c:v>
                </c:pt>
                <c:pt idx="205">
                  <c:v>12.8</c:v>
                </c:pt>
                <c:pt idx="206">
                  <c:v>12.78</c:v>
                </c:pt>
                <c:pt idx="207">
                  <c:v>12.79</c:v>
                </c:pt>
                <c:pt idx="208">
                  <c:v>12.86</c:v>
                </c:pt>
                <c:pt idx="209">
                  <c:v>12.88</c:v>
                </c:pt>
                <c:pt idx="210">
                  <c:v>13.03</c:v>
                </c:pt>
                <c:pt idx="211">
                  <c:v>13.04</c:v>
                </c:pt>
                <c:pt idx="212">
                  <c:v>12.98</c:v>
                </c:pt>
                <c:pt idx="213">
                  <c:v>12.96</c:v>
                </c:pt>
                <c:pt idx="214">
                  <c:v>12.96</c:v>
                </c:pt>
                <c:pt idx="215">
                  <c:v>13</c:v>
                </c:pt>
                <c:pt idx="216">
                  <c:v>12.95</c:v>
                </c:pt>
                <c:pt idx="217">
                  <c:v>12.87</c:v>
                </c:pt>
                <c:pt idx="218">
                  <c:v>12.82</c:v>
                </c:pt>
                <c:pt idx="219">
                  <c:v>12.88</c:v>
                </c:pt>
                <c:pt idx="220">
                  <c:v>12.95</c:v>
                </c:pt>
                <c:pt idx="221">
                  <c:v>12.95</c:v>
                </c:pt>
                <c:pt idx="222">
                  <c:v>13.06</c:v>
                </c:pt>
                <c:pt idx="223">
                  <c:v>13.03</c:v>
                </c:pt>
                <c:pt idx="224">
                  <c:v>12.92</c:v>
                </c:pt>
                <c:pt idx="225">
                  <c:v>12.91</c:v>
                </c:pt>
                <c:pt idx="226">
                  <c:v>12.94</c:v>
                </c:pt>
                <c:pt idx="227">
                  <c:v>12.92</c:v>
                </c:pt>
                <c:pt idx="228">
                  <c:v>12.89</c:v>
                </c:pt>
                <c:pt idx="229">
                  <c:v>12.88</c:v>
                </c:pt>
                <c:pt idx="230">
                  <c:v>12.88</c:v>
                </c:pt>
                <c:pt idx="231">
                  <c:v>12.88</c:v>
                </c:pt>
                <c:pt idx="232">
                  <c:v>12.84</c:v>
                </c:pt>
                <c:pt idx="233">
                  <c:v>12.91</c:v>
                </c:pt>
                <c:pt idx="234">
                  <c:v>12.98</c:v>
                </c:pt>
                <c:pt idx="235">
                  <c:v>13.02</c:v>
                </c:pt>
                <c:pt idx="236">
                  <c:v>12.95</c:v>
                </c:pt>
                <c:pt idx="237">
                  <c:v>12.89</c:v>
                </c:pt>
                <c:pt idx="238">
                  <c:v>12.86</c:v>
                </c:pt>
                <c:pt idx="239">
                  <c:v>12.84</c:v>
                </c:pt>
                <c:pt idx="240">
                  <c:v>12.9</c:v>
                </c:pt>
                <c:pt idx="241">
                  <c:v>13.05</c:v>
                </c:pt>
                <c:pt idx="242">
                  <c:v>13.05</c:v>
                </c:pt>
                <c:pt idx="243">
                  <c:v>12.98</c:v>
                </c:pt>
                <c:pt idx="244">
                  <c:v>12.89</c:v>
                </c:pt>
                <c:pt idx="245">
                  <c:v>12.85</c:v>
                </c:pt>
                <c:pt idx="246">
                  <c:v>12.83</c:v>
                </c:pt>
                <c:pt idx="247">
                  <c:v>12.87</c:v>
                </c:pt>
                <c:pt idx="248">
                  <c:v>12.87</c:v>
                </c:pt>
                <c:pt idx="249">
                  <c:v>12.87</c:v>
                </c:pt>
                <c:pt idx="250">
                  <c:v>12.84</c:v>
                </c:pt>
                <c:pt idx="251">
                  <c:v>12.91</c:v>
                </c:pt>
                <c:pt idx="252">
                  <c:v>12.98</c:v>
                </c:pt>
                <c:pt idx="253">
                  <c:v>12.94</c:v>
                </c:pt>
                <c:pt idx="254">
                  <c:v>12.94</c:v>
                </c:pt>
                <c:pt idx="255">
                  <c:v>12.98</c:v>
                </c:pt>
                <c:pt idx="256">
                  <c:v>13.02</c:v>
                </c:pt>
                <c:pt idx="257">
                  <c:v>13.14</c:v>
                </c:pt>
                <c:pt idx="258">
                  <c:v>13.14</c:v>
                </c:pt>
                <c:pt idx="259">
                  <c:v>13.03</c:v>
                </c:pt>
                <c:pt idx="260">
                  <c:v>13.04</c:v>
                </c:pt>
                <c:pt idx="261">
                  <c:v>13.05</c:v>
                </c:pt>
                <c:pt idx="262">
                  <c:v>12.79</c:v>
                </c:pt>
                <c:pt idx="263">
                  <c:v>12.78</c:v>
                </c:pt>
                <c:pt idx="264">
                  <c:v>13.08</c:v>
                </c:pt>
                <c:pt idx="265">
                  <c:v>13.04</c:v>
                </c:pt>
                <c:pt idx="266">
                  <c:v>12.99</c:v>
                </c:pt>
                <c:pt idx="267">
                  <c:v>12.97</c:v>
                </c:pt>
                <c:pt idx="268">
                  <c:v>12.94</c:v>
                </c:pt>
                <c:pt idx="269">
                  <c:v>12.95</c:v>
                </c:pt>
                <c:pt idx="270">
                  <c:v>12.95</c:v>
                </c:pt>
                <c:pt idx="271">
                  <c:v>12.91</c:v>
                </c:pt>
                <c:pt idx="272">
                  <c:v>12.97</c:v>
                </c:pt>
                <c:pt idx="273">
                  <c:v>13.05</c:v>
                </c:pt>
                <c:pt idx="274">
                  <c:v>13.07</c:v>
                </c:pt>
                <c:pt idx="275">
                  <c:v>13.08</c:v>
                </c:pt>
                <c:pt idx="276">
                  <c:v>13.03</c:v>
                </c:pt>
                <c:pt idx="277">
                  <c:v>13.09</c:v>
                </c:pt>
                <c:pt idx="278">
                  <c:v>13.07</c:v>
                </c:pt>
                <c:pt idx="279">
                  <c:v>13.1</c:v>
                </c:pt>
                <c:pt idx="280">
                  <c:v>13.09</c:v>
                </c:pt>
                <c:pt idx="281">
                  <c:v>13.09</c:v>
                </c:pt>
                <c:pt idx="282">
                  <c:v>13.07</c:v>
                </c:pt>
                <c:pt idx="283">
                  <c:v>13.04</c:v>
                </c:pt>
                <c:pt idx="284">
                  <c:v>13.01</c:v>
                </c:pt>
                <c:pt idx="285">
                  <c:v>13.01</c:v>
                </c:pt>
                <c:pt idx="286">
                  <c:v>13.02</c:v>
                </c:pt>
                <c:pt idx="287">
                  <c:v>12.92</c:v>
                </c:pt>
                <c:pt idx="288">
                  <c:v>12.86</c:v>
                </c:pt>
                <c:pt idx="289">
                  <c:v>12.82</c:v>
                </c:pt>
                <c:pt idx="290">
                  <c:v>12.63</c:v>
                </c:pt>
                <c:pt idx="291">
                  <c:v>12.64</c:v>
                </c:pt>
                <c:pt idx="292">
                  <c:v>13.1</c:v>
                </c:pt>
                <c:pt idx="293">
                  <c:v>13.11</c:v>
                </c:pt>
                <c:pt idx="294">
                  <c:v>13.11</c:v>
                </c:pt>
                <c:pt idx="295">
                  <c:v>13.11</c:v>
                </c:pt>
                <c:pt idx="296">
                  <c:v>13.13</c:v>
                </c:pt>
                <c:pt idx="297">
                  <c:v>13.11</c:v>
                </c:pt>
                <c:pt idx="298">
                  <c:v>12.69</c:v>
                </c:pt>
                <c:pt idx="299">
                  <c:v>13.04</c:v>
                </c:pt>
                <c:pt idx="300">
                  <c:v>12.97</c:v>
                </c:pt>
                <c:pt idx="301">
                  <c:v>12.59</c:v>
                </c:pt>
                <c:pt idx="302">
                  <c:v>13.24</c:v>
                </c:pt>
                <c:pt idx="303">
                  <c:v>13.27</c:v>
                </c:pt>
                <c:pt idx="304">
                  <c:v>13.26</c:v>
                </c:pt>
                <c:pt idx="305">
                  <c:v>13.14</c:v>
                </c:pt>
                <c:pt idx="306">
                  <c:v>12.93</c:v>
                </c:pt>
                <c:pt idx="307">
                  <c:v>12.72</c:v>
                </c:pt>
                <c:pt idx="308">
                  <c:v>13.11</c:v>
                </c:pt>
                <c:pt idx="309">
                  <c:v>12.67</c:v>
                </c:pt>
                <c:pt idx="310">
                  <c:v>12.6</c:v>
                </c:pt>
                <c:pt idx="311">
                  <c:v>12.72</c:v>
                </c:pt>
                <c:pt idx="312">
                  <c:v>13.09</c:v>
                </c:pt>
                <c:pt idx="313">
                  <c:v>12.76</c:v>
                </c:pt>
                <c:pt idx="314">
                  <c:v>12.89</c:v>
                </c:pt>
                <c:pt idx="315">
                  <c:v>12.66</c:v>
                </c:pt>
                <c:pt idx="316">
                  <c:v>12.78</c:v>
                </c:pt>
                <c:pt idx="317">
                  <c:v>13.1</c:v>
                </c:pt>
                <c:pt idx="318">
                  <c:v>12.84</c:v>
                </c:pt>
                <c:pt idx="319">
                  <c:v>13.14</c:v>
                </c:pt>
                <c:pt idx="320">
                  <c:v>13.14</c:v>
                </c:pt>
                <c:pt idx="321">
                  <c:v>13.11</c:v>
                </c:pt>
                <c:pt idx="322">
                  <c:v>12.86</c:v>
                </c:pt>
                <c:pt idx="323">
                  <c:v>13.14</c:v>
                </c:pt>
                <c:pt idx="324">
                  <c:v>13.07</c:v>
                </c:pt>
                <c:pt idx="325">
                  <c:v>13.14</c:v>
                </c:pt>
                <c:pt idx="326">
                  <c:v>12.88</c:v>
                </c:pt>
                <c:pt idx="327">
                  <c:v>13.15</c:v>
                </c:pt>
                <c:pt idx="328">
                  <c:v>13.27</c:v>
                </c:pt>
                <c:pt idx="329">
                  <c:v>13.15</c:v>
                </c:pt>
                <c:pt idx="330">
                  <c:v>13.23</c:v>
                </c:pt>
                <c:pt idx="331">
                  <c:v>13.25</c:v>
                </c:pt>
                <c:pt idx="332">
                  <c:v>13.34</c:v>
                </c:pt>
                <c:pt idx="333">
                  <c:v>13.22</c:v>
                </c:pt>
                <c:pt idx="334">
                  <c:v>13.09</c:v>
                </c:pt>
                <c:pt idx="335">
                  <c:v>13.21</c:v>
                </c:pt>
                <c:pt idx="336">
                  <c:v>13.02</c:v>
                </c:pt>
                <c:pt idx="337">
                  <c:v>12.75</c:v>
                </c:pt>
                <c:pt idx="338">
                  <c:v>13.16</c:v>
                </c:pt>
                <c:pt idx="339">
                  <c:v>13.21</c:v>
                </c:pt>
                <c:pt idx="340">
                  <c:v>13.04</c:v>
                </c:pt>
                <c:pt idx="341">
                  <c:v>12.7</c:v>
                </c:pt>
                <c:pt idx="342">
                  <c:v>12.83</c:v>
                </c:pt>
                <c:pt idx="343">
                  <c:v>13.1</c:v>
                </c:pt>
                <c:pt idx="344">
                  <c:v>12.81</c:v>
                </c:pt>
                <c:pt idx="345">
                  <c:v>13.12</c:v>
                </c:pt>
                <c:pt idx="346">
                  <c:v>13.08</c:v>
                </c:pt>
                <c:pt idx="347">
                  <c:v>12.98</c:v>
                </c:pt>
                <c:pt idx="348">
                  <c:v>12.61</c:v>
                </c:pt>
                <c:pt idx="349">
                  <c:v>13.14</c:v>
                </c:pt>
                <c:pt idx="350">
                  <c:v>13.19</c:v>
                </c:pt>
                <c:pt idx="351">
                  <c:v>12.76</c:v>
                </c:pt>
                <c:pt idx="352">
                  <c:v>12.93</c:v>
                </c:pt>
                <c:pt idx="353">
                  <c:v>12.73</c:v>
                </c:pt>
                <c:pt idx="354">
                  <c:v>13.18</c:v>
                </c:pt>
                <c:pt idx="355">
                  <c:v>13.17</c:v>
                </c:pt>
                <c:pt idx="356">
                  <c:v>12.9</c:v>
                </c:pt>
                <c:pt idx="357">
                  <c:v>12.84</c:v>
                </c:pt>
                <c:pt idx="358">
                  <c:v>13.21</c:v>
                </c:pt>
                <c:pt idx="359">
                  <c:v>13.14</c:v>
                </c:pt>
                <c:pt idx="360">
                  <c:v>12.87</c:v>
                </c:pt>
                <c:pt idx="361">
                  <c:v>13.18</c:v>
                </c:pt>
                <c:pt idx="362">
                  <c:v>13.25</c:v>
                </c:pt>
                <c:pt idx="363">
                  <c:v>13.2</c:v>
                </c:pt>
                <c:pt idx="364">
                  <c:v>12.97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584768"/>
        <c:axId val="261586304"/>
      </c:lineChart>
      <c:catAx>
        <c:axId val="261584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586304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61586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68189233278955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58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556048834628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78912319644839068"/>
          <c:h val="0.73572593800978792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1.4870000000000001</c:v>
                </c:pt>
                <c:pt idx="1">
                  <c:v>3.2389999999999999</c:v>
                </c:pt>
                <c:pt idx="2">
                  <c:v>1.853</c:v>
                </c:pt>
                <c:pt idx="3">
                  <c:v>2.7839999999999998</c:v>
                </c:pt>
                <c:pt idx="4">
                  <c:v>0.65500000000000003</c:v>
                </c:pt>
                <c:pt idx="5">
                  <c:v>1.552</c:v>
                </c:pt>
                <c:pt idx="6">
                  <c:v>2.2949999999999999</c:v>
                </c:pt>
                <c:pt idx="7">
                  <c:v>0.56399999999999995</c:v>
                </c:pt>
                <c:pt idx="8">
                  <c:v>0.156</c:v>
                </c:pt>
                <c:pt idx="9">
                  <c:v>0.20100000000000001</c:v>
                </c:pt>
                <c:pt idx="10">
                  <c:v>0.57199999999999995</c:v>
                </c:pt>
                <c:pt idx="11">
                  <c:v>0.53400000000000003</c:v>
                </c:pt>
                <c:pt idx="12">
                  <c:v>0.63900000000000001</c:v>
                </c:pt>
                <c:pt idx="13">
                  <c:v>1.044</c:v>
                </c:pt>
                <c:pt idx="14">
                  <c:v>0.77900000000000003</c:v>
                </c:pt>
                <c:pt idx="15">
                  <c:v>0.90900000000000003</c:v>
                </c:pt>
                <c:pt idx="16">
                  <c:v>3.7559999999999998</c:v>
                </c:pt>
                <c:pt idx="17">
                  <c:v>0.96299999999999997</c:v>
                </c:pt>
                <c:pt idx="18">
                  <c:v>1.0129999999999999</c:v>
                </c:pt>
                <c:pt idx="19">
                  <c:v>0.32800000000000001</c:v>
                </c:pt>
                <c:pt idx="20">
                  <c:v>1.5249999999999999</c:v>
                </c:pt>
                <c:pt idx="21">
                  <c:v>0.49199999999999999</c:v>
                </c:pt>
                <c:pt idx="22">
                  <c:v>1.7769999999999999</c:v>
                </c:pt>
                <c:pt idx="23">
                  <c:v>3.5649999999999999</c:v>
                </c:pt>
                <c:pt idx="24">
                  <c:v>7.4</c:v>
                </c:pt>
                <c:pt idx="25">
                  <c:v>3.6779999999999999</c:v>
                </c:pt>
                <c:pt idx="26">
                  <c:v>3.7509999999999999</c:v>
                </c:pt>
                <c:pt idx="27">
                  <c:v>1.679</c:v>
                </c:pt>
                <c:pt idx="28">
                  <c:v>2.5569999999999999</c:v>
                </c:pt>
                <c:pt idx="29">
                  <c:v>0.40899999999999997</c:v>
                </c:pt>
                <c:pt idx="30">
                  <c:v>0.66400000000000003</c:v>
                </c:pt>
                <c:pt idx="31">
                  <c:v>1.512</c:v>
                </c:pt>
                <c:pt idx="32">
                  <c:v>0.80600000000000005</c:v>
                </c:pt>
                <c:pt idx="33">
                  <c:v>2.0019999999999998</c:v>
                </c:pt>
                <c:pt idx="34">
                  <c:v>1.036</c:v>
                </c:pt>
                <c:pt idx="35">
                  <c:v>2.1160000000000001</c:v>
                </c:pt>
                <c:pt idx="36">
                  <c:v>1.502</c:v>
                </c:pt>
                <c:pt idx="37">
                  <c:v>1.7050000000000001</c:v>
                </c:pt>
                <c:pt idx="38">
                  <c:v>4.0730000000000004</c:v>
                </c:pt>
                <c:pt idx="39">
                  <c:v>12.11</c:v>
                </c:pt>
                <c:pt idx="40">
                  <c:v>19.07</c:v>
                </c:pt>
                <c:pt idx="41">
                  <c:v>12.12</c:v>
                </c:pt>
                <c:pt idx="42">
                  <c:v>9.11</c:v>
                </c:pt>
                <c:pt idx="43">
                  <c:v>1.37</c:v>
                </c:pt>
                <c:pt idx="44">
                  <c:v>2.3530000000000002</c:v>
                </c:pt>
                <c:pt idx="45">
                  <c:v>3.2629999999999999</c:v>
                </c:pt>
                <c:pt idx="46">
                  <c:v>7.15</c:v>
                </c:pt>
                <c:pt idx="47">
                  <c:v>11.26</c:v>
                </c:pt>
                <c:pt idx="48">
                  <c:v>11.11</c:v>
                </c:pt>
                <c:pt idx="49">
                  <c:v>7.25</c:v>
                </c:pt>
                <c:pt idx="50">
                  <c:v>2.7080000000000002</c:v>
                </c:pt>
                <c:pt idx="51">
                  <c:v>2.379</c:v>
                </c:pt>
                <c:pt idx="52">
                  <c:v>7.07</c:v>
                </c:pt>
                <c:pt idx="53">
                  <c:v>1.395</c:v>
                </c:pt>
                <c:pt idx="54">
                  <c:v>4.4749999999999996</c:v>
                </c:pt>
                <c:pt idx="55">
                  <c:v>3.8580000000000001</c:v>
                </c:pt>
                <c:pt idx="56">
                  <c:v>0.67600000000000005</c:v>
                </c:pt>
                <c:pt idx="57">
                  <c:v>8.18</c:v>
                </c:pt>
                <c:pt idx="58">
                  <c:v>0.98699999999999999</c:v>
                </c:pt>
                <c:pt idx="59">
                  <c:v>8.77</c:v>
                </c:pt>
                <c:pt idx="60">
                  <c:v>6.327</c:v>
                </c:pt>
                <c:pt idx="61">
                  <c:v>10.11</c:v>
                </c:pt>
                <c:pt idx="62">
                  <c:v>14.24</c:v>
                </c:pt>
                <c:pt idx="63">
                  <c:v>7.84</c:v>
                </c:pt>
                <c:pt idx="64">
                  <c:v>7.11</c:v>
                </c:pt>
                <c:pt idx="65">
                  <c:v>7.16</c:v>
                </c:pt>
                <c:pt idx="66">
                  <c:v>2.222</c:v>
                </c:pt>
                <c:pt idx="67">
                  <c:v>13.59</c:v>
                </c:pt>
                <c:pt idx="68">
                  <c:v>9.92</c:v>
                </c:pt>
                <c:pt idx="69">
                  <c:v>11.19</c:v>
                </c:pt>
                <c:pt idx="70">
                  <c:v>16.940000000000001</c:v>
                </c:pt>
                <c:pt idx="71">
                  <c:v>10.46</c:v>
                </c:pt>
                <c:pt idx="72">
                  <c:v>8.0299999999999994</c:v>
                </c:pt>
                <c:pt idx="73">
                  <c:v>12.23</c:v>
                </c:pt>
                <c:pt idx="74">
                  <c:v>10.75</c:v>
                </c:pt>
                <c:pt idx="75">
                  <c:v>5.665</c:v>
                </c:pt>
                <c:pt idx="76">
                  <c:v>8.24</c:v>
                </c:pt>
                <c:pt idx="77">
                  <c:v>18.54</c:v>
                </c:pt>
                <c:pt idx="78">
                  <c:v>11.93</c:v>
                </c:pt>
                <c:pt idx="79">
                  <c:v>7.93</c:v>
                </c:pt>
                <c:pt idx="80">
                  <c:v>11.76</c:v>
                </c:pt>
                <c:pt idx="81">
                  <c:v>18.739999999999998</c:v>
                </c:pt>
                <c:pt idx="82">
                  <c:v>4.593</c:v>
                </c:pt>
                <c:pt idx="83">
                  <c:v>7.72</c:v>
                </c:pt>
                <c:pt idx="84">
                  <c:v>13.55</c:v>
                </c:pt>
                <c:pt idx="85">
                  <c:v>10.97</c:v>
                </c:pt>
                <c:pt idx="86">
                  <c:v>8.85</c:v>
                </c:pt>
                <c:pt idx="87">
                  <c:v>16.52</c:v>
                </c:pt>
                <c:pt idx="88">
                  <c:v>11.85</c:v>
                </c:pt>
                <c:pt idx="89">
                  <c:v>8.69</c:v>
                </c:pt>
                <c:pt idx="90">
                  <c:v>14.78</c:v>
                </c:pt>
                <c:pt idx="91">
                  <c:v>13.57</c:v>
                </c:pt>
                <c:pt idx="92">
                  <c:v>11.23</c:v>
                </c:pt>
                <c:pt idx="93">
                  <c:v>5.7039999999999997</c:v>
                </c:pt>
                <c:pt idx="94">
                  <c:v>19.440000000000001</c:v>
                </c:pt>
                <c:pt idx="95">
                  <c:v>12.54</c:v>
                </c:pt>
                <c:pt idx="96">
                  <c:v>16.739999999999998</c:v>
                </c:pt>
                <c:pt idx="97">
                  <c:v>8.56</c:v>
                </c:pt>
                <c:pt idx="98">
                  <c:v>15.31</c:v>
                </c:pt>
                <c:pt idx="99">
                  <c:v>11.63</c:v>
                </c:pt>
                <c:pt idx="100">
                  <c:v>8.2200000000000006</c:v>
                </c:pt>
                <c:pt idx="101">
                  <c:v>10.49</c:v>
                </c:pt>
                <c:pt idx="102">
                  <c:v>8.07</c:v>
                </c:pt>
                <c:pt idx="103">
                  <c:v>7.5</c:v>
                </c:pt>
                <c:pt idx="104">
                  <c:v>15.59</c:v>
                </c:pt>
                <c:pt idx="105">
                  <c:v>11.01</c:v>
                </c:pt>
                <c:pt idx="106">
                  <c:v>20.98</c:v>
                </c:pt>
                <c:pt idx="107">
                  <c:v>23.48</c:v>
                </c:pt>
                <c:pt idx="108">
                  <c:v>22.69</c:v>
                </c:pt>
                <c:pt idx="109">
                  <c:v>20.58</c:v>
                </c:pt>
                <c:pt idx="110">
                  <c:v>3.49</c:v>
                </c:pt>
                <c:pt idx="111">
                  <c:v>16.190000000000001</c:v>
                </c:pt>
                <c:pt idx="112">
                  <c:v>27.15</c:v>
                </c:pt>
                <c:pt idx="113">
                  <c:v>27.87</c:v>
                </c:pt>
                <c:pt idx="114">
                  <c:v>26.7</c:v>
                </c:pt>
                <c:pt idx="115">
                  <c:v>14.41</c:v>
                </c:pt>
                <c:pt idx="116">
                  <c:v>22.29</c:v>
                </c:pt>
                <c:pt idx="117">
                  <c:v>21.28</c:v>
                </c:pt>
                <c:pt idx="118">
                  <c:v>15.53</c:v>
                </c:pt>
                <c:pt idx="119">
                  <c:v>26.63</c:v>
                </c:pt>
                <c:pt idx="120">
                  <c:v>8.41</c:v>
                </c:pt>
                <c:pt idx="121">
                  <c:v>18.48</c:v>
                </c:pt>
                <c:pt idx="122">
                  <c:v>27.37</c:v>
                </c:pt>
                <c:pt idx="123">
                  <c:v>26.9</c:v>
                </c:pt>
                <c:pt idx="124">
                  <c:v>23.68</c:v>
                </c:pt>
                <c:pt idx="125">
                  <c:v>16.59</c:v>
                </c:pt>
                <c:pt idx="126">
                  <c:v>15.85</c:v>
                </c:pt>
                <c:pt idx="127">
                  <c:v>21.66</c:v>
                </c:pt>
                <c:pt idx="128">
                  <c:v>24.97</c:v>
                </c:pt>
                <c:pt idx="129">
                  <c:v>21.74</c:v>
                </c:pt>
                <c:pt idx="130">
                  <c:v>13.17</c:v>
                </c:pt>
                <c:pt idx="131">
                  <c:v>19.670000000000002</c:v>
                </c:pt>
                <c:pt idx="132">
                  <c:v>24.91</c:v>
                </c:pt>
                <c:pt idx="133">
                  <c:v>28.08</c:v>
                </c:pt>
                <c:pt idx="134">
                  <c:v>30.79</c:v>
                </c:pt>
                <c:pt idx="135">
                  <c:v>30.54</c:v>
                </c:pt>
                <c:pt idx="136">
                  <c:v>25.73</c:v>
                </c:pt>
                <c:pt idx="137">
                  <c:v>28.7</c:v>
                </c:pt>
                <c:pt idx="138">
                  <c:v>24.36</c:v>
                </c:pt>
                <c:pt idx="139">
                  <c:v>4.2779999999999996</c:v>
                </c:pt>
                <c:pt idx="140">
                  <c:v>24.08</c:v>
                </c:pt>
                <c:pt idx="141">
                  <c:v>15.61</c:v>
                </c:pt>
                <c:pt idx="142">
                  <c:v>19.559999999999999</c:v>
                </c:pt>
                <c:pt idx="143">
                  <c:v>7.91</c:v>
                </c:pt>
                <c:pt idx="144">
                  <c:v>14.35</c:v>
                </c:pt>
                <c:pt idx="145">
                  <c:v>8.5</c:v>
                </c:pt>
                <c:pt idx="146">
                  <c:v>12.96</c:v>
                </c:pt>
                <c:pt idx="147">
                  <c:v>17.43</c:v>
                </c:pt>
                <c:pt idx="148">
                  <c:v>12.56</c:v>
                </c:pt>
                <c:pt idx="149">
                  <c:v>26.58</c:v>
                </c:pt>
                <c:pt idx="150">
                  <c:v>25.76</c:v>
                </c:pt>
                <c:pt idx="151">
                  <c:v>20.53</c:v>
                </c:pt>
                <c:pt idx="152">
                  <c:v>10.039999999999999</c:v>
                </c:pt>
                <c:pt idx="153">
                  <c:v>19.09</c:v>
                </c:pt>
                <c:pt idx="154">
                  <c:v>9.94</c:v>
                </c:pt>
                <c:pt idx="155">
                  <c:v>18.52</c:v>
                </c:pt>
                <c:pt idx="156">
                  <c:v>23.38</c:v>
                </c:pt>
                <c:pt idx="157">
                  <c:v>25.85</c:v>
                </c:pt>
                <c:pt idx="158">
                  <c:v>7.49</c:v>
                </c:pt>
                <c:pt idx="159">
                  <c:v>14.4</c:v>
                </c:pt>
                <c:pt idx="160">
                  <c:v>23.91</c:v>
                </c:pt>
                <c:pt idx="161">
                  <c:v>14.37</c:v>
                </c:pt>
                <c:pt idx="162">
                  <c:v>23.29</c:v>
                </c:pt>
                <c:pt idx="163">
                  <c:v>18.12</c:v>
                </c:pt>
                <c:pt idx="164">
                  <c:v>4.4470000000000001</c:v>
                </c:pt>
                <c:pt idx="165">
                  <c:v>2.7050000000000001</c:v>
                </c:pt>
                <c:pt idx="166">
                  <c:v>19.66</c:v>
                </c:pt>
                <c:pt idx="167">
                  <c:v>17.850000000000001</c:v>
                </c:pt>
                <c:pt idx="168">
                  <c:v>16.170000000000002</c:v>
                </c:pt>
                <c:pt idx="169">
                  <c:v>7.62</c:v>
                </c:pt>
                <c:pt idx="170">
                  <c:v>19.45</c:v>
                </c:pt>
                <c:pt idx="171">
                  <c:v>21.55</c:v>
                </c:pt>
                <c:pt idx="172">
                  <c:v>23.36</c:v>
                </c:pt>
                <c:pt idx="173">
                  <c:v>33.56</c:v>
                </c:pt>
                <c:pt idx="174">
                  <c:v>33.22</c:v>
                </c:pt>
                <c:pt idx="175">
                  <c:v>33.549999999999997</c:v>
                </c:pt>
                <c:pt idx="176">
                  <c:v>33.35</c:v>
                </c:pt>
                <c:pt idx="177">
                  <c:v>31.45</c:v>
                </c:pt>
                <c:pt idx="178">
                  <c:v>33.51</c:v>
                </c:pt>
                <c:pt idx="179">
                  <c:v>33.200000000000003</c:v>
                </c:pt>
                <c:pt idx="180">
                  <c:v>30.42</c:v>
                </c:pt>
                <c:pt idx="181">
                  <c:v>33.369999999999997</c:v>
                </c:pt>
                <c:pt idx="182">
                  <c:v>28.19</c:v>
                </c:pt>
                <c:pt idx="183">
                  <c:v>30.02</c:v>
                </c:pt>
                <c:pt idx="184">
                  <c:v>18.98</c:v>
                </c:pt>
                <c:pt idx="185">
                  <c:v>26.44</c:v>
                </c:pt>
                <c:pt idx="186">
                  <c:v>20.079999999999998</c:v>
                </c:pt>
                <c:pt idx="187">
                  <c:v>24.25</c:v>
                </c:pt>
                <c:pt idx="188">
                  <c:v>32.19</c:v>
                </c:pt>
                <c:pt idx="189">
                  <c:v>17</c:v>
                </c:pt>
                <c:pt idx="190">
                  <c:v>24.67</c:v>
                </c:pt>
                <c:pt idx="191">
                  <c:v>17.22</c:v>
                </c:pt>
                <c:pt idx="192">
                  <c:v>13.1</c:v>
                </c:pt>
                <c:pt idx="193">
                  <c:v>13.39</c:v>
                </c:pt>
                <c:pt idx="194">
                  <c:v>17.420000000000002</c:v>
                </c:pt>
                <c:pt idx="195">
                  <c:v>25.8</c:v>
                </c:pt>
                <c:pt idx="196">
                  <c:v>32.229999999999997</c:v>
                </c:pt>
                <c:pt idx="197">
                  <c:v>30.86</c:v>
                </c:pt>
                <c:pt idx="198">
                  <c:v>28.84</c:v>
                </c:pt>
                <c:pt idx="199">
                  <c:v>18.64</c:v>
                </c:pt>
                <c:pt idx="200">
                  <c:v>30.87</c:v>
                </c:pt>
                <c:pt idx="201">
                  <c:v>31</c:v>
                </c:pt>
                <c:pt idx="202">
                  <c:v>24.28</c:v>
                </c:pt>
                <c:pt idx="203">
                  <c:v>30.16</c:v>
                </c:pt>
                <c:pt idx="204">
                  <c:v>29.99</c:v>
                </c:pt>
                <c:pt idx="205">
                  <c:v>25.91</c:v>
                </c:pt>
                <c:pt idx="206">
                  <c:v>27.82</c:v>
                </c:pt>
                <c:pt idx="207">
                  <c:v>28.64</c:v>
                </c:pt>
                <c:pt idx="208">
                  <c:v>23.93</c:v>
                </c:pt>
                <c:pt idx="209">
                  <c:v>29.84</c:v>
                </c:pt>
                <c:pt idx="210">
                  <c:v>12.86</c:v>
                </c:pt>
                <c:pt idx="211">
                  <c:v>17.02</c:v>
                </c:pt>
                <c:pt idx="212">
                  <c:v>24.19</c:v>
                </c:pt>
                <c:pt idx="213">
                  <c:v>24.87</c:v>
                </c:pt>
                <c:pt idx="214">
                  <c:v>21.48</c:v>
                </c:pt>
                <c:pt idx="215">
                  <c:v>16.93</c:v>
                </c:pt>
                <c:pt idx="216">
                  <c:v>28.14</c:v>
                </c:pt>
                <c:pt idx="217">
                  <c:v>26.97</c:v>
                </c:pt>
                <c:pt idx="218">
                  <c:v>27.98</c:v>
                </c:pt>
                <c:pt idx="219">
                  <c:v>21.92</c:v>
                </c:pt>
                <c:pt idx="220">
                  <c:v>11.65</c:v>
                </c:pt>
                <c:pt idx="221">
                  <c:v>11.23</c:v>
                </c:pt>
                <c:pt idx="222">
                  <c:v>8.16</c:v>
                </c:pt>
                <c:pt idx="223">
                  <c:v>23.41</c:v>
                </c:pt>
                <c:pt idx="224">
                  <c:v>26.88</c:v>
                </c:pt>
                <c:pt idx="225">
                  <c:v>24.41</c:v>
                </c:pt>
                <c:pt idx="226">
                  <c:v>26.08</c:v>
                </c:pt>
                <c:pt idx="227">
                  <c:v>27.01</c:v>
                </c:pt>
                <c:pt idx="228">
                  <c:v>26.66</c:v>
                </c:pt>
                <c:pt idx="229">
                  <c:v>24.38</c:v>
                </c:pt>
                <c:pt idx="230">
                  <c:v>26.35</c:v>
                </c:pt>
                <c:pt idx="231">
                  <c:v>24.82</c:v>
                </c:pt>
                <c:pt idx="232">
                  <c:v>24.58</c:v>
                </c:pt>
                <c:pt idx="233">
                  <c:v>8.49</c:v>
                </c:pt>
                <c:pt idx="234">
                  <c:v>14.59</c:v>
                </c:pt>
                <c:pt idx="235">
                  <c:v>14.17</c:v>
                </c:pt>
                <c:pt idx="236">
                  <c:v>24.95</c:v>
                </c:pt>
                <c:pt idx="237">
                  <c:v>24.3</c:v>
                </c:pt>
                <c:pt idx="238">
                  <c:v>23.1</c:v>
                </c:pt>
                <c:pt idx="239">
                  <c:v>23.02</c:v>
                </c:pt>
                <c:pt idx="240">
                  <c:v>14.19</c:v>
                </c:pt>
                <c:pt idx="241">
                  <c:v>5.5709999999999997</c:v>
                </c:pt>
                <c:pt idx="242">
                  <c:v>20.77</c:v>
                </c:pt>
                <c:pt idx="243">
                  <c:v>23.02</c:v>
                </c:pt>
                <c:pt idx="244">
                  <c:v>23.24</c:v>
                </c:pt>
                <c:pt idx="245">
                  <c:v>21.11</c:v>
                </c:pt>
                <c:pt idx="246">
                  <c:v>17.13</c:v>
                </c:pt>
                <c:pt idx="247">
                  <c:v>16.8</c:v>
                </c:pt>
                <c:pt idx="248">
                  <c:v>16.95</c:v>
                </c:pt>
                <c:pt idx="249">
                  <c:v>18.190000000000001</c:v>
                </c:pt>
                <c:pt idx="250">
                  <c:v>19.23</c:v>
                </c:pt>
                <c:pt idx="251">
                  <c:v>7.78</c:v>
                </c:pt>
                <c:pt idx="252">
                  <c:v>16.25</c:v>
                </c:pt>
                <c:pt idx="253">
                  <c:v>18.399999999999999</c:v>
                </c:pt>
                <c:pt idx="254">
                  <c:v>18.059999999999999</c:v>
                </c:pt>
                <c:pt idx="255">
                  <c:v>10.93</c:v>
                </c:pt>
                <c:pt idx="256">
                  <c:v>4.1369999999999996</c:v>
                </c:pt>
                <c:pt idx="257">
                  <c:v>13.13</c:v>
                </c:pt>
                <c:pt idx="258">
                  <c:v>7.71</c:v>
                </c:pt>
                <c:pt idx="259">
                  <c:v>17.54</c:v>
                </c:pt>
                <c:pt idx="260">
                  <c:v>4.5129999999999999</c:v>
                </c:pt>
                <c:pt idx="261">
                  <c:v>10.76</c:v>
                </c:pt>
                <c:pt idx="262">
                  <c:v>2.3479999999999999</c:v>
                </c:pt>
                <c:pt idx="263">
                  <c:v>3.556</c:v>
                </c:pt>
                <c:pt idx="264">
                  <c:v>6.6059999999999999</c:v>
                </c:pt>
                <c:pt idx="265">
                  <c:v>7.35</c:v>
                </c:pt>
                <c:pt idx="266">
                  <c:v>18.02</c:v>
                </c:pt>
                <c:pt idx="267">
                  <c:v>17.12</c:v>
                </c:pt>
                <c:pt idx="268">
                  <c:v>11.08</c:v>
                </c:pt>
                <c:pt idx="269">
                  <c:v>16.95</c:v>
                </c:pt>
                <c:pt idx="270">
                  <c:v>15.56</c:v>
                </c:pt>
                <c:pt idx="271">
                  <c:v>15.94</c:v>
                </c:pt>
                <c:pt idx="272">
                  <c:v>16.53</c:v>
                </c:pt>
                <c:pt idx="273">
                  <c:v>13.65</c:v>
                </c:pt>
                <c:pt idx="274">
                  <c:v>14.15</c:v>
                </c:pt>
                <c:pt idx="275">
                  <c:v>9.06</c:v>
                </c:pt>
                <c:pt idx="276">
                  <c:v>15.58</c:v>
                </c:pt>
                <c:pt idx="277">
                  <c:v>7.84</c:v>
                </c:pt>
                <c:pt idx="278">
                  <c:v>8.6999999999999993</c:v>
                </c:pt>
                <c:pt idx="279">
                  <c:v>14.76</c:v>
                </c:pt>
                <c:pt idx="280">
                  <c:v>13.74</c:v>
                </c:pt>
                <c:pt idx="281">
                  <c:v>14.58</c:v>
                </c:pt>
                <c:pt idx="282">
                  <c:v>12.87</c:v>
                </c:pt>
                <c:pt idx="283">
                  <c:v>14.1</c:v>
                </c:pt>
                <c:pt idx="284">
                  <c:v>13.77</c:v>
                </c:pt>
                <c:pt idx="285">
                  <c:v>11.9</c:v>
                </c:pt>
                <c:pt idx="286">
                  <c:v>7.38</c:v>
                </c:pt>
                <c:pt idx="287">
                  <c:v>3.14</c:v>
                </c:pt>
                <c:pt idx="288">
                  <c:v>3.117</c:v>
                </c:pt>
                <c:pt idx="289">
                  <c:v>3.2989999999999999</c:v>
                </c:pt>
                <c:pt idx="290">
                  <c:v>1.554</c:v>
                </c:pt>
                <c:pt idx="291">
                  <c:v>2.3660000000000001</c:v>
                </c:pt>
                <c:pt idx="292">
                  <c:v>6.4109999999999996</c:v>
                </c:pt>
                <c:pt idx="293">
                  <c:v>11.36</c:v>
                </c:pt>
                <c:pt idx="294">
                  <c:v>10.58</c:v>
                </c:pt>
                <c:pt idx="295">
                  <c:v>9.25</c:v>
                </c:pt>
                <c:pt idx="296">
                  <c:v>3.056</c:v>
                </c:pt>
                <c:pt idx="297">
                  <c:v>5.3840000000000003</c:v>
                </c:pt>
                <c:pt idx="298">
                  <c:v>1.105</c:v>
                </c:pt>
                <c:pt idx="299">
                  <c:v>4.6109999999999998</c:v>
                </c:pt>
                <c:pt idx="300">
                  <c:v>3.65</c:v>
                </c:pt>
                <c:pt idx="301">
                  <c:v>0.69099999999999995</c:v>
                </c:pt>
                <c:pt idx="302">
                  <c:v>3.5760000000000001</c:v>
                </c:pt>
                <c:pt idx="303">
                  <c:v>3.3210000000000002</c:v>
                </c:pt>
                <c:pt idx="304">
                  <c:v>7.48</c:v>
                </c:pt>
                <c:pt idx="305">
                  <c:v>2.5150000000000001</c:v>
                </c:pt>
                <c:pt idx="306">
                  <c:v>0.23799999999999999</c:v>
                </c:pt>
                <c:pt idx="307">
                  <c:v>0.86</c:v>
                </c:pt>
                <c:pt idx="308">
                  <c:v>3.2170000000000001</c:v>
                </c:pt>
                <c:pt idx="309">
                  <c:v>0.84499999999999997</c:v>
                </c:pt>
                <c:pt idx="310">
                  <c:v>1.7250000000000001</c:v>
                </c:pt>
                <c:pt idx="311">
                  <c:v>1.9610000000000001</c:v>
                </c:pt>
                <c:pt idx="312">
                  <c:v>1.351</c:v>
                </c:pt>
                <c:pt idx="313">
                  <c:v>0.40899999999999997</c:v>
                </c:pt>
                <c:pt idx="314">
                  <c:v>0.8</c:v>
                </c:pt>
                <c:pt idx="315">
                  <c:v>0.498</c:v>
                </c:pt>
                <c:pt idx="316">
                  <c:v>1.7529999999999999</c:v>
                </c:pt>
                <c:pt idx="317">
                  <c:v>1.843</c:v>
                </c:pt>
                <c:pt idx="318">
                  <c:v>1.421</c:v>
                </c:pt>
                <c:pt idx="319">
                  <c:v>5.7160000000000002</c:v>
                </c:pt>
                <c:pt idx="320">
                  <c:v>2.8460000000000001</c:v>
                </c:pt>
                <c:pt idx="321">
                  <c:v>3.1760000000000002</c:v>
                </c:pt>
                <c:pt idx="322">
                  <c:v>1.423</c:v>
                </c:pt>
                <c:pt idx="323">
                  <c:v>5.4059999999999997</c:v>
                </c:pt>
                <c:pt idx="324">
                  <c:v>0.876</c:v>
                </c:pt>
                <c:pt idx="325">
                  <c:v>2.694</c:v>
                </c:pt>
                <c:pt idx="326">
                  <c:v>0.61</c:v>
                </c:pt>
                <c:pt idx="327">
                  <c:v>0.84299999999999997</c:v>
                </c:pt>
                <c:pt idx="328">
                  <c:v>0.999</c:v>
                </c:pt>
                <c:pt idx="329">
                  <c:v>0.53300000000000003</c:v>
                </c:pt>
                <c:pt idx="330">
                  <c:v>0.67800000000000005</c:v>
                </c:pt>
                <c:pt idx="331">
                  <c:v>1.74</c:v>
                </c:pt>
                <c:pt idx="332">
                  <c:v>0.82399999999999995</c:v>
                </c:pt>
                <c:pt idx="333">
                  <c:v>0.48099999999999998</c:v>
                </c:pt>
                <c:pt idx="334">
                  <c:v>0.29799999999999999</c:v>
                </c:pt>
                <c:pt idx="335">
                  <c:v>1.571</c:v>
                </c:pt>
                <c:pt idx="336">
                  <c:v>0.28299999999999997</c:v>
                </c:pt>
                <c:pt idx="337">
                  <c:v>0.17</c:v>
                </c:pt>
                <c:pt idx="338">
                  <c:v>2.3780000000000001</c:v>
                </c:pt>
                <c:pt idx="339">
                  <c:v>2.173</c:v>
                </c:pt>
                <c:pt idx="340">
                  <c:v>1.599</c:v>
                </c:pt>
                <c:pt idx="341">
                  <c:v>0.69299999999999995</c:v>
                </c:pt>
                <c:pt idx="342">
                  <c:v>1.869</c:v>
                </c:pt>
                <c:pt idx="343">
                  <c:v>2.9089999999999998</c:v>
                </c:pt>
                <c:pt idx="344">
                  <c:v>0.33</c:v>
                </c:pt>
                <c:pt idx="345">
                  <c:v>4.2050000000000001</c:v>
                </c:pt>
                <c:pt idx="346">
                  <c:v>2.157</c:v>
                </c:pt>
                <c:pt idx="347">
                  <c:v>1.7789999999999999</c:v>
                </c:pt>
                <c:pt idx="348">
                  <c:v>0.41199999999999998</c:v>
                </c:pt>
                <c:pt idx="349">
                  <c:v>2.9140000000000001</c:v>
                </c:pt>
                <c:pt idx="350">
                  <c:v>1.643</c:v>
                </c:pt>
                <c:pt idx="351">
                  <c:v>0.42099999999999999</c:v>
                </c:pt>
                <c:pt idx="352">
                  <c:v>1.0029999999999999</c:v>
                </c:pt>
                <c:pt idx="353">
                  <c:v>0.82499999999999996</c:v>
                </c:pt>
                <c:pt idx="354">
                  <c:v>2.75</c:v>
                </c:pt>
                <c:pt idx="355">
                  <c:v>2.0819999999999999</c:v>
                </c:pt>
                <c:pt idx="356">
                  <c:v>0.49099999999999999</c:v>
                </c:pt>
                <c:pt idx="357">
                  <c:v>0.45500000000000002</c:v>
                </c:pt>
                <c:pt idx="358">
                  <c:v>3.3340000000000001</c:v>
                </c:pt>
                <c:pt idx="359">
                  <c:v>2.266</c:v>
                </c:pt>
                <c:pt idx="360">
                  <c:v>0.72199999999999998</c:v>
                </c:pt>
                <c:pt idx="361">
                  <c:v>6.7169999999999996</c:v>
                </c:pt>
                <c:pt idx="362">
                  <c:v>2.4780000000000002</c:v>
                </c:pt>
                <c:pt idx="363">
                  <c:v>4.0369999999999999</c:v>
                </c:pt>
                <c:pt idx="364">
                  <c:v>1.5660000000000001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1.46</c:v>
                </c:pt>
                <c:pt idx="1">
                  <c:v>3.17</c:v>
                </c:pt>
                <c:pt idx="2">
                  <c:v>1.82</c:v>
                </c:pt>
                <c:pt idx="3">
                  <c:v>2.73</c:v>
                </c:pt>
                <c:pt idx="4">
                  <c:v>0.64</c:v>
                </c:pt>
                <c:pt idx="5">
                  <c:v>1.52</c:v>
                </c:pt>
                <c:pt idx="6">
                  <c:v>2.25</c:v>
                </c:pt>
                <c:pt idx="7">
                  <c:v>0.55000000000000004</c:v>
                </c:pt>
                <c:pt idx="8">
                  <c:v>0.15</c:v>
                </c:pt>
                <c:pt idx="9">
                  <c:v>0.2</c:v>
                </c:pt>
                <c:pt idx="10">
                  <c:v>0.56000000000000005</c:v>
                </c:pt>
                <c:pt idx="11">
                  <c:v>0.52</c:v>
                </c:pt>
                <c:pt idx="12">
                  <c:v>0.63</c:v>
                </c:pt>
                <c:pt idx="13">
                  <c:v>1.02</c:v>
                </c:pt>
                <c:pt idx="14">
                  <c:v>0.76</c:v>
                </c:pt>
                <c:pt idx="15">
                  <c:v>0.89</c:v>
                </c:pt>
                <c:pt idx="16">
                  <c:v>3.68</c:v>
                </c:pt>
                <c:pt idx="17">
                  <c:v>0.94</c:v>
                </c:pt>
                <c:pt idx="18">
                  <c:v>0.99</c:v>
                </c:pt>
                <c:pt idx="19">
                  <c:v>0.32</c:v>
                </c:pt>
                <c:pt idx="20">
                  <c:v>1.49</c:v>
                </c:pt>
                <c:pt idx="21">
                  <c:v>0.48</c:v>
                </c:pt>
                <c:pt idx="22">
                  <c:v>1.74</c:v>
                </c:pt>
                <c:pt idx="23">
                  <c:v>3.49</c:v>
                </c:pt>
                <c:pt idx="24">
                  <c:v>7.25</c:v>
                </c:pt>
                <c:pt idx="25">
                  <c:v>3.6</c:v>
                </c:pt>
                <c:pt idx="26">
                  <c:v>3.68</c:v>
                </c:pt>
                <c:pt idx="27">
                  <c:v>1.65</c:v>
                </c:pt>
                <c:pt idx="28">
                  <c:v>2.5099999999999998</c:v>
                </c:pt>
                <c:pt idx="29">
                  <c:v>0.4</c:v>
                </c:pt>
                <c:pt idx="30">
                  <c:v>0.65</c:v>
                </c:pt>
                <c:pt idx="31">
                  <c:v>1.48</c:v>
                </c:pt>
                <c:pt idx="32">
                  <c:v>0.79</c:v>
                </c:pt>
                <c:pt idx="33">
                  <c:v>1.96</c:v>
                </c:pt>
                <c:pt idx="34">
                  <c:v>1.02</c:v>
                </c:pt>
                <c:pt idx="35">
                  <c:v>2.0699999999999998</c:v>
                </c:pt>
                <c:pt idx="36">
                  <c:v>1.47</c:v>
                </c:pt>
                <c:pt idx="37">
                  <c:v>1.67</c:v>
                </c:pt>
                <c:pt idx="38">
                  <c:v>3.99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8.93</c:v>
                </c:pt>
                <c:pt idx="43">
                  <c:v>1.34</c:v>
                </c:pt>
                <c:pt idx="44">
                  <c:v>2.31</c:v>
                </c:pt>
                <c:pt idx="45">
                  <c:v>3.2</c:v>
                </c:pt>
                <c:pt idx="46">
                  <c:v>7.01</c:v>
                </c:pt>
                <c:pt idx="47">
                  <c:v>11.03</c:v>
                </c:pt>
                <c:pt idx="48">
                  <c:v>10.89</c:v>
                </c:pt>
                <c:pt idx="49">
                  <c:v>7.11</c:v>
                </c:pt>
                <c:pt idx="50">
                  <c:v>2.65</c:v>
                </c:pt>
                <c:pt idx="51">
                  <c:v>2.33</c:v>
                </c:pt>
                <c:pt idx="52">
                  <c:v>6.93</c:v>
                </c:pt>
                <c:pt idx="53">
                  <c:v>1.37</c:v>
                </c:pt>
                <c:pt idx="54">
                  <c:v>4.3899999999999997</c:v>
                </c:pt>
                <c:pt idx="55">
                  <c:v>3.78</c:v>
                </c:pt>
                <c:pt idx="56">
                  <c:v>0.66</c:v>
                </c:pt>
                <c:pt idx="57">
                  <c:v>8.02</c:v>
                </c:pt>
                <c:pt idx="58">
                  <c:v>0.97</c:v>
                </c:pt>
                <c:pt idx="59">
                  <c:v>8.59</c:v>
                </c:pt>
                <c:pt idx="60">
                  <c:v>6.2</c:v>
                </c:pt>
                <c:pt idx="61">
                  <c:v>9.91</c:v>
                </c:pt>
                <c:pt idx="62">
                  <c:v>13.96</c:v>
                </c:pt>
                <c:pt idx="63">
                  <c:v>7.68</c:v>
                </c:pt>
                <c:pt idx="64">
                  <c:v>6.97</c:v>
                </c:pt>
                <c:pt idx="65">
                  <c:v>7.02</c:v>
                </c:pt>
                <c:pt idx="66">
                  <c:v>2.1800000000000002</c:v>
                </c:pt>
                <c:pt idx="67">
                  <c:v>13.32</c:v>
                </c:pt>
                <c:pt idx="68">
                  <c:v>9.7200000000000006</c:v>
                </c:pt>
                <c:pt idx="69">
                  <c:v>10.97</c:v>
                </c:pt>
                <c:pt idx="70">
                  <c:v>16.600000000000001</c:v>
                </c:pt>
                <c:pt idx="71">
                  <c:v>10.25</c:v>
                </c:pt>
                <c:pt idx="72">
                  <c:v>7.87</c:v>
                </c:pt>
                <c:pt idx="73">
                  <c:v>11.99</c:v>
                </c:pt>
                <c:pt idx="74">
                  <c:v>10.54</c:v>
                </c:pt>
                <c:pt idx="75">
                  <c:v>5.55</c:v>
                </c:pt>
                <c:pt idx="76">
                  <c:v>8.08</c:v>
                </c:pt>
                <c:pt idx="77">
                  <c:v>18.170000000000002</c:v>
                </c:pt>
                <c:pt idx="78">
                  <c:v>11.69</c:v>
                </c:pt>
                <c:pt idx="79">
                  <c:v>7.77</c:v>
                </c:pt>
                <c:pt idx="80">
                  <c:v>11.52</c:v>
                </c:pt>
                <c:pt idx="81">
                  <c:v>18.37</c:v>
                </c:pt>
                <c:pt idx="82">
                  <c:v>4.5</c:v>
                </c:pt>
                <c:pt idx="83">
                  <c:v>7.57</c:v>
                </c:pt>
                <c:pt idx="84">
                  <c:v>13.28</c:v>
                </c:pt>
                <c:pt idx="85">
                  <c:v>10.75</c:v>
                </c:pt>
                <c:pt idx="86">
                  <c:v>8.67</c:v>
                </c:pt>
                <c:pt idx="87">
                  <c:v>16.190000000000001</c:v>
                </c:pt>
                <c:pt idx="88">
                  <c:v>11.61</c:v>
                </c:pt>
                <c:pt idx="89">
                  <c:v>8.52</c:v>
                </c:pt>
                <c:pt idx="90">
                  <c:v>14.48</c:v>
                </c:pt>
                <c:pt idx="91">
                  <c:v>13.3</c:v>
                </c:pt>
                <c:pt idx="92">
                  <c:v>11.01</c:v>
                </c:pt>
                <c:pt idx="93">
                  <c:v>5.59</c:v>
                </c:pt>
                <c:pt idx="94">
                  <c:v>19.05</c:v>
                </c:pt>
                <c:pt idx="95">
                  <c:v>12.29</c:v>
                </c:pt>
                <c:pt idx="96">
                  <c:v>16.41</c:v>
                </c:pt>
                <c:pt idx="97">
                  <c:v>8.39</c:v>
                </c:pt>
                <c:pt idx="98">
                  <c:v>15</c:v>
                </c:pt>
                <c:pt idx="99">
                  <c:v>11.4</c:v>
                </c:pt>
                <c:pt idx="100">
                  <c:v>8.06</c:v>
                </c:pt>
                <c:pt idx="101">
                  <c:v>10.28</c:v>
                </c:pt>
                <c:pt idx="102">
                  <c:v>7.91</c:v>
                </c:pt>
                <c:pt idx="103">
                  <c:v>7.35</c:v>
                </c:pt>
                <c:pt idx="104">
                  <c:v>15.28</c:v>
                </c:pt>
                <c:pt idx="105">
                  <c:v>10.79</c:v>
                </c:pt>
                <c:pt idx="106">
                  <c:v>20.56</c:v>
                </c:pt>
                <c:pt idx="107">
                  <c:v>23.01</c:v>
                </c:pt>
                <c:pt idx="108">
                  <c:v>22.24</c:v>
                </c:pt>
                <c:pt idx="109">
                  <c:v>20.170000000000002</c:v>
                </c:pt>
                <c:pt idx="110">
                  <c:v>3.42</c:v>
                </c:pt>
                <c:pt idx="111">
                  <c:v>15.87</c:v>
                </c:pt>
                <c:pt idx="112">
                  <c:v>26.61</c:v>
                </c:pt>
                <c:pt idx="113">
                  <c:v>27.31</c:v>
                </c:pt>
                <c:pt idx="114">
                  <c:v>26.17</c:v>
                </c:pt>
                <c:pt idx="115">
                  <c:v>14.12</c:v>
                </c:pt>
                <c:pt idx="116">
                  <c:v>21.84</c:v>
                </c:pt>
                <c:pt idx="117">
                  <c:v>20.85</c:v>
                </c:pt>
                <c:pt idx="118">
                  <c:v>15.22</c:v>
                </c:pt>
                <c:pt idx="119">
                  <c:v>26.1</c:v>
                </c:pt>
                <c:pt idx="120">
                  <c:v>8.24</c:v>
                </c:pt>
                <c:pt idx="121">
                  <c:v>18.11</c:v>
                </c:pt>
                <c:pt idx="122">
                  <c:v>26.82</c:v>
                </c:pt>
                <c:pt idx="123">
                  <c:v>26.36</c:v>
                </c:pt>
                <c:pt idx="124">
                  <c:v>23.21</c:v>
                </c:pt>
                <c:pt idx="125">
                  <c:v>16.260000000000002</c:v>
                </c:pt>
                <c:pt idx="126">
                  <c:v>15.53</c:v>
                </c:pt>
                <c:pt idx="127">
                  <c:v>21.23</c:v>
                </c:pt>
                <c:pt idx="128">
                  <c:v>24.47</c:v>
                </c:pt>
                <c:pt idx="129">
                  <c:v>21.31</c:v>
                </c:pt>
                <c:pt idx="130">
                  <c:v>12.91</c:v>
                </c:pt>
                <c:pt idx="131">
                  <c:v>19.28</c:v>
                </c:pt>
                <c:pt idx="132">
                  <c:v>24.41</c:v>
                </c:pt>
                <c:pt idx="133">
                  <c:v>27.52</c:v>
                </c:pt>
                <c:pt idx="134">
                  <c:v>30.17</c:v>
                </c:pt>
                <c:pt idx="135">
                  <c:v>29.93</c:v>
                </c:pt>
                <c:pt idx="136">
                  <c:v>25.22</c:v>
                </c:pt>
                <c:pt idx="137">
                  <c:v>28.13</c:v>
                </c:pt>
                <c:pt idx="138">
                  <c:v>23.87</c:v>
                </c:pt>
                <c:pt idx="139">
                  <c:v>4.1900000000000004</c:v>
                </c:pt>
                <c:pt idx="140">
                  <c:v>23.6</c:v>
                </c:pt>
                <c:pt idx="141">
                  <c:v>15.3</c:v>
                </c:pt>
                <c:pt idx="142">
                  <c:v>19.170000000000002</c:v>
                </c:pt>
                <c:pt idx="143">
                  <c:v>7.75</c:v>
                </c:pt>
                <c:pt idx="144">
                  <c:v>14.06</c:v>
                </c:pt>
                <c:pt idx="145">
                  <c:v>8.33</c:v>
                </c:pt>
                <c:pt idx="146">
                  <c:v>12.7</c:v>
                </c:pt>
                <c:pt idx="147">
                  <c:v>17.079999999999998</c:v>
                </c:pt>
                <c:pt idx="148">
                  <c:v>12.31</c:v>
                </c:pt>
                <c:pt idx="149">
                  <c:v>26.05</c:v>
                </c:pt>
                <c:pt idx="150">
                  <c:v>25.24</c:v>
                </c:pt>
                <c:pt idx="151">
                  <c:v>20.12</c:v>
                </c:pt>
                <c:pt idx="152">
                  <c:v>9.84</c:v>
                </c:pt>
                <c:pt idx="153">
                  <c:v>18.71</c:v>
                </c:pt>
                <c:pt idx="154">
                  <c:v>9.74</c:v>
                </c:pt>
                <c:pt idx="155">
                  <c:v>18.149999999999999</c:v>
                </c:pt>
                <c:pt idx="156">
                  <c:v>22.91</c:v>
                </c:pt>
                <c:pt idx="157">
                  <c:v>25.33</c:v>
                </c:pt>
                <c:pt idx="158">
                  <c:v>7.34</c:v>
                </c:pt>
                <c:pt idx="159">
                  <c:v>14.11</c:v>
                </c:pt>
                <c:pt idx="160">
                  <c:v>23.43</c:v>
                </c:pt>
                <c:pt idx="161">
                  <c:v>14.08</c:v>
                </c:pt>
                <c:pt idx="162">
                  <c:v>22.82</c:v>
                </c:pt>
                <c:pt idx="163">
                  <c:v>17.760000000000002</c:v>
                </c:pt>
                <c:pt idx="164">
                  <c:v>4.3600000000000003</c:v>
                </c:pt>
                <c:pt idx="165">
                  <c:v>2.65</c:v>
                </c:pt>
                <c:pt idx="166">
                  <c:v>19.27</c:v>
                </c:pt>
                <c:pt idx="167">
                  <c:v>17.489999999999998</c:v>
                </c:pt>
                <c:pt idx="168">
                  <c:v>15.85</c:v>
                </c:pt>
                <c:pt idx="169">
                  <c:v>7.47</c:v>
                </c:pt>
                <c:pt idx="170">
                  <c:v>19.059999999999999</c:v>
                </c:pt>
                <c:pt idx="171">
                  <c:v>21.12</c:v>
                </c:pt>
                <c:pt idx="172">
                  <c:v>22.89</c:v>
                </c:pt>
                <c:pt idx="173">
                  <c:v>32.89</c:v>
                </c:pt>
                <c:pt idx="174">
                  <c:v>32.56</c:v>
                </c:pt>
                <c:pt idx="175">
                  <c:v>32.880000000000003</c:v>
                </c:pt>
                <c:pt idx="176">
                  <c:v>32.68</c:v>
                </c:pt>
                <c:pt idx="177">
                  <c:v>30.82</c:v>
                </c:pt>
                <c:pt idx="178">
                  <c:v>32.840000000000003</c:v>
                </c:pt>
                <c:pt idx="179">
                  <c:v>32.54</c:v>
                </c:pt>
                <c:pt idx="180">
                  <c:v>29.81</c:v>
                </c:pt>
                <c:pt idx="181">
                  <c:v>32.700000000000003</c:v>
                </c:pt>
                <c:pt idx="182">
                  <c:v>27.63</c:v>
                </c:pt>
                <c:pt idx="183">
                  <c:v>29.42</c:v>
                </c:pt>
                <c:pt idx="184">
                  <c:v>18.600000000000001</c:v>
                </c:pt>
                <c:pt idx="185">
                  <c:v>25.91</c:v>
                </c:pt>
                <c:pt idx="186">
                  <c:v>19.68</c:v>
                </c:pt>
                <c:pt idx="187">
                  <c:v>23.77</c:v>
                </c:pt>
                <c:pt idx="188">
                  <c:v>31.55</c:v>
                </c:pt>
                <c:pt idx="189">
                  <c:v>16.66</c:v>
                </c:pt>
                <c:pt idx="190">
                  <c:v>24.18</c:v>
                </c:pt>
                <c:pt idx="191">
                  <c:v>16.88</c:v>
                </c:pt>
                <c:pt idx="192">
                  <c:v>12.84</c:v>
                </c:pt>
                <c:pt idx="193">
                  <c:v>13.12</c:v>
                </c:pt>
                <c:pt idx="194">
                  <c:v>17.07</c:v>
                </c:pt>
                <c:pt idx="195">
                  <c:v>25.28</c:v>
                </c:pt>
                <c:pt idx="196">
                  <c:v>31.59</c:v>
                </c:pt>
                <c:pt idx="197">
                  <c:v>30.24</c:v>
                </c:pt>
                <c:pt idx="198">
                  <c:v>28.26</c:v>
                </c:pt>
                <c:pt idx="199">
                  <c:v>18.27</c:v>
                </c:pt>
                <c:pt idx="200">
                  <c:v>30.25</c:v>
                </c:pt>
                <c:pt idx="201">
                  <c:v>30.38</c:v>
                </c:pt>
                <c:pt idx="202">
                  <c:v>23.79</c:v>
                </c:pt>
                <c:pt idx="203">
                  <c:v>29.56</c:v>
                </c:pt>
                <c:pt idx="204">
                  <c:v>29.39</c:v>
                </c:pt>
                <c:pt idx="205">
                  <c:v>25.39</c:v>
                </c:pt>
                <c:pt idx="206">
                  <c:v>27.26</c:v>
                </c:pt>
                <c:pt idx="207">
                  <c:v>28.07</c:v>
                </c:pt>
                <c:pt idx="208">
                  <c:v>23.45</c:v>
                </c:pt>
                <c:pt idx="209">
                  <c:v>29.24</c:v>
                </c:pt>
                <c:pt idx="210">
                  <c:v>12.6</c:v>
                </c:pt>
                <c:pt idx="211">
                  <c:v>16.68</c:v>
                </c:pt>
                <c:pt idx="212">
                  <c:v>23.71</c:v>
                </c:pt>
                <c:pt idx="213">
                  <c:v>24.37</c:v>
                </c:pt>
                <c:pt idx="214">
                  <c:v>21.05</c:v>
                </c:pt>
                <c:pt idx="215">
                  <c:v>16.59</c:v>
                </c:pt>
                <c:pt idx="216">
                  <c:v>27.58</c:v>
                </c:pt>
                <c:pt idx="217">
                  <c:v>26.43</c:v>
                </c:pt>
                <c:pt idx="218">
                  <c:v>27.42</c:v>
                </c:pt>
                <c:pt idx="219">
                  <c:v>21.48</c:v>
                </c:pt>
                <c:pt idx="220">
                  <c:v>11.42</c:v>
                </c:pt>
                <c:pt idx="221">
                  <c:v>11.01</c:v>
                </c:pt>
                <c:pt idx="222">
                  <c:v>8</c:v>
                </c:pt>
                <c:pt idx="223">
                  <c:v>22.94</c:v>
                </c:pt>
                <c:pt idx="224">
                  <c:v>26.34</c:v>
                </c:pt>
                <c:pt idx="225">
                  <c:v>23.92</c:v>
                </c:pt>
                <c:pt idx="226">
                  <c:v>25.56</c:v>
                </c:pt>
                <c:pt idx="227">
                  <c:v>26.47</c:v>
                </c:pt>
                <c:pt idx="228">
                  <c:v>26.13</c:v>
                </c:pt>
                <c:pt idx="229">
                  <c:v>23.89</c:v>
                </c:pt>
                <c:pt idx="230">
                  <c:v>25.82</c:v>
                </c:pt>
                <c:pt idx="231">
                  <c:v>24.32</c:v>
                </c:pt>
                <c:pt idx="232">
                  <c:v>24.09</c:v>
                </c:pt>
                <c:pt idx="233">
                  <c:v>8.32</c:v>
                </c:pt>
                <c:pt idx="234">
                  <c:v>14.3</c:v>
                </c:pt>
                <c:pt idx="235">
                  <c:v>13.89</c:v>
                </c:pt>
                <c:pt idx="236">
                  <c:v>24.45</c:v>
                </c:pt>
                <c:pt idx="237">
                  <c:v>23.81</c:v>
                </c:pt>
                <c:pt idx="238">
                  <c:v>22.64</c:v>
                </c:pt>
                <c:pt idx="239">
                  <c:v>22.56</c:v>
                </c:pt>
                <c:pt idx="240">
                  <c:v>13.91</c:v>
                </c:pt>
                <c:pt idx="241">
                  <c:v>5.46</c:v>
                </c:pt>
                <c:pt idx="242">
                  <c:v>20.350000000000001</c:v>
                </c:pt>
                <c:pt idx="243">
                  <c:v>22.56</c:v>
                </c:pt>
                <c:pt idx="244">
                  <c:v>22.78</c:v>
                </c:pt>
                <c:pt idx="245">
                  <c:v>20.69</c:v>
                </c:pt>
                <c:pt idx="246">
                  <c:v>16.79</c:v>
                </c:pt>
                <c:pt idx="247">
                  <c:v>16.46</c:v>
                </c:pt>
                <c:pt idx="248">
                  <c:v>16.61</c:v>
                </c:pt>
                <c:pt idx="249">
                  <c:v>17.829999999999998</c:v>
                </c:pt>
                <c:pt idx="250">
                  <c:v>18.850000000000001</c:v>
                </c:pt>
                <c:pt idx="251">
                  <c:v>7.62</c:v>
                </c:pt>
                <c:pt idx="252">
                  <c:v>15.93</c:v>
                </c:pt>
                <c:pt idx="253">
                  <c:v>18.03</c:v>
                </c:pt>
                <c:pt idx="254">
                  <c:v>17.7</c:v>
                </c:pt>
                <c:pt idx="255">
                  <c:v>10.71</c:v>
                </c:pt>
                <c:pt idx="256">
                  <c:v>4.05</c:v>
                </c:pt>
                <c:pt idx="257">
                  <c:v>12.87</c:v>
                </c:pt>
                <c:pt idx="258">
                  <c:v>7.56</c:v>
                </c:pt>
                <c:pt idx="259">
                  <c:v>17.190000000000001</c:v>
                </c:pt>
                <c:pt idx="260">
                  <c:v>4.42</c:v>
                </c:pt>
                <c:pt idx="261">
                  <c:v>10.54</c:v>
                </c:pt>
                <c:pt idx="262">
                  <c:v>2.2999999999999998</c:v>
                </c:pt>
                <c:pt idx="263">
                  <c:v>3.48</c:v>
                </c:pt>
                <c:pt idx="264">
                  <c:v>6.47</c:v>
                </c:pt>
                <c:pt idx="265">
                  <c:v>7.2</c:v>
                </c:pt>
                <c:pt idx="266">
                  <c:v>17.66</c:v>
                </c:pt>
                <c:pt idx="267">
                  <c:v>16.78</c:v>
                </c:pt>
                <c:pt idx="268">
                  <c:v>10.86</c:v>
                </c:pt>
                <c:pt idx="269">
                  <c:v>16.61</c:v>
                </c:pt>
                <c:pt idx="270">
                  <c:v>15.25</c:v>
                </c:pt>
                <c:pt idx="271">
                  <c:v>15.62</c:v>
                </c:pt>
                <c:pt idx="272">
                  <c:v>16.2</c:v>
                </c:pt>
                <c:pt idx="273">
                  <c:v>13.38</c:v>
                </c:pt>
                <c:pt idx="274">
                  <c:v>13.87</c:v>
                </c:pt>
                <c:pt idx="275">
                  <c:v>8.8800000000000008</c:v>
                </c:pt>
                <c:pt idx="276">
                  <c:v>15.27</c:v>
                </c:pt>
                <c:pt idx="277">
                  <c:v>7.68</c:v>
                </c:pt>
                <c:pt idx="278">
                  <c:v>8.5299999999999994</c:v>
                </c:pt>
                <c:pt idx="279">
                  <c:v>14.46</c:v>
                </c:pt>
                <c:pt idx="280">
                  <c:v>13.47</c:v>
                </c:pt>
                <c:pt idx="281">
                  <c:v>14.29</c:v>
                </c:pt>
                <c:pt idx="282">
                  <c:v>12.61</c:v>
                </c:pt>
                <c:pt idx="283">
                  <c:v>13.82</c:v>
                </c:pt>
                <c:pt idx="284">
                  <c:v>13.49</c:v>
                </c:pt>
                <c:pt idx="285">
                  <c:v>11.66</c:v>
                </c:pt>
                <c:pt idx="286">
                  <c:v>7.23</c:v>
                </c:pt>
                <c:pt idx="287">
                  <c:v>3.08</c:v>
                </c:pt>
                <c:pt idx="288">
                  <c:v>3.05</c:v>
                </c:pt>
                <c:pt idx="289">
                  <c:v>3.23</c:v>
                </c:pt>
                <c:pt idx="290">
                  <c:v>1.52</c:v>
                </c:pt>
                <c:pt idx="291">
                  <c:v>2.3199999999999998</c:v>
                </c:pt>
                <c:pt idx="292">
                  <c:v>6.28</c:v>
                </c:pt>
                <c:pt idx="293">
                  <c:v>11.13</c:v>
                </c:pt>
                <c:pt idx="294">
                  <c:v>10.37</c:v>
                </c:pt>
                <c:pt idx="295">
                  <c:v>9.07</c:v>
                </c:pt>
                <c:pt idx="296">
                  <c:v>2.99</c:v>
                </c:pt>
                <c:pt idx="297">
                  <c:v>5.28</c:v>
                </c:pt>
                <c:pt idx="298">
                  <c:v>1.08</c:v>
                </c:pt>
                <c:pt idx="299">
                  <c:v>4.5199999999999996</c:v>
                </c:pt>
                <c:pt idx="300">
                  <c:v>3.58</c:v>
                </c:pt>
                <c:pt idx="301">
                  <c:v>0.68</c:v>
                </c:pt>
                <c:pt idx="302">
                  <c:v>3.5</c:v>
                </c:pt>
                <c:pt idx="303">
                  <c:v>3.25</c:v>
                </c:pt>
                <c:pt idx="304">
                  <c:v>7.33</c:v>
                </c:pt>
                <c:pt idx="305">
                  <c:v>2.46</c:v>
                </c:pt>
                <c:pt idx="306">
                  <c:v>0.23</c:v>
                </c:pt>
                <c:pt idx="307">
                  <c:v>0.84</c:v>
                </c:pt>
                <c:pt idx="308">
                  <c:v>3.15</c:v>
                </c:pt>
                <c:pt idx="309">
                  <c:v>0.83</c:v>
                </c:pt>
                <c:pt idx="310">
                  <c:v>1.69</c:v>
                </c:pt>
                <c:pt idx="311">
                  <c:v>1.92</c:v>
                </c:pt>
                <c:pt idx="312">
                  <c:v>1.32</c:v>
                </c:pt>
                <c:pt idx="313">
                  <c:v>0.4</c:v>
                </c:pt>
                <c:pt idx="314">
                  <c:v>0.78</c:v>
                </c:pt>
                <c:pt idx="315">
                  <c:v>0.49</c:v>
                </c:pt>
                <c:pt idx="316">
                  <c:v>1.72</c:v>
                </c:pt>
                <c:pt idx="317">
                  <c:v>1.81</c:v>
                </c:pt>
                <c:pt idx="318">
                  <c:v>1.39</c:v>
                </c:pt>
                <c:pt idx="319">
                  <c:v>5.6</c:v>
                </c:pt>
                <c:pt idx="320">
                  <c:v>2.79</c:v>
                </c:pt>
                <c:pt idx="321">
                  <c:v>3.11</c:v>
                </c:pt>
                <c:pt idx="322">
                  <c:v>1.39</c:v>
                </c:pt>
                <c:pt idx="323">
                  <c:v>5.3</c:v>
                </c:pt>
                <c:pt idx="324">
                  <c:v>0.86</c:v>
                </c:pt>
                <c:pt idx="325">
                  <c:v>2.64</c:v>
                </c:pt>
                <c:pt idx="326">
                  <c:v>0.6</c:v>
                </c:pt>
                <c:pt idx="327">
                  <c:v>0.83</c:v>
                </c:pt>
                <c:pt idx="328">
                  <c:v>0.98</c:v>
                </c:pt>
                <c:pt idx="329">
                  <c:v>0.52</c:v>
                </c:pt>
                <c:pt idx="330">
                  <c:v>0.66</c:v>
                </c:pt>
                <c:pt idx="331">
                  <c:v>1.71</c:v>
                </c:pt>
                <c:pt idx="332">
                  <c:v>0.81</c:v>
                </c:pt>
                <c:pt idx="333">
                  <c:v>0.47</c:v>
                </c:pt>
                <c:pt idx="334">
                  <c:v>0.28999999999999998</c:v>
                </c:pt>
                <c:pt idx="335">
                  <c:v>1.54</c:v>
                </c:pt>
                <c:pt idx="336">
                  <c:v>0.28000000000000003</c:v>
                </c:pt>
                <c:pt idx="337">
                  <c:v>0.17</c:v>
                </c:pt>
                <c:pt idx="338">
                  <c:v>2.33</c:v>
                </c:pt>
                <c:pt idx="339">
                  <c:v>2.13</c:v>
                </c:pt>
                <c:pt idx="340">
                  <c:v>1.57</c:v>
                </c:pt>
                <c:pt idx="341">
                  <c:v>0.68</c:v>
                </c:pt>
                <c:pt idx="342">
                  <c:v>1.83</c:v>
                </c:pt>
                <c:pt idx="343">
                  <c:v>2.85</c:v>
                </c:pt>
                <c:pt idx="344">
                  <c:v>0.32</c:v>
                </c:pt>
                <c:pt idx="345">
                  <c:v>4.12</c:v>
                </c:pt>
                <c:pt idx="346">
                  <c:v>2.11</c:v>
                </c:pt>
                <c:pt idx="347">
                  <c:v>1.74</c:v>
                </c:pt>
                <c:pt idx="348">
                  <c:v>0.4</c:v>
                </c:pt>
                <c:pt idx="349">
                  <c:v>2.86</c:v>
                </c:pt>
                <c:pt idx="350">
                  <c:v>1.61</c:v>
                </c:pt>
                <c:pt idx="351">
                  <c:v>0.41</c:v>
                </c:pt>
                <c:pt idx="352">
                  <c:v>0.98</c:v>
                </c:pt>
                <c:pt idx="353">
                  <c:v>0.81</c:v>
                </c:pt>
                <c:pt idx="354">
                  <c:v>2.7</c:v>
                </c:pt>
                <c:pt idx="355">
                  <c:v>2.04</c:v>
                </c:pt>
                <c:pt idx="356">
                  <c:v>0.48</c:v>
                </c:pt>
                <c:pt idx="357">
                  <c:v>0.45</c:v>
                </c:pt>
                <c:pt idx="358">
                  <c:v>3.27</c:v>
                </c:pt>
                <c:pt idx="359">
                  <c:v>2.2200000000000002</c:v>
                </c:pt>
                <c:pt idx="360">
                  <c:v>0.71</c:v>
                </c:pt>
                <c:pt idx="361">
                  <c:v>4.1969992844562736</c:v>
                </c:pt>
                <c:pt idx="362">
                  <c:v>2.4300000000000002</c:v>
                </c:pt>
                <c:pt idx="363">
                  <c:v>3.96</c:v>
                </c:pt>
                <c:pt idx="364">
                  <c:v>1.53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731840"/>
        <c:axId val="261733760"/>
      </c:lineChart>
      <c:catAx>
        <c:axId val="26173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2841287458379579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173376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6173376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19738988580750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173184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345172031076581"/>
          <c:y val="0.44371941272430671"/>
          <c:w val="0.10210876803551609"/>
          <c:h val="0.119086460032626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4539400665926748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460599334073253E-2"/>
          <c:y val="0.12561174551386622"/>
          <c:w val="0.78468368479467254"/>
          <c:h val="0.74551386623164762"/>
        </c:manualLayout>
      </c:layout>
      <c:lineChart>
        <c:grouping val="standard"/>
        <c:varyColors val="0"/>
        <c:ser>
          <c:idx val="1"/>
          <c:order val="0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Data!$D$7:$D$372</c:f>
              <c:numCache>
                <c:formatCode>General</c:formatCode>
                <c:ptCount val="366"/>
                <c:pt idx="0">
                  <c:v>3.1720000000000002</c:v>
                </c:pt>
                <c:pt idx="1">
                  <c:v>6.016</c:v>
                </c:pt>
                <c:pt idx="2">
                  <c:v>2.3039999999999998</c:v>
                </c:pt>
                <c:pt idx="3">
                  <c:v>3.3420000000000001</c:v>
                </c:pt>
                <c:pt idx="4">
                  <c:v>1.2190000000000001</c:v>
                </c:pt>
                <c:pt idx="5">
                  <c:v>2.8140000000000001</c:v>
                </c:pt>
                <c:pt idx="6">
                  <c:v>3.38</c:v>
                </c:pt>
                <c:pt idx="7">
                  <c:v>0.98699999999999999</c:v>
                </c:pt>
                <c:pt idx="8">
                  <c:v>0.25800000000000001</c:v>
                </c:pt>
                <c:pt idx="9">
                  <c:v>0.39600000000000002</c:v>
                </c:pt>
                <c:pt idx="10">
                  <c:v>0.91600000000000004</c:v>
                </c:pt>
                <c:pt idx="11">
                  <c:v>0.88</c:v>
                </c:pt>
                <c:pt idx="12">
                  <c:v>1.054</c:v>
                </c:pt>
                <c:pt idx="13">
                  <c:v>1.381</c:v>
                </c:pt>
                <c:pt idx="14">
                  <c:v>1.079</c:v>
                </c:pt>
                <c:pt idx="15">
                  <c:v>1.2969999999999999</c:v>
                </c:pt>
                <c:pt idx="16">
                  <c:v>5.1749999999999998</c:v>
                </c:pt>
                <c:pt idx="17">
                  <c:v>1.4810000000000001</c:v>
                </c:pt>
                <c:pt idx="18">
                  <c:v>2.3410000000000002</c:v>
                </c:pt>
                <c:pt idx="19">
                  <c:v>0.64700000000000002</c:v>
                </c:pt>
                <c:pt idx="20">
                  <c:v>2.8079999999999998</c:v>
                </c:pt>
                <c:pt idx="21">
                  <c:v>0.94</c:v>
                </c:pt>
                <c:pt idx="22">
                  <c:v>3.8380000000000001</c:v>
                </c:pt>
                <c:pt idx="23">
                  <c:v>6.351</c:v>
                </c:pt>
                <c:pt idx="24">
                  <c:v>12.72</c:v>
                </c:pt>
                <c:pt idx="25">
                  <c:v>6.5620000000000003</c:v>
                </c:pt>
                <c:pt idx="26">
                  <c:v>6.431</c:v>
                </c:pt>
                <c:pt idx="27">
                  <c:v>2.8719999999999999</c:v>
                </c:pt>
                <c:pt idx="28">
                  <c:v>4.99</c:v>
                </c:pt>
                <c:pt idx="29">
                  <c:v>0.749</c:v>
                </c:pt>
                <c:pt idx="30">
                  <c:v>1.21</c:v>
                </c:pt>
                <c:pt idx="31">
                  <c:v>3.1859999999999999</c:v>
                </c:pt>
                <c:pt idx="32">
                  <c:v>1.3740000000000001</c:v>
                </c:pt>
                <c:pt idx="33">
                  <c:v>2.8159999999999998</c:v>
                </c:pt>
                <c:pt idx="34">
                  <c:v>0.96499999999999997</c:v>
                </c:pt>
                <c:pt idx="35">
                  <c:v>2.74</c:v>
                </c:pt>
                <c:pt idx="36">
                  <c:v>2.0859999999999999</c:v>
                </c:pt>
                <c:pt idx="37">
                  <c:v>1.8320000000000001</c:v>
                </c:pt>
                <c:pt idx="38">
                  <c:v>3.8959999999999999</c:v>
                </c:pt>
                <c:pt idx="39">
                  <c:v>11.11</c:v>
                </c:pt>
                <c:pt idx="40">
                  <c:v>22.15</c:v>
                </c:pt>
                <c:pt idx="41">
                  <c:v>18.8</c:v>
                </c:pt>
                <c:pt idx="42">
                  <c:v>16.04</c:v>
                </c:pt>
                <c:pt idx="43">
                  <c:v>2.3359999999999999</c:v>
                </c:pt>
                <c:pt idx="44">
                  <c:v>4.0350000000000001</c:v>
                </c:pt>
                <c:pt idx="45">
                  <c:v>5.4640000000000004</c:v>
                </c:pt>
                <c:pt idx="46">
                  <c:v>8.36</c:v>
                </c:pt>
                <c:pt idx="47">
                  <c:v>18.95</c:v>
                </c:pt>
                <c:pt idx="48">
                  <c:v>19.440000000000001</c:v>
                </c:pt>
                <c:pt idx="49">
                  <c:v>13.23</c:v>
                </c:pt>
                <c:pt idx="50">
                  <c:v>5.569</c:v>
                </c:pt>
                <c:pt idx="51">
                  <c:v>4.9530000000000003</c:v>
                </c:pt>
                <c:pt idx="52">
                  <c:v>12.6</c:v>
                </c:pt>
                <c:pt idx="53">
                  <c:v>2.6269999999999998</c:v>
                </c:pt>
                <c:pt idx="54">
                  <c:v>7.23</c:v>
                </c:pt>
                <c:pt idx="55">
                  <c:v>4.7990000000000004</c:v>
                </c:pt>
                <c:pt idx="56">
                  <c:v>1.1259999999999999</c:v>
                </c:pt>
                <c:pt idx="57">
                  <c:v>12.86</c:v>
                </c:pt>
                <c:pt idx="58">
                  <c:v>2.1429999999999998</c:v>
                </c:pt>
                <c:pt idx="59">
                  <c:v>13.31</c:v>
                </c:pt>
                <c:pt idx="60">
                  <c:v>11.43</c:v>
                </c:pt>
                <c:pt idx="61">
                  <c:v>20.94</c:v>
                </c:pt>
                <c:pt idx="62">
                  <c:v>24.61</c:v>
                </c:pt>
                <c:pt idx="63">
                  <c:v>14.08</c:v>
                </c:pt>
                <c:pt idx="64">
                  <c:v>12.73</c:v>
                </c:pt>
                <c:pt idx="65">
                  <c:v>13.08</c:v>
                </c:pt>
                <c:pt idx="66">
                  <c:v>4.4050000000000002</c:v>
                </c:pt>
                <c:pt idx="67">
                  <c:v>23.84</c:v>
                </c:pt>
                <c:pt idx="68">
                  <c:v>16.96</c:v>
                </c:pt>
                <c:pt idx="69">
                  <c:v>19.7</c:v>
                </c:pt>
                <c:pt idx="70">
                  <c:v>29.03</c:v>
                </c:pt>
                <c:pt idx="71">
                  <c:v>18.84</c:v>
                </c:pt>
                <c:pt idx="72">
                  <c:v>14.75</c:v>
                </c:pt>
                <c:pt idx="73">
                  <c:v>21.62</c:v>
                </c:pt>
                <c:pt idx="74">
                  <c:v>19.329999999999998</c:v>
                </c:pt>
                <c:pt idx="75">
                  <c:v>8.1199999999999992</c:v>
                </c:pt>
                <c:pt idx="76">
                  <c:v>13.04</c:v>
                </c:pt>
                <c:pt idx="77">
                  <c:v>32.19</c:v>
                </c:pt>
                <c:pt idx="78">
                  <c:v>21.49</c:v>
                </c:pt>
                <c:pt idx="79">
                  <c:v>14.72</c:v>
                </c:pt>
                <c:pt idx="80">
                  <c:v>21.43</c:v>
                </c:pt>
                <c:pt idx="81">
                  <c:v>33.22</c:v>
                </c:pt>
                <c:pt idx="82">
                  <c:v>9.5500000000000007</c:v>
                </c:pt>
                <c:pt idx="83">
                  <c:v>12.22</c:v>
                </c:pt>
                <c:pt idx="84">
                  <c:v>24.49</c:v>
                </c:pt>
                <c:pt idx="85">
                  <c:v>19.93</c:v>
                </c:pt>
                <c:pt idx="86">
                  <c:v>16.52</c:v>
                </c:pt>
                <c:pt idx="87">
                  <c:v>29.07</c:v>
                </c:pt>
                <c:pt idx="88">
                  <c:v>21.33</c:v>
                </c:pt>
                <c:pt idx="89">
                  <c:v>16.32</c:v>
                </c:pt>
                <c:pt idx="90">
                  <c:v>23.51</c:v>
                </c:pt>
                <c:pt idx="91">
                  <c:v>24.79</c:v>
                </c:pt>
                <c:pt idx="92">
                  <c:v>20.55</c:v>
                </c:pt>
                <c:pt idx="93">
                  <c:v>11.13</c:v>
                </c:pt>
                <c:pt idx="94">
                  <c:v>35.89</c:v>
                </c:pt>
                <c:pt idx="95">
                  <c:v>23.68</c:v>
                </c:pt>
                <c:pt idx="96">
                  <c:v>30.51</c:v>
                </c:pt>
                <c:pt idx="97">
                  <c:v>16.239999999999998</c:v>
                </c:pt>
                <c:pt idx="98">
                  <c:v>28.79</c:v>
                </c:pt>
                <c:pt idx="99">
                  <c:v>22</c:v>
                </c:pt>
                <c:pt idx="100">
                  <c:v>15.78</c:v>
                </c:pt>
                <c:pt idx="101">
                  <c:v>19.59</c:v>
                </c:pt>
                <c:pt idx="102">
                  <c:v>15.17</c:v>
                </c:pt>
                <c:pt idx="103">
                  <c:v>13.29</c:v>
                </c:pt>
                <c:pt idx="104">
                  <c:v>28.19</c:v>
                </c:pt>
                <c:pt idx="105">
                  <c:v>14.89</c:v>
                </c:pt>
                <c:pt idx="106">
                  <c:v>37.869999999999997</c:v>
                </c:pt>
                <c:pt idx="107">
                  <c:v>42.38</c:v>
                </c:pt>
                <c:pt idx="108">
                  <c:v>41.59</c:v>
                </c:pt>
                <c:pt idx="109">
                  <c:v>37.82</c:v>
                </c:pt>
                <c:pt idx="110">
                  <c:v>8.84</c:v>
                </c:pt>
                <c:pt idx="111">
                  <c:v>29.23</c:v>
                </c:pt>
                <c:pt idx="112">
                  <c:v>48.28</c:v>
                </c:pt>
                <c:pt idx="113">
                  <c:v>49.3</c:v>
                </c:pt>
                <c:pt idx="114">
                  <c:v>47.47</c:v>
                </c:pt>
                <c:pt idx="115">
                  <c:v>26.37</c:v>
                </c:pt>
                <c:pt idx="116">
                  <c:v>41.14</c:v>
                </c:pt>
                <c:pt idx="117">
                  <c:v>38.89</c:v>
                </c:pt>
                <c:pt idx="118">
                  <c:v>30.31</c:v>
                </c:pt>
                <c:pt idx="119">
                  <c:v>48.01</c:v>
                </c:pt>
                <c:pt idx="120">
                  <c:v>15.84</c:v>
                </c:pt>
                <c:pt idx="121">
                  <c:v>33.53</c:v>
                </c:pt>
                <c:pt idx="122">
                  <c:v>48.9</c:v>
                </c:pt>
                <c:pt idx="123">
                  <c:v>48.78</c:v>
                </c:pt>
                <c:pt idx="124">
                  <c:v>42.69</c:v>
                </c:pt>
                <c:pt idx="125">
                  <c:v>30.82</c:v>
                </c:pt>
                <c:pt idx="126">
                  <c:v>29.13</c:v>
                </c:pt>
                <c:pt idx="127">
                  <c:v>38.78</c:v>
                </c:pt>
                <c:pt idx="128">
                  <c:v>44.85</c:v>
                </c:pt>
                <c:pt idx="129">
                  <c:v>39.39</c:v>
                </c:pt>
                <c:pt idx="130">
                  <c:v>25.13</c:v>
                </c:pt>
                <c:pt idx="131">
                  <c:v>35.58</c:v>
                </c:pt>
                <c:pt idx="132">
                  <c:v>44.81</c:v>
                </c:pt>
                <c:pt idx="133">
                  <c:v>51.07</c:v>
                </c:pt>
                <c:pt idx="134">
                  <c:v>55.96</c:v>
                </c:pt>
                <c:pt idx="135">
                  <c:v>55.56</c:v>
                </c:pt>
                <c:pt idx="136">
                  <c:v>47.11</c:v>
                </c:pt>
                <c:pt idx="137">
                  <c:v>52.05</c:v>
                </c:pt>
                <c:pt idx="138">
                  <c:v>44.77</c:v>
                </c:pt>
                <c:pt idx="139">
                  <c:v>11.66</c:v>
                </c:pt>
                <c:pt idx="140">
                  <c:v>44.16</c:v>
                </c:pt>
                <c:pt idx="141">
                  <c:v>29.41</c:v>
                </c:pt>
                <c:pt idx="142">
                  <c:v>36.94</c:v>
                </c:pt>
                <c:pt idx="143">
                  <c:v>15.81</c:v>
                </c:pt>
                <c:pt idx="144">
                  <c:v>27.14</c:v>
                </c:pt>
                <c:pt idx="145">
                  <c:v>16.77</c:v>
                </c:pt>
                <c:pt idx="146">
                  <c:v>24.62</c:v>
                </c:pt>
                <c:pt idx="147">
                  <c:v>32.119999999999997</c:v>
                </c:pt>
                <c:pt idx="148">
                  <c:v>23.74</c:v>
                </c:pt>
                <c:pt idx="149">
                  <c:v>48.18</c:v>
                </c:pt>
                <c:pt idx="150">
                  <c:v>47.09</c:v>
                </c:pt>
                <c:pt idx="151">
                  <c:v>39.020000000000003</c:v>
                </c:pt>
                <c:pt idx="152">
                  <c:v>19.52</c:v>
                </c:pt>
                <c:pt idx="153">
                  <c:v>35.06</c:v>
                </c:pt>
                <c:pt idx="154">
                  <c:v>19.059999999999999</c:v>
                </c:pt>
                <c:pt idx="155">
                  <c:v>34.03</c:v>
                </c:pt>
                <c:pt idx="156">
                  <c:v>42.74</c:v>
                </c:pt>
                <c:pt idx="157">
                  <c:v>47.38</c:v>
                </c:pt>
                <c:pt idx="158">
                  <c:v>15.91</c:v>
                </c:pt>
                <c:pt idx="159">
                  <c:v>27.83</c:v>
                </c:pt>
                <c:pt idx="160">
                  <c:v>44.61</c:v>
                </c:pt>
                <c:pt idx="161">
                  <c:v>27.11</c:v>
                </c:pt>
                <c:pt idx="162">
                  <c:v>43.2</c:v>
                </c:pt>
                <c:pt idx="163">
                  <c:v>34.31</c:v>
                </c:pt>
                <c:pt idx="164">
                  <c:v>12.01</c:v>
                </c:pt>
                <c:pt idx="165">
                  <c:v>7.13</c:v>
                </c:pt>
                <c:pt idx="166">
                  <c:v>36.54</c:v>
                </c:pt>
                <c:pt idx="167">
                  <c:v>33.43</c:v>
                </c:pt>
                <c:pt idx="168">
                  <c:v>30.1</c:v>
                </c:pt>
                <c:pt idx="169">
                  <c:v>14.63</c:v>
                </c:pt>
                <c:pt idx="170">
                  <c:v>36.049999999999997</c:v>
                </c:pt>
                <c:pt idx="171">
                  <c:v>39.31</c:v>
                </c:pt>
                <c:pt idx="172">
                  <c:v>42.4</c:v>
                </c:pt>
                <c:pt idx="173">
                  <c:v>60.52</c:v>
                </c:pt>
                <c:pt idx="174">
                  <c:v>60.64</c:v>
                </c:pt>
                <c:pt idx="175">
                  <c:v>61.41</c:v>
                </c:pt>
                <c:pt idx="176">
                  <c:v>61.07</c:v>
                </c:pt>
                <c:pt idx="177">
                  <c:v>57.27</c:v>
                </c:pt>
                <c:pt idx="178">
                  <c:v>60.61</c:v>
                </c:pt>
                <c:pt idx="179">
                  <c:v>60.37</c:v>
                </c:pt>
                <c:pt idx="180">
                  <c:v>55.59</c:v>
                </c:pt>
                <c:pt idx="181">
                  <c:v>60.18</c:v>
                </c:pt>
                <c:pt idx="182">
                  <c:v>50.98</c:v>
                </c:pt>
                <c:pt idx="183">
                  <c:v>54.15</c:v>
                </c:pt>
                <c:pt idx="184">
                  <c:v>34.51</c:v>
                </c:pt>
                <c:pt idx="185">
                  <c:v>49.88</c:v>
                </c:pt>
                <c:pt idx="186">
                  <c:v>38.35</c:v>
                </c:pt>
                <c:pt idx="187">
                  <c:v>44.53</c:v>
                </c:pt>
                <c:pt idx="188">
                  <c:v>59.39</c:v>
                </c:pt>
                <c:pt idx="189">
                  <c:v>31.79</c:v>
                </c:pt>
                <c:pt idx="190">
                  <c:v>45.54</c:v>
                </c:pt>
                <c:pt idx="191">
                  <c:v>32.130000000000003</c:v>
                </c:pt>
                <c:pt idx="192">
                  <c:v>24.35</c:v>
                </c:pt>
                <c:pt idx="193">
                  <c:v>24.55</c:v>
                </c:pt>
                <c:pt idx="194">
                  <c:v>31.53</c:v>
                </c:pt>
                <c:pt idx="195">
                  <c:v>46.67</c:v>
                </c:pt>
                <c:pt idx="196">
                  <c:v>57.61</c:v>
                </c:pt>
                <c:pt idx="197">
                  <c:v>55.48</c:v>
                </c:pt>
                <c:pt idx="198">
                  <c:v>52.19</c:v>
                </c:pt>
                <c:pt idx="199">
                  <c:v>33.64</c:v>
                </c:pt>
                <c:pt idx="200">
                  <c:v>56.56</c:v>
                </c:pt>
                <c:pt idx="201">
                  <c:v>56.31</c:v>
                </c:pt>
                <c:pt idx="202">
                  <c:v>43.99</c:v>
                </c:pt>
                <c:pt idx="203">
                  <c:v>55.54</c:v>
                </c:pt>
                <c:pt idx="204">
                  <c:v>55.11</c:v>
                </c:pt>
                <c:pt idx="205">
                  <c:v>46.75</c:v>
                </c:pt>
                <c:pt idx="206">
                  <c:v>51.3</c:v>
                </c:pt>
                <c:pt idx="207">
                  <c:v>52.45</c:v>
                </c:pt>
                <c:pt idx="208">
                  <c:v>43.71</c:v>
                </c:pt>
                <c:pt idx="209">
                  <c:v>53.44</c:v>
                </c:pt>
                <c:pt idx="210">
                  <c:v>24.72</c:v>
                </c:pt>
                <c:pt idx="211">
                  <c:v>33.119999999999997</c:v>
                </c:pt>
                <c:pt idx="212">
                  <c:v>44.04</c:v>
                </c:pt>
                <c:pt idx="213">
                  <c:v>45.33</c:v>
                </c:pt>
                <c:pt idx="214">
                  <c:v>38.86</c:v>
                </c:pt>
                <c:pt idx="215">
                  <c:v>30.76</c:v>
                </c:pt>
                <c:pt idx="216">
                  <c:v>50.93</c:v>
                </c:pt>
                <c:pt idx="217">
                  <c:v>47.31</c:v>
                </c:pt>
                <c:pt idx="218">
                  <c:v>50.5</c:v>
                </c:pt>
                <c:pt idx="219">
                  <c:v>39.950000000000003</c:v>
                </c:pt>
                <c:pt idx="220">
                  <c:v>22.11</c:v>
                </c:pt>
                <c:pt idx="221">
                  <c:v>24.22</c:v>
                </c:pt>
                <c:pt idx="222">
                  <c:v>18.3</c:v>
                </c:pt>
                <c:pt idx="223">
                  <c:v>42.42</c:v>
                </c:pt>
                <c:pt idx="224">
                  <c:v>48.29</c:v>
                </c:pt>
                <c:pt idx="225">
                  <c:v>43.37</c:v>
                </c:pt>
                <c:pt idx="226">
                  <c:v>46.64</c:v>
                </c:pt>
                <c:pt idx="227">
                  <c:v>48</c:v>
                </c:pt>
                <c:pt idx="228">
                  <c:v>48.17</c:v>
                </c:pt>
                <c:pt idx="229">
                  <c:v>42.78</c:v>
                </c:pt>
                <c:pt idx="230">
                  <c:v>46.9</c:v>
                </c:pt>
                <c:pt idx="231">
                  <c:v>43.44</c:v>
                </c:pt>
                <c:pt idx="232">
                  <c:v>43.07</c:v>
                </c:pt>
                <c:pt idx="233">
                  <c:v>14.89</c:v>
                </c:pt>
                <c:pt idx="234">
                  <c:v>27.7</c:v>
                </c:pt>
                <c:pt idx="235">
                  <c:v>26.75</c:v>
                </c:pt>
                <c:pt idx="236">
                  <c:v>45.41</c:v>
                </c:pt>
                <c:pt idx="237">
                  <c:v>43.83</c:v>
                </c:pt>
                <c:pt idx="238">
                  <c:v>41.09</c:v>
                </c:pt>
                <c:pt idx="239">
                  <c:v>41.05</c:v>
                </c:pt>
                <c:pt idx="240">
                  <c:v>25.54</c:v>
                </c:pt>
                <c:pt idx="241">
                  <c:v>11.74</c:v>
                </c:pt>
                <c:pt idx="242">
                  <c:v>37.85</c:v>
                </c:pt>
                <c:pt idx="243">
                  <c:v>41.93</c:v>
                </c:pt>
                <c:pt idx="244">
                  <c:v>41.14</c:v>
                </c:pt>
                <c:pt idx="245">
                  <c:v>37.19</c:v>
                </c:pt>
                <c:pt idx="246">
                  <c:v>29.99</c:v>
                </c:pt>
                <c:pt idx="247">
                  <c:v>27.89</c:v>
                </c:pt>
                <c:pt idx="248">
                  <c:v>27.54</c:v>
                </c:pt>
                <c:pt idx="249">
                  <c:v>30.29</c:v>
                </c:pt>
                <c:pt idx="250">
                  <c:v>33.4</c:v>
                </c:pt>
                <c:pt idx="251">
                  <c:v>16.57</c:v>
                </c:pt>
                <c:pt idx="252">
                  <c:v>32.25</c:v>
                </c:pt>
                <c:pt idx="253">
                  <c:v>33.21</c:v>
                </c:pt>
                <c:pt idx="254">
                  <c:v>32.03</c:v>
                </c:pt>
                <c:pt idx="255">
                  <c:v>20.85</c:v>
                </c:pt>
                <c:pt idx="256">
                  <c:v>9.52</c:v>
                </c:pt>
                <c:pt idx="257">
                  <c:v>24.3</c:v>
                </c:pt>
                <c:pt idx="258">
                  <c:v>14.17</c:v>
                </c:pt>
                <c:pt idx="259">
                  <c:v>31.46</c:v>
                </c:pt>
                <c:pt idx="260">
                  <c:v>8.3800000000000008</c:v>
                </c:pt>
                <c:pt idx="261">
                  <c:v>19.5</c:v>
                </c:pt>
                <c:pt idx="262">
                  <c:v>5.0359999999999996</c:v>
                </c:pt>
                <c:pt idx="263">
                  <c:v>7.76</c:v>
                </c:pt>
                <c:pt idx="264">
                  <c:v>12.3</c:v>
                </c:pt>
                <c:pt idx="265">
                  <c:v>13.7</c:v>
                </c:pt>
                <c:pt idx="266">
                  <c:v>32.1</c:v>
                </c:pt>
                <c:pt idx="267">
                  <c:v>29.97</c:v>
                </c:pt>
                <c:pt idx="268">
                  <c:v>20.43</c:v>
                </c:pt>
                <c:pt idx="269">
                  <c:v>31.04</c:v>
                </c:pt>
                <c:pt idx="270">
                  <c:v>28.03</c:v>
                </c:pt>
                <c:pt idx="271">
                  <c:v>29.08</c:v>
                </c:pt>
                <c:pt idx="272">
                  <c:v>29.26</c:v>
                </c:pt>
                <c:pt idx="273">
                  <c:v>24.38</c:v>
                </c:pt>
                <c:pt idx="274">
                  <c:v>25.06</c:v>
                </c:pt>
                <c:pt idx="275">
                  <c:v>16.59</c:v>
                </c:pt>
                <c:pt idx="276">
                  <c:v>27.68</c:v>
                </c:pt>
                <c:pt idx="277">
                  <c:v>14.57</c:v>
                </c:pt>
                <c:pt idx="278">
                  <c:v>16.11</c:v>
                </c:pt>
                <c:pt idx="279">
                  <c:v>25.74</c:v>
                </c:pt>
                <c:pt idx="280">
                  <c:v>24.09</c:v>
                </c:pt>
                <c:pt idx="281">
                  <c:v>25.02</c:v>
                </c:pt>
                <c:pt idx="282">
                  <c:v>23.42</c:v>
                </c:pt>
                <c:pt idx="283">
                  <c:v>24.96</c:v>
                </c:pt>
                <c:pt idx="284">
                  <c:v>24.53</c:v>
                </c:pt>
                <c:pt idx="285">
                  <c:v>21.36</c:v>
                </c:pt>
                <c:pt idx="286">
                  <c:v>13.71</c:v>
                </c:pt>
                <c:pt idx="287">
                  <c:v>7.11</c:v>
                </c:pt>
                <c:pt idx="288">
                  <c:v>6.415</c:v>
                </c:pt>
                <c:pt idx="289">
                  <c:v>6.1580000000000004</c:v>
                </c:pt>
                <c:pt idx="290">
                  <c:v>2.99</c:v>
                </c:pt>
                <c:pt idx="291">
                  <c:v>5.2160000000000002</c:v>
                </c:pt>
                <c:pt idx="292">
                  <c:v>11.63</c:v>
                </c:pt>
                <c:pt idx="293">
                  <c:v>19.79</c:v>
                </c:pt>
                <c:pt idx="294">
                  <c:v>18.579999999999998</c:v>
                </c:pt>
                <c:pt idx="295">
                  <c:v>16.079999999999998</c:v>
                </c:pt>
                <c:pt idx="296">
                  <c:v>5.8550000000000004</c:v>
                </c:pt>
                <c:pt idx="297">
                  <c:v>9.4499999999999993</c:v>
                </c:pt>
                <c:pt idx="298">
                  <c:v>2.33</c:v>
                </c:pt>
                <c:pt idx="299">
                  <c:v>8.77</c:v>
                </c:pt>
                <c:pt idx="300">
                  <c:v>6.6630000000000003</c:v>
                </c:pt>
                <c:pt idx="301">
                  <c:v>1.2749999999999999</c:v>
                </c:pt>
                <c:pt idx="302">
                  <c:v>5.327</c:v>
                </c:pt>
                <c:pt idx="303">
                  <c:v>4.9930000000000003</c:v>
                </c:pt>
                <c:pt idx="304">
                  <c:v>9.49</c:v>
                </c:pt>
                <c:pt idx="305">
                  <c:v>5.1340000000000003</c:v>
                </c:pt>
                <c:pt idx="306">
                  <c:v>0.59499999999999997</c:v>
                </c:pt>
                <c:pt idx="307">
                  <c:v>2.1840000000000002</c:v>
                </c:pt>
                <c:pt idx="308">
                  <c:v>5.9539999999999997</c:v>
                </c:pt>
                <c:pt idx="309">
                  <c:v>2.1579999999999999</c:v>
                </c:pt>
                <c:pt idx="310">
                  <c:v>3.2839999999999998</c:v>
                </c:pt>
                <c:pt idx="311">
                  <c:v>3.194</c:v>
                </c:pt>
                <c:pt idx="312">
                  <c:v>2.3650000000000002</c:v>
                </c:pt>
                <c:pt idx="313">
                  <c:v>0.745</c:v>
                </c:pt>
                <c:pt idx="314">
                  <c:v>1.43</c:v>
                </c:pt>
                <c:pt idx="315">
                  <c:v>0.83</c:v>
                </c:pt>
                <c:pt idx="316">
                  <c:v>3.2290000000000001</c:v>
                </c:pt>
                <c:pt idx="317">
                  <c:v>4.1459999999999999</c:v>
                </c:pt>
                <c:pt idx="318">
                  <c:v>2.9140000000000001</c:v>
                </c:pt>
                <c:pt idx="319">
                  <c:v>9.77</c:v>
                </c:pt>
                <c:pt idx="320">
                  <c:v>5.2619999999999996</c:v>
                </c:pt>
                <c:pt idx="321">
                  <c:v>5.766</c:v>
                </c:pt>
                <c:pt idx="322">
                  <c:v>2.851</c:v>
                </c:pt>
                <c:pt idx="323">
                  <c:v>9.35</c:v>
                </c:pt>
                <c:pt idx="324">
                  <c:v>1.6080000000000001</c:v>
                </c:pt>
                <c:pt idx="325">
                  <c:v>5.1040000000000001</c:v>
                </c:pt>
                <c:pt idx="326">
                  <c:v>1.004</c:v>
                </c:pt>
                <c:pt idx="327">
                  <c:v>1.1479999999999999</c:v>
                </c:pt>
                <c:pt idx="328">
                  <c:v>1.542</c:v>
                </c:pt>
                <c:pt idx="329">
                  <c:v>1.0169999999999999</c:v>
                </c:pt>
                <c:pt idx="330">
                  <c:v>1.125</c:v>
                </c:pt>
                <c:pt idx="331">
                  <c:v>1.986</c:v>
                </c:pt>
                <c:pt idx="332">
                  <c:v>1.331</c:v>
                </c:pt>
                <c:pt idx="333">
                  <c:v>0.98399999999999999</c:v>
                </c:pt>
                <c:pt idx="334">
                  <c:v>0.59699999999999998</c:v>
                </c:pt>
                <c:pt idx="335">
                  <c:v>2.6059999999999999</c:v>
                </c:pt>
                <c:pt idx="336">
                  <c:v>0.55800000000000005</c:v>
                </c:pt>
                <c:pt idx="337">
                  <c:v>0.36799999999999999</c:v>
                </c:pt>
                <c:pt idx="338">
                  <c:v>4.5369999999999999</c:v>
                </c:pt>
                <c:pt idx="339">
                  <c:v>3.6850000000000001</c:v>
                </c:pt>
                <c:pt idx="340">
                  <c:v>2.9180000000000001</c:v>
                </c:pt>
                <c:pt idx="341">
                  <c:v>0.99199999999999999</c:v>
                </c:pt>
                <c:pt idx="342">
                  <c:v>3.137</c:v>
                </c:pt>
                <c:pt idx="343">
                  <c:v>5.1580000000000004</c:v>
                </c:pt>
                <c:pt idx="344">
                  <c:v>0.55800000000000005</c:v>
                </c:pt>
                <c:pt idx="345">
                  <c:v>4.0309999999999997</c:v>
                </c:pt>
                <c:pt idx="346">
                  <c:v>3.734</c:v>
                </c:pt>
                <c:pt idx="347">
                  <c:v>3.18</c:v>
                </c:pt>
                <c:pt idx="348">
                  <c:v>0.77400000000000002</c:v>
                </c:pt>
                <c:pt idx="349">
                  <c:v>5.0270000000000001</c:v>
                </c:pt>
                <c:pt idx="350">
                  <c:v>3.1469999999999998</c:v>
                </c:pt>
                <c:pt idx="351">
                  <c:v>0.84299999999999997</c:v>
                </c:pt>
                <c:pt idx="352">
                  <c:v>1.9259999999999999</c:v>
                </c:pt>
                <c:pt idx="353">
                  <c:v>1.466</c:v>
                </c:pt>
                <c:pt idx="354">
                  <c:v>4.8129999999999997</c:v>
                </c:pt>
                <c:pt idx="355">
                  <c:v>3.8650000000000002</c:v>
                </c:pt>
                <c:pt idx="356">
                  <c:v>0.877</c:v>
                </c:pt>
                <c:pt idx="357">
                  <c:v>0.76</c:v>
                </c:pt>
                <c:pt idx="358">
                  <c:v>6.1870000000000003</c:v>
                </c:pt>
                <c:pt idx="359">
                  <c:v>4.2720000000000002</c:v>
                </c:pt>
                <c:pt idx="360">
                  <c:v>1.482</c:v>
                </c:pt>
                <c:pt idx="361">
                  <c:v>5.6079999999999997</c:v>
                </c:pt>
                <c:pt idx="362">
                  <c:v>4.2690000000000001</c:v>
                </c:pt>
                <c:pt idx="363">
                  <c:v>7.2</c:v>
                </c:pt>
                <c:pt idx="364">
                  <c:v>3.081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2"/>
          <c:order val="2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Data!$BJ$7:$BJ$372</c:f>
              <c:numCache>
                <c:formatCode>0.00</c:formatCode>
                <c:ptCount val="366"/>
                <c:pt idx="0">
                  <c:v>3.49</c:v>
                </c:pt>
                <c:pt idx="1">
                  <c:v>6.62</c:v>
                </c:pt>
                <c:pt idx="2">
                  <c:v>2.5299999999999998</c:v>
                </c:pt>
                <c:pt idx="3">
                  <c:v>3.68</c:v>
                </c:pt>
                <c:pt idx="4">
                  <c:v>1.34</c:v>
                </c:pt>
                <c:pt idx="5">
                  <c:v>3.1</c:v>
                </c:pt>
                <c:pt idx="6">
                  <c:v>3.72</c:v>
                </c:pt>
                <c:pt idx="7">
                  <c:v>1.0900000000000001</c:v>
                </c:pt>
                <c:pt idx="8">
                  <c:v>0.28000000000000003</c:v>
                </c:pt>
                <c:pt idx="9">
                  <c:v>0.44</c:v>
                </c:pt>
                <c:pt idx="10">
                  <c:v>1.01</c:v>
                </c:pt>
                <c:pt idx="11">
                  <c:v>0.97</c:v>
                </c:pt>
                <c:pt idx="12">
                  <c:v>1.1599999999999999</c:v>
                </c:pt>
                <c:pt idx="13">
                  <c:v>1.52</c:v>
                </c:pt>
                <c:pt idx="14">
                  <c:v>1.19</c:v>
                </c:pt>
                <c:pt idx="15">
                  <c:v>1.43</c:v>
                </c:pt>
                <c:pt idx="16">
                  <c:v>5.69</c:v>
                </c:pt>
                <c:pt idx="17">
                  <c:v>1.63</c:v>
                </c:pt>
                <c:pt idx="18">
                  <c:v>2.58</c:v>
                </c:pt>
                <c:pt idx="19">
                  <c:v>0.71</c:v>
                </c:pt>
                <c:pt idx="20">
                  <c:v>3.09</c:v>
                </c:pt>
                <c:pt idx="21">
                  <c:v>1.03</c:v>
                </c:pt>
                <c:pt idx="22">
                  <c:v>4.22</c:v>
                </c:pt>
                <c:pt idx="23">
                  <c:v>6.99</c:v>
                </c:pt>
                <c:pt idx="24">
                  <c:v>13.99</c:v>
                </c:pt>
                <c:pt idx="25">
                  <c:v>7.22</c:v>
                </c:pt>
                <c:pt idx="26">
                  <c:v>7.07</c:v>
                </c:pt>
                <c:pt idx="27">
                  <c:v>3.16</c:v>
                </c:pt>
                <c:pt idx="28">
                  <c:v>5.49</c:v>
                </c:pt>
                <c:pt idx="29">
                  <c:v>0.82</c:v>
                </c:pt>
                <c:pt idx="30">
                  <c:v>1.33</c:v>
                </c:pt>
                <c:pt idx="31">
                  <c:v>3.5</c:v>
                </c:pt>
                <c:pt idx="32">
                  <c:v>1.51</c:v>
                </c:pt>
                <c:pt idx="33">
                  <c:v>3.1</c:v>
                </c:pt>
                <c:pt idx="34">
                  <c:v>1.06</c:v>
                </c:pt>
                <c:pt idx="35">
                  <c:v>3.01</c:v>
                </c:pt>
                <c:pt idx="36">
                  <c:v>2.29</c:v>
                </c:pt>
                <c:pt idx="37">
                  <c:v>2.02</c:v>
                </c:pt>
                <c:pt idx="38">
                  <c:v>4.29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17.64</c:v>
                </c:pt>
                <c:pt idx="43">
                  <c:v>2.57</c:v>
                </c:pt>
                <c:pt idx="44">
                  <c:v>4.4400000000000004</c:v>
                </c:pt>
                <c:pt idx="45">
                  <c:v>6.01</c:v>
                </c:pt>
                <c:pt idx="46">
                  <c:v>9.1999999999999993</c:v>
                </c:pt>
                <c:pt idx="47">
                  <c:v>20.85</c:v>
                </c:pt>
                <c:pt idx="48">
                  <c:v>21.38</c:v>
                </c:pt>
                <c:pt idx="49">
                  <c:v>14.55</c:v>
                </c:pt>
                <c:pt idx="50">
                  <c:v>6.13</c:v>
                </c:pt>
                <c:pt idx="51">
                  <c:v>5.45</c:v>
                </c:pt>
                <c:pt idx="52">
                  <c:v>13.86</c:v>
                </c:pt>
                <c:pt idx="53">
                  <c:v>2.89</c:v>
                </c:pt>
                <c:pt idx="54">
                  <c:v>7.95</c:v>
                </c:pt>
                <c:pt idx="55">
                  <c:v>5.28</c:v>
                </c:pt>
                <c:pt idx="56">
                  <c:v>1.24</c:v>
                </c:pt>
                <c:pt idx="57">
                  <c:v>14.15</c:v>
                </c:pt>
                <c:pt idx="58">
                  <c:v>2.36</c:v>
                </c:pt>
                <c:pt idx="59">
                  <c:v>14.64</c:v>
                </c:pt>
                <c:pt idx="60">
                  <c:v>12.57</c:v>
                </c:pt>
                <c:pt idx="61">
                  <c:v>23.03</c:v>
                </c:pt>
                <c:pt idx="62">
                  <c:v>27.07</c:v>
                </c:pt>
                <c:pt idx="63">
                  <c:v>15.49</c:v>
                </c:pt>
                <c:pt idx="64">
                  <c:v>14</c:v>
                </c:pt>
                <c:pt idx="65">
                  <c:v>14.39</c:v>
                </c:pt>
                <c:pt idx="66">
                  <c:v>4.8499999999999996</c:v>
                </c:pt>
                <c:pt idx="67">
                  <c:v>26.22</c:v>
                </c:pt>
                <c:pt idx="68">
                  <c:v>18.66</c:v>
                </c:pt>
                <c:pt idx="69">
                  <c:v>21.67</c:v>
                </c:pt>
                <c:pt idx="70">
                  <c:v>31.93</c:v>
                </c:pt>
                <c:pt idx="71">
                  <c:v>20.72</c:v>
                </c:pt>
                <c:pt idx="72">
                  <c:v>16.23</c:v>
                </c:pt>
                <c:pt idx="73">
                  <c:v>23.78</c:v>
                </c:pt>
                <c:pt idx="74">
                  <c:v>21.26</c:v>
                </c:pt>
                <c:pt idx="75">
                  <c:v>8.93</c:v>
                </c:pt>
                <c:pt idx="76">
                  <c:v>14.34</c:v>
                </c:pt>
                <c:pt idx="77">
                  <c:v>35.409999999999997</c:v>
                </c:pt>
                <c:pt idx="78">
                  <c:v>23.64</c:v>
                </c:pt>
                <c:pt idx="79">
                  <c:v>16.190000000000001</c:v>
                </c:pt>
                <c:pt idx="80">
                  <c:v>23.57</c:v>
                </c:pt>
                <c:pt idx="81">
                  <c:v>36.54</c:v>
                </c:pt>
                <c:pt idx="82">
                  <c:v>10.51</c:v>
                </c:pt>
                <c:pt idx="83">
                  <c:v>13.44</c:v>
                </c:pt>
                <c:pt idx="84">
                  <c:v>26.94</c:v>
                </c:pt>
                <c:pt idx="85">
                  <c:v>21.92</c:v>
                </c:pt>
                <c:pt idx="86">
                  <c:v>18.170000000000002</c:v>
                </c:pt>
                <c:pt idx="87">
                  <c:v>31.98</c:v>
                </c:pt>
                <c:pt idx="88">
                  <c:v>23.46</c:v>
                </c:pt>
                <c:pt idx="89">
                  <c:v>17.95</c:v>
                </c:pt>
                <c:pt idx="90">
                  <c:v>25.86</c:v>
                </c:pt>
                <c:pt idx="91">
                  <c:v>27.27</c:v>
                </c:pt>
                <c:pt idx="92">
                  <c:v>22.61</c:v>
                </c:pt>
                <c:pt idx="93">
                  <c:v>12.24</c:v>
                </c:pt>
                <c:pt idx="94">
                  <c:v>39.479999999999997</c:v>
                </c:pt>
                <c:pt idx="95">
                  <c:v>26.05</c:v>
                </c:pt>
                <c:pt idx="96">
                  <c:v>33.56</c:v>
                </c:pt>
                <c:pt idx="97">
                  <c:v>17.86</c:v>
                </c:pt>
                <c:pt idx="98">
                  <c:v>31.67</c:v>
                </c:pt>
                <c:pt idx="99">
                  <c:v>24.2</c:v>
                </c:pt>
                <c:pt idx="100">
                  <c:v>17.36</c:v>
                </c:pt>
                <c:pt idx="101">
                  <c:v>21.55</c:v>
                </c:pt>
                <c:pt idx="102">
                  <c:v>16.690000000000001</c:v>
                </c:pt>
                <c:pt idx="103">
                  <c:v>14.62</c:v>
                </c:pt>
                <c:pt idx="104">
                  <c:v>31.01</c:v>
                </c:pt>
                <c:pt idx="105">
                  <c:v>16.38</c:v>
                </c:pt>
                <c:pt idx="106">
                  <c:v>41.66</c:v>
                </c:pt>
                <c:pt idx="107">
                  <c:v>46.62</c:v>
                </c:pt>
                <c:pt idx="108">
                  <c:v>45.75</c:v>
                </c:pt>
                <c:pt idx="109">
                  <c:v>41.6</c:v>
                </c:pt>
                <c:pt idx="110">
                  <c:v>9.7200000000000006</c:v>
                </c:pt>
                <c:pt idx="111">
                  <c:v>32.15</c:v>
                </c:pt>
                <c:pt idx="112">
                  <c:v>53.11</c:v>
                </c:pt>
                <c:pt idx="113">
                  <c:v>54.23</c:v>
                </c:pt>
                <c:pt idx="114">
                  <c:v>52.22</c:v>
                </c:pt>
                <c:pt idx="115">
                  <c:v>29.01</c:v>
                </c:pt>
                <c:pt idx="116">
                  <c:v>45.25</c:v>
                </c:pt>
                <c:pt idx="117">
                  <c:v>42.78</c:v>
                </c:pt>
                <c:pt idx="118">
                  <c:v>33.340000000000003</c:v>
                </c:pt>
                <c:pt idx="119">
                  <c:v>52.81</c:v>
                </c:pt>
                <c:pt idx="120">
                  <c:v>17.420000000000002</c:v>
                </c:pt>
                <c:pt idx="121">
                  <c:v>36.880000000000003</c:v>
                </c:pt>
                <c:pt idx="122">
                  <c:v>53.79</c:v>
                </c:pt>
                <c:pt idx="123">
                  <c:v>53.66</c:v>
                </c:pt>
                <c:pt idx="124">
                  <c:v>46.96</c:v>
                </c:pt>
                <c:pt idx="125">
                  <c:v>33.9</c:v>
                </c:pt>
                <c:pt idx="126">
                  <c:v>32.04</c:v>
                </c:pt>
                <c:pt idx="127">
                  <c:v>42.66</c:v>
                </c:pt>
                <c:pt idx="128">
                  <c:v>49.34</c:v>
                </c:pt>
                <c:pt idx="129">
                  <c:v>43.33</c:v>
                </c:pt>
                <c:pt idx="130">
                  <c:v>27.64</c:v>
                </c:pt>
                <c:pt idx="131">
                  <c:v>39.14</c:v>
                </c:pt>
                <c:pt idx="132">
                  <c:v>49.29</c:v>
                </c:pt>
                <c:pt idx="133">
                  <c:v>56.18</c:v>
                </c:pt>
                <c:pt idx="134">
                  <c:v>61.56</c:v>
                </c:pt>
                <c:pt idx="135">
                  <c:v>61.12</c:v>
                </c:pt>
                <c:pt idx="136">
                  <c:v>51.82</c:v>
                </c:pt>
                <c:pt idx="137">
                  <c:v>57.26</c:v>
                </c:pt>
                <c:pt idx="138">
                  <c:v>49.25</c:v>
                </c:pt>
                <c:pt idx="139">
                  <c:v>12.83</c:v>
                </c:pt>
                <c:pt idx="140">
                  <c:v>48.58</c:v>
                </c:pt>
                <c:pt idx="141">
                  <c:v>32.35</c:v>
                </c:pt>
                <c:pt idx="142">
                  <c:v>40.630000000000003</c:v>
                </c:pt>
                <c:pt idx="143">
                  <c:v>17.39</c:v>
                </c:pt>
                <c:pt idx="144">
                  <c:v>29.85</c:v>
                </c:pt>
                <c:pt idx="145">
                  <c:v>18.45</c:v>
                </c:pt>
                <c:pt idx="146">
                  <c:v>27.08</c:v>
                </c:pt>
                <c:pt idx="147">
                  <c:v>35.33</c:v>
                </c:pt>
                <c:pt idx="148">
                  <c:v>26.11</c:v>
                </c:pt>
                <c:pt idx="149">
                  <c:v>53</c:v>
                </c:pt>
                <c:pt idx="150">
                  <c:v>51.8</c:v>
                </c:pt>
                <c:pt idx="151">
                  <c:v>42.92</c:v>
                </c:pt>
                <c:pt idx="152">
                  <c:v>21.47</c:v>
                </c:pt>
                <c:pt idx="153">
                  <c:v>38.57</c:v>
                </c:pt>
                <c:pt idx="154">
                  <c:v>20.97</c:v>
                </c:pt>
                <c:pt idx="155">
                  <c:v>37.43</c:v>
                </c:pt>
                <c:pt idx="156">
                  <c:v>47.01</c:v>
                </c:pt>
                <c:pt idx="157">
                  <c:v>52.12</c:v>
                </c:pt>
                <c:pt idx="158">
                  <c:v>17.5</c:v>
                </c:pt>
                <c:pt idx="159">
                  <c:v>30.61</c:v>
                </c:pt>
                <c:pt idx="160">
                  <c:v>49.07</c:v>
                </c:pt>
                <c:pt idx="161">
                  <c:v>29.82</c:v>
                </c:pt>
                <c:pt idx="162">
                  <c:v>47.52</c:v>
                </c:pt>
                <c:pt idx="163">
                  <c:v>37.74</c:v>
                </c:pt>
                <c:pt idx="164">
                  <c:v>13.21</c:v>
                </c:pt>
                <c:pt idx="165">
                  <c:v>7.84</c:v>
                </c:pt>
                <c:pt idx="166">
                  <c:v>40.19</c:v>
                </c:pt>
                <c:pt idx="167">
                  <c:v>36.770000000000003</c:v>
                </c:pt>
                <c:pt idx="168">
                  <c:v>33.11</c:v>
                </c:pt>
                <c:pt idx="169">
                  <c:v>16.09</c:v>
                </c:pt>
                <c:pt idx="170">
                  <c:v>39.659999999999997</c:v>
                </c:pt>
                <c:pt idx="171">
                  <c:v>43.24</c:v>
                </c:pt>
                <c:pt idx="172">
                  <c:v>46.64</c:v>
                </c:pt>
                <c:pt idx="173">
                  <c:v>66.569999999999993</c:v>
                </c:pt>
                <c:pt idx="174">
                  <c:v>66.7</c:v>
                </c:pt>
                <c:pt idx="175">
                  <c:v>67.55</c:v>
                </c:pt>
                <c:pt idx="176">
                  <c:v>67.180000000000007</c:v>
                </c:pt>
                <c:pt idx="177">
                  <c:v>63</c:v>
                </c:pt>
                <c:pt idx="178">
                  <c:v>66.67</c:v>
                </c:pt>
                <c:pt idx="179">
                  <c:v>66.41</c:v>
                </c:pt>
                <c:pt idx="180">
                  <c:v>61.15</c:v>
                </c:pt>
                <c:pt idx="181">
                  <c:v>66.2</c:v>
                </c:pt>
                <c:pt idx="182">
                  <c:v>56.08</c:v>
                </c:pt>
                <c:pt idx="183">
                  <c:v>59.57</c:v>
                </c:pt>
                <c:pt idx="184">
                  <c:v>37.96</c:v>
                </c:pt>
                <c:pt idx="185">
                  <c:v>54.87</c:v>
                </c:pt>
                <c:pt idx="186">
                  <c:v>42.19</c:v>
                </c:pt>
                <c:pt idx="187">
                  <c:v>48.98</c:v>
                </c:pt>
                <c:pt idx="188">
                  <c:v>65.33</c:v>
                </c:pt>
                <c:pt idx="189">
                  <c:v>34.97</c:v>
                </c:pt>
                <c:pt idx="190">
                  <c:v>50.09</c:v>
                </c:pt>
                <c:pt idx="191">
                  <c:v>35.340000000000003</c:v>
                </c:pt>
                <c:pt idx="192">
                  <c:v>26.79</c:v>
                </c:pt>
                <c:pt idx="193">
                  <c:v>27.01</c:v>
                </c:pt>
                <c:pt idx="194">
                  <c:v>34.68</c:v>
                </c:pt>
                <c:pt idx="195">
                  <c:v>51.34</c:v>
                </c:pt>
                <c:pt idx="196">
                  <c:v>63.37</c:v>
                </c:pt>
                <c:pt idx="197">
                  <c:v>61.03</c:v>
                </c:pt>
                <c:pt idx="198">
                  <c:v>57.41</c:v>
                </c:pt>
                <c:pt idx="199">
                  <c:v>37</c:v>
                </c:pt>
                <c:pt idx="200">
                  <c:v>62.22</c:v>
                </c:pt>
                <c:pt idx="201">
                  <c:v>61.94</c:v>
                </c:pt>
                <c:pt idx="202">
                  <c:v>48.39</c:v>
                </c:pt>
                <c:pt idx="203">
                  <c:v>61.09</c:v>
                </c:pt>
                <c:pt idx="204">
                  <c:v>60.62</c:v>
                </c:pt>
                <c:pt idx="205">
                  <c:v>51.43</c:v>
                </c:pt>
                <c:pt idx="206">
                  <c:v>56.43</c:v>
                </c:pt>
                <c:pt idx="207">
                  <c:v>57.7</c:v>
                </c:pt>
                <c:pt idx="208">
                  <c:v>48.08</c:v>
                </c:pt>
                <c:pt idx="209">
                  <c:v>58.78</c:v>
                </c:pt>
                <c:pt idx="210">
                  <c:v>27.19</c:v>
                </c:pt>
                <c:pt idx="211">
                  <c:v>36.43</c:v>
                </c:pt>
                <c:pt idx="212">
                  <c:v>48.44</c:v>
                </c:pt>
                <c:pt idx="213">
                  <c:v>49.86</c:v>
                </c:pt>
                <c:pt idx="214">
                  <c:v>42.75</c:v>
                </c:pt>
                <c:pt idx="215">
                  <c:v>33.840000000000003</c:v>
                </c:pt>
                <c:pt idx="216">
                  <c:v>56.02</c:v>
                </c:pt>
                <c:pt idx="217">
                  <c:v>52.04</c:v>
                </c:pt>
                <c:pt idx="218">
                  <c:v>55.55</c:v>
                </c:pt>
                <c:pt idx="219">
                  <c:v>43.95</c:v>
                </c:pt>
                <c:pt idx="220">
                  <c:v>24.32</c:v>
                </c:pt>
                <c:pt idx="221">
                  <c:v>26.64</c:v>
                </c:pt>
                <c:pt idx="222">
                  <c:v>20.13</c:v>
                </c:pt>
                <c:pt idx="223">
                  <c:v>46.66</c:v>
                </c:pt>
                <c:pt idx="224">
                  <c:v>53.12</c:v>
                </c:pt>
                <c:pt idx="225">
                  <c:v>47.71</c:v>
                </c:pt>
                <c:pt idx="226">
                  <c:v>51.3</c:v>
                </c:pt>
                <c:pt idx="227">
                  <c:v>52.8</c:v>
                </c:pt>
                <c:pt idx="228">
                  <c:v>52.99</c:v>
                </c:pt>
                <c:pt idx="229">
                  <c:v>47.06</c:v>
                </c:pt>
                <c:pt idx="230">
                  <c:v>51.59</c:v>
                </c:pt>
                <c:pt idx="231">
                  <c:v>47.78</c:v>
                </c:pt>
                <c:pt idx="232">
                  <c:v>47.38</c:v>
                </c:pt>
                <c:pt idx="233">
                  <c:v>16.38</c:v>
                </c:pt>
                <c:pt idx="234">
                  <c:v>30.47</c:v>
                </c:pt>
                <c:pt idx="235">
                  <c:v>29.43</c:v>
                </c:pt>
                <c:pt idx="236">
                  <c:v>49.95</c:v>
                </c:pt>
                <c:pt idx="237">
                  <c:v>48.21</c:v>
                </c:pt>
                <c:pt idx="238">
                  <c:v>45.2</c:v>
                </c:pt>
                <c:pt idx="239">
                  <c:v>45.16</c:v>
                </c:pt>
                <c:pt idx="240">
                  <c:v>28.09</c:v>
                </c:pt>
                <c:pt idx="241">
                  <c:v>12.91</c:v>
                </c:pt>
                <c:pt idx="242">
                  <c:v>41.64</c:v>
                </c:pt>
                <c:pt idx="243">
                  <c:v>46.12</c:v>
                </c:pt>
                <c:pt idx="244">
                  <c:v>45.25</c:v>
                </c:pt>
                <c:pt idx="245">
                  <c:v>40.909999999999997</c:v>
                </c:pt>
                <c:pt idx="246">
                  <c:v>32.99</c:v>
                </c:pt>
                <c:pt idx="247">
                  <c:v>30.68</c:v>
                </c:pt>
                <c:pt idx="248">
                  <c:v>30.29</c:v>
                </c:pt>
                <c:pt idx="249">
                  <c:v>33.32</c:v>
                </c:pt>
                <c:pt idx="250">
                  <c:v>36.74</c:v>
                </c:pt>
                <c:pt idx="251">
                  <c:v>18.23</c:v>
                </c:pt>
                <c:pt idx="252">
                  <c:v>35.479999999999997</c:v>
                </c:pt>
                <c:pt idx="253">
                  <c:v>36.53</c:v>
                </c:pt>
                <c:pt idx="254">
                  <c:v>35.229999999999997</c:v>
                </c:pt>
                <c:pt idx="255">
                  <c:v>22.94</c:v>
                </c:pt>
                <c:pt idx="256">
                  <c:v>10.47</c:v>
                </c:pt>
                <c:pt idx="257">
                  <c:v>26.73</c:v>
                </c:pt>
                <c:pt idx="258">
                  <c:v>15.59</c:v>
                </c:pt>
                <c:pt idx="259">
                  <c:v>34.61</c:v>
                </c:pt>
                <c:pt idx="260">
                  <c:v>9.2200000000000006</c:v>
                </c:pt>
                <c:pt idx="261">
                  <c:v>21.45</c:v>
                </c:pt>
                <c:pt idx="262">
                  <c:v>5.54</c:v>
                </c:pt>
                <c:pt idx="263">
                  <c:v>8.5399999999999991</c:v>
                </c:pt>
                <c:pt idx="264">
                  <c:v>13.53</c:v>
                </c:pt>
                <c:pt idx="265">
                  <c:v>15.07</c:v>
                </c:pt>
                <c:pt idx="266">
                  <c:v>35.31</c:v>
                </c:pt>
                <c:pt idx="267">
                  <c:v>32.97</c:v>
                </c:pt>
                <c:pt idx="268">
                  <c:v>22.47</c:v>
                </c:pt>
                <c:pt idx="269">
                  <c:v>34.14</c:v>
                </c:pt>
                <c:pt idx="270">
                  <c:v>30.83</c:v>
                </c:pt>
                <c:pt idx="271">
                  <c:v>31.99</c:v>
                </c:pt>
                <c:pt idx="272">
                  <c:v>32.19</c:v>
                </c:pt>
                <c:pt idx="273">
                  <c:v>26.82</c:v>
                </c:pt>
                <c:pt idx="274">
                  <c:v>27.57</c:v>
                </c:pt>
                <c:pt idx="275">
                  <c:v>18.25</c:v>
                </c:pt>
                <c:pt idx="276">
                  <c:v>30.45</c:v>
                </c:pt>
                <c:pt idx="277">
                  <c:v>16.03</c:v>
                </c:pt>
                <c:pt idx="278">
                  <c:v>17.72</c:v>
                </c:pt>
                <c:pt idx="279">
                  <c:v>28.31</c:v>
                </c:pt>
                <c:pt idx="280">
                  <c:v>26.5</c:v>
                </c:pt>
                <c:pt idx="281">
                  <c:v>27.52</c:v>
                </c:pt>
                <c:pt idx="282">
                  <c:v>25.76</c:v>
                </c:pt>
                <c:pt idx="283">
                  <c:v>27.46</c:v>
                </c:pt>
                <c:pt idx="284">
                  <c:v>26.98</c:v>
                </c:pt>
                <c:pt idx="285">
                  <c:v>23.5</c:v>
                </c:pt>
                <c:pt idx="286">
                  <c:v>15.08</c:v>
                </c:pt>
                <c:pt idx="287">
                  <c:v>7.82</c:v>
                </c:pt>
                <c:pt idx="288">
                  <c:v>7.06</c:v>
                </c:pt>
                <c:pt idx="289">
                  <c:v>6.77</c:v>
                </c:pt>
                <c:pt idx="290">
                  <c:v>3.29</c:v>
                </c:pt>
                <c:pt idx="291">
                  <c:v>5.74</c:v>
                </c:pt>
                <c:pt idx="292">
                  <c:v>12.79</c:v>
                </c:pt>
                <c:pt idx="293">
                  <c:v>21.77</c:v>
                </c:pt>
                <c:pt idx="294">
                  <c:v>20.440000000000001</c:v>
                </c:pt>
                <c:pt idx="295">
                  <c:v>17.690000000000001</c:v>
                </c:pt>
                <c:pt idx="296">
                  <c:v>6.44</c:v>
                </c:pt>
                <c:pt idx="297">
                  <c:v>10.4</c:v>
                </c:pt>
                <c:pt idx="298">
                  <c:v>2.56</c:v>
                </c:pt>
                <c:pt idx="299">
                  <c:v>9.65</c:v>
                </c:pt>
                <c:pt idx="300">
                  <c:v>7.33</c:v>
                </c:pt>
                <c:pt idx="301">
                  <c:v>1.4</c:v>
                </c:pt>
                <c:pt idx="302">
                  <c:v>5.86</c:v>
                </c:pt>
                <c:pt idx="303">
                  <c:v>5.49</c:v>
                </c:pt>
                <c:pt idx="304">
                  <c:v>10.44</c:v>
                </c:pt>
                <c:pt idx="305">
                  <c:v>5.65</c:v>
                </c:pt>
                <c:pt idx="306">
                  <c:v>0.65</c:v>
                </c:pt>
                <c:pt idx="307">
                  <c:v>2.4</c:v>
                </c:pt>
                <c:pt idx="308">
                  <c:v>6.55</c:v>
                </c:pt>
                <c:pt idx="309">
                  <c:v>2.37</c:v>
                </c:pt>
                <c:pt idx="310">
                  <c:v>3.61</c:v>
                </c:pt>
                <c:pt idx="311">
                  <c:v>3.51</c:v>
                </c:pt>
                <c:pt idx="312">
                  <c:v>2.6</c:v>
                </c:pt>
                <c:pt idx="313">
                  <c:v>0.82</c:v>
                </c:pt>
                <c:pt idx="314">
                  <c:v>1.57</c:v>
                </c:pt>
                <c:pt idx="315">
                  <c:v>0.91</c:v>
                </c:pt>
                <c:pt idx="316">
                  <c:v>3.55</c:v>
                </c:pt>
                <c:pt idx="317">
                  <c:v>4.5599999999999996</c:v>
                </c:pt>
                <c:pt idx="318">
                  <c:v>3.21</c:v>
                </c:pt>
                <c:pt idx="319">
                  <c:v>10.75</c:v>
                </c:pt>
                <c:pt idx="320">
                  <c:v>5.79</c:v>
                </c:pt>
                <c:pt idx="321">
                  <c:v>6.34</c:v>
                </c:pt>
                <c:pt idx="322">
                  <c:v>3.14</c:v>
                </c:pt>
                <c:pt idx="323">
                  <c:v>10.29</c:v>
                </c:pt>
                <c:pt idx="324">
                  <c:v>1.77</c:v>
                </c:pt>
                <c:pt idx="325">
                  <c:v>5.61</c:v>
                </c:pt>
                <c:pt idx="326">
                  <c:v>1.1000000000000001</c:v>
                </c:pt>
                <c:pt idx="327">
                  <c:v>1.26</c:v>
                </c:pt>
                <c:pt idx="328">
                  <c:v>1.7</c:v>
                </c:pt>
                <c:pt idx="329">
                  <c:v>1.1200000000000001</c:v>
                </c:pt>
                <c:pt idx="330">
                  <c:v>1.24</c:v>
                </c:pt>
                <c:pt idx="331">
                  <c:v>2.1800000000000002</c:v>
                </c:pt>
                <c:pt idx="332">
                  <c:v>1.46</c:v>
                </c:pt>
                <c:pt idx="333">
                  <c:v>1.08</c:v>
                </c:pt>
                <c:pt idx="334">
                  <c:v>0.66</c:v>
                </c:pt>
                <c:pt idx="335">
                  <c:v>2.87</c:v>
                </c:pt>
                <c:pt idx="336">
                  <c:v>0.61</c:v>
                </c:pt>
                <c:pt idx="337">
                  <c:v>0.4</c:v>
                </c:pt>
                <c:pt idx="338">
                  <c:v>4.99</c:v>
                </c:pt>
                <c:pt idx="339">
                  <c:v>4.05</c:v>
                </c:pt>
                <c:pt idx="340">
                  <c:v>3.21</c:v>
                </c:pt>
                <c:pt idx="341">
                  <c:v>1.0900000000000001</c:v>
                </c:pt>
                <c:pt idx="342">
                  <c:v>3.45</c:v>
                </c:pt>
                <c:pt idx="343">
                  <c:v>5.67</c:v>
                </c:pt>
                <c:pt idx="344">
                  <c:v>0.61</c:v>
                </c:pt>
                <c:pt idx="345">
                  <c:v>4.43</c:v>
                </c:pt>
                <c:pt idx="346">
                  <c:v>4.1100000000000003</c:v>
                </c:pt>
                <c:pt idx="347">
                  <c:v>3.5</c:v>
                </c:pt>
                <c:pt idx="348">
                  <c:v>0.85</c:v>
                </c:pt>
                <c:pt idx="349">
                  <c:v>5.53</c:v>
                </c:pt>
                <c:pt idx="350">
                  <c:v>3.46</c:v>
                </c:pt>
                <c:pt idx="351">
                  <c:v>0.93</c:v>
                </c:pt>
                <c:pt idx="352">
                  <c:v>2.12</c:v>
                </c:pt>
                <c:pt idx="353">
                  <c:v>1.61</c:v>
                </c:pt>
                <c:pt idx="354">
                  <c:v>5.29</c:v>
                </c:pt>
                <c:pt idx="355">
                  <c:v>4.25</c:v>
                </c:pt>
                <c:pt idx="356">
                  <c:v>0.96</c:v>
                </c:pt>
                <c:pt idx="357">
                  <c:v>0.84</c:v>
                </c:pt>
                <c:pt idx="358">
                  <c:v>6.81</c:v>
                </c:pt>
                <c:pt idx="359">
                  <c:v>4.7</c:v>
                </c:pt>
                <c:pt idx="360">
                  <c:v>1.63</c:v>
                </c:pt>
                <c:pt idx="361">
                  <c:v>6.17</c:v>
                </c:pt>
                <c:pt idx="362">
                  <c:v>4.7</c:v>
                </c:pt>
                <c:pt idx="363">
                  <c:v>7.92</c:v>
                </c:pt>
                <c:pt idx="364">
                  <c:v>3.39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10048"/>
        <c:axId val="261824512"/>
      </c:lineChart>
      <c:catAx>
        <c:axId val="26181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173140954495005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18245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61824512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PAR (mol/m2/d)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1729200652528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1810048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35294117647056"/>
          <c:y val="0.43882544861337686"/>
          <c:w val="0.11320754716981132"/>
          <c:h val="0.119086460032626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Mean Air Temperature</a:t>
            </a:r>
          </a:p>
        </c:rich>
      </c:tx>
      <c:layout>
        <c:manualLayout>
          <c:xMode val="edge"/>
          <c:yMode val="edge"/>
          <c:x val="0.4039955604883462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8091009988901221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-2.786</c:v>
                </c:pt>
                <c:pt idx="1">
                  <c:v>-1.613</c:v>
                </c:pt>
                <c:pt idx="2">
                  <c:v>-3.32</c:v>
                </c:pt>
                <c:pt idx="3">
                  <c:v>-2.952</c:v>
                </c:pt>
                <c:pt idx="4">
                  <c:v>-0.77100000000000002</c:v>
                </c:pt>
                <c:pt idx="5">
                  <c:v>0.36499999999999999</c:v>
                </c:pt>
                <c:pt idx="6">
                  <c:v>-2.5880000000000001</c:v>
                </c:pt>
                <c:pt idx="7">
                  <c:v>-3.0710000000000002</c:v>
                </c:pt>
                <c:pt idx="8">
                  <c:v>-2.6150000000000002</c:v>
                </c:pt>
                <c:pt idx="9">
                  <c:v>-1.8879999999999999</c:v>
                </c:pt>
                <c:pt idx="10">
                  <c:v>-3.181</c:v>
                </c:pt>
                <c:pt idx="11">
                  <c:v>-3.847</c:v>
                </c:pt>
                <c:pt idx="12">
                  <c:v>-1.579</c:v>
                </c:pt>
                <c:pt idx="13">
                  <c:v>-2.7770000000000001</c:v>
                </c:pt>
                <c:pt idx="14">
                  <c:v>-7.21</c:v>
                </c:pt>
                <c:pt idx="15">
                  <c:v>-6.8680000000000003</c:v>
                </c:pt>
                <c:pt idx="16">
                  <c:v>-2.73</c:v>
                </c:pt>
                <c:pt idx="17">
                  <c:v>-6.5609999999999999</c:v>
                </c:pt>
                <c:pt idx="18">
                  <c:v>-8.8699999999999992</c:v>
                </c:pt>
                <c:pt idx="19">
                  <c:v>-6.1050000000000004</c:v>
                </c:pt>
                <c:pt idx="20">
                  <c:v>-8.5399999999999991</c:v>
                </c:pt>
                <c:pt idx="21">
                  <c:v>-3.702</c:v>
                </c:pt>
                <c:pt idx="22">
                  <c:v>-1.7000000000000001E-2</c:v>
                </c:pt>
                <c:pt idx="23">
                  <c:v>-1.28</c:v>
                </c:pt>
                <c:pt idx="24">
                  <c:v>-0.97499999999999998</c:v>
                </c:pt>
                <c:pt idx="25">
                  <c:v>-3.6059999999999999</c:v>
                </c:pt>
                <c:pt idx="26">
                  <c:v>-4.9640000000000004</c:v>
                </c:pt>
                <c:pt idx="27">
                  <c:v>-5.0179999999999998</c:v>
                </c:pt>
                <c:pt idx="28">
                  <c:v>-5.9020000000000001</c:v>
                </c:pt>
                <c:pt idx="29">
                  <c:v>-2.9239999999999999</c:v>
                </c:pt>
                <c:pt idx="30">
                  <c:v>-4.6870000000000003</c:v>
                </c:pt>
                <c:pt idx="31">
                  <c:v>-3.173</c:v>
                </c:pt>
                <c:pt idx="32">
                  <c:v>-3.4289999999999998</c:v>
                </c:pt>
                <c:pt idx="33">
                  <c:v>-2.9630000000000001</c:v>
                </c:pt>
                <c:pt idx="34">
                  <c:v>-1.6619999999999999</c:v>
                </c:pt>
                <c:pt idx="35">
                  <c:v>-5.6280000000000001</c:v>
                </c:pt>
                <c:pt idx="36">
                  <c:v>-6.4340000000000002</c:v>
                </c:pt>
                <c:pt idx="37">
                  <c:v>-5.2569999999999997</c:v>
                </c:pt>
                <c:pt idx="38">
                  <c:v>-4.7130000000000001</c:v>
                </c:pt>
                <c:pt idx="39">
                  <c:v>-11.98</c:v>
                </c:pt>
                <c:pt idx="40">
                  <c:v>-13.63</c:v>
                </c:pt>
                <c:pt idx="41">
                  <c:v>-9.66</c:v>
                </c:pt>
                <c:pt idx="42">
                  <c:v>-6.7110000000000003</c:v>
                </c:pt>
                <c:pt idx="43">
                  <c:v>-6.6440000000000001</c:v>
                </c:pt>
                <c:pt idx="44">
                  <c:v>-11.25</c:v>
                </c:pt>
                <c:pt idx="45">
                  <c:v>-16.399999999999999</c:v>
                </c:pt>
                <c:pt idx="46">
                  <c:v>-18.87</c:v>
                </c:pt>
                <c:pt idx="47">
                  <c:v>-20.149999999999999</c:v>
                </c:pt>
                <c:pt idx="48">
                  <c:v>-18.46</c:v>
                </c:pt>
                <c:pt idx="49">
                  <c:v>-15.75</c:v>
                </c:pt>
                <c:pt idx="50">
                  <c:v>-9.6199999999999992</c:v>
                </c:pt>
                <c:pt idx="51">
                  <c:v>-6.032</c:v>
                </c:pt>
                <c:pt idx="52">
                  <c:v>-6.2779999999999996</c:v>
                </c:pt>
                <c:pt idx="53">
                  <c:v>-8.15</c:v>
                </c:pt>
                <c:pt idx="54">
                  <c:v>-16.11</c:v>
                </c:pt>
                <c:pt idx="55">
                  <c:v>-14.45</c:v>
                </c:pt>
                <c:pt idx="56">
                  <c:v>-4.8819999999999997</c:v>
                </c:pt>
                <c:pt idx="57">
                  <c:v>1.7310000000000001</c:v>
                </c:pt>
                <c:pt idx="58">
                  <c:v>-2.0569999999999999</c:v>
                </c:pt>
                <c:pt idx="59">
                  <c:v>-6.0389999999999997</c:v>
                </c:pt>
                <c:pt idx="60">
                  <c:v>-4.09</c:v>
                </c:pt>
                <c:pt idx="61">
                  <c:v>-9.24</c:v>
                </c:pt>
                <c:pt idx="62">
                  <c:v>-8.58</c:v>
                </c:pt>
                <c:pt idx="63">
                  <c:v>-3.94</c:v>
                </c:pt>
                <c:pt idx="64">
                  <c:v>-0.751</c:v>
                </c:pt>
                <c:pt idx="65">
                  <c:v>-2.4740000000000002</c:v>
                </c:pt>
                <c:pt idx="66">
                  <c:v>-4.8049999999999997</c:v>
                </c:pt>
                <c:pt idx="67">
                  <c:v>-8.42</c:v>
                </c:pt>
                <c:pt idx="68">
                  <c:v>-12.73</c:v>
                </c:pt>
                <c:pt idx="69">
                  <c:v>-13.33</c:v>
                </c:pt>
                <c:pt idx="70">
                  <c:v>-13.38</c:v>
                </c:pt>
                <c:pt idx="71">
                  <c:v>-10.39</c:v>
                </c:pt>
                <c:pt idx="72">
                  <c:v>-5.0519999999999996</c:v>
                </c:pt>
                <c:pt idx="73">
                  <c:v>-4.327</c:v>
                </c:pt>
                <c:pt idx="74">
                  <c:v>-2.82</c:v>
                </c:pt>
                <c:pt idx="75">
                  <c:v>-2.6629999999999998</c:v>
                </c:pt>
                <c:pt idx="76">
                  <c:v>-5.319</c:v>
                </c:pt>
                <c:pt idx="77">
                  <c:v>-7.49</c:v>
                </c:pt>
                <c:pt idx="78">
                  <c:v>-4.726</c:v>
                </c:pt>
                <c:pt idx="79">
                  <c:v>-2.14</c:v>
                </c:pt>
                <c:pt idx="80">
                  <c:v>0.61199999999999999</c:v>
                </c:pt>
                <c:pt idx="81">
                  <c:v>3.2440000000000002</c:v>
                </c:pt>
                <c:pt idx="82">
                  <c:v>0.14399999999999999</c:v>
                </c:pt>
                <c:pt idx="83">
                  <c:v>-3.5230000000000001</c:v>
                </c:pt>
                <c:pt idx="84">
                  <c:v>-5.468</c:v>
                </c:pt>
                <c:pt idx="85">
                  <c:v>-3.056</c:v>
                </c:pt>
                <c:pt idx="86">
                  <c:v>-2.8410000000000002</c:v>
                </c:pt>
                <c:pt idx="87">
                  <c:v>-0.87</c:v>
                </c:pt>
                <c:pt idx="88">
                  <c:v>-1.677</c:v>
                </c:pt>
                <c:pt idx="89">
                  <c:v>0.115</c:v>
                </c:pt>
                <c:pt idx="90">
                  <c:v>-0.436</c:v>
                </c:pt>
                <c:pt idx="91">
                  <c:v>0.193</c:v>
                </c:pt>
                <c:pt idx="92">
                  <c:v>0.20499999999999999</c:v>
                </c:pt>
                <c:pt idx="93">
                  <c:v>0.84799999999999998</c:v>
                </c:pt>
                <c:pt idx="94">
                  <c:v>3.319</c:v>
                </c:pt>
                <c:pt idx="95">
                  <c:v>2.7320000000000002</c:v>
                </c:pt>
                <c:pt idx="96">
                  <c:v>2.8250000000000002</c:v>
                </c:pt>
                <c:pt idx="97">
                  <c:v>3.6960000000000002</c:v>
                </c:pt>
                <c:pt idx="98">
                  <c:v>2.8279999999999998</c:v>
                </c:pt>
                <c:pt idx="99">
                  <c:v>1.125</c:v>
                </c:pt>
                <c:pt idx="100">
                  <c:v>0.72799999999999998</c:v>
                </c:pt>
                <c:pt idx="101">
                  <c:v>1.113</c:v>
                </c:pt>
                <c:pt idx="102">
                  <c:v>-1.4570000000000001</c:v>
                </c:pt>
                <c:pt idx="103">
                  <c:v>-0.48599999999999999</c:v>
                </c:pt>
                <c:pt idx="104">
                  <c:v>-3.7850000000000001</c:v>
                </c:pt>
                <c:pt idx="105">
                  <c:v>-4.3789999999999996</c:v>
                </c:pt>
                <c:pt idx="106">
                  <c:v>-5.1580000000000004</c:v>
                </c:pt>
                <c:pt idx="107">
                  <c:v>-2.044</c:v>
                </c:pt>
                <c:pt idx="108">
                  <c:v>3.5979999999999999</c:v>
                </c:pt>
                <c:pt idx="109">
                  <c:v>6.968</c:v>
                </c:pt>
                <c:pt idx="110">
                  <c:v>1.4</c:v>
                </c:pt>
                <c:pt idx="111">
                  <c:v>-2.2839999999999998</c:v>
                </c:pt>
                <c:pt idx="112">
                  <c:v>0.53600000000000003</c:v>
                </c:pt>
                <c:pt idx="113">
                  <c:v>4.1890000000000001</c:v>
                </c:pt>
                <c:pt idx="114">
                  <c:v>4.4580000000000002</c:v>
                </c:pt>
                <c:pt idx="115">
                  <c:v>2.7080000000000002</c:v>
                </c:pt>
                <c:pt idx="116">
                  <c:v>2.609</c:v>
                </c:pt>
                <c:pt idx="117">
                  <c:v>6.5069999999999997</c:v>
                </c:pt>
                <c:pt idx="118">
                  <c:v>6.4329999999999998</c:v>
                </c:pt>
                <c:pt idx="119">
                  <c:v>1.115</c:v>
                </c:pt>
                <c:pt idx="120">
                  <c:v>-1.903</c:v>
                </c:pt>
                <c:pt idx="121">
                  <c:v>-0.58199999999999996</c:v>
                </c:pt>
                <c:pt idx="122">
                  <c:v>1.0409999999999999</c:v>
                </c:pt>
                <c:pt idx="123">
                  <c:v>3.86</c:v>
                </c:pt>
                <c:pt idx="124">
                  <c:v>7.23</c:v>
                </c:pt>
                <c:pt idx="125">
                  <c:v>4.0730000000000004</c:v>
                </c:pt>
                <c:pt idx="126">
                  <c:v>1.631</c:v>
                </c:pt>
                <c:pt idx="127">
                  <c:v>-1.1859999999999999</c:v>
                </c:pt>
                <c:pt idx="128">
                  <c:v>-0.70799999999999996</c:v>
                </c:pt>
                <c:pt idx="129">
                  <c:v>2.556</c:v>
                </c:pt>
                <c:pt idx="130">
                  <c:v>3.48</c:v>
                </c:pt>
                <c:pt idx="131">
                  <c:v>0.17199999999999999</c:v>
                </c:pt>
                <c:pt idx="132">
                  <c:v>1.7889999999999999</c:v>
                </c:pt>
                <c:pt idx="133">
                  <c:v>6.4880000000000004</c:v>
                </c:pt>
                <c:pt idx="134">
                  <c:v>11.03</c:v>
                </c:pt>
                <c:pt idx="135">
                  <c:v>12.68</c:v>
                </c:pt>
                <c:pt idx="136">
                  <c:v>11.79</c:v>
                </c:pt>
                <c:pt idx="137">
                  <c:v>11.08</c:v>
                </c:pt>
                <c:pt idx="138">
                  <c:v>10.49</c:v>
                </c:pt>
                <c:pt idx="139">
                  <c:v>6.56</c:v>
                </c:pt>
                <c:pt idx="140">
                  <c:v>7.49</c:v>
                </c:pt>
                <c:pt idx="141">
                  <c:v>8.52</c:v>
                </c:pt>
                <c:pt idx="142">
                  <c:v>6.5730000000000004</c:v>
                </c:pt>
                <c:pt idx="143">
                  <c:v>4.1040000000000001</c:v>
                </c:pt>
                <c:pt idx="144">
                  <c:v>3.016</c:v>
                </c:pt>
                <c:pt idx="145">
                  <c:v>2.895</c:v>
                </c:pt>
                <c:pt idx="146">
                  <c:v>3.605</c:v>
                </c:pt>
                <c:pt idx="147">
                  <c:v>4.3129999999999997</c:v>
                </c:pt>
                <c:pt idx="148">
                  <c:v>4.2789999999999999</c:v>
                </c:pt>
                <c:pt idx="149">
                  <c:v>7.03</c:v>
                </c:pt>
                <c:pt idx="150">
                  <c:v>11.03</c:v>
                </c:pt>
                <c:pt idx="151">
                  <c:v>12.41</c:v>
                </c:pt>
                <c:pt idx="152">
                  <c:v>9.82</c:v>
                </c:pt>
                <c:pt idx="153">
                  <c:v>6.16</c:v>
                </c:pt>
                <c:pt idx="154">
                  <c:v>6.6639999999999997</c:v>
                </c:pt>
                <c:pt idx="155">
                  <c:v>7.38</c:v>
                </c:pt>
                <c:pt idx="156">
                  <c:v>8.67</c:v>
                </c:pt>
                <c:pt idx="157">
                  <c:v>12.56</c:v>
                </c:pt>
                <c:pt idx="158">
                  <c:v>7.7</c:v>
                </c:pt>
                <c:pt idx="159">
                  <c:v>7.37</c:v>
                </c:pt>
                <c:pt idx="160">
                  <c:v>9.4700000000000006</c:v>
                </c:pt>
                <c:pt idx="161">
                  <c:v>8.57</c:v>
                </c:pt>
                <c:pt idx="162">
                  <c:v>12.36</c:v>
                </c:pt>
                <c:pt idx="163">
                  <c:v>12.55</c:v>
                </c:pt>
                <c:pt idx="164">
                  <c:v>8.5299999999999994</c:v>
                </c:pt>
                <c:pt idx="165">
                  <c:v>7.17</c:v>
                </c:pt>
                <c:pt idx="166">
                  <c:v>7.37</c:v>
                </c:pt>
                <c:pt idx="167">
                  <c:v>6.13</c:v>
                </c:pt>
                <c:pt idx="168">
                  <c:v>6.9</c:v>
                </c:pt>
                <c:pt idx="169">
                  <c:v>4.3819999999999997</c:v>
                </c:pt>
                <c:pt idx="170">
                  <c:v>6.2089999999999996</c:v>
                </c:pt>
                <c:pt idx="171">
                  <c:v>6.8440000000000003</c:v>
                </c:pt>
                <c:pt idx="172">
                  <c:v>8.75</c:v>
                </c:pt>
                <c:pt idx="173">
                  <c:v>9.02</c:v>
                </c:pt>
                <c:pt idx="174">
                  <c:v>12.29</c:v>
                </c:pt>
                <c:pt idx="175">
                  <c:v>15.29</c:v>
                </c:pt>
                <c:pt idx="176">
                  <c:v>17.239999999999998</c:v>
                </c:pt>
                <c:pt idx="177">
                  <c:v>18.77</c:v>
                </c:pt>
                <c:pt idx="178">
                  <c:v>14.38</c:v>
                </c:pt>
                <c:pt idx="179">
                  <c:v>12.28</c:v>
                </c:pt>
                <c:pt idx="180">
                  <c:v>14.26</c:v>
                </c:pt>
                <c:pt idx="181">
                  <c:v>14.68</c:v>
                </c:pt>
                <c:pt idx="182">
                  <c:v>15.91</c:v>
                </c:pt>
                <c:pt idx="183">
                  <c:v>17</c:v>
                </c:pt>
                <c:pt idx="184">
                  <c:v>16</c:v>
                </c:pt>
                <c:pt idx="185">
                  <c:v>15.09</c:v>
                </c:pt>
                <c:pt idx="186">
                  <c:v>12.28</c:v>
                </c:pt>
                <c:pt idx="187">
                  <c:v>10.91</c:v>
                </c:pt>
                <c:pt idx="188">
                  <c:v>14.38</c:v>
                </c:pt>
                <c:pt idx="189">
                  <c:v>14.49</c:v>
                </c:pt>
                <c:pt idx="190">
                  <c:v>11.66</c:v>
                </c:pt>
                <c:pt idx="191">
                  <c:v>10.39</c:v>
                </c:pt>
                <c:pt idx="192">
                  <c:v>9.9600000000000009</c:v>
                </c:pt>
                <c:pt idx="193">
                  <c:v>9.34</c:v>
                </c:pt>
                <c:pt idx="194">
                  <c:v>10.3</c:v>
                </c:pt>
                <c:pt idx="195">
                  <c:v>10.4</c:v>
                </c:pt>
                <c:pt idx="196">
                  <c:v>10.76</c:v>
                </c:pt>
                <c:pt idx="197">
                  <c:v>11.55</c:v>
                </c:pt>
                <c:pt idx="198">
                  <c:v>9.48</c:v>
                </c:pt>
                <c:pt idx="199">
                  <c:v>10.92</c:v>
                </c:pt>
                <c:pt idx="200">
                  <c:v>13.52</c:v>
                </c:pt>
                <c:pt idx="201">
                  <c:v>17.89</c:v>
                </c:pt>
                <c:pt idx="202">
                  <c:v>19.510000000000002</c:v>
                </c:pt>
                <c:pt idx="203">
                  <c:v>19.649999999999999</c:v>
                </c:pt>
                <c:pt idx="204">
                  <c:v>17.010000000000002</c:v>
                </c:pt>
                <c:pt idx="205">
                  <c:v>16.46</c:v>
                </c:pt>
                <c:pt idx="206">
                  <c:v>17.05</c:v>
                </c:pt>
                <c:pt idx="207">
                  <c:v>16.34</c:v>
                </c:pt>
                <c:pt idx="208">
                  <c:v>13.45</c:v>
                </c:pt>
                <c:pt idx="209">
                  <c:v>11.5</c:v>
                </c:pt>
                <c:pt idx="210">
                  <c:v>5.2469999999999999</c:v>
                </c:pt>
                <c:pt idx="211">
                  <c:v>6.335</c:v>
                </c:pt>
                <c:pt idx="212">
                  <c:v>9.16</c:v>
                </c:pt>
                <c:pt idx="213">
                  <c:v>8.8699999999999992</c:v>
                </c:pt>
                <c:pt idx="214">
                  <c:v>10.01</c:v>
                </c:pt>
                <c:pt idx="215">
                  <c:v>6.7779999999999996</c:v>
                </c:pt>
                <c:pt idx="216">
                  <c:v>8.3000000000000007</c:v>
                </c:pt>
                <c:pt idx="217">
                  <c:v>12.69</c:v>
                </c:pt>
                <c:pt idx="218">
                  <c:v>14.5</c:v>
                </c:pt>
                <c:pt idx="219">
                  <c:v>13.89</c:v>
                </c:pt>
                <c:pt idx="220">
                  <c:v>10.37</c:v>
                </c:pt>
                <c:pt idx="221">
                  <c:v>9.3800000000000008</c:v>
                </c:pt>
                <c:pt idx="222">
                  <c:v>6.3230000000000004</c:v>
                </c:pt>
                <c:pt idx="223">
                  <c:v>7.66</c:v>
                </c:pt>
                <c:pt idx="224">
                  <c:v>11.1</c:v>
                </c:pt>
                <c:pt idx="225">
                  <c:v>13.32</c:v>
                </c:pt>
                <c:pt idx="226">
                  <c:v>10.35</c:v>
                </c:pt>
                <c:pt idx="227">
                  <c:v>9.57</c:v>
                </c:pt>
                <c:pt idx="228">
                  <c:v>10.69</c:v>
                </c:pt>
                <c:pt idx="229">
                  <c:v>12.19</c:v>
                </c:pt>
                <c:pt idx="230">
                  <c:v>11.72</c:v>
                </c:pt>
                <c:pt idx="231">
                  <c:v>12.48</c:v>
                </c:pt>
                <c:pt idx="232">
                  <c:v>14.59</c:v>
                </c:pt>
                <c:pt idx="233">
                  <c:v>12.33</c:v>
                </c:pt>
                <c:pt idx="234">
                  <c:v>8.4499999999999993</c:v>
                </c:pt>
                <c:pt idx="235">
                  <c:v>6.8159999999999998</c:v>
                </c:pt>
                <c:pt idx="236">
                  <c:v>8.39</c:v>
                </c:pt>
                <c:pt idx="237">
                  <c:v>11.17</c:v>
                </c:pt>
                <c:pt idx="238">
                  <c:v>12.85</c:v>
                </c:pt>
                <c:pt idx="239">
                  <c:v>15.59</c:v>
                </c:pt>
                <c:pt idx="240">
                  <c:v>10.41</c:v>
                </c:pt>
                <c:pt idx="241">
                  <c:v>4.2210000000000001</c:v>
                </c:pt>
                <c:pt idx="242">
                  <c:v>4.173</c:v>
                </c:pt>
                <c:pt idx="243">
                  <c:v>7.54</c:v>
                </c:pt>
                <c:pt idx="244">
                  <c:v>11.91</c:v>
                </c:pt>
                <c:pt idx="245">
                  <c:v>13.77</c:v>
                </c:pt>
                <c:pt idx="246">
                  <c:v>14.68</c:v>
                </c:pt>
                <c:pt idx="247">
                  <c:v>13.02</c:v>
                </c:pt>
                <c:pt idx="248">
                  <c:v>12.56</c:v>
                </c:pt>
                <c:pt idx="249">
                  <c:v>12.8</c:v>
                </c:pt>
                <c:pt idx="250">
                  <c:v>14.68</c:v>
                </c:pt>
                <c:pt idx="251">
                  <c:v>7.9</c:v>
                </c:pt>
                <c:pt idx="252">
                  <c:v>8.58</c:v>
                </c:pt>
                <c:pt idx="253">
                  <c:v>9.57</c:v>
                </c:pt>
                <c:pt idx="254">
                  <c:v>9.49</c:v>
                </c:pt>
                <c:pt idx="255">
                  <c:v>4.9530000000000003</c:v>
                </c:pt>
                <c:pt idx="256">
                  <c:v>1.28</c:v>
                </c:pt>
                <c:pt idx="257">
                  <c:v>1.6879999999999999</c:v>
                </c:pt>
                <c:pt idx="258">
                  <c:v>1.141</c:v>
                </c:pt>
                <c:pt idx="259">
                  <c:v>4.1749999999999998</c:v>
                </c:pt>
                <c:pt idx="260">
                  <c:v>6.1479999999999997</c:v>
                </c:pt>
                <c:pt idx="261">
                  <c:v>5.2110000000000003</c:v>
                </c:pt>
                <c:pt idx="262">
                  <c:v>1.9990000000000001</c:v>
                </c:pt>
                <c:pt idx="263">
                  <c:v>2.2029999999999998</c:v>
                </c:pt>
                <c:pt idx="264">
                  <c:v>2.863</c:v>
                </c:pt>
                <c:pt idx="265">
                  <c:v>4.7140000000000004</c:v>
                </c:pt>
                <c:pt idx="266">
                  <c:v>6.0339999999999998</c:v>
                </c:pt>
                <c:pt idx="267">
                  <c:v>7.35</c:v>
                </c:pt>
                <c:pt idx="268">
                  <c:v>7.79</c:v>
                </c:pt>
                <c:pt idx="269">
                  <c:v>7.04</c:v>
                </c:pt>
                <c:pt idx="270">
                  <c:v>8.41</c:v>
                </c:pt>
                <c:pt idx="271">
                  <c:v>9.69</c:v>
                </c:pt>
                <c:pt idx="272">
                  <c:v>6.6189999999999998</c:v>
                </c:pt>
                <c:pt idx="273">
                  <c:v>2.7130000000000001</c:v>
                </c:pt>
                <c:pt idx="274">
                  <c:v>1.2150000000000001</c:v>
                </c:pt>
                <c:pt idx="275">
                  <c:v>1.3520000000000001</c:v>
                </c:pt>
                <c:pt idx="276">
                  <c:v>2.7589999999999999</c:v>
                </c:pt>
                <c:pt idx="277">
                  <c:v>3.4009999999999998</c:v>
                </c:pt>
                <c:pt idx="278">
                  <c:v>3.2320000000000002</c:v>
                </c:pt>
                <c:pt idx="279">
                  <c:v>-0.70199999999999996</c:v>
                </c:pt>
                <c:pt idx="280">
                  <c:v>0.223</c:v>
                </c:pt>
                <c:pt idx="281">
                  <c:v>-0.72899999999999998</c:v>
                </c:pt>
                <c:pt idx="282">
                  <c:v>0.85799999999999998</c:v>
                </c:pt>
                <c:pt idx="283">
                  <c:v>2.38</c:v>
                </c:pt>
                <c:pt idx="284">
                  <c:v>3.7240000000000002</c:v>
                </c:pt>
                <c:pt idx="285">
                  <c:v>3.6930000000000001</c:v>
                </c:pt>
                <c:pt idx="286">
                  <c:v>4.4420000000000002</c:v>
                </c:pt>
                <c:pt idx="287">
                  <c:v>2.5489999999999999</c:v>
                </c:pt>
                <c:pt idx="288">
                  <c:v>0.40899999999999997</c:v>
                </c:pt>
                <c:pt idx="289">
                  <c:v>-1.7410000000000001</c:v>
                </c:pt>
                <c:pt idx="290">
                  <c:v>-0.17699999999999999</c:v>
                </c:pt>
                <c:pt idx="291">
                  <c:v>1.1990000000000001</c:v>
                </c:pt>
                <c:pt idx="292">
                  <c:v>7.0000000000000001E-3</c:v>
                </c:pt>
                <c:pt idx="293">
                  <c:v>-1.63</c:v>
                </c:pt>
                <c:pt idx="294">
                  <c:v>0.16800000000000001</c:v>
                </c:pt>
                <c:pt idx="295">
                  <c:v>1.3759999999999999</c:v>
                </c:pt>
                <c:pt idx="296">
                  <c:v>0.152</c:v>
                </c:pt>
                <c:pt idx="297">
                  <c:v>-1.579</c:v>
                </c:pt>
                <c:pt idx="298">
                  <c:v>2.2549999999999999</c:v>
                </c:pt>
                <c:pt idx="299">
                  <c:v>4.343</c:v>
                </c:pt>
                <c:pt idx="300">
                  <c:v>4.0529999999999999</c:v>
                </c:pt>
                <c:pt idx="301">
                  <c:v>-6.0019999999999998</c:v>
                </c:pt>
                <c:pt idx="302">
                  <c:v>-12.43</c:v>
                </c:pt>
                <c:pt idx="303">
                  <c:v>-11.72</c:v>
                </c:pt>
                <c:pt idx="304">
                  <c:v>-10.7</c:v>
                </c:pt>
                <c:pt idx="305">
                  <c:v>-4.7160000000000002</c:v>
                </c:pt>
                <c:pt idx="306">
                  <c:v>-1.5820000000000001</c:v>
                </c:pt>
                <c:pt idx="307">
                  <c:v>1.7190000000000001</c:v>
                </c:pt>
                <c:pt idx="308">
                  <c:v>2.2839999999999998</c:v>
                </c:pt>
                <c:pt idx="309">
                  <c:v>5.2190000000000003</c:v>
                </c:pt>
                <c:pt idx="310">
                  <c:v>3.4460000000000002</c:v>
                </c:pt>
                <c:pt idx="311">
                  <c:v>-2.5539999999999998</c:v>
                </c:pt>
                <c:pt idx="312">
                  <c:v>-6.4660000000000002</c:v>
                </c:pt>
                <c:pt idx="313">
                  <c:v>-3.76</c:v>
                </c:pt>
                <c:pt idx="314">
                  <c:v>-3.9769999999999999</c:v>
                </c:pt>
                <c:pt idx="315">
                  <c:v>-3.0489999999999999</c:v>
                </c:pt>
                <c:pt idx="316">
                  <c:v>-4.0880000000000001</c:v>
                </c:pt>
                <c:pt idx="317">
                  <c:v>-5.9180000000000001</c:v>
                </c:pt>
                <c:pt idx="318">
                  <c:v>-1.5760000000000001</c:v>
                </c:pt>
                <c:pt idx="319">
                  <c:v>-3.7919999999999998</c:v>
                </c:pt>
                <c:pt idx="320">
                  <c:v>-3.508</c:v>
                </c:pt>
                <c:pt idx="321">
                  <c:v>-2.4060000000000001</c:v>
                </c:pt>
                <c:pt idx="322">
                  <c:v>0.88600000000000001</c:v>
                </c:pt>
                <c:pt idx="323">
                  <c:v>-2.629</c:v>
                </c:pt>
                <c:pt idx="324">
                  <c:v>-1.63</c:v>
                </c:pt>
                <c:pt idx="325">
                  <c:v>-3.5710000000000002</c:v>
                </c:pt>
                <c:pt idx="326">
                  <c:v>-5.3490000000000002</c:v>
                </c:pt>
                <c:pt idx="327">
                  <c:v>-9.17</c:v>
                </c:pt>
                <c:pt idx="328">
                  <c:v>-12.83</c:v>
                </c:pt>
                <c:pt idx="329">
                  <c:v>-9.94</c:v>
                </c:pt>
                <c:pt idx="330">
                  <c:v>-22.24</c:v>
                </c:pt>
                <c:pt idx="331">
                  <c:v>-26.14</c:v>
                </c:pt>
                <c:pt idx="332">
                  <c:v>-23.97</c:v>
                </c:pt>
                <c:pt idx="333">
                  <c:v>-12.36</c:v>
                </c:pt>
                <c:pt idx="334">
                  <c:v>-9.56</c:v>
                </c:pt>
                <c:pt idx="335">
                  <c:v>-12.68</c:v>
                </c:pt>
                <c:pt idx="336">
                  <c:v>-8.34</c:v>
                </c:pt>
                <c:pt idx="337">
                  <c:v>-6.5259999999999998</c:v>
                </c:pt>
                <c:pt idx="338">
                  <c:v>-4.4649999999999999</c:v>
                </c:pt>
                <c:pt idx="339">
                  <c:v>-3.153</c:v>
                </c:pt>
                <c:pt idx="340">
                  <c:v>-3.6840000000000002</c:v>
                </c:pt>
                <c:pt idx="341">
                  <c:v>-1.6659999999999999</c:v>
                </c:pt>
                <c:pt idx="342">
                  <c:v>-0.84799999999999998</c:v>
                </c:pt>
                <c:pt idx="343">
                  <c:v>-0.622</c:v>
                </c:pt>
                <c:pt idx="344">
                  <c:v>-1.012</c:v>
                </c:pt>
                <c:pt idx="345">
                  <c:v>-3.012</c:v>
                </c:pt>
                <c:pt idx="346">
                  <c:v>-2.5619999999999998</c:v>
                </c:pt>
                <c:pt idx="347">
                  <c:v>-5.6269999999999998</c:v>
                </c:pt>
                <c:pt idx="348">
                  <c:v>-6.7779999999999996</c:v>
                </c:pt>
                <c:pt idx="349">
                  <c:v>-15.17</c:v>
                </c:pt>
                <c:pt idx="350">
                  <c:v>-11.62</c:v>
                </c:pt>
                <c:pt idx="351">
                  <c:v>-8.82</c:v>
                </c:pt>
                <c:pt idx="352">
                  <c:v>-5.3869999999999996</c:v>
                </c:pt>
                <c:pt idx="353">
                  <c:v>-3.117</c:v>
                </c:pt>
                <c:pt idx="354">
                  <c:v>-3.6379999999999999</c:v>
                </c:pt>
                <c:pt idx="355">
                  <c:v>-5.431</c:v>
                </c:pt>
                <c:pt idx="356">
                  <c:v>-6.9580000000000002</c:v>
                </c:pt>
                <c:pt idx="357">
                  <c:v>-9.82</c:v>
                </c:pt>
                <c:pt idx="358">
                  <c:v>-4.2069999999999999</c:v>
                </c:pt>
                <c:pt idx="359">
                  <c:v>-5.3879999999999999</c:v>
                </c:pt>
                <c:pt idx="360">
                  <c:v>-7.57</c:v>
                </c:pt>
                <c:pt idx="361">
                  <c:v>-14.68</c:v>
                </c:pt>
                <c:pt idx="362">
                  <c:v>-8.86</c:v>
                </c:pt>
                <c:pt idx="363">
                  <c:v>-10.59</c:v>
                </c:pt>
                <c:pt idx="364">
                  <c:v>-7.12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-3.4910000000000001</c:v>
                </c:pt>
                <c:pt idx="1">
                  <c:v>-2.173</c:v>
                </c:pt>
                <c:pt idx="2">
                  <c:v>-3.726</c:v>
                </c:pt>
                <c:pt idx="3">
                  <c:v>-3.5390000000000001</c:v>
                </c:pt>
                <c:pt idx="4">
                  <c:v>-1.2350000000000001</c:v>
                </c:pt>
                <c:pt idx="5">
                  <c:v>-4.2000000000000003E-2</c:v>
                </c:pt>
                <c:pt idx="6">
                  <c:v>-3.2469999999999999</c:v>
                </c:pt>
                <c:pt idx="7">
                  <c:v>-3.4889999999999999</c:v>
                </c:pt>
                <c:pt idx="8">
                  <c:v>-3.0289999999999999</c:v>
                </c:pt>
                <c:pt idx="9">
                  <c:v>-2.3050000000000002</c:v>
                </c:pt>
                <c:pt idx="10">
                  <c:v>-3.508</c:v>
                </c:pt>
                <c:pt idx="11">
                  <c:v>-3.9729999999999999</c:v>
                </c:pt>
                <c:pt idx="12">
                  <c:v>-1.702</c:v>
                </c:pt>
                <c:pt idx="13">
                  <c:v>-3.2490000000000001</c:v>
                </c:pt>
                <c:pt idx="14">
                  <c:v>-7.76</c:v>
                </c:pt>
                <c:pt idx="15">
                  <c:v>-6.8949999999999996</c:v>
                </c:pt>
                <c:pt idx="16">
                  <c:v>-3.0470000000000002</c:v>
                </c:pt>
                <c:pt idx="17">
                  <c:v>-7.41</c:v>
                </c:pt>
                <c:pt idx="18">
                  <c:v>-9.4499999999999993</c:v>
                </c:pt>
                <c:pt idx="19">
                  <c:v>-6.4480000000000004</c:v>
                </c:pt>
                <c:pt idx="20">
                  <c:v>-9.17</c:v>
                </c:pt>
                <c:pt idx="21">
                  <c:v>-4.0259999999999998</c:v>
                </c:pt>
                <c:pt idx="22">
                  <c:v>-0.54800000000000004</c:v>
                </c:pt>
                <c:pt idx="23">
                  <c:v>-2.1800000000000002</c:v>
                </c:pt>
                <c:pt idx="24">
                  <c:v>-1.97</c:v>
                </c:pt>
                <c:pt idx="25">
                  <c:v>-4.0540000000000003</c:v>
                </c:pt>
                <c:pt idx="26">
                  <c:v>-5.5069999999999997</c:v>
                </c:pt>
                <c:pt idx="27">
                  <c:v>-5.2110000000000003</c:v>
                </c:pt>
                <c:pt idx="28">
                  <c:v>-6.3739999999999997</c:v>
                </c:pt>
                <c:pt idx="29">
                  <c:v>-3.2109999999999999</c:v>
                </c:pt>
                <c:pt idx="30">
                  <c:v>-4.8979999999999997</c:v>
                </c:pt>
                <c:pt idx="31">
                  <c:v>-3.4750000000000001</c:v>
                </c:pt>
                <c:pt idx="32">
                  <c:v>-4.04</c:v>
                </c:pt>
                <c:pt idx="33">
                  <c:v>-3.44</c:v>
                </c:pt>
                <c:pt idx="34">
                  <c:v>-1.857</c:v>
                </c:pt>
                <c:pt idx="35">
                  <c:v>-5.9809999999999999</c:v>
                </c:pt>
                <c:pt idx="36">
                  <c:v>-6.9729999999999999</c:v>
                </c:pt>
                <c:pt idx="37">
                  <c:v>-5.8</c:v>
                </c:pt>
                <c:pt idx="38">
                  <c:v>-5.3040000000000003</c:v>
                </c:pt>
                <c:pt idx="39">
                  <c:v>-13.32</c:v>
                </c:pt>
                <c:pt idx="40">
                  <c:v>-14.64</c:v>
                </c:pt>
                <c:pt idx="41">
                  <c:v>-10.74</c:v>
                </c:pt>
                <c:pt idx="42">
                  <c:v>-7.44</c:v>
                </c:pt>
                <c:pt idx="43">
                  <c:v>-7.1</c:v>
                </c:pt>
                <c:pt idx="44">
                  <c:v>-11.86</c:v>
                </c:pt>
                <c:pt idx="45">
                  <c:v>-17.2</c:v>
                </c:pt>
                <c:pt idx="46">
                  <c:v>-19.66</c:v>
                </c:pt>
                <c:pt idx="47">
                  <c:v>-20.91</c:v>
                </c:pt>
                <c:pt idx="48">
                  <c:v>-18.96</c:v>
                </c:pt>
                <c:pt idx="49">
                  <c:v>-16.12</c:v>
                </c:pt>
                <c:pt idx="50">
                  <c:v>-9.9</c:v>
                </c:pt>
                <c:pt idx="51">
                  <c:v>-6.2720000000000002</c:v>
                </c:pt>
                <c:pt idx="52">
                  <c:v>-6.5570000000000004</c:v>
                </c:pt>
                <c:pt idx="53">
                  <c:v>-8.43</c:v>
                </c:pt>
                <c:pt idx="54">
                  <c:v>-16.93</c:v>
                </c:pt>
                <c:pt idx="55">
                  <c:v>-14.82</c:v>
                </c:pt>
                <c:pt idx="56">
                  <c:v>-5.1829999999999998</c:v>
                </c:pt>
                <c:pt idx="57">
                  <c:v>1.262</c:v>
                </c:pt>
                <c:pt idx="58">
                  <c:v>-2.488</c:v>
                </c:pt>
                <c:pt idx="59">
                  <c:v>-7.09</c:v>
                </c:pt>
                <c:pt idx="60">
                  <c:v>-4.8869999999999996</c:v>
                </c:pt>
                <c:pt idx="61">
                  <c:v>-10.24</c:v>
                </c:pt>
                <c:pt idx="62">
                  <c:v>-9.36</c:v>
                </c:pt>
                <c:pt idx="63">
                  <c:v>-4.5960000000000001</c:v>
                </c:pt>
                <c:pt idx="64">
                  <c:v>-1.2509999999999999</c:v>
                </c:pt>
                <c:pt idx="65">
                  <c:v>-2.9359999999999999</c:v>
                </c:pt>
                <c:pt idx="66">
                  <c:v>-5.0199999999999996</c:v>
                </c:pt>
                <c:pt idx="67">
                  <c:v>-8.5</c:v>
                </c:pt>
                <c:pt idx="68">
                  <c:v>-13.79</c:v>
                </c:pt>
                <c:pt idx="69">
                  <c:v>-14.16</c:v>
                </c:pt>
                <c:pt idx="70">
                  <c:v>-14.11</c:v>
                </c:pt>
                <c:pt idx="71">
                  <c:v>-11.11</c:v>
                </c:pt>
                <c:pt idx="72">
                  <c:v>-5.5250000000000004</c:v>
                </c:pt>
                <c:pt idx="73">
                  <c:v>-4.79</c:v>
                </c:pt>
                <c:pt idx="74">
                  <c:v>-3.129</c:v>
                </c:pt>
                <c:pt idx="75">
                  <c:v>-2.9940000000000002</c:v>
                </c:pt>
                <c:pt idx="76">
                  <c:v>-5.8209999999999997</c:v>
                </c:pt>
                <c:pt idx="77">
                  <c:v>-8.33</c:v>
                </c:pt>
                <c:pt idx="78">
                  <c:v>-5.6</c:v>
                </c:pt>
                <c:pt idx="79">
                  <c:v>-2.7109999999999999</c:v>
                </c:pt>
                <c:pt idx="80">
                  <c:v>-1.7000000000000001E-2</c:v>
                </c:pt>
                <c:pt idx="81">
                  <c:v>2.61</c:v>
                </c:pt>
                <c:pt idx="82">
                  <c:v>-0.72699999999999998</c:v>
                </c:pt>
                <c:pt idx="83">
                  <c:v>-4.2809999999999997</c:v>
                </c:pt>
                <c:pt idx="84">
                  <c:v>-5.9980000000000002</c:v>
                </c:pt>
                <c:pt idx="85">
                  <c:v>-3.512</c:v>
                </c:pt>
                <c:pt idx="86">
                  <c:v>-3.2069999999999999</c:v>
                </c:pt>
                <c:pt idx="87">
                  <c:v>-1.43</c:v>
                </c:pt>
                <c:pt idx="88">
                  <c:v>-2.3639999999999999</c:v>
                </c:pt>
                <c:pt idx="89">
                  <c:v>-0.38400000000000001</c:v>
                </c:pt>
                <c:pt idx="90">
                  <c:v>-1.361</c:v>
                </c:pt>
                <c:pt idx="91">
                  <c:v>-0.21299999999999999</c:v>
                </c:pt>
                <c:pt idx="92">
                  <c:v>-0.26500000000000001</c:v>
                </c:pt>
                <c:pt idx="93">
                  <c:v>0.46200000000000002</c:v>
                </c:pt>
                <c:pt idx="94">
                  <c:v>2.8530000000000002</c:v>
                </c:pt>
                <c:pt idx="95">
                  <c:v>2.3180000000000001</c:v>
                </c:pt>
                <c:pt idx="96">
                  <c:v>2.3330000000000002</c:v>
                </c:pt>
                <c:pt idx="97">
                  <c:v>3.1349999999999998</c:v>
                </c:pt>
                <c:pt idx="98">
                  <c:v>2.5150000000000001</c:v>
                </c:pt>
                <c:pt idx="99">
                  <c:v>0.51400000000000001</c:v>
                </c:pt>
                <c:pt idx="100">
                  <c:v>0.224</c:v>
                </c:pt>
                <c:pt idx="101">
                  <c:v>0.61099999999999999</c:v>
                </c:pt>
                <c:pt idx="102">
                  <c:v>-1.5409999999999999</c:v>
                </c:pt>
                <c:pt idx="103">
                  <c:v>-0.63300000000000001</c:v>
                </c:pt>
                <c:pt idx="104">
                  <c:v>-3.8290000000000002</c:v>
                </c:pt>
                <c:pt idx="105">
                  <c:v>-4.51</c:v>
                </c:pt>
                <c:pt idx="106">
                  <c:v>-5.5030000000000001</c:v>
                </c:pt>
                <c:pt idx="107">
                  <c:v>-2.4689999999999999</c:v>
                </c:pt>
                <c:pt idx="108">
                  <c:v>3.2040000000000002</c:v>
                </c:pt>
                <c:pt idx="109">
                  <c:v>6.3869999999999996</c:v>
                </c:pt>
                <c:pt idx="110">
                  <c:v>0.76700000000000002</c:v>
                </c:pt>
                <c:pt idx="111">
                  <c:v>-2.7440000000000002</c:v>
                </c:pt>
                <c:pt idx="112">
                  <c:v>0.191</c:v>
                </c:pt>
                <c:pt idx="113">
                  <c:v>3.7269999999999999</c:v>
                </c:pt>
                <c:pt idx="114">
                  <c:v>4.1639999999999997</c:v>
                </c:pt>
                <c:pt idx="115">
                  <c:v>2.3279999999999998</c:v>
                </c:pt>
                <c:pt idx="116">
                  <c:v>2.2189999999999999</c:v>
                </c:pt>
                <c:pt idx="117">
                  <c:v>6.0179999999999998</c:v>
                </c:pt>
                <c:pt idx="118">
                  <c:v>6.1829999999999998</c:v>
                </c:pt>
                <c:pt idx="119">
                  <c:v>1.1140000000000001</c:v>
                </c:pt>
                <c:pt idx="120">
                  <c:v>-1.8540000000000001</c:v>
                </c:pt>
                <c:pt idx="121">
                  <c:v>-0.6</c:v>
                </c:pt>
                <c:pt idx="122">
                  <c:v>0.871</c:v>
                </c:pt>
                <c:pt idx="123">
                  <c:v>3.6880000000000002</c:v>
                </c:pt>
                <c:pt idx="124">
                  <c:v>6.9630000000000001</c:v>
                </c:pt>
                <c:pt idx="125">
                  <c:v>3.7719999999999998</c:v>
                </c:pt>
                <c:pt idx="126">
                  <c:v>1.478</c:v>
                </c:pt>
                <c:pt idx="127">
                  <c:v>-1.105</c:v>
                </c:pt>
                <c:pt idx="128">
                  <c:v>-0.78600000000000003</c:v>
                </c:pt>
                <c:pt idx="129">
                  <c:v>2.4220000000000002</c:v>
                </c:pt>
                <c:pt idx="130">
                  <c:v>3.2690000000000001</c:v>
                </c:pt>
                <c:pt idx="131">
                  <c:v>0.33200000000000002</c:v>
                </c:pt>
                <c:pt idx="132">
                  <c:v>1.7250000000000001</c:v>
                </c:pt>
                <c:pt idx="133">
                  <c:v>6.3239999999999998</c:v>
                </c:pt>
                <c:pt idx="134">
                  <c:v>10.78</c:v>
                </c:pt>
                <c:pt idx="135">
                  <c:v>12.4</c:v>
                </c:pt>
                <c:pt idx="136">
                  <c:v>11.47</c:v>
                </c:pt>
                <c:pt idx="137">
                  <c:v>11.12</c:v>
                </c:pt>
                <c:pt idx="138">
                  <c:v>10.57</c:v>
                </c:pt>
                <c:pt idx="139">
                  <c:v>6.4459999999999997</c:v>
                </c:pt>
                <c:pt idx="140">
                  <c:v>7.63</c:v>
                </c:pt>
                <c:pt idx="141">
                  <c:v>8.51</c:v>
                </c:pt>
                <c:pt idx="142">
                  <c:v>6.6580000000000004</c:v>
                </c:pt>
                <c:pt idx="143">
                  <c:v>4.0620000000000003</c:v>
                </c:pt>
                <c:pt idx="144">
                  <c:v>3.206</c:v>
                </c:pt>
                <c:pt idx="145">
                  <c:v>3.0680000000000001</c:v>
                </c:pt>
                <c:pt idx="146">
                  <c:v>3.702</c:v>
                </c:pt>
                <c:pt idx="147">
                  <c:v>4.5679999999999996</c:v>
                </c:pt>
                <c:pt idx="148">
                  <c:v>4.4370000000000003</c:v>
                </c:pt>
                <c:pt idx="149">
                  <c:v>7.31</c:v>
                </c:pt>
                <c:pt idx="150">
                  <c:v>11.05</c:v>
                </c:pt>
                <c:pt idx="151">
                  <c:v>12.39</c:v>
                </c:pt>
                <c:pt idx="152">
                  <c:v>9.7200000000000006</c:v>
                </c:pt>
                <c:pt idx="153">
                  <c:v>6.2350000000000003</c:v>
                </c:pt>
                <c:pt idx="154">
                  <c:v>6.7309999999999999</c:v>
                </c:pt>
                <c:pt idx="155">
                  <c:v>7.35</c:v>
                </c:pt>
                <c:pt idx="156">
                  <c:v>8.7899999999999991</c:v>
                </c:pt>
                <c:pt idx="157">
                  <c:v>12.65</c:v>
                </c:pt>
                <c:pt idx="158">
                  <c:v>7.61</c:v>
                </c:pt>
                <c:pt idx="159">
                  <c:v>7.52</c:v>
                </c:pt>
                <c:pt idx="160">
                  <c:v>9.61</c:v>
                </c:pt>
                <c:pt idx="161">
                  <c:v>8.5399999999999991</c:v>
                </c:pt>
                <c:pt idx="162">
                  <c:v>12.47</c:v>
                </c:pt>
                <c:pt idx="163">
                  <c:v>12.56</c:v>
                </c:pt>
                <c:pt idx="164">
                  <c:v>8.59</c:v>
                </c:pt>
                <c:pt idx="165">
                  <c:v>7.12</c:v>
                </c:pt>
                <c:pt idx="166">
                  <c:v>7.34</c:v>
                </c:pt>
                <c:pt idx="167">
                  <c:v>6.343</c:v>
                </c:pt>
                <c:pt idx="168">
                  <c:v>6.8650000000000002</c:v>
                </c:pt>
                <c:pt idx="169">
                  <c:v>4.4370000000000003</c:v>
                </c:pt>
                <c:pt idx="170">
                  <c:v>6.3460000000000001</c:v>
                </c:pt>
                <c:pt idx="171">
                  <c:v>6.8769999999999998</c:v>
                </c:pt>
                <c:pt idx="172">
                  <c:v>8.77</c:v>
                </c:pt>
                <c:pt idx="173">
                  <c:v>9.17</c:v>
                </c:pt>
                <c:pt idx="174">
                  <c:v>12.32</c:v>
                </c:pt>
                <c:pt idx="175">
                  <c:v>15.3</c:v>
                </c:pt>
                <c:pt idx="176">
                  <c:v>17.12</c:v>
                </c:pt>
                <c:pt idx="177">
                  <c:v>18.78</c:v>
                </c:pt>
                <c:pt idx="178">
                  <c:v>14.08</c:v>
                </c:pt>
                <c:pt idx="179">
                  <c:v>12.31</c:v>
                </c:pt>
                <c:pt idx="180">
                  <c:v>14.37</c:v>
                </c:pt>
                <c:pt idx="181">
                  <c:v>14.74</c:v>
                </c:pt>
                <c:pt idx="182">
                  <c:v>15.78</c:v>
                </c:pt>
                <c:pt idx="183">
                  <c:v>17.05</c:v>
                </c:pt>
                <c:pt idx="184">
                  <c:v>15.78</c:v>
                </c:pt>
                <c:pt idx="185">
                  <c:v>15.34</c:v>
                </c:pt>
                <c:pt idx="186">
                  <c:v>12.35</c:v>
                </c:pt>
                <c:pt idx="187">
                  <c:v>10.96</c:v>
                </c:pt>
                <c:pt idx="188">
                  <c:v>14.65</c:v>
                </c:pt>
                <c:pt idx="189">
                  <c:v>14.43</c:v>
                </c:pt>
                <c:pt idx="190">
                  <c:v>11.98</c:v>
                </c:pt>
                <c:pt idx="191">
                  <c:v>10.47</c:v>
                </c:pt>
                <c:pt idx="192">
                  <c:v>9.8800000000000008</c:v>
                </c:pt>
                <c:pt idx="193">
                  <c:v>9.19</c:v>
                </c:pt>
                <c:pt idx="194">
                  <c:v>10.29</c:v>
                </c:pt>
                <c:pt idx="195">
                  <c:v>10.38</c:v>
                </c:pt>
                <c:pt idx="196">
                  <c:v>10.8</c:v>
                </c:pt>
                <c:pt idx="197">
                  <c:v>11.61</c:v>
                </c:pt>
                <c:pt idx="198">
                  <c:v>9.48</c:v>
                </c:pt>
                <c:pt idx="199">
                  <c:v>10.88</c:v>
                </c:pt>
                <c:pt idx="200">
                  <c:v>13.57</c:v>
                </c:pt>
                <c:pt idx="201">
                  <c:v>17.84</c:v>
                </c:pt>
                <c:pt idx="202">
                  <c:v>19.28</c:v>
                </c:pt>
                <c:pt idx="203">
                  <c:v>19.760000000000002</c:v>
                </c:pt>
                <c:pt idx="204">
                  <c:v>17.11</c:v>
                </c:pt>
                <c:pt idx="205">
                  <c:v>16.39</c:v>
                </c:pt>
                <c:pt idx="206">
                  <c:v>17.07</c:v>
                </c:pt>
                <c:pt idx="207">
                  <c:v>16.29</c:v>
                </c:pt>
                <c:pt idx="208">
                  <c:v>13.43</c:v>
                </c:pt>
                <c:pt idx="209">
                  <c:v>11.55</c:v>
                </c:pt>
                <c:pt idx="210">
                  <c:v>5.3860000000000001</c:v>
                </c:pt>
                <c:pt idx="211">
                  <c:v>6.476</c:v>
                </c:pt>
                <c:pt idx="212">
                  <c:v>9.2899999999999991</c:v>
                </c:pt>
                <c:pt idx="213">
                  <c:v>8.98</c:v>
                </c:pt>
                <c:pt idx="214">
                  <c:v>9.9499999999999993</c:v>
                </c:pt>
                <c:pt idx="215">
                  <c:v>6.569</c:v>
                </c:pt>
                <c:pt idx="216">
                  <c:v>8.42</c:v>
                </c:pt>
                <c:pt idx="217">
                  <c:v>12.65</c:v>
                </c:pt>
                <c:pt idx="218">
                  <c:v>14.4</c:v>
                </c:pt>
                <c:pt idx="219">
                  <c:v>13.7</c:v>
                </c:pt>
                <c:pt idx="220">
                  <c:v>10.119999999999999</c:v>
                </c:pt>
                <c:pt idx="221">
                  <c:v>9.6300000000000008</c:v>
                </c:pt>
                <c:pt idx="222">
                  <c:v>6.4080000000000004</c:v>
                </c:pt>
                <c:pt idx="223">
                  <c:v>7.75</c:v>
                </c:pt>
                <c:pt idx="224">
                  <c:v>11.19</c:v>
                </c:pt>
                <c:pt idx="225">
                  <c:v>13.28</c:v>
                </c:pt>
                <c:pt idx="226">
                  <c:v>10.029999999999999</c:v>
                </c:pt>
                <c:pt idx="227">
                  <c:v>9.5399999999999991</c:v>
                </c:pt>
                <c:pt idx="228">
                  <c:v>10.67</c:v>
                </c:pt>
                <c:pt idx="229">
                  <c:v>12.09</c:v>
                </c:pt>
                <c:pt idx="230">
                  <c:v>11.58</c:v>
                </c:pt>
                <c:pt idx="231">
                  <c:v>12.39</c:v>
                </c:pt>
                <c:pt idx="232">
                  <c:v>14.41</c:v>
                </c:pt>
                <c:pt idx="233">
                  <c:v>11.85</c:v>
                </c:pt>
                <c:pt idx="234">
                  <c:v>8.27</c:v>
                </c:pt>
                <c:pt idx="235">
                  <c:v>6.8049999999999997</c:v>
                </c:pt>
                <c:pt idx="236">
                  <c:v>8.4499999999999993</c:v>
                </c:pt>
                <c:pt idx="237">
                  <c:v>11.12</c:v>
                </c:pt>
                <c:pt idx="238">
                  <c:v>12.71</c:v>
                </c:pt>
                <c:pt idx="239">
                  <c:v>15.28</c:v>
                </c:pt>
                <c:pt idx="240">
                  <c:v>10.210000000000001</c:v>
                </c:pt>
                <c:pt idx="241">
                  <c:v>4.0940000000000003</c:v>
                </c:pt>
                <c:pt idx="242">
                  <c:v>4.0979999999999999</c:v>
                </c:pt>
                <c:pt idx="243">
                  <c:v>7.57</c:v>
                </c:pt>
                <c:pt idx="244">
                  <c:v>11.67</c:v>
                </c:pt>
                <c:pt idx="245">
                  <c:v>13.62</c:v>
                </c:pt>
                <c:pt idx="246">
                  <c:v>14.26</c:v>
                </c:pt>
                <c:pt idx="247">
                  <c:v>12.69</c:v>
                </c:pt>
                <c:pt idx="248">
                  <c:v>12.24</c:v>
                </c:pt>
                <c:pt idx="249">
                  <c:v>12.54</c:v>
                </c:pt>
                <c:pt idx="250">
                  <c:v>14.36</c:v>
                </c:pt>
                <c:pt idx="251">
                  <c:v>7.8</c:v>
                </c:pt>
                <c:pt idx="252">
                  <c:v>8.6300000000000008</c:v>
                </c:pt>
                <c:pt idx="253">
                  <c:v>9.4700000000000006</c:v>
                </c:pt>
                <c:pt idx="254">
                  <c:v>9.41</c:v>
                </c:pt>
                <c:pt idx="255">
                  <c:v>5.0090000000000003</c:v>
                </c:pt>
                <c:pt idx="256">
                  <c:v>1.111</c:v>
                </c:pt>
                <c:pt idx="257">
                  <c:v>1.5029999999999999</c:v>
                </c:pt>
                <c:pt idx="258">
                  <c:v>1.2210000000000001</c:v>
                </c:pt>
                <c:pt idx="259">
                  <c:v>4.2699999999999996</c:v>
                </c:pt>
                <c:pt idx="260">
                  <c:v>5.9560000000000004</c:v>
                </c:pt>
                <c:pt idx="261">
                  <c:v>5.1989999999999998</c:v>
                </c:pt>
                <c:pt idx="262">
                  <c:v>1.899</c:v>
                </c:pt>
                <c:pt idx="263">
                  <c:v>2.3340000000000001</c:v>
                </c:pt>
                <c:pt idx="264">
                  <c:v>2.9319999999999999</c:v>
                </c:pt>
                <c:pt idx="265">
                  <c:v>4.7560000000000002</c:v>
                </c:pt>
                <c:pt idx="266">
                  <c:v>6.0030000000000001</c:v>
                </c:pt>
                <c:pt idx="267">
                  <c:v>7.3</c:v>
                </c:pt>
                <c:pt idx="268">
                  <c:v>7.74</c:v>
                </c:pt>
                <c:pt idx="269">
                  <c:v>7</c:v>
                </c:pt>
                <c:pt idx="270">
                  <c:v>8.24</c:v>
                </c:pt>
                <c:pt idx="271">
                  <c:v>9.26</c:v>
                </c:pt>
                <c:pt idx="272">
                  <c:v>6.2030000000000003</c:v>
                </c:pt>
                <c:pt idx="273">
                  <c:v>2.5590000000000002</c:v>
                </c:pt>
                <c:pt idx="274">
                  <c:v>1.171</c:v>
                </c:pt>
                <c:pt idx="275">
                  <c:v>1.3660000000000001</c:v>
                </c:pt>
                <c:pt idx="276">
                  <c:v>2.5449999999999999</c:v>
                </c:pt>
                <c:pt idx="277">
                  <c:v>3.1259999999999999</c:v>
                </c:pt>
                <c:pt idx="278">
                  <c:v>3.2610000000000001</c:v>
                </c:pt>
                <c:pt idx="279">
                  <c:v>-0.82599999999999996</c:v>
                </c:pt>
                <c:pt idx="280">
                  <c:v>0.13</c:v>
                </c:pt>
                <c:pt idx="281">
                  <c:v>-0.84099999999999997</c:v>
                </c:pt>
                <c:pt idx="282">
                  <c:v>0.73599999999999999</c:v>
                </c:pt>
                <c:pt idx="283">
                  <c:v>2.2469999999999999</c:v>
                </c:pt>
                <c:pt idx="284">
                  <c:v>3.5539999999999998</c:v>
                </c:pt>
                <c:pt idx="285">
                  <c:v>3.548</c:v>
                </c:pt>
                <c:pt idx="286">
                  <c:v>4.3570000000000002</c:v>
                </c:pt>
                <c:pt idx="287">
                  <c:v>2.5529999999999999</c:v>
                </c:pt>
                <c:pt idx="288">
                  <c:v>0.48099999999999998</c:v>
                </c:pt>
                <c:pt idx="289">
                  <c:v>-1.72</c:v>
                </c:pt>
                <c:pt idx="290">
                  <c:v>-0.24299999999999999</c:v>
                </c:pt>
                <c:pt idx="291">
                  <c:v>1.0820000000000001</c:v>
                </c:pt>
                <c:pt idx="292">
                  <c:v>-0.29899999999999999</c:v>
                </c:pt>
                <c:pt idx="293">
                  <c:v>-1.8049999999999999</c:v>
                </c:pt>
                <c:pt idx="294">
                  <c:v>-7.9000000000000001E-2</c:v>
                </c:pt>
                <c:pt idx="295">
                  <c:v>1.04</c:v>
                </c:pt>
                <c:pt idx="296">
                  <c:v>-0.20100000000000001</c:v>
                </c:pt>
                <c:pt idx="297">
                  <c:v>-1.708</c:v>
                </c:pt>
                <c:pt idx="298">
                  <c:v>1.988</c:v>
                </c:pt>
                <c:pt idx="299">
                  <c:v>4.2329999999999997</c:v>
                </c:pt>
                <c:pt idx="300">
                  <c:v>3.8719999999999999</c:v>
                </c:pt>
                <c:pt idx="301">
                  <c:v>-6.1360000000000001</c:v>
                </c:pt>
                <c:pt idx="302">
                  <c:v>-13.06</c:v>
                </c:pt>
                <c:pt idx="303">
                  <c:v>-11.96</c:v>
                </c:pt>
                <c:pt idx="304">
                  <c:v>-11.01</c:v>
                </c:pt>
                <c:pt idx="305">
                  <c:v>-4.7880000000000003</c:v>
                </c:pt>
                <c:pt idx="306">
                  <c:v>-1.5940000000000001</c:v>
                </c:pt>
                <c:pt idx="307">
                  <c:v>1.34</c:v>
                </c:pt>
                <c:pt idx="308">
                  <c:v>2.016</c:v>
                </c:pt>
                <c:pt idx="309">
                  <c:v>4.8099999999999996</c:v>
                </c:pt>
                <c:pt idx="310">
                  <c:v>2.919</c:v>
                </c:pt>
                <c:pt idx="311">
                  <c:v>-2.657</c:v>
                </c:pt>
                <c:pt idx="312">
                  <c:v>-6.89</c:v>
                </c:pt>
                <c:pt idx="313">
                  <c:v>-3.7530000000000001</c:v>
                </c:pt>
                <c:pt idx="314">
                  <c:v>-3.7690000000000001</c:v>
                </c:pt>
                <c:pt idx="315">
                  <c:v>-3.121</c:v>
                </c:pt>
                <c:pt idx="316">
                  <c:v>-3.9790000000000001</c:v>
                </c:pt>
                <c:pt idx="317">
                  <c:v>-6.0279999999999996</c:v>
                </c:pt>
                <c:pt idx="318">
                  <c:v>-1.5029999999999999</c:v>
                </c:pt>
                <c:pt idx="319">
                  <c:v>-4.0620000000000003</c:v>
                </c:pt>
                <c:pt idx="320">
                  <c:v>-3.7829999999999999</c:v>
                </c:pt>
                <c:pt idx="321">
                  <c:v>-2.6259999999999999</c:v>
                </c:pt>
                <c:pt idx="322">
                  <c:v>0.50700000000000001</c:v>
                </c:pt>
                <c:pt idx="323">
                  <c:v>-2.931</c:v>
                </c:pt>
                <c:pt idx="324">
                  <c:v>-1.744</c:v>
                </c:pt>
                <c:pt idx="325">
                  <c:v>-3.8109999999999999</c:v>
                </c:pt>
                <c:pt idx="326">
                  <c:v>-5.2140000000000004</c:v>
                </c:pt>
                <c:pt idx="327">
                  <c:v>-9.5500000000000007</c:v>
                </c:pt>
                <c:pt idx="328">
                  <c:v>-13.19</c:v>
                </c:pt>
                <c:pt idx="329">
                  <c:v>-10.01</c:v>
                </c:pt>
                <c:pt idx="330">
                  <c:v>-22.64</c:v>
                </c:pt>
                <c:pt idx="331">
                  <c:v>-27.03</c:v>
                </c:pt>
                <c:pt idx="332">
                  <c:v>-24.21</c:v>
                </c:pt>
                <c:pt idx="333">
                  <c:v>-12.6</c:v>
                </c:pt>
                <c:pt idx="334">
                  <c:v>-9.91</c:v>
                </c:pt>
                <c:pt idx="335">
                  <c:v>-13.38</c:v>
                </c:pt>
                <c:pt idx="336">
                  <c:v>-8.43</c:v>
                </c:pt>
                <c:pt idx="337">
                  <c:v>-6.6349999999999998</c:v>
                </c:pt>
                <c:pt idx="338">
                  <c:v>-4.8559999999999999</c:v>
                </c:pt>
                <c:pt idx="339">
                  <c:v>-3.6890000000000001</c:v>
                </c:pt>
                <c:pt idx="340">
                  <c:v>-4.0810000000000004</c:v>
                </c:pt>
                <c:pt idx="341">
                  <c:v>-1.84</c:v>
                </c:pt>
                <c:pt idx="342">
                  <c:v>-1.2809999999999999</c:v>
                </c:pt>
                <c:pt idx="343">
                  <c:v>-1.0529999999999999</c:v>
                </c:pt>
                <c:pt idx="344">
                  <c:v>-1.1739999999999999</c:v>
                </c:pt>
                <c:pt idx="345">
                  <c:v>-3.2450000000000001</c:v>
                </c:pt>
                <c:pt idx="346">
                  <c:v>-2.7480000000000002</c:v>
                </c:pt>
                <c:pt idx="347">
                  <c:v>-5.9939999999999998</c:v>
                </c:pt>
                <c:pt idx="348">
                  <c:v>-7.17</c:v>
                </c:pt>
                <c:pt idx="349">
                  <c:v>-15.91</c:v>
                </c:pt>
                <c:pt idx="350">
                  <c:v>-12.38</c:v>
                </c:pt>
                <c:pt idx="351">
                  <c:v>-9.1199999999999992</c:v>
                </c:pt>
                <c:pt idx="352">
                  <c:v>-5.7329999999999997</c:v>
                </c:pt>
                <c:pt idx="353">
                  <c:v>-3.3719999999999999</c:v>
                </c:pt>
                <c:pt idx="354">
                  <c:v>-4.0149999999999997</c:v>
                </c:pt>
                <c:pt idx="355">
                  <c:v>-5.8159999999999998</c:v>
                </c:pt>
                <c:pt idx="356">
                  <c:v>-7.37</c:v>
                </c:pt>
                <c:pt idx="357">
                  <c:v>-10.42</c:v>
                </c:pt>
                <c:pt idx="358">
                  <c:v>-4.7850000000000001</c:v>
                </c:pt>
                <c:pt idx="359">
                  <c:v>-5.8280000000000003</c:v>
                </c:pt>
                <c:pt idx="360">
                  <c:v>-7.84</c:v>
                </c:pt>
                <c:pt idx="361">
                  <c:v>-15.89</c:v>
                </c:pt>
                <c:pt idx="362">
                  <c:v>-9.4</c:v>
                </c:pt>
                <c:pt idx="363">
                  <c:v>-11.71</c:v>
                </c:pt>
                <c:pt idx="364">
                  <c:v>-7.39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-3.7749999999999999</c:v>
                </c:pt>
                <c:pt idx="1">
                  <c:v>-2.3570000000000002</c:v>
                </c:pt>
                <c:pt idx="2">
                  <c:v>-3.7989999999999999</c:v>
                </c:pt>
                <c:pt idx="3">
                  <c:v>-3.74</c:v>
                </c:pt>
                <c:pt idx="4">
                  <c:v>-1.3220000000000001</c:v>
                </c:pt>
                <c:pt idx="5">
                  <c:v>-9.1999999999999998E-2</c:v>
                </c:pt>
                <c:pt idx="6">
                  <c:v>-3.427</c:v>
                </c:pt>
                <c:pt idx="7">
                  <c:v>-3.512</c:v>
                </c:pt>
                <c:pt idx="8">
                  <c:v>-3.0760000000000001</c:v>
                </c:pt>
                <c:pt idx="9">
                  <c:v>-2.4220000000000002</c:v>
                </c:pt>
                <c:pt idx="10">
                  <c:v>-3.5430000000000001</c:v>
                </c:pt>
                <c:pt idx="11">
                  <c:v>-4.0609999999999999</c:v>
                </c:pt>
                <c:pt idx="12">
                  <c:v>-1.7989999999999999</c:v>
                </c:pt>
                <c:pt idx="13">
                  <c:v>-3.444</c:v>
                </c:pt>
                <c:pt idx="14">
                  <c:v>-7.94</c:v>
                </c:pt>
                <c:pt idx="15">
                  <c:v>-6.9880000000000004</c:v>
                </c:pt>
                <c:pt idx="16">
                  <c:v>-3.1459999999999999</c:v>
                </c:pt>
                <c:pt idx="17">
                  <c:v>-7.87</c:v>
                </c:pt>
                <c:pt idx="18">
                  <c:v>-9.66</c:v>
                </c:pt>
                <c:pt idx="19">
                  <c:v>-6.4550000000000001</c:v>
                </c:pt>
                <c:pt idx="20">
                  <c:v>-9.44</c:v>
                </c:pt>
                <c:pt idx="21">
                  <c:v>-4.1029999999999998</c:v>
                </c:pt>
                <c:pt idx="22">
                  <c:v>-0.75800000000000001</c:v>
                </c:pt>
                <c:pt idx="23">
                  <c:v>-2.75</c:v>
                </c:pt>
                <c:pt idx="24">
                  <c:v>-2.6030000000000002</c:v>
                </c:pt>
                <c:pt idx="25">
                  <c:v>-4.149</c:v>
                </c:pt>
                <c:pt idx="26">
                  <c:v>-5.73</c:v>
                </c:pt>
                <c:pt idx="27">
                  <c:v>-5.3339999999999996</c:v>
                </c:pt>
                <c:pt idx="28">
                  <c:v>-6.665</c:v>
                </c:pt>
                <c:pt idx="29">
                  <c:v>-3.3540000000000001</c:v>
                </c:pt>
                <c:pt idx="30">
                  <c:v>-5.0309999999999997</c:v>
                </c:pt>
                <c:pt idx="31">
                  <c:v>-3.7789999999999999</c:v>
                </c:pt>
                <c:pt idx="32">
                  <c:v>-4.5979999999999999</c:v>
                </c:pt>
                <c:pt idx="33">
                  <c:v>-3.8460000000000001</c:v>
                </c:pt>
                <c:pt idx="34">
                  <c:v>-1.9830000000000001</c:v>
                </c:pt>
                <c:pt idx="35">
                  <c:v>-4.6159999999999997</c:v>
                </c:pt>
                <c:pt idx="36">
                  <c:v>-5.8339999999999996</c:v>
                </c:pt>
                <c:pt idx="37">
                  <c:v>-5.6059999999999999</c:v>
                </c:pt>
                <c:pt idx="38">
                  <c:v>-5.2190000000000003</c:v>
                </c:pt>
                <c:pt idx="39">
                  <c:v>-11.43</c:v>
                </c:pt>
                <c:pt idx="40">
                  <c:v>-13.92</c:v>
                </c:pt>
                <c:pt idx="41">
                  <c:v>-11.85</c:v>
                </c:pt>
                <c:pt idx="42">
                  <c:v>-7.98</c:v>
                </c:pt>
                <c:pt idx="43">
                  <c:v>-7.36</c:v>
                </c:pt>
                <c:pt idx="44">
                  <c:v>-12.28</c:v>
                </c:pt>
                <c:pt idx="45">
                  <c:v>-17.64</c:v>
                </c:pt>
                <c:pt idx="46">
                  <c:v>-20.25</c:v>
                </c:pt>
                <c:pt idx="47">
                  <c:v>-21.67</c:v>
                </c:pt>
                <c:pt idx="48">
                  <c:v>-19.59</c:v>
                </c:pt>
                <c:pt idx="49">
                  <c:v>-16.32</c:v>
                </c:pt>
                <c:pt idx="50">
                  <c:v>-9.8699999999999992</c:v>
                </c:pt>
                <c:pt idx="51">
                  <c:v>-6.5750000000000002</c:v>
                </c:pt>
                <c:pt idx="52">
                  <c:v>-7.61</c:v>
                </c:pt>
                <c:pt idx="53">
                  <c:v>-4.5999999999999996</c:v>
                </c:pt>
                <c:pt idx="54">
                  <c:v>-3.7919999999999998</c:v>
                </c:pt>
                <c:pt idx="55">
                  <c:v>-3.839</c:v>
                </c:pt>
                <c:pt idx="56">
                  <c:v>-4.4109999999999996</c:v>
                </c:pt>
                <c:pt idx="57">
                  <c:v>-1.5740000000000001</c:v>
                </c:pt>
                <c:pt idx="58">
                  <c:v>-2.0840000000000001</c:v>
                </c:pt>
                <c:pt idx="59">
                  <c:v>-3.2050000000000001</c:v>
                </c:pt>
                <c:pt idx="60">
                  <c:v>-2.8889999999999998</c:v>
                </c:pt>
                <c:pt idx="61">
                  <c:v>-2.41</c:v>
                </c:pt>
                <c:pt idx="62">
                  <c:v>-4.5540000000000003</c:v>
                </c:pt>
                <c:pt idx="63">
                  <c:v>-4.2389999999999999</c:v>
                </c:pt>
                <c:pt idx="64">
                  <c:v>-1.2490000000000001</c:v>
                </c:pt>
                <c:pt idx="65">
                  <c:v>-2.4870000000000001</c:v>
                </c:pt>
                <c:pt idx="66">
                  <c:v>-3.726</c:v>
                </c:pt>
                <c:pt idx="67">
                  <c:v>-2.589</c:v>
                </c:pt>
                <c:pt idx="68">
                  <c:v>-2.56</c:v>
                </c:pt>
                <c:pt idx="69">
                  <c:v>-2.7120000000000002</c:v>
                </c:pt>
                <c:pt idx="70">
                  <c:v>-2.68</c:v>
                </c:pt>
                <c:pt idx="71">
                  <c:v>-4.3390000000000004</c:v>
                </c:pt>
                <c:pt idx="72">
                  <c:v>-3.9209999999999998</c:v>
                </c:pt>
                <c:pt idx="73">
                  <c:v>-3.23</c:v>
                </c:pt>
                <c:pt idx="74">
                  <c:v>-2.3380000000000001</c:v>
                </c:pt>
                <c:pt idx="75">
                  <c:v>-1.6579999999999999</c:v>
                </c:pt>
                <c:pt idx="76">
                  <c:v>-1.5960000000000001</c:v>
                </c:pt>
                <c:pt idx="77">
                  <c:v>-1.7310000000000001</c:v>
                </c:pt>
                <c:pt idx="78">
                  <c:v>-2.66</c:v>
                </c:pt>
                <c:pt idx="79">
                  <c:v>-2.0830000000000002</c:v>
                </c:pt>
                <c:pt idx="80">
                  <c:v>-1.802</c:v>
                </c:pt>
                <c:pt idx="81">
                  <c:v>-0.97299999999999998</c:v>
                </c:pt>
                <c:pt idx="82">
                  <c:v>-0.16</c:v>
                </c:pt>
                <c:pt idx="83">
                  <c:v>-0.318</c:v>
                </c:pt>
                <c:pt idx="84">
                  <c:v>-3.2440000000000002</c:v>
                </c:pt>
                <c:pt idx="85">
                  <c:v>-2.835</c:v>
                </c:pt>
                <c:pt idx="86">
                  <c:v>-2.7759999999999998</c:v>
                </c:pt>
                <c:pt idx="87">
                  <c:v>-1.298</c:v>
                </c:pt>
                <c:pt idx="88">
                  <c:v>-3.3660000000000001</c:v>
                </c:pt>
                <c:pt idx="89">
                  <c:v>-1.4590000000000001</c:v>
                </c:pt>
                <c:pt idx="90">
                  <c:v>0.191</c:v>
                </c:pt>
                <c:pt idx="91">
                  <c:v>-0.84699999999999998</c:v>
                </c:pt>
                <c:pt idx="92">
                  <c:v>-2.044</c:v>
                </c:pt>
                <c:pt idx="93">
                  <c:v>0.156</c:v>
                </c:pt>
                <c:pt idx="94">
                  <c:v>1.206</c:v>
                </c:pt>
                <c:pt idx="95">
                  <c:v>1.7749999999999999</c:v>
                </c:pt>
                <c:pt idx="96">
                  <c:v>1.661</c:v>
                </c:pt>
                <c:pt idx="97">
                  <c:v>2.6040000000000001</c:v>
                </c:pt>
                <c:pt idx="98">
                  <c:v>2.194</c:v>
                </c:pt>
                <c:pt idx="99">
                  <c:v>0.67500000000000004</c:v>
                </c:pt>
                <c:pt idx="100">
                  <c:v>6.2E-2</c:v>
                </c:pt>
                <c:pt idx="101">
                  <c:v>0.72099999999999997</c:v>
                </c:pt>
                <c:pt idx="102">
                  <c:v>-1.591</c:v>
                </c:pt>
                <c:pt idx="103">
                  <c:v>-0.81100000000000005</c:v>
                </c:pt>
                <c:pt idx="104">
                  <c:v>-3.9279999999999999</c:v>
                </c:pt>
                <c:pt idx="105">
                  <c:v>-4.9669999999999996</c:v>
                </c:pt>
                <c:pt idx="106">
                  <c:v>-5.8029999999999999</c:v>
                </c:pt>
                <c:pt idx="107">
                  <c:v>-2.9279999999999999</c:v>
                </c:pt>
                <c:pt idx="108">
                  <c:v>2.65</c:v>
                </c:pt>
                <c:pt idx="109">
                  <c:v>5.7450000000000001</c:v>
                </c:pt>
                <c:pt idx="110">
                  <c:v>0.55800000000000005</c:v>
                </c:pt>
                <c:pt idx="111">
                  <c:v>-3.0169999999999999</c:v>
                </c:pt>
                <c:pt idx="112">
                  <c:v>-0.25800000000000001</c:v>
                </c:pt>
                <c:pt idx="113">
                  <c:v>3.0840000000000001</c:v>
                </c:pt>
                <c:pt idx="114">
                  <c:v>3.5529999999999999</c:v>
                </c:pt>
                <c:pt idx="115">
                  <c:v>2.0499999999999998</c:v>
                </c:pt>
                <c:pt idx="116">
                  <c:v>2.1040000000000001</c:v>
                </c:pt>
                <c:pt idx="117">
                  <c:v>5.4489999999999998</c:v>
                </c:pt>
                <c:pt idx="118">
                  <c:v>5.7590000000000003</c:v>
                </c:pt>
                <c:pt idx="119">
                  <c:v>1.018</c:v>
                </c:pt>
                <c:pt idx="120">
                  <c:v>-1.8839999999999999</c:v>
                </c:pt>
                <c:pt idx="121">
                  <c:v>-0.75</c:v>
                </c:pt>
                <c:pt idx="122">
                  <c:v>0.64100000000000001</c:v>
                </c:pt>
                <c:pt idx="123">
                  <c:v>3.3769999999999998</c:v>
                </c:pt>
                <c:pt idx="124">
                  <c:v>6.6230000000000002</c:v>
                </c:pt>
                <c:pt idx="125">
                  <c:v>3.5760000000000001</c:v>
                </c:pt>
                <c:pt idx="126">
                  <c:v>1.417</c:v>
                </c:pt>
                <c:pt idx="127">
                  <c:v>-1.095</c:v>
                </c:pt>
                <c:pt idx="128">
                  <c:v>-0.96399999999999997</c:v>
                </c:pt>
                <c:pt idx="129">
                  <c:v>2.2559999999999998</c:v>
                </c:pt>
                <c:pt idx="130">
                  <c:v>2.968</c:v>
                </c:pt>
                <c:pt idx="131">
                  <c:v>0.17799999999999999</c:v>
                </c:pt>
                <c:pt idx="132">
                  <c:v>1.613</c:v>
                </c:pt>
                <c:pt idx="133">
                  <c:v>6.0730000000000004</c:v>
                </c:pt>
                <c:pt idx="134">
                  <c:v>10.47</c:v>
                </c:pt>
                <c:pt idx="135">
                  <c:v>12.05</c:v>
                </c:pt>
                <c:pt idx="136">
                  <c:v>11.28</c:v>
                </c:pt>
                <c:pt idx="137">
                  <c:v>11.19</c:v>
                </c:pt>
                <c:pt idx="138">
                  <c:v>10.67</c:v>
                </c:pt>
                <c:pt idx="139">
                  <c:v>6.2610000000000001</c:v>
                </c:pt>
                <c:pt idx="140">
                  <c:v>7.66</c:v>
                </c:pt>
                <c:pt idx="141">
                  <c:v>8.4499999999999993</c:v>
                </c:pt>
                <c:pt idx="142">
                  <c:v>6.6559999999999997</c:v>
                </c:pt>
                <c:pt idx="143">
                  <c:v>4.03</c:v>
                </c:pt>
                <c:pt idx="144">
                  <c:v>3.206</c:v>
                </c:pt>
                <c:pt idx="145">
                  <c:v>3.0190000000000001</c:v>
                </c:pt>
                <c:pt idx="146">
                  <c:v>3.6989999999999998</c:v>
                </c:pt>
                <c:pt idx="147">
                  <c:v>4.5730000000000004</c:v>
                </c:pt>
                <c:pt idx="148">
                  <c:v>4.4160000000000004</c:v>
                </c:pt>
                <c:pt idx="149">
                  <c:v>7.44</c:v>
                </c:pt>
                <c:pt idx="150">
                  <c:v>11.05</c:v>
                </c:pt>
                <c:pt idx="151">
                  <c:v>12.36</c:v>
                </c:pt>
                <c:pt idx="152">
                  <c:v>9.65</c:v>
                </c:pt>
                <c:pt idx="153">
                  <c:v>6.28</c:v>
                </c:pt>
                <c:pt idx="154">
                  <c:v>6.7770000000000001</c:v>
                </c:pt>
                <c:pt idx="155">
                  <c:v>7.36</c:v>
                </c:pt>
                <c:pt idx="156">
                  <c:v>8.85</c:v>
                </c:pt>
                <c:pt idx="157">
                  <c:v>12.7</c:v>
                </c:pt>
                <c:pt idx="158">
                  <c:v>7.53</c:v>
                </c:pt>
                <c:pt idx="159">
                  <c:v>7.52</c:v>
                </c:pt>
                <c:pt idx="160">
                  <c:v>9.65</c:v>
                </c:pt>
                <c:pt idx="161">
                  <c:v>8.56</c:v>
                </c:pt>
                <c:pt idx="162">
                  <c:v>12.52</c:v>
                </c:pt>
                <c:pt idx="163">
                  <c:v>12.56</c:v>
                </c:pt>
                <c:pt idx="164">
                  <c:v>8.6</c:v>
                </c:pt>
                <c:pt idx="165">
                  <c:v>7.01</c:v>
                </c:pt>
                <c:pt idx="166">
                  <c:v>7.25</c:v>
                </c:pt>
                <c:pt idx="167">
                  <c:v>6.431</c:v>
                </c:pt>
                <c:pt idx="168">
                  <c:v>6.859</c:v>
                </c:pt>
                <c:pt idx="169">
                  <c:v>4.4539999999999997</c:v>
                </c:pt>
                <c:pt idx="170">
                  <c:v>6.4390000000000001</c:v>
                </c:pt>
                <c:pt idx="171">
                  <c:v>6.9059999999999997</c:v>
                </c:pt>
                <c:pt idx="172">
                  <c:v>8.8000000000000007</c:v>
                </c:pt>
                <c:pt idx="173">
                  <c:v>9.31</c:v>
                </c:pt>
                <c:pt idx="174">
                  <c:v>12.37</c:v>
                </c:pt>
                <c:pt idx="175">
                  <c:v>15.31</c:v>
                </c:pt>
                <c:pt idx="176">
                  <c:v>17.16</c:v>
                </c:pt>
                <c:pt idx="177">
                  <c:v>18.75</c:v>
                </c:pt>
                <c:pt idx="178">
                  <c:v>13.95</c:v>
                </c:pt>
                <c:pt idx="179">
                  <c:v>12.39</c:v>
                </c:pt>
                <c:pt idx="180">
                  <c:v>14.47</c:v>
                </c:pt>
                <c:pt idx="181">
                  <c:v>14.77</c:v>
                </c:pt>
                <c:pt idx="182">
                  <c:v>15.67</c:v>
                </c:pt>
                <c:pt idx="183">
                  <c:v>17.010000000000002</c:v>
                </c:pt>
                <c:pt idx="184">
                  <c:v>15.73</c:v>
                </c:pt>
                <c:pt idx="185">
                  <c:v>15.38</c:v>
                </c:pt>
                <c:pt idx="186">
                  <c:v>12.29</c:v>
                </c:pt>
                <c:pt idx="187">
                  <c:v>10.9</c:v>
                </c:pt>
                <c:pt idx="188">
                  <c:v>14.76</c:v>
                </c:pt>
                <c:pt idx="189">
                  <c:v>14.42</c:v>
                </c:pt>
                <c:pt idx="190">
                  <c:v>11.91</c:v>
                </c:pt>
                <c:pt idx="191">
                  <c:v>10.35</c:v>
                </c:pt>
                <c:pt idx="192">
                  <c:v>9.82</c:v>
                </c:pt>
                <c:pt idx="193">
                  <c:v>9.0399999999999991</c:v>
                </c:pt>
                <c:pt idx="194">
                  <c:v>10.27</c:v>
                </c:pt>
                <c:pt idx="195">
                  <c:v>10.3</c:v>
                </c:pt>
                <c:pt idx="196">
                  <c:v>10.8</c:v>
                </c:pt>
                <c:pt idx="197">
                  <c:v>11.58</c:v>
                </c:pt>
                <c:pt idx="198">
                  <c:v>9.51</c:v>
                </c:pt>
                <c:pt idx="199">
                  <c:v>10.83</c:v>
                </c:pt>
                <c:pt idx="200">
                  <c:v>13.59</c:v>
                </c:pt>
                <c:pt idx="201">
                  <c:v>17.84</c:v>
                </c:pt>
                <c:pt idx="202">
                  <c:v>19.13</c:v>
                </c:pt>
                <c:pt idx="203">
                  <c:v>19.71</c:v>
                </c:pt>
                <c:pt idx="204">
                  <c:v>17.03</c:v>
                </c:pt>
                <c:pt idx="205">
                  <c:v>16.399999999999999</c:v>
                </c:pt>
                <c:pt idx="206">
                  <c:v>17.010000000000002</c:v>
                </c:pt>
                <c:pt idx="207">
                  <c:v>16.190000000000001</c:v>
                </c:pt>
                <c:pt idx="208">
                  <c:v>13.4</c:v>
                </c:pt>
                <c:pt idx="209">
                  <c:v>11.54</c:v>
                </c:pt>
                <c:pt idx="210">
                  <c:v>5.3979999999999997</c:v>
                </c:pt>
                <c:pt idx="211">
                  <c:v>6.3890000000000002</c:v>
                </c:pt>
                <c:pt idx="212">
                  <c:v>9.27</c:v>
                </c:pt>
                <c:pt idx="213">
                  <c:v>9.0399999999999991</c:v>
                </c:pt>
                <c:pt idx="214">
                  <c:v>9.84</c:v>
                </c:pt>
                <c:pt idx="215">
                  <c:v>6.4779999999999998</c:v>
                </c:pt>
                <c:pt idx="216">
                  <c:v>8.4</c:v>
                </c:pt>
                <c:pt idx="217">
                  <c:v>12.55</c:v>
                </c:pt>
                <c:pt idx="218">
                  <c:v>14.26</c:v>
                </c:pt>
                <c:pt idx="219">
                  <c:v>13.5</c:v>
                </c:pt>
                <c:pt idx="220">
                  <c:v>9.99</c:v>
                </c:pt>
                <c:pt idx="221">
                  <c:v>9.61</c:v>
                </c:pt>
                <c:pt idx="222">
                  <c:v>6.2160000000000002</c:v>
                </c:pt>
                <c:pt idx="223">
                  <c:v>7.65</c:v>
                </c:pt>
                <c:pt idx="224">
                  <c:v>11.18</c:v>
                </c:pt>
                <c:pt idx="225">
                  <c:v>13.1</c:v>
                </c:pt>
                <c:pt idx="226">
                  <c:v>9.8800000000000008</c:v>
                </c:pt>
                <c:pt idx="227">
                  <c:v>9.49</c:v>
                </c:pt>
                <c:pt idx="228">
                  <c:v>10.62</c:v>
                </c:pt>
                <c:pt idx="229">
                  <c:v>11.97</c:v>
                </c:pt>
                <c:pt idx="230">
                  <c:v>11.47</c:v>
                </c:pt>
                <c:pt idx="231">
                  <c:v>12.26</c:v>
                </c:pt>
                <c:pt idx="232">
                  <c:v>14.21</c:v>
                </c:pt>
                <c:pt idx="233">
                  <c:v>11.63</c:v>
                </c:pt>
                <c:pt idx="234">
                  <c:v>8.14</c:v>
                </c:pt>
                <c:pt idx="235">
                  <c:v>6.68</c:v>
                </c:pt>
                <c:pt idx="236">
                  <c:v>8.3699999999999992</c:v>
                </c:pt>
                <c:pt idx="237">
                  <c:v>11.05</c:v>
                </c:pt>
                <c:pt idx="238">
                  <c:v>12.55</c:v>
                </c:pt>
                <c:pt idx="239">
                  <c:v>14.97</c:v>
                </c:pt>
                <c:pt idx="240">
                  <c:v>10.1</c:v>
                </c:pt>
                <c:pt idx="241">
                  <c:v>3.9169999999999998</c:v>
                </c:pt>
                <c:pt idx="242">
                  <c:v>3.9710000000000001</c:v>
                </c:pt>
                <c:pt idx="243">
                  <c:v>7.47</c:v>
                </c:pt>
                <c:pt idx="244">
                  <c:v>11.51</c:v>
                </c:pt>
                <c:pt idx="245">
                  <c:v>13.47</c:v>
                </c:pt>
                <c:pt idx="246">
                  <c:v>14.11</c:v>
                </c:pt>
                <c:pt idx="247">
                  <c:v>12.56</c:v>
                </c:pt>
                <c:pt idx="248">
                  <c:v>12.11</c:v>
                </c:pt>
                <c:pt idx="249">
                  <c:v>12.43</c:v>
                </c:pt>
                <c:pt idx="250">
                  <c:v>14.14</c:v>
                </c:pt>
                <c:pt idx="251">
                  <c:v>7.64</c:v>
                </c:pt>
                <c:pt idx="252">
                  <c:v>8.5</c:v>
                </c:pt>
                <c:pt idx="253">
                  <c:v>9.42</c:v>
                </c:pt>
                <c:pt idx="254">
                  <c:v>9.35</c:v>
                </c:pt>
                <c:pt idx="255">
                  <c:v>4.97</c:v>
                </c:pt>
                <c:pt idx="256">
                  <c:v>1.095</c:v>
                </c:pt>
                <c:pt idx="257">
                  <c:v>1.3129999999999999</c:v>
                </c:pt>
                <c:pt idx="258">
                  <c:v>1.1679999999999999</c:v>
                </c:pt>
                <c:pt idx="259">
                  <c:v>4.2549999999999999</c:v>
                </c:pt>
                <c:pt idx="260">
                  <c:v>5.8780000000000001</c:v>
                </c:pt>
                <c:pt idx="261">
                  <c:v>5.2430000000000003</c:v>
                </c:pt>
                <c:pt idx="262">
                  <c:v>1.794</c:v>
                </c:pt>
                <c:pt idx="263">
                  <c:v>2.2989999999999999</c:v>
                </c:pt>
                <c:pt idx="264">
                  <c:v>2.9140000000000001</c:v>
                </c:pt>
                <c:pt idx="265">
                  <c:v>4.7880000000000003</c:v>
                </c:pt>
                <c:pt idx="266">
                  <c:v>5.923</c:v>
                </c:pt>
                <c:pt idx="267">
                  <c:v>7.25</c:v>
                </c:pt>
                <c:pt idx="268">
                  <c:v>7.73</c:v>
                </c:pt>
                <c:pt idx="269">
                  <c:v>6.9489999999999998</c:v>
                </c:pt>
                <c:pt idx="270">
                  <c:v>8.17</c:v>
                </c:pt>
                <c:pt idx="271">
                  <c:v>8.99</c:v>
                </c:pt>
                <c:pt idx="272">
                  <c:v>6.01</c:v>
                </c:pt>
                <c:pt idx="273">
                  <c:v>2.4729999999999999</c:v>
                </c:pt>
                <c:pt idx="274">
                  <c:v>1.179</c:v>
                </c:pt>
                <c:pt idx="275">
                  <c:v>1.359</c:v>
                </c:pt>
                <c:pt idx="276">
                  <c:v>2.5209999999999999</c:v>
                </c:pt>
                <c:pt idx="277">
                  <c:v>2.984</c:v>
                </c:pt>
                <c:pt idx="278">
                  <c:v>3.1619999999999999</c:v>
                </c:pt>
                <c:pt idx="279">
                  <c:v>-0.96599999999999997</c:v>
                </c:pt>
                <c:pt idx="280">
                  <c:v>0.108</c:v>
                </c:pt>
                <c:pt idx="281">
                  <c:v>-0.94399999999999995</c:v>
                </c:pt>
                <c:pt idx="282">
                  <c:v>0.69599999999999995</c:v>
                </c:pt>
                <c:pt idx="283">
                  <c:v>2.1659999999999999</c:v>
                </c:pt>
                <c:pt idx="284">
                  <c:v>3.464</c:v>
                </c:pt>
                <c:pt idx="285">
                  <c:v>3.5009999999999999</c:v>
                </c:pt>
                <c:pt idx="286">
                  <c:v>4.2489999999999997</c:v>
                </c:pt>
                <c:pt idx="287">
                  <c:v>2.4540000000000002</c:v>
                </c:pt>
                <c:pt idx="288">
                  <c:v>0.34699999999999998</c:v>
                </c:pt>
                <c:pt idx="289">
                  <c:v>-1.6519999999999999</c:v>
                </c:pt>
                <c:pt idx="290">
                  <c:v>-0.33800000000000002</c:v>
                </c:pt>
                <c:pt idx="291">
                  <c:v>0.94899999999999995</c:v>
                </c:pt>
                <c:pt idx="292">
                  <c:v>-0.32300000000000001</c:v>
                </c:pt>
                <c:pt idx="293">
                  <c:v>-1.9590000000000001</c:v>
                </c:pt>
                <c:pt idx="294">
                  <c:v>-0.247</c:v>
                </c:pt>
                <c:pt idx="295">
                  <c:v>0.83199999999999996</c:v>
                </c:pt>
                <c:pt idx="296">
                  <c:v>-0.33500000000000002</c:v>
                </c:pt>
                <c:pt idx="297">
                  <c:v>-1.8240000000000001</c:v>
                </c:pt>
                <c:pt idx="298">
                  <c:v>1.9019999999999999</c:v>
                </c:pt>
                <c:pt idx="299">
                  <c:v>4.0949999999999998</c:v>
                </c:pt>
                <c:pt idx="300">
                  <c:v>3.8340000000000001</c:v>
                </c:pt>
                <c:pt idx="301">
                  <c:v>-6.05</c:v>
                </c:pt>
                <c:pt idx="302">
                  <c:v>-13.12</c:v>
                </c:pt>
                <c:pt idx="303">
                  <c:v>-11.99</c:v>
                </c:pt>
                <c:pt idx="304">
                  <c:v>-11.09</c:v>
                </c:pt>
                <c:pt idx="305">
                  <c:v>-4.8179999999999996</c:v>
                </c:pt>
                <c:pt idx="306">
                  <c:v>-1.603</c:v>
                </c:pt>
                <c:pt idx="307">
                  <c:v>1.2010000000000001</c:v>
                </c:pt>
                <c:pt idx="308">
                  <c:v>1.9319999999999999</c:v>
                </c:pt>
                <c:pt idx="309">
                  <c:v>4.5750000000000002</c:v>
                </c:pt>
                <c:pt idx="310">
                  <c:v>2.891</c:v>
                </c:pt>
                <c:pt idx="311">
                  <c:v>-2.6520000000000001</c:v>
                </c:pt>
                <c:pt idx="312">
                  <c:v>-7.02</c:v>
                </c:pt>
                <c:pt idx="313">
                  <c:v>-3.7839999999999998</c:v>
                </c:pt>
                <c:pt idx="314">
                  <c:v>-3.8</c:v>
                </c:pt>
                <c:pt idx="315">
                  <c:v>-3.1360000000000001</c:v>
                </c:pt>
                <c:pt idx="316">
                  <c:v>-3.9929999999999999</c:v>
                </c:pt>
                <c:pt idx="317">
                  <c:v>-6.1470000000000002</c:v>
                </c:pt>
                <c:pt idx="318">
                  <c:v>-1.5880000000000001</c:v>
                </c:pt>
                <c:pt idx="319">
                  <c:v>-4.2300000000000004</c:v>
                </c:pt>
                <c:pt idx="320">
                  <c:v>-3.9430000000000001</c:v>
                </c:pt>
                <c:pt idx="321">
                  <c:v>-2.7290000000000001</c:v>
                </c:pt>
                <c:pt idx="322">
                  <c:v>0.434</c:v>
                </c:pt>
                <c:pt idx="323">
                  <c:v>-3.0990000000000002</c:v>
                </c:pt>
                <c:pt idx="324">
                  <c:v>-1.8089999999999999</c:v>
                </c:pt>
                <c:pt idx="325">
                  <c:v>-3.9039999999999999</c:v>
                </c:pt>
                <c:pt idx="326">
                  <c:v>-5.26</c:v>
                </c:pt>
                <c:pt idx="327">
                  <c:v>-9.6300000000000008</c:v>
                </c:pt>
                <c:pt idx="328">
                  <c:v>-13.3</c:v>
                </c:pt>
                <c:pt idx="329">
                  <c:v>-10.06</c:v>
                </c:pt>
                <c:pt idx="330">
                  <c:v>-23.01</c:v>
                </c:pt>
                <c:pt idx="331">
                  <c:v>-27.22</c:v>
                </c:pt>
                <c:pt idx="332">
                  <c:v>-24.4</c:v>
                </c:pt>
                <c:pt idx="333">
                  <c:v>-12.47</c:v>
                </c:pt>
                <c:pt idx="334">
                  <c:v>-9.8000000000000007</c:v>
                </c:pt>
                <c:pt idx="335">
                  <c:v>-13.48</c:v>
                </c:pt>
                <c:pt idx="336">
                  <c:v>-8.18</c:v>
                </c:pt>
                <c:pt idx="337">
                  <c:v>-6.5439999999999996</c:v>
                </c:pt>
                <c:pt idx="338">
                  <c:v>-5.12</c:v>
                </c:pt>
                <c:pt idx="339">
                  <c:v>-4.0949999999999998</c:v>
                </c:pt>
                <c:pt idx="340">
                  <c:v>-4.2910000000000004</c:v>
                </c:pt>
                <c:pt idx="341">
                  <c:v>-1.992</c:v>
                </c:pt>
                <c:pt idx="342">
                  <c:v>-1.5680000000000001</c:v>
                </c:pt>
                <c:pt idx="343">
                  <c:v>-1.226</c:v>
                </c:pt>
                <c:pt idx="344">
                  <c:v>-1.234</c:v>
                </c:pt>
                <c:pt idx="345">
                  <c:v>-3.3839999999999999</c:v>
                </c:pt>
                <c:pt idx="346">
                  <c:v>-2.8170000000000002</c:v>
                </c:pt>
                <c:pt idx="347">
                  <c:v>-6.1970000000000001</c:v>
                </c:pt>
                <c:pt idx="348">
                  <c:v>-7.35</c:v>
                </c:pt>
                <c:pt idx="349">
                  <c:v>-16.47</c:v>
                </c:pt>
                <c:pt idx="350">
                  <c:v>-12.93</c:v>
                </c:pt>
                <c:pt idx="351">
                  <c:v>-9.23</c:v>
                </c:pt>
                <c:pt idx="352">
                  <c:v>-5.931</c:v>
                </c:pt>
                <c:pt idx="353">
                  <c:v>-3.516</c:v>
                </c:pt>
                <c:pt idx="354">
                  <c:v>-4.1950000000000003</c:v>
                </c:pt>
                <c:pt idx="355">
                  <c:v>-6.0030000000000001</c:v>
                </c:pt>
                <c:pt idx="356">
                  <c:v>-7.58</c:v>
                </c:pt>
                <c:pt idx="357">
                  <c:v>-10.78</c:v>
                </c:pt>
                <c:pt idx="358">
                  <c:v>-5.3040000000000003</c:v>
                </c:pt>
                <c:pt idx="359">
                  <c:v>-6.1680000000000001</c:v>
                </c:pt>
                <c:pt idx="360">
                  <c:v>-7.93</c:v>
                </c:pt>
                <c:pt idx="361">
                  <c:v>-17.03</c:v>
                </c:pt>
                <c:pt idx="362">
                  <c:v>-10.039999999999999</c:v>
                </c:pt>
                <c:pt idx="363">
                  <c:v>-12.82</c:v>
                </c:pt>
                <c:pt idx="364">
                  <c:v>-7.53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-5.0999999999999997E-2</c:v>
                </c:pt>
                <c:pt idx="1">
                  <c:v>-4.9000000000000002E-2</c:v>
                </c:pt>
                <c:pt idx="2">
                  <c:v>-5.1999999999999998E-2</c:v>
                </c:pt>
                <c:pt idx="3">
                  <c:v>-4.7E-2</c:v>
                </c:pt>
                <c:pt idx="4">
                  <c:v>-1.4E-2</c:v>
                </c:pt>
                <c:pt idx="5">
                  <c:v>0.09</c:v>
                </c:pt>
                <c:pt idx="6">
                  <c:v>6.6000000000000003E-2</c:v>
                </c:pt>
                <c:pt idx="7">
                  <c:v>0.13100000000000001</c:v>
                </c:pt>
                <c:pt idx="8">
                  <c:v>9.7000000000000003E-2</c:v>
                </c:pt>
                <c:pt idx="9">
                  <c:v>0.13100000000000001</c:v>
                </c:pt>
                <c:pt idx="10">
                  <c:v>0.14699999999999999</c:v>
                </c:pt>
                <c:pt idx="11">
                  <c:v>0.14199999999999999</c:v>
                </c:pt>
                <c:pt idx="12">
                  <c:v>0.17399999999999999</c:v>
                </c:pt>
                <c:pt idx="13">
                  <c:v>0.18</c:v>
                </c:pt>
                <c:pt idx="14">
                  <c:v>0.105</c:v>
                </c:pt>
                <c:pt idx="15">
                  <c:v>8.7999999999999995E-2</c:v>
                </c:pt>
                <c:pt idx="16">
                  <c:v>0.09</c:v>
                </c:pt>
                <c:pt idx="17">
                  <c:v>3.7999999999999999E-2</c:v>
                </c:pt>
                <c:pt idx="18">
                  <c:v>2.1999999999999999E-2</c:v>
                </c:pt>
                <c:pt idx="19">
                  <c:v>-2E-3</c:v>
                </c:pt>
                <c:pt idx="20">
                  <c:v>-2.9000000000000001E-2</c:v>
                </c:pt>
                <c:pt idx="21">
                  <c:v>3.0000000000000001E-3</c:v>
                </c:pt>
                <c:pt idx="22">
                  <c:v>6.5000000000000002E-2</c:v>
                </c:pt>
                <c:pt idx="23">
                  <c:v>0.124</c:v>
                </c:pt>
                <c:pt idx="24">
                  <c:v>0.13500000000000001</c:v>
                </c:pt>
                <c:pt idx="25">
                  <c:v>0.10100000000000001</c:v>
                </c:pt>
                <c:pt idx="26">
                  <c:v>8.8999999999999996E-2</c:v>
                </c:pt>
                <c:pt idx="27">
                  <c:v>3.6999999999999998E-2</c:v>
                </c:pt>
                <c:pt idx="28">
                  <c:v>2.5999999999999999E-2</c:v>
                </c:pt>
                <c:pt idx="29">
                  <c:v>5.6000000000000001E-2</c:v>
                </c:pt>
                <c:pt idx="30">
                  <c:v>8.1000000000000003E-2</c:v>
                </c:pt>
                <c:pt idx="31">
                  <c:v>8.7999999999999995E-2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0.17399999999999999</c:v>
                </c:pt>
                <c:pt idx="35">
                  <c:v>0.16500000000000001</c:v>
                </c:pt>
                <c:pt idx="36">
                  <c:v>0.114</c:v>
                </c:pt>
                <c:pt idx="37">
                  <c:v>0.11700000000000001</c:v>
                </c:pt>
                <c:pt idx="38">
                  <c:v>0.11600000000000001</c:v>
                </c:pt>
                <c:pt idx="39">
                  <c:v>-0.16800000000000001</c:v>
                </c:pt>
                <c:pt idx="40">
                  <c:v>-0.30299999999999999</c:v>
                </c:pt>
                <c:pt idx="41">
                  <c:v>-0.27600000000000002</c:v>
                </c:pt>
                <c:pt idx="42">
                  <c:v>-0.223</c:v>
                </c:pt>
                <c:pt idx="43">
                  <c:v>-0.219</c:v>
                </c:pt>
                <c:pt idx="44">
                  <c:v>-0.36299999999999999</c:v>
                </c:pt>
                <c:pt idx="45">
                  <c:v>-0.875</c:v>
                </c:pt>
                <c:pt idx="46">
                  <c:v>-1.1830000000000001</c:v>
                </c:pt>
                <c:pt idx="47">
                  <c:v>-1.4890000000000001</c:v>
                </c:pt>
                <c:pt idx="48">
                  <c:v>-1.49</c:v>
                </c:pt>
                <c:pt idx="49">
                  <c:v>-1.407</c:v>
                </c:pt>
                <c:pt idx="50">
                  <c:v>-0.80500000000000005</c:v>
                </c:pt>
                <c:pt idx="51">
                  <c:v>-0.68400000000000005</c:v>
                </c:pt>
                <c:pt idx="52">
                  <c:v>-0.78900000000000003</c:v>
                </c:pt>
                <c:pt idx="53">
                  <c:v>-0.70899999999999996</c:v>
                </c:pt>
                <c:pt idx="54">
                  <c:v>-1.8169999999999999</c:v>
                </c:pt>
                <c:pt idx="55">
                  <c:v>-1.528</c:v>
                </c:pt>
                <c:pt idx="56">
                  <c:v>-0.64800000000000002</c:v>
                </c:pt>
                <c:pt idx="57">
                  <c:v>-0.51100000000000001</c:v>
                </c:pt>
                <c:pt idx="58">
                  <c:v>-0.34399999999999997</c:v>
                </c:pt>
                <c:pt idx="59">
                  <c:v>-0.45500000000000002</c:v>
                </c:pt>
                <c:pt idx="60">
                  <c:v>-0.36199999999999999</c:v>
                </c:pt>
                <c:pt idx="61">
                  <c:v>-0.80800000000000005</c:v>
                </c:pt>
                <c:pt idx="62">
                  <c:v>-0.879</c:v>
                </c:pt>
                <c:pt idx="63">
                  <c:v>-0.56200000000000006</c:v>
                </c:pt>
                <c:pt idx="64">
                  <c:v>-0.35299999999999998</c:v>
                </c:pt>
                <c:pt idx="65">
                  <c:v>-0.35</c:v>
                </c:pt>
                <c:pt idx="66">
                  <c:v>-0.4</c:v>
                </c:pt>
                <c:pt idx="67">
                  <c:v>-0.78400000000000003</c:v>
                </c:pt>
                <c:pt idx="68">
                  <c:v>-2.319</c:v>
                </c:pt>
                <c:pt idx="69">
                  <c:v>-2.7069999999999999</c:v>
                </c:pt>
                <c:pt idx="70">
                  <c:v>-3.2389999999999999</c:v>
                </c:pt>
                <c:pt idx="71">
                  <c:v>-2.78</c:v>
                </c:pt>
                <c:pt idx="72">
                  <c:v>-1.022</c:v>
                </c:pt>
                <c:pt idx="73">
                  <c:v>-1.002</c:v>
                </c:pt>
                <c:pt idx="74">
                  <c:v>-0.622</c:v>
                </c:pt>
                <c:pt idx="75">
                  <c:v>-0.48299999999999998</c:v>
                </c:pt>
                <c:pt idx="76">
                  <c:v>-0.65700000000000003</c:v>
                </c:pt>
                <c:pt idx="77">
                  <c:v>-1.635</c:v>
                </c:pt>
                <c:pt idx="78">
                  <c:v>-1.29</c:v>
                </c:pt>
                <c:pt idx="79">
                  <c:v>-0.55000000000000004</c:v>
                </c:pt>
                <c:pt idx="80">
                  <c:v>-0.437</c:v>
                </c:pt>
                <c:pt idx="81">
                  <c:v>-0.23899999999999999</c:v>
                </c:pt>
                <c:pt idx="82">
                  <c:v>-4.4999999999999998E-2</c:v>
                </c:pt>
                <c:pt idx="83">
                  <c:v>-7.3999999999999996E-2</c:v>
                </c:pt>
                <c:pt idx="84">
                  <c:v>-0.28000000000000003</c:v>
                </c:pt>
                <c:pt idx="85">
                  <c:v>-0.16400000000000001</c:v>
                </c:pt>
                <c:pt idx="86">
                  <c:v>-0.23300000000000001</c:v>
                </c:pt>
                <c:pt idx="87">
                  <c:v>-0.11799999999999999</c:v>
                </c:pt>
                <c:pt idx="88">
                  <c:v>-8.7999999999999995E-2</c:v>
                </c:pt>
                <c:pt idx="89">
                  <c:v>-2.7E-2</c:v>
                </c:pt>
                <c:pt idx="90">
                  <c:v>-6.0999999999999999E-2</c:v>
                </c:pt>
                <c:pt idx="91">
                  <c:v>-3.0000000000000001E-3</c:v>
                </c:pt>
                <c:pt idx="92">
                  <c:v>-4.7E-2</c:v>
                </c:pt>
                <c:pt idx="93">
                  <c:v>-1E-3</c:v>
                </c:pt>
                <c:pt idx="94">
                  <c:v>2E-3</c:v>
                </c:pt>
                <c:pt idx="95">
                  <c:v>0.217</c:v>
                </c:pt>
                <c:pt idx="96">
                  <c:v>0.308</c:v>
                </c:pt>
                <c:pt idx="97">
                  <c:v>0.30099999999999999</c:v>
                </c:pt>
                <c:pt idx="98">
                  <c:v>0.32200000000000001</c:v>
                </c:pt>
                <c:pt idx="99">
                  <c:v>0.34499999999999997</c:v>
                </c:pt>
                <c:pt idx="100">
                  <c:v>0.33300000000000002</c:v>
                </c:pt>
                <c:pt idx="101">
                  <c:v>0.311</c:v>
                </c:pt>
                <c:pt idx="102">
                  <c:v>0.30599999999999999</c:v>
                </c:pt>
                <c:pt idx="103">
                  <c:v>0.19400000000000001</c:v>
                </c:pt>
                <c:pt idx="104">
                  <c:v>8.3000000000000004E-2</c:v>
                </c:pt>
                <c:pt idx="105">
                  <c:v>-6.3E-2</c:v>
                </c:pt>
                <c:pt idx="106">
                  <c:v>-0.19800000000000001</c:v>
                </c:pt>
                <c:pt idx="107">
                  <c:v>-0.106</c:v>
                </c:pt>
                <c:pt idx="108">
                  <c:v>5.5E-2</c:v>
                </c:pt>
                <c:pt idx="109">
                  <c:v>0.26600000000000001</c:v>
                </c:pt>
                <c:pt idx="110">
                  <c:v>0.38500000000000001</c:v>
                </c:pt>
                <c:pt idx="111">
                  <c:v>0.38</c:v>
                </c:pt>
                <c:pt idx="112">
                  <c:v>0.39400000000000002</c:v>
                </c:pt>
                <c:pt idx="113">
                  <c:v>0.47099999999999997</c:v>
                </c:pt>
                <c:pt idx="114">
                  <c:v>0.52800000000000002</c:v>
                </c:pt>
                <c:pt idx="115">
                  <c:v>0.503</c:v>
                </c:pt>
                <c:pt idx="116">
                  <c:v>0.51200000000000001</c:v>
                </c:pt>
                <c:pt idx="117">
                  <c:v>0.59299999999999997</c:v>
                </c:pt>
                <c:pt idx="118">
                  <c:v>0.54600000000000004</c:v>
                </c:pt>
                <c:pt idx="119">
                  <c:v>0.41299999999999998</c:v>
                </c:pt>
                <c:pt idx="120">
                  <c:v>0.45600000000000002</c:v>
                </c:pt>
                <c:pt idx="121">
                  <c:v>0.46800000000000003</c:v>
                </c:pt>
                <c:pt idx="122">
                  <c:v>0.51200000000000001</c:v>
                </c:pt>
                <c:pt idx="123">
                  <c:v>0.56299999999999994</c:v>
                </c:pt>
                <c:pt idx="124">
                  <c:v>0.56899999999999995</c:v>
                </c:pt>
                <c:pt idx="125">
                  <c:v>0.6</c:v>
                </c:pt>
                <c:pt idx="126">
                  <c:v>0.67800000000000005</c:v>
                </c:pt>
                <c:pt idx="127">
                  <c:v>0.56200000000000006</c:v>
                </c:pt>
                <c:pt idx="128">
                  <c:v>0.502</c:v>
                </c:pt>
                <c:pt idx="129">
                  <c:v>0.51</c:v>
                </c:pt>
                <c:pt idx="130">
                  <c:v>0.52100000000000002</c:v>
                </c:pt>
                <c:pt idx="131">
                  <c:v>0.503</c:v>
                </c:pt>
                <c:pt idx="132">
                  <c:v>0.41299999999999998</c:v>
                </c:pt>
                <c:pt idx="133">
                  <c:v>0.47599999999999998</c:v>
                </c:pt>
                <c:pt idx="134">
                  <c:v>0.59599999999999997</c:v>
                </c:pt>
                <c:pt idx="135">
                  <c:v>1.5069999999999999</c:v>
                </c:pt>
                <c:pt idx="136">
                  <c:v>2.8109999999999999</c:v>
                </c:pt>
                <c:pt idx="137">
                  <c:v>5.4740000000000002</c:v>
                </c:pt>
                <c:pt idx="138">
                  <c:v>7.12</c:v>
                </c:pt>
                <c:pt idx="139">
                  <c:v>5.0460000000000003</c:v>
                </c:pt>
                <c:pt idx="140">
                  <c:v>6.8540000000000001</c:v>
                </c:pt>
                <c:pt idx="141">
                  <c:v>7.82</c:v>
                </c:pt>
                <c:pt idx="142">
                  <c:v>7.74</c:v>
                </c:pt>
                <c:pt idx="143">
                  <c:v>5.4649999999999999</c:v>
                </c:pt>
                <c:pt idx="144">
                  <c:v>4.5810000000000004</c:v>
                </c:pt>
                <c:pt idx="145">
                  <c:v>4.4880000000000004</c:v>
                </c:pt>
                <c:pt idx="146">
                  <c:v>4.6440000000000001</c:v>
                </c:pt>
                <c:pt idx="147">
                  <c:v>5.2789999999999999</c:v>
                </c:pt>
                <c:pt idx="148">
                  <c:v>6.2080000000000002</c:v>
                </c:pt>
                <c:pt idx="149">
                  <c:v>7.38</c:v>
                </c:pt>
                <c:pt idx="150">
                  <c:v>9.6300000000000008</c:v>
                </c:pt>
                <c:pt idx="151">
                  <c:v>11.8</c:v>
                </c:pt>
                <c:pt idx="152">
                  <c:v>9.85</c:v>
                </c:pt>
                <c:pt idx="153">
                  <c:v>7.07</c:v>
                </c:pt>
                <c:pt idx="154">
                  <c:v>7.63</c:v>
                </c:pt>
                <c:pt idx="155">
                  <c:v>7.41</c:v>
                </c:pt>
                <c:pt idx="156">
                  <c:v>8.2899999999999991</c:v>
                </c:pt>
                <c:pt idx="157">
                  <c:v>11</c:v>
                </c:pt>
                <c:pt idx="158">
                  <c:v>8.42</c:v>
                </c:pt>
                <c:pt idx="159">
                  <c:v>8.73</c:v>
                </c:pt>
                <c:pt idx="160">
                  <c:v>9.42</c:v>
                </c:pt>
                <c:pt idx="161">
                  <c:v>8.64</c:v>
                </c:pt>
                <c:pt idx="162">
                  <c:v>11.35</c:v>
                </c:pt>
                <c:pt idx="163">
                  <c:v>12.34</c:v>
                </c:pt>
                <c:pt idx="164">
                  <c:v>9.9499999999999993</c:v>
                </c:pt>
                <c:pt idx="165">
                  <c:v>8.67</c:v>
                </c:pt>
                <c:pt idx="166">
                  <c:v>7.65</c:v>
                </c:pt>
                <c:pt idx="167">
                  <c:v>7.85</c:v>
                </c:pt>
                <c:pt idx="168">
                  <c:v>7.81</c:v>
                </c:pt>
                <c:pt idx="169">
                  <c:v>6.4829999999999997</c:v>
                </c:pt>
                <c:pt idx="170">
                  <c:v>7.96</c:v>
                </c:pt>
                <c:pt idx="171">
                  <c:v>6.6349999999999998</c:v>
                </c:pt>
                <c:pt idx="172">
                  <c:v>8.61</c:v>
                </c:pt>
                <c:pt idx="173">
                  <c:v>8.6199999999999992</c:v>
                </c:pt>
                <c:pt idx="174">
                  <c:v>10.09</c:v>
                </c:pt>
                <c:pt idx="175">
                  <c:v>11.82</c:v>
                </c:pt>
                <c:pt idx="176">
                  <c:v>13.11</c:v>
                </c:pt>
                <c:pt idx="177">
                  <c:v>14.52</c:v>
                </c:pt>
                <c:pt idx="178">
                  <c:v>11.33</c:v>
                </c:pt>
                <c:pt idx="179">
                  <c:v>10.58</c:v>
                </c:pt>
                <c:pt idx="180">
                  <c:v>12.42</c:v>
                </c:pt>
                <c:pt idx="181">
                  <c:v>11.84</c:v>
                </c:pt>
                <c:pt idx="182">
                  <c:v>12.47</c:v>
                </c:pt>
                <c:pt idx="183">
                  <c:v>14.11</c:v>
                </c:pt>
                <c:pt idx="184">
                  <c:v>13.68</c:v>
                </c:pt>
                <c:pt idx="185">
                  <c:v>14.26</c:v>
                </c:pt>
                <c:pt idx="186">
                  <c:v>11.48</c:v>
                </c:pt>
                <c:pt idx="187">
                  <c:v>10.82</c:v>
                </c:pt>
                <c:pt idx="188">
                  <c:v>12.99</c:v>
                </c:pt>
                <c:pt idx="189">
                  <c:v>13.93</c:v>
                </c:pt>
                <c:pt idx="190">
                  <c:v>12.09</c:v>
                </c:pt>
                <c:pt idx="191">
                  <c:v>10.09</c:v>
                </c:pt>
                <c:pt idx="192">
                  <c:v>10.28</c:v>
                </c:pt>
                <c:pt idx="193">
                  <c:v>9.06</c:v>
                </c:pt>
                <c:pt idx="194">
                  <c:v>9.9499999999999993</c:v>
                </c:pt>
                <c:pt idx="195">
                  <c:v>9.75</c:v>
                </c:pt>
                <c:pt idx="196">
                  <c:v>9.5299999999999994</c:v>
                </c:pt>
                <c:pt idx="197">
                  <c:v>10.18</c:v>
                </c:pt>
                <c:pt idx="198">
                  <c:v>9.1199999999999992</c:v>
                </c:pt>
                <c:pt idx="199">
                  <c:v>9.76</c:v>
                </c:pt>
                <c:pt idx="200">
                  <c:v>11.59</c:v>
                </c:pt>
                <c:pt idx="201">
                  <c:v>14.3</c:v>
                </c:pt>
                <c:pt idx="202">
                  <c:v>15.52</c:v>
                </c:pt>
                <c:pt idx="203">
                  <c:v>16.11</c:v>
                </c:pt>
                <c:pt idx="204">
                  <c:v>14.64</c:v>
                </c:pt>
                <c:pt idx="205">
                  <c:v>14.17</c:v>
                </c:pt>
                <c:pt idx="206">
                  <c:v>14.43</c:v>
                </c:pt>
                <c:pt idx="207">
                  <c:v>14.44</c:v>
                </c:pt>
                <c:pt idx="208">
                  <c:v>12.58</c:v>
                </c:pt>
                <c:pt idx="209">
                  <c:v>10.78</c:v>
                </c:pt>
                <c:pt idx="210">
                  <c:v>6.4550000000000001</c:v>
                </c:pt>
                <c:pt idx="211">
                  <c:v>7.16</c:v>
                </c:pt>
                <c:pt idx="212">
                  <c:v>9.08</c:v>
                </c:pt>
                <c:pt idx="213">
                  <c:v>9.44</c:v>
                </c:pt>
                <c:pt idx="214">
                  <c:v>9.02</c:v>
                </c:pt>
                <c:pt idx="215">
                  <c:v>6.6929999999999996</c:v>
                </c:pt>
                <c:pt idx="216">
                  <c:v>7.54</c:v>
                </c:pt>
                <c:pt idx="217">
                  <c:v>10.38</c:v>
                </c:pt>
                <c:pt idx="218">
                  <c:v>11.64</c:v>
                </c:pt>
                <c:pt idx="219">
                  <c:v>11.64</c:v>
                </c:pt>
                <c:pt idx="220">
                  <c:v>9.81</c:v>
                </c:pt>
                <c:pt idx="221">
                  <c:v>9.94</c:v>
                </c:pt>
                <c:pt idx="222">
                  <c:v>7.49</c:v>
                </c:pt>
                <c:pt idx="223">
                  <c:v>7.86</c:v>
                </c:pt>
                <c:pt idx="224">
                  <c:v>9.92</c:v>
                </c:pt>
                <c:pt idx="225">
                  <c:v>10.51</c:v>
                </c:pt>
                <c:pt idx="226">
                  <c:v>8.76</c:v>
                </c:pt>
                <c:pt idx="227">
                  <c:v>8.2200000000000006</c:v>
                </c:pt>
                <c:pt idx="228">
                  <c:v>8.89</c:v>
                </c:pt>
                <c:pt idx="229">
                  <c:v>10.220000000000001</c:v>
                </c:pt>
                <c:pt idx="230">
                  <c:v>9.35</c:v>
                </c:pt>
                <c:pt idx="231">
                  <c:v>10.24</c:v>
                </c:pt>
                <c:pt idx="232">
                  <c:v>11.39</c:v>
                </c:pt>
                <c:pt idx="233">
                  <c:v>10.11</c:v>
                </c:pt>
                <c:pt idx="234">
                  <c:v>8.3699999999999992</c:v>
                </c:pt>
                <c:pt idx="235">
                  <c:v>7.09</c:v>
                </c:pt>
                <c:pt idx="236">
                  <c:v>7.49</c:v>
                </c:pt>
                <c:pt idx="237">
                  <c:v>9.11</c:v>
                </c:pt>
                <c:pt idx="238">
                  <c:v>10.119999999999999</c:v>
                </c:pt>
                <c:pt idx="239">
                  <c:v>11.51</c:v>
                </c:pt>
                <c:pt idx="240">
                  <c:v>9.48</c:v>
                </c:pt>
                <c:pt idx="241">
                  <c:v>5.4379999999999997</c:v>
                </c:pt>
                <c:pt idx="242">
                  <c:v>4.1210000000000004</c:v>
                </c:pt>
                <c:pt idx="243">
                  <c:v>6.2229999999999999</c:v>
                </c:pt>
                <c:pt idx="244">
                  <c:v>8.6199999999999992</c:v>
                </c:pt>
                <c:pt idx="245">
                  <c:v>10.39</c:v>
                </c:pt>
                <c:pt idx="246">
                  <c:v>11.13</c:v>
                </c:pt>
                <c:pt idx="247">
                  <c:v>10.46</c:v>
                </c:pt>
                <c:pt idx="248">
                  <c:v>10.16</c:v>
                </c:pt>
                <c:pt idx="249">
                  <c:v>10.37</c:v>
                </c:pt>
                <c:pt idx="250">
                  <c:v>11.32</c:v>
                </c:pt>
                <c:pt idx="251">
                  <c:v>7.79</c:v>
                </c:pt>
                <c:pt idx="252">
                  <c:v>8.68</c:v>
                </c:pt>
                <c:pt idx="253">
                  <c:v>8.19</c:v>
                </c:pt>
                <c:pt idx="254">
                  <c:v>8.3800000000000008</c:v>
                </c:pt>
                <c:pt idx="255">
                  <c:v>5.2110000000000003</c:v>
                </c:pt>
                <c:pt idx="256">
                  <c:v>2.27</c:v>
                </c:pt>
                <c:pt idx="257">
                  <c:v>1.742</c:v>
                </c:pt>
                <c:pt idx="258">
                  <c:v>2.4940000000000002</c:v>
                </c:pt>
                <c:pt idx="259">
                  <c:v>3.8759999999999999</c:v>
                </c:pt>
                <c:pt idx="260">
                  <c:v>6.17</c:v>
                </c:pt>
                <c:pt idx="261">
                  <c:v>6.2610000000000001</c:v>
                </c:pt>
                <c:pt idx="262">
                  <c:v>2.859</c:v>
                </c:pt>
                <c:pt idx="263">
                  <c:v>4.9950000000000001</c:v>
                </c:pt>
                <c:pt idx="264">
                  <c:v>4.7720000000000002</c:v>
                </c:pt>
                <c:pt idx="265">
                  <c:v>5.8929999999999998</c:v>
                </c:pt>
                <c:pt idx="266">
                  <c:v>5.3140000000000001</c:v>
                </c:pt>
                <c:pt idx="267">
                  <c:v>6.2510000000000003</c:v>
                </c:pt>
                <c:pt idx="268">
                  <c:v>7.78</c:v>
                </c:pt>
                <c:pt idx="269">
                  <c:v>6.4039999999999999</c:v>
                </c:pt>
                <c:pt idx="270">
                  <c:v>7.42</c:v>
                </c:pt>
                <c:pt idx="271">
                  <c:v>7.32</c:v>
                </c:pt>
                <c:pt idx="272">
                  <c:v>4.7350000000000003</c:v>
                </c:pt>
                <c:pt idx="273">
                  <c:v>3.1520000000000001</c:v>
                </c:pt>
                <c:pt idx="274">
                  <c:v>1.51</c:v>
                </c:pt>
                <c:pt idx="275">
                  <c:v>1.9339999999999999</c:v>
                </c:pt>
                <c:pt idx="276">
                  <c:v>1.9930000000000001</c:v>
                </c:pt>
                <c:pt idx="277">
                  <c:v>2.6150000000000002</c:v>
                </c:pt>
                <c:pt idx="278">
                  <c:v>3.9630000000000001</c:v>
                </c:pt>
                <c:pt idx="279">
                  <c:v>-0.67</c:v>
                </c:pt>
                <c:pt idx="280">
                  <c:v>0.20100000000000001</c:v>
                </c:pt>
                <c:pt idx="281">
                  <c:v>-1.2869999999999999</c:v>
                </c:pt>
                <c:pt idx="282">
                  <c:v>0.121</c:v>
                </c:pt>
                <c:pt idx="283">
                  <c:v>1.2989999999999999</c:v>
                </c:pt>
                <c:pt idx="284">
                  <c:v>2.2730000000000001</c:v>
                </c:pt>
                <c:pt idx="285">
                  <c:v>2.726</c:v>
                </c:pt>
                <c:pt idx="286">
                  <c:v>3.7269999999999999</c:v>
                </c:pt>
                <c:pt idx="287">
                  <c:v>3.887</c:v>
                </c:pt>
                <c:pt idx="288">
                  <c:v>1.772</c:v>
                </c:pt>
                <c:pt idx="289">
                  <c:v>0.71599999999999997</c:v>
                </c:pt>
                <c:pt idx="290">
                  <c:v>0.65600000000000003</c:v>
                </c:pt>
                <c:pt idx="291">
                  <c:v>1.843</c:v>
                </c:pt>
                <c:pt idx="292">
                  <c:v>1.4710000000000001</c:v>
                </c:pt>
                <c:pt idx="293">
                  <c:v>-0.877</c:v>
                </c:pt>
                <c:pt idx="294">
                  <c:v>-0.64100000000000001</c:v>
                </c:pt>
                <c:pt idx="295">
                  <c:v>0.191</c:v>
                </c:pt>
                <c:pt idx="296">
                  <c:v>-2.8000000000000001E-2</c:v>
                </c:pt>
                <c:pt idx="297">
                  <c:v>-0.625</c:v>
                </c:pt>
                <c:pt idx="298">
                  <c:v>1.5740000000000001</c:v>
                </c:pt>
                <c:pt idx="299">
                  <c:v>3.5640000000000001</c:v>
                </c:pt>
                <c:pt idx="300">
                  <c:v>3.04</c:v>
                </c:pt>
                <c:pt idx="301">
                  <c:v>0.82699999999999996</c:v>
                </c:pt>
                <c:pt idx="302">
                  <c:v>-1.0009999999999999</c:v>
                </c:pt>
                <c:pt idx="303">
                  <c:v>-1.536</c:v>
                </c:pt>
                <c:pt idx="304">
                  <c:v>-2.5299999999999998</c:v>
                </c:pt>
                <c:pt idx="305">
                  <c:v>-1.1479999999999999</c:v>
                </c:pt>
                <c:pt idx="306">
                  <c:v>-0.23</c:v>
                </c:pt>
                <c:pt idx="307">
                  <c:v>0.63200000000000001</c:v>
                </c:pt>
                <c:pt idx="308">
                  <c:v>1.696</c:v>
                </c:pt>
                <c:pt idx="309">
                  <c:v>1.0900000000000001</c:v>
                </c:pt>
                <c:pt idx="310">
                  <c:v>1.4450000000000001</c:v>
                </c:pt>
                <c:pt idx="311">
                  <c:v>1.363</c:v>
                </c:pt>
                <c:pt idx="312">
                  <c:v>0.17699999999999999</c:v>
                </c:pt>
                <c:pt idx="313">
                  <c:v>-0.24399999999999999</c:v>
                </c:pt>
                <c:pt idx="314">
                  <c:v>0.33</c:v>
                </c:pt>
                <c:pt idx="315">
                  <c:v>0.4</c:v>
                </c:pt>
                <c:pt idx="316">
                  <c:v>0.42599999999999999</c:v>
                </c:pt>
                <c:pt idx="317">
                  <c:v>0.439</c:v>
                </c:pt>
                <c:pt idx="318">
                  <c:v>0.47299999999999998</c:v>
                </c:pt>
                <c:pt idx="319">
                  <c:v>0.47299999999999998</c:v>
                </c:pt>
                <c:pt idx="320">
                  <c:v>0.54300000000000004</c:v>
                </c:pt>
                <c:pt idx="321">
                  <c:v>0.53700000000000003</c:v>
                </c:pt>
                <c:pt idx="322">
                  <c:v>0.65900000000000003</c:v>
                </c:pt>
                <c:pt idx="323">
                  <c:v>0.69199999999999995</c:v>
                </c:pt>
                <c:pt idx="324">
                  <c:v>0.54500000000000004</c:v>
                </c:pt>
                <c:pt idx="325">
                  <c:v>0.52300000000000002</c:v>
                </c:pt>
                <c:pt idx="326">
                  <c:v>0.505</c:v>
                </c:pt>
                <c:pt idx="327">
                  <c:v>0.41</c:v>
                </c:pt>
                <c:pt idx="328">
                  <c:v>0.11799999999999999</c:v>
                </c:pt>
                <c:pt idx="329">
                  <c:v>-0.08</c:v>
                </c:pt>
                <c:pt idx="330">
                  <c:v>-0.93400000000000005</c:v>
                </c:pt>
                <c:pt idx="331">
                  <c:v>-2.028</c:v>
                </c:pt>
                <c:pt idx="332">
                  <c:v>-2.2050000000000001</c:v>
                </c:pt>
                <c:pt idx="333">
                  <c:v>-0.96399999999999997</c:v>
                </c:pt>
                <c:pt idx="334">
                  <c:v>-0.64600000000000002</c:v>
                </c:pt>
                <c:pt idx="335">
                  <c:v>-0.84899999999999998</c:v>
                </c:pt>
                <c:pt idx="336">
                  <c:v>-0.48599999999999999</c:v>
                </c:pt>
                <c:pt idx="337">
                  <c:v>-0.378</c:v>
                </c:pt>
                <c:pt idx="338">
                  <c:v>-0.30299999999999999</c:v>
                </c:pt>
                <c:pt idx="339">
                  <c:v>-0.254</c:v>
                </c:pt>
                <c:pt idx="340">
                  <c:v>-0.188</c:v>
                </c:pt>
                <c:pt idx="341">
                  <c:v>-9.7000000000000003E-2</c:v>
                </c:pt>
                <c:pt idx="342">
                  <c:v>3.0000000000000001E-3</c:v>
                </c:pt>
                <c:pt idx="343">
                  <c:v>0.129</c:v>
                </c:pt>
                <c:pt idx="344">
                  <c:v>0.127</c:v>
                </c:pt>
                <c:pt idx="345">
                  <c:v>0.185</c:v>
                </c:pt>
                <c:pt idx="346">
                  <c:v>0.2</c:v>
                </c:pt>
                <c:pt idx="347">
                  <c:v>0.14599999999999999</c:v>
                </c:pt>
                <c:pt idx="348">
                  <c:v>0.19400000000000001</c:v>
                </c:pt>
                <c:pt idx="349">
                  <c:v>-0.13</c:v>
                </c:pt>
                <c:pt idx="350">
                  <c:v>-6.8000000000000005E-2</c:v>
                </c:pt>
                <c:pt idx="351">
                  <c:v>4.7E-2</c:v>
                </c:pt>
                <c:pt idx="352">
                  <c:v>0.152</c:v>
                </c:pt>
                <c:pt idx="353">
                  <c:v>0.20300000000000001</c:v>
                </c:pt>
                <c:pt idx="354">
                  <c:v>0.17299999999999999</c:v>
                </c:pt>
                <c:pt idx="355">
                  <c:v>0.191</c:v>
                </c:pt>
                <c:pt idx="356">
                  <c:v>0.14599999999999999</c:v>
                </c:pt>
                <c:pt idx="357">
                  <c:v>-9.0999999999999998E-2</c:v>
                </c:pt>
                <c:pt idx="358">
                  <c:v>0.125</c:v>
                </c:pt>
                <c:pt idx="359">
                  <c:v>0.161</c:v>
                </c:pt>
                <c:pt idx="360">
                  <c:v>0.13200000000000001</c:v>
                </c:pt>
                <c:pt idx="361">
                  <c:v>-0.25900000000000001</c:v>
                </c:pt>
                <c:pt idx="362">
                  <c:v>-0.13400000000000001</c:v>
                </c:pt>
                <c:pt idx="363">
                  <c:v>-0.18099999999999999</c:v>
                </c:pt>
                <c:pt idx="364">
                  <c:v>-2.4E-2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52160"/>
        <c:axId val="261862144"/>
      </c:lineChart>
      <c:catAx>
        <c:axId val="26185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86214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61862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85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34184239733627"/>
          <c:y val="0.47471451876019577"/>
          <c:w val="0.10321864594894561"/>
          <c:h val="0.138662316476345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73473917869034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92674805771371E-2"/>
          <c:y val="0.12234910277324633"/>
          <c:w val="0.82907880133185352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-0.44900000000000001</c:v>
                </c:pt>
                <c:pt idx="1">
                  <c:v>-0.439</c:v>
                </c:pt>
                <c:pt idx="2">
                  <c:v>-0.47799999999999998</c:v>
                </c:pt>
                <c:pt idx="3">
                  <c:v>-0.52900000000000003</c:v>
                </c:pt>
                <c:pt idx="4">
                  <c:v>-0.42699999999999999</c:v>
                </c:pt>
                <c:pt idx="5">
                  <c:v>-0.29499999999999998</c:v>
                </c:pt>
                <c:pt idx="6">
                  <c:v>-0.372</c:v>
                </c:pt>
                <c:pt idx="7">
                  <c:v>-0.43</c:v>
                </c:pt>
                <c:pt idx="8">
                  <c:v>-0.46899999999999997</c:v>
                </c:pt>
                <c:pt idx="9">
                  <c:v>-0.40300000000000002</c:v>
                </c:pt>
                <c:pt idx="10">
                  <c:v>-0.42599999999999999</c:v>
                </c:pt>
                <c:pt idx="11">
                  <c:v>-0.47199999999999998</c:v>
                </c:pt>
                <c:pt idx="12">
                  <c:v>-0.40899999999999997</c:v>
                </c:pt>
                <c:pt idx="13">
                  <c:v>-0.39500000000000002</c:v>
                </c:pt>
                <c:pt idx="14">
                  <c:v>-0.56299999999999994</c:v>
                </c:pt>
                <c:pt idx="15">
                  <c:v>-0.69499999999999995</c:v>
                </c:pt>
                <c:pt idx="16">
                  <c:v>-0.58199999999999996</c:v>
                </c:pt>
                <c:pt idx="17">
                  <c:v>-0.63900000000000001</c:v>
                </c:pt>
                <c:pt idx="18">
                  <c:v>-0.88400000000000001</c:v>
                </c:pt>
                <c:pt idx="19">
                  <c:v>-0.73599999999999999</c:v>
                </c:pt>
                <c:pt idx="20">
                  <c:v>-0.81299999999999994</c:v>
                </c:pt>
                <c:pt idx="21">
                  <c:v>-0.74299999999999999</c:v>
                </c:pt>
                <c:pt idx="22">
                  <c:v>-0.48299999999999998</c:v>
                </c:pt>
                <c:pt idx="23">
                  <c:v>-0.46200000000000002</c:v>
                </c:pt>
                <c:pt idx="24">
                  <c:v>-0.49399999999999999</c:v>
                </c:pt>
                <c:pt idx="25">
                  <c:v>-0.52</c:v>
                </c:pt>
                <c:pt idx="26">
                  <c:v>-0.625</c:v>
                </c:pt>
                <c:pt idx="27">
                  <c:v>-0.66300000000000003</c:v>
                </c:pt>
                <c:pt idx="28">
                  <c:v>-0.72499999999999998</c:v>
                </c:pt>
                <c:pt idx="29">
                  <c:v>-0.57599999999999996</c:v>
                </c:pt>
                <c:pt idx="30">
                  <c:v>-0.53200000000000003</c:v>
                </c:pt>
                <c:pt idx="31">
                  <c:v>-0.50700000000000001</c:v>
                </c:pt>
                <c:pt idx="32">
                  <c:v>-0.44700000000000001</c:v>
                </c:pt>
                <c:pt idx="33">
                  <c:v>-0.46899999999999997</c:v>
                </c:pt>
                <c:pt idx="34">
                  <c:v>-0.40699999999999997</c:v>
                </c:pt>
                <c:pt idx="35">
                  <c:v>-0.42</c:v>
                </c:pt>
                <c:pt idx="36">
                  <c:v>-0.55900000000000005</c:v>
                </c:pt>
                <c:pt idx="37">
                  <c:v>-0.59499999999999997</c:v>
                </c:pt>
                <c:pt idx="38">
                  <c:v>-0.50700000000000001</c:v>
                </c:pt>
                <c:pt idx="39">
                  <c:v>-0.85099999999999998</c:v>
                </c:pt>
                <c:pt idx="40">
                  <c:v>-1.25</c:v>
                </c:pt>
                <c:pt idx="41">
                  <c:v>-1.262</c:v>
                </c:pt>
                <c:pt idx="42">
                  <c:v>-1.0669999999999999</c:v>
                </c:pt>
                <c:pt idx="43">
                  <c:v>-0.83199999999999996</c:v>
                </c:pt>
                <c:pt idx="44">
                  <c:v>-0.93100000000000005</c:v>
                </c:pt>
                <c:pt idx="45">
                  <c:v>-1.615</c:v>
                </c:pt>
                <c:pt idx="46">
                  <c:v>-1.9330000000000001</c:v>
                </c:pt>
                <c:pt idx="47">
                  <c:v>-2.391</c:v>
                </c:pt>
                <c:pt idx="48">
                  <c:v>-2.5099999999999998</c:v>
                </c:pt>
                <c:pt idx="49">
                  <c:v>-2.427</c:v>
                </c:pt>
                <c:pt idx="50">
                  <c:v>-1.627</c:v>
                </c:pt>
                <c:pt idx="51">
                  <c:v>-1.179</c:v>
                </c:pt>
                <c:pt idx="52">
                  <c:v>-1.071</c:v>
                </c:pt>
                <c:pt idx="53">
                  <c:v>-0.996</c:v>
                </c:pt>
                <c:pt idx="54">
                  <c:v>-1.6080000000000001</c:v>
                </c:pt>
                <c:pt idx="55">
                  <c:v>-2.274</c:v>
                </c:pt>
                <c:pt idx="56">
                  <c:v>-1.4319999999999999</c:v>
                </c:pt>
                <c:pt idx="57">
                  <c:v>-0.85299999999999998</c:v>
                </c:pt>
                <c:pt idx="58">
                  <c:v>-0.54300000000000004</c:v>
                </c:pt>
                <c:pt idx="59">
                  <c:v>-0.81</c:v>
                </c:pt>
                <c:pt idx="60">
                  <c:v>-0.91600000000000004</c:v>
                </c:pt>
                <c:pt idx="61">
                  <c:v>-1.2390000000000001</c:v>
                </c:pt>
                <c:pt idx="62">
                  <c:v>-1.6419999999999999</c:v>
                </c:pt>
                <c:pt idx="63">
                  <c:v>-1.411</c:v>
                </c:pt>
                <c:pt idx="64">
                  <c:v>-0.92500000000000004</c:v>
                </c:pt>
                <c:pt idx="65">
                  <c:v>-0.77</c:v>
                </c:pt>
                <c:pt idx="66">
                  <c:v>-0.73699999999999999</c:v>
                </c:pt>
                <c:pt idx="67">
                  <c:v>-0.83699999999999997</c:v>
                </c:pt>
                <c:pt idx="68">
                  <c:v>-1.4570000000000001</c:v>
                </c:pt>
                <c:pt idx="69">
                  <c:v>-2.0289999999999999</c:v>
                </c:pt>
                <c:pt idx="70">
                  <c:v>-2.3039999999999998</c:v>
                </c:pt>
                <c:pt idx="71">
                  <c:v>-2.2989999999999999</c:v>
                </c:pt>
                <c:pt idx="72">
                  <c:v>-1.5580000000000001</c:v>
                </c:pt>
                <c:pt idx="73">
                  <c:v>-1.3320000000000001</c:v>
                </c:pt>
                <c:pt idx="74">
                  <c:v>-1.05</c:v>
                </c:pt>
                <c:pt idx="75">
                  <c:v>-0.84799999999999998</c:v>
                </c:pt>
                <c:pt idx="76">
                  <c:v>-0.8</c:v>
                </c:pt>
                <c:pt idx="77">
                  <c:v>-1.2250000000000001</c:v>
                </c:pt>
                <c:pt idx="78">
                  <c:v>-1.3340000000000001</c:v>
                </c:pt>
                <c:pt idx="79">
                  <c:v>-0.95899999999999996</c:v>
                </c:pt>
                <c:pt idx="80">
                  <c:v>-0.80900000000000005</c:v>
                </c:pt>
                <c:pt idx="81">
                  <c:v>-0.61499999999999999</c:v>
                </c:pt>
                <c:pt idx="82">
                  <c:v>-0.379</c:v>
                </c:pt>
                <c:pt idx="83">
                  <c:v>-0.40400000000000003</c:v>
                </c:pt>
                <c:pt idx="84">
                  <c:v>-0.751</c:v>
                </c:pt>
                <c:pt idx="85">
                  <c:v>-0.67300000000000004</c:v>
                </c:pt>
                <c:pt idx="86">
                  <c:v>-0.875</c:v>
                </c:pt>
                <c:pt idx="87">
                  <c:v>-0.69399999999999995</c:v>
                </c:pt>
                <c:pt idx="88">
                  <c:v>-0.69</c:v>
                </c:pt>
                <c:pt idx="89">
                  <c:v>-0.60399999999999998</c:v>
                </c:pt>
                <c:pt idx="90">
                  <c:v>-0.51300000000000001</c:v>
                </c:pt>
                <c:pt idx="91">
                  <c:v>-0.38</c:v>
                </c:pt>
                <c:pt idx="92">
                  <c:v>-0.48299999999999998</c:v>
                </c:pt>
                <c:pt idx="93">
                  <c:v>-0.35599999999999998</c:v>
                </c:pt>
                <c:pt idx="94">
                  <c:v>-0.255</c:v>
                </c:pt>
                <c:pt idx="95">
                  <c:v>-0.186</c:v>
                </c:pt>
                <c:pt idx="96">
                  <c:v>-0.191</c:v>
                </c:pt>
                <c:pt idx="97">
                  <c:v>-0.161</c:v>
                </c:pt>
                <c:pt idx="98">
                  <c:v>-0.14899999999999999</c:v>
                </c:pt>
                <c:pt idx="99">
                  <c:v>-0.16</c:v>
                </c:pt>
                <c:pt idx="100">
                  <c:v>-0.158</c:v>
                </c:pt>
                <c:pt idx="101">
                  <c:v>-0.152</c:v>
                </c:pt>
                <c:pt idx="102">
                  <c:v>-0.189</c:v>
                </c:pt>
                <c:pt idx="103">
                  <c:v>-0.19500000000000001</c:v>
                </c:pt>
                <c:pt idx="104">
                  <c:v>-0.26800000000000002</c:v>
                </c:pt>
                <c:pt idx="105">
                  <c:v>-0.41199999999999998</c:v>
                </c:pt>
                <c:pt idx="106">
                  <c:v>-0.63200000000000001</c:v>
                </c:pt>
                <c:pt idx="107">
                  <c:v>-0.58299999999999996</c:v>
                </c:pt>
                <c:pt idx="108">
                  <c:v>-0.29299999999999998</c:v>
                </c:pt>
                <c:pt idx="109">
                  <c:v>-0.13900000000000001</c:v>
                </c:pt>
                <c:pt idx="110">
                  <c:v>-0.189</c:v>
                </c:pt>
                <c:pt idx="111">
                  <c:v>-0.27200000000000002</c:v>
                </c:pt>
                <c:pt idx="112">
                  <c:v>-0.33400000000000002</c:v>
                </c:pt>
                <c:pt idx="113">
                  <c:v>-0.255</c:v>
                </c:pt>
                <c:pt idx="114">
                  <c:v>-0.19500000000000001</c:v>
                </c:pt>
                <c:pt idx="115">
                  <c:v>-0.14499999999999999</c:v>
                </c:pt>
                <c:pt idx="116">
                  <c:v>-0.129</c:v>
                </c:pt>
                <c:pt idx="117">
                  <c:v>-5.8000000000000003E-2</c:v>
                </c:pt>
                <c:pt idx="118">
                  <c:v>-4.5999999999999999E-2</c:v>
                </c:pt>
                <c:pt idx="119">
                  <c:v>-0.15</c:v>
                </c:pt>
                <c:pt idx="120">
                  <c:v>-0.17399999999999999</c:v>
                </c:pt>
                <c:pt idx="121">
                  <c:v>-0.161</c:v>
                </c:pt>
                <c:pt idx="122">
                  <c:v>-0.13600000000000001</c:v>
                </c:pt>
                <c:pt idx="123">
                  <c:v>-9.5000000000000001E-2</c:v>
                </c:pt>
                <c:pt idx="124">
                  <c:v>-3.7999999999999999E-2</c:v>
                </c:pt>
                <c:pt idx="125">
                  <c:v>-8.3000000000000004E-2</c:v>
                </c:pt>
                <c:pt idx="126">
                  <c:v>-0.115</c:v>
                </c:pt>
                <c:pt idx="127">
                  <c:v>-0.16200000000000001</c:v>
                </c:pt>
                <c:pt idx="128">
                  <c:v>-7.2999999999999995E-2</c:v>
                </c:pt>
                <c:pt idx="129">
                  <c:v>9.5000000000000001E-2</c:v>
                </c:pt>
                <c:pt idx="130">
                  <c:v>0.10199999999999999</c:v>
                </c:pt>
                <c:pt idx="131">
                  <c:v>0.14599999999999999</c:v>
                </c:pt>
                <c:pt idx="132">
                  <c:v>0.43099999999999999</c:v>
                </c:pt>
                <c:pt idx="133">
                  <c:v>1.0109999999999999</c:v>
                </c:pt>
                <c:pt idx="134">
                  <c:v>1.577</c:v>
                </c:pt>
                <c:pt idx="135">
                  <c:v>2.1850000000000001</c:v>
                </c:pt>
                <c:pt idx="136">
                  <c:v>2.4239999999999999</c:v>
                </c:pt>
                <c:pt idx="137">
                  <c:v>3.2549999999999999</c:v>
                </c:pt>
                <c:pt idx="138">
                  <c:v>3.2309999999999999</c:v>
                </c:pt>
                <c:pt idx="139">
                  <c:v>2.3780000000000001</c:v>
                </c:pt>
                <c:pt idx="140">
                  <c:v>3.24</c:v>
                </c:pt>
                <c:pt idx="141">
                  <c:v>3.2839999999999998</c:v>
                </c:pt>
                <c:pt idx="142">
                  <c:v>3.3090000000000002</c:v>
                </c:pt>
                <c:pt idx="143">
                  <c:v>2.347</c:v>
                </c:pt>
                <c:pt idx="144">
                  <c:v>2.3519999999999999</c:v>
                </c:pt>
                <c:pt idx="145">
                  <c:v>2.2130000000000001</c:v>
                </c:pt>
                <c:pt idx="146">
                  <c:v>2.8250000000000002</c:v>
                </c:pt>
                <c:pt idx="147">
                  <c:v>3.524</c:v>
                </c:pt>
                <c:pt idx="148">
                  <c:v>3.95</c:v>
                </c:pt>
                <c:pt idx="149">
                  <c:v>5.5190000000000001</c:v>
                </c:pt>
                <c:pt idx="150">
                  <c:v>7.28</c:v>
                </c:pt>
                <c:pt idx="151">
                  <c:v>9.48</c:v>
                </c:pt>
                <c:pt idx="152">
                  <c:v>10.220000000000001</c:v>
                </c:pt>
                <c:pt idx="153">
                  <c:v>9.33</c:v>
                </c:pt>
                <c:pt idx="154">
                  <c:v>8.41</c:v>
                </c:pt>
                <c:pt idx="155">
                  <c:v>8.89</c:v>
                </c:pt>
                <c:pt idx="156">
                  <c:v>9.08</c:v>
                </c:pt>
                <c:pt idx="157">
                  <c:v>10.65</c:v>
                </c:pt>
                <c:pt idx="158">
                  <c:v>9.66</c:v>
                </c:pt>
                <c:pt idx="159">
                  <c:v>9.4499999999999993</c:v>
                </c:pt>
                <c:pt idx="160">
                  <c:v>9.8800000000000008</c:v>
                </c:pt>
                <c:pt idx="161">
                  <c:v>9.77</c:v>
                </c:pt>
                <c:pt idx="162">
                  <c:v>10.8</c:v>
                </c:pt>
                <c:pt idx="163">
                  <c:v>11.18</c:v>
                </c:pt>
                <c:pt idx="164">
                  <c:v>9.9</c:v>
                </c:pt>
                <c:pt idx="165">
                  <c:v>8.42</c:v>
                </c:pt>
                <c:pt idx="166">
                  <c:v>9</c:v>
                </c:pt>
                <c:pt idx="167">
                  <c:v>9.07</c:v>
                </c:pt>
                <c:pt idx="168">
                  <c:v>8.8800000000000008</c:v>
                </c:pt>
                <c:pt idx="169">
                  <c:v>7.65</c:v>
                </c:pt>
                <c:pt idx="170">
                  <c:v>8.6999999999999993</c:v>
                </c:pt>
                <c:pt idx="171">
                  <c:v>8.74</c:v>
                </c:pt>
                <c:pt idx="172">
                  <c:v>9.6</c:v>
                </c:pt>
                <c:pt idx="173">
                  <c:v>10.06</c:v>
                </c:pt>
                <c:pt idx="174">
                  <c:v>10.87</c:v>
                </c:pt>
                <c:pt idx="175">
                  <c:v>12</c:v>
                </c:pt>
                <c:pt idx="176">
                  <c:v>12.98</c:v>
                </c:pt>
                <c:pt idx="177">
                  <c:v>13.47</c:v>
                </c:pt>
                <c:pt idx="178">
                  <c:v>12.67</c:v>
                </c:pt>
                <c:pt idx="179">
                  <c:v>11.98</c:v>
                </c:pt>
                <c:pt idx="180">
                  <c:v>12.75</c:v>
                </c:pt>
                <c:pt idx="181">
                  <c:v>12.65</c:v>
                </c:pt>
                <c:pt idx="182">
                  <c:v>12.71</c:v>
                </c:pt>
                <c:pt idx="183">
                  <c:v>13.41</c:v>
                </c:pt>
                <c:pt idx="184">
                  <c:v>12.79</c:v>
                </c:pt>
                <c:pt idx="185">
                  <c:v>13.2</c:v>
                </c:pt>
                <c:pt idx="186">
                  <c:v>12.59</c:v>
                </c:pt>
                <c:pt idx="187">
                  <c:v>11.96</c:v>
                </c:pt>
                <c:pt idx="188">
                  <c:v>12.7</c:v>
                </c:pt>
                <c:pt idx="189">
                  <c:v>13.24</c:v>
                </c:pt>
                <c:pt idx="190">
                  <c:v>12.81</c:v>
                </c:pt>
                <c:pt idx="191">
                  <c:v>11.25</c:v>
                </c:pt>
                <c:pt idx="192">
                  <c:v>11.1</c:v>
                </c:pt>
                <c:pt idx="193">
                  <c:v>10.36</c:v>
                </c:pt>
                <c:pt idx="194">
                  <c:v>10.61</c:v>
                </c:pt>
                <c:pt idx="195">
                  <c:v>10.9</c:v>
                </c:pt>
                <c:pt idx="196">
                  <c:v>10.83</c:v>
                </c:pt>
                <c:pt idx="197">
                  <c:v>11.07</c:v>
                </c:pt>
                <c:pt idx="198">
                  <c:v>10.5</c:v>
                </c:pt>
                <c:pt idx="199">
                  <c:v>10.06</c:v>
                </c:pt>
                <c:pt idx="200">
                  <c:v>11.41</c:v>
                </c:pt>
                <c:pt idx="201">
                  <c:v>13.07</c:v>
                </c:pt>
                <c:pt idx="202">
                  <c:v>14.17</c:v>
                </c:pt>
                <c:pt idx="203">
                  <c:v>14.73</c:v>
                </c:pt>
                <c:pt idx="204">
                  <c:v>15.09</c:v>
                </c:pt>
                <c:pt idx="205">
                  <c:v>14.44</c:v>
                </c:pt>
                <c:pt idx="206">
                  <c:v>14.3</c:v>
                </c:pt>
                <c:pt idx="207">
                  <c:v>14.62</c:v>
                </c:pt>
                <c:pt idx="208">
                  <c:v>13.27</c:v>
                </c:pt>
                <c:pt idx="209">
                  <c:v>12.67</c:v>
                </c:pt>
                <c:pt idx="210">
                  <c:v>9.69</c:v>
                </c:pt>
                <c:pt idx="211">
                  <c:v>9.49</c:v>
                </c:pt>
                <c:pt idx="212">
                  <c:v>10.19</c:v>
                </c:pt>
                <c:pt idx="213">
                  <c:v>10.48</c:v>
                </c:pt>
                <c:pt idx="214">
                  <c:v>10.48</c:v>
                </c:pt>
                <c:pt idx="215">
                  <c:v>9.67</c:v>
                </c:pt>
                <c:pt idx="216">
                  <c:v>9.35</c:v>
                </c:pt>
                <c:pt idx="217">
                  <c:v>10.73</c:v>
                </c:pt>
                <c:pt idx="218">
                  <c:v>11.68</c:v>
                </c:pt>
                <c:pt idx="219">
                  <c:v>11.56</c:v>
                </c:pt>
                <c:pt idx="220">
                  <c:v>10.99</c:v>
                </c:pt>
                <c:pt idx="221">
                  <c:v>10.54</c:v>
                </c:pt>
                <c:pt idx="222">
                  <c:v>9.2799999999999994</c:v>
                </c:pt>
                <c:pt idx="223">
                  <c:v>9.2100000000000009</c:v>
                </c:pt>
                <c:pt idx="224">
                  <c:v>10.74</c:v>
                </c:pt>
                <c:pt idx="225">
                  <c:v>10.95</c:v>
                </c:pt>
                <c:pt idx="226">
                  <c:v>10.84</c:v>
                </c:pt>
                <c:pt idx="227">
                  <c:v>10.23</c:v>
                </c:pt>
                <c:pt idx="228">
                  <c:v>10.3</c:v>
                </c:pt>
                <c:pt idx="229">
                  <c:v>10.8</c:v>
                </c:pt>
                <c:pt idx="230">
                  <c:v>10.8</c:v>
                </c:pt>
                <c:pt idx="231">
                  <c:v>11</c:v>
                </c:pt>
                <c:pt idx="232">
                  <c:v>11.38</c:v>
                </c:pt>
                <c:pt idx="233">
                  <c:v>10.79</c:v>
                </c:pt>
                <c:pt idx="234">
                  <c:v>10.29</c:v>
                </c:pt>
                <c:pt idx="235">
                  <c:v>9.06</c:v>
                </c:pt>
                <c:pt idx="236">
                  <c:v>9.7100000000000009</c:v>
                </c:pt>
                <c:pt idx="237">
                  <c:v>10.35</c:v>
                </c:pt>
                <c:pt idx="238">
                  <c:v>10.96</c:v>
                </c:pt>
                <c:pt idx="239">
                  <c:v>11.6</c:v>
                </c:pt>
                <c:pt idx="240">
                  <c:v>10.74</c:v>
                </c:pt>
                <c:pt idx="241">
                  <c:v>8.43</c:v>
                </c:pt>
                <c:pt idx="242">
                  <c:v>7.64</c:v>
                </c:pt>
                <c:pt idx="243">
                  <c:v>8.3800000000000008</c:v>
                </c:pt>
                <c:pt idx="244">
                  <c:v>9.91</c:v>
                </c:pt>
                <c:pt idx="245">
                  <c:v>10.7</c:v>
                </c:pt>
                <c:pt idx="246">
                  <c:v>11.5</c:v>
                </c:pt>
                <c:pt idx="247">
                  <c:v>11.13</c:v>
                </c:pt>
                <c:pt idx="248">
                  <c:v>10.93</c:v>
                </c:pt>
                <c:pt idx="249">
                  <c:v>10.89</c:v>
                </c:pt>
                <c:pt idx="250">
                  <c:v>11.28</c:v>
                </c:pt>
                <c:pt idx="251">
                  <c:v>9.76</c:v>
                </c:pt>
                <c:pt idx="252">
                  <c:v>9.9700000000000006</c:v>
                </c:pt>
                <c:pt idx="253">
                  <c:v>9.9700000000000006</c:v>
                </c:pt>
                <c:pt idx="254">
                  <c:v>9.9499999999999993</c:v>
                </c:pt>
                <c:pt idx="255">
                  <c:v>8.23</c:v>
                </c:pt>
                <c:pt idx="256">
                  <c:v>5.9219999999999997</c:v>
                </c:pt>
                <c:pt idx="257">
                  <c:v>5.4969999999999999</c:v>
                </c:pt>
                <c:pt idx="258">
                  <c:v>5.15</c:v>
                </c:pt>
                <c:pt idx="259">
                  <c:v>5.8460000000000001</c:v>
                </c:pt>
                <c:pt idx="260">
                  <c:v>6.9340000000000002</c:v>
                </c:pt>
                <c:pt idx="261">
                  <c:v>7.3</c:v>
                </c:pt>
                <c:pt idx="262">
                  <c:v>5.1779999999999999</c:v>
                </c:pt>
                <c:pt idx="263">
                  <c:v>4.9059999999999997</c:v>
                </c:pt>
                <c:pt idx="264">
                  <c:v>5.3559999999999999</c:v>
                </c:pt>
                <c:pt idx="265">
                  <c:v>5.9290000000000003</c:v>
                </c:pt>
                <c:pt idx="266">
                  <c:v>6.641</c:v>
                </c:pt>
                <c:pt idx="267">
                  <c:v>7.16</c:v>
                </c:pt>
                <c:pt idx="268">
                  <c:v>7.77</c:v>
                </c:pt>
                <c:pt idx="269">
                  <c:v>7.46</c:v>
                </c:pt>
                <c:pt idx="270">
                  <c:v>7.88</c:v>
                </c:pt>
                <c:pt idx="271">
                  <c:v>8.27</c:v>
                </c:pt>
                <c:pt idx="272">
                  <c:v>7.16</c:v>
                </c:pt>
                <c:pt idx="273">
                  <c:v>6.3159999999999998</c:v>
                </c:pt>
                <c:pt idx="274">
                  <c:v>4.9119999999999999</c:v>
                </c:pt>
                <c:pt idx="275">
                  <c:v>4.2549999999999999</c:v>
                </c:pt>
                <c:pt idx="276">
                  <c:v>4.7290000000000001</c:v>
                </c:pt>
                <c:pt idx="277">
                  <c:v>4.4260000000000002</c:v>
                </c:pt>
                <c:pt idx="278">
                  <c:v>5.1689999999999996</c:v>
                </c:pt>
                <c:pt idx="279">
                  <c:v>3.782</c:v>
                </c:pt>
                <c:pt idx="280">
                  <c:v>3.673</c:v>
                </c:pt>
                <c:pt idx="281">
                  <c:v>2.7759999999999998</c:v>
                </c:pt>
                <c:pt idx="282">
                  <c:v>3.1349999999999998</c:v>
                </c:pt>
                <c:pt idx="283">
                  <c:v>3.6509999999999998</c:v>
                </c:pt>
                <c:pt idx="284">
                  <c:v>4.2069999999999999</c:v>
                </c:pt>
                <c:pt idx="285">
                  <c:v>4.5460000000000003</c:v>
                </c:pt>
                <c:pt idx="286">
                  <c:v>4.3540000000000001</c:v>
                </c:pt>
                <c:pt idx="287">
                  <c:v>4.5460000000000003</c:v>
                </c:pt>
                <c:pt idx="288">
                  <c:v>3.391</c:v>
                </c:pt>
                <c:pt idx="289">
                  <c:v>2.7370000000000001</c:v>
                </c:pt>
                <c:pt idx="290">
                  <c:v>2.3570000000000002</c:v>
                </c:pt>
                <c:pt idx="291">
                  <c:v>2.8109999999999999</c:v>
                </c:pt>
                <c:pt idx="292">
                  <c:v>2.8929999999999998</c:v>
                </c:pt>
                <c:pt idx="293">
                  <c:v>1.94</c:v>
                </c:pt>
                <c:pt idx="294">
                  <c:v>1.8129999999999999</c:v>
                </c:pt>
                <c:pt idx="295">
                  <c:v>2.1070000000000002</c:v>
                </c:pt>
                <c:pt idx="296">
                  <c:v>1.6020000000000001</c:v>
                </c:pt>
                <c:pt idx="297">
                  <c:v>1.3819999999999999</c:v>
                </c:pt>
                <c:pt idx="298">
                  <c:v>1.7649999999999999</c:v>
                </c:pt>
                <c:pt idx="299">
                  <c:v>3.1389999999999998</c:v>
                </c:pt>
                <c:pt idx="300">
                  <c:v>3.1739999999999999</c:v>
                </c:pt>
                <c:pt idx="301">
                  <c:v>1.65</c:v>
                </c:pt>
                <c:pt idx="302">
                  <c:v>0.56299999999999994</c:v>
                </c:pt>
                <c:pt idx="303">
                  <c:v>-6.8000000000000005E-2</c:v>
                </c:pt>
                <c:pt idx="304">
                  <c:v>-0.47</c:v>
                </c:pt>
                <c:pt idx="305">
                  <c:v>-0.371</c:v>
                </c:pt>
                <c:pt idx="306">
                  <c:v>-0.2</c:v>
                </c:pt>
                <c:pt idx="307">
                  <c:v>4.5999999999999999E-2</c:v>
                </c:pt>
                <c:pt idx="308">
                  <c:v>0.105</c:v>
                </c:pt>
                <c:pt idx="309">
                  <c:v>0.182</c:v>
                </c:pt>
                <c:pt idx="310">
                  <c:v>0.27100000000000002</c:v>
                </c:pt>
                <c:pt idx="311">
                  <c:v>7.0000000000000007E-2</c:v>
                </c:pt>
                <c:pt idx="312">
                  <c:v>8.0000000000000002E-3</c:v>
                </c:pt>
                <c:pt idx="313">
                  <c:v>-7.0000000000000007E-2</c:v>
                </c:pt>
                <c:pt idx="314">
                  <c:v>-0.115</c:v>
                </c:pt>
                <c:pt idx="315">
                  <c:v>-0.14399999999999999</c:v>
                </c:pt>
                <c:pt idx="316">
                  <c:v>-0.14099999999999999</c:v>
                </c:pt>
                <c:pt idx="317">
                  <c:v>-0.155</c:v>
                </c:pt>
                <c:pt idx="318">
                  <c:v>-9.5000000000000001E-2</c:v>
                </c:pt>
                <c:pt idx="319">
                  <c:v>-0.11799999999999999</c:v>
                </c:pt>
                <c:pt idx="320">
                  <c:v>-7.1999999999999995E-2</c:v>
                </c:pt>
                <c:pt idx="321">
                  <c:v>-6.6000000000000003E-2</c:v>
                </c:pt>
                <c:pt idx="322">
                  <c:v>3.0000000000000001E-3</c:v>
                </c:pt>
                <c:pt idx="323">
                  <c:v>-1.2E-2</c:v>
                </c:pt>
                <c:pt idx="324">
                  <c:v>2E-3</c:v>
                </c:pt>
                <c:pt idx="325">
                  <c:v>-1.7000000000000001E-2</c:v>
                </c:pt>
                <c:pt idx="326">
                  <c:v>-5.0999999999999997E-2</c:v>
                </c:pt>
                <c:pt idx="327">
                  <c:v>-0.14000000000000001</c:v>
                </c:pt>
                <c:pt idx="328">
                  <c:v>-0.252</c:v>
                </c:pt>
                <c:pt idx="329">
                  <c:v>-0.3</c:v>
                </c:pt>
                <c:pt idx="330">
                  <c:v>-0.84899999999999998</c:v>
                </c:pt>
                <c:pt idx="331">
                  <c:v>-1.347</c:v>
                </c:pt>
                <c:pt idx="332">
                  <c:v>-1.536</c:v>
                </c:pt>
                <c:pt idx="333">
                  <c:v>-0.96299999999999997</c:v>
                </c:pt>
                <c:pt idx="334">
                  <c:v>-0.72599999999999998</c:v>
                </c:pt>
                <c:pt idx="335">
                  <c:v>-0.98899999999999999</c:v>
                </c:pt>
                <c:pt idx="336">
                  <c:v>-0.72499999999999998</c:v>
                </c:pt>
                <c:pt idx="337">
                  <c:v>-0.61399999999999999</c:v>
                </c:pt>
                <c:pt idx="338">
                  <c:v>-0.52400000000000002</c:v>
                </c:pt>
                <c:pt idx="339">
                  <c:v>-0.47399999999999998</c:v>
                </c:pt>
                <c:pt idx="340">
                  <c:v>-0.45600000000000002</c:v>
                </c:pt>
                <c:pt idx="341">
                  <c:v>-0.34399999999999997</c:v>
                </c:pt>
                <c:pt idx="342">
                  <c:v>-0.314</c:v>
                </c:pt>
                <c:pt idx="343">
                  <c:v>-0.28100000000000003</c:v>
                </c:pt>
                <c:pt idx="344">
                  <c:v>-0.26100000000000001</c:v>
                </c:pt>
                <c:pt idx="345">
                  <c:v>-0.32400000000000001</c:v>
                </c:pt>
                <c:pt idx="346">
                  <c:v>-0.32400000000000001</c:v>
                </c:pt>
                <c:pt idx="347">
                  <c:v>-0.44900000000000001</c:v>
                </c:pt>
                <c:pt idx="348">
                  <c:v>-0.39500000000000002</c:v>
                </c:pt>
                <c:pt idx="349">
                  <c:v>-0.44500000000000001</c:v>
                </c:pt>
                <c:pt idx="350">
                  <c:v>-0.41899999999999998</c:v>
                </c:pt>
                <c:pt idx="351">
                  <c:v>-0.34499999999999997</c:v>
                </c:pt>
                <c:pt idx="352">
                  <c:v>-0.33</c:v>
                </c:pt>
                <c:pt idx="353">
                  <c:v>-0.28000000000000003</c:v>
                </c:pt>
                <c:pt idx="354">
                  <c:v>-0.28199999999999997</c:v>
                </c:pt>
                <c:pt idx="355">
                  <c:v>-0.29299999999999998</c:v>
                </c:pt>
                <c:pt idx="356">
                  <c:v>-0.29399999999999998</c:v>
                </c:pt>
                <c:pt idx="357">
                  <c:v>-0.30599999999999999</c:v>
                </c:pt>
                <c:pt idx="358">
                  <c:v>-0.307</c:v>
                </c:pt>
                <c:pt idx="359">
                  <c:v>-0.28000000000000003</c:v>
                </c:pt>
                <c:pt idx="360">
                  <c:v>-0.29199999999999998</c:v>
                </c:pt>
                <c:pt idx="361">
                  <c:v>-0.36899999999999999</c:v>
                </c:pt>
                <c:pt idx="362">
                  <c:v>-0.28499999999999998</c:v>
                </c:pt>
                <c:pt idx="363">
                  <c:v>-0.35799999999999998</c:v>
                </c:pt>
                <c:pt idx="364">
                  <c:v>-0.28199999999999997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-0.158</c:v>
                </c:pt>
                <c:pt idx="1">
                  <c:v>-0.17199999999999999</c:v>
                </c:pt>
                <c:pt idx="2">
                  <c:v>-0.20100000000000001</c:v>
                </c:pt>
                <c:pt idx="3">
                  <c:v>-0.20699999999999999</c:v>
                </c:pt>
                <c:pt idx="4">
                  <c:v>-0.16300000000000001</c:v>
                </c:pt>
                <c:pt idx="5">
                  <c:v>-0.11600000000000001</c:v>
                </c:pt>
                <c:pt idx="6">
                  <c:v>-0.17</c:v>
                </c:pt>
                <c:pt idx="7">
                  <c:v>-0.16800000000000001</c:v>
                </c:pt>
                <c:pt idx="8">
                  <c:v>-0.17399999999999999</c:v>
                </c:pt>
                <c:pt idx="9">
                  <c:v>-0.16900000000000001</c:v>
                </c:pt>
                <c:pt idx="10">
                  <c:v>-0.16700000000000001</c:v>
                </c:pt>
                <c:pt idx="11">
                  <c:v>-0.186</c:v>
                </c:pt>
                <c:pt idx="12">
                  <c:v>-0.158</c:v>
                </c:pt>
                <c:pt idx="13">
                  <c:v>-0.16900000000000001</c:v>
                </c:pt>
                <c:pt idx="14">
                  <c:v>-0.223</c:v>
                </c:pt>
                <c:pt idx="15">
                  <c:v>-0.23200000000000001</c:v>
                </c:pt>
                <c:pt idx="16">
                  <c:v>-0.23499999999999999</c:v>
                </c:pt>
                <c:pt idx="17">
                  <c:v>-0.28699999999999998</c:v>
                </c:pt>
                <c:pt idx="18">
                  <c:v>-0.29799999999999999</c:v>
                </c:pt>
                <c:pt idx="19">
                  <c:v>-0.317</c:v>
                </c:pt>
                <c:pt idx="20">
                  <c:v>-0.33400000000000002</c:v>
                </c:pt>
                <c:pt idx="21">
                  <c:v>-0.32600000000000001</c:v>
                </c:pt>
                <c:pt idx="22">
                  <c:v>-0.23899999999999999</c:v>
                </c:pt>
                <c:pt idx="23">
                  <c:v>-0.23300000000000001</c:v>
                </c:pt>
                <c:pt idx="24">
                  <c:v>-0.22700000000000001</c:v>
                </c:pt>
                <c:pt idx="25">
                  <c:v>-0.245</c:v>
                </c:pt>
                <c:pt idx="26">
                  <c:v>-0.27500000000000002</c:v>
                </c:pt>
                <c:pt idx="27">
                  <c:v>-0.3</c:v>
                </c:pt>
                <c:pt idx="28">
                  <c:v>-0.32300000000000001</c:v>
                </c:pt>
                <c:pt idx="29">
                  <c:v>-0.28299999999999997</c:v>
                </c:pt>
                <c:pt idx="30">
                  <c:v>-0.245</c:v>
                </c:pt>
                <c:pt idx="31">
                  <c:v>-0.24</c:v>
                </c:pt>
                <c:pt idx="32">
                  <c:v>-0.22500000000000001</c:v>
                </c:pt>
                <c:pt idx="33">
                  <c:v>-0.223</c:v>
                </c:pt>
                <c:pt idx="34">
                  <c:v>-0.21</c:v>
                </c:pt>
                <c:pt idx="35">
                  <c:v>-0.19500000000000001</c:v>
                </c:pt>
                <c:pt idx="36">
                  <c:v>-0.23300000000000001</c:v>
                </c:pt>
                <c:pt idx="37">
                  <c:v>-0.27700000000000002</c:v>
                </c:pt>
                <c:pt idx="38">
                  <c:v>-0.255</c:v>
                </c:pt>
                <c:pt idx="39">
                  <c:v>-0.31900000000000001</c:v>
                </c:pt>
                <c:pt idx="40">
                  <c:v>-0.47699999999999998</c:v>
                </c:pt>
                <c:pt idx="41">
                  <c:v>-0.56599999999999995</c:v>
                </c:pt>
                <c:pt idx="42">
                  <c:v>-0.53900000000000003</c:v>
                </c:pt>
                <c:pt idx="43">
                  <c:v>-0.44900000000000001</c:v>
                </c:pt>
                <c:pt idx="44">
                  <c:v>-0.45</c:v>
                </c:pt>
                <c:pt idx="45">
                  <c:v>-0.66800000000000004</c:v>
                </c:pt>
                <c:pt idx="46">
                  <c:v>-0.86899999999999999</c:v>
                </c:pt>
                <c:pt idx="47">
                  <c:v>-1.1020000000000001</c:v>
                </c:pt>
                <c:pt idx="48">
                  <c:v>-1.2330000000000001</c:v>
                </c:pt>
                <c:pt idx="49">
                  <c:v>-1.2629999999999999</c:v>
                </c:pt>
                <c:pt idx="50">
                  <c:v>-0.98599999999999999</c:v>
                </c:pt>
                <c:pt idx="51">
                  <c:v>-0.76900000000000002</c:v>
                </c:pt>
                <c:pt idx="52">
                  <c:v>-0.65100000000000002</c:v>
                </c:pt>
                <c:pt idx="53">
                  <c:v>-0.621</c:v>
                </c:pt>
                <c:pt idx="54">
                  <c:v>-0.77800000000000002</c:v>
                </c:pt>
                <c:pt idx="55">
                  <c:v>-1.1859999999999999</c:v>
                </c:pt>
                <c:pt idx="56">
                  <c:v>-0.96799999999999997</c:v>
                </c:pt>
                <c:pt idx="57">
                  <c:v>-0.70499999999999996</c:v>
                </c:pt>
                <c:pt idx="58">
                  <c:v>-0.52100000000000002</c:v>
                </c:pt>
                <c:pt idx="59">
                  <c:v>-0.496</c:v>
                </c:pt>
                <c:pt idx="60">
                  <c:v>-0.55800000000000005</c:v>
                </c:pt>
                <c:pt idx="61">
                  <c:v>-0.63100000000000001</c:v>
                </c:pt>
                <c:pt idx="62">
                  <c:v>-0.83299999999999996</c:v>
                </c:pt>
                <c:pt idx="63">
                  <c:v>-0.85899999999999999</c:v>
                </c:pt>
                <c:pt idx="64">
                  <c:v>-0.67600000000000005</c:v>
                </c:pt>
                <c:pt idx="65">
                  <c:v>-0.56200000000000006</c:v>
                </c:pt>
                <c:pt idx="66">
                  <c:v>-0.51500000000000001</c:v>
                </c:pt>
                <c:pt idx="67">
                  <c:v>-0.52500000000000002</c:v>
                </c:pt>
                <c:pt idx="68">
                  <c:v>-0.75600000000000001</c:v>
                </c:pt>
                <c:pt idx="69">
                  <c:v>-1.054</c:v>
                </c:pt>
                <c:pt idx="70">
                  <c:v>-1.248</c:v>
                </c:pt>
                <c:pt idx="71">
                  <c:v>-1.3540000000000001</c:v>
                </c:pt>
                <c:pt idx="72">
                  <c:v>-1.1140000000000001</c:v>
                </c:pt>
                <c:pt idx="73">
                  <c:v>-0.94199999999999995</c:v>
                </c:pt>
                <c:pt idx="74">
                  <c:v>-0.8</c:v>
                </c:pt>
                <c:pt idx="75">
                  <c:v>-0.67900000000000005</c:v>
                </c:pt>
                <c:pt idx="76">
                  <c:v>-0.61299999999999999</c:v>
                </c:pt>
                <c:pt idx="77">
                  <c:v>-0.73299999999999998</c:v>
                </c:pt>
                <c:pt idx="78">
                  <c:v>-0.85099999999999998</c:v>
                </c:pt>
                <c:pt idx="79">
                  <c:v>-0.752</c:v>
                </c:pt>
                <c:pt idx="80">
                  <c:v>-0.64400000000000002</c:v>
                </c:pt>
                <c:pt idx="81">
                  <c:v>-0.55400000000000005</c:v>
                </c:pt>
                <c:pt idx="82">
                  <c:v>-0.435</c:v>
                </c:pt>
                <c:pt idx="83">
                  <c:v>-0.371</c:v>
                </c:pt>
                <c:pt idx="84">
                  <c:v>-0.38</c:v>
                </c:pt>
                <c:pt idx="85">
                  <c:v>-0.435</c:v>
                </c:pt>
                <c:pt idx="86">
                  <c:v>-0.48899999999999999</c:v>
                </c:pt>
                <c:pt idx="87">
                  <c:v>-0.48499999999999999</c:v>
                </c:pt>
                <c:pt idx="88">
                  <c:v>-0.43099999999999999</c:v>
                </c:pt>
                <c:pt idx="89">
                  <c:v>-0.43099999999999999</c:v>
                </c:pt>
                <c:pt idx="90">
                  <c:v>-0.39500000000000002</c:v>
                </c:pt>
                <c:pt idx="91">
                  <c:v>-0.35299999999999998</c:v>
                </c:pt>
                <c:pt idx="92">
                  <c:v>-0.33200000000000002</c:v>
                </c:pt>
                <c:pt idx="93">
                  <c:v>-0.32100000000000001</c:v>
                </c:pt>
                <c:pt idx="94">
                  <c:v>-0.29799999999999999</c:v>
                </c:pt>
                <c:pt idx="95">
                  <c:v>-0.27600000000000002</c:v>
                </c:pt>
                <c:pt idx="96">
                  <c:v>-0.27600000000000002</c:v>
                </c:pt>
                <c:pt idx="97">
                  <c:v>-0.24199999999999999</c:v>
                </c:pt>
                <c:pt idx="98">
                  <c:v>-0.223</c:v>
                </c:pt>
                <c:pt idx="99">
                  <c:v>-0.22700000000000001</c:v>
                </c:pt>
                <c:pt idx="100">
                  <c:v>-0.216</c:v>
                </c:pt>
                <c:pt idx="101">
                  <c:v>-0.20499999999999999</c:v>
                </c:pt>
                <c:pt idx="102">
                  <c:v>-0.23499999999999999</c:v>
                </c:pt>
                <c:pt idx="103">
                  <c:v>-0.23</c:v>
                </c:pt>
                <c:pt idx="104">
                  <c:v>-0.24099999999999999</c:v>
                </c:pt>
                <c:pt idx="105">
                  <c:v>-0.27700000000000002</c:v>
                </c:pt>
                <c:pt idx="106">
                  <c:v>-0.308</c:v>
                </c:pt>
                <c:pt idx="107">
                  <c:v>-0.35299999999999998</c:v>
                </c:pt>
                <c:pt idx="108">
                  <c:v>-0.28199999999999997</c:v>
                </c:pt>
                <c:pt idx="109">
                  <c:v>-0.19400000000000001</c:v>
                </c:pt>
                <c:pt idx="110">
                  <c:v>-0.23899999999999999</c:v>
                </c:pt>
                <c:pt idx="111">
                  <c:v>-0.27600000000000002</c:v>
                </c:pt>
                <c:pt idx="112">
                  <c:v>-0.217</c:v>
                </c:pt>
                <c:pt idx="113">
                  <c:v>-0.185</c:v>
                </c:pt>
                <c:pt idx="114">
                  <c:v>-0.17399999999999999</c:v>
                </c:pt>
                <c:pt idx="115">
                  <c:v>-0.183</c:v>
                </c:pt>
                <c:pt idx="116">
                  <c:v>-0.17699999999999999</c:v>
                </c:pt>
                <c:pt idx="117">
                  <c:v>-0.107</c:v>
                </c:pt>
                <c:pt idx="118">
                  <c:v>-9.2999999999999999E-2</c:v>
                </c:pt>
                <c:pt idx="119">
                  <c:v>-0.192</c:v>
                </c:pt>
                <c:pt idx="120">
                  <c:v>-0.22</c:v>
                </c:pt>
                <c:pt idx="121">
                  <c:v>-0.19400000000000001</c:v>
                </c:pt>
                <c:pt idx="122">
                  <c:v>-0.154</c:v>
                </c:pt>
                <c:pt idx="123">
                  <c:v>-0.11</c:v>
                </c:pt>
                <c:pt idx="124">
                  <c:v>-7.0000000000000007E-2</c:v>
                </c:pt>
                <c:pt idx="125">
                  <c:v>-0.11700000000000001</c:v>
                </c:pt>
                <c:pt idx="126">
                  <c:v>-0.157</c:v>
                </c:pt>
                <c:pt idx="127">
                  <c:v>-0.20599999999999999</c:v>
                </c:pt>
                <c:pt idx="128">
                  <c:v>-0.156</c:v>
                </c:pt>
                <c:pt idx="129">
                  <c:v>-9.9000000000000005E-2</c:v>
                </c:pt>
                <c:pt idx="130">
                  <c:v>-9.5000000000000001E-2</c:v>
                </c:pt>
                <c:pt idx="131">
                  <c:v>-0.15</c:v>
                </c:pt>
                <c:pt idx="132">
                  <c:v>-0.126</c:v>
                </c:pt>
                <c:pt idx="133">
                  <c:v>-7.4999999999999997E-2</c:v>
                </c:pt>
                <c:pt idx="134">
                  <c:v>-6.5000000000000002E-2</c:v>
                </c:pt>
                <c:pt idx="135">
                  <c:v>-6.3E-2</c:v>
                </c:pt>
                <c:pt idx="136">
                  <c:v>-5.2999999999999999E-2</c:v>
                </c:pt>
                <c:pt idx="137">
                  <c:v>-6.5000000000000002E-2</c:v>
                </c:pt>
                <c:pt idx="138">
                  <c:v>-4.1000000000000002E-2</c:v>
                </c:pt>
                <c:pt idx="139">
                  <c:v>-1.4999999999999999E-2</c:v>
                </c:pt>
                <c:pt idx="140">
                  <c:v>-1.4E-2</c:v>
                </c:pt>
                <c:pt idx="141">
                  <c:v>8.0000000000000002E-3</c:v>
                </c:pt>
                <c:pt idx="142">
                  <c:v>-8.9999999999999993E-3</c:v>
                </c:pt>
                <c:pt idx="143">
                  <c:v>-5.7000000000000002E-2</c:v>
                </c:pt>
                <c:pt idx="144">
                  <c:v>-7.1999999999999995E-2</c:v>
                </c:pt>
                <c:pt idx="145">
                  <c:v>-5.6000000000000001E-2</c:v>
                </c:pt>
                <c:pt idx="146">
                  <c:v>0.115</c:v>
                </c:pt>
                <c:pt idx="147">
                  <c:v>0.38500000000000001</c:v>
                </c:pt>
                <c:pt idx="148">
                  <c:v>0.97499999999999998</c:v>
                </c:pt>
                <c:pt idx="149">
                  <c:v>2.98</c:v>
                </c:pt>
                <c:pt idx="150">
                  <c:v>4.54</c:v>
                </c:pt>
                <c:pt idx="151">
                  <c:v>7.3</c:v>
                </c:pt>
                <c:pt idx="152">
                  <c:v>10.01</c:v>
                </c:pt>
                <c:pt idx="153">
                  <c:v>9.5500000000000007</c:v>
                </c:pt>
                <c:pt idx="154">
                  <c:v>8.6300000000000008</c:v>
                </c:pt>
                <c:pt idx="155">
                  <c:v>8.3000000000000007</c:v>
                </c:pt>
                <c:pt idx="156">
                  <c:v>8.25</c:v>
                </c:pt>
                <c:pt idx="157">
                  <c:v>8.52</c:v>
                </c:pt>
                <c:pt idx="158">
                  <c:v>8.91</c:v>
                </c:pt>
                <c:pt idx="159">
                  <c:v>8.7799999999999994</c:v>
                </c:pt>
                <c:pt idx="160">
                  <c:v>8.91</c:v>
                </c:pt>
                <c:pt idx="161">
                  <c:v>9.16</c:v>
                </c:pt>
                <c:pt idx="162">
                  <c:v>9.11</c:v>
                </c:pt>
                <c:pt idx="163">
                  <c:v>9.5299999999999994</c:v>
                </c:pt>
                <c:pt idx="164">
                  <c:v>9.56</c:v>
                </c:pt>
                <c:pt idx="165">
                  <c:v>8.91</c:v>
                </c:pt>
                <c:pt idx="166">
                  <c:v>8.1999999999999993</c:v>
                </c:pt>
                <c:pt idx="167">
                  <c:v>8.42</c:v>
                </c:pt>
                <c:pt idx="168">
                  <c:v>8.49</c:v>
                </c:pt>
                <c:pt idx="169">
                  <c:v>8.39</c:v>
                </c:pt>
                <c:pt idx="170">
                  <c:v>8.18</c:v>
                </c:pt>
                <c:pt idx="171">
                  <c:v>8.17</c:v>
                </c:pt>
                <c:pt idx="172">
                  <c:v>8.3699999999999992</c:v>
                </c:pt>
                <c:pt idx="173">
                  <c:v>8.56</c:v>
                </c:pt>
                <c:pt idx="174">
                  <c:v>8.84</c:v>
                </c:pt>
                <c:pt idx="175">
                  <c:v>9.34</c:v>
                </c:pt>
                <c:pt idx="176">
                  <c:v>9.9700000000000006</c:v>
                </c:pt>
                <c:pt idx="177">
                  <c:v>10.58</c:v>
                </c:pt>
                <c:pt idx="178">
                  <c:v>10.71</c:v>
                </c:pt>
                <c:pt idx="179">
                  <c:v>10.5</c:v>
                </c:pt>
                <c:pt idx="180">
                  <c:v>10.57</c:v>
                </c:pt>
                <c:pt idx="181">
                  <c:v>10.71</c:v>
                </c:pt>
                <c:pt idx="182">
                  <c:v>10.83</c:v>
                </c:pt>
                <c:pt idx="183">
                  <c:v>11.07</c:v>
                </c:pt>
                <c:pt idx="184">
                  <c:v>11.33</c:v>
                </c:pt>
                <c:pt idx="185">
                  <c:v>11.25</c:v>
                </c:pt>
                <c:pt idx="186">
                  <c:v>11.36</c:v>
                </c:pt>
                <c:pt idx="187">
                  <c:v>11.07</c:v>
                </c:pt>
                <c:pt idx="188">
                  <c:v>10.97</c:v>
                </c:pt>
                <c:pt idx="189">
                  <c:v>11.47</c:v>
                </c:pt>
                <c:pt idx="190">
                  <c:v>11.39</c:v>
                </c:pt>
                <c:pt idx="191">
                  <c:v>11.1</c:v>
                </c:pt>
                <c:pt idx="192">
                  <c:v>10.75</c:v>
                </c:pt>
                <c:pt idx="193">
                  <c:v>10.43</c:v>
                </c:pt>
                <c:pt idx="194">
                  <c:v>10.210000000000001</c:v>
                </c:pt>
                <c:pt idx="195">
                  <c:v>10.08</c:v>
                </c:pt>
                <c:pt idx="196">
                  <c:v>10.06</c:v>
                </c:pt>
                <c:pt idx="197">
                  <c:v>10.16</c:v>
                </c:pt>
                <c:pt idx="198">
                  <c:v>10.11</c:v>
                </c:pt>
                <c:pt idx="199">
                  <c:v>9.9600000000000009</c:v>
                </c:pt>
                <c:pt idx="200">
                  <c:v>9.9600000000000009</c:v>
                </c:pt>
                <c:pt idx="201">
                  <c:v>10.62</c:v>
                </c:pt>
                <c:pt idx="202">
                  <c:v>11.47</c:v>
                </c:pt>
                <c:pt idx="203">
                  <c:v>12.02</c:v>
                </c:pt>
                <c:pt idx="204">
                  <c:v>12.51</c:v>
                </c:pt>
                <c:pt idx="205">
                  <c:v>12.65</c:v>
                </c:pt>
                <c:pt idx="206">
                  <c:v>12.57</c:v>
                </c:pt>
                <c:pt idx="207">
                  <c:v>12.68</c:v>
                </c:pt>
                <c:pt idx="208">
                  <c:v>12.52</c:v>
                </c:pt>
                <c:pt idx="209">
                  <c:v>12.12</c:v>
                </c:pt>
                <c:pt idx="210">
                  <c:v>11.38</c:v>
                </c:pt>
                <c:pt idx="211">
                  <c:v>10.25</c:v>
                </c:pt>
                <c:pt idx="212">
                  <c:v>10.119999999999999</c:v>
                </c:pt>
                <c:pt idx="213">
                  <c:v>10.210000000000001</c:v>
                </c:pt>
                <c:pt idx="214">
                  <c:v>10.199999999999999</c:v>
                </c:pt>
                <c:pt idx="215">
                  <c:v>10.11</c:v>
                </c:pt>
                <c:pt idx="216">
                  <c:v>9.64</c:v>
                </c:pt>
                <c:pt idx="217">
                  <c:v>9.8000000000000007</c:v>
                </c:pt>
                <c:pt idx="218">
                  <c:v>10.29</c:v>
                </c:pt>
                <c:pt idx="219">
                  <c:v>10.61</c:v>
                </c:pt>
                <c:pt idx="220">
                  <c:v>10.68</c:v>
                </c:pt>
                <c:pt idx="221">
                  <c:v>10.38</c:v>
                </c:pt>
                <c:pt idx="222">
                  <c:v>9.85</c:v>
                </c:pt>
                <c:pt idx="223">
                  <c:v>9.42</c:v>
                </c:pt>
                <c:pt idx="224">
                  <c:v>9.6199999999999992</c:v>
                </c:pt>
                <c:pt idx="225">
                  <c:v>9.98</c:v>
                </c:pt>
                <c:pt idx="226">
                  <c:v>10.16</c:v>
                </c:pt>
                <c:pt idx="227">
                  <c:v>9.94</c:v>
                </c:pt>
                <c:pt idx="228">
                  <c:v>9.83</c:v>
                </c:pt>
                <c:pt idx="229">
                  <c:v>9.98</c:v>
                </c:pt>
                <c:pt idx="230">
                  <c:v>10.08</c:v>
                </c:pt>
                <c:pt idx="231">
                  <c:v>10.15</c:v>
                </c:pt>
                <c:pt idx="232">
                  <c:v>10.32</c:v>
                </c:pt>
                <c:pt idx="233">
                  <c:v>10.48</c:v>
                </c:pt>
                <c:pt idx="234">
                  <c:v>10.19</c:v>
                </c:pt>
                <c:pt idx="235">
                  <c:v>9.74</c:v>
                </c:pt>
                <c:pt idx="236">
                  <c:v>9.44</c:v>
                </c:pt>
                <c:pt idx="237">
                  <c:v>9.6300000000000008</c:v>
                </c:pt>
                <c:pt idx="238">
                  <c:v>9.9</c:v>
                </c:pt>
                <c:pt idx="239">
                  <c:v>10.23</c:v>
                </c:pt>
                <c:pt idx="240">
                  <c:v>10.45</c:v>
                </c:pt>
                <c:pt idx="241">
                  <c:v>9.7799999999999994</c:v>
                </c:pt>
                <c:pt idx="242">
                  <c:v>8.82</c:v>
                </c:pt>
                <c:pt idx="243">
                  <c:v>8.5500000000000007</c:v>
                </c:pt>
                <c:pt idx="244">
                  <c:v>8.92</c:v>
                </c:pt>
                <c:pt idx="245">
                  <c:v>9.4600000000000009</c:v>
                </c:pt>
                <c:pt idx="246">
                  <c:v>9.94</c:v>
                </c:pt>
                <c:pt idx="247">
                  <c:v>10.19</c:v>
                </c:pt>
                <c:pt idx="248">
                  <c:v>10.17</c:v>
                </c:pt>
                <c:pt idx="249">
                  <c:v>10.17</c:v>
                </c:pt>
                <c:pt idx="250">
                  <c:v>10.220000000000001</c:v>
                </c:pt>
                <c:pt idx="251">
                  <c:v>10.18</c:v>
                </c:pt>
                <c:pt idx="252">
                  <c:v>9.5299999999999994</c:v>
                </c:pt>
                <c:pt idx="253">
                  <c:v>9.52</c:v>
                </c:pt>
                <c:pt idx="254">
                  <c:v>9.61</c:v>
                </c:pt>
                <c:pt idx="255">
                  <c:v>9.39</c:v>
                </c:pt>
                <c:pt idx="256">
                  <c:v>8.15</c:v>
                </c:pt>
                <c:pt idx="257">
                  <c:v>7.32</c:v>
                </c:pt>
                <c:pt idx="258">
                  <c:v>6.9809999999999999</c:v>
                </c:pt>
                <c:pt idx="259">
                  <c:v>6.7430000000000003</c:v>
                </c:pt>
                <c:pt idx="260">
                  <c:v>7.14</c:v>
                </c:pt>
                <c:pt idx="261">
                  <c:v>7.22</c:v>
                </c:pt>
                <c:pt idx="262">
                  <c:v>7.04</c:v>
                </c:pt>
                <c:pt idx="263">
                  <c:v>6.3710000000000004</c:v>
                </c:pt>
                <c:pt idx="264">
                  <c:v>6.0789999999999997</c:v>
                </c:pt>
                <c:pt idx="265">
                  <c:v>6.0869999999999997</c:v>
                </c:pt>
                <c:pt idx="266">
                  <c:v>6.2329999999999997</c:v>
                </c:pt>
                <c:pt idx="267">
                  <c:v>6.6139999999999999</c:v>
                </c:pt>
                <c:pt idx="268">
                  <c:v>7.05</c:v>
                </c:pt>
                <c:pt idx="269">
                  <c:v>7.08</c:v>
                </c:pt>
                <c:pt idx="270">
                  <c:v>7.29</c:v>
                </c:pt>
                <c:pt idx="271">
                  <c:v>7.48</c:v>
                </c:pt>
                <c:pt idx="272">
                  <c:v>7.47</c:v>
                </c:pt>
                <c:pt idx="273">
                  <c:v>7.18</c:v>
                </c:pt>
                <c:pt idx="274">
                  <c:v>6.556</c:v>
                </c:pt>
                <c:pt idx="275">
                  <c:v>6.0620000000000003</c:v>
                </c:pt>
                <c:pt idx="276">
                  <c:v>5.7919999999999998</c:v>
                </c:pt>
                <c:pt idx="277">
                  <c:v>5.7110000000000003</c:v>
                </c:pt>
                <c:pt idx="278">
                  <c:v>5.7350000000000003</c:v>
                </c:pt>
                <c:pt idx="279">
                  <c:v>5.4960000000000004</c:v>
                </c:pt>
                <c:pt idx="280">
                  <c:v>5.1449999999999996</c:v>
                </c:pt>
                <c:pt idx="281">
                  <c:v>4.806</c:v>
                </c:pt>
                <c:pt idx="282">
                  <c:v>4.5529999999999999</c:v>
                </c:pt>
                <c:pt idx="283">
                  <c:v>4.55</c:v>
                </c:pt>
                <c:pt idx="284">
                  <c:v>4.7069999999999999</c:v>
                </c:pt>
                <c:pt idx="285">
                  <c:v>4.891</c:v>
                </c:pt>
                <c:pt idx="286">
                  <c:v>4.9800000000000004</c:v>
                </c:pt>
                <c:pt idx="287">
                  <c:v>5.0279999999999996</c:v>
                </c:pt>
                <c:pt idx="288">
                  <c:v>4.8</c:v>
                </c:pt>
                <c:pt idx="289">
                  <c:v>4.4539999999999997</c:v>
                </c:pt>
                <c:pt idx="290">
                  <c:v>4.0990000000000002</c:v>
                </c:pt>
                <c:pt idx="291">
                  <c:v>3.9609999999999999</c:v>
                </c:pt>
                <c:pt idx="292">
                  <c:v>3.8010000000000002</c:v>
                </c:pt>
                <c:pt idx="293">
                  <c:v>3.4950000000000001</c:v>
                </c:pt>
                <c:pt idx="294">
                  <c:v>3.1989999999999998</c:v>
                </c:pt>
                <c:pt idx="295">
                  <c:v>3.0619999999999998</c:v>
                </c:pt>
                <c:pt idx="296">
                  <c:v>2.98</c:v>
                </c:pt>
                <c:pt idx="297">
                  <c:v>2.7650000000000001</c:v>
                </c:pt>
                <c:pt idx="298">
                  <c:v>2.6880000000000002</c:v>
                </c:pt>
                <c:pt idx="299">
                  <c:v>2.9359999999999999</c:v>
                </c:pt>
                <c:pt idx="300">
                  <c:v>3.1680000000000001</c:v>
                </c:pt>
                <c:pt idx="301">
                  <c:v>2.923</c:v>
                </c:pt>
                <c:pt idx="302">
                  <c:v>2.319</c:v>
                </c:pt>
                <c:pt idx="303">
                  <c:v>1.8380000000000001</c:v>
                </c:pt>
                <c:pt idx="304">
                  <c:v>1.5129999999999999</c:v>
                </c:pt>
                <c:pt idx="305">
                  <c:v>1.357</c:v>
                </c:pt>
                <c:pt idx="306">
                  <c:v>1.254</c:v>
                </c:pt>
                <c:pt idx="307">
                  <c:v>1.1240000000000001</c:v>
                </c:pt>
                <c:pt idx="308">
                  <c:v>0.92700000000000005</c:v>
                </c:pt>
                <c:pt idx="309">
                  <c:v>0.82199999999999995</c:v>
                </c:pt>
                <c:pt idx="310">
                  <c:v>0.72499999999999998</c:v>
                </c:pt>
                <c:pt idx="311">
                  <c:v>0.66900000000000004</c:v>
                </c:pt>
                <c:pt idx="312">
                  <c:v>0.65400000000000003</c:v>
                </c:pt>
                <c:pt idx="313">
                  <c:v>0.61099999999999999</c:v>
                </c:pt>
                <c:pt idx="314">
                  <c:v>0.53700000000000003</c:v>
                </c:pt>
                <c:pt idx="315">
                  <c:v>0.52700000000000002</c:v>
                </c:pt>
                <c:pt idx="316">
                  <c:v>0.505</c:v>
                </c:pt>
                <c:pt idx="317">
                  <c:v>0.504</c:v>
                </c:pt>
                <c:pt idx="318">
                  <c:v>0.54900000000000004</c:v>
                </c:pt>
                <c:pt idx="319">
                  <c:v>0.47699999999999998</c:v>
                </c:pt>
                <c:pt idx="320">
                  <c:v>0.53300000000000003</c:v>
                </c:pt>
                <c:pt idx="321">
                  <c:v>0.54100000000000004</c:v>
                </c:pt>
                <c:pt idx="322">
                  <c:v>0.59799999999999998</c:v>
                </c:pt>
                <c:pt idx="323">
                  <c:v>0.51200000000000001</c:v>
                </c:pt>
                <c:pt idx="324">
                  <c:v>0.47599999999999998</c:v>
                </c:pt>
                <c:pt idx="325">
                  <c:v>0.46400000000000002</c:v>
                </c:pt>
                <c:pt idx="326">
                  <c:v>0.46100000000000002</c:v>
                </c:pt>
                <c:pt idx="327">
                  <c:v>0.437</c:v>
                </c:pt>
                <c:pt idx="328">
                  <c:v>0.44600000000000001</c:v>
                </c:pt>
                <c:pt idx="329">
                  <c:v>0.46200000000000002</c:v>
                </c:pt>
                <c:pt idx="330">
                  <c:v>0.23</c:v>
                </c:pt>
                <c:pt idx="331">
                  <c:v>4.4999999999999998E-2</c:v>
                </c:pt>
                <c:pt idx="332">
                  <c:v>0.182</c:v>
                </c:pt>
                <c:pt idx="333">
                  <c:v>0.22800000000000001</c:v>
                </c:pt>
                <c:pt idx="334">
                  <c:v>0.155</c:v>
                </c:pt>
                <c:pt idx="335">
                  <c:v>0.10199999999999999</c:v>
                </c:pt>
                <c:pt idx="336">
                  <c:v>8.8999999999999996E-2</c:v>
                </c:pt>
                <c:pt idx="337">
                  <c:v>6.3E-2</c:v>
                </c:pt>
                <c:pt idx="338">
                  <c:v>4.5999999999999999E-2</c:v>
                </c:pt>
                <c:pt idx="339">
                  <c:v>3.2000000000000001E-2</c:v>
                </c:pt>
                <c:pt idx="340">
                  <c:v>5.7000000000000002E-2</c:v>
                </c:pt>
                <c:pt idx="341">
                  <c:v>6.6000000000000003E-2</c:v>
                </c:pt>
                <c:pt idx="342">
                  <c:v>7.6999999999999999E-2</c:v>
                </c:pt>
                <c:pt idx="343">
                  <c:v>8.3000000000000004E-2</c:v>
                </c:pt>
                <c:pt idx="344">
                  <c:v>8.5000000000000006E-2</c:v>
                </c:pt>
                <c:pt idx="345">
                  <c:v>4.2999999999999997E-2</c:v>
                </c:pt>
                <c:pt idx="346">
                  <c:v>7.1999999999999995E-2</c:v>
                </c:pt>
                <c:pt idx="347">
                  <c:v>1.2999999999999999E-2</c:v>
                </c:pt>
                <c:pt idx="348">
                  <c:v>-1E-3</c:v>
                </c:pt>
                <c:pt idx="349">
                  <c:v>-7.0999999999999994E-2</c:v>
                </c:pt>
                <c:pt idx="350">
                  <c:v>-0.05</c:v>
                </c:pt>
                <c:pt idx="351">
                  <c:v>3.3000000000000002E-2</c:v>
                </c:pt>
                <c:pt idx="352">
                  <c:v>1.7999999999999999E-2</c:v>
                </c:pt>
                <c:pt idx="353">
                  <c:v>4.7E-2</c:v>
                </c:pt>
                <c:pt idx="354">
                  <c:v>2.7E-2</c:v>
                </c:pt>
                <c:pt idx="355">
                  <c:v>4.0000000000000001E-3</c:v>
                </c:pt>
                <c:pt idx="356">
                  <c:v>2E-3</c:v>
                </c:pt>
                <c:pt idx="357">
                  <c:v>1.2E-2</c:v>
                </c:pt>
                <c:pt idx="358">
                  <c:v>1.7999999999999999E-2</c:v>
                </c:pt>
                <c:pt idx="359">
                  <c:v>0.03</c:v>
                </c:pt>
                <c:pt idx="360">
                  <c:v>1.7000000000000001E-2</c:v>
                </c:pt>
                <c:pt idx="361">
                  <c:v>-4.8000000000000001E-2</c:v>
                </c:pt>
                <c:pt idx="362">
                  <c:v>0.05</c:v>
                </c:pt>
                <c:pt idx="363">
                  <c:v>-1.0999999999999999E-2</c:v>
                </c:pt>
                <c:pt idx="364">
                  <c:v>6.4000000000000001E-2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0.80600000000000005</c:v>
                </c:pt>
                <c:pt idx="1">
                  <c:v>0.80200000000000005</c:v>
                </c:pt>
                <c:pt idx="2">
                  <c:v>0.77400000000000002</c:v>
                </c:pt>
                <c:pt idx="3">
                  <c:v>0.77700000000000002</c:v>
                </c:pt>
                <c:pt idx="4">
                  <c:v>0.82299999999999995</c:v>
                </c:pt>
                <c:pt idx="5">
                  <c:v>0.84199999999999997</c:v>
                </c:pt>
                <c:pt idx="6">
                  <c:v>0.78400000000000003</c:v>
                </c:pt>
                <c:pt idx="7">
                  <c:v>0.79400000000000004</c:v>
                </c:pt>
                <c:pt idx="8">
                  <c:v>0.80100000000000005</c:v>
                </c:pt>
                <c:pt idx="9">
                  <c:v>0.80200000000000005</c:v>
                </c:pt>
                <c:pt idx="10">
                  <c:v>0.79900000000000004</c:v>
                </c:pt>
                <c:pt idx="11">
                  <c:v>0.78700000000000003</c:v>
                </c:pt>
                <c:pt idx="12">
                  <c:v>0.81299999999999994</c:v>
                </c:pt>
                <c:pt idx="13">
                  <c:v>0.78500000000000003</c:v>
                </c:pt>
                <c:pt idx="14">
                  <c:v>0.74</c:v>
                </c:pt>
                <c:pt idx="15">
                  <c:v>0.77</c:v>
                </c:pt>
                <c:pt idx="16">
                  <c:v>0.77500000000000002</c:v>
                </c:pt>
                <c:pt idx="17">
                  <c:v>0.70699999999999996</c:v>
                </c:pt>
                <c:pt idx="18">
                  <c:v>0.75700000000000001</c:v>
                </c:pt>
                <c:pt idx="19">
                  <c:v>0.746</c:v>
                </c:pt>
                <c:pt idx="20">
                  <c:v>0.73299999999999998</c:v>
                </c:pt>
                <c:pt idx="21">
                  <c:v>0.75900000000000001</c:v>
                </c:pt>
                <c:pt idx="22">
                  <c:v>0.77500000000000002</c:v>
                </c:pt>
                <c:pt idx="23">
                  <c:v>0.752</c:v>
                </c:pt>
                <c:pt idx="24">
                  <c:v>0.754</c:v>
                </c:pt>
                <c:pt idx="25">
                  <c:v>0.73399999999999999</c:v>
                </c:pt>
                <c:pt idx="26">
                  <c:v>0.72399999999999998</c:v>
                </c:pt>
                <c:pt idx="27">
                  <c:v>0.73099999999999998</c:v>
                </c:pt>
                <c:pt idx="28">
                  <c:v>0.73</c:v>
                </c:pt>
                <c:pt idx="29">
                  <c:v>0.75</c:v>
                </c:pt>
                <c:pt idx="30">
                  <c:v>0.755</c:v>
                </c:pt>
                <c:pt idx="31">
                  <c:v>0.75600000000000001</c:v>
                </c:pt>
                <c:pt idx="32">
                  <c:v>0.752</c:v>
                </c:pt>
                <c:pt idx="33">
                  <c:v>0.751</c:v>
                </c:pt>
                <c:pt idx="34">
                  <c:v>0.751</c:v>
                </c:pt>
                <c:pt idx="35">
                  <c:v>0.747</c:v>
                </c:pt>
                <c:pt idx="36">
                  <c:v>0.74299999999999999</c:v>
                </c:pt>
                <c:pt idx="37">
                  <c:v>0.73799999999999999</c:v>
                </c:pt>
                <c:pt idx="38">
                  <c:v>0.73599999999999999</c:v>
                </c:pt>
                <c:pt idx="39">
                  <c:v>0.73299999999999998</c:v>
                </c:pt>
                <c:pt idx="40">
                  <c:v>0.72699999999999998</c:v>
                </c:pt>
                <c:pt idx="41">
                  <c:v>0.71899999999999997</c:v>
                </c:pt>
                <c:pt idx="42">
                  <c:v>0.71199999999999997</c:v>
                </c:pt>
                <c:pt idx="43">
                  <c:v>0.70499999999999996</c:v>
                </c:pt>
                <c:pt idx="44">
                  <c:v>0.70099999999999996</c:v>
                </c:pt>
                <c:pt idx="45">
                  <c:v>0.69799999999999995</c:v>
                </c:pt>
                <c:pt idx="46">
                  <c:v>0.69099999999999995</c:v>
                </c:pt>
                <c:pt idx="47">
                  <c:v>0.68300000000000005</c:v>
                </c:pt>
                <c:pt idx="48">
                  <c:v>0.67400000000000004</c:v>
                </c:pt>
                <c:pt idx="49">
                  <c:v>0.66400000000000003</c:v>
                </c:pt>
                <c:pt idx="50">
                  <c:v>0.65100000000000002</c:v>
                </c:pt>
                <c:pt idx="51">
                  <c:v>0.63900000000000001</c:v>
                </c:pt>
                <c:pt idx="52">
                  <c:v>0.63300000000000001</c:v>
                </c:pt>
                <c:pt idx="53">
                  <c:v>0.622</c:v>
                </c:pt>
                <c:pt idx="54">
                  <c:v>0.622</c:v>
                </c:pt>
                <c:pt idx="55">
                  <c:v>0.61699999999999999</c:v>
                </c:pt>
                <c:pt idx="56">
                  <c:v>0.60499999999999998</c:v>
                </c:pt>
                <c:pt idx="57">
                  <c:v>0.60199999999999998</c:v>
                </c:pt>
                <c:pt idx="58">
                  <c:v>0.59199999999999997</c:v>
                </c:pt>
                <c:pt idx="59">
                  <c:v>0.58799999999999997</c:v>
                </c:pt>
                <c:pt idx="60">
                  <c:v>0.58599999999999997</c:v>
                </c:pt>
                <c:pt idx="61">
                  <c:v>0.58499999999999996</c:v>
                </c:pt>
                <c:pt idx="62">
                  <c:v>0.58099999999999996</c:v>
                </c:pt>
                <c:pt idx="63">
                  <c:v>0.57799999999999996</c:v>
                </c:pt>
                <c:pt idx="64">
                  <c:v>0.56799999999999995</c:v>
                </c:pt>
                <c:pt idx="65">
                  <c:v>0.56399999999999995</c:v>
                </c:pt>
                <c:pt idx="66">
                  <c:v>0.56100000000000005</c:v>
                </c:pt>
                <c:pt idx="67">
                  <c:v>0.55800000000000005</c:v>
                </c:pt>
                <c:pt idx="68">
                  <c:v>0.55600000000000005</c:v>
                </c:pt>
                <c:pt idx="69">
                  <c:v>0.55500000000000005</c:v>
                </c:pt>
                <c:pt idx="70">
                  <c:v>0.55100000000000005</c:v>
                </c:pt>
                <c:pt idx="71">
                  <c:v>0.54200000000000004</c:v>
                </c:pt>
                <c:pt idx="72">
                  <c:v>0.52700000000000002</c:v>
                </c:pt>
                <c:pt idx="73">
                  <c:v>0.51800000000000002</c:v>
                </c:pt>
                <c:pt idx="74">
                  <c:v>0.50800000000000001</c:v>
                </c:pt>
                <c:pt idx="75">
                  <c:v>0.5</c:v>
                </c:pt>
                <c:pt idx="76">
                  <c:v>0.49299999999999999</c:v>
                </c:pt>
                <c:pt idx="77">
                  <c:v>0.49299999999999999</c:v>
                </c:pt>
                <c:pt idx="78">
                  <c:v>0.48799999999999999</c:v>
                </c:pt>
                <c:pt idx="79">
                  <c:v>0.48199999999999998</c:v>
                </c:pt>
                <c:pt idx="80">
                  <c:v>0.47899999999999998</c:v>
                </c:pt>
                <c:pt idx="81">
                  <c:v>0.47399999999999998</c:v>
                </c:pt>
                <c:pt idx="82">
                  <c:v>0.47199999999999998</c:v>
                </c:pt>
                <c:pt idx="83">
                  <c:v>0.46899999999999997</c:v>
                </c:pt>
                <c:pt idx="84">
                  <c:v>0.45800000000000002</c:v>
                </c:pt>
                <c:pt idx="85">
                  <c:v>0.44500000000000001</c:v>
                </c:pt>
                <c:pt idx="86">
                  <c:v>0.437</c:v>
                </c:pt>
                <c:pt idx="87">
                  <c:v>0.432</c:v>
                </c:pt>
                <c:pt idx="88">
                  <c:v>0.42599999999999999</c:v>
                </c:pt>
                <c:pt idx="89">
                  <c:v>0.41899999999999998</c:v>
                </c:pt>
                <c:pt idx="90">
                  <c:v>0.41399999999999998</c:v>
                </c:pt>
                <c:pt idx="91">
                  <c:v>0.41199999999999998</c:v>
                </c:pt>
                <c:pt idx="92">
                  <c:v>0.41</c:v>
                </c:pt>
                <c:pt idx="93">
                  <c:v>0.40699999999999997</c:v>
                </c:pt>
                <c:pt idx="94">
                  <c:v>0.40600000000000003</c:v>
                </c:pt>
                <c:pt idx="95">
                  <c:v>0.39300000000000002</c:v>
                </c:pt>
                <c:pt idx="96">
                  <c:v>0.34699999999999998</c:v>
                </c:pt>
                <c:pt idx="97">
                  <c:v>0.34200000000000003</c:v>
                </c:pt>
                <c:pt idx="98">
                  <c:v>0.34300000000000003</c:v>
                </c:pt>
                <c:pt idx="99">
                  <c:v>0.32900000000000001</c:v>
                </c:pt>
                <c:pt idx="100">
                  <c:v>0.32800000000000001</c:v>
                </c:pt>
                <c:pt idx="101">
                  <c:v>0.32400000000000001</c:v>
                </c:pt>
                <c:pt idx="102">
                  <c:v>0.28999999999999998</c:v>
                </c:pt>
                <c:pt idx="103">
                  <c:v>0.29099999999999998</c:v>
                </c:pt>
                <c:pt idx="104">
                  <c:v>0.27900000000000003</c:v>
                </c:pt>
                <c:pt idx="105">
                  <c:v>0.247</c:v>
                </c:pt>
                <c:pt idx="106">
                  <c:v>0.249</c:v>
                </c:pt>
                <c:pt idx="107">
                  <c:v>0.25800000000000001</c:v>
                </c:pt>
                <c:pt idx="108">
                  <c:v>0.31</c:v>
                </c:pt>
                <c:pt idx="109">
                  <c:v>0.35599999999999998</c:v>
                </c:pt>
                <c:pt idx="110">
                  <c:v>0.28699999999999998</c:v>
                </c:pt>
                <c:pt idx="111">
                  <c:v>0.24099999999999999</c:v>
                </c:pt>
                <c:pt idx="112">
                  <c:v>0.29899999999999999</c:v>
                </c:pt>
                <c:pt idx="113">
                  <c:v>0.35</c:v>
                </c:pt>
                <c:pt idx="114">
                  <c:v>0.35199999999999998</c:v>
                </c:pt>
                <c:pt idx="115">
                  <c:v>0.34300000000000003</c:v>
                </c:pt>
                <c:pt idx="116">
                  <c:v>0.33600000000000002</c:v>
                </c:pt>
                <c:pt idx="117">
                  <c:v>0.39700000000000002</c:v>
                </c:pt>
                <c:pt idx="118">
                  <c:v>0.40600000000000003</c:v>
                </c:pt>
                <c:pt idx="119">
                  <c:v>0.29899999999999999</c:v>
                </c:pt>
                <c:pt idx="120">
                  <c:v>0.27</c:v>
                </c:pt>
                <c:pt idx="121">
                  <c:v>0.28499999999999998</c:v>
                </c:pt>
                <c:pt idx="122">
                  <c:v>0.318</c:v>
                </c:pt>
                <c:pt idx="123">
                  <c:v>0.35599999999999998</c:v>
                </c:pt>
                <c:pt idx="124">
                  <c:v>0.39500000000000002</c:v>
                </c:pt>
                <c:pt idx="125">
                  <c:v>0.35</c:v>
                </c:pt>
                <c:pt idx="126">
                  <c:v>0.30599999999999999</c:v>
                </c:pt>
                <c:pt idx="127">
                  <c:v>0.25600000000000001</c:v>
                </c:pt>
                <c:pt idx="128">
                  <c:v>0.29799999999999999</c:v>
                </c:pt>
                <c:pt idx="129">
                  <c:v>0.34399999999999997</c:v>
                </c:pt>
                <c:pt idx="130">
                  <c:v>0.34399999999999997</c:v>
                </c:pt>
                <c:pt idx="131">
                  <c:v>0.28899999999999998</c:v>
                </c:pt>
                <c:pt idx="132">
                  <c:v>0.314</c:v>
                </c:pt>
                <c:pt idx="133">
                  <c:v>0.35799999999999998</c:v>
                </c:pt>
                <c:pt idx="134">
                  <c:v>0.36699999999999999</c:v>
                </c:pt>
                <c:pt idx="135">
                  <c:v>0.374</c:v>
                </c:pt>
                <c:pt idx="136">
                  <c:v>0.40600000000000003</c:v>
                </c:pt>
                <c:pt idx="137">
                  <c:v>0.46200000000000002</c:v>
                </c:pt>
                <c:pt idx="138">
                  <c:v>0.627</c:v>
                </c:pt>
                <c:pt idx="139">
                  <c:v>0.86599999999999999</c:v>
                </c:pt>
                <c:pt idx="140">
                  <c:v>1.022</c:v>
                </c:pt>
                <c:pt idx="141">
                  <c:v>1.242</c:v>
                </c:pt>
                <c:pt idx="142">
                  <c:v>1.4670000000000001</c:v>
                </c:pt>
                <c:pt idx="143">
                  <c:v>1.7290000000000001</c:v>
                </c:pt>
                <c:pt idx="144">
                  <c:v>1.9910000000000001</c:v>
                </c:pt>
                <c:pt idx="145">
                  <c:v>2.2930000000000001</c:v>
                </c:pt>
                <c:pt idx="146">
                  <c:v>2.577</c:v>
                </c:pt>
                <c:pt idx="147">
                  <c:v>2.863</c:v>
                </c:pt>
                <c:pt idx="148">
                  <c:v>3.2610000000000001</c:v>
                </c:pt>
                <c:pt idx="149">
                  <c:v>3.839</c:v>
                </c:pt>
                <c:pt idx="150">
                  <c:v>4.5679999999999996</c:v>
                </c:pt>
                <c:pt idx="151">
                  <c:v>5.508</c:v>
                </c:pt>
                <c:pt idx="152">
                  <c:v>6.524</c:v>
                </c:pt>
                <c:pt idx="153">
                  <c:v>7.41</c:v>
                </c:pt>
                <c:pt idx="154">
                  <c:v>7.94</c:v>
                </c:pt>
                <c:pt idx="155">
                  <c:v>8</c:v>
                </c:pt>
                <c:pt idx="156">
                  <c:v>7.95</c:v>
                </c:pt>
                <c:pt idx="157">
                  <c:v>7.86</c:v>
                </c:pt>
                <c:pt idx="158">
                  <c:v>7.82</c:v>
                </c:pt>
                <c:pt idx="159">
                  <c:v>7.99</c:v>
                </c:pt>
                <c:pt idx="160">
                  <c:v>8.18</c:v>
                </c:pt>
                <c:pt idx="161">
                  <c:v>8.31</c:v>
                </c:pt>
                <c:pt idx="162">
                  <c:v>8.39</c:v>
                </c:pt>
                <c:pt idx="163">
                  <c:v>8.43</c:v>
                </c:pt>
                <c:pt idx="164">
                  <c:v>8.48</c:v>
                </c:pt>
                <c:pt idx="165">
                  <c:v>8.5299999999999994</c:v>
                </c:pt>
                <c:pt idx="166">
                  <c:v>8.23</c:v>
                </c:pt>
                <c:pt idx="167">
                  <c:v>8.06</c:v>
                </c:pt>
                <c:pt idx="168">
                  <c:v>8.11</c:v>
                </c:pt>
                <c:pt idx="169">
                  <c:v>8.25</c:v>
                </c:pt>
                <c:pt idx="170">
                  <c:v>8.26</c:v>
                </c:pt>
                <c:pt idx="171">
                  <c:v>8.2100000000000009</c:v>
                </c:pt>
                <c:pt idx="172">
                  <c:v>8.1300000000000008</c:v>
                </c:pt>
                <c:pt idx="173">
                  <c:v>8.1199999999999992</c:v>
                </c:pt>
                <c:pt idx="174">
                  <c:v>8.1300000000000008</c:v>
                </c:pt>
                <c:pt idx="175">
                  <c:v>8.15</c:v>
                </c:pt>
                <c:pt idx="176">
                  <c:v>8.23</c:v>
                </c:pt>
                <c:pt idx="177">
                  <c:v>8.41</c:v>
                </c:pt>
                <c:pt idx="178">
                  <c:v>8.5</c:v>
                </c:pt>
                <c:pt idx="179">
                  <c:v>8.66</c:v>
                </c:pt>
                <c:pt idx="180">
                  <c:v>8.73</c:v>
                </c:pt>
                <c:pt idx="181">
                  <c:v>8.77</c:v>
                </c:pt>
                <c:pt idx="182">
                  <c:v>8.86</c:v>
                </c:pt>
                <c:pt idx="183">
                  <c:v>8.93</c:v>
                </c:pt>
                <c:pt idx="184">
                  <c:v>9.07</c:v>
                </c:pt>
                <c:pt idx="185">
                  <c:v>9.1300000000000008</c:v>
                </c:pt>
                <c:pt idx="186">
                  <c:v>9.26</c:v>
                </c:pt>
                <c:pt idx="187">
                  <c:v>9.2899999999999991</c:v>
                </c:pt>
                <c:pt idx="188">
                  <c:v>9.31</c:v>
                </c:pt>
                <c:pt idx="189">
                  <c:v>9.3699999999999992</c:v>
                </c:pt>
                <c:pt idx="190">
                  <c:v>9.4</c:v>
                </c:pt>
                <c:pt idx="191">
                  <c:v>9.5399999999999991</c:v>
                </c:pt>
                <c:pt idx="192">
                  <c:v>9.5299999999999994</c:v>
                </c:pt>
                <c:pt idx="193">
                  <c:v>9.4600000000000009</c:v>
                </c:pt>
                <c:pt idx="194">
                  <c:v>9.4</c:v>
                </c:pt>
                <c:pt idx="195">
                  <c:v>9.2200000000000006</c:v>
                </c:pt>
                <c:pt idx="196">
                  <c:v>9.17</c:v>
                </c:pt>
                <c:pt idx="197">
                  <c:v>9.1199999999999992</c:v>
                </c:pt>
                <c:pt idx="198">
                  <c:v>9.09</c:v>
                </c:pt>
                <c:pt idx="199">
                  <c:v>9.15</c:v>
                </c:pt>
                <c:pt idx="200">
                  <c:v>9.02</c:v>
                </c:pt>
                <c:pt idx="201">
                  <c:v>9.01</c:v>
                </c:pt>
                <c:pt idx="202">
                  <c:v>9.09</c:v>
                </c:pt>
                <c:pt idx="203">
                  <c:v>9.2899999999999991</c:v>
                </c:pt>
                <c:pt idx="204">
                  <c:v>9.52</c:v>
                </c:pt>
                <c:pt idx="205">
                  <c:v>9.75</c:v>
                </c:pt>
                <c:pt idx="206">
                  <c:v>9.9499999999999993</c:v>
                </c:pt>
                <c:pt idx="207">
                  <c:v>10</c:v>
                </c:pt>
                <c:pt idx="208">
                  <c:v>10.130000000000001</c:v>
                </c:pt>
                <c:pt idx="209">
                  <c:v>10.16</c:v>
                </c:pt>
                <c:pt idx="210">
                  <c:v>10.23</c:v>
                </c:pt>
                <c:pt idx="211">
                  <c:v>10.06</c:v>
                </c:pt>
                <c:pt idx="212">
                  <c:v>9.89</c:v>
                </c:pt>
                <c:pt idx="213">
                  <c:v>9.66</c:v>
                </c:pt>
                <c:pt idx="214">
                  <c:v>9.56</c:v>
                </c:pt>
                <c:pt idx="215">
                  <c:v>9.41</c:v>
                </c:pt>
                <c:pt idx="216">
                  <c:v>9.39</c:v>
                </c:pt>
                <c:pt idx="217">
                  <c:v>9.26</c:v>
                </c:pt>
                <c:pt idx="218">
                  <c:v>9.18</c:v>
                </c:pt>
                <c:pt idx="219">
                  <c:v>9.23</c:v>
                </c:pt>
                <c:pt idx="220">
                  <c:v>9.2899999999999991</c:v>
                </c:pt>
                <c:pt idx="221">
                  <c:v>9.39</c:v>
                </c:pt>
                <c:pt idx="222">
                  <c:v>9.35</c:v>
                </c:pt>
                <c:pt idx="223">
                  <c:v>9.2799999999999994</c:v>
                </c:pt>
                <c:pt idx="224">
                  <c:v>9.1300000000000008</c:v>
                </c:pt>
                <c:pt idx="225">
                  <c:v>9.1</c:v>
                </c:pt>
                <c:pt idx="226">
                  <c:v>9.02</c:v>
                </c:pt>
                <c:pt idx="227">
                  <c:v>9.0399999999999991</c:v>
                </c:pt>
                <c:pt idx="228">
                  <c:v>9.02</c:v>
                </c:pt>
                <c:pt idx="229">
                  <c:v>9</c:v>
                </c:pt>
                <c:pt idx="230">
                  <c:v>8.9499999999999993</c:v>
                </c:pt>
                <c:pt idx="231">
                  <c:v>8.9700000000000006</c:v>
                </c:pt>
                <c:pt idx="232">
                  <c:v>8.99</c:v>
                </c:pt>
                <c:pt idx="233">
                  <c:v>9.09</c:v>
                </c:pt>
                <c:pt idx="234">
                  <c:v>9.0500000000000007</c:v>
                </c:pt>
                <c:pt idx="235">
                  <c:v>9.08</c:v>
                </c:pt>
                <c:pt idx="236">
                  <c:v>8.98</c:v>
                </c:pt>
                <c:pt idx="237">
                  <c:v>8.91</c:v>
                </c:pt>
                <c:pt idx="238">
                  <c:v>8.86</c:v>
                </c:pt>
                <c:pt idx="239">
                  <c:v>8.8800000000000008</c:v>
                </c:pt>
                <c:pt idx="240">
                  <c:v>8.9499999999999993</c:v>
                </c:pt>
                <c:pt idx="241">
                  <c:v>8.9499999999999993</c:v>
                </c:pt>
                <c:pt idx="242">
                  <c:v>8.8699999999999992</c:v>
                </c:pt>
                <c:pt idx="243">
                  <c:v>8.76</c:v>
                </c:pt>
                <c:pt idx="244">
                  <c:v>8.56</c:v>
                </c:pt>
                <c:pt idx="245">
                  <c:v>8.52</c:v>
                </c:pt>
                <c:pt idx="246">
                  <c:v>8.5</c:v>
                </c:pt>
                <c:pt idx="247">
                  <c:v>8.6</c:v>
                </c:pt>
                <c:pt idx="248">
                  <c:v>8.6999999999999993</c:v>
                </c:pt>
                <c:pt idx="249">
                  <c:v>8.7799999999999994</c:v>
                </c:pt>
                <c:pt idx="250">
                  <c:v>8.84</c:v>
                </c:pt>
                <c:pt idx="251">
                  <c:v>8.91</c:v>
                </c:pt>
                <c:pt idx="252">
                  <c:v>8.92</c:v>
                </c:pt>
                <c:pt idx="253">
                  <c:v>8.81</c:v>
                </c:pt>
                <c:pt idx="254">
                  <c:v>8.7799999999999994</c:v>
                </c:pt>
                <c:pt idx="255">
                  <c:v>8.75</c:v>
                </c:pt>
                <c:pt idx="256">
                  <c:v>8.6300000000000008</c:v>
                </c:pt>
                <c:pt idx="257">
                  <c:v>8.3800000000000008</c:v>
                </c:pt>
                <c:pt idx="258">
                  <c:v>8.1</c:v>
                </c:pt>
                <c:pt idx="259">
                  <c:v>7.86</c:v>
                </c:pt>
                <c:pt idx="260">
                  <c:v>7.62</c:v>
                </c:pt>
                <c:pt idx="261">
                  <c:v>7.41</c:v>
                </c:pt>
                <c:pt idx="262">
                  <c:v>7.34</c:v>
                </c:pt>
                <c:pt idx="263">
                  <c:v>7.21</c:v>
                </c:pt>
                <c:pt idx="264">
                  <c:v>6.8369999999999997</c:v>
                </c:pt>
                <c:pt idx="265">
                  <c:v>6.6449999999999996</c:v>
                </c:pt>
                <c:pt idx="266">
                  <c:v>6.5170000000000003</c:v>
                </c:pt>
                <c:pt idx="267">
                  <c:v>6.5190000000000001</c:v>
                </c:pt>
                <c:pt idx="268">
                  <c:v>6.59</c:v>
                </c:pt>
                <c:pt idx="269">
                  <c:v>6.6360000000000001</c:v>
                </c:pt>
                <c:pt idx="270">
                  <c:v>6.742</c:v>
                </c:pt>
                <c:pt idx="271">
                  <c:v>6.7869999999999999</c:v>
                </c:pt>
                <c:pt idx="272">
                  <c:v>6.8559999999999999</c:v>
                </c:pt>
                <c:pt idx="273">
                  <c:v>6.87</c:v>
                </c:pt>
                <c:pt idx="274">
                  <c:v>6.835</c:v>
                </c:pt>
                <c:pt idx="275">
                  <c:v>6.7759999999999998</c:v>
                </c:pt>
                <c:pt idx="276">
                  <c:v>6.5670000000000002</c:v>
                </c:pt>
                <c:pt idx="277">
                  <c:v>6.4509999999999996</c:v>
                </c:pt>
                <c:pt idx="278">
                  <c:v>6.3209999999999997</c:v>
                </c:pt>
                <c:pt idx="279">
                  <c:v>6.1390000000000002</c:v>
                </c:pt>
                <c:pt idx="280">
                  <c:v>6.0529999999999999</c:v>
                </c:pt>
                <c:pt idx="281">
                  <c:v>5.9370000000000003</c:v>
                </c:pt>
                <c:pt idx="282">
                  <c:v>5.7649999999999997</c:v>
                </c:pt>
                <c:pt idx="283">
                  <c:v>5.593</c:v>
                </c:pt>
                <c:pt idx="284">
                  <c:v>5.4489999999999998</c:v>
                </c:pt>
                <c:pt idx="285">
                  <c:v>5.36</c:v>
                </c:pt>
                <c:pt idx="286">
                  <c:v>5.391</c:v>
                </c:pt>
                <c:pt idx="287">
                  <c:v>5.3070000000000004</c:v>
                </c:pt>
                <c:pt idx="288">
                  <c:v>5.2709999999999999</c:v>
                </c:pt>
                <c:pt idx="289">
                  <c:v>5.157</c:v>
                </c:pt>
                <c:pt idx="290">
                  <c:v>5.0339999999999998</c:v>
                </c:pt>
                <c:pt idx="291">
                  <c:v>4.8570000000000002</c:v>
                </c:pt>
                <c:pt idx="292">
                  <c:v>4.5720000000000001</c:v>
                </c:pt>
                <c:pt idx="293">
                  <c:v>4.34</c:v>
                </c:pt>
                <c:pt idx="294">
                  <c:v>4.173</c:v>
                </c:pt>
                <c:pt idx="295">
                  <c:v>3.9670000000000001</c:v>
                </c:pt>
                <c:pt idx="296">
                  <c:v>3.766</c:v>
                </c:pt>
                <c:pt idx="297">
                  <c:v>3.5979999999999999</c:v>
                </c:pt>
                <c:pt idx="298">
                  <c:v>3.524</c:v>
                </c:pt>
                <c:pt idx="299">
                  <c:v>3.4060000000000001</c:v>
                </c:pt>
                <c:pt idx="300">
                  <c:v>3.2919999999999998</c:v>
                </c:pt>
                <c:pt idx="301">
                  <c:v>3.1789999999999998</c:v>
                </c:pt>
                <c:pt idx="302">
                  <c:v>3.09</c:v>
                </c:pt>
                <c:pt idx="303">
                  <c:v>2.9710000000000001</c:v>
                </c:pt>
                <c:pt idx="304">
                  <c:v>2.806</c:v>
                </c:pt>
                <c:pt idx="305">
                  <c:v>2.7130000000000001</c:v>
                </c:pt>
                <c:pt idx="306">
                  <c:v>2.6070000000000002</c:v>
                </c:pt>
                <c:pt idx="307">
                  <c:v>2.5049999999999999</c:v>
                </c:pt>
                <c:pt idx="308">
                  <c:v>2.2770000000000001</c:v>
                </c:pt>
                <c:pt idx="309">
                  <c:v>2.1059999999999999</c:v>
                </c:pt>
                <c:pt idx="310">
                  <c:v>1.885</c:v>
                </c:pt>
                <c:pt idx="311">
                  <c:v>1.6879999999999999</c:v>
                </c:pt>
                <c:pt idx="312">
                  <c:v>1.5840000000000001</c:v>
                </c:pt>
                <c:pt idx="313">
                  <c:v>1.492</c:v>
                </c:pt>
                <c:pt idx="314">
                  <c:v>1.393</c:v>
                </c:pt>
                <c:pt idx="315">
                  <c:v>1.353</c:v>
                </c:pt>
                <c:pt idx="316">
                  <c:v>1.319</c:v>
                </c:pt>
                <c:pt idx="317">
                  <c:v>1.3069999999999999</c:v>
                </c:pt>
                <c:pt idx="318">
                  <c:v>1.3460000000000001</c:v>
                </c:pt>
                <c:pt idx="319">
                  <c:v>1.2729999999999999</c:v>
                </c:pt>
                <c:pt idx="320">
                  <c:v>1.3149999999999999</c:v>
                </c:pt>
                <c:pt idx="321">
                  <c:v>1.3160000000000001</c:v>
                </c:pt>
                <c:pt idx="322">
                  <c:v>1.371</c:v>
                </c:pt>
                <c:pt idx="323">
                  <c:v>1.2829999999999999</c:v>
                </c:pt>
                <c:pt idx="324">
                  <c:v>1.2450000000000001</c:v>
                </c:pt>
                <c:pt idx="325">
                  <c:v>1.216</c:v>
                </c:pt>
                <c:pt idx="326">
                  <c:v>1.1990000000000001</c:v>
                </c:pt>
                <c:pt idx="327">
                  <c:v>1.169</c:v>
                </c:pt>
                <c:pt idx="328">
                  <c:v>1.1850000000000001</c:v>
                </c:pt>
                <c:pt idx="329">
                  <c:v>1.2310000000000001</c:v>
                </c:pt>
                <c:pt idx="330">
                  <c:v>1.04</c:v>
                </c:pt>
                <c:pt idx="331">
                  <c:v>0.90900000000000003</c:v>
                </c:pt>
                <c:pt idx="332">
                  <c:v>1.121</c:v>
                </c:pt>
                <c:pt idx="333">
                  <c:v>1.2450000000000001</c:v>
                </c:pt>
                <c:pt idx="334">
                  <c:v>1.214</c:v>
                </c:pt>
                <c:pt idx="335">
                  <c:v>1.1839999999999999</c:v>
                </c:pt>
                <c:pt idx="336">
                  <c:v>1.1990000000000001</c:v>
                </c:pt>
                <c:pt idx="337">
                  <c:v>1.1870000000000001</c:v>
                </c:pt>
                <c:pt idx="338">
                  <c:v>1.171</c:v>
                </c:pt>
                <c:pt idx="339">
                  <c:v>1.151</c:v>
                </c:pt>
                <c:pt idx="340">
                  <c:v>1.173</c:v>
                </c:pt>
                <c:pt idx="341">
                  <c:v>1.1739999999999999</c:v>
                </c:pt>
                <c:pt idx="342">
                  <c:v>1.1739999999999999</c:v>
                </c:pt>
                <c:pt idx="343">
                  <c:v>1.1679999999999999</c:v>
                </c:pt>
                <c:pt idx="344">
                  <c:v>1.159</c:v>
                </c:pt>
                <c:pt idx="345">
                  <c:v>1.1060000000000001</c:v>
                </c:pt>
                <c:pt idx="346">
                  <c:v>1.125</c:v>
                </c:pt>
                <c:pt idx="347">
                  <c:v>1.0609999999999999</c:v>
                </c:pt>
                <c:pt idx="348">
                  <c:v>1.0449999999999999</c:v>
                </c:pt>
                <c:pt idx="349">
                  <c:v>0.96</c:v>
                </c:pt>
                <c:pt idx="350">
                  <c:v>0.96899999999999997</c:v>
                </c:pt>
                <c:pt idx="351">
                  <c:v>1.0369999999999999</c:v>
                </c:pt>
                <c:pt idx="352">
                  <c:v>1.0129999999999999</c:v>
                </c:pt>
                <c:pt idx="353">
                  <c:v>1.03</c:v>
                </c:pt>
                <c:pt idx="354">
                  <c:v>1.004</c:v>
                </c:pt>
                <c:pt idx="355">
                  <c:v>0.97899999999999998</c:v>
                </c:pt>
                <c:pt idx="356">
                  <c:v>0.97499999999999998</c:v>
                </c:pt>
                <c:pt idx="357">
                  <c:v>0.98299999999999998</c:v>
                </c:pt>
                <c:pt idx="358">
                  <c:v>0.99199999999999999</c:v>
                </c:pt>
                <c:pt idx="359">
                  <c:v>1.004</c:v>
                </c:pt>
                <c:pt idx="360">
                  <c:v>0.99</c:v>
                </c:pt>
                <c:pt idx="361">
                  <c:v>0.92700000000000005</c:v>
                </c:pt>
                <c:pt idx="362">
                  <c:v>1.018</c:v>
                </c:pt>
                <c:pt idx="363">
                  <c:v>0.96499999999999997</c:v>
                </c:pt>
                <c:pt idx="364">
                  <c:v>1.0369999999999999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983232"/>
        <c:axId val="261985024"/>
      </c:lineChart>
      <c:catAx>
        <c:axId val="26198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98502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61985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983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88013318534966"/>
          <c:y val="0.4926590538336052"/>
          <c:w val="8.7680355160932297E-2"/>
          <c:h val="0.104404567699836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300776914539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91786903440621537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Data!$O$7:$O$372</c:f>
              <c:numCache>
                <c:formatCode>General</c:formatCode>
                <c:ptCount val="366"/>
                <c:pt idx="0">
                  <c:v>-0.22900000000000001</c:v>
                </c:pt>
                <c:pt idx="1">
                  <c:v>1.079</c:v>
                </c:pt>
                <c:pt idx="2">
                  <c:v>-1.052</c:v>
                </c:pt>
                <c:pt idx="3">
                  <c:v>0.34699999999999998</c:v>
                </c:pt>
                <c:pt idx="4">
                  <c:v>1.3340000000000001</c:v>
                </c:pt>
                <c:pt idx="5">
                  <c:v>1.87</c:v>
                </c:pt>
                <c:pt idx="6">
                  <c:v>-5.6000000000000001E-2</c:v>
                </c:pt>
                <c:pt idx="7">
                  <c:v>-1.036</c:v>
                </c:pt>
                <c:pt idx="8">
                  <c:v>-1.45</c:v>
                </c:pt>
                <c:pt idx="9">
                  <c:v>-7.1999999999999995E-2</c:v>
                </c:pt>
                <c:pt idx="10">
                  <c:v>-1.7310000000000001</c:v>
                </c:pt>
                <c:pt idx="11">
                  <c:v>-2.7810000000000001</c:v>
                </c:pt>
                <c:pt idx="12">
                  <c:v>0.41899999999999998</c:v>
                </c:pt>
                <c:pt idx="13">
                  <c:v>-1.371</c:v>
                </c:pt>
                <c:pt idx="14">
                  <c:v>-4.1369999999999996</c:v>
                </c:pt>
                <c:pt idx="15">
                  <c:v>-4.6159999999999997</c:v>
                </c:pt>
                <c:pt idx="16">
                  <c:v>1.1639999999999999</c:v>
                </c:pt>
                <c:pt idx="17">
                  <c:v>-3.173</c:v>
                </c:pt>
                <c:pt idx="18">
                  <c:v>-4.532</c:v>
                </c:pt>
                <c:pt idx="19">
                  <c:v>-4.9729999999999999</c:v>
                </c:pt>
                <c:pt idx="20">
                  <c:v>-3.5179999999999998</c:v>
                </c:pt>
                <c:pt idx="21">
                  <c:v>-1.665</c:v>
                </c:pt>
                <c:pt idx="22">
                  <c:v>2.2450000000000001</c:v>
                </c:pt>
                <c:pt idx="23">
                  <c:v>4.3680000000000003</c:v>
                </c:pt>
                <c:pt idx="24">
                  <c:v>4.1059999999999999</c:v>
                </c:pt>
                <c:pt idx="25">
                  <c:v>-0.84499999999999997</c:v>
                </c:pt>
                <c:pt idx="26">
                  <c:v>-1.5620000000000001</c:v>
                </c:pt>
                <c:pt idx="27">
                  <c:v>-2.7149999999999999</c:v>
                </c:pt>
                <c:pt idx="28">
                  <c:v>-3.7130000000000001</c:v>
                </c:pt>
                <c:pt idx="29">
                  <c:v>-1.044</c:v>
                </c:pt>
                <c:pt idx="30">
                  <c:v>-3.617</c:v>
                </c:pt>
                <c:pt idx="31">
                  <c:v>-0.72099999999999997</c:v>
                </c:pt>
                <c:pt idx="32">
                  <c:v>-0.69499999999999995</c:v>
                </c:pt>
                <c:pt idx="33">
                  <c:v>-0.27800000000000002</c:v>
                </c:pt>
                <c:pt idx="34">
                  <c:v>0.46400000000000002</c:v>
                </c:pt>
                <c:pt idx="35">
                  <c:v>-2.7029999999999998</c:v>
                </c:pt>
                <c:pt idx="36">
                  <c:v>-1.5680000000000001</c:v>
                </c:pt>
                <c:pt idx="37">
                  <c:v>-0.76</c:v>
                </c:pt>
                <c:pt idx="38">
                  <c:v>-0.37</c:v>
                </c:pt>
                <c:pt idx="39">
                  <c:v>-3.984</c:v>
                </c:pt>
                <c:pt idx="40">
                  <c:v>-0.46300000000000002</c:v>
                </c:pt>
                <c:pt idx="41">
                  <c:v>5.867</c:v>
                </c:pt>
                <c:pt idx="42">
                  <c:v>4.1260000000000003</c:v>
                </c:pt>
                <c:pt idx="43">
                  <c:v>-3.7280000000000002</c:v>
                </c:pt>
                <c:pt idx="44">
                  <c:v>-5.14</c:v>
                </c:pt>
                <c:pt idx="45">
                  <c:v>-7.69</c:v>
                </c:pt>
                <c:pt idx="46">
                  <c:v>-11.1</c:v>
                </c:pt>
                <c:pt idx="47">
                  <c:v>-7.82</c:v>
                </c:pt>
                <c:pt idx="48">
                  <c:v>-7.59</c:v>
                </c:pt>
                <c:pt idx="49">
                  <c:v>-8.44</c:v>
                </c:pt>
                <c:pt idx="50">
                  <c:v>-6.86</c:v>
                </c:pt>
                <c:pt idx="51">
                  <c:v>-4.2709999999999999</c:v>
                </c:pt>
                <c:pt idx="52">
                  <c:v>-4.5830000000000002</c:v>
                </c:pt>
                <c:pt idx="53">
                  <c:v>-5.81</c:v>
                </c:pt>
                <c:pt idx="54">
                  <c:v>-7.93</c:v>
                </c:pt>
                <c:pt idx="55">
                  <c:v>-5.8979999999999997</c:v>
                </c:pt>
                <c:pt idx="56">
                  <c:v>-0.54600000000000004</c:v>
                </c:pt>
                <c:pt idx="57">
                  <c:v>4.7140000000000004</c:v>
                </c:pt>
                <c:pt idx="58">
                  <c:v>0.53900000000000003</c:v>
                </c:pt>
                <c:pt idx="59">
                  <c:v>0.78700000000000003</c:v>
                </c:pt>
                <c:pt idx="60">
                  <c:v>3.677</c:v>
                </c:pt>
                <c:pt idx="61">
                  <c:v>1.391</c:v>
                </c:pt>
                <c:pt idx="62">
                  <c:v>2.2810000000000001</c:v>
                </c:pt>
                <c:pt idx="63">
                  <c:v>1.9470000000000001</c:v>
                </c:pt>
                <c:pt idx="64">
                  <c:v>3.4540000000000002</c:v>
                </c:pt>
                <c:pt idx="65">
                  <c:v>1.159</c:v>
                </c:pt>
                <c:pt idx="66">
                  <c:v>-3.1219999999999999</c:v>
                </c:pt>
                <c:pt idx="67">
                  <c:v>-4.5839999999999996</c:v>
                </c:pt>
                <c:pt idx="68">
                  <c:v>-2.452</c:v>
                </c:pt>
                <c:pt idx="69">
                  <c:v>-2.5169999999999999</c:v>
                </c:pt>
                <c:pt idx="70">
                  <c:v>-1.8939999999999999</c:v>
                </c:pt>
                <c:pt idx="71">
                  <c:v>-1.8560000000000001</c:v>
                </c:pt>
                <c:pt idx="72">
                  <c:v>0.02</c:v>
                </c:pt>
                <c:pt idx="73">
                  <c:v>0.95699999999999996</c:v>
                </c:pt>
                <c:pt idx="74">
                  <c:v>0.80800000000000005</c:v>
                </c:pt>
                <c:pt idx="75">
                  <c:v>0.88200000000000001</c:v>
                </c:pt>
                <c:pt idx="76">
                  <c:v>-0.59299999999999997</c:v>
                </c:pt>
                <c:pt idx="77">
                  <c:v>2.94</c:v>
                </c:pt>
                <c:pt idx="78">
                  <c:v>3.6669999999999998</c:v>
                </c:pt>
                <c:pt idx="79">
                  <c:v>2.1139999999999999</c:v>
                </c:pt>
                <c:pt idx="80">
                  <c:v>4.4870000000000001</c:v>
                </c:pt>
                <c:pt idx="81">
                  <c:v>8.7200000000000006</c:v>
                </c:pt>
                <c:pt idx="82">
                  <c:v>4.5309999999999997</c:v>
                </c:pt>
                <c:pt idx="83">
                  <c:v>3.6539999999999999</c:v>
                </c:pt>
                <c:pt idx="84">
                  <c:v>1.08</c:v>
                </c:pt>
                <c:pt idx="85">
                  <c:v>1.2310000000000001</c:v>
                </c:pt>
                <c:pt idx="86">
                  <c:v>1.7589999999999999</c:v>
                </c:pt>
                <c:pt idx="87">
                  <c:v>7.18</c:v>
                </c:pt>
                <c:pt idx="88">
                  <c:v>6.2089999999999996</c:v>
                </c:pt>
                <c:pt idx="89">
                  <c:v>5.44</c:v>
                </c:pt>
                <c:pt idx="90">
                  <c:v>6.1609999999999996</c:v>
                </c:pt>
                <c:pt idx="91">
                  <c:v>5.0449999999999999</c:v>
                </c:pt>
                <c:pt idx="92">
                  <c:v>6.0590000000000002</c:v>
                </c:pt>
                <c:pt idx="93">
                  <c:v>2.7719999999999998</c:v>
                </c:pt>
                <c:pt idx="94">
                  <c:v>10.130000000000001</c:v>
                </c:pt>
                <c:pt idx="95">
                  <c:v>9.23</c:v>
                </c:pt>
                <c:pt idx="96">
                  <c:v>8.89</c:v>
                </c:pt>
                <c:pt idx="97">
                  <c:v>7.28</c:v>
                </c:pt>
                <c:pt idx="98">
                  <c:v>7.66</c:v>
                </c:pt>
                <c:pt idx="99">
                  <c:v>5.21</c:v>
                </c:pt>
                <c:pt idx="100">
                  <c:v>4.9219999999999997</c:v>
                </c:pt>
                <c:pt idx="101">
                  <c:v>4.4539999999999997</c:v>
                </c:pt>
                <c:pt idx="102">
                  <c:v>1.528</c:v>
                </c:pt>
                <c:pt idx="103">
                  <c:v>4.2510000000000003</c:v>
                </c:pt>
                <c:pt idx="104">
                  <c:v>1.3520000000000001</c:v>
                </c:pt>
                <c:pt idx="105">
                  <c:v>0.64</c:v>
                </c:pt>
                <c:pt idx="106">
                  <c:v>2.9609999999999999</c:v>
                </c:pt>
                <c:pt idx="107">
                  <c:v>6.7039999999999997</c:v>
                </c:pt>
                <c:pt idx="108">
                  <c:v>10.17</c:v>
                </c:pt>
                <c:pt idx="109">
                  <c:v>11.87</c:v>
                </c:pt>
                <c:pt idx="110">
                  <c:v>8.65</c:v>
                </c:pt>
                <c:pt idx="111">
                  <c:v>3.2890000000000001</c:v>
                </c:pt>
                <c:pt idx="112">
                  <c:v>10.039999999999999</c:v>
                </c:pt>
                <c:pt idx="113">
                  <c:v>14.48</c:v>
                </c:pt>
                <c:pt idx="114">
                  <c:v>12.63</c:v>
                </c:pt>
                <c:pt idx="115">
                  <c:v>8.3800000000000008</c:v>
                </c:pt>
                <c:pt idx="116">
                  <c:v>10</c:v>
                </c:pt>
                <c:pt idx="117">
                  <c:v>15.24</c:v>
                </c:pt>
                <c:pt idx="118">
                  <c:v>13.48</c:v>
                </c:pt>
                <c:pt idx="119">
                  <c:v>7.72</c:v>
                </c:pt>
                <c:pt idx="120">
                  <c:v>0.61599999999999999</c:v>
                </c:pt>
                <c:pt idx="121">
                  <c:v>6.21</c:v>
                </c:pt>
                <c:pt idx="122">
                  <c:v>10.199999999999999</c:v>
                </c:pt>
                <c:pt idx="123">
                  <c:v>12.81</c:v>
                </c:pt>
                <c:pt idx="124">
                  <c:v>14.33</c:v>
                </c:pt>
                <c:pt idx="125">
                  <c:v>8.1300000000000008</c:v>
                </c:pt>
                <c:pt idx="126">
                  <c:v>6.9029999999999996</c:v>
                </c:pt>
                <c:pt idx="127">
                  <c:v>3.145</c:v>
                </c:pt>
                <c:pt idx="128">
                  <c:v>6.6950000000000003</c:v>
                </c:pt>
                <c:pt idx="129">
                  <c:v>9.8000000000000007</c:v>
                </c:pt>
                <c:pt idx="130">
                  <c:v>10.74</c:v>
                </c:pt>
                <c:pt idx="131">
                  <c:v>3.9830000000000001</c:v>
                </c:pt>
                <c:pt idx="132">
                  <c:v>9.67</c:v>
                </c:pt>
                <c:pt idx="133">
                  <c:v>16.14</c:v>
                </c:pt>
                <c:pt idx="134">
                  <c:v>22.42</c:v>
                </c:pt>
                <c:pt idx="135">
                  <c:v>24.54</c:v>
                </c:pt>
                <c:pt idx="136">
                  <c:v>24.49</c:v>
                </c:pt>
                <c:pt idx="137">
                  <c:v>22.31</c:v>
                </c:pt>
                <c:pt idx="138">
                  <c:v>21</c:v>
                </c:pt>
                <c:pt idx="139">
                  <c:v>9.24</c:v>
                </c:pt>
                <c:pt idx="140">
                  <c:v>14.41</c:v>
                </c:pt>
                <c:pt idx="141">
                  <c:v>15.91</c:v>
                </c:pt>
                <c:pt idx="142">
                  <c:v>12.08</c:v>
                </c:pt>
                <c:pt idx="143">
                  <c:v>8.19</c:v>
                </c:pt>
                <c:pt idx="144">
                  <c:v>6.9240000000000004</c:v>
                </c:pt>
                <c:pt idx="145">
                  <c:v>6.194</c:v>
                </c:pt>
                <c:pt idx="146">
                  <c:v>8.77</c:v>
                </c:pt>
                <c:pt idx="147">
                  <c:v>11.14</c:v>
                </c:pt>
                <c:pt idx="148">
                  <c:v>8.75</c:v>
                </c:pt>
                <c:pt idx="149">
                  <c:v>14.76</c:v>
                </c:pt>
                <c:pt idx="150">
                  <c:v>17.38</c:v>
                </c:pt>
                <c:pt idx="151">
                  <c:v>18.690000000000001</c:v>
                </c:pt>
                <c:pt idx="152">
                  <c:v>14.13</c:v>
                </c:pt>
                <c:pt idx="153">
                  <c:v>12.36</c:v>
                </c:pt>
                <c:pt idx="154">
                  <c:v>9.5299999999999994</c:v>
                </c:pt>
                <c:pt idx="155">
                  <c:v>13.43</c:v>
                </c:pt>
                <c:pt idx="156">
                  <c:v>16.190000000000001</c:v>
                </c:pt>
                <c:pt idx="157">
                  <c:v>20.71</c:v>
                </c:pt>
                <c:pt idx="158">
                  <c:v>11.97</c:v>
                </c:pt>
                <c:pt idx="159">
                  <c:v>14.3</c:v>
                </c:pt>
                <c:pt idx="160">
                  <c:v>17.14</c:v>
                </c:pt>
                <c:pt idx="161">
                  <c:v>11.97</c:v>
                </c:pt>
                <c:pt idx="162">
                  <c:v>18.32</c:v>
                </c:pt>
                <c:pt idx="163">
                  <c:v>18.309999999999999</c:v>
                </c:pt>
                <c:pt idx="164">
                  <c:v>9.2100000000000009</c:v>
                </c:pt>
                <c:pt idx="165">
                  <c:v>9.76</c:v>
                </c:pt>
                <c:pt idx="166">
                  <c:v>13.69</c:v>
                </c:pt>
                <c:pt idx="167">
                  <c:v>11.1</c:v>
                </c:pt>
                <c:pt idx="168">
                  <c:v>13.16</c:v>
                </c:pt>
                <c:pt idx="169">
                  <c:v>6.9340000000000002</c:v>
                </c:pt>
                <c:pt idx="170">
                  <c:v>11.35</c:v>
                </c:pt>
                <c:pt idx="171">
                  <c:v>15.08</c:v>
                </c:pt>
                <c:pt idx="172">
                  <c:v>16.16</c:v>
                </c:pt>
                <c:pt idx="173">
                  <c:v>17.18</c:v>
                </c:pt>
                <c:pt idx="174">
                  <c:v>20.94</c:v>
                </c:pt>
                <c:pt idx="175">
                  <c:v>24.78</c:v>
                </c:pt>
                <c:pt idx="176">
                  <c:v>26.42</c:v>
                </c:pt>
                <c:pt idx="177">
                  <c:v>26.52</c:v>
                </c:pt>
                <c:pt idx="178">
                  <c:v>22.13</c:v>
                </c:pt>
                <c:pt idx="179">
                  <c:v>20.350000000000001</c:v>
                </c:pt>
                <c:pt idx="180">
                  <c:v>22.2</c:v>
                </c:pt>
                <c:pt idx="181">
                  <c:v>23.53</c:v>
                </c:pt>
                <c:pt idx="182">
                  <c:v>25.35</c:v>
                </c:pt>
                <c:pt idx="183">
                  <c:v>26.7</c:v>
                </c:pt>
                <c:pt idx="184">
                  <c:v>24.89</c:v>
                </c:pt>
                <c:pt idx="185">
                  <c:v>25.23</c:v>
                </c:pt>
                <c:pt idx="186">
                  <c:v>19.059999999999999</c:v>
                </c:pt>
                <c:pt idx="187">
                  <c:v>16.7</c:v>
                </c:pt>
                <c:pt idx="188">
                  <c:v>22.86</c:v>
                </c:pt>
                <c:pt idx="189">
                  <c:v>20.58</c:v>
                </c:pt>
                <c:pt idx="190">
                  <c:v>18.559999999999999</c:v>
                </c:pt>
                <c:pt idx="191">
                  <c:v>16.100000000000001</c:v>
                </c:pt>
                <c:pt idx="192">
                  <c:v>14.29</c:v>
                </c:pt>
                <c:pt idx="193">
                  <c:v>14.36</c:v>
                </c:pt>
                <c:pt idx="194">
                  <c:v>16.940000000000001</c:v>
                </c:pt>
                <c:pt idx="195">
                  <c:v>17.93</c:v>
                </c:pt>
                <c:pt idx="196">
                  <c:v>19.48</c:v>
                </c:pt>
                <c:pt idx="197">
                  <c:v>19.420000000000002</c:v>
                </c:pt>
                <c:pt idx="198">
                  <c:v>16.600000000000001</c:v>
                </c:pt>
                <c:pt idx="199">
                  <c:v>18.46</c:v>
                </c:pt>
                <c:pt idx="200">
                  <c:v>22.83</c:v>
                </c:pt>
                <c:pt idx="201">
                  <c:v>28.69</c:v>
                </c:pt>
                <c:pt idx="202">
                  <c:v>29.27</c:v>
                </c:pt>
                <c:pt idx="203">
                  <c:v>29.08</c:v>
                </c:pt>
                <c:pt idx="204">
                  <c:v>24.71</c:v>
                </c:pt>
                <c:pt idx="205">
                  <c:v>24.28</c:v>
                </c:pt>
                <c:pt idx="206">
                  <c:v>25.61</c:v>
                </c:pt>
                <c:pt idx="207">
                  <c:v>24.33</c:v>
                </c:pt>
                <c:pt idx="208">
                  <c:v>21.5</c:v>
                </c:pt>
                <c:pt idx="209">
                  <c:v>18.14</c:v>
                </c:pt>
                <c:pt idx="210">
                  <c:v>9.77</c:v>
                </c:pt>
                <c:pt idx="211">
                  <c:v>13.64</c:v>
                </c:pt>
                <c:pt idx="212">
                  <c:v>16.170000000000002</c:v>
                </c:pt>
                <c:pt idx="213">
                  <c:v>15.56</c:v>
                </c:pt>
                <c:pt idx="214">
                  <c:v>18.059999999999999</c:v>
                </c:pt>
                <c:pt idx="215">
                  <c:v>12.76</c:v>
                </c:pt>
                <c:pt idx="216">
                  <c:v>18.989999999999998</c:v>
                </c:pt>
                <c:pt idx="217">
                  <c:v>22.64</c:v>
                </c:pt>
                <c:pt idx="218">
                  <c:v>24.68</c:v>
                </c:pt>
                <c:pt idx="219">
                  <c:v>22.65</c:v>
                </c:pt>
                <c:pt idx="220">
                  <c:v>17.7</c:v>
                </c:pt>
                <c:pt idx="221">
                  <c:v>16.34</c:v>
                </c:pt>
                <c:pt idx="222">
                  <c:v>13</c:v>
                </c:pt>
                <c:pt idx="223">
                  <c:v>15.96</c:v>
                </c:pt>
                <c:pt idx="224">
                  <c:v>19.420000000000002</c:v>
                </c:pt>
                <c:pt idx="225">
                  <c:v>21.76</c:v>
                </c:pt>
                <c:pt idx="226">
                  <c:v>17.170000000000002</c:v>
                </c:pt>
                <c:pt idx="227">
                  <c:v>18.670000000000002</c:v>
                </c:pt>
                <c:pt idx="228">
                  <c:v>21.12</c:v>
                </c:pt>
                <c:pt idx="229">
                  <c:v>22.04</c:v>
                </c:pt>
                <c:pt idx="230">
                  <c:v>21.86</c:v>
                </c:pt>
                <c:pt idx="231">
                  <c:v>23.09</c:v>
                </c:pt>
                <c:pt idx="232">
                  <c:v>26.24</c:v>
                </c:pt>
                <c:pt idx="233">
                  <c:v>19.12</c:v>
                </c:pt>
                <c:pt idx="234">
                  <c:v>15.29</c:v>
                </c:pt>
                <c:pt idx="235">
                  <c:v>15.31</c:v>
                </c:pt>
                <c:pt idx="236">
                  <c:v>18</c:v>
                </c:pt>
                <c:pt idx="237">
                  <c:v>21.61</c:v>
                </c:pt>
                <c:pt idx="238">
                  <c:v>23.35</c:v>
                </c:pt>
                <c:pt idx="239">
                  <c:v>24.9</c:v>
                </c:pt>
                <c:pt idx="240">
                  <c:v>16.649999999999999</c:v>
                </c:pt>
                <c:pt idx="241">
                  <c:v>8.5299999999999994</c:v>
                </c:pt>
                <c:pt idx="242">
                  <c:v>12.77</c:v>
                </c:pt>
                <c:pt idx="243">
                  <c:v>17.29</c:v>
                </c:pt>
                <c:pt idx="244">
                  <c:v>23.25</c:v>
                </c:pt>
                <c:pt idx="245">
                  <c:v>25.94</c:v>
                </c:pt>
                <c:pt idx="246">
                  <c:v>26.17</c:v>
                </c:pt>
                <c:pt idx="247">
                  <c:v>24.04</c:v>
                </c:pt>
                <c:pt idx="248">
                  <c:v>24.02</c:v>
                </c:pt>
                <c:pt idx="249">
                  <c:v>24.14</c:v>
                </c:pt>
                <c:pt idx="250">
                  <c:v>24.53</c:v>
                </c:pt>
                <c:pt idx="251">
                  <c:v>16.72</c:v>
                </c:pt>
                <c:pt idx="252">
                  <c:v>15.73</c:v>
                </c:pt>
                <c:pt idx="253">
                  <c:v>18.920000000000002</c:v>
                </c:pt>
                <c:pt idx="254">
                  <c:v>18.32</c:v>
                </c:pt>
                <c:pt idx="255">
                  <c:v>10.74</c:v>
                </c:pt>
                <c:pt idx="256">
                  <c:v>3.5150000000000001</c:v>
                </c:pt>
                <c:pt idx="257">
                  <c:v>6.7160000000000002</c:v>
                </c:pt>
                <c:pt idx="258">
                  <c:v>6.0579999999999998</c:v>
                </c:pt>
                <c:pt idx="259">
                  <c:v>10.76</c:v>
                </c:pt>
                <c:pt idx="260">
                  <c:v>8.11</c:v>
                </c:pt>
                <c:pt idx="261">
                  <c:v>10.42</c:v>
                </c:pt>
                <c:pt idx="262">
                  <c:v>4.6280000000000001</c:v>
                </c:pt>
                <c:pt idx="263">
                  <c:v>3.5</c:v>
                </c:pt>
                <c:pt idx="264">
                  <c:v>6.4859999999999998</c:v>
                </c:pt>
                <c:pt idx="265">
                  <c:v>8.83</c:v>
                </c:pt>
                <c:pt idx="266">
                  <c:v>17.02</c:v>
                </c:pt>
                <c:pt idx="267">
                  <c:v>17.32</c:v>
                </c:pt>
                <c:pt idx="268">
                  <c:v>13.84</c:v>
                </c:pt>
                <c:pt idx="269">
                  <c:v>17.3</c:v>
                </c:pt>
                <c:pt idx="270">
                  <c:v>17.2</c:v>
                </c:pt>
                <c:pt idx="271">
                  <c:v>19.14</c:v>
                </c:pt>
                <c:pt idx="272">
                  <c:v>14.61</c:v>
                </c:pt>
                <c:pt idx="273">
                  <c:v>8.23</c:v>
                </c:pt>
                <c:pt idx="274">
                  <c:v>9.42</c:v>
                </c:pt>
                <c:pt idx="275">
                  <c:v>8.06</c:v>
                </c:pt>
                <c:pt idx="276">
                  <c:v>12.88</c:v>
                </c:pt>
                <c:pt idx="277">
                  <c:v>13.39</c:v>
                </c:pt>
                <c:pt idx="278">
                  <c:v>8.1999999999999993</c:v>
                </c:pt>
                <c:pt idx="279">
                  <c:v>5.7640000000000002</c:v>
                </c:pt>
                <c:pt idx="280">
                  <c:v>8.0299999999999994</c:v>
                </c:pt>
                <c:pt idx="281">
                  <c:v>9.15</c:v>
                </c:pt>
                <c:pt idx="282">
                  <c:v>10.5</c:v>
                </c:pt>
                <c:pt idx="283">
                  <c:v>13.65</c:v>
                </c:pt>
                <c:pt idx="284">
                  <c:v>14.9</c:v>
                </c:pt>
                <c:pt idx="285">
                  <c:v>13.94</c:v>
                </c:pt>
                <c:pt idx="286">
                  <c:v>12.43</c:v>
                </c:pt>
                <c:pt idx="287">
                  <c:v>4.6239999999999997</c:v>
                </c:pt>
                <c:pt idx="288">
                  <c:v>3.899</c:v>
                </c:pt>
                <c:pt idx="289">
                  <c:v>-0.65800000000000003</c:v>
                </c:pt>
                <c:pt idx="290">
                  <c:v>3.169</c:v>
                </c:pt>
                <c:pt idx="291">
                  <c:v>4.9850000000000003</c:v>
                </c:pt>
                <c:pt idx="292">
                  <c:v>5.2320000000000002</c:v>
                </c:pt>
                <c:pt idx="293">
                  <c:v>6.5979999999999999</c:v>
                </c:pt>
                <c:pt idx="294">
                  <c:v>9.83</c:v>
                </c:pt>
                <c:pt idx="295">
                  <c:v>6.6950000000000003</c:v>
                </c:pt>
                <c:pt idx="296">
                  <c:v>3.2930000000000001</c:v>
                </c:pt>
                <c:pt idx="297">
                  <c:v>1.421</c:v>
                </c:pt>
                <c:pt idx="298">
                  <c:v>3.121</c:v>
                </c:pt>
                <c:pt idx="299">
                  <c:v>7.13</c:v>
                </c:pt>
                <c:pt idx="300">
                  <c:v>4.9889999999999999</c:v>
                </c:pt>
                <c:pt idx="301">
                  <c:v>1.393</c:v>
                </c:pt>
                <c:pt idx="302">
                  <c:v>-7.38</c:v>
                </c:pt>
                <c:pt idx="303">
                  <c:v>-7.32</c:v>
                </c:pt>
                <c:pt idx="304">
                  <c:v>-1.4850000000000001</c:v>
                </c:pt>
                <c:pt idx="305">
                  <c:v>-1.375</c:v>
                </c:pt>
                <c:pt idx="306">
                  <c:v>1.528</c:v>
                </c:pt>
                <c:pt idx="307">
                  <c:v>3.3260000000000001</c:v>
                </c:pt>
                <c:pt idx="308">
                  <c:v>4.33</c:v>
                </c:pt>
                <c:pt idx="309">
                  <c:v>8.76</c:v>
                </c:pt>
                <c:pt idx="310">
                  <c:v>6.7910000000000004</c:v>
                </c:pt>
                <c:pt idx="311">
                  <c:v>-0.51100000000000001</c:v>
                </c:pt>
                <c:pt idx="312">
                  <c:v>-2.6520000000000001</c:v>
                </c:pt>
                <c:pt idx="313">
                  <c:v>-3.052</c:v>
                </c:pt>
                <c:pt idx="314">
                  <c:v>-3.0329999999999999</c:v>
                </c:pt>
                <c:pt idx="315">
                  <c:v>-1.9159999999999999</c:v>
                </c:pt>
                <c:pt idx="316">
                  <c:v>-3.081</c:v>
                </c:pt>
                <c:pt idx="317">
                  <c:v>-3.415</c:v>
                </c:pt>
                <c:pt idx="318">
                  <c:v>1.59</c:v>
                </c:pt>
                <c:pt idx="319">
                  <c:v>0.95299999999999996</c:v>
                </c:pt>
                <c:pt idx="320">
                  <c:v>-1.3120000000000001</c:v>
                </c:pt>
                <c:pt idx="321">
                  <c:v>0.26200000000000001</c:v>
                </c:pt>
                <c:pt idx="322">
                  <c:v>3.7269999999999999</c:v>
                </c:pt>
                <c:pt idx="323">
                  <c:v>1.464</c:v>
                </c:pt>
                <c:pt idx="324">
                  <c:v>6.4000000000000001E-2</c:v>
                </c:pt>
                <c:pt idx="325">
                  <c:v>-1.5529999999999999</c:v>
                </c:pt>
                <c:pt idx="326">
                  <c:v>-3.9390000000000001</c:v>
                </c:pt>
                <c:pt idx="327">
                  <c:v>-5.6509999999999998</c:v>
                </c:pt>
                <c:pt idx="328">
                  <c:v>-9.24</c:v>
                </c:pt>
                <c:pt idx="329">
                  <c:v>-7.6</c:v>
                </c:pt>
                <c:pt idx="330">
                  <c:v>-16.8</c:v>
                </c:pt>
                <c:pt idx="331">
                  <c:v>-21.59</c:v>
                </c:pt>
                <c:pt idx="332">
                  <c:v>-14.02</c:v>
                </c:pt>
                <c:pt idx="333">
                  <c:v>-8.39</c:v>
                </c:pt>
                <c:pt idx="334">
                  <c:v>-8.39</c:v>
                </c:pt>
                <c:pt idx="335">
                  <c:v>-6.1719999999999997</c:v>
                </c:pt>
                <c:pt idx="336">
                  <c:v>-6.9109999999999996</c:v>
                </c:pt>
                <c:pt idx="337">
                  <c:v>-4.407</c:v>
                </c:pt>
                <c:pt idx="338">
                  <c:v>-0.73699999999999999</c:v>
                </c:pt>
                <c:pt idx="339">
                  <c:v>0.72699999999999998</c:v>
                </c:pt>
                <c:pt idx="340">
                  <c:v>-0.84599999999999997</c:v>
                </c:pt>
                <c:pt idx="341">
                  <c:v>-2.3E-2</c:v>
                </c:pt>
                <c:pt idx="342">
                  <c:v>2.8780000000000001</c:v>
                </c:pt>
                <c:pt idx="343">
                  <c:v>2.581</c:v>
                </c:pt>
                <c:pt idx="344">
                  <c:v>-0.28399999999999997</c:v>
                </c:pt>
                <c:pt idx="345">
                  <c:v>-0.98799999999999999</c:v>
                </c:pt>
                <c:pt idx="346">
                  <c:v>0.45800000000000002</c:v>
                </c:pt>
                <c:pt idx="347">
                  <c:v>-1.7929999999999999</c:v>
                </c:pt>
                <c:pt idx="348">
                  <c:v>-1.34</c:v>
                </c:pt>
                <c:pt idx="349">
                  <c:v>-9.0500000000000007</c:v>
                </c:pt>
                <c:pt idx="350">
                  <c:v>-7.32</c:v>
                </c:pt>
                <c:pt idx="351">
                  <c:v>-5.7729999999999997</c:v>
                </c:pt>
                <c:pt idx="352">
                  <c:v>-2.133</c:v>
                </c:pt>
                <c:pt idx="353">
                  <c:v>-0.755</c:v>
                </c:pt>
                <c:pt idx="354">
                  <c:v>-1.1439999999999999</c:v>
                </c:pt>
                <c:pt idx="355">
                  <c:v>-2.863</c:v>
                </c:pt>
                <c:pt idx="356">
                  <c:v>-5.0209999999999999</c:v>
                </c:pt>
                <c:pt idx="357">
                  <c:v>-3.956</c:v>
                </c:pt>
                <c:pt idx="358">
                  <c:v>-1.885</c:v>
                </c:pt>
                <c:pt idx="359">
                  <c:v>-2.9940000000000002</c:v>
                </c:pt>
                <c:pt idx="360">
                  <c:v>-5.2370000000000001</c:v>
                </c:pt>
                <c:pt idx="361">
                  <c:v>-7.48</c:v>
                </c:pt>
                <c:pt idx="362">
                  <c:v>-3.22</c:v>
                </c:pt>
                <c:pt idx="363">
                  <c:v>-2.9020000000000001</c:v>
                </c:pt>
                <c:pt idx="364">
                  <c:v>-3.7040000000000002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Data!$AA$8:$AA$372</c:f>
              <c:numCache>
                <c:formatCode>General</c:formatCode>
                <c:ptCount val="365"/>
                <c:pt idx="0">
                  <c:v>-3.8639999999999999</c:v>
                </c:pt>
                <c:pt idx="1">
                  <c:v>-5.4459999999999997</c:v>
                </c:pt>
                <c:pt idx="2">
                  <c:v>-5.8630000000000004</c:v>
                </c:pt>
                <c:pt idx="3">
                  <c:v>-2.931</c:v>
                </c:pt>
                <c:pt idx="4">
                  <c:v>-1.7809999999999999</c:v>
                </c:pt>
                <c:pt idx="5">
                  <c:v>-6.5279999999999996</c:v>
                </c:pt>
                <c:pt idx="6">
                  <c:v>-4.3440000000000003</c:v>
                </c:pt>
                <c:pt idx="7">
                  <c:v>-3.77</c:v>
                </c:pt>
                <c:pt idx="8">
                  <c:v>-4.2480000000000002</c:v>
                </c:pt>
                <c:pt idx="9">
                  <c:v>-3.9860000000000002</c:v>
                </c:pt>
                <c:pt idx="10">
                  <c:v>-4.2409999999999997</c:v>
                </c:pt>
                <c:pt idx="11">
                  <c:v>-3.6389999999999998</c:v>
                </c:pt>
                <c:pt idx="12">
                  <c:v>-4.5140000000000002</c:v>
                </c:pt>
                <c:pt idx="13">
                  <c:v>-14</c:v>
                </c:pt>
                <c:pt idx="14">
                  <c:v>-14.09</c:v>
                </c:pt>
                <c:pt idx="15">
                  <c:v>-4.9950000000000001</c:v>
                </c:pt>
                <c:pt idx="16">
                  <c:v>-15.72</c:v>
                </c:pt>
                <c:pt idx="17">
                  <c:v>-15.73</c:v>
                </c:pt>
                <c:pt idx="18">
                  <c:v>-7.11</c:v>
                </c:pt>
                <c:pt idx="19">
                  <c:v>-15.4</c:v>
                </c:pt>
                <c:pt idx="20">
                  <c:v>-8.74</c:v>
                </c:pt>
                <c:pt idx="21">
                  <c:v>-3.3359999999999999</c:v>
                </c:pt>
                <c:pt idx="22">
                  <c:v>-5.0880000000000001</c:v>
                </c:pt>
                <c:pt idx="23">
                  <c:v>-7.17</c:v>
                </c:pt>
                <c:pt idx="24">
                  <c:v>-5.3220000000000001</c:v>
                </c:pt>
                <c:pt idx="25">
                  <c:v>-8.4499999999999993</c:v>
                </c:pt>
                <c:pt idx="26">
                  <c:v>-5.931</c:v>
                </c:pt>
                <c:pt idx="27">
                  <c:v>-12.46</c:v>
                </c:pt>
                <c:pt idx="28">
                  <c:v>-7.39</c:v>
                </c:pt>
                <c:pt idx="29">
                  <c:v>-7.47</c:v>
                </c:pt>
                <c:pt idx="30">
                  <c:v>-5.3570000000000002</c:v>
                </c:pt>
                <c:pt idx="31">
                  <c:v>-7.99</c:v>
                </c:pt>
                <c:pt idx="32">
                  <c:v>-8.11</c:v>
                </c:pt>
                <c:pt idx="33">
                  <c:v>-3.7029999999999998</c:v>
                </c:pt>
                <c:pt idx="34">
                  <c:v>-11.78</c:v>
                </c:pt>
                <c:pt idx="35">
                  <c:v>-11.66</c:v>
                </c:pt>
                <c:pt idx="36">
                  <c:v>-10.89</c:v>
                </c:pt>
                <c:pt idx="37">
                  <c:v>-11.79</c:v>
                </c:pt>
                <c:pt idx="38">
                  <c:v>-20.58</c:v>
                </c:pt>
                <c:pt idx="39">
                  <c:v>-22.39</c:v>
                </c:pt>
                <c:pt idx="40">
                  <c:v>-17.34</c:v>
                </c:pt>
                <c:pt idx="41">
                  <c:v>-14.78</c:v>
                </c:pt>
                <c:pt idx="42">
                  <c:v>-10.82</c:v>
                </c:pt>
                <c:pt idx="43">
                  <c:v>-20.49</c:v>
                </c:pt>
                <c:pt idx="44">
                  <c:v>-24.4</c:v>
                </c:pt>
                <c:pt idx="45">
                  <c:v>-26.18</c:v>
                </c:pt>
                <c:pt idx="46">
                  <c:v>-29.73</c:v>
                </c:pt>
                <c:pt idx="47">
                  <c:v>-27.16</c:v>
                </c:pt>
                <c:pt idx="48">
                  <c:v>-25.62</c:v>
                </c:pt>
                <c:pt idx="49">
                  <c:v>-14.21</c:v>
                </c:pt>
                <c:pt idx="50">
                  <c:v>-7.84</c:v>
                </c:pt>
                <c:pt idx="51">
                  <c:v>-7.94</c:v>
                </c:pt>
                <c:pt idx="52">
                  <c:v>-11.51</c:v>
                </c:pt>
                <c:pt idx="53">
                  <c:v>-24.64</c:v>
                </c:pt>
                <c:pt idx="54">
                  <c:v>-26.1</c:v>
                </c:pt>
                <c:pt idx="55">
                  <c:v>-9.25</c:v>
                </c:pt>
                <c:pt idx="56">
                  <c:v>-1.3080000000000001</c:v>
                </c:pt>
                <c:pt idx="57">
                  <c:v>-7.53</c:v>
                </c:pt>
                <c:pt idx="58">
                  <c:v>-13.15</c:v>
                </c:pt>
                <c:pt idx="59">
                  <c:v>-11.87</c:v>
                </c:pt>
                <c:pt idx="60">
                  <c:v>-17.850000000000001</c:v>
                </c:pt>
                <c:pt idx="61">
                  <c:v>-18.63</c:v>
                </c:pt>
                <c:pt idx="62">
                  <c:v>-14.41</c:v>
                </c:pt>
                <c:pt idx="63">
                  <c:v>-3.9449999999999998</c:v>
                </c:pt>
                <c:pt idx="64">
                  <c:v>-5.84</c:v>
                </c:pt>
                <c:pt idx="65">
                  <c:v>-6.2530000000000001</c:v>
                </c:pt>
                <c:pt idx="66">
                  <c:v>-14.8</c:v>
                </c:pt>
                <c:pt idx="67">
                  <c:v>-22.08</c:v>
                </c:pt>
                <c:pt idx="68">
                  <c:v>-22.46</c:v>
                </c:pt>
                <c:pt idx="69">
                  <c:v>-23.75</c:v>
                </c:pt>
                <c:pt idx="70">
                  <c:v>-22.31</c:v>
                </c:pt>
                <c:pt idx="71">
                  <c:v>-10.45</c:v>
                </c:pt>
                <c:pt idx="72">
                  <c:v>-12.19</c:v>
                </c:pt>
                <c:pt idx="73">
                  <c:v>-6.7770000000000001</c:v>
                </c:pt>
                <c:pt idx="74">
                  <c:v>-5.7190000000000003</c:v>
                </c:pt>
                <c:pt idx="75">
                  <c:v>-14.69</c:v>
                </c:pt>
                <c:pt idx="76">
                  <c:v>-17.77</c:v>
                </c:pt>
                <c:pt idx="77">
                  <c:v>-15.85</c:v>
                </c:pt>
                <c:pt idx="78">
                  <c:v>-5.4260000000000002</c:v>
                </c:pt>
                <c:pt idx="79">
                  <c:v>-2.871</c:v>
                </c:pt>
                <c:pt idx="80">
                  <c:v>-2.6469999999999998</c:v>
                </c:pt>
                <c:pt idx="81">
                  <c:v>-8.66</c:v>
                </c:pt>
                <c:pt idx="82">
                  <c:v>-11.11</c:v>
                </c:pt>
                <c:pt idx="83">
                  <c:v>-14.14</c:v>
                </c:pt>
                <c:pt idx="84">
                  <c:v>-8.6300000000000008</c:v>
                </c:pt>
                <c:pt idx="85">
                  <c:v>-10.119999999999999</c:v>
                </c:pt>
                <c:pt idx="86">
                  <c:v>-7.67</c:v>
                </c:pt>
                <c:pt idx="87">
                  <c:v>-9.68</c:v>
                </c:pt>
                <c:pt idx="88">
                  <c:v>-3.1230000000000002</c:v>
                </c:pt>
                <c:pt idx="89">
                  <c:v>-7.28</c:v>
                </c:pt>
                <c:pt idx="90">
                  <c:v>-5.0019999999999998</c:v>
                </c:pt>
                <c:pt idx="91">
                  <c:v>-8.56</c:v>
                </c:pt>
                <c:pt idx="92">
                  <c:v>-1.06</c:v>
                </c:pt>
                <c:pt idx="93">
                  <c:v>-4.0229999999999997</c:v>
                </c:pt>
                <c:pt idx="94">
                  <c:v>-2.9670000000000001</c:v>
                </c:pt>
                <c:pt idx="95">
                  <c:v>-4.6619999999999999</c:v>
                </c:pt>
                <c:pt idx="96">
                  <c:v>-1.4E-2</c:v>
                </c:pt>
                <c:pt idx="97">
                  <c:v>-0.42899999999999999</c:v>
                </c:pt>
                <c:pt idx="98">
                  <c:v>-2.89</c:v>
                </c:pt>
                <c:pt idx="99">
                  <c:v>-2.7959999999999998</c:v>
                </c:pt>
                <c:pt idx="100">
                  <c:v>-3.113</c:v>
                </c:pt>
                <c:pt idx="101">
                  <c:v>-3.6459999999999999</c:v>
                </c:pt>
                <c:pt idx="102">
                  <c:v>-4.8259999999999996</c:v>
                </c:pt>
                <c:pt idx="103">
                  <c:v>-8.7200000000000006</c:v>
                </c:pt>
                <c:pt idx="104">
                  <c:v>-12.51</c:v>
                </c:pt>
                <c:pt idx="105">
                  <c:v>-14.64</c:v>
                </c:pt>
                <c:pt idx="106">
                  <c:v>-12.97</c:v>
                </c:pt>
                <c:pt idx="107">
                  <c:v>-3.2890000000000001</c:v>
                </c:pt>
                <c:pt idx="108">
                  <c:v>0.26400000000000001</c:v>
                </c:pt>
                <c:pt idx="109">
                  <c:v>-3.7770000000000001</c:v>
                </c:pt>
                <c:pt idx="110">
                  <c:v>-7.46</c:v>
                </c:pt>
                <c:pt idx="111">
                  <c:v>-9.83</c:v>
                </c:pt>
                <c:pt idx="112">
                  <c:v>-7.53</c:v>
                </c:pt>
                <c:pt idx="113">
                  <c:v>-6.1849999999999996</c:v>
                </c:pt>
                <c:pt idx="114">
                  <c:v>-3.7229999999999999</c:v>
                </c:pt>
                <c:pt idx="115">
                  <c:v>-3.0920000000000001</c:v>
                </c:pt>
                <c:pt idx="116">
                  <c:v>-2.661</c:v>
                </c:pt>
                <c:pt idx="117">
                  <c:v>-9.9000000000000005E-2</c:v>
                </c:pt>
                <c:pt idx="118">
                  <c:v>-4.21</c:v>
                </c:pt>
                <c:pt idx="119">
                  <c:v>-4.633</c:v>
                </c:pt>
                <c:pt idx="120">
                  <c:v>-5.72</c:v>
                </c:pt>
                <c:pt idx="121">
                  <c:v>-8.48</c:v>
                </c:pt>
                <c:pt idx="122">
                  <c:v>-6.3940000000000001</c:v>
                </c:pt>
                <c:pt idx="123">
                  <c:v>-2.9390000000000001</c:v>
                </c:pt>
                <c:pt idx="124">
                  <c:v>-1.079</c:v>
                </c:pt>
                <c:pt idx="125">
                  <c:v>-2.6840000000000002</c:v>
                </c:pt>
                <c:pt idx="126">
                  <c:v>-5.7850000000000001</c:v>
                </c:pt>
                <c:pt idx="127">
                  <c:v>-8.89</c:v>
                </c:pt>
                <c:pt idx="128">
                  <c:v>-6.9109999999999996</c:v>
                </c:pt>
                <c:pt idx="129">
                  <c:v>-2.004</c:v>
                </c:pt>
                <c:pt idx="130">
                  <c:v>-3.2240000000000002</c:v>
                </c:pt>
                <c:pt idx="131">
                  <c:v>-6.11</c:v>
                </c:pt>
                <c:pt idx="132">
                  <c:v>-4.2930000000000001</c:v>
                </c:pt>
                <c:pt idx="133">
                  <c:v>-1.278</c:v>
                </c:pt>
                <c:pt idx="134">
                  <c:v>2.1259999999999999</c:v>
                </c:pt>
                <c:pt idx="135">
                  <c:v>1.4970000000000001</c:v>
                </c:pt>
                <c:pt idx="136">
                  <c:v>2.4249999999999998</c:v>
                </c:pt>
                <c:pt idx="137">
                  <c:v>0.59699999999999998</c:v>
                </c:pt>
                <c:pt idx="138">
                  <c:v>4.0389999999999997</c:v>
                </c:pt>
                <c:pt idx="139">
                  <c:v>-0.18</c:v>
                </c:pt>
                <c:pt idx="140">
                  <c:v>1.9870000000000001</c:v>
                </c:pt>
                <c:pt idx="141">
                  <c:v>0.97599999999999998</c:v>
                </c:pt>
                <c:pt idx="142">
                  <c:v>-0.104</c:v>
                </c:pt>
                <c:pt idx="143">
                  <c:v>-0.57999999999999996</c:v>
                </c:pt>
                <c:pt idx="144">
                  <c:v>6.0999999999999999E-2</c:v>
                </c:pt>
                <c:pt idx="145">
                  <c:v>-0.47799999999999998</c:v>
                </c:pt>
                <c:pt idx="146">
                  <c:v>-1.1870000000000001</c:v>
                </c:pt>
                <c:pt idx="147">
                  <c:v>-0.75600000000000001</c:v>
                </c:pt>
                <c:pt idx="148">
                  <c:v>-0.97699999999999998</c:v>
                </c:pt>
                <c:pt idx="149">
                  <c:v>1.615</c:v>
                </c:pt>
                <c:pt idx="150">
                  <c:v>6.8769999999999998</c:v>
                </c:pt>
                <c:pt idx="151">
                  <c:v>5.7359999999999998</c:v>
                </c:pt>
                <c:pt idx="152">
                  <c:v>0.3</c:v>
                </c:pt>
                <c:pt idx="153">
                  <c:v>0.88400000000000001</c:v>
                </c:pt>
                <c:pt idx="154">
                  <c:v>4.0000000000000001E-3</c:v>
                </c:pt>
                <c:pt idx="155">
                  <c:v>-1.5109999999999999</c:v>
                </c:pt>
                <c:pt idx="156">
                  <c:v>2.125</c:v>
                </c:pt>
                <c:pt idx="157">
                  <c:v>3.6539999999999999</c:v>
                </c:pt>
                <c:pt idx="158">
                  <c:v>2.145</c:v>
                </c:pt>
                <c:pt idx="159">
                  <c:v>3.4000000000000002E-2</c:v>
                </c:pt>
                <c:pt idx="160">
                  <c:v>4.4210000000000003</c:v>
                </c:pt>
                <c:pt idx="161">
                  <c:v>4.085</c:v>
                </c:pt>
                <c:pt idx="162">
                  <c:v>6.032</c:v>
                </c:pt>
                <c:pt idx="163">
                  <c:v>6.99</c:v>
                </c:pt>
                <c:pt idx="164">
                  <c:v>3.5510000000000002</c:v>
                </c:pt>
                <c:pt idx="165">
                  <c:v>0.47899999999999998</c:v>
                </c:pt>
                <c:pt idx="166">
                  <c:v>3.2120000000000002</c:v>
                </c:pt>
                <c:pt idx="167">
                  <c:v>0.29299999999999998</c:v>
                </c:pt>
                <c:pt idx="168">
                  <c:v>-0.217</c:v>
                </c:pt>
                <c:pt idx="169">
                  <c:v>0.23599999999999999</c:v>
                </c:pt>
                <c:pt idx="170">
                  <c:v>-1.3160000000000001</c:v>
                </c:pt>
                <c:pt idx="171">
                  <c:v>0.64500000000000002</c:v>
                </c:pt>
                <c:pt idx="172">
                  <c:v>-0.29599999999999999</c:v>
                </c:pt>
                <c:pt idx="173">
                  <c:v>0.5</c:v>
                </c:pt>
                <c:pt idx="174">
                  <c:v>3.0369999999999999</c:v>
                </c:pt>
                <c:pt idx="175">
                  <c:v>4.9820000000000002</c:v>
                </c:pt>
                <c:pt idx="176">
                  <c:v>6.9589999999999996</c:v>
                </c:pt>
                <c:pt idx="177">
                  <c:v>4.9279999999999999</c:v>
                </c:pt>
                <c:pt idx="178">
                  <c:v>1.8240000000000001</c:v>
                </c:pt>
                <c:pt idx="179">
                  <c:v>6.4320000000000004</c:v>
                </c:pt>
                <c:pt idx="180">
                  <c:v>3.7069999999999999</c:v>
                </c:pt>
                <c:pt idx="181">
                  <c:v>4.181</c:v>
                </c:pt>
                <c:pt idx="182">
                  <c:v>6.593</c:v>
                </c:pt>
                <c:pt idx="183">
                  <c:v>6.0579999999999998</c:v>
                </c:pt>
                <c:pt idx="184">
                  <c:v>6.4710000000000001</c:v>
                </c:pt>
                <c:pt idx="185">
                  <c:v>4.8499999999999996</c:v>
                </c:pt>
                <c:pt idx="186">
                  <c:v>3.8439999999999999</c:v>
                </c:pt>
                <c:pt idx="187">
                  <c:v>3.0739999999999998</c:v>
                </c:pt>
                <c:pt idx="188">
                  <c:v>10.3</c:v>
                </c:pt>
                <c:pt idx="189">
                  <c:v>4.9640000000000004</c:v>
                </c:pt>
                <c:pt idx="190">
                  <c:v>2.4239999999999999</c:v>
                </c:pt>
                <c:pt idx="191">
                  <c:v>6.5279999999999996</c:v>
                </c:pt>
                <c:pt idx="192">
                  <c:v>5.3819999999999997</c:v>
                </c:pt>
                <c:pt idx="193">
                  <c:v>5.9720000000000004</c:v>
                </c:pt>
                <c:pt idx="194">
                  <c:v>2.37</c:v>
                </c:pt>
                <c:pt idx="195">
                  <c:v>0.65900000000000003</c:v>
                </c:pt>
                <c:pt idx="196">
                  <c:v>1.222</c:v>
                </c:pt>
                <c:pt idx="197">
                  <c:v>0.872</c:v>
                </c:pt>
                <c:pt idx="198">
                  <c:v>-0.315</c:v>
                </c:pt>
                <c:pt idx="199">
                  <c:v>2.0550000000000002</c:v>
                </c:pt>
                <c:pt idx="200">
                  <c:v>5.6159999999999997</c:v>
                </c:pt>
                <c:pt idx="201">
                  <c:v>8.9600000000000009</c:v>
                </c:pt>
                <c:pt idx="202">
                  <c:v>8.4</c:v>
                </c:pt>
                <c:pt idx="203">
                  <c:v>8.36</c:v>
                </c:pt>
                <c:pt idx="204">
                  <c:v>8.1</c:v>
                </c:pt>
                <c:pt idx="205">
                  <c:v>6.7460000000000004</c:v>
                </c:pt>
                <c:pt idx="206">
                  <c:v>7.81</c:v>
                </c:pt>
                <c:pt idx="207">
                  <c:v>5.27</c:v>
                </c:pt>
                <c:pt idx="208">
                  <c:v>2.1949999999999998</c:v>
                </c:pt>
                <c:pt idx="209">
                  <c:v>0.33600000000000002</c:v>
                </c:pt>
                <c:pt idx="210">
                  <c:v>0.5</c:v>
                </c:pt>
                <c:pt idx="211">
                  <c:v>0.60399999999999998</c:v>
                </c:pt>
                <c:pt idx="212">
                  <c:v>1.8049999999999999</c:v>
                </c:pt>
                <c:pt idx="213">
                  <c:v>0.18</c:v>
                </c:pt>
                <c:pt idx="214">
                  <c:v>-1.0620000000000001</c:v>
                </c:pt>
                <c:pt idx="215">
                  <c:v>-2.9209999999999998</c:v>
                </c:pt>
                <c:pt idx="216">
                  <c:v>0.94799999999999995</c:v>
                </c:pt>
                <c:pt idx="217">
                  <c:v>2.927</c:v>
                </c:pt>
                <c:pt idx="218">
                  <c:v>3.3279999999999998</c:v>
                </c:pt>
                <c:pt idx="219">
                  <c:v>4.83</c:v>
                </c:pt>
                <c:pt idx="220">
                  <c:v>5.4660000000000002</c:v>
                </c:pt>
                <c:pt idx="221">
                  <c:v>0.82599999999999996</c:v>
                </c:pt>
                <c:pt idx="222">
                  <c:v>-0.34</c:v>
                </c:pt>
                <c:pt idx="223">
                  <c:v>3.4159999999999999</c:v>
                </c:pt>
                <c:pt idx="224">
                  <c:v>1.6679999999999999</c:v>
                </c:pt>
                <c:pt idx="225">
                  <c:v>1.1679999999999999</c:v>
                </c:pt>
                <c:pt idx="226">
                  <c:v>0.67900000000000005</c:v>
                </c:pt>
                <c:pt idx="227">
                  <c:v>-0.497</c:v>
                </c:pt>
                <c:pt idx="228">
                  <c:v>2.0310000000000001</c:v>
                </c:pt>
                <c:pt idx="229">
                  <c:v>0.91100000000000003</c:v>
                </c:pt>
                <c:pt idx="230">
                  <c:v>1.244</c:v>
                </c:pt>
                <c:pt idx="231">
                  <c:v>2.8740000000000001</c:v>
                </c:pt>
                <c:pt idx="232">
                  <c:v>5.1520000000000001</c:v>
                </c:pt>
                <c:pt idx="233">
                  <c:v>2.0190000000000001</c:v>
                </c:pt>
                <c:pt idx="234">
                  <c:v>-0.17399999999999999</c:v>
                </c:pt>
                <c:pt idx="235">
                  <c:v>-0.97899999999999998</c:v>
                </c:pt>
                <c:pt idx="236">
                  <c:v>1.1339999999999999</c:v>
                </c:pt>
                <c:pt idx="237">
                  <c:v>1.9850000000000001</c:v>
                </c:pt>
                <c:pt idx="238">
                  <c:v>2.831</c:v>
                </c:pt>
                <c:pt idx="239">
                  <c:v>4.3209999999999997</c:v>
                </c:pt>
                <c:pt idx="240">
                  <c:v>-0.61899999999999999</c:v>
                </c:pt>
                <c:pt idx="241">
                  <c:v>-2.23</c:v>
                </c:pt>
                <c:pt idx="242">
                  <c:v>-2.4460000000000002</c:v>
                </c:pt>
                <c:pt idx="243">
                  <c:v>1.9850000000000001</c:v>
                </c:pt>
                <c:pt idx="244">
                  <c:v>1.845</c:v>
                </c:pt>
                <c:pt idx="245">
                  <c:v>4.8319999999999999</c:v>
                </c:pt>
                <c:pt idx="246">
                  <c:v>3.8359999999999999</c:v>
                </c:pt>
                <c:pt idx="247">
                  <c:v>2.9870000000000001</c:v>
                </c:pt>
                <c:pt idx="248">
                  <c:v>2.7240000000000002</c:v>
                </c:pt>
                <c:pt idx="249">
                  <c:v>4.3220000000000001</c:v>
                </c:pt>
                <c:pt idx="250">
                  <c:v>4.431</c:v>
                </c:pt>
                <c:pt idx="251">
                  <c:v>4.3940000000000001</c:v>
                </c:pt>
                <c:pt idx="252">
                  <c:v>1.0569999999999999</c:v>
                </c:pt>
                <c:pt idx="253">
                  <c:v>2.2240000000000002</c:v>
                </c:pt>
                <c:pt idx="254">
                  <c:v>2.0640000000000001</c:v>
                </c:pt>
                <c:pt idx="255">
                  <c:v>-0.11799999999999999</c:v>
                </c:pt>
                <c:pt idx="256">
                  <c:v>-1.617</c:v>
                </c:pt>
                <c:pt idx="257">
                  <c:v>-2.641</c:v>
                </c:pt>
                <c:pt idx="258">
                  <c:v>-4.5359999999999996</c:v>
                </c:pt>
                <c:pt idx="259">
                  <c:v>3.23</c:v>
                </c:pt>
                <c:pt idx="260">
                  <c:v>-1.498</c:v>
                </c:pt>
                <c:pt idx="261">
                  <c:v>-1.498</c:v>
                </c:pt>
                <c:pt idx="262">
                  <c:v>0.747</c:v>
                </c:pt>
                <c:pt idx="263">
                  <c:v>0.159</c:v>
                </c:pt>
                <c:pt idx="264">
                  <c:v>-0.71099999999999997</c:v>
                </c:pt>
                <c:pt idx="265">
                  <c:v>-1.905</c:v>
                </c:pt>
                <c:pt idx="266">
                  <c:v>-1.071</c:v>
                </c:pt>
                <c:pt idx="267">
                  <c:v>0.91700000000000004</c:v>
                </c:pt>
                <c:pt idx="268">
                  <c:v>-0.86699999999999999</c:v>
                </c:pt>
                <c:pt idx="269">
                  <c:v>1.2070000000000001</c:v>
                </c:pt>
                <c:pt idx="270">
                  <c:v>1.2909999999999999</c:v>
                </c:pt>
                <c:pt idx="271">
                  <c:v>-1.0129999999999999</c:v>
                </c:pt>
                <c:pt idx="272">
                  <c:v>-4.18</c:v>
                </c:pt>
                <c:pt idx="273">
                  <c:v>-4.5359999999999996</c:v>
                </c:pt>
                <c:pt idx="274">
                  <c:v>-5.0049999999999999</c:v>
                </c:pt>
                <c:pt idx="275">
                  <c:v>-4.2750000000000004</c:v>
                </c:pt>
                <c:pt idx="276">
                  <c:v>-3.1440000000000001</c:v>
                </c:pt>
                <c:pt idx="277">
                  <c:v>-1.974</c:v>
                </c:pt>
                <c:pt idx="278">
                  <c:v>-6.1139999999999999</c:v>
                </c:pt>
                <c:pt idx="279">
                  <c:v>-6.593</c:v>
                </c:pt>
                <c:pt idx="280">
                  <c:v>-8.36</c:v>
                </c:pt>
                <c:pt idx="281">
                  <c:v>-5.3929999999999998</c:v>
                </c:pt>
                <c:pt idx="282">
                  <c:v>-4.968</c:v>
                </c:pt>
                <c:pt idx="283">
                  <c:v>-3.4990000000000001</c:v>
                </c:pt>
                <c:pt idx="284">
                  <c:v>-2.3250000000000002</c:v>
                </c:pt>
                <c:pt idx="285">
                  <c:v>-3.274</c:v>
                </c:pt>
                <c:pt idx="286">
                  <c:v>-1.0389999999999999</c:v>
                </c:pt>
                <c:pt idx="287">
                  <c:v>-2.5110000000000001</c:v>
                </c:pt>
                <c:pt idx="288">
                  <c:v>-3.0430000000000001</c:v>
                </c:pt>
                <c:pt idx="289">
                  <c:v>-2.7250000000000001</c:v>
                </c:pt>
                <c:pt idx="290">
                  <c:v>-0.69699999999999995</c:v>
                </c:pt>
                <c:pt idx="291">
                  <c:v>-4.7629999999999999</c:v>
                </c:pt>
                <c:pt idx="292">
                  <c:v>-6.7460000000000004</c:v>
                </c:pt>
                <c:pt idx="293">
                  <c:v>-6.3179999999999996</c:v>
                </c:pt>
                <c:pt idx="294">
                  <c:v>-4.5380000000000003</c:v>
                </c:pt>
                <c:pt idx="295">
                  <c:v>-2.706</c:v>
                </c:pt>
                <c:pt idx="296">
                  <c:v>-6.6980000000000004</c:v>
                </c:pt>
                <c:pt idx="297">
                  <c:v>-0.30099999999999999</c:v>
                </c:pt>
                <c:pt idx="298">
                  <c:v>2.4239999999999999</c:v>
                </c:pt>
                <c:pt idx="299">
                  <c:v>1.448</c:v>
                </c:pt>
                <c:pt idx="300">
                  <c:v>-11.17</c:v>
                </c:pt>
                <c:pt idx="301">
                  <c:v>-18.079999999999998</c:v>
                </c:pt>
                <c:pt idx="302">
                  <c:v>-17.7</c:v>
                </c:pt>
                <c:pt idx="303">
                  <c:v>-18.93</c:v>
                </c:pt>
                <c:pt idx="304">
                  <c:v>-10.210000000000001</c:v>
                </c:pt>
                <c:pt idx="305">
                  <c:v>-4.0919999999999996</c:v>
                </c:pt>
                <c:pt idx="306">
                  <c:v>-0.13900000000000001</c:v>
                </c:pt>
                <c:pt idx="307">
                  <c:v>-3.0000000000000001E-3</c:v>
                </c:pt>
                <c:pt idx="308">
                  <c:v>0.13700000000000001</c:v>
                </c:pt>
                <c:pt idx="309">
                  <c:v>-0.47399999999999998</c:v>
                </c:pt>
                <c:pt idx="310">
                  <c:v>-6.5</c:v>
                </c:pt>
                <c:pt idx="311">
                  <c:v>-9.99</c:v>
                </c:pt>
                <c:pt idx="312">
                  <c:v>-4.8949999999999996</c:v>
                </c:pt>
                <c:pt idx="313">
                  <c:v>-4.5659999999999998</c:v>
                </c:pt>
                <c:pt idx="314">
                  <c:v>-4.4450000000000003</c:v>
                </c:pt>
                <c:pt idx="315">
                  <c:v>-5.9669999999999996</c:v>
                </c:pt>
                <c:pt idx="316">
                  <c:v>-12.4</c:v>
                </c:pt>
                <c:pt idx="317">
                  <c:v>-4.8310000000000004</c:v>
                </c:pt>
                <c:pt idx="318">
                  <c:v>-6.899</c:v>
                </c:pt>
                <c:pt idx="319">
                  <c:v>-6.7460000000000004</c:v>
                </c:pt>
                <c:pt idx="320">
                  <c:v>-4.8209999999999997</c:v>
                </c:pt>
                <c:pt idx="321">
                  <c:v>-4.1280000000000001</c:v>
                </c:pt>
                <c:pt idx="322">
                  <c:v>-8.23</c:v>
                </c:pt>
                <c:pt idx="323">
                  <c:v>-3.423</c:v>
                </c:pt>
                <c:pt idx="324">
                  <c:v>-5.1609999999999996</c:v>
                </c:pt>
                <c:pt idx="325">
                  <c:v>-6.7889999999999997</c:v>
                </c:pt>
                <c:pt idx="326">
                  <c:v>-16.149999999999999</c:v>
                </c:pt>
                <c:pt idx="327">
                  <c:v>-18.48</c:v>
                </c:pt>
                <c:pt idx="328">
                  <c:v>-16.77</c:v>
                </c:pt>
                <c:pt idx="329">
                  <c:v>-25.18</c:v>
                </c:pt>
                <c:pt idx="330">
                  <c:v>-32.950000000000003</c:v>
                </c:pt>
                <c:pt idx="331">
                  <c:v>-35.32</c:v>
                </c:pt>
                <c:pt idx="332">
                  <c:v>-17.98</c:v>
                </c:pt>
                <c:pt idx="333">
                  <c:v>-13.69</c:v>
                </c:pt>
                <c:pt idx="334">
                  <c:v>-20.100000000000001</c:v>
                </c:pt>
                <c:pt idx="335">
                  <c:v>-9.9499999999999993</c:v>
                </c:pt>
                <c:pt idx="336">
                  <c:v>-8.27</c:v>
                </c:pt>
                <c:pt idx="337">
                  <c:v>-7.88</c:v>
                </c:pt>
                <c:pt idx="338">
                  <c:v>-7.35</c:v>
                </c:pt>
                <c:pt idx="339">
                  <c:v>-7.81</c:v>
                </c:pt>
                <c:pt idx="340">
                  <c:v>-2.8679999999999999</c:v>
                </c:pt>
                <c:pt idx="341">
                  <c:v>-3.4049999999999998</c:v>
                </c:pt>
                <c:pt idx="342">
                  <c:v>-3.4350000000000001</c:v>
                </c:pt>
                <c:pt idx="343">
                  <c:v>-1.7609999999999999</c:v>
                </c:pt>
                <c:pt idx="344">
                  <c:v>-6.3310000000000004</c:v>
                </c:pt>
                <c:pt idx="345">
                  <c:v>-5</c:v>
                </c:pt>
                <c:pt idx="346">
                  <c:v>-11.17</c:v>
                </c:pt>
                <c:pt idx="347">
                  <c:v>-16.690000000000001</c:v>
                </c:pt>
                <c:pt idx="348">
                  <c:v>-23.47</c:v>
                </c:pt>
                <c:pt idx="349">
                  <c:v>-17.2</c:v>
                </c:pt>
                <c:pt idx="350">
                  <c:v>-13.83</c:v>
                </c:pt>
                <c:pt idx="351">
                  <c:v>-7.77</c:v>
                </c:pt>
                <c:pt idx="352">
                  <c:v>-5.5620000000000003</c:v>
                </c:pt>
                <c:pt idx="353">
                  <c:v>-6.2450000000000001</c:v>
                </c:pt>
                <c:pt idx="354">
                  <c:v>-7.92</c:v>
                </c:pt>
                <c:pt idx="355">
                  <c:v>-14.17</c:v>
                </c:pt>
                <c:pt idx="356">
                  <c:v>-20.079999999999998</c:v>
                </c:pt>
                <c:pt idx="357">
                  <c:v>-9.01</c:v>
                </c:pt>
                <c:pt idx="358">
                  <c:v>-8.42</c:v>
                </c:pt>
                <c:pt idx="359">
                  <c:v>-11.79</c:v>
                </c:pt>
                <c:pt idx="360">
                  <c:v>-20.02</c:v>
                </c:pt>
                <c:pt idx="361">
                  <c:v>-15.93</c:v>
                </c:pt>
                <c:pt idx="362">
                  <c:v>-15.69</c:v>
                </c:pt>
                <c:pt idx="363">
                  <c:v>-14.07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248704"/>
        <c:axId val="262254976"/>
      </c:lineChart>
      <c:catAx>
        <c:axId val="26224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2364039955605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25497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2254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20880913539967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248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708102108768035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0.39700000000000002</c:v>
                </c:pt>
                <c:pt idx="1">
                  <c:v>3.0659999999999998</c:v>
                </c:pt>
                <c:pt idx="2">
                  <c:v>0.09</c:v>
                </c:pt>
                <c:pt idx="3">
                  <c:v>1.591</c:v>
                </c:pt>
                <c:pt idx="4">
                  <c:v>1.0169999999999999</c:v>
                </c:pt>
                <c:pt idx="5">
                  <c:v>2.1440000000000001</c:v>
                </c:pt>
                <c:pt idx="6">
                  <c:v>-0.49</c:v>
                </c:pt>
                <c:pt idx="7">
                  <c:v>0.08</c:v>
                </c:pt>
                <c:pt idx="8">
                  <c:v>-1.623</c:v>
                </c:pt>
                <c:pt idx="9">
                  <c:v>-7.3999999999999996E-2</c:v>
                </c:pt>
                <c:pt idx="10">
                  <c:v>-0.85899999999999999</c:v>
                </c:pt>
                <c:pt idx="11">
                  <c:v>-2.173</c:v>
                </c:pt>
                <c:pt idx="12">
                  <c:v>0.64800000000000002</c:v>
                </c:pt>
                <c:pt idx="13">
                  <c:v>-1.169</c:v>
                </c:pt>
                <c:pt idx="14">
                  <c:v>-4.51</c:v>
                </c:pt>
                <c:pt idx="15">
                  <c:v>-4.1379999999999999</c:v>
                </c:pt>
                <c:pt idx="16">
                  <c:v>2.1240000000000001</c:v>
                </c:pt>
                <c:pt idx="17">
                  <c:v>-2.911</c:v>
                </c:pt>
                <c:pt idx="18">
                  <c:v>-5.0049999999999999</c:v>
                </c:pt>
                <c:pt idx="19">
                  <c:v>-4.9610000000000003</c:v>
                </c:pt>
                <c:pt idx="20">
                  <c:v>-2.5590000000000002</c:v>
                </c:pt>
                <c:pt idx="21">
                  <c:v>-1.59</c:v>
                </c:pt>
                <c:pt idx="22">
                  <c:v>3.74</c:v>
                </c:pt>
                <c:pt idx="23">
                  <c:v>4.8239999999999998</c:v>
                </c:pt>
                <c:pt idx="24">
                  <c:v>6.0190000000000001</c:v>
                </c:pt>
                <c:pt idx="25">
                  <c:v>0.88400000000000001</c:v>
                </c:pt>
                <c:pt idx="26">
                  <c:v>6.2E-2</c:v>
                </c:pt>
                <c:pt idx="27">
                  <c:v>0.623</c:v>
                </c:pt>
                <c:pt idx="28">
                  <c:v>-3.5590000000000002</c:v>
                </c:pt>
                <c:pt idx="29">
                  <c:v>-1.08</c:v>
                </c:pt>
                <c:pt idx="30">
                  <c:v>-3.2879999999999998</c:v>
                </c:pt>
                <c:pt idx="31">
                  <c:v>-0.55600000000000005</c:v>
                </c:pt>
                <c:pt idx="32">
                  <c:v>0.23799999999999999</c:v>
                </c:pt>
                <c:pt idx="33">
                  <c:v>1.2250000000000001</c:v>
                </c:pt>
                <c:pt idx="34">
                  <c:v>2.3889999999999998</c:v>
                </c:pt>
                <c:pt idx="35">
                  <c:v>-1.4870000000000001</c:v>
                </c:pt>
                <c:pt idx="36">
                  <c:v>-0.876</c:v>
                </c:pt>
                <c:pt idx="37">
                  <c:v>0.443</c:v>
                </c:pt>
                <c:pt idx="38">
                  <c:v>0.128</c:v>
                </c:pt>
                <c:pt idx="39">
                  <c:v>-2.1960000000000002</c:v>
                </c:pt>
                <c:pt idx="40">
                  <c:v>1.7549999999999999</c:v>
                </c:pt>
                <c:pt idx="41">
                  <c:v>7.32</c:v>
                </c:pt>
                <c:pt idx="42">
                  <c:v>3.988</c:v>
                </c:pt>
                <c:pt idx="43">
                  <c:v>-4.1150000000000002</c:v>
                </c:pt>
                <c:pt idx="44">
                  <c:v>-2.6059999999999999</c:v>
                </c:pt>
                <c:pt idx="45">
                  <c:v>-8.0500000000000007</c:v>
                </c:pt>
                <c:pt idx="46">
                  <c:v>-9.51</c:v>
                </c:pt>
                <c:pt idx="47">
                  <c:v>-5.6219999999999999</c:v>
                </c:pt>
                <c:pt idx="48">
                  <c:v>-5.891</c:v>
                </c:pt>
                <c:pt idx="49">
                  <c:v>-7.31</c:v>
                </c:pt>
                <c:pt idx="50">
                  <c:v>-7.17</c:v>
                </c:pt>
                <c:pt idx="51">
                  <c:v>-3.8380000000000001</c:v>
                </c:pt>
                <c:pt idx="52">
                  <c:v>-2.6789999999999998</c:v>
                </c:pt>
                <c:pt idx="53">
                  <c:v>-5.38</c:v>
                </c:pt>
                <c:pt idx="54">
                  <c:v>-5.7430000000000003</c:v>
                </c:pt>
                <c:pt idx="55">
                  <c:v>-4.0140000000000002</c:v>
                </c:pt>
                <c:pt idx="56">
                  <c:v>-0.36699999999999999</c:v>
                </c:pt>
                <c:pt idx="57">
                  <c:v>5.867</c:v>
                </c:pt>
                <c:pt idx="58">
                  <c:v>0.34899999999999998</c:v>
                </c:pt>
                <c:pt idx="59">
                  <c:v>3.0489999999999999</c:v>
                </c:pt>
                <c:pt idx="60">
                  <c:v>4.5149999999999997</c:v>
                </c:pt>
                <c:pt idx="61">
                  <c:v>2.76</c:v>
                </c:pt>
                <c:pt idx="62">
                  <c:v>4.2809999999999997</c:v>
                </c:pt>
                <c:pt idx="63">
                  <c:v>3.0790000000000002</c:v>
                </c:pt>
                <c:pt idx="64">
                  <c:v>4.673</c:v>
                </c:pt>
                <c:pt idx="65">
                  <c:v>3.0230000000000001</c:v>
                </c:pt>
                <c:pt idx="66">
                  <c:v>-3.4079999999999999</c:v>
                </c:pt>
                <c:pt idx="67">
                  <c:v>-1.9159999999999999</c:v>
                </c:pt>
                <c:pt idx="68">
                  <c:v>-0.249</c:v>
                </c:pt>
                <c:pt idx="69">
                  <c:v>-1.744</c:v>
                </c:pt>
                <c:pt idx="70">
                  <c:v>-0.128</c:v>
                </c:pt>
                <c:pt idx="71">
                  <c:v>6.2E-2</c:v>
                </c:pt>
                <c:pt idx="72">
                  <c:v>1.89</c:v>
                </c:pt>
                <c:pt idx="73">
                  <c:v>2.8530000000000002</c:v>
                </c:pt>
                <c:pt idx="74">
                  <c:v>1.8720000000000001</c:v>
                </c:pt>
                <c:pt idx="75">
                  <c:v>3.024</c:v>
                </c:pt>
                <c:pt idx="76">
                  <c:v>1.889</c:v>
                </c:pt>
                <c:pt idx="77">
                  <c:v>4.6449999999999996</c:v>
                </c:pt>
                <c:pt idx="78">
                  <c:v>4.665</c:v>
                </c:pt>
                <c:pt idx="79">
                  <c:v>3.863</c:v>
                </c:pt>
                <c:pt idx="80">
                  <c:v>5.1150000000000002</c:v>
                </c:pt>
                <c:pt idx="81">
                  <c:v>10.08</c:v>
                </c:pt>
                <c:pt idx="82">
                  <c:v>5.3810000000000002</c:v>
                </c:pt>
                <c:pt idx="83">
                  <c:v>6.0670000000000002</c:v>
                </c:pt>
                <c:pt idx="84">
                  <c:v>3.6240000000000001</c:v>
                </c:pt>
                <c:pt idx="85">
                  <c:v>2.0750000000000002</c:v>
                </c:pt>
                <c:pt idx="86">
                  <c:v>2.9159999999999999</c:v>
                </c:pt>
                <c:pt idx="87">
                  <c:v>8.41</c:v>
                </c:pt>
                <c:pt idx="88">
                  <c:v>7.29</c:v>
                </c:pt>
                <c:pt idx="89">
                  <c:v>7.62</c:v>
                </c:pt>
                <c:pt idx="90">
                  <c:v>7.91</c:v>
                </c:pt>
                <c:pt idx="91">
                  <c:v>7.37</c:v>
                </c:pt>
                <c:pt idx="92">
                  <c:v>6.8810000000000002</c:v>
                </c:pt>
                <c:pt idx="93">
                  <c:v>2.4670000000000001</c:v>
                </c:pt>
                <c:pt idx="94">
                  <c:v>11.91</c:v>
                </c:pt>
                <c:pt idx="95">
                  <c:v>9.51</c:v>
                </c:pt>
                <c:pt idx="96">
                  <c:v>10.61</c:v>
                </c:pt>
                <c:pt idx="97">
                  <c:v>7.61</c:v>
                </c:pt>
                <c:pt idx="98">
                  <c:v>10.55</c:v>
                </c:pt>
                <c:pt idx="99">
                  <c:v>6.85</c:v>
                </c:pt>
                <c:pt idx="100">
                  <c:v>5.4729999999999999</c:v>
                </c:pt>
                <c:pt idx="101">
                  <c:v>5.8339999999999996</c:v>
                </c:pt>
                <c:pt idx="102">
                  <c:v>2.7749999999999999</c:v>
                </c:pt>
                <c:pt idx="103">
                  <c:v>5.63</c:v>
                </c:pt>
                <c:pt idx="104">
                  <c:v>4.1230000000000002</c:v>
                </c:pt>
                <c:pt idx="105">
                  <c:v>3.6549999999999998</c:v>
                </c:pt>
                <c:pt idx="106">
                  <c:v>6.6150000000000002</c:v>
                </c:pt>
                <c:pt idx="107">
                  <c:v>8.58</c:v>
                </c:pt>
                <c:pt idx="108">
                  <c:v>12.05</c:v>
                </c:pt>
                <c:pt idx="109">
                  <c:v>15.06</c:v>
                </c:pt>
                <c:pt idx="110">
                  <c:v>8.49</c:v>
                </c:pt>
                <c:pt idx="111">
                  <c:v>5.62</c:v>
                </c:pt>
                <c:pt idx="112">
                  <c:v>11.19</c:v>
                </c:pt>
                <c:pt idx="113">
                  <c:v>17.61</c:v>
                </c:pt>
                <c:pt idx="114">
                  <c:v>15.13</c:v>
                </c:pt>
                <c:pt idx="115">
                  <c:v>10.48</c:v>
                </c:pt>
                <c:pt idx="116">
                  <c:v>11.24</c:v>
                </c:pt>
                <c:pt idx="117">
                  <c:v>16.71</c:v>
                </c:pt>
                <c:pt idx="118">
                  <c:v>16.3</c:v>
                </c:pt>
                <c:pt idx="119">
                  <c:v>9.44</c:v>
                </c:pt>
                <c:pt idx="120">
                  <c:v>2.0030000000000001</c:v>
                </c:pt>
                <c:pt idx="121">
                  <c:v>8.7899999999999991</c:v>
                </c:pt>
                <c:pt idx="122">
                  <c:v>11.49</c:v>
                </c:pt>
                <c:pt idx="123">
                  <c:v>14.28</c:v>
                </c:pt>
                <c:pt idx="124">
                  <c:v>16.34</c:v>
                </c:pt>
                <c:pt idx="125">
                  <c:v>11.56</c:v>
                </c:pt>
                <c:pt idx="126">
                  <c:v>9.7200000000000006</c:v>
                </c:pt>
                <c:pt idx="127">
                  <c:v>6.6310000000000002</c:v>
                </c:pt>
                <c:pt idx="128">
                  <c:v>9.02</c:v>
                </c:pt>
                <c:pt idx="129">
                  <c:v>11.83</c:v>
                </c:pt>
                <c:pt idx="130">
                  <c:v>12.79</c:v>
                </c:pt>
                <c:pt idx="131">
                  <c:v>7.14</c:v>
                </c:pt>
                <c:pt idx="132">
                  <c:v>11.51</c:v>
                </c:pt>
                <c:pt idx="133">
                  <c:v>18.27</c:v>
                </c:pt>
                <c:pt idx="134">
                  <c:v>24.17</c:v>
                </c:pt>
                <c:pt idx="135">
                  <c:v>26.28</c:v>
                </c:pt>
                <c:pt idx="136">
                  <c:v>27.5</c:v>
                </c:pt>
                <c:pt idx="137">
                  <c:v>24.7</c:v>
                </c:pt>
                <c:pt idx="138">
                  <c:v>25.04</c:v>
                </c:pt>
                <c:pt idx="139">
                  <c:v>9.3800000000000008</c:v>
                </c:pt>
                <c:pt idx="140">
                  <c:v>17.920000000000002</c:v>
                </c:pt>
                <c:pt idx="141">
                  <c:v>18.63</c:v>
                </c:pt>
                <c:pt idx="142">
                  <c:v>15.85</c:v>
                </c:pt>
                <c:pt idx="143">
                  <c:v>9.69</c:v>
                </c:pt>
                <c:pt idx="144">
                  <c:v>9.4499999999999993</c:v>
                </c:pt>
                <c:pt idx="145">
                  <c:v>7.82</c:v>
                </c:pt>
                <c:pt idx="146">
                  <c:v>10.31</c:v>
                </c:pt>
                <c:pt idx="147">
                  <c:v>14.71</c:v>
                </c:pt>
                <c:pt idx="148">
                  <c:v>12.65</c:v>
                </c:pt>
                <c:pt idx="149">
                  <c:v>17.48</c:v>
                </c:pt>
                <c:pt idx="150">
                  <c:v>20.420000000000002</c:v>
                </c:pt>
                <c:pt idx="151">
                  <c:v>22.79</c:v>
                </c:pt>
                <c:pt idx="152">
                  <c:v>16.59</c:v>
                </c:pt>
                <c:pt idx="153">
                  <c:v>13.96</c:v>
                </c:pt>
                <c:pt idx="154">
                  <c:v>12.1</c:v>
                </c:pt>
                <c:pt idx="155">
                  <c:v>15.24</c:v>
                </c:pt>
                <c:pt idx="156">
                  <c:v>20.149999999999999</c:v>
                </c:pt>
                <c:pt idx="157">
                  <c:v>22.52</c:v>
                </c:pt>
                <c:pt idx="158">
                  <c:v>13.4</c:v>
                </c:pt>
                <c:pt idx="159">
                  <c:v>17.45</c:v>
                </c:pt>
                <c:pt idx="160">
                  <c:v>20.14</c:v>
                </c:pt>
                <c:pt idx="161">
                  <c:v>13.55</c:v>
                </c:pt>
                <c:pt idx="162">
                  <c:v>22.29</c:v>
                </c:pt>
                <c:pt idx="163">
                  <c:v>21.33</c:v>
                </c:pt>
                <c:pt idx="164">
                  <c:v>10.17</c:v>
                </c:pt>
                <c:pt idx="165">
                  <c:v>10.48</c:v>
                </c:pt>
                <c:pt idx="166">
                  <c:v>18.32</c:v>
                </c:pt>
                <c:pt idx="167">
                  <c:v>14.89</c:v>
                </c:pt>
                <c:pt idx="168">
                  <c:v>15.74</c:v>
                </c:pt>
                <c:pt idx="169">
                  <c:v>8.2799999999999994</c:v>
                </c:pt>
                <c:pt idx="170">
                  <c:v>17.14</c:v>
                </c:pt>
                <c:pt idx="171">
                  <c:v>17.97</c:v>
                </c:pt>
                <c:pt idx="172">
                  <c:v>19.66</c:v>
                </c:pt>
                <c:pt idx="173">
                  <c:v>20.81</c:v>
                </c:pt>
                <c:pt idx="174">
                  <c:v>23.85</c:v>
                </c:pt>
                <c:pt idx="175">
                  <c:v>27.52</c:v>
                </c:pt>
                <c:pt idx="176">
                  <c:v>29.04</c:v>
                </c:pt>
                <c:pt idx="177">
                  <c:v>29.52</c:v>
                </c:pt>
                <c:pt idx="178">
                  <c:v>24.63</c:v>
                </c:pt>
                <c:pt idx="179">
                  <c:v>23.86</c:v>
                </c:pt>
                <c:pt idx="180">
                  <c:v>25.45</c:v>
                </c:pt>
                <c:pt idx="181">
                  <c:v>26.54</c:v>
                </c:pt>
                <c:pt idx="182">
                  <c:v>28.23</c:v>
                </c:pt>
                <c:pt idx="183">
                  <c:v>30.48</c:v>
                </c:pt>
                <c:pt idx="184">
                  <c:v>28.21</c:v>
                </c:pt>
                <c:pt idx="185">
                  <c:v>28.64</c:v>
                </c:pt>
                <c:pt idx="186">
                  <c:v>23.23</c:v>
                </c:pt>
                <c:pt idx="187">
                  <c:v>21.06</c:v>
                </c:pt>
                <c:pt idx="188">
                  <c:v>25.77</c:v>
                </c:pt>
                <c:pt idx="189">
                  <c:v>24.19</c:v>
                </c:pt>
                <c:pt idx="190">
                  <c:v>22.17</c:v>
                </c:pt>
                <c:pt idx="191">
                  <c:v>18.350000000000001</c:v>
                </c:pt>
                <c:pt idx="192">
                  <c:v>18.239999999999998</c:v>
                </c:pt>
                <c:pt idx="193">
                  <c:v>16.03</c:v>
                </c:pt>
                <c:pt idx="194">
                  <c:v>19.47</c:v>
                </c:pt>
                <c:pt idx="195">
                  <c:v>21.39</c:v>
                </c:pt>
                <c:pt idx="196">
                  <c:v>21.67</c:v>
                </c:pt>
                <c:pt idx="197">
                  <c:v>23.8</c:v>
                </c:pt>
                <c:pt idx="198">
                  <c:v>20.34</c:v>
                </c:pt>
                <c:pt idx="199">
                  <c:v>22.03</c:v>
                </c:pt>
                <c:pt idx="200">
                  <c:v>25.71</c:v>
                </c:pt>
                <c:pt idx="201">
                  <c:v>30.94</c:v>
                </c:pt>
                <c:pt idx="202">
                  <c:v>31.93</c:v>
                </c:pt>
                <c:pt idx="203">
                  <c:v>32.549999999999997</c:v>
                </c:pt>
                <c:pt idx="204">
                  <c:v>27.52</c:v>
                </c:pt>
                <c:pt idx="205">
                  <c:v>28.53</c:v>
                </c:pt>
                <c:pt idx="206">
                  <c:v>28.51</c:v>
                </c:pt>
                <c:pt idx="207">
                  <c:v>27.23</c:v>
                </c:pt>
                <c:pt idx="208">
                  <c:v>25.04</c:v>
                </c:pt>
                <c:pt idx="209">
                  <c:v>22.2</c:v>
                </c:pt>
                <c:pt idx="210">
                  <c:v>14.43</c:v>
                </c:pt>
                <c:pt idx="211">
                  <c:v>16.010000000000002</c:v>
                </c:pt>
                <c:pt idx="212">
                  <c:v>19.079999999999998</c:v>
                </c:pt>
                <c:pt idx="213">
                  <c:v>19.84</c:v>
                </c:pt>
                <c:pt idx="214">
                  <c:v>21.64</c:v>
                </c:pt>
                <c:pt idx="215">
                  <c:v>17.73</c:v>
                </c:pt>
                <c:pt idx="216">
                  <c:v>21.53</c:v>
                </c:pt>
                <c:pt idx="217">
                  <c:v>24.71</c:v>
                </c:pt>
                <c:pt idx="218">
                  <c:v>28.15</c:v>
                </c:pt>
                <c:pt idx="219">
                  <c:v>23.98</c:v>
                </c:pt>
                <c:pt idx="220">
                  <c:v>18.43</c:v>
                </c:pt>
                <c:pt idx="221">
                  <c:v>19.21</c:v>
                </c:pt>
                <c:pt idx="222">
                  <c:v>13.53</c:v>
                </c:pt>
                <c:pt idx="223">
                  <c:v>18.75</c:v>
                </c:pt>
                <c:pt idx="224">
                  <c:v>22.72</c:v>
                </c:pt>
                <c:pt idx="225">
                  <c:v>24.73</c:v>
                </c:pt>
                <c:pt idx="226">
                  <c:v>20.38</c:v>
                </c:pt>
                <c:pt idx="227">
                  <c:v>22.18</c:v>
                </c:pt>
                <c:pt idx="228">
                  <c:v>24.29</c:v>
                </c:pt>
                <c:pt idx="229">
                  <c:v>25.71</c:v>
                </c:pt>
                <c:pt idx="230">
                  <c:v>25</c:v>
                </c:pt>
                <c:pt idx="231">
                  <c:v>26.36</c:v>
                </c:pt>
                <c:pt idx="232">
                  <c:v>29.42</c:v>
                </c:pt>
                <c:pt idx="233">
                  <c:v>21.4</c:v>
                </c:pt>
                <c:pt idx="234">
                  <c:v>18.829999999999998</c:v>
                </c:pt>
                <c:pt idx="235">
                  <c:v>17.23</c:v>
                </c:pt>
                <c:pt idx="236">
                  <c:v>20.94</c:v>
                </c:pt>
                <c:pt idx="237">
                  <c:v>24.2</c:v>
                </c:pt>
                <c:pt idx="238">
                  <c:v>26.94</c:v>
                </c:pt>
                <c:pt idx="239">
                  <c:v>28.22</c:v>
                </c:pt>
                <c:pt idx="240">
                  <c:v>21.69</c:v>
                </c:pt>
                <c:pt idx="241">
                  <c:v>11.22</c:v>
                </c:pt>
                <c:pt idx="242">
                  <c:v>15.93</c:v>
                </c:pt>
                <c:pt idx="243">
                  <c:v>21.51</c:v>
                </c:pt>
                <c:pt idx="244">
                  <c:v>25.92</c:v>
                </c:pt>
                <c:pt idx="245">
                  <c:v>29.42</c:v>
                </c:pt>
                <c:pt idx="246">
                  <c:v>30</c:v>
                </c:pt>
                <c:pt idx="247">
                  <c:v>26.91</c:v>
                </c:pt>
                <c:pt idx="248">
                  <c:v>26.55</c:v>
                </c:pt>
                <c:pt idx="249">
                  <c:v>26.05</c:v>
                </c:pt>
                <c:pt idx="250">
                  <c:v>28.21</c:v>
                </c:pt>
                <c:pt idx="251">
                  <c:v>20.66</c:v>
                </c:pt>
                <c:pt idx="252">
                  <c:v>19.04</c:v>
                </c:pt>
                <c:pt idx="253">
                  <c:v>23.06</c:v>
                </c:pt>
                <c:pt idx="254">
                  <c:v>20.94</c:v>
                </c:pt>
                <c:pt idx="255">
                  <c:v>16.2</c:v>
                </c:pt>
                <c:pt idx="256">
                  <c:v>4.2350000000000003</c:v>
                </c:pt>
                <c:pt idx="257">
                  <c:v>9.7899999999999991</c:v>
                </c:pt>
                <c:pt idx="258">
                  <c:v>9.74</c:v>
                </c:pt>
                <c:pt idx="259">
                  <c:v>14.25</c:v>
                </c:pt>
                <c:pt idx="260">
                  <c:v>8.6999999999999993</c:v>
                </c:pt>
                <c:pt idx="261">
                  <c:v>15.77</c:v>
                </c:pt>
                <c:pt idx="262">
                  <c:v>5.1790000000000003</c:v>
                </c:pt>
                <c:pt idx="263">
                  <c:v>4.6040000000000001</c:v>
                </c:pt>
                <c:pt idx="264">
                  <c:v>8.08</c:v>
                </c:pt>
                <c:pt idx="265">
                  <c:v>11.13</c:v>
                </c:pt>
                <c:pt idx="266">
                  <c:v>19.37</c:v>
                </c:pt>
                <c:pt idx="267">
                  <c:v>20.58</c:v>
                </c:pt>
                <c:pt idx="268">
                  <c:v>18.09</c:v>
                </c:pt>
                <c:pt idx="269">
                  <c:v>19.809999999999999</c:v>
                </c:pt>
                <c:pt idx="270">
                  <c:v>20.99</c:v>
                </c:pt>
                <c:pt idx="271">
                  <c:v>23.41</c:v>
                </c:pt>
                <c:pt idx="272">
                  <c:v>18.87</c:v>
                </c:pt>
                <c:pt idx="273">
                  <c:v>13.43</c:v>
                </c:pt>
                <c:pt idx="274">
                  <c:v>12.44</c:v>
                </c:pt>
                <c:pt idx="275">
                  <c:v>10.37</c:v>
                </c:pt>
                <c:pt idx="276">
                  <c:v>14.9</c:v>
                </c:pt>
                <c:pt idx="277">
                  <c:v>14.95</c:v>
                </c:pt>
                <c:pt idx="278">
                  <c:v>12.62</c:v>
                </c:pt>
                <c:pt idx="279">
                  <c:v>8.7100000000000009</c:v>
                </c:pt>
                <c:pt idx="280">
                  <c:v>11.81</c:v>
                </c:pt>
                <c:pt idx="281">
                  <c:v>13.21</c:v>
                </c:pt>
                <c:pt idx="282">
                  <c:v>13.45</c:v>
                </c:pt>
                <c:pt idx="283">
                  <c:v>17.559999999999999</c:v>
                </c:pt>
                <c:pt idx="284">
                  <c:v>18.27</c:v>
                </c:pt>
                <c:pt idx="285">
                  <c:v>17.21</c:v>
                </c:pt>
                <c:pt idx="286">
                  <c:v>14.65</c:v>
                </c:pt>
                <c:pt idx="287">
                  <c:v>5.4649999999999999</c:v>
                </c:pt>
                <c:pt idx="288">
                  <c:v>5.0439999999999996</c:v>
                </c:pt>
                <c:pt idx="289">
                  <c:v>0.13700000000000001</c:v>
                </c:pt>
                <c:pt idx="290">
                  <c:v>3.4180000000000001</c:v>
                </c:pt>
                <c:pt idx="291">
                  <c:v>5.0449999999999999</c:v>
                </c:pt>
                <c:pt idx="292">
                  <c:v>8.0500000000000007</c:v>
                </c:pt>
                <c:pt idx="293">
                  <c:v>8.93</c:v>
                </c:pt>
                <c:pt idx="294">
                  <c:v>12.6</c:v>
                </c:pt>
                <c:pt idx="295">
                  <c:v>9.6999999999999993</c:v>
                </c:pt>
                <c:pt idx="296">
                  <c:v>3.8149999999999999</c:v>
                </c:pt>
                <c:pt idx="297">
                  <c:v>4.0860000000000003</c:v>
                </c:pt>
                <c:pt idx="298">
                  <c:v>3.1970000000000001</c:v>
                </c:pt>
                <c:pt idx="299">
                  <c:v>9.44</c:v>
                </c:pt>
                <c:pt idx="300">
                  <c:v>5.6390000000000002</c:v>
                </c:pt>
                <c:pt idx="301">
                  <c:v>1.0229999999999999</c:v>
                </c:pt>
                <c:pt idx="302">
                  <c:v>-5.7329999999999997</c:v>
                </c:pt>
                <c:pt idx="303">
                  <c:v>-5.351</c:v>
                </c:pt>
                <c:pt idx="304">
                  <c:v>0.17399999999999999</c:v>
                </c:pt>
                <c:pt idx="305">
                  <c:v>-0.80100000000000005</c:v>
                </c:pt>
                <c:pt idx="306">
                  <c:v>2.3010000000000002</c:v>
                </c:pt>
                <c:pt idx="307">
                  <c:v>3.8479999999999999</c:v>
                </c:pt>
                <c:pt idx="308">
                  <c:v>5.7939999999999996</c:v>
                </c:pt>
                <c:pt idx="309">
                  <c:v>8.86</c:v>
                </c:pt>
                <c:pt idx="310">
                  <c:v>6.6740000000000004</c:v>
                </c:pt>
                <c:pt idx="311">
                  <c:v>-6.3E-2</c:v>
                </c:pt>
                <c:pt idx="312">
                  <c:v>-1.911</c:v>
                </c:pt>
                <c:pt idx="313">
                  <c:v>-2.4319999999999999</c:v>
                </c:pt>
                <c:pt idx="314">
                  <c:v>-2.4329999999999998</c:v>
                </c:pt>
                <c:pt idx="315">
                  <c:v>-1.4</c:v>
                </c:pt>
                <c:pt idx="316">
                  <c:v>-2.016</c:v>
                </c:pt>
                <c:pt idx="317">
                  <c:v>-2.282</c:v>
                </c:pt>
                <c:pt idx="318">
                  <c:v>2.0609999999999999</c:v>
                </c:pt>
                <c:pt idx="319">
                  <c:v>1.1160000000000001</c:v>
                </c:pt>
                <c:pt idx="320">
                  <c:v>-0.39400000000000002</c:v>
                </c:pt>
                <c:pt idx="321">
                  <c:v>1.2090000000000001</c:v>
                </c:pt>
                <c:pt idx="322">
                  <c:v>3.7650000000000001</c:v>
                </c:pt>
                <c:pt idx="323">
                  <c:v>4.3159999999999998</c:v>
                </c:pt>
                <c:pt idx="324">
                  <c:v>0.90400000000000003</c:v>
                </c:pt>
                <c:pt idx="325">
                  <c:v>-1.7999999999999999E-2</c:v>
                </c:pt>
                <c:pt idx="326">
                  <c:v>-2.798</c:v>
                </c:pt>
                <c:pt idx="327">
                  <c:v>-5.05</c:v>
                </c:pt>
                <c:pt idx="328">
                  <c:v>-9.42</c:v>
                </c:pt>
                <c:pt idx="329">
                  <c:v>-7.15</c:v>
                </c:pt>
                <c:pt idx="330">
                  <c:v>-17.48</c:v>
                </c:pt>
                <c:pt idx="331">
                  <c:v>-23.01</c:v>
                </c:pt>
                <c:pt idx="332">
                  <c:v>-13.95</c:v>
                </c:pt>
                <c:pt idx="333">
                  <c:v>-8.51</c:v>
                </c:pt>
                <c:pt idx="334">
                  <c:v>-8.51</c:v>
                </c:pt>
                <c:pt idx="335">
                  <c:v>-6.7350000000000003</c:v>
                </c:pt>
                <c:pt idx="336">
                  <c:v>-6.665</c:v>
                </c:pt>
                <c:pt idx="337">
                  <c:v>-4.4740000000000002</c:v>
                </c:pt>
                <c:pt idx="338">
                  <c:v>-1.708</c:v>
                </c:pt>
                <c:pt idx="339">
                  <c:v>3.3719999999999999</c:v>
                </c:pt>
                <c:pt idx="340">
                  <c:v>-1.014</c:v>
                </c:pt>
                <c:pt idx="341">
                  <c:v>1.385</c:v>
                </c:pt>
                <c:pt idx="342">
                  <c:v>3.5129999999999999</c:v>
                </c:pt>
                <c:pt idx="343">
                  <c:v>3.6160000000000001</c:v>
                </c:pt>
                <c:pt idx="344">
                  <c:v>-9.8000000000000004E-2</c:v>
                </c:pt>
                <c:pt idx="345">
                  <c:v>1.1100000000000001</c:v>
                </c:pt>
                <c:pt idx="346">
                  <c:v>0.65900000000000003</c:v>
                </c:pt>
                <c:pt idx="347">
                  <c:v>-0.73399999999999999</c:v>
                </c:pt>
                <c:pt idx="348">
                  <c:v>-0.82599999999999996</c:v>
                </c:pt>
                <c:pt idx="349">
                  <c:v>-8.57</c:v>
                </c:pt>
                <c:pt idx="350">
                  <c:v>-6.6890000000000001</c:v>
                </c:pt>
                <c:pt idx="351">
                  <c:v>-5.1710000000000003</c:v>
                </c:pt>
                <c:pt idx="352">
                  <c:v>-1.641</c:v>
                </c:pt>
                <c:pt idx="353">
                  <c:v>-0.73799999999999999</c:v>
                </c:pt>
                <c:pt idx="354">
                  <c:v>-1.121</c:v>
                </c:pt>
                <c:pt idx="355">
                  <c:v>-1.72</c:v>
                </c:pt>
                <c:pt idx="356">
                  <c:v>-4.968</c:v>
                </c:pt>
                <c:pt idx="357">
                  <c:v>-3.4350000000000001</c:v>
                </c:pt>
                <c:pt idx="358">
                  <c:v>-0.93799999999999994</c:v>
                </c:pt>
                <c:pt idx="359">
                  <c:v>-2.8769999999999998</c:v>
                </c:pt>
                <c:pt idx="360">
                  <c:v>-5.3470000000000004</c:v>
                </c:pt>
                <c:pt idx="361">
                  <c:v>-6.4539999999999997</c:v>
                </c:pt>
                <c:pt idx="362">
                  <c:v>-1.4330000000000001</c:v>
                </c:pt>
                <c:pt idx="363">
                  <c:v>-1.6950000000000001</c:v>
                </c:pt>
                <c:pt idx="364">
                  <c:v>-3.8210000000000002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-10.26</c:v>
                </c:pt>
                <c:pt idx="1">
                  <c:v>-5.8</c:v>
                </c:pt>
                <c:pt idx="2">
                  <c:v>-7</c:v>
                </c:pt>
                <c:pt idx="3">
                  <c:v>-8.25</c:v>
                </c:pt>
                <c:pt idx="4">
                  <c:v>-3.468</c:v>
                </c:pt>
                <c:pt idx="5">
                  <c:v>-2.2410000000000001</c:v>
                </c:pt>
                <c:pt idx="6">
                  <c:v>-8.66</c:v>
                </c:pt>
                <c:pt idx="7">
                  <c:v>-5.7480000000000002</c:v>
                </c:pt>
                <c:pt idx="8">
                  <c:v>-4.3550000000000004</c:v>
                </c:pt>
                <c:pt idx="9">
                  <c:v>-4.99</c:v>
                </c:pt>
                <c:pt idx="10">
                  <c:v>-4.4800000000000004</c:v>
                </c:pt>
                <c:pt idx="11">
                  <c:v>-4.7149999999999999</c:v>
                </c:pt>
                <c:pt idx="12">
                  <c:v>-3.7810000000000001</c:v>
                </c:pt>
                <c:pt idx="13">
                  <c:v>-6.1829999999999998</c:v>
                </c:pt>
                <c:pt idx="14">
                  <c:v>-16.09</c:v>
                </c:pt>
                <c:pt idx="15">
                  <c:v>-15.9</c:v>
                </c:pt>
                <c:pt idx="16">
                  <c:v>-5.282</c:v>
                </c:pt>
                <c:pt idx="17">
                  <c:v>-17.329999999999998</c:v>
                </c:pt>
                <c:pt idx="18">
                  <c:v>-17.5</c:v>
                </c:pt>
                <c:pt idx="19">
                  <c:v>-7.51</c:v>
                </c:pt>
                <c:pt idx="20">
                  <c:v>-16.89</c:v>
                </c:pt>
                <c:pt idx="21">
                  <c:v>-9.14</c:v>
                </c:pt>
                <c:pt idx="22">
                  <c:v>-4.7939999999999996</c:v>
                </c:pt>
                <c:pt idx="23">
                  <c:v>-6.3520000000000003</c:v>
                </c:pt>
                <c:pt idx="24">
                  <c:v>-10.3</c:v>
                </c:pt>
                <c:pt idx="25">
                  <c:v>-7.05</c:v>
                </c:pt>
                <c:pt idx="26">
                  <c:v>-10.79</c:v>
                </c:pt>
                <c:pt idx="27">
                  <c:v>-7.2</c:v>
                </c:pt>
                <c:pt idx="28">
                  <c:v>-14.25</c:v>
                </c:pt>
                <c:pt idx="29">
                  <c:v>-9.1199999999999992</c:v>
                </c:pt>
                <c:pt idx="30">
                  <c:v>-8.68</c:v>
                </c:pt>
                <c:pt idx="31">
                  <c:v>-7.33</c:v>
                </c:pt>
                <c:pt idx="32">
                  <c:v>-9.91</c:v>
                </c:pt>
                <c:pt idx="33">
                  <c:v>-10.5</c:v>
                </c:pt>
                <c:pt idx="34">
                  <c:v>-4.05</c:v>
                </c:pt>
                <c:pt idx="35">
                  <c:v>-13.05</c:v>
                </c:pt>
                <c:pt idx="36">
                  <c:v>-13</c:v>
                </c:pt>
                <c:pt idx="37">
                  <c:v>-12.72</c:v>
                </c:pt>
                <c:pt idx="38">
                  <c:v>-13.85</c:v>
                </c:pt>
                <c:pt idx="39">
                  <c:v>-22.17</c:v>
                </c:pt>
                <c:pt idx="40">
                  <c:v>-23.53</c:v>
                </c:pt>
                <c:pt idx="41">
                  <c:v>-18.61</c:v>
                </c:pt>
                <c:pt idx="42">
                  <c:v>-16.059999999999999</c:v>
                </c:pt>
                <c:pt idx="43">
                  <c:v>-12.47</c:v>
                </c:pt>
                <c:pt idx="44">
                  <c:v>-21.97</c:v>
                </c:pt>
                <c:pt idx="45">
                  <c:v>-25.4</c:v>
                </c:pt>
                <c:pt idx="46">
                  <c:v>-28.07</c:v>
                </c:pt>
                <c:pt idx="47">
                  <c:v>-30.96</c:v>
                </c:pt>
                <c:pt idx="48">
                  <c:v>-27.93</c:v>
                </c:pt>
                <c:pt idx="49">
                  <c:v>-26.56</c:v>
                </c:pt>
                <c:pt idx="50">
                  <c:v>-15.33</c:v>
                </c:pt>
                <c:pt idx="51">
                  <c:v>-8.19</c:v>
                </c:pt>
                <c:pt idx="52">
                  <c:v>-8.6300000000000008</c:v>
                </c:pt>
                <c:pt idx="53">
                  <c:v>-12.08</c:v>
                </c:pt>
                <c:pt idx="54">
                  <c:v>-25.68</c:v>
                </c:pt>
                <c:pt idx="55">
                  <c:v>-26.9</c:v>
                </c:pt>
                <c:pt idx="56">
                  <c:v>-9.57</c:v>
                </c:pt>
                <c:pt idx="57">
                  <c:v>-2.2970000000000002</c:v>
                </c:pt>
                <c:pt idx="58">
                  <c:v>-9.0500000000000007</c:v>
                </c:pt>
                <c:pt idx="59">
                  <c:v>-15.42</c:v>
                </c:pt>
                <c:pt idx="60">
                  <c:v>-14.34</c:v>
                </c:pt>
                <c:pt idx="61">
                  <c:v>-19.47</c:v>
                </c:pt>
                <c:pt idx="62">
                  <c:v>-20.350000000000001</c:v>
                </c:pt>
                <c:pt idx="63">
                  <c:v>-15.73</c:v>
                </c:pt>
                <c:pt idx="64">
                  <c:v>-5.3170000000000002</c:v>
                </c:pt>
                <c:pt idx="65">
                  <c:v>-7.81</c:v>
                </c:pt>
                <c:pt idx="66">
                  <c:v>-7.58</c:v>
                </c:pt>
                <c:pt idx="67">
                  <c:v>-16.63</c:v>
                </c:pt>
                <c:pt idx="68">
                  <c:v>-23.45</c:v>
                </c:pt>
                <c:pt idx="69">
                  <c:v>-23.79</c:v>
                </c:pt>
                <c:pt idx="70">
                  <c:v>-24.92</c:v>
                </c:pt>
                <c:pt idx="71">
                  <c:v>-23.6</c:v>
                </c:pt>
                <c:pt idx="72">
                  <c:v>-13.12</c:v>
                </c:pt>
                <c:pt idx="73">
                  <c:v>-15.05</c:v>
                </c:pt>
                <c:pt idx="74">
                  <c:v>-9.1999999999999993</c:v>
                </c:pt>
                <c:pt idx="75">
                  <c:v>-7.41</c:v>
                </c:pt>
                <c:pt idx="76">
                  <c:v>-16.07</c:v>
                </c:pt>
                <c:pt idx="77">
                  <c:v>-19.239999999999998</c:v>
                </c:pt>
                <c:pt idx="78">
                  <c:v>-17.28</c:v>
                </c:pt>
                <c:pt idx="79">
                  <c:v>-8.3800000000000008</c:v>
                </c:pt>
                <c:pt idx="80">
                  <c:v>-4.907</c:v>
                </c:pt>
                <c:pt idx="81">
                  <c:v>-4.2210000000000001</c:v>
                </c:pt>
                <c:pt idx="82">
                  <c:v>-10.26</c:v>
                </c:pt>
                <c:pt idx="83">
                  <c:v>-12.68</c:v>
                </c:pt>
                <c:pt idx="84">
                  <c:v>-16.04</c:v>
                </c:pt>
                <c:pt idx="85">
                  <c:v>-9.69</c:v>
                </c:pt>
                <c:pt idx="86">
                  <c:v>-11.15</c:v>
                </c:pt>
                <c:pt idx="87">
                  <c:v>-8.76</c:v>
                </c:pt>
                <c:pt idx="88">
                  <c:v>-10.57</c:v>
                </c:pt>
                <c:pt idx="89">
                  <c:v>-4.3639999999999999</c:v>
                </c:pt>
                <c:pt idx="90">
                  <c:v>-8.7899999999999991</c:v>
                </c:pt>
                <c:pt idx="91">
                  <c:v>-6.1829999999999998</c:v>
                </c:pt>
                <c:pt idx="92">
                  <c:v>-9.8000000000000007</c:v>
                </c:pt>
                <c:pt idx="93">
                  <c:v>-1.736</c:v>
                </c:pt>
                <c:pt idx="94">
                  <c:v>-4.8949999999999996</c:v>
                </c:pt>
                <c:pt idx="95">
                  <c:v>-3.7509999999999999</c:v>
                </c:pt>
                <c:pt idx="96">
                  <c:v>-5.6749999999999998</c:v>
                </c:pt>
                <c:pt idx="97">
                  <c:v>-0.91300000000000003</c:v>
                </c:pt>
                <c:pt idx="98">
                  <c:v>-1.151</c:v>
                </c:pt>
                <c:pt idx="99">
                  <c:v>-3.6059999999999999</c:v>
                </c:pt>
                <c:pt idx="100">
                  <c:v>-3.1459999999999999</c:v>
                </c:pt>
                <c:pt idx="101">
                  <c:v>-3.411</c:v>
                </c:pt>
                <c:pt idx="102">
                  <c:v>-3.923</c:v>
                </c:pt>
                <c:pt idx="103">
                  <c:v>-5.4989999999999997</c:v>
                </c:pt>
                <c:pt idx="104">
                  <c:v>-9.85</c:v>
                </c:pt>
                <c:pt idx="105">
                  <c:v>-14.08</c:v>
                </c:pt>
                <c:pt idx="106">
                  <c:v>-16.13</c:v>
                </c:pt>
                <c:pt idx="107">
                  <c:v>-14.19</c:v>
                </c:pt>
                <c:pt idx="108">
                  <c:v>-5.3650000000000002</c:v>
                </c:pt>
                <c:pt idx="109">
                  <c:v>-1.41</c:v>
                </c:pt>
                <c:pt idx="110">
                  <c:v>-4.2300000000000004</c:v>
                </c:pt>
                <c:pt idx="111">
                  <c:v>-8.4</c:v>
                </c:pt>
                <c:pt idx="112">
                  <c:v>-10.76</c:v>
                </c:pt>
                <c:pt idx="113">
                  <c:v>-8.76</c:v>
                </c:pt>
                <c:pt idx="114">
                  <c:v>-7.09</c:v>
                </c:pt>
                <c:pt idx="115">
                  <c:v>-4.9980000000000002</c:v>
                </c:pt>
                <c:pt idx="116">
                  <c:v>-4.1769999999999996</c:v>
                </c:pt>
                <c:pt idx="117">
                  <c:v>-3.4159999999999999</c:v>
                </c:pt>
                <c:pt idx="118">
                  <c:v>-0.19500000000000001</c:v>
                </c:pt>
                <c:pt idx="119">
                  <c:v>-5.0810000000000004</c:v>
                </c:pt>
                <c:pt idx="120">
                  <c:v>-5.4480000000000004</c:v>
                </c:pt>
                <c:pt idx="121">
                  <c:v>-6.6289999999999996</c:v>
                </c:pt>
                <c:pt idx="122">
                  <c:v>-9.26</c:v>
                </c:pt>
                <c:pt idx="123">
                  <c:v>-7.23</c:v>
                </c:pt>
                <c:pt idx="124">
                  <c:v>-3.819</c:v>
                </c:pt>
                <c:pt idx="125">
                  <c:v>-2.4169999999999998</c:v>
                </c:pt>
                <c:pt idx="126">
                  <c:v>-3.206</c:v>
                </c:pt>
                <c:pt idx="127">
                  <c:v>-7.61</c:v>
                </c:pt>
                <c:pt idx="128">
                  <c:v>-9.57</c:v>
                </c:pt>
                <c:pt idx="129">
                  <c:v>-7.55</c:v>
                </c:pt>
                <c:pt idx="130">
                  <c:v>-2.8559999999999999</c:v>
                </c:pt>
                <c:pt idx="131">
                  <c:v>-3.7709999999999999</c:v>
                </c:pt>
                <c:pt idx="132">
                  <c:v>-6.8710000000000004</c:v>
                </c:pt>
                <c:pt idx="133">
                  <c:v>-5.1100000000000003</c:v>
                </c:pt>
                <c:pt idx="134">
                  <c:v>-2.0950000000000002</c:v>
                </c:pt>
                <c:pt idx="135">
                  <c:v>1.137</c:v>
                </c:pt>
                <c:pt idx="136">
                  <c:v>0.61</c:v>
                </c:pt>
                <c:pt idx="137">
                  <c:v>1.85</c:v>
                </c:pt>
                <c:pt idx="138">
                  <c:v>7.0000000000000001E-3</c:v>
                </c:pt>
                <c:pt idx="139">
                  <c:v>2.835</c:v>
                </c:pt>
                <c:pt idx="140">
                  <c:v>-0.70299999999999996</c:v>
                </c:pt>
                <c:pt idx="141">
                  <c:v>1.6</c:v>
                </c:pt>
                <c:pt idx="142">
                  <c:v>0.65600000000000003</c:v>
                </c:pt>
                <c:pt idx="143">
                  <c:v>-0.432</c:v>
                </c:pt>
                <c:pt idx="144">
                  <c:v>-1.1220000000000001</c:v>
                </c:pt>
                <c:pt idx="145">
                  <c:v>-5.8000000000000003E-2</c:v>
                </c:pt>
                <c:pt idx="146">
                  <c:v>-0.89600000000000002</c:v>
                </c:pt>
                <c:pt idx="147">
                  <c:v>-1.5289999999999999</c:v>
                </c:pt>
                <c:pt idx="148">
                  <c:v>-1.206</c:v>
                </c:pt>
                <c:pt idx="149">
                  <c:v>-1.2549999999999999</c:v>
                </c:pt>
                <c:pt idx="150">
                  <c:v>0.624</c:v>
                </c:pt>
                <c:pt idx="151">
                  <c:v>6.4809999999999999</c:v>
                </c:pt>
                <c:pt idx="152">
                  <c:v>5.16</c:v>
                </c:pt>
                <c:pt idx="153">
                  <c:v>-0.09</c:v>
                </c:pt>
                <c:pt idx="154">
                  <c:v>0.45200000000000001</c:v>
                </c:pt>
                <c:pt idx="155">
                  <c:v>-0.58899999999999997</c:v>
                </c:pt>
                <c:pt idx="156">
                  <c:v>-1.9550000000000001</c:v>
                </c:pt>
                <c:pt idx="157">
                  <c:v>1.528</c:v>
                </c:pt>
                <c:pt idx="158">
                  <c:v>2.7810000000000001</c:v>
                </c:pt>
                <c:pt idx="159">
                  <c:v>1.6060000000000001</c:v>
                </c:pt>
                <c:pt idx="160">
                  <c:v>-0.30299999999999999</c:v>
                </c:pt>
                <c:pt idx="161">
                  <c:v>3.569</c:v>
                </c:pt>
                <c:pt idx="162">
                  <c:v>3.4849999999999999</c:v>
                </c:pt>
                <c:pt idx="163">
                  <c:v>4.8680000000000003</c:v>
                </c:pt>
                <c:pt idx="164">
                  <c:v>6.9080000000000004</c:v>
                </c:pt>
                <c:pt idx="165">
                  <c:v>1.841</c:v>
                </c:pt>
                <c:pt idx="166">
                  <c:v>-0.40100000000000002</c:v>
                </c:pt>
                <c:pt idx="167">
                  <c:v>2.6320000000000001</c:v>
                </c:pt>
                <c:pt idx="168">
                  <c:v>-0.36499999999999999</c:v>
                </c:pt>
                <c:pt idx="169">
                  <c:v>-0.74</c:v>
                </c:pt>
                <c:pt idx="170">
                  <c:v>-0.371</c:v>
                </c:pt>
                <c:pt idx="171">
                  <c:v>-1.8069999999999999</c:v>
                </c:pt>
                <c:pt idx="172">
                  <c:v>-4.7E-2</c:v>
                </c:pt>
                <c:pt idx="173">
                  <c:v>-1.081</c:v>
                </c:pt>
                <c:pt idx="174">
                  <c:v>-0.23</c:v>
                </c:pt>
                <c:pt idx="175">
                  <c:v>2.1560000000000001</c:v>
                </c:pt>
                <c:pt idx="176">
                  <c:v>3.9980000000000002</c:v>
                </c:pt>
                <c:pt idx="177">
                  <c:v>5.6509999999999998</c:v>
                </c:pt>
                <c:pt idx="178">
                  <c:v>2.8170000000000002</c:v>
                </c:pt>
                <c:pt idx="179">
                  <c:v>0.69799999999999995</c:v>
                </c:pt>
                <c:pt idx="180">
                  <c:v>5.5309999999999997</c:v>
                </c:pt>
                <c:pt idx="181">
                  <c:v>2.7549999999999999</c:v>
                </c:pt>
                <c:pt idx="182">
                  <c:v>3.1930000000000001</c:v>
                </c:pt>
                <c:pt idx="183">
                  <c:v>5.5439999999999996</c:v>
                </c:pt>
                <c:pt idx="184">
                  <c:v>5.2869999999999999</c:v>
                </c:pt>
                <c:pt idx="185">
                  <c:v>5.516</c:v>
                </c:pt>
                <c:pt idx="186">
                  <c:v>4.2030000000000003</c:v>
                </c:pt>
                <c:pt idx="187">
                  <c:v>2.2959999999999998</c:v>
                </c:pt>
                <c:pt idx="188">
                  <c:v>2.0179999999999998</c:v>
                </c:pt>
                <c:pt idx="189">
                  <c:v>9.26</c:v>
                </c:pt>
                <c:pt idx="190">
                  <c:v>4.4320000000000004</c:v>
                </c:pt>
                <c:pt idx="191">
                  <c:v>2.0099999999999998</c:v>
                </c:pt>
                <c:pt idx="192">
                  <c:v>5.17</c:v>
                </c:pt>
                <c:pt idx="193">
                  <c:v>3.714</c:v>
                </c:pt>
                <c:pt idx="194">
                  <c:v>4.9349999999999996</c:v>
                </c:pt>
                <c:pt idx="195">
                  <c:v>0.36599999999999999</c:v>
                </c:pt>
                <c:pt idx="196">
                  <c:v>-0.44400000000000001</c:v>
                </c:pt>
                <c:pt idx="197">
                  <c:v>-0.122</c:v>
                </c:pt>
                <c:pt idx="198">
                  <c:v>-7.8E-2</c:v>
                </c:pt>
                <c:pt idx="199">
                  <c:v>-1.083</c:v>
                </c:pt>
                <c:pt idx="200">
                  <c:v>1.107</c:v>
                </c:pt>
                <c:pt idx="201">
                  <c:v>4.8289999999999997</c:v>
                </c:pt>
                <c:pt idx="202">
                  <c:v>7.86</c:v>
                </c:pt>
                <c:pt idx="203">
                  <c:v>6.9880000000000004</c:v>
                </c:pt>
                <c:pt idx="204">
                  <c:v>7.69</c:v>
                </c:pt>
                <c:pt idx="205">
                  <c:v>7.24</c:v>
                </c:pt>
                <c:pt idx="206">
                  <c:v>5.9269999999999996</c:v>
                </c:pt>
                <c:pt idx="207">
                  <c:v>6.2770000000000001</c:v>
                </c:pt>
                <c:pt idx="208">
                  <c:v>4.0670000000000002</c:v>
                </c:pt>
                <c:pt idx="209">
                  <c:v>0.749</c:v>
                </c:pt>
                <c:pt idx="210">
                  <c:v>-1.321</c:v>
                </c:pt>
                <c:pt idx="211">
                  <c:v>-0.52600000000000002</c:v>
                </c:pt>
                <c:pt idx="212">
                  <c:v>0.33100000000000002</c:v>
                </c:pt>
                <c:pt idx="213">
                  <c:v>0.73599999999999999</c:v>
                </c:pt>
                <c:pt idx="214">
                  <c:v>-0.70599999999999996</c:v>
                </c:pt>
                <c:pt idx="215">
                  <c:v>-2.141</c:v>
                </c:pt>
                <c:pt idx="216">
                  <c:v>-3.734</c:v>
                </c:pt>
                <c:pt idx="217">
                  <c:v>-4.2999999999999997E-2</c:v>
                </c:pt>
                <c:pt idx="218">
                  <c:v>1.615</c:v>
                </c:pt>
                <c:pt idx="219">
                  <c:v>2.097</c:v>
                </c:pt>
                <c:pt idx="220">
                  <c:v>3.5609999999999999</c:v>
                </c:pt>
                <c:pt idx="221">
                  <c:v>4.7759999999999998</c:v>
                </c:pt>
                <c:pt idx="222">
                  <c:v>0.01</c:v>
                </c:pt>
                <c:pt idx="223">
                  <c:v>-0.95499999999999996</c:v>
                </c:pt>
                <c:pt idx="224">
                  <c:v>2.5070000000000001</c:v>
                </c:pt>
                <c:pt idx="225">
                  <c:v>0.67900000000000005</c:v>
                </c:pt>
                <c:pt idx="226">
                  <c:v>0.19700000000000001</c:v>
                </c:pt>
                <c:pt idx="227">
                  <c:v>-0.22500000000000001</c:v>
                </c:pt>
                <c:pt idx="228">
                  <c:v>-1.3029999999999999</c:v>
                </c:pt>
                <c:pt idx="229">
                  <c:v>1.0820000000000001</c:v>
                </c:pt>
                <c:pt idx="230">
                  <c:v>-0.52300000000000002</c:v>
                </c:pt>
                <c:pt idx="231">
                  <c:v>0.34499999999999997</c:v>
                </c:pt>
                <c:pt idx="232">
                  <c:v>1.474</c:v>
                </c:pt>
                <c:pt idx="233">
                  <c:v>3.9929999999999999</c:v>
                </c:pt>
                <c:pt idx="234">
                  <c:v>1.0549999999999999</c:v>
                </c:pt>
                <c:pt idx="235">
                  <c:v>-0.76800000000000002</c:v>
                </c:pt>
                <c:pt idx="236">
                  <c:v>-1.5609999999999999</c:v>
                </c:pt>
                <c:pt idx="237">
                  <c:v>0.23599999999999999</c:v>
                </c:pt>
                <c:pt idx="238">
                  <c:v>0.91800000000000004</c:v>
                </c:pt>
                <c:pt idx="239">
                  <c:v>1.2370000000000001</c:v>
                </c:pt>
                <c:pt idx="240">
                  <c:v>2.359</c:v>
                </c:pt>
                <c:pt idx="241">
                  <c:v>-1.4390000000000001</c:v>
                </c:pt>
                <c:pt idx="242">
                  <c:v>-3.3079999999999998</c:v>
                </c:pt>
                <c:pt idx="243">
                  <c:v>-3.2120000000000002</c:v>
                </c:pt>
                <c:pt idx="244">
                  <c:v>-1.6E-2</c:v>
                </c:pt>
                <c:pt idx="245">
                  <c:v>0.90400000000000003</c:v>
                </c:pt>
                <c:pt idx="246">
                  <c:v>3.88</c:v>
                </c:pt>
                <c:pt idx="247">
                  <c:v>2.8919999999999999</c:v>
                </c:pt>
                <c:pt idx="248">
                  <c:v>1.802</c:v>
                </c:pt>
                <c:pt idx="249">
                  <c:v>1.7929999999999999</c:v>
                </c:pt>
                <c:pt idx="250">
                  <c:v>2.9849999999999999</c:v>
                </c:pt>
                <c:pt idx="251">
                  <c:v>3.145</c:v>
                </c:pt>
                <c:pt idx="252">
                  <c:v>3.5419999999999998</c:v>
                </c:pt>
                <c:pt idx="253">
                  <c:v>0.26200000000000001</c:v>
                </c:pt>
                <c:pt idx="254">
                  <c:v>1.5449999999999999</c:v>
                </c:pt>
                <c:pt idx="255">
                  <c:v>0.64100000000000001</c:v>
                </c:pt>
                <c:pt idx="256">
                  <c:v>-0.54900000000000004</c:v>
                </c:pt>
                <c:pt idx="257">
                  <c:v>-2.4159999999999999</c:v>
                </c:pt>
                <c:pt idx="258">
                  <c:v>-3.4319999999999999</c:v>
                </c:pt>
                <c:pt idx="259">
                  <c:v>-5.3380000000000001</c:v>
                </c:pt>
                <c:pt idx="260">
                  <c:v>2.2240000000000002</c:v>
                </c:pt>
                <c:pt idx="261">
                  <c:v>-1.9710000000000001</c:v>
                </c:pt>
                <c:pt idx="262">
                  <c:v>-2.0089999999999999</c:v>
                </c:pt>
                <c:pt idx="263">
                  <c:v>0.01</c:v>
                </c:pt>
                <c:pt idx="264">
                  <c:v>-0.53</c:v>
                </c:pt>
                <c:pt idx="265">
                  <c:v>-1.282</c:v>
                </c:pt>
                <c:pt idx="266">
                  <c:v>-2.4670000000000001</c:v>
                </c:pt>
                <c:pt idx="267">
                  <c:v>-1.736</c:v>
                </c:pt>
                <c:pt idx="268">
                  <c:v>0.13500000000000001</c:v>
                </c:pt>
                <c:pt idx="269">
                  <c:v>-1.6060000000000001</c:v>
                </c:pt>
                <c:pt idx="270">
                  <c:v>0.29299999999999998</c:v>
                </c:pt>
                <c:pt idx="271">
                  <c:v>-0.02</c:v>
                </c:pt>
                <c:pt idx="272">
                  <c:v>-2.6629999999999998</c:v>
                </c:pt>
                <c:pt idx="273">
                  <c:v>-4.9669999999999996</c:v>
                </c:pt>
                <c:pt idx="274">
                  <c:v>-5.3209999999999997</c:v>
                </c:pt>
                <c:pt idx="275">
                  <c:v>-5.742</c:v>
                </c:pt>
                <c:pt idx="276">
                  <c:v>-4.9580000000000002</c:v>
                </c:pt>
                <c:pt idx="277">
                  <c:v>-3.843</c:v>
                </c:pt>
                <c:pt idx="278">
                  <c:v>-3.3959999999999999</c:v>
                </c:pt>
                <c:pt idx="279">
                  <c:v>-8.01</c:v>
                </c:pt>
                <c:pt idx="280">
                  <c:v>-7.4</c:v>
                </c:pt>
                <c:pt idx="281">
                  <c:v>-9.0399999999999991</c:v>
                </c:pt>
                <c:pt idx="282">
                  <c:v>-6.2709999999999999</c:v>
                </c:pt>
                <c:pt idx="283">
                  <c:v>-5.7279999999999998</c:v>
                </c:pt>
                <c:pt idx="284">
                  <c:v>-4.2169999999999996</c:v>
                </c:pt>
                <c:pt idx="285">
                  <c:v>-2.992</c:v>
                </c:pt>
                <c:pt idx="286">
                  <c:v>-4.0430000000000001</c:v>
                </c:pt>
                <c:pt idx="287">
                  <c:v>-1.7070000000000001</c:v>
                </c:pt>
                <c:pt idx="288">
                  <c:v>-3</c:v>
                </c:pt>
                <c:pt idx="289">
                  <c:v>-3.387</c:v>
                </c:pt>
                <c:pt idx="290">
                  <c:v>-2.7839999999999998</c:v>
                </c:pt>
                <c:pt idx="291">
                  <c:v>-0.92200000000000004</c:v>
                </c:pt>
                <c:pt idx="292">
                  <c:v>-5.55</c:v>
                </c:pt>
                <c:pt idx="293">
                  <c:v>-7.48</c:v>
                </c:pt>
                <c:pt idx="294">
                  <c:v>-6.9610000000000003</c:v>
                </c:pt>
                <c:pt idx="295">
                  <c:v>-5.5460000000000003</c:v>
                </c:pt>
                <c:pt idx="296">
                  <c:v>-3.64</c:v>
                </c:pt>
                <c:pt idx="297">
                  <c:v>-8.5299999999999994</c:v>
                </c:pt>
                <c:pt idx="298">
                  <c:v>-0.70799999999999996</c:v>
                </c:pt>
                <c:pt idx="299">
                  <c:v>2.1949999999999998</c:v>
                </c:pt>
                <c:pt idx="300">
                  <c:v>1.048</c:v>
                </c:pt>
                <c:pt idx="301">
                  <c:v>-11.59</c:v>
                </c:pt>
                <c:pt idx="302">
                  <c:v>-19.510000000000002</c:v>
                </c:pt>
                <c:pt idx="303">
                  <c:v>-18.489999999999998</c:v>
                </c:pt>
                <c:pt idx="304">
                  <c:v>-19.72</c:v>
                </c:pt>
                <c:pt idx="305">
                  <c:v>-10.74</c:v>
                </c:pt>
                <c:pt idx="306">
                  <c:v>-4.2380000000000004</c:v>
                </c:pt>
                <c:pt idx="307">
                  <c:v>-0.14399999999999999</c:v>
                </c:pt>
                <c:pt idx="308">
                  <c:v>-0.122</c:v>
                </c:pt>
                <c:pt idx="309">
                  <c:v>-7.5999999999999998E-2</c:v>
                </c:pt>
                <c:pt idx="310">
                  <c:v>-0.92700000000000005</c:v>
                </c:pt>
                <c:pt idx="311">
                  <c:v>-7.69</c:v>
                </c:pt>
                <c:pt idx="312">
                  <c:v>-10.98</c:v>
                </c:pt>
                <c:pt idx="313">
                  <c:v>-5.7750000000000004</c:v>
                </c:pt>
                <c:pt idx="314">
                  <c:v>-5.2140000000000004</c:v>
                </c:pt>
                <c:pt idx="315">
                  <c:v>-4.7370000000000001</c:v>
                </c:pt>
                <c:pt idx="316">
                  <c:v>-6.5110000000000001</c:v>
                </c:pt>
                <c:pt idx="317">
                  <c:v>-14.05</c:v>
                </c:pt>
                <c:pt idx="318">
                  <c:v>-5.0389999999999997</c:v>
                </c:pt>
                <c:pt idx="319">
                  <c:v>-9.0399999999999991</c:v>
                </c:pt>
                <c:pt idx="320">
                  <c:v>-8.36</c:v>
                </c:pt>
                <c:pt idx="321">
                  <c:v>-5.4509999999999996</c:v>
                </c:pt>
                <c:pt idx="322">
                  <c:v>-5.5490000000000004</c:v>
                </c:pt>
                <c:pt idx="323">
                  <c:v>-10.26</c:v>
                </c:pt>
                <c:pt idx="324">
                  <c:v>-4.3959999999999999</c:v>
                </c:pt>
                <c:pt idx="325">
                  <c:v>-6.6840000000000002</c:v>
                </c:pt>
                <c:pt idx="326">
                  <c:v>-7.43</c:v>
                </c:pt>
                <c:pt idx="327">
                  <c:v>-17.45</c:v>
                </c:pt>
                <c:pt idx="328">
                  <c:v>-19.829999999999998</c:v>
                </c:pt>
                <c:pt idx="329">
                  <c:v>-17.38</c:v>
                </c:pt>
                <c:pt idx="330">
                  <c:v>-27.07</c:v>
                </c:pt>
                <c:pt idx="331">
                  <c:v>-34.840000000000003</c:v>
                </c:pt>
                <c:pt idx="332">
                  <c:v>-36.72</c:v>
                </c:pt>
                <c:pt idx="333">
                  <c:v>-18.62</c:v>
                </c:pt>
                <c:pt idx="334">
                  <c:v>-15.29</c:v>
                </c:pt>
                <c:pt idx="335">
                  <c:v>-21.12</c:v>
                </c:pt>
                <c:pt idx="336">
                  <c:v>-10.02</c:v>
                </c:pt>
                <c:pt idx="337">
                  <c:v>-8.7100000000000009</c:v>
                </c:pt>
                <c:pt idx="338">
                  <c:v>-9.07</c:v>
                </c:pt>
                <c:pt idx="339">
                  <c:v>-8.8000000000000007</c:v>
                </c:pt>
                <c:pt idx="340">
                  <c:v>-8.98</c:v>
                </c:pt>
                <c:pt idx="341">
                  <c:v>-3.93</c:v>
                </c:pt>
                <c:pt idx="342">
                  <c:v>-4.8630000000000004</c:v>
                </c:pt>
                <c:pt idx="343">
                  <c:v>-4.8760000000000003</c:v>
                </c:pt>
                <c:pt idx="344">
                  <c:v>-2.278</c:v>
                </c:pt>
                <c:pt idx="345">
                  <c:v>-8.8699999999999992</c:v>
                </c:pt>
                <c:pt idx="346">
                  <c:v>-5.2779999999999996</c:v>
                </c:pt>
                <c:pt idx="347">
                  <c:v>-13.31</c:v>
                </c:pt>
                <c:pt idx="348">
                  <c:v>-19.07</c:v>
                </c:pt>
                <c:pt idx="349">
                  <c:v>-25.01</c:v>
                </c:pt>
                <c:pt idx="350">
                  <c:v>-19.52</c:v>
                </c:pt>
                <c:pt idx="351">
                  <c:v>-15.22</c:v>
                </c:pt>
                <c:pt idx="352">
                  <c:v>-9.44</c:v>
                </c:pt>
                <c:pt idx="353">
                  <c:v>-6.0570000000000004</c:v>
                </c:pt>
                <c:pt idx="354">
                  <c:v>-7.46</c:v>
                </c:pt>
                <c:pt idx="355">
                  <c:v>-9.36</c:v>
                </c:pt>
                <c:pt idx="356">
                  <c:v>-16.53</c:v>
                </c:pt>
                <c:pt idx="357">
                  <c:v>-22.59</c:v>
                </c:pt>
                <c:pt idx="358">
                  <c:v>-11.37</c:v>
                </c:pt>
                <c:pt idx="359">
                  <c:v>-9.56</c:v>
                </c:pt>
                <c:pt idx="360">
                  <c:v>-13.87</c:v>
                </c:pt>
                <c:pt idx="361">
                  <c:v>-21.86</c:v>
                </c:pt>
                <c:pt idx="362">
                  <c:v>-17.82</c:v>
                </c:pt>
                <c:pt idx="363">
                  <c:v>-17.16</c:v>
                </c:pt>
                <c:pt idx="364">
                  <c:v>-14.24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30240"/>
        <c:axId val="262336512"/>
      </c:lineChart>
      <c:catAx>
        <c:axId val="26233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33651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233651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330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52608213096559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0.36899999999999999</c:v>
                </c:pt>
                <c:pt idx="1">
                  <c:v>3.5270000000000001</c:v>
                </c:pt>
                <c:pt idx="2">
                  <c:v>0.28399999999999997</c:v>
                </c:pt>
                <c:pt idx="3">
                  <c:v>1.4830000000000001</c:v>
                </c:pt>
                <c:pt idx="4">
                  <c:v>0.98899999999999999</c:v>
                </c:pt>
                <c:pt idx="5">
                  <c:v>2.2450000000000001</c:v>
                </c:pt>
                <c:pt idx="6">
                  <c:v>-0.45600000000000002</c:v>
                </c:pt>
                <c:pt idx="7">
                  <c:v>0.48799999999999999</c:v>
                </c:pt>
                <c:pt idx="8">
                  <c:v>-1.6339999999999999</c:v>
                </c:pt>
                <c:pt idx="9">
                  <c:v>-0.29199999999999998</c:v>
                </c:pt>
                <c:pt idx="10">
                  <c:v>-0.72099999999999997</c:v>
                </c:pt>
                <c:pt idx="11">
                  <c:v>-2.5459999999999998</c:v>
                </c:pt>
                <c:pt idx="12">
                  <c:v>0.67100000000000004</c:v>
                </c:pt>
                <c:pt idx="13">
                  <c:v>-1.202</c:v>
                </c:pt>
                <c:pt idx="14">
                  <c:v>-4.3840000000000003</c:v>
                </c:pt>
                <c:pt idx="15">
                  <c:v>-4.1379999999999999</c:v>
                </c:pt>
                <c:pt idx="16">
                  <c:v>1.931</c:v>
                </c:pt>
                <c:pt idx="17">
                  <c:v>-2.972</c:v>
                </c:pt>
                <c:pt idx="18">
                  <c:v>-5.1079999999999997</c:v>
                </c:pt>
                <c:pt idx="19">
                  <c:v>-4.9379999999999997</c:v>
                </c:pt>
                <c:pt idx="20">
                  <c:v>-1.5029999999999999</c:v>
                </c:pt>
                <c:pt idx="21">
                  <c:v>-1.7270000000000001</c:v>
                </c:pt>
                <c:pt idx="22">
                  <c:v>4.444</c:v>
                </c:pt>
                <c:pt idx="23">
                  <c:v>4.1879999999999997</c:v>
                </c:pt>
                <c:pt idx="24">
                  <c:v>5.35</c:v>
                </c:pt>
                <c:pt idx="25">
                  <c:v>0.82799999999999996</c:v>
                </c:pt>
                <c:pt idx="26">
                  <c:v>6.2E-2</c:v>
                </c:pt>
                <c:pt idx="27">
                  <c:v>6.8000000000000005E-2</c:v>
                </c:pt>
                <c:pt idx="28">
                  <c:v>-3.7</c:v>
                </c:pt>
                <c:pt idx="29">
                  <c:v>-0.93400000000000005</c:v>
                </c:pt>
                <c:pt idx="30">
                  <c:v>-3.3559999999999999</c:v>
                </c:pt>
                <c:pt idx="31">
                  <c:v>-0.26100000000000001</c:v>
                </c:pt>
                <c:pt idx="32">
                  <c:v>1.2609999999999999</c:v>
                </c:pt>
                <c:pt idx="33">
                  <c:v>0.41099999999999998</c:v>
                </c:pt>
                <c:pt idx="34">
                  <c:v>-8.0000000000000002E-3</c:v>
                </c:pt>
                <c:pt idx="35">
                  <c:v>0.26400000000000001</c:v>
                </c:pt>
                <c:pt idx="36">
                  <c:v>-7.3999999999999996E-2</c:v>
                </c:pt>
                <c:pt idx="37">
                  <c:v>-1.1499999999999999</c:v>
                </c:pt>
                <c:pt idx="38">
                  <c:v>0.34100000000000003</c:v>
                </c:pt>
                <c:pt idx="39">
                  <c:v>1.806</c:v>
                </c:pt>
                <c:pt idx="40">
                  <c:v>2.0920000000000001</c:v>
                </c:pt>
                <c:pt idx="41">
                  <c:v>4.9809999999999999</c:v>
                </c:pt>
                <c:pt idx="42">
                  <c:v>3.9009999999999998</c:v>
                </c:pt>
                <c:pt idx="43">
                  <c:v>-4.117</c:v>
                </c:pt>
                <c:pt idx="44">
                  <c:v>-2.7210000000000001</c:v>
                </c:pt>
                <c:pt idx="45">
                  <c:v>-7.41</c:v>
                </c:pt>
                <c:pt idx="46">
                  <c:v>-7.76</c:v>
                </c:pt>
                <c:pt idx="47">
                  <c:v>-5.1189999999999998</c:v>
                </c:pt>
                <c:pt idx="48">
                  <c:v>-4.0810000000000004</c:v>
                </c:pt>
                <c:pt idx="49">
                  <c:v>-6.45</c:v>
                </c:pt>
                <c:pt idx="50">
                  <c:v>-7.2</c:v>
                </c:pt>
                <c:pt idx="51">
                  <c:v>-4.4960000000000004</c:v>
                </c:pt>
                <c:pt idx="52">
                  <c:v>-4.3680000000000003</c:v>
                </c:pt>
                <c:pt idx="53">
                  <c:v>-2.3180000000000001</c:v>
                </c:pt>
                <c:pt idx="54">
                  <c:v>1.3839999999999999</c:v>
                </c:pt>
                <c:pt idx="55">
                  <c:v>-0.32</c:v>
                </c:pt>
                <c:pt idx="56">
                  <c:v>-2.9849999999999999</c:v>
                </c:pt>
                <c:pt idx="57">
                  <c:v>0.79800000000000004</c:v>
                </c:pt>
                <c:pt idx="58">
                  <c:v>-0.82899999999999996</c:v>
                </c:pt>
                <c:pt idx="59">
                  <c:v>0.193</c:v>
                </c:pt>
                <c:pt idx="60">
                  <c:v>-0.107</c:v>
                </c:pt>
                <c:pt idx="61">
                  <c:v>2.1930000000000001</c:v>
                </c:pt>
                <c:pt idx="62">
                  <c:v>4.0199999999999996</c:v>
                </c:pt>
                <c:pt idx="63">
                  <c:v>2.718</c:v>
                </c:pt>
                <c:pt idx="64">
                  <c:v>1.405</c:v>
                </c:pt>
                <c:pt idx="65">
                  <c:v>1.2909999999999999</c:v>
                </c:pt>
                <c:pt idx="66">
                  <c:v>-2.548</c:v>
                </c:pt>
                <c:pt idx="67">
                  <c:v>-1.173</c:v>
                </c:pt>
                <c:pt idx="68">
                  <c:v>-1.3129999999999999</c:v>
                </c:pt>
                <c:pt idx="69">
                  <c:v>-1.986</c:v>
                </c:pt>
                <c:pt idx="70">
                  <c:v>-9.9000000000000005E-2</c:v>
                </c:pt>
                <c:pt idx="71">
                  <c:v>-2.6019999999999999</c:v>
                </c:pt>
                <c:pt idx="72">
                  <c:v>-1.1499999999999999</c:v>
                </c:pt>
                <c:pt idx="73">
                  <c:v>-1.0109999999999999</c:v>
                </c:pt>
                <c:pt idx="74">
                  <c:v>-0.99199999999999999</c:v>
                </c:pt>
                <c:pt idx="75">
                  <c:v>-0.64800000000000002</c:v>
                </c:pt>
                <c:pt idx="76">
                  <c:v>-0.49399999999999999</c:v>
                </c:pt>
                <c:pt idx="77">
                  <c:v>1E-3</c:v>
                </c:pt>
                <c:pt idx="78">
                  <c:v>-1.222</c:v>
                </c:pt>
                <c:pt idx="79">
                  <c:v>-0.71699999999999997</c:v>
                </c:pt>
                <c:pt idx="80">
                  <c:v>-0.05</c:v>
                </c:pt>
                <c:pt idx="81">
                  <c:v>1.147</c:v>
                </c:pt>
                <c:pt idx="82">
                  <c:v>2.1560000000000001</c:v>
                </c:pt>
                <c:pt idx="83">
                  <c:v>0.52500000000000002</c:v>
                </c:pt>
                <c:pt idx="84">
                  <c:v>-0.11899999999999999</c:v>
                </c:pt>
                <c:pt idx="85">
                  <c:v>-0.25</c:v>
                </c:pt>
                <c:pt idx="86">
                  <c:v>-0.32200000000000001</c:v>
                </c:pt>
                <c:pt idx="87">
                  <c:v>2.5110000000000001</c:v>
                </c:pt>
                <c:pt idx="88">
                  <c:v>1.5189999999999999</c:v>
                </c:pt>
                <c:pt idx="89">
                  <c:v>2.1640000000000001</c:v>
                </c:pt>
                <c:pt idx="90">
                  <c:v>3.0529999999999999</c:v>
                </c:pt>
                <c:pt idx="91">
                  <c:v>3.8180000000000001</c:v>
                </c:pt>
                <c:pt idx="92">
                  <c:v>2.339</c:v>
                </c:pt>
                <c:pt idx="93">
                  <c:v>1.0269999999999999</c:v>
                </c:pt>
                <c:pt idx="94">
                  <c:v>9.09</c:v>
                </c:pt>
                <c:pt idx="95">
                  <c:v>7.96</c:v>
                </c:pt>
                <c:pt idx="96">
                  <c:v>9.26</c:v>
                </c:pt>
                <c:pt idx="97">
                  <c:v>6.9790000000000001</c:v>
                </c:pt>
                <c:pt idx="98">
                  <c:v>9.7100000000000009</c:v>
                </c:pt>
                <c:pt idx="99">
                  <c:v>6.2039999999999997</c:v>
                </c:pt>
                <c:pt idx="100">
                  <c:v>4.1630000000000003</c:v>
                </c:pt>
                <c:pt idx="101">
                  <c:v>5.7549999999999999</c:v>
                </c:pt>
                <c:pt idx="102">
                  <c:v>2.101</c:v>
                </c:pt>
                <c:pt idx="103">
                  <c:v>4.6340000000000003</c:v>
                </c:pt>
                <c:pt idx="104">
                  <c:v>4.6870000000000003</c:v>
                </c:pt>
                <c:pt idx="105">
                  <c:v>3.621</c:v>
                </c:pt>
                <c:pt idx="106">
                  <c:v>6.2679999999999998</c:v>
                </c:pt>
                <c:pt idx="107">
                  <c:v>7.79</c:v>
                </c:pt>
                <c:pt idx="108">
                  <c:v>11.34</c:v>
                </c:pt>
                <c:pt idx="109">
                  <c:v>14.06</c:v>
                </c:pt>
                <c:pt idx="110">
                  <c:v>8.4</c:v>
                </c:pt>
                <c:pt idx="111">
                  <c:v>5.1070000000000002</c:v>
                </c:pt>
                <c:pt idx="112">
                  <c:v>10.85</c:v>
                </c:pt>
                <c:pt idx="113">
                  <c:v>16.399999999999999</c:v>
                </c:pt>
                <c:pt idx="114">
                  <c:v>14.51</c:v>
                </c:pt>
                <c:pt idx="115">
                  <c:v>10.02</c:v>
                </c:pt>
                <c:pt idx="116">
                  <c:v>10.67</c:v>
                </c:pt>
                <c:pt idx="117">
                  <c:v>16.21</c:v>
                </c:pt>
                <c:pt idx="118">
                  <c:v>16.239999999999998</c:v>
                </c:pt>
                <c:pt idx="119">
                  <c:v>9.6300000000000008</c:v>
                </c:pt>
                <c:pt idx="120">
                  <c:v>2.0259999999999998</c:v>
                </c:pt>
                <c:pt idx="121">
                  <c:v>8.25</c:v>
                </c:pt>
                <c:pt idx="122">
                  <c:v>12.07</c:v>
                </c:pt>
                <c:pt idx="123">
                  <c:v>14.14</c:v>
                </c:pt>
                <c:pt idx="124">
                  <c:v>16.75</c:v>
                </c:pt>
                <c:pt idx="125">
                  <c:v>11.24</c:v>
                </c:pt>
                <c:pt idx="126">
                  <c:v>9.93</c:v>
                </c:pt>
                <c:pt idx="127">
                  <c:v>6.649</c:v>
                </c:pt>
                <c:pt idx="128">
                  <c:v>8.42</c:v>
                </c:pt>
                <c:pt idx="129">
                  <c:v>12.3</c:v>
                </c:pt>
                <c:pt idx="130">
                  <c:v>12.73</c:v>
                </c:pt>
                <c:pt idx="131">
                  <c:v>7.41</c:v>
                </c:pt>
                <c:pt idx="132">
                  <c:v>11.99</c:v>
                </c:pt>
                <c:pt idx="133">
                  <c:v>18.600000000000001</c:v>
                </c:pt>
                <c:pt idx="134">
                  <c:v>24.73</c:v>
                </c:pt>
                <c:pt idx="135">
                  <c:v>26.25</c:v>
                </c:pt>
                <c:pt idx="136">
                  <c:v>27.99</c:v>
                </c:pt>
                <c:pt idx="137">
                  <c:v>26.13</c:v>
                </c:pt>
                <c:pt idx="138">
                  <c:v>26.54</c:v>
                </c:pt>
                <c:pt idx="139">
                  <c:v>9.6</c:v>
                </c:pt>
                <c:pt idx="140">
                  <c:v>18.97</c:v>
                </c:pt>
                <c:pt idx="141">
                  <c:v>19.46</c:v>
                </c:pt>
                <c:pt idx="142">
                  <c:v>16.66</c:v>
                </c:pt>
                <c:pt idx="143">
                  <c:v>10.14</c:v>
                </c:pt>
                <c:pt idx="144">
                  <c:v>10.33</c:v>
                </c:pt>
                <c:pt idx="145">
                  <c:v>8.01</c:v>
                </c:pt>
                <c:pt idx="146">
                  <c:v>11.01</c:v>
                </c:pt>
                <c:pt idx="147">
                  <c:v>14.4</c:v>
                </c:pt>
                <c:pt idx="148">
                  <c:v>17.29</c:v>
                </c:pt>
                <c:pt idx="149">
                  <c:v>18.899999999999999</c:v>
                </c:pt>
                <c:pt idx="150">
                  <c:v>21.63</c:v>
                </c:pt>
                <c:pt idx="151">
                  <c:v>22.89</c:v>
                </c:pt>
                <c:pt idx="152">
                  <c:v>14.9</c:v>
                </c:pt>
                <c:pt idx="153">
                  <c:v>14</c:v>
                </c:pt>
                <c:pt idx="154">
                  <c:v>12.37</c:v>
                </c:pt>
                <c:pt idx="155">
                  <c:v>16.329999999999998</c:v>
                </c:pt>
                <c:pt idx="156">
                  <c:v>21.04</c:v>
                </c:pt>
                <c:pt idx="157">
                  <c:v>23.05</c:v>
                </c:pt>
                <c:pt idx="158">
                  <c:v>13.55</c:v>
                </c:pt>
                <c:pt idx="159">
                  <c:v>18.5</c:v>
                </c:pt>
                <c:pt idx="160">
                  <c:v>21.28</c:v>
                </c:pt>
                <c:pt idx="161">
                  <c:v>14.23</c:v>
                </c:pt>
                <c:pt idx="162">
                  <c:v>23.24</c:v>
                </c:pt>
                <c:pt idx="163">
                  <c:v>22.23</c:v>
                </c:pt>
                <c:pt idx="164">
                  <c:v>10.18</c:v>
                </c:pt>
                <c:pt idx="165">
                  <c:v>10.02</c:v>
                </c:pt>
                <c:pt idx="166">
                  <c:v>17.71</c:v>
                </c:pt>
                <c:pt idx="167">
                  <c:v>16.149999999999999</c:v>
                </c:pt>
                <c:pt idx="168">
                  <c:v>16.190000000000001</c:v>
                </c:pt>
                <c:pt idx="169">
                  <c:v>9.4</c:v>
                </c:pt>
                <c:pt idx="170">
                  <c:v>18.329999999999998</c:v>
                </c:pt>
                <c:pt idx="171">
                  <c:v>18.989999999999998</c:v>
                </c:pt>
                <c:pt idx="172">
                  <c:v>20.93</c:v>
                </c:pt>
                <c:pt idx="173">
                  <c:v>20.52</c:v>
                </c:pt>
                <c:pt idx="174">
                  <c:v>24.91</c:v>
                </c:pt>
                <c:pt idx="175">
                  <c:v>28.06</c:v>
                </c:pt>
                <c:pt idx="176">
                  <c:v>30.15</c:v>
                </c:pt>
                <c:pt idx="177">
                  <c:v>30.25</c:v>
                </c:pt>
                <c:pt idx="178">
                  <c:v>25.31</c:v>
                </c:pt>
                <c:pt idx="179">
                  <c:v>24.33</c:v>
                </c:pt>
                <c:pt idx="180">
                  <c:v>27.39</c:v>
                </c:pt>
                <c:pt idx="181">
                  <c:v>27.61</c:v>
                </c:pt>
                <c:pt idx="182">
                  <c:v>29.43</c:v>
                </c:pt>
                <c:pt idx="183">
                  <c:v>31.77</c:v>
                </c:pt>
                <c:pt idx="184">
                  <c:v>28.77</c:v>
                </c:pt>
                <c:pt idx="185">
                  <c:v>29.38</c:v>
                </c:pt>
                <c:pt idx="186">
                  <c:v>24.85</c:v>
                </c:pt>
                <c:pt idx="187">
                  <c:v>21.81</c:v>
                </c:pt>
                <c:pt idx="188">
                  <c:v>26.77</c:v>
                </c:pt>
                <c:pt idx="189">
                  <c:v>25.27</c:v>
                </c:pt>
                <c:pt idx="190">
                  <c:v>22.8</c:v>
                </c:pt>
                <c:pt idx="191">
                  <c:v>18.66</c:v>
                </c:pt>
                <c:pt idx="192">
                  <c:v>19.46</c:v>
                </c:pt>
                <c:pt idx="193">
                  <c:v>16.53</c:v>
                </c:pt>
                <c:pt idx="194">
                  <c:v>21.29</c:v>
                </c:pt>
                <c:pt idx="195">
                  <c:v>22.25</c:v>
                </c:pt>
                <c:pt idx="196">
                  <c:v>22.71</c:v>
                </c:pt>
                <c:pt idx="197">
                  <c:v>25.09</c:v>
                </c:pt>
                <c:pt idx="198">
                  <c:v>21.29</c:v>
                </c:pt>
                <c:pt idx="199">
                  <c:v>22.61</c:v>
                </c:pt>
                <c:pt idx="200">
                  <c:v>26.2</c:v>
                </c:pt>
                <c:pt idx="201">
                  <c:v>31.1</c:v>
                </c:pt>
                <c:pt idx="202">
                  <c:v>32.020000000000003</c:v>
                </c:pt>
                <c:pt idx="203">
                  <c:v>32.85</c:v>
                </c:pt>
                <c:pt idx="204">
                  <c:v>28.55</c:v>
                </c:pt>
                <c:pt idx="205">
                  <c:v>29.12</c:v>
                </c:pt>
                <c:pt idx="206">
                  <c:v>29.53</c:v>
                </c:pt>
                <c:pt idx="207">
                  <c:v>28.32</c:v>
                </c:pt>
                <c:pt idx="208">
                  <c:v>25.98</c:v>
                </c:pt>
                <c:pt idx="209">
                  <c:v>24.58</c:v>
                </c:pt>
                <c:pt idx="210">
                  <c:v>14.89</c:v>
                </c:pt>
                <c:pt idx="211">
                  <c:v>16.02</c:v>
                </c:pt>
                <c:pt idx="212">
                  <c:v>20.34</c:v>
                </c:pt>
                <c:pt idx="213">
                  <c:v>21.42</c:v>
                </c:pt>
                <c:pt idx="214">
                  <c:v>21.66</c:v>
                </c:pt>
                <c:pt idx="215">
                  <c:v>19.059999999999999</c:v>
                </c:pt>
                <c:pt idx="216">
                  <c:v>22.89</c:v>
                </c:pt>
                <c:pt idx="217">
                  <c:v>26</c:v>
                </c:pt>
                <c:pt idx="218">
                  <c:v>28.4</c:v>
                </c:pt>
                <c:pt idx="219">
                  <c:v>25.24</c:v>
                </c:pt>
                <c:pt idx="220">
                  <c:v>19.77</c:v>
                </c:pt>
                <c:pt idx="221">
                  <c:v>20.86</c:v>
                </c:pt>
                <c:pt idx="222">
                  <c:v>13.66</c:v>
                </c:pt>
                <c:pt idx="223">
                  <c:v>18.989999999999998</c:v>
                </c:pt>
                <c:pt idx="224">
                  <c:v>23.79</c:v>
                </c:pt>
                <c:pt idx="225">
                  <c:v>24.98</c:v>
                </c:pt>
                <c:pt idx="226">
                  <c:v>22.86</c:v>
                </c:pt>
                <c:pt idx="227">
                  <c:v>22.8</c:v>
                </c:pt>
                <c:pt idx="228">
                  <c:v>25.2</c:v>
                </c:pt>
                <c:pt idx="229">
                  <c:v>25.72</c:v>
                </c:pt>
                <c:pt idx="230">
                  <c:v>26.49</c:v>
                </c:pt>
                <c:pt idx="231">
                  <c:v>27.62</c:v>
                </c:pt>
                <c:pt idx="232">
                  <c:v>29.69</c:v>
                </c:pt>
                <c:pt idx="233">
                  <c:v>22.5</c:v>
                </c:pt>
                <c:pt idx="234">
                  <c:v>19.62</c:v>
                </c:pt>
                <c:pt idx="235">
                  <c:v>18.7</c:v>
                </c:pt>
                <c:pt idx="236">
                  <c:v>22.14</c:v>
                </c:pt>
                <c:pt idx="237">
                  <c:v>26.46</c:v>
                </c:pt>
                <c:pt idx="238">
                  <c:v>28</c:v>
                </c:pt>
                <c:pt idx="239">
                  <c:v>29.27</c:v>
                </c:pt>
                <c:pt idx="240">
                  <c:v>21.6</c:v>
                </c:pt>
                <c:pt idx="241">
                  <c:v>10.77</c:v>
                </c:pt>
                <c:pt idx="242">
                  <c:v>16.91</c:v>
                </c:pt>
                <c:pt idx="243">
                  <c:v>22.11</c:v>
                </c:pt>
                <c:pt idx="244">
                  <c:v>27.74</c:v>
                </c:pt>
                <c:pt idx="245">
                  <c:v>30.33</c:v>
                </c:pt>
                <c:pt idx="246">
                  <c:v>31.25</c:v>
                </c:pt>
                <c:pt idx="247">
                  <c:v>27.33</c:v>
                </c:pt>
                <c:pt idx="248">
                  <c:v>26.94</c:v>
                </c:pt>
                <c:pt idx="249">
                  <c:v>27.53</c:v>
                </c:pt>
                <c:pt idx="250">
                  <c:v>29.12</c:v>
                </c:pt>
                <c:pt idx="251">
                  <c:v>21.83</c:v>
                </c:pt>
                <c:pt idx="252">
                  <c:v>19.82</c:v>
                </c:pt>
                <c:pt idx="253">
                  <c:v>24.5</c:v>
                </c:pt>
                <c:pt idx="254">
                  <c:v>22.72</c:v>
                </c:pt>
                <c:pt idx="255">
                  <c:v>17.18</c:v>
                </c:pt>
                <c:pt idx="256">
                  <c:v>4.484</c:v>
                </c:pt>
                <c:pt idx="257">
                  <c:v>9.42</c:v>
                </c:pt>
                <c:pt idx="258">
                  <c:v>9.7799999999999994</c:v>
                </c:pt>
                <c:pt idx="259">
                  <c:v>15.84</c:v>
                </c:pt>
                <c:pt idx="260">
                  <c:v>8.81</c:v>
                </c:pt>
                <c:pt idx="261">
                  <c:v>16.72</c:v>
                </c:pt>
                <c:pt idx="262">
                  <c:v>5.1189999999999998</c:v>
                </c:pt>
                <c:pt idx="263">
                  <c:v>4.6550000000000002</c:v>
                </c:pt>
                <c:pt idx="264">
                  <c:v>8.8800000000000008</c:v>
                </c:pt>
                <c:pt idx="265">
                  <c:v>11.46</c:v>
                </c:pt>
                <c:pt idx="266">
                  <c:v>19.88</c:v>
                </c:pt>
                <c:pt idx="267">
                  <c:v>21.49</c:v>
                </c:pt>
                <c:pt idx="268">
                  <c:v>18.399999999999999</c:v>
                </c:pt>
                <c:pt idx="269">
                  <c:v>21.5</c:v>
                </c:pt>
                <c:pt idx="270">
                  <c:v>22.13</c:v>
                </c:pt>
                <c:pt idx="271">
                  <c:v>24.26</c:v>
                </c:pt>
                <c:pt idx="272">
                  <c:v>20.010000000000002</c:v>
                </c:pt>
                <c:pt idx="273">
                  <c:v>15.22</c:v>
                </c:pt>
                <c:pt idx="274">
                  <c:v>13.65</c:v>
                </c:pt>
                <c:pt idx="275">
                  <c:v>11.04</c:v>
                </c:pt>
                <c:pt idx="276">
                  <c:v>16.29</c:v>
                </c:pt>
                <c:pt idx="277">
                  <c:v>14.35</c:v>
                </c:pt>
                <c:pt idx="278">
                  <c:v>14.42</c:v>
                </c:pt>
                <c:pt idx="279">
                  <c:v>11.16</c:v>
                </c:pt>
                <c:pt idx="280">
                  <c:v>13.07</c:v>
                </c:pt>
                <c:pt idx="281">
                  <c:v>14.41</c:v>
                </c:pt>
                <c:pt idx="282">
                  <c:v>15.23</c:v>
                </c:pt>
                <c:pt idx="283">
                  <c:v>17.809999999999999</c:v>
                </c:pt>
                <c:pt idx="284">
                  <c:v>19.96</c:v>
                </c:pt>
                <c:pt idx="285">
                  <c:v>18.100000000000001</c:v>
                </c:pt>
                <c:pt idx="286">
                  <c:v>14.67</c:v>
                </c:pt>
                <c:pt idx="287">
                  <c:v>5.74</c:v>
                </c:pt>
                <c:pt idx="288">
                  <c:v>4.8639999999999999</c:v>
                </c:pt>
                <c:pt idx="289">
                  <c:v>0.71599999999999997</c:v>
                </c:pt>
                <c:pt idx="290">
                  <c:v>3.1869999999999998</c:v>
                </c:pt>
                <c:pt idx="291">
                  <c:v>4.7629999999999999</c:v>
                </c:pt>
                <c:pt idx="292">
                  <c:v>8.23</c:v>
                </c:pt>
                <c:pt idx="293">
                  <c:v>9.3000000000000007</c:v>
                </c:pt>
                <c:pt idx="294">
                  <c:v>12.76</c:v>
                </c:pt>
                <c:pt idx="295">
                  <c:v>9.86</c:v>
                </c:pt>
                <c:pt idx="296">
                  <c:v>3.6070000000000002</c:v>
                </c:pt>
                <c:pt idx="297">
                  <c:v>4.1840000000000002</c:v>
                </c:pt>
                <c:pt idx="298">
                  <c:v>3.0840000000000001</c:v>
                </c:pt>
                <c:pt idx="299">
                  <c:v>9.36</c:v>
                </c:pt>
                <c:pt idx="300">
                  <c:v>5.7530000000000001</c:v>
                </c:pt>
                <c:pt idx="301">
                  <c:v>0.93200000000000005</c:v>
                </c:pt>
                <c:pt idx="302">
                  <c:v>-5.6</c:v>
                </c:pt>
                <c:pt idx="303">
                  <c:v>-5.3220000000000001</c:v>
                </c:pt>
                <c:pt idx="304">
                  <c:v>1.24</c:v>
                </c:pt>
                <c:pt idx="305">
                  <c:v>-0.76</c:v>
                </c:pt>
                <c:pt idx="306">
                  <c:v>2.0950000000000002</c:v>
                </c:pt>
                <c:pt idx="307">
                  <c:v>3.6139999999999999</c:v>
                </c:pt>
                <c:pt idx="308">
                  <c:v>5.8460000000000001</c:v>
                </c:pt>
                <c:pt idx="309">
                  <c:v>8.8000000000000007</c:v>
                </c:pt>
                <c:pt idx="310">
                  <c:v>6.6180000000000003</c:v>
                </c:pt>
                <c:pt idx="311">
                  <c:v>-0.313</c:v>
                </c:pt>
                <c:pt idx="312">
                  <c:v>-2.7349999999999999</c:v>
                </c:pt>
                <c:pt idx="313">
                  <c:v>-2.4660000000000002</c:v>
                </c:pt>
                <c:pt idx="314">
                  <c:v>-2.4860000000000002</c:v>
                </c:pt>
                <c:pt idx="315">
                  <c:v>-1.514</c:v>
                </c:pt>
                <c:pt idx="316">
                  <c:v>-1.754</c:v>
                </c:pt>
                <c:pt idx="317">
                  <c:v>-1.952</c:v>
                </c:pt>
                <c:pt idx="318">
                  <c:v>1.9590000000000001</c:v>
                </c:pt>
                <c:pt idx="319">
                  <c:v>1.1160000000000001</c:v>
                </c:pt>
                <c:pt idx="320">
                  <c:v>-0.34</c:v>
                </c:pt>
                <c:pt idx="321">
                  <c:v>1.821</c:v>
                </c:pt>
                <c:pt idx="322">
                  <c:v>3.6840000000000002</c:v>
                </c:pt>
                <c:pt idx="323">
                  <c:v>3.887</c:v>
                </c:pt>
                <c:pt idx="324">
                  <c:v>0.68799999999999994</c:v>
                </c:pt>
                <c:pt idx="325">
                  <c:v>0.22600000000000001</c:v>
                </c:pt>
                <c:pt idx="326">
                  <c:v>-2.8690000000000002</c:v>
                </c:pt>
                <c:pt idx="327">
                  <c:v>-4.3460000000000001</c:v>
                </c:pt>
                <c:pt idx="328">
                  <c:v>-9.56</c:v>
                </c:pt>
                <c:pt idx="329">
                  <c:v>-7.13</c:v>
                </c:pt>
                <c:pt idx="330">
                  <c:v>-17.13</c:v>
                </c:pt>
                <c:pt idx="331">
                  <c:v>-19.53</c:v>
                </c:pt>
                <c:pt idx="332">
                  <c:v>-13.18</c:v>
                </c:pt>
                <c:pt idx="333">
                  <c:v>-7.13</c:v>
                </c:pt>
                <c:pt idx="334">
                  <c:v>-8.1199999999999992</c:v>
                </c:pt>
                <c:pt idx="335">
                  <c:v>-3.0870000000000002</c:v>
                </c:pt>
                <c:pt idx="336">
                  <c:v>-6.55</c:v>
                </c:pt>
                <c:pt idx="337">
                  <c:v>-4.7430000000000003</c:v>
                </c:pt>
                <c:pt idx="338">
                  <c:v>-2.363</c:v>
                </c:pt>
                <c:pt idx="339">
                  <c:v>1.7629999999999999</c:v>
                </c:pt>
                <c:pt idx="340">
                  <c:v>-0.88300000000000001</c:v>
                </c:pt>
                <c:pt idx="341">
                  <c:v>1.1919999999999999</c:v>
                </c:pt>
                <c:pt idx="342">
                  <c:v>3.3050000000000002</c:v>
                </c:pt>
                <c:pt idx="343">
                  <c:v>3.5680000000000001</c:v>
                </c:pt>
                <c:pt idx="344">
                  <c:v>-0.109</c:v>
                </c:pt>
                <c:pt idx="345">
                  <c:v>0.52300000000000002</c:v>
                </c:pt>
                <c:pt idx="346">
                  <c:v>0.36599999999999999</c:v>
                </c:pt>
                <c:pt idx="347">
                  <c:v>-0.78</c:v>
                </c:pt>
                <c:pt idx="348">
                  <c:v>-0.54400000000000004</c:v>
                </c:pt>
                <c:pt idx="349">
                  <c:v>-9.14</c:v>
                </c:pt>
                <c:pt idx="350">
                  <c:v>-7.23</c:v>
                </c:pt>
                <c:pt idx="351">
                  <c:v>-5.274</c:v>
                </c:pt>
                <c:pt idx="352">
                  <c:v>-1.653</c:v>
                </c:pt>
                <c:pt idx="353">
                  <c:v>-0.93100000000000005</c:v>
                </c:pt>
                <c:pt idx="354">
                  <c:v>-1.0649999999999999</c:v>
                </c:pt>
                <c:pt idx="355">
                  <c:v>-2.2829999999999999</c:v>
                </c:pt>
                <c:pt idx="356">
                  <c:v>-5.0490000000000004</c:v>
                </c:pt>
                <c:pt idx="357">
                  <c:v>-3.4</c:v>
                </c:pt>
                <c:pt idx="358">
                  <c:v>-0.58499999999999996</c:v>
                </c:pt>
                <c:pt idx="359">
                  <c:v>-3.1960000000000002</c:v>
                </c:pt>
                <c:pt idx="360">
                  <c:v>-5.4059999999999997</c:v>
                </c:pt>
                <c:pt idx="361">
                  <c:v>-6.5069999999999997</c:v>
                </c:pt>
                <c:pt idx="362">
                  <c:v>-1.4330000000000001</c:v>
                </c:pt>
                <c:pt idx="363">
                  <c:v>-4.2370000000000001</c:v>
                </c:pt>
                <c:pt idx="364">
                  <c:v>-4.0229999999999997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-11.66</c:v>
                </c:pt>
                <c:pt idx="1">
                  <c:v>-6.7110000000000003</c:v>
                </c:pt>
                <c:pt idx="2">
                  <c:v>-7.76</c:v>
                </c:pt>
                <c:pt idx="3">
                  <c:v>-9.32</c:v>
                </c:pt>
                <c:pt idx="4">
                  <c:v>-3.5470000000000002</c:v>
                </c:pt>
                <c:pt idx="5">
                  <c:v>-2.218</c:v>
                </c:pt>
                <c:pt idx="6">
                  <c:v>-10.199999999999999</c:v>
                </c:pt>
                <c:pt idx="7">
                  <c:v>-6.5439999999999996</c:v>
                </c:pt>
                <c:pt idx="8">
                  <c:v>-4.875</c:v>
                </c:pt>
                <c:pt idx="9">
                  <c:v>-5.3810000000000002</c:v>
                </c:pt>
                <c:pt idx="10">
                  <c:v>-4.7640000000000002</c:v>
                </c:pt>
                <c:pt idx="11">
                  <c:v>-5.093</c:v>
                </c:pt>
                <c:pt idx="12">
                  <c:v>-3.7930000000000001</c:v>
                </c:pt>
                <c:pt idx="13">
                  <c:v>-7.54</c:v>
                </c:pt>
                <c:pt idx="14">
                  <c:v>-17.329999999999998</c:v>
                </c:pt>
                <c:pt idx="15">
                  <c:v>-16.43</c:v>
                </c:pt>
                <c:pt idx="16">
                  <c:v>-5.4909999999999997</c:v>
                </c:pt>
                <c:pt idx="17">
                  <c:v>-18.57</c:v>
                </c:pt>
                <c:pt idx="18">
                  <c:v>-18.239999999999998</c:v>
                </c:pt>
                <c:pt idx="19">
                  <c:v>-7.47</c:v>
                </c:pt>
                <c:pt idx="20">
                  <c:v>-18.34</c:v>
                </c:pt>
                <c:pt idx="21">
                  <c:v>-9.1199999999999992</c:v>
                </c:pt>
                <c:pt idx="22">
                  <c:v>-7.11</c:v>
                </c:pt>
                <c:pt idx="23">
                  <c:v>-8.0500000000000007</c:v>
                </c:pt>
                <c:pt idx="24">
                  <c:v>-11.74</c:v>
                </c:pt>
                <c:pt idx="25">
                  <c:v>-8.4</c:v>
                </c:pt>
                <c:pt idx="26">
                  <c:v>-12.49</c:v>
                </c:pt>
                <c:pt idx="27">
                  <c:v>-8.11</c:v>
                </c:pt>
                <c:pt idx="28">
                  <c:v>-17.190000000000001</c:v>
                </c:pt>
                <c:pt idx="29">
                  <c:v>-10.74</c:v>
                </c:pt>
                <c:pt idx="30">
                  <c:v>-10.25</c:v>
                </c:pt>
                <c:pt idx="31">
                  <c:v>-9.07</c:v>
                </c:pt>
                <c:pt idx="32">
                  <c:v>-12.18</c:v>
                </c:pt>
                <c:pt idx="33">
                  <c:v>-11.85</c:v>
                </c:pt>
                <c:pt idx="34">
                  <c:v>-3.9</c:v>
                </c:pt>
                <c:pt idx="35">
                  <c:v>-9.6199999999999992</c:v>
                </c:pt>
                <c:pt idx="36">
                  <c:v>-10.47</c:v>
                </c:pt>
                <c:pt idx="37">
                  <c:v>-10.19</c:v>
                </c:pt>
                <c:pt idx="38">
                  <c:v>-11.54</c:v>
                </c:pt>
                <c:pt idx="39">
                  <c:v>-19.5</c:v>
                </c:pt>
                <c:pt idx="40">
                  <c:v>-20.04</c:v>
                </c:pt>
                <c:pt idx="41">
                  <c:v>-18.96</c:v>
                </c:pt>
                <c:pt idx="42">
                  <c:v>-16.78</c:v>
                </c:pt>
                <c:pt idx="43">
                  <c:v>-14.15</c:v>
                </c:pt>
                <c:pt idx="44">
                  <c:v>-22.8</c:v>
                </c:pt>
                <c:pt idx="45">
                  <c:v>-25.84</c:v>
                </c:pt>
                <c:pt idx="46">
                  <c:v>-29.43</c:v>
                </c:pt>
                <c:pt idx="47">
                  <c:v>-31.3</c:v>
                </c:pt>
                <c:pt idx="48">
                  <c:v>-28.46</c:v>
                </c:pt>
                <c:pt idx="49">
                  <c:v>-26.88</c:v>
                </c:pt>
                <c:pt idx="50">
                  <c:v>-16.79</c:v>
                </c:pt>
                <c:pt idx="51">
                  <c:v>-8.01</c:v>
                </c:pt>
                <c:pt idx="52">
                  <c:v>-11.44</c:v>
                </c:pt>
                <c:pt idx="53">
                  <c:v>-5.9509999999999996</c:v>
                </c:pt>
                <c:pt idx="54">
                  <c:v>-5.5129999999999999</c:v>
                </c:pt>
                <c:pt idx="55">
                  <c:v>-5.4729999999999999</c:v>
                </c:pt>
                <c:pt idx="56">
                  <c:v>-5.8070000000000004</c:v>
                </c:pt>
                <c:pt idx="57">
                  <c:v>-3.0179999999999998</c:v>
                </c:pt>
                <c:pt idx="58">
                  <c:v>-3.8839999999999999</c:v>
                </c:pt>
                <c:pt idx="59">
                  <c:v>-5.6120000000000001</c:v>
                </c:pt>
                <c:pt idx="60">
                  <c:v>-5.6210000000000004</c:v>
                </c:pt>
                <c:pt idx="61">
                  <c:v>-8.07</c:v>
                </c:pt>
                <c:pt idx="62">
                  <c:v>-8.5</c:v>
                </c:pt>
                <c:pt idx="63">
                  <c:v>-10.08</c:v>
                </c:pt>
                <c:pt idx="64">
                  <c:v>-3.3460000000000001</c:v>
                </c:pt>
                <c:pt idx="65">
                  <c:v>-4.1470000000000002</c:v>
                </c:pt>
                <c:pt idx="66">
                  <c:v>-5.69</c:v>
                </c:pt>
                <c:pt idx="67">
                  <c:v>-3.419</c:v>
                </c:pt>
                <c:pt idx="68">
                  <c:v>-3.2440000000000002</c:v>
                </c:pt>
                <c:pt idx="69">
                  <c:v>-3.1680000000000001</c:v>
                </c:pt>
                <c:pt idx="70">
                  <c:v>-4.306</c:v>
                </c:pt>
                <c:pt idx="71">
                  <c:v>-5.7320000000000002</c:v>
                </c:pt>
                <c:pt idx="72">
                  <c:v>-5.8609999999999998</c:v>
                </c:pt>
                <c:pt idx="73">
                  <c:v>-5.2009999999999996</c:v>
                </c:pt>
                <c:pt idx="74">
                  <c:v>-3.6459999999999999</c:v>
                </c:pt>
                <c:pt idx="75">
                  <c:v>-2.4300000000000002</c:v>
                </c:pt>
                <c:pt idx="76">
                  <c:v>-2.355</c:v>
                </c:pt>
                <c:pt idx="77">
                  <c:v>-2.802</c:v>
                </c:pt>
                <c:pt idx="78">
                  <c:v>-4.3010000000000002</c:v>
                </c:pt>
                <c:pt idx="79">
                  <c:v>-3.1019999999999999</c:v>
                </c:pt>
                <c:pt idx="80">
                  <c:v>-3.5339999999999998</c:v>
                </c:pt>
                <c:pt idx="81">
                  <c:v>-2.8679999999999999</c:v>
                </c:pt>
                <c:pt idx="82">
                  <c:v>-0.85799999999999998</c:v>
                </c:pt>
                <c:pt idx="83">
                  <c:v>-2.9889999999999999</c:v>
                </c:pt>
                <c:pt idx="84">
                  <c:v>-6.351</c:v>
                </c:pt>
                <c:pt idx="85">
                  <c:v>-4.9980000000000002</c:v>
                </c:pt>
                <c:pt idx="86">
                  <c:v>-6.0419999999999998</c:v>
                </c:pt>
                <c:pt idx="87">
                  <c:v>-3.76</c:v>
                </c:pt>
                <c:pt idx="88">
                  <c:v>-8.19</c:v>
                </c:pt>
                <c:pt idx="89">
                  <c:v>-4.9249999999999998</c:v>
                </c:pt>
                <c:pt idx="90">
                  <c:v>-2.4350000000000001</c:v>
                </c:pt>
                <c:pt idx="91">
                  <c:v>-3.5539999999999998</c:v>
                </c:pt>
                <c:pt idx="92">
                  <c:v>-8.2799999999999994</c:v>
                </c:pt>
                <c:pt idx="93">
                  <c:v>-0.27500000000000002</c:v>
                </c:pt>
                <c:pt idx="94">
                  <c:v>-4.5860000000000003</c:v>
                </c:pt>
                <c:pt idx="95">
                  <c:v>-4.0019999999999998</c:v>
                </c:pt>
                <c:pt idx="96">
                  <c:v>-6.7969999999999997</c:v>
                </c:pt>
                <c:pt idx="97">
                  <c:v>-1.5029999999999999</c:v>
                </c:pt>
                <c:pt idx="98">
                  <c:v>-1.3520000000000001</c:v>
                </c:pt>
                <c:pt idx="99">
                  <c:v>-3.7</c:v>
                </c:pt>
                <c:pt idx="100">
                  <c:v>-3.238</c:v>
                </c:pt>
                <c:pt idx="101">
                  <c:v>-3.343</c:v>
                </c:pt>
                <c:pt idx="102">
                  <c:v>-4.3470000000000004</c:v>
                </c:pt>
                <c:pt idx="103">
                  <c:v>-5.5979999999999999</c:v>
                </c:pt>
                <c:pt idx="104">
                  <c:v>-10.39</c:v>
                </c:pt>
                <c:pt idx="105">
                  <c:v>-15</c:v>
                </c:pt>
                <c:pt idx="106">
                  <c:v>-16.86</c:v>
                </c:pt>
                <c:pt idx="107">
                  <c:v>-14.78</c:v>
                </c:pt>
                <c:pt idx="108">
                  <c:v>-6.3970000000000002</c:v>
                </c:pt>
                <c:pt idx="109">
                  <c:v>-2.2440000000000002</c:v>
                </c:pt>
                <c:pt idx="110">
                  <c:v>-4.1609999999999996</c:v>
                </c:pt>
                <c:pt idx="111">
                  <c:v>-8.68</c:v>
                </c:pt>
                <c:pt idx="112">
                  <c:v>-11.15</c:v>
                </c:pt>
                <c:pt idx="113">
                  <c:v>-9.2200000000000006</c:v>
                </c:pt>
                <c:pt idx="114">
                  <c:v>-7.72</c:v>
                </c:pt>
                <c:pt idx="115">
                  <c:v>-5.577</c:v>
                </c:pt>
                <c:pt idx="116">
                  <c:v>-4.5430000000000001</c:v>
                </c:pt>
                <c:pt idx="117">
                  <c:v>-3.8839999999999999</c:v>
                </c:pt>
                <c:pt idx="118">
                  <c:v>-0.31900000000000001</c:v>
                </c:pt>
                <c:pt idx="119">
                  <c:v>-5.3849999999999998</c:v>
                </c:pt>
                <c:pt idx="120">
                  <c:v>-5.609</c:v>
                </c:pt>
                <c:pt idx="121">
                  <c:v>-6.85</c:v>
                </c:pt>
                <c:pt idx="122">
                  <c:v>-9.48</c:v>
                </c:pt>
                <c:pt idx="123">
                  <c:v>-7.52</c:v>
                </c:pt>
                <c:pt idx="124">
                  <c:v>-3.9790000000000001</c:v>
                </c:pt>
                <c:pt idx="125">
                  <c:v>-2.6989999999999998</c:v>
                </c:pt>
                <c:pt idx="126">
                  <c:v>-3.2629999999999999</c:v>
                </c:pt>
                <c:pt idx="127">
                  <c:v>-7.94</c:v>
                </c:pt>
                <c:pt idx="128">
                  <c:v>-9.84</c:v>
                </c:pt>
                <c:pt idx="129">
                  <c:v>-7.69</c:v>
                </c:pt>
                <c:pt idx="130">
                  <c:v>-2.8969999999999998</c:v>
                </c:pt>
                <c:pt idx="131">
                  <c:v>-3.931</c:v>
                </c:pt>
                <c:pt idx="132">
                  <c:v>-7.03</c:v>
                </c:pt>
                <c:pt idx="133">
                  <c:v>-5.2309999999999999</c:v>
                </c:pt>
                <c:pt idx="134">
                  <c:v>-2.2410000000000001</c:v>
                </c:pt>
                <c:pt idx="135">
                  <c:v>0.84299999999999997</c:v>
                </c:pt>
                <c:pt idx="136">
                  <c:v>0.50800000000000001</c:v>
                </c:pt>
                <c:pt idx="137">
                  <c:v>1.7230000000000001</c:v>
                </c:pt>
                <c:pt idx="138">
                  <c:v>-3.5999999999999997E-2</c:v>
                </c:pt>
                <c:pt idx="139">
                  <c:v>2.617</c:v>
                </c:pt>
                <c:pt idx="140">
                  <c:v>-0.78500000000000003</c:v>
                </c:pt>
                <c:pt idx="141">
                  <c:v>1.623</c:v>
                </c:pt>
                <c:pt idx="142">
                  <c:v>0.54</c:v>
                </c:pt>
                <c:pt idx="143">
                  <c:v>-0.46700000000000003</c:v>
                </c:pt>
                <c:pt idx="144">
                  <c:v>-1.2470000000000001</c:v>
                </c:pt>
                <c:pt idx="145">
                  <c:v>-1.4999999999999999E-2</c:v>
                </c:pt>
                <c:pt idx="146">
                  <c:v>-0.91900000000000004</c:v>
                </c:pt>
                <c:pt idx="147">
                  <c:v>-1.627</c:v>
                </c:pt>
                <c:pt idx="148">
                  <c:v>-1.2170000000000001</c:v>
                </c:pt>
                <c:pt idx="149">
                  <c:v>-1.266</c:v>
                </c:pt>
                <c:pt idx="150">
                  <c:v>0.53500000000000003</c:v>
                </c:pt>
                <c:pt idx="151">
                  <c:v>6.4630000000000001</c:v>
                </c:pt>
                <c:pt idx="152">
                  <c:v>5.0140000000000002</c:v>
                </c:pt>
                <c:pt idx="153">
                  <c:v>-0.09</c:v>
                </c:pt>
                <c:pt idx="154">
                  <c:v>0.42899999999999999</c:v>
                </c:pt>
                <c:pt idx="155">
                  <c:v>-0.68799999999999994</c:v>
                </c:pt>
                <c:pt idx="156">
                  <c:v>-1.9810000000000001</c:v>
                </c:pt>
                <c:pt idx="157">
                  <c:v>1.4710000000000001</c:v>
                </c:pt>
                <c:pt idx="158">
                  <c:v>2.5230000000000001</c:v>
                </c:pt>
                <c:pt idx="159">
                  <c:v>1.482</c:v>
                </c:pt>
                <c:pt idx="160">
                  <c:v>-0.47299999999999998</c:v>
                </c:pt>
                <c:pt idx="161">
                  <c:v>3.3319999999999999</c:v>
                </c:pt>
                <c:pt idx="162">
                  <c:v>3.286</c:v>
                </c:pt>
                <c:pt idx="163">
                  <c:v>4.8109999999999999</c:v>
                </c:pt>
                <c:pt idx="164">
                  <c:v>6.8639999999999999</c:v>
                </c:pt>
                <c:pt idx="165">
                  <c:v>1.762</c:v>
                </c:pt>
                <c:pt idx="166">
                  <c:v>-0.628</c:v>
                </c:pt>
                <c:pt idx="167">
                  <c:v>2.5539999999999998</c:v>
                </c:pt>
                <c:pt idx="168">
                  <c:v>-0.40300000000000002</c:v>
                </c:pt>
                <c:pt idx="169">
                  <c:v>-0.82</c:v>
                </c:pt>
                <c:pt idx="170">
                  <c:v>-0.47299999999999998</c:v>
                </c:pt>
                <c:pt idx="171">
                  <c:v>-1.948</c:v>
                </c:pt>
                <c:pt idx="172">
                  <c:v>-0.126</c:v>
                </c:pt>
                <c:pt idx="173">
                  <c:v>-1.425</c:v>
                </c:pt>
                <c:pt idx="174">
                  <c:v>-0.33500000000000002</c:v>
                </c:pt>
                <c:pt idx="175">
                  <c:v>1.9870000000000001</c:v>
                </c:pt>
                <c:pt idx="176">
                  <c:v>3.7890000000000001</c:v>
                </c:pt>
                <c:pt idx="177">
                  <c:v>5.2930000000000001</c:v>
                </c:pt>
                <c:pt idx="178">
                  <c:v>1.8979999999999999</c:v>
                </c:pt>
                <c:pt idx="179">
                  <c:v>0.17899999999999999</c:v>
                </c:pt>
                <c:pt idx="180">
                  <c:v>5.0019999999999998</c:v>
                </c:pt>
                <c:pt idx="181">
                  <c:v>2.2149999999999999</c:v>
                </c:pt>
                <c:pt idx="182">
                  <c:v>2.7709999999999999</c:v>
                </c:pt>
                <c:pt idx="183">
                  <c:v>5.3090000000000002</c:v>
                </c:pt>
                <c:pt idx="184">
                  <c:v>5.1479999999999997</c:v>
                </c:pt>
                <c:pt idx="185">
                  <c:v>5.2889999999999997</c:v>
                </c:pt>
                <c:pt idx="186">
                  <c:v>3.802</c:v>
                </c:pt>
                <c:pt idx="187">
                  <c:v>1.742</c:v>
                </c:pt>
                <c:pt idx="188">
                  <c:v>1.6259999999999999</c:v>
                </c:pt>
                <c:pt idx="189">
                  <c:v>8.4499999999999993</c:v>
                </c:pt>
                <c:pt idx="190">
                  <c:v>3.9470000000000001</c:v>
                </c:pt>
                <c:pt idx="191">
                  <c:v>1.5089999999999999</c:v>
                </c:pt>
                <c:pt idx="192">
                  <c:v>4.9589999999999996</c:v>
                </c:pt>
                <c:pt idx="193">
                  <c:v>3.04</c:v>
                </c:pt>
                <c:pt idx="194">
                  <c:v>4.3410000000000002</c:v>
                </c:pt>
                <c:pt idx="195">
                  <c:v>-1.2999999999999999E-2</c:v>
                </c:pt>
                <c:pt idx="196">
                  <c:v>-0.76100000000000001</c:v>
                </c:pt>
                <c:pt idx="197">
                  <c:v>-0.16700000000000001</c:v>
                </c:pt>
                <c:pt idx="198">
                  <c:v>-0.625</c:v>
                </c:pt>
                <c:pt idx="199">
                  <c:v>-1.1830000000000001</c:v>
                </c:pt>
                <c:pt idx="200">
                  <c:v>0.98099999999999998</c:v>
                </c:pt>
                <c:pt idx="201">
                  <c:v>4.63</c:v>
                </c:pt>
                <c:pt idx="202">
                  <c:v>7.74</c:v>
                </c:pt>
                <c:pt idx="203">
                  <c:v>6.54</c:v>
                </c:pt>
                <c:pt idx="204">
                  <c:v>7.28</c:v>
                </c:pt>
                <c:pt idx="205">
                  <c:v>7.1</c:v>
                </c:pt>
                <c:pt idx="206">
                  <c:v>5.7619999999999996</c:v>
                </c:pt>
                <c:pt idx="207">
                  <c:v>5.734</c:v>
                </c:pt>
                <c:pt idx="208">
                  <c:v>3.5939999999999999</c:v>
                </c:pt>
                <c:pt idx="209">
                  <c:v>0.222</c:v>
                </c:pt>
                <c:pt idx="210">
                  <c:v>-1.7070000000000001</c:v>
                </c:pt>
                <c:pt idx="211">
                  <c:v>-0.68500000000000005</c:v>
                </c:pt>
                <c:pt idx="212">
                  <c:v>5.8999999999999997E-2</c:v>
                </c:pt>
                <c:pt idx="213">
                  <c:v>0.40699999999999997</c:v>
                </c:pt>
                <c:pt idx="214">
                  <c:v>-0.78600000000000003</c:v>
                </c:pt>
                <c:pt idx="215">
                  <c:v>-2.4249999999999998</c:v>
                </c:pt>
                <c:pt idx="216">
                  <c:v>-3.9510000000000001</c:v>
                </c:pt>
                <c:pt idx="217">
                  <c:v>-0.40600000000000003</c:v>
                </c:pt>
                <c:pt idx="218">
                  <c:v>1.351</c:v>
                </c:pt>
                <c:pt idx="219">
                  <c:v>1.76</c:v>
                </c:pt>
                <c:pt idx="220">
                  <c:v>3.3889999999999998</c:v>
                </c:pt>
                <c:pt idx="221">
                  <c:v>4.5609999999999999</c:v>
                </c:pt>
                <c:pt idx="222">
                  <c:v>-0.26200000000000001</c:v>
                </c:pt>
                <c:pt idx="223">
                  <c:v>-1.1200000000000001</c:v>
                </c:pt>
                <c:pt idx="224">
                  <c:v>2.2949999999999999</c:v>
                </c:pt>
                <c:pt idx="225">
                  <c:v>0.39500000000000002</c:v>
                </c:pt>
                <c:pt idx="226">
                  <c:v>3.4000000000000002E-2</c:v>
                </c:pt>
                <c:pt idx="227">
                  <c:v>-0.51100000000000001</c:v>
                </c:pt>
                <c:pt idx="228">
                  <c:v>-1.5589999999999999</c:v>
                </c:pt>
                <c:pt idx="229">
                  <c:v>0.81</c:v>
                </c:pt>
                <c:pt idx="230">
                  <c:v>-1.6020000000000001</c:v>
                </c:pt>
                <c:pt idx="231">
                  <c:v>0.14199999999999999</c:v>
                </c:pt>
                <c:pt idx="232">
                  <c:v>1.1719999999999999</c:v>
                </c:pt>
                <c:pt idx="233">
                  <c:v>3.5609999999999999</c:v>
                </c:pt>
                <c:pt idx="234">
                  <c:v>0.89100000000000001</c:v>
                </c:pt>
                <c:pt idx="235">
                  <c:v>-1.0660000000000001</c:v>
                </c:pt>
                <c:pt idx="236">
                  <c:v>-1.6819999999999999</c:v>
                </c:pt>
                <c:pt idx="237">
                  <c:v>6.3E-2</c:v>
                </c:pt>
                <c:pt idx="238">
                  <c:v>0.72599999999999998</c:v>
                </c:pt>
                <c:pt idx="239">
                  <c:v>0.75</c:v>
                </c:pt>
                <c:pt idx="240">
                  <c:v>1.91</c:v>
                </c:pt>
                <c:pt idx="241">
                  <c:v>-1.782</c:v>
                </c:pt>
                <c:pt idx="242">
                  <c:v>-3.96</c:v>
                </c:pt>
                <c:pt idx="243">
                  <c:v>-3.2650000000000001</c:v>
                </c:pt>
                <c:pt idx="244">
                  <c:v>-0.35699999999999998</c:v>
                </c:pt>
                <c:pt idx="245">
                  <c:v>0.753</c:v>
                </c:pt>
                <c:pt idx="246">
                  <c:v>3.4580000000000002</c:v>
                </c:pt>
                <c:pt idx="247">
                  <c:v>2.6659999999999999</c:v>
                </c:pt>
                <c:pt idx="248">
                  <c:v>1.53</c:v>
                </c:pt>
                <c:pt idx="249">
                  <c:v>1.534</c:v>
                </c:pt>
                <c:pt idx="250">
                  <c:v>2.4350000000000001</c:v>
                </c:pt>
                <c:pt idx="251">
                  <c:v>2.6240000000000001</c:v>
                </c:pt>
                <c:pt idx="252">
                  <c:v>3.2280000000000002</c:v>
                </c:pt>
                <c:pt idx="253">
                  <c:v>2E-3</c:v>
                </c:pt>
                <c:pt idx="254">
                  <c:v>1.19</c:v>
                </c:pt>
                <c:pt idx="255">
                  <c:v>0.58399999999999996</c:v>
                </c:pt>
                <c:pt idx="256">
                  <c:v>-0.68500000000000005</c:v>
                </c:pt>
                <c:pt idx="257">
                  <c:v>-2.8719999999999999</c:v>
                </c:pt>
                <c:pt idx="258">
                  <c:v>-3.6030000000000002</c:v>
                </c:pt>
                <c:pt idx="259">
                  <c:v>-5.5339999999999998</c:v>
                </c:pt>
                <c:pt idx="260">
                  <c:v>1.9179999999999999</c:v>
                </c:pt>
                <c:pt idx="261">
                  <c:v>-2.121</c:v>
                </c:pt>
                <c:pt idx="262">
                  <c:v>-2.226</c:v>
                </c:pt>
                <c:pt idx="263">
                  <c:v>-6.8000000000000005E-2</c:v>
                </c:pt>
                <c:pt idx="264">
                  <c:v>-0.70199999999999996</c:v>
                </c:pt>
                <c:pt idx="265">
                  <c:v>-1.3779999999999999</c:v>
                </c:pt>
                <c:pt idx="266">
                  <c:v>-2.5009999999999999</c:v>
                </c:pt>
                <c:pt idx="267">
                  <c:v>-1.792</c:v>
                </c:pt>
                <c:pt idx="268">
                  <c:v>-9.1999999999999998E-2</c:v>
                </c:pt>
                <c:pt idx="269">
                  <c:v>-1.8109999999999999</c:v>
                </c:pt>
                <c:pt idx="270">
                  <c:v>-0.20599999999999999</c:v>
                </c:pt>
                <c:pt idx="271">
                  <c:v>-0.46200000000000002</c:v>
                </c:pt>
                <c:pt idx="272">
                  <c:v>-2.9820000000000002</c:v>
                </c:pt>
                <c:pt idx="273">
                  <c:v>-5.0979999999999999</c:v>
                </c:pt>
                <c:pt idx="274">
                  <c:v>-5.556</c:v>
                </c:pt>
                <c:pt idx="275">
                  <c:v>-5.968</c:v>
                </c:pt>
                <c:pt idx="276">
                  <c:v>-5.13</c:v>
                </c:pt>
                <c:pt idx="277">
                  <c:v>-4</c:v>
                </c:pt>
                <c:pt idx="278">
                  <c:v>-3.88</c:v>
                </c:pt>
                <c:pt idx="279">
                  <c:v>-8.77</c:v>
                </c:pt>
                <c:pt idx="280">
                  <c:v>-7.69</c:v>
                </c:pt>
                <c:pt idx="281">
                  <c:v>-9.19</c:v>
                </c:pt>
                <c:pt idx="282">
                  <c:v>-6.5449999999999999</c:v>
                </c:pt>
                <c:pt idx="283">
                  <c:v>-6.1180000000000003</c:v>
                </c:pt>
                <c:pt idx="284">
                  <c:v>-4.4050000000000002</c:v>
                </c:pt>
                <c:pt idx="285">
                  <c:v>-3.1150000000000002</c:v>
                </c:pt>
                <c:pt idx="286">
                  <c:v>-4.1680000000000001</c:v>
                </c:pt>
                <c:pt idx="287">
                  <c:v>-1.931</c:v>
                </c:pt>
                <c:pt idx="288">
                  <c:v>-3.3079999999999998</c:v>
                </c:pt>
                <c:pt idx="289">
                  <c:v>-3.427</c:v>
                </c:pt>
                <c:pt idx="290">
                  <c:v>-2.7690000000000001</c:v>
                </c:pt>
                <c:pt idx="291">
                  <c:v>-0.94499999999999995</c:v>
                </c:pt>
                <c:pt idx="292">
                  <c:v>-5.702</c:v>
                </c:pt>
                <c:pt idx="293">
                  <c:v>-7.82</c:v>
                </c:pt>
                <c:pt idx="294">
                  <c:v>-7.16</c:v>
                </c:pt>
                <c:pt idx="295">
                  <c:v>-6.016</c:v>
                </c:pt>
                <c:pt idx="296">
                  <c:v>-3.923</c:v>
                </c:pt>
                <c:pt idx="297">
                  <c:v>-9.19</c:v>
                </c:pt>
                <c:pt idx="298">
                  <c:v>-0.81</c:v>
                </c:pt>
                <c:pt idx="299">
                  <c:v>1.792</c:v>
                </c:pt>
                <c:pt idx="300">
                  <c:v>0.377</c:v>
                </c:pt>
                <c:pt idx="301">
                  <c:v>-11.4</c:v>
                </c:pt>
                <c:pt idx="302">
                  <c:v>-20.11</c:v>
                </c:pt>
                <c:pt idx="303">
                  <c:v>-18.600000000000001</c:v>
                </c:pt>
                <c:pt idx="304">
                  <c:v>-19.739999999999998</c:v>
                </c:pt>
                <c:pt idx="305">
                  <c:v>-11.03</c:v>
                </c:pt>
                <c:pt idx="306">
                  <c:v>-4.2039999999999997</c:v>
                </c:pt>
                <c:pt idx="307">
                  <c:v>-0.157</c:v>
                </c:pt>
                <c:pt idx="308">
                  <c:v>-0.154</c:v>
                </c:pt>
                <c:pt idx="309">
                  <c:v>-0.11600000000000001</c:v>
                </c:pt>
                <c:pt idx="310">
                  <c:v>-1.0289999999999999</c:v>
                </c:pt>
                <c:pt idx="311">
                  <c:v>-7.89</c:v>
                </c:pt>
                <c:pt idx="312">
                  <c:v>-11.26</c:v>
                </c:pt>
                <c:pt idx="313">
                  <c:v>-5.9459999999999997</c:v>
                </c:pt>
                <c:pt idx="314">
                  <c:v>-5.3620000000000001</c:v>
                </c:pt>
                <c:pt idx="315">
                  <c:v>-4.7939999999999996</c:v>
                </c:pt>
                <c:pt idx="316">
                  <c:v>-6.66</c:v>
                </c:pt>
                <c:pt idx="317">
                  <c:v>-15</c:v>
                </c:pt>
                <c:pt idx="318">
                  <c:v>-5.0049999999999999</c:v>
                </c:pt>
                <c:pt idx="319">
                  <c:v>-9.68</c:v>
                </c:pt>
                <c:pt idx="320">
                  <c:v>-9.01</c:v>
                </c:pt>
                <c:pt idx="321">
                  <c:v>-5.7380000000000004</c:v>
                </c:pt>
                <c:pt idx="322">
                  <c:v>-5.95</c:v>
                </c:pt>
                <c:pt idx="323">
                  <c:v>-10.85</c:v>
                </c:pt>
                <c:pt idx="324">
                  <c:v>-4.7859999999999996</c:v>
                </c:pt>
                <c:pt idx="325">
                  <c:v>-7.08</c:v>
                </c:pt>
                <c:pt idx="326">
                  <c:v>-7.75</c:v>
                </c:pt>
                <c:pt idx="327">
                  <c:v>-17.93</c:v>
                </c:pt>
                <c:pt idx="328">
                  <c:v>-20.74</c:v>
                </c:pt>
                <c:pt idx="329">
                  <c:v>-17.260000000000002</c:v>
                </c:pt>
                <c:pt idx="330">
                  <c:v>-30.25</c:v>
                </c:pt>
                <c:pt idx="331">
                  <c:v>-36.03</c:v>
                </c:pt>
                <c:pt idx="332">
                  <c:v>-37.94</c:v>
                </c:pt>
                <c:pt idx="333">
                  <c:v>-17.54</c:v>
                </c:pt>
                <c:pt idx="334">
                  <c:v>-15.82</c:v>
                </c:pt>
                <c:pt idx="335">
                  <c:v>-22.02</c:v>
                </c:pt>
                <c:pt idx="336">
                  <c:v>-10.15</c:v>
                </c:pt>
                <c:pt idx="337">
                  <c:v>-7.78</c:v>
                </c:pt>
                <c:pt idx="338">
                  <c:v>-9.48</c:v>
                </c:pt>
                <c:pt idx="339">
                  <c:v>-9.75</c:v>
                </c:pt>
                <c:pt idx="340">
                  <c:v>-10</c:v>
                </c:pt>
                <c:pt idx="341">
                  <c:v>-4.8339999999999996</c:v>
                </c:pt>
                <c:pt idx="342">
                  <c:v>-5.726</c:v>
                </c:pt>
                <c:pt idx="343">
                  <c:v>-5.5730000000000004</c:v>
                </c:pt>
                <c:pt idx="344">
                  <c:v>-2.87</c:v>
                </c:pt>
                <c:pt idx="345">
                  <c:v>-9.93</c:v>
                </c:pt>
                <c:pt idx="346">
                  <c:v>-5.3239999999999998</c:v>
                </c:pt>
                <c:pt idx="347">
                  <c:v>-14.99</c:v>
                </c:pt>
                <c:pt idx="348">
                  <c:v>-21.14</c:v>
                </c:pt>
                <c:pt idx="349">
                  <c:v>-25.59</c:v>
                </c:pt>
                <c:pt idx="350">
                  <c:v>-21.22</c:v>
                </c:pt>
                <c:pt idx="351">
                  <c:v>-15.81</c:v>
                </c:pt>
                <c:pt idx="352">
                  <c:v>-10.56</c:v>
                </c:pt>
                <c:pt idx="353">
                  <c:v>-5.976</c:v>
                </c:pt>
                <c:pt idx="354">
                  <c:v>-8.17</c:v>
                </c:pt>
                <c:pt idx="355">
                  <c:v>-10</c:v>
                </c:pt>
                <c:pt idx="356">
                  <c:v>-18.09</c:v>
                </c:pt>
                <c:pt idx="357">
                  <c:v>-22.61</c:v>
                </c:pt>
                <c:pt idx="358">
                  <c:v>-12.71</c:v>
                </c:pt>
                <c:pt idx="359">
                  <c:v>-10.28</c:v>
                </c:pt>
                <c:pt idx="360">
                  <c:v>-15.22</c:v>
                </c:pt>
                <c:pt idx="361">
                  <c:v>-23.7</c:v>
                </c:pt>
                <c:pt idx="362">
                  <c:v>-19.79</c:v>
                </c:pt>
                <c:pt idx="363">
                  <c:v>-17.82</c:v>
                </c:pt>
                <c:pt idx="364">
                  <c:v>-14.17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70432"/>
        <c:axId val="262372352"/>
      </c:lineChart>
      <c:catAx>
        <c:axId val="26237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37235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237235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37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97114317425083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0.24399999999999999</c:v>
                </c:pt>
                <c:pt idx="1">
                  <c:v>0.23</c:v>
                </c:pt>
                <c:pt idx="2">
                  <c:v>7.0999999999999994E-2</c:v>
                </c:pt>
                <c:pt idx="3">
                  <c:v>0.19</c:v>
                </c:pt>
                <c:pt idx="4">
                  <c:v>7.6999999999999999E-2</c:v>
                </c:pt>
                <c:pt idx="5">
                  <c:v>0.16700000000000001</c:v>
                </c:pt>
                <c:pt idx="6">
                  <c:v>0.34</c:v>
                </c:pt>
                <c:pt idx="7">
                  <c:v>0.26500000000000001</c:v>
                </c:pt>
                <c:pt idx="8">
                  <c:v>0.17</c:v>
                </c:pt>
                <c:pt idx="9">
                  <c:v>0.22</c:v>
                </c:pt>
                <c:pt idx="10">
                  <c:v>0.21</c:v>
                </c:pt>
                <c:pt idx="11">
                  <c:v>0.21299999999999999</c:v>
                </c:pt>
                <c:pt idx="12">
                  <c:v>0.23400000000000001</c:v>
                </c:pt>
                <c:pt idx="13">
                  <c:v>0.27400000000000002</c:v>
                </c:pt>
                <c:pt idx="14">
                  <c:v>0.17899999999999999</c:v>
                </c:pt>
                <c:pt idx="15">
                  <c:v>0.187</c:v>
                </c:pt>
                <c:pt idx="16">
                  <c:v>0.23200000000000001</c:v>
                </c:pt>
                <c:pt idx="17">
                  <c:v>0.16200000000000001</c:v>
                </c:pt>
                <c:pt idx="18">
                  <c:v>0.16</c:v>
                </c:pt>
                <c:pt idx="19">
                  <c:v>6.3E-2</c:v>
                </c:pt>
                <c:pt idx="20">
                  <c:v>8.3000000000000004E-2</c:v>
                </c:pt>
                <c:pt idx="21">
                  <c:v>5.0999999999999997E-2</c:v>
                </c:pt>
                <c:pt idx="22">
                  <c:v>0.14699999999999999</c:v>
                </c:pt>
                <c:pt idx="23">
                  <c:v>0.249</c:v>
                </c:pt>
                <c:pt idx="24">
                  <c:v>0.29799999999999999</c:v>
                </c:pt>
                <c:pt idx="25">
                  <c:v>0.193</c:v>
                </c:pt>
                <c:pt idx="26">
                  <c:v>0.16900000000000001</c:v>
                </c:pt>
                <c:pt idx="27">
                  <c:v>0.11</c:v>
                </c:pt>
                <c:pt idx="28">
                  <c:v>0.107</c:v>
                </c:pt>
                <c:pt idx="29">
                  <c:v>0.109</c:v>
                </c:pt>
                <c:pt idx="30">
                  <c:v>0.13100000000000001</c:v>
                </c:pt>
                <c:pt idx="31">
                  <c:v>0.14599999999999999</c:v>
                </c:pt>
                <c:pt idx="32">
                  <c:v>0.193</c:v>
                </c:pt>
                <c:pt idx="33">
                  <c:v>0.19900000000000001</c:v>
                </c:pt>
                <c:pt idx="34">
                  <c:v>0.22700000000000001</c:v>
                </c:pt>
                <c:pt idx="35">
                  <c:v>0.22</c:v>
                </c:pt>
                <c:pt idx="36">
                  <c:v>0.19600000000000001</c:v>
                </c:pt>
                <c:pt idx="37">
                  <c:v>0.184</c:v>
                </c:pt>
                <c:pt idx="38">
                  <c:v>0.19400000000000001</c:v>
                </c:pt>
                <c:pt idx="39">
                  <c:v>3.0000000000000001E-3</c:v>
                </c:pt>
                <c:pt idx="40">
                  <c:v>-0.13700000000000001</c:v>
                </c:pt>
                <c:pt idx="41">
                  <c:v>-0.17399999999999999</c:v>
                </c:pt>
                <c:pt idx="42">
                  <c:v>-0.16700000000000001</c:v>
                </c:pt>
                <c:pt idx="43">
                  <c:v>-0.158</c:v>
                </c:pt>
                <c:pt idx="44">
                  <c:v>-0.19600000000000001</c:v>
                </c:pt>
                <c:pt idx="45">
                  <c:v>-0.32</c:v>
                </c:pt>
                <c:pt idx="46">
                  <c:v>-0.56499999999999995</c:v>
                </c:pt>
                <c:pt idx="47">
                  <c:v>-0.61599999999999999</c:v>
                </c:pt>
                <c:pt idx="48">
                  <c:v>-0.67</c:v>
                </c:pt>
                <c:pt idx="49">
                  <c:v>-0.73099999999999998</c:v>
                </c:pt>
                <c:pt idx="50">
                  <c:v>-0.65500000000000003</c:v>
                </c:pt>
                <c:pt idx="51">
                  <c:v>-0.58099999999999996</c:v>
                </c:pt>
                <c:pt idx="52">
                  <c:v>-0.58499999999999996</c:v>
                </c:pt>
                <c:pt idx="53">
                  <c:v>-0.57199999999999995</c:v>
                </c:pt>
                <c:pt idx="54">
                  <c:v>-0.88</c:v>
                </c:pt>
                <c:pt idx="55">
                  <c:v>-0.70099999999999996</c:v>
                </c:pt>
                <c:pt idx="56">
                  <c:v>-0.53100000000000003</c:v>
                </c:pt>
                <c:pt idx="57">
                  <c:v>-0.36</c:v>
                </c:pt>
                <c:pt idx="58">
                  <c:v>-0.28000000000000003</c:v>
                </c:pt>
                <c:pt idx="59">
                  <c:v>-0.28999999999999998</c:v>
                </c:pt>
                <c:pt idx="60">
                  <c:v>-0.26800000000000002</c:v>
                </c:pt>
                <c:pt idx="61">
                  <c:v>-0.36</c:v>
                </c:pt>
                <c:pt idx="62">
                  <c:v>-0.37</c:v>
                </c:pt>
                <c:pt idx="63">
                  <c:v>-0.36599999999999999</c:v>
                </c:pt>
                <c:pt idx="64">
                  <c:v>-0.30499999999999999</c:v>
                </c:pt>
                <c:pt idx="65">
                  <c:v>-0.28599999999999998</c:v>
                </c:pt>
                <c:pt idx="66">
                  <c:v>-0.29099999999999998</c:v>
                </c:pt>
                <c:pt idx="67">
                  <c:v>-0.42899999999999999</c:v>
                </c:pt>
                <c:pt idx="68">
                  <c:v>-0.81299999999999994</c:v>
                </c:pt>
                <c:pt idx="69">
                  <c:v>-0.83199999999999996</c:v>
                </c:pt>
                <c:pt idx="70">
                  <c:v>-1.022</c:v>
                </c:pt>
                <c:pt idx="71">
                  <c:v>-1.026</c:v>
                </c:pt>
                <c:pt idx="72">
                  <c:v>-0.69399999999999995</c:v>
                </c:pt>
                <c:pt idx="73">
                  <c:v>-0.61899999999999999</c:v>
                </c:pt>
                <c:pt idx="74">
                  <c:v>-0.47099999999999997</c:v>
                </c:pt>
                <c:pt idx="75">
                  <c:v>-0.41</c:v>
                </c:pt>
                <c:pt idx="76">
                  <c:v>-0.41699999999999998</c:v>
                </c:pt>
                <c:pt idx="77">
                  <c:v>-0.53700000000000003</c:v>
                </c:pt>
                <c:pt idx="78">
                  <c:v>-0.52700000000000002</c:v>
                </c:pt>
                <c:pt idx="79">
                  <c:v>-0.40500000000000003</c:v>
                </c:pt>
                <c:pt idx="80">
                  <c:v>-0.34599999999999997</c:v>
                </c:pt>
                <c:pt idx="81">
                  <c:v>-2.5000000000000001E-2</c:v>
                </c:pt>
                <c:pt idx="82">
                  <c:v>3.4000000000000002E-2</c:v>
                </c:pt>
                <c:pt idx="83">
                  <c:v>2E-3</c:v>
                </c:pt>
                <c:pt idx="84">
                  <c:v>-0.03</c:v>
                </c:pt>
                <c:pt idx="85">
                  <c:v>-2.7E-2</c:v>
                </c:pt>
                <c:pt idx="86">
                  <c:v>-3.5999999999999997E-2</c:v>
                </c:pt>
                <c:pt idx="87">
                  <c:v>3.5999999999999997E-2</c:v>
                </c:pt>
                <c:pt idx="88">
                  <c:v>2.1999999999999999E-2</c:v>
                </c:pt>
                <c:pt idx="89">
                  <c:v>2.1000000000000001E-2</c:v>
                </c:pt>
                <c:pt idx="90">
                  <c:v>5.3999999999999999E-2</c:v>
                </c:pt>
                <c:pt idx="91">
                  <c:v>5.0999999999999997E-2</c:v>
                </c:pt>
                <c:pt idx="92">
                  <c:v>3.5000000000000003E-2</c:v>
                </c:pt>
                <c:pt idx="93">
                  <c:v>5.3999999999999999E-2</c:v>
                </c:pt>
                <c:pt idx="94">
                  <c:v>6.2E-2</c:v>
                </c:pt>
                <c:pt idx="95">
                  <c:v>0.45600000000000002</c:v>
                </c:pt>
                <c:pt idx="96">
                  <c:v>0.38900000000000001</c:v>
                </c:pt>
                <c:pt idx="97">
                  <c:v>0.33600000000000002</c:v>
                </c:pt>
                <c:pt idx="98">
                  <c:v>0.441</c:v>
                </c:pt>
                <c:pt idx="99">
                  <c:v>0.46500000000000002</c:v>
                </c:pt>
                <c:pt idx="100">
                  <c:v>0.46700000000000003</c:v>
                </c:pt>
                <c:pt idx="101">
                  <c:v>0.48599999999999999</c:v>
                </c:pt>
                <c:pt idx="102">
                  <c:v>0.41699999999999998</c:v>
                </c:pt>
                <c:pt idx="103">
                  <c:v>0.32600000000000001</c:v>
                </c:pt>
                <c:pt idx="104">
                  <c:v>0.26100000000000001</c:v>
                </c:pt>
                <c:pt idx="105">
                  <c:v>8.8999999999999996E-2</c:v>
                </c:pt>
                <c:pt idx="106">
                  <c:v>0.14299999999999999</c:v>
                </c:pt>
                <c:pt idx="107">
                  <c:v>0.20899999999999999</c:v>
                </c:pt>
                <c:pt idx="108">
                  <c:v>0.29699999999999999</c:v>
                </c:pt>
                <c:pt idx="109">
                  <c:v>0.60199999999999998</c:v>
                </c:pt>
                <c:pt idx="110">
                  <c:v>0.45900000000000002</c:v>
                </c:pt>
                <c:pt idx="111">
                  <c:v>0.64300000000000002</c:v>
                </c:pt>
                <c:pt idx="112">
                  <c:v>0.70499999999999996</c:v>
                </c:pt>
                <c:pt idx="113">
                  <c:v>0.85699999999999998</c:v>
                </c:pt>
                <c:pt idx="114">
                  <c:v>0.88400000000000001</c:v>
                </c:pt>
                <c:pt idx="115">
                  <c:v>0.81</c:v>
                </c:pt>
                <c:pt idx="116">
                  <c:v>0.82199999999999995</c:v>
                </c:pt>
                <c:pt idx="117">
                  <c:v>0.93400000000000005</c:v>
                </c:pt>
                <c:pt idx="118">
                  <c:v>0.996</c:v>
                </c:pt>
                <c:pt idx="119">
                  <c:v>0.77300000000000002</c:v>
                </c:pt>
                <c:pt idx="120">
                  <c:v>0.58899999999999997</c:v>
                </c:pt>
                <c:pt idx="121">
                  <c:v>0.81200000000000006</c:v>
                </c:pt>
                <c:pt idx="122">
                  <c:v>0.876</c:v>
                </c:pt>
                <c:pt idx="123">
                  <c:v>1.0940000000000001</c:v>
                </c:pt>
                <c:pt idx="124">
                  <c:v>1.1020000000000001</c:v>
                </c:pt>
                <c:pt idx="125">
                  <c:v>1.091</c:v>
                </c:pt>
                <c:pt idx="126">
                  <c:v>1.159</c:v>
                </c:pt>
                <c:pt idx="127">
                  <c:v>0.93</c:v>
                </c:pt>
                <c:pt idx="128">
                  <c:v>0.873</c:v>
                </c:pt>
                <c:pt idx="129">
                  <c:v>0.89700000000000002</c:v>
                </c:pt>
                <c:pt idx="130">
                  <c:v>0.98499999999999999</c:v>
                </c:pt>
                <c:pt idx="131">
                  <c:v>0.81799999999999995</c:v>
                </c:pt>
                <c:pt idx="132">
                  <c:v>0.81</c:v>
                </c:pt>
                <c:pt idx="133">
                  <c:v>1.143</c:v>
                </c:pt>
                <c:pt idx="134">
                  <c:v>1.1719999999999999</c:v>
                </c:pt>
                <c:pt idx="135">
                  <c:v>4.0609999999999999</c:v>
                </c:pt>
                <c:pt idx="136">
                  <c:v>9.27</c:v>
                </c:pt>
                <c:pt idx="137">
                  <c:v>13.1</c:v>
                </c:pt>
                <c:pt idx="138">
                  <c:v>14.82</c:v>
                </c:pt>
                <c:pt idx="139">
                  <c:v>6.0259999999999998</c:v>
                </c:pt>
                <c:pt idx="140">
                  <c:v>13.88</c:v>
                </c:pt>
                <c:pt idx="141">
                  <c:v>15.39</c:v>
                </c:pt>
                <c:pt idx="142">
                  <c:v>15.48</c:v>
                </c:pt>
                <c:pt idx="143">
                  <c:v>7.91</c:v>
                </c:pt>
                <c:pt idx="144">
                  <c:v>8.1300000000000008</c:v>
                </c:pt>
                <c:pt idx="145">
                  <c:v>7.29</c:v>
                </c:pt>
                <c:pt idx="146">
                  <c:v>7.65</c:v>
                </c:pt>
                <c:pt idx="147">
                  <c:v>11.33</c:v>
                </c:pt>
                <c:pt idx="148">
                  <c:v>9.81</c:v>
                </c:pt>
                <c:pt idx="149">
                  <c:v>15.95</c:v>
                </c:pt>
                <c:pt idx="150">
                  <c:v>19.149999999999999</c:v>
                </c:pt>
                <c:pt idx="151">
                  <c:v>19.38</c:v>
                </c:pt>
                <c:pt idx="152">
                  <c:v>12.12</c:v>
                </c:pt>
                <c:pt idx="153">
                  <c:v>13.3</c:v>
                </c:pt>
                <c:pt idx="154">
                  <c:v>11.77</c:v>
                </c:pt>
                <c:pt idx="155">
                  <c:v>12.36</c:v>
                </c:pt>
                <c:pt idx="156">
                  <c:v>20.18</c:v>
                </c:pt>
                <c:pt idx="157">
                  <c:v>22.53</c:v>
                </c:pt>
                <c:pt idx="158">
                  <c:v>12.95</c:v>
                </c:pt>
                <c:pt idx="159">
                  <c:v>15.01</c:v>
                </c:pt>
                <c:pt idx="160">
                  <c:v>18.170000000000002</c:v>
                </c:pt>
                <c:pt idx="161">
                  <c:v>14.43</c:v>
                </c:pt>
                <c:pt idx="162">
                  <c:v>19.739999999999998</c:v>
                </c:pt>
                <c:pt idx="163">
                  <c:v>24.85</c:v>
                </c:pt>
                <c:pt idx="164">
                  <c:v>11.74</c:v>
                </c:pt>
                <c:pt idx="165">
                  <c:v>9.86</c:v>
                </c:pt>
                <c:pt idx="166">
                  <c:v>12.96</c:v>
                </c:pt>
                <c:pt idx="167">
                  <c:v>12.86</c:v>
                </c:pt>
                <c:pt idx="168">
                  <c:v>14.44</c:v>
                </c:pt>
                <c:pt idx="169">
                  <c:v>10.15</c:v>
                </c:pt>
                <c:pt idx="170">
                  <c:v>14.62</c:v>
                </c:pt>
                <c:pt idx="171">
                  <c:v>13.48</c:v>
                </c:pt>
                <c:pt idx="172">
                  <c:v>19.14</c:v>
                </c:pt>
                <c:pt idx="173">
                  <c:v>22.72</c:v>
                </c:pt>
                <c:pt idx="174">
                  <c:v>24.03</c:v>
                </c:pt>
                <c:pt idx="175">
                  <c:v>26.84</c:v>
                </c:pt>
                <c:pt idx="176">
                  <c:v>27.57</c:v>
                </c:pt>
                <c:pt idx="177">
                  <c:v>28.46</c:v>
                </c:pt>
                <c:pt idx="178">
                  <c:v>25.29</c:v>
                </c:pt>
                <c:pt idx="179">
                  <c:v>25.22</c:v>
                </c:pt>
                <c:pt idx="180">
                  <c:v>24.05</c:v>
                </c:pt>
                <c:pt idx="181">
                  <c:v>27.33</c:v>
                </c:pt>
                <c:pt idx="182">
                  <c:v>28.55</c:v>
                </c:pt>
                <c:pt idx="183">
                  <c:v>28.84</c:v>
                </c:pt>
                <c:pt idx="184">
                  <c:v>29.36</c:v>
                </c:pt>
                <c:pt idx="185">
                  <c:v>31.27</c:v>
                </c:pt>
                <c:pt idx="186">
                  <c:v>18.21</c:v>
                </c:pt>
                <c:pt idx="187">
                  <c:v>20.170000000000002</c:v>
                </c:pt>
                <c:pt idx="188">
                  <c:v>27.03</c:v>
                </c:pt>
                <c:pt idx="189">
                  <c:v>27.29</c:v>
                </c:pt>
                <c:pt idx="190">
                  <c:v>22.66</c:v>
                </c:pt>
                <c:pt idx="191">
                  <c:v>17.32</c:v>
                </c:pt>
                <c:pt idx="192">
                  <c:v>16.600000000000001</c:v>
                </c:pt>
                <c:pt idx="193">
                  <c:v>14.51</c:v>
                </c:pt>
                <c:pt idx="194">
                  <c:v>15.71</c:v>
                </c:pt>
                <c:pt idx="195">
                  <c:v>21.76</c:v>
                </c:pt>
                <c:pt idx="196">
                  <c:v>22.66</c:v>
                </c:pt>
                <c:pt idx="197">
                  <c:v>23.99</c:v>
                </c:pt>
                <c:pt idx="198">
                  <c:v>23.67</c:v>
                </c:pt>
                <c:pt idx="199">
                  <c:v>18.96</c:v>
                </c:pt>
                <c:pt idx="200">
                  <c:v>26.08</c:v>
                </c:pt>
                <c:pt idx="201">
                  <c:v>28.86</c:v>
                </c:pt>
                <c:pt idx="202">
                  <c:v>25.39</c:v>
                </c:pt>
                <c:pt idx="203">
                  <c:v>30.6</c:v>
                </c:pt>
                <c:pt idx="204">
                  <c:v>23.75</c:v>
                </c:pt>
                <c:pt idx="205">
                  <c:v>25.48</c:v>
                </c:pt>
                <c:pt idx="206">
                  <c:v>26.47</c:v>
                </c:pt>
                <c:pt idx="207">
                  <c:v>27.31</c:v>
                </c:pt>
                <c:pt idx="208">
                  <c:v>25.31</c:v>
                </c:pt>
                <c:pt idx="209">
                  <c:v>23.11</c:v>
                </c:pt>
                <c:pt idx="210">
                  <c:v>12.01</c:v>
                </c:pt>
                <c:pt idx="211">
                  <c:v>14.64</c:v>
                </c:pt>
                <c:pt idx="212">
                  <c:v>17.45</c:v>
                </c:pt>
                <c:pt idx="213">
                  <c:v>20.239999999999998</c:v>
                </c:pt>
                <c:pt idx="214">
                  <c:v>17.12</c:v>
                </c:pt>
                <c:pt idx="215">
                  <c:v>13.86</c:v>
                </c:pt>
                <c:pt idx="216">
                  <c:v>20.86</c:v>
                </c:pt>
                <c:pt idx="217">
                  <c:v>22.7</c:v>
                </c:pt>
                <c:pt idx="218">
                  <c:v>25.7</c:v>
                </c:pt>
                <c:pt idx="219">
                  <c:v>23.21</c:v>
                </c:pt>
                <c:pt idx="220">
                  <c:v>15.91</c:v>
                </c:pt>
                <c:pt idx="221">
                  <c:v>14.75</c:v>
                </c:pt>
                <c:pt idx="222">
                  <c:v>12.32</c:v>
                </c:pt>
                <c:pt idx="223">
                  <c:v>17.690000000000001</c:v>
                </c:pt>
                <c:pt idx="224">
                  <c:v>20.62</c:v>
                </c:pt>
                <c:pt idx="225">
                  <c:v>21.54</c:v>
                </c:pt>
                <c:pt idx="226">
                  <c:v>20.93</c:v>
                </c:pt>
                <c:pt idx="227">
                  <c:v>21.44</c:v>
                </c:pt>
                <c:pt idx="228">
                  <c:v>22.89</c:v>
                </c:pt>
                <c:pt idx="229">
                  <c:v>23.02</c:v>
                </c:pt>
                <c:pt idx="230">
                  <c:v>22.74</c:v>
                </c:pt>
                <c:pt idx="231">
                  <c:v>24.88</c:v>
                </c:pt>
                <c:pt idx="232">
                  <c:v>25.66</c:v>
                </c:pt>
                <c:pt idx="233">
                  <c:v>16.940000000000001</c:v>
                </c:pt>
                <c:pt idx="234">
                  <c:v>17.72</c:v>
                </c:pt>
                <c:pt idx="235">
                  <c:v>14.6</c:v>
                </c:pt>
                <c:pt idx="236">
                  <c:v>18.55</c:v>
                </c:pt>
                <c:pt idx="237">
                  <c:v>21.68</c:v>
                </c:pt>
                <c:pt idx="238">
                  <c:v>22.65</c:v>
                </c:pt>
                <c:pt idx="239">
                  <c:v>24.21</c:v>
                </c:pt>
                <c:pt idx="240">
                  <c:v>16.71</c:v>
                </c:pt>
                <c:pt idx="241">
                  <c:v>10.119999999999999</c:v>
                </c:pt>
                <c:pt idx="242">
                  <c:v>12.68</c:v>
                </c:pt>
                <c:pt idx="243">
                  <c:v>16.77</c:v>
                </c:pt>
                <c:pt idx="244">
                  <c:v>21.04</c:v>
                </c:pt>
                <c:pt idx="245">
                  <c:v>23.74</c:v>
                </c:pt>
                <c:pt idx="246">
                  <c:v>22.32</c:v>
                </c:pt>
                <c:pt idx="247">
                  <c:v>21.26</c:v>
                </c:pt>
                <c:pt idx="248">
                  <c:v>21.45</c:v>
                </c:pt>
                <c:pt idx="249">
                  <c:v>22.91</c:v>
                </c:pt>
                <c:pt idx="250">
                  <c:v>23.45</c:v>
                </c:pt>
                <c:pt idx="251">
                  <c:v>16.13</c:v>
                </c:pt>
                <c:pt idx="252">
                  <c:v>15.97</c:v>
                </c:pt>
                <c:pt idx="253">
                  <c:v>18.07</c:v>
                </c:pt>
                <c:pt idx="254">
                  <c:v>18.579999999999998</c:v>
                </c:pt>
                <c:pt idx="255">
                  <c:v>14.8</c:v>
                </c:pt>
                <c:pt idx="256">
                  <c:v>5.0309999999999997</c:v>
                </c:pt>
                <c:pt idx="257">
                  <c:v>12.72</c:v>
                </c:pt>
                <c:pt idx="258">
                  <c:v>7.39</c:v>
                </c:pt>
                <c:pt idx="259">
                  <c:v>10.89</c:v>
                </c:pt>
                <c:pt idx="260">
                  <c:v>8.7100000000000009</c:v>
                </c:pt>
                <c:pt idx="261">
                  <c:v>12.24</c:v>
                </c:pt>
                <c:pt idx="262">
                  <c:v>5.556</c:v>
                </c:pt>
                <c:pt idx="263">
                  <c:v>6.6470000000000002</c:v>
                </c:pt>
                <c:pt idx="264">
                  <c:v>7.95</c:v>
                </c:pt>
                <c:pt idx="265">
                  <c:v>10.44</c:v>
                </c:pt>
                <c:pt idx="266">
                  <c:v>14.97</c:v>
                </c:pt>
                <c:pt idx="267">
                  <c:v>15.8</c:v>
                </c:pt>
                <c:pt idx="268">
                  <c:v>16.46</c:v>
                </c:pt>
                <c:pt idx="269">
                  <c:v>16.309999999999999</c:v>
                </c:pt>
                <c:pt idx="270">
                  <c:v>16.05</c:v>
                </c:pt>
                <c:pt idx="271">
                  <c:v>17.77</c:v>
                </c:pt>
                <c:pt idx="272">
                  <c:v>14.55</c:v>
                </c:pt>
                <c:pt idx="273">
                  <c:v>9.44</c:v>
                </c:pt>
                <c:pt idx="274">
                  <c:v>10.09</c:v>
                </c:pt>
                <c:pt idx="275">
                  <c:v>8.74</c:v>
                </c:pt>
                <c:pt idx="276">
                  <c:v>10.029999999999999</c:v>
                </c:pt>
                <c:pt idx="277">
                  <c:v>10.199999999999999</c:v>
                </c:pt>
                <c:pt idx="278">
                  <c:v>9.24</c:v>
                </c:pt>
                <c:pt idx="279">
                  <c:v>5.181</c:v>
                </c:pt>
                <c:pt idx="280">
                  <c:v>7.06</c:v>
                </c:pt>
                <c:pt idx="281">
                  <c:v>7.07</c:v>
                </c:pt>
                <c:pt idx="282">
                  <c:v>7.86</c:v>
                </c:pt>
                <c:pt idx="283">
                  <c:v>10.33</c:v>
                </c:pt>
                <c:pt idx="284">
                  <c:v>11.4</c:v>
                </c:pt>
                <c:pt idx="285">
                  <c:v>12.07</c:v>
                </c:pt>
                <c:pt idx="286">
                  <c:v>11.55</c:v>
                </c:pt>
                <c:pt idx="287">
                  <c:v>6.7759999999999998</c:v>
                </c:pt>
                <c:pt idx="288">
                  <c:v>5.157</c:v>
                </c:pt>
                <c:pt idx="289">
                  <c:v>2.6669999999999998</c:v>
                </c:pt>
                <c:pt idx="290">
                  <c:v>1.6339999999999999</c:v>
                </c:pt>
                <c:pt idx="291">
                  <c:v>5.0839999999999996</c:v>
                </c:pt>
                <c:pt idx="292">
                  <c:v>7.48</c:v>
                </c:pt>
                <c:pt idx="293">
                  <c:v>4.0199999999999996</c:v>
                </c:pt>
                <c:pt idx="294">
                  <c:v>3.8650000000000002</c:v>
                </c:pt>
                <c:pt idx="295">
                  <c:v>4.1820000000000004</c:v>
                </c:pt>
                <c:pt idx="296">
                  <c:v>1.484</c:v>
                </c:pt>
                <c:pt idx="297">
                  <c:v>0.96699999999999997</c:v>
                </c:pt>
                <c:pt idx="298">
                  <c:v>2.5430000000000001</c:v>
                </c:pt>
                <c:pt idx="299">
                  <c:v>6.7329999999999997</c:v>
                </c:pt>
                <c:pt idx="300">
                  <c:v>4.8869999999999996</c:v>
                </c:pt>
                <c:pt idx="301">
                  <c:v>1.9259999999999999</c:v>
                </c:pt>
                <c:pt idx="302">
                  <c:v>0.193</c:v>
                </c:pt>
                <c:pt idx="303">
                  <c:v>-0.59599999999999997</c:v>
                </c:pt>
                <c:pt idx="304">
                  <c:v>-0.58499999999999996</c:v>
                </c:pt>
                <c:pt idx="305">
                  <c:v>-0.48399999999999999</c:v>
                </c:pt>
                <c:pt idx="306">
                  <c:v>3.5999999999999997E-2</c:v>
                </c:pt>
                <c:pt idx="307">
                  <c:v>1.677</c:v>
                </c:pt>
                <c:pt idx="308">
                  <c:v>1.931</c:v>
                </c:pt>
                <c:pt idx="309">
                  <c:v>1.7689999999999999</c:v>
                </c:pt>
                <c:pt idx="310">
                  <c:v>1.724</c:v>
                </c:pt>
                <c:pt idx="311">
                  <c:v>1.7330000000000001</c:v>
                </c:pt>
                <c:pt idx="312">
                  <c:v>1.149</c:v>
                </c:pt>
                <c:pt idx="313">
                  <c:v>0.318</c:v>
                </c:pt>
                <c:pt idx="314">
                  <c:v>0.434</c:v>
                </c:pt>
                <c:pt idx="315">
                  <c:v>0.51500000000000001</c:v>
                </c:pt>
                <c:pt idx="316">
                  <c:v>0.497</c:v>
                </c:pt>
                <c:pt idx="317">
                  <c:v>0.68400000000000005</c:v>
                </c:pt>
                <c:pt idx="318">
                  <c:v>0.59399999999999997</c:v>
                </c:pt>
                <c:pt idx="319">
                  <c:v>0.64700000000000002</c:v>
                </c:pt>
                <c:pt idx="320">
                  <c:v>0.66700000000000004</c:v>
                </c:pt>
                <c:pt idx="321">
                  <c:v>0.70399999999999996</c:v>
                </c:pt>
                <c:pt idx="322">
                  <c:v>1.1180000000000001</c:v>
                </c:pt>
                <c:pt idx="323">
                  <c:v>0.92300000000000004</c:v>
                </c:pt>
                <c:pt idx="324">
                  <c:v>0.63300000000000001</c:v>
                </c:pt>
                <c:pt idx="325">
                  <c:v>0.67300000000000004</c:v>
                </c:pt>
                <c:pt idx="326">
                  <c:v>0.60899999999999999</c:v>
                </c:pt>
                <c:pt idx="327">
                  <c:v>0.58499999999999996</c:v>
                </c:pt>
                <c:pt idx="328">
                  <c:v>0.40400000000000003</c:v>
                </c:pt>
                <c:pt idx="329">
                  <c:v>0.13300000000000001</c:v>
                </c:pt>
                <c:pt idx="330">
                  <c:v>-0.40899999999999997</c:v>
                </c:pt>
                <c:pt idx="331">
                  <c:v>-1.091</c:v>
                </c:pt>
                <c:pt idx="332">
                  <c:v>-0.92400000000000004</c:v>
                </c:pt>
                <c:pt idx="333">
                  <c:v>-0.67700000000000005</c:v>
                </c:pt>
                <c:pt idx="334">
                  <c:v>-0.51</c:v>
                </c:pt>
                <c:pt idx="335">
                  <c:v>-0.23599999999999999</c:v>
                </c:pt>
                <c:pt idx="336">
                  <c:v>-0.374</c:v>
                </c:pt>
                <c:pt idx="337">
                  <c:v>-0.28299999999999997</c:v>
                </c:pt>
                <c:pt idx="338">
                  <c:v>-0.16500000000000001</c:v>
                </c:pt>
                <c:pt idx="339">
                  <c:v>-9.6000000000000002E-2</c:v>
                </c:pt>
                <c:pt idx="340">
                  <c:v>-6.5000000000000002E-2</c:v>
                </c:pt>
                <c:pt idx="341">
                  <c:v>-2.3E-2</c:v>
                </c:pt>
                <c:pt idx="342">
                  <c:v>0.18</c:v>
                </c:pt>
                <c:pt idx="343">
                  <c:v>0.29299999999999998</c:v>
                </c:pt>
                <c:pt idx="344">
                  <c:v>0.22700000000000001</c:v>
                </c:pt>
                <c:pt idx="345">
                  <c:v>0.311</c:v>
                </c:pt>
                <c:pt idx="346">
                  <c:v>0.38900000000000001</c:v>
                </c:pt>
                <c:pt idx="347">
                  <c:v>0.34300000000000003</c:v>
                </c:pt>
                <c:pt idx="348">
                  <c:v>0.34200000000000003</c:v>
                </c:pt>
                <c:pt idx="349">
                  <c:v>0.22700000000000001</c:v>
                </c:pt>
                <c:pt idx="350">
                  <c:v>0.223</c:v>
                </c:pt>
                <c:pt idx="351">
                  <c:v>0.24399999999999999</c:v>
                </c:pt>
                <c:pt idx="352">
                  <c:v>0.28100000000000003</c:v>
                </c:pt>
                <c:pt idx="353">
                  <c:v>0.29099999999999998</c:v>
                </c:pt>
                <c:pt idx="354">
                  <c:v>0.28299999999999997</c:v>
                </c:pt>
                <c:pt idx="355">
                  <c:v>0.30499999999999999</c:v>
                </c:pt>
                <c:pt idx="356">
                  <c:v>0.245</c:v>
                </c:pt>
                <c:pt idx="357">
                  <c:v>0.27900000000000003</c:v>
                </c:pt>
                <c:pt idx="358">
                  <c:v>0.25900000000000001</c:v>
                </c:pt>
                <c:pt idx="359">
                  <c:v>0.27800000000000002</c:v>
                </c:pt>
                <c:pt idx="360">
                  <c:v>0.27500000000000002</c:v>
                </c:pt>
                <c:pt idx="361">
                  <c:v>0.126</c:v>
                </c:pt>
                <c:pt idx="362">
                  <c:v>0.16800000000000001</c:v>
                </c:pt>
                <c:pt idx="363">
                  <c:v>0.13500000000000001</c:v>
                </c:pt>
                <c:pt idx="364">
                  <c:v>0.13600000000000001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-0.27600000000000002</c:v>
                </c:pt>
                <c:pt idx="1">
                  <c:v>-0.28499999999999998</c:v>
                </c:pt>
                <c:pt idx="2">
                  <c:v>-0.436</c:v>
                </c:pt>
                <c:pt idx="3">
                  <c:v>-0.38600000000000001</c:v>
                </c:pt>
                <c:pt idx="4">
                  <c:v>-0.14099999999999999</c:v>
                </c:pt>
                <c:pt idx="5">
                  <c:v>-1.4E-2</c:v>
                </c:pt>
                <c:pt idx="6">
                  <c:v>-0.23100000000000001</c:v>
                </c:pt>
                <c:pt idx="7">
                  <c:v>-5.8000000000000003E-2</c:v>
                </c:pt>
                <c:pt idx="8">
                  <c:v>-3.1E-2</c:v>
                </c:pt>
                <c:pt idx="9">
                  <c:v>2.1000000000000001E-2</c:v>
                </c:pt>
                <c:pt idx="10">
                  <c:v>9.1999999999999998E-2</c:v>
                </c:pt>
                <c:pt idx="11">
                  <c:v>6.5000000000000002E-2</c:v>
                </c:pt>
                <c:pt idx="12">
                  <c:v>4.2000000000000003E-2</c:v>
                </c:pt>
                <c:pt idx="13">
                  <c:v>5.8000000000000003E-2</c:v>
                </c:pt>
                <c:pt idx="14">
                  <c:v>-0.122</c:v>
                </c:pt>
                <c:pt idx="15">
                  <c:v>-0.124</c:v>
                </c:pt>
                <c:pt idx="16">
                  <c:v>-5.5E-2</c:v>
                </c:pt>
                <c:pt idx="17">
                  <c:v>-0.24199999999999999</c:v>
                </c:pt>
                <c:pt idx="18">
                  <c:v>-0.128</c:v>
                </c:pt>
                <c:pt idx="19">
                  <c:v>-0.08</c:v>
                </c:pt>
                <c:pt idx="20">
                  <c:v>-0.254</c:v>
                </c:pt>
                <c:pt idx="21">
                  <c:v>-6.7000000000000004E-2</c:v>
                </c:pt>
                <c:pt idx="22">
                  <c:v>-3.2000000000000001E-2</c:v>
                </c:pt>
                <c:pt idx="23">
                  <c:v>-1.2999999999999999E-2</c:v>
                </c:pt>
                <c:pt idx="24">
                  <c:v>-5.0999999999999997E-2</c:v>
                </c:pt>
                <c:pt idx="25">
                  <c:v>-2.4E-2</c:v>
                </c:pt>
                <c:pt idx="26">
                  <c:v>-0.17699999999999999</c:v>
                </c:pt>
                <c:pt idx="27">
                  <c:v>-9.6000000000000002E-2</c:v>
                </c:pt>
                <c:pt idx="28">
                  <c:v>-0.14299999999999999</c:v>
                </c:pt>
                <c:pt idx="29">
                  <c:v>-0.16</c:v>
                </c:pt>
                <c:pt idx="30">
                  <c:v>-5.8999999999999997E-2</c:v>
                </c:pt>
                <c:pt idx="31">
                  <c:v>0</c:v>
                </c:pt>
                <c:pt idx="32">
                  <c:v>9.0999999999999998E-2</c:v>
                </c:pt>
                <c:pt idx="33">
                  <c:v>8.2000000000000003E-2</c:v>
                </c:pt>
                <c:pt idx="34">
                  <c:v>5.5E-2</c:v>
                </c:pt>
                <c:pt idx="35">
                  <c:v>3.5000000000000003E-2</c:v>
                </c:pt>
                <c:pt idx="36">
                  <c:v>1.2E-2</c:v>
                </c:pt>
                <c:pt idx="37">
                  <c:v>8.0000000000000002E-3</c:v>
                </c:pt>
                <c:pt idx="38">
                  <c:v>-5.3999999999999999E-2</c:v>
                </c:pt>
                <c:pt idx="39">
                  <c:v>-0.47199999999999998</c:v>
                </c:pt>
                <c:pt idx="40">
                  <c:v>-0.64700000000000002</c:v>
                </c:pt>
                <c:pt idx="41">
                  <c:v>-0.51300000000000001</c:v>
                </c:pt>
                <c:pt idx="42">
                  <c:v>-0.36699999999999999</c:v>
                </c:pt>
                <c:pt idx="43">
                  <c:v>-0.34599999999999997</c:v>
                </c:pt>
                <c:pt idx="44">
                  <c:v>-0.89100000000000001</c:v>
                </c:pt>
                <c:pt idx="45">
                  <c:v>-1.579</c:v>
                </c:pt>
                <c:pt idx="46">
                  <c:v>-2.04</c:v>
                </c:pt>
                <c:pt idx="47">
                  <c:v>-2.4980000000000002</c:v>
                </c:pt>
                <c:pt idx="48">
                  <c:v>-2.6970000000000001</c:v>
                </c:pt>
                <c:pt idx="49">
                  <c:v>-2.6680000000000001</c:v>
                </c:pt>
                <c:pt idx="50">
                  <c:v>-1.0960000000000001</c:v>
                </c:pt>
                <c:pt idx="51">
                  <c:v>-0.83899999999999997</c:v>
                </c:pt>
                <c:pt idx="52">
                  <c:v>-1.2729999999999999</c:v>
                </c:pt>
                <c:pt idx="53">
                  <c:v>-0.99</c:v>
                </c:pt>
                <c:pt idx="54">
                  <c:v>-3.0350000000000001</c:v>
                </c:pt>
                <c:pt idx="55">
                  <c:v>-3.4009999999999998</c:v>
                </c:pt>
                <c:pt idx="56">
                  <c:v>-1.0349999999999999</c:v>
                </c:pt>
                <c:pt idx="57">
                  <c:v>-0.69599999999999995</c:v>
                </c:pt>
                <c:pt idx="58">
                  <c:v>-0.42299999999999999</c:v>
                </c:pt>
                <c:pt idx="59">
                  <c:v>-0.81599999999999995</c:v>
                </c:pt>
                <c:pt idx="60">
                  <c:v>-0.69</c:v>
                </c:pt>
                <c:pt idx="61">
                  <c:v>-1.5289999999999999</c:v>
                </c:pt>
                <c:pt idx="62">
                  <c:v>-1.649</c:v>
                </c:pt>
                <c:pt idx="63">
                  <c:v>-1.282</c:v>
                </c:pt>
                <c:pt idx="64">
                  <c:v>-0.436</c:v>
                </c:pt>
                <c:pt idx="65">
                  <c:v>-0.51200000000000001</c:v>
                </c:pt>
                <c:pt idx="66">
                  <c:v>-0.56999999999999995</c:v>
                </c:pt>
                <c:pt idx="67">
                  <c:v>-1.847</c:v>
                </c:pt>
                <c:pt idx="68">
                  <c:v>-4.3440000000000003</c:v>
                </c:pt>
                <c:pt idx="69">
                  <c:v>-4.6479999999999997</c:v>
                </c:pt>
                <c:pt idx="70">
                  <c:v>-5.766</c:v>
                </c:pt>
                <c:pt idx="71">
                  <c:v>-5.6989999999999998</c:v>
                </c:pt>
                <c:pt idx="72">
                  <c:v>-1.8560000000000001</c:v>
                </c:pt>
                <c:pt idx="73">
                  <c:v>-2.2490000000000001</c:v>
                </c:pt>
                <c:pt idx="74">
                  <c:v>-0.93500000000000005</c:v>
                </c:pt>
                <c:pt idx="75">
                  <c:v>-0.61</c:v>
                </c:pt>
                <c:pt idx="76">
                  <c:v>-1.992</c:v>
                </c:pt>
                <c:pt idx="77">
                  <c:v>-3.5659999999999998</c:v>
                </c:pt>
                <c:pt idx="78">
                  <c:v>-3.1640000000000001</c:v>
                </c:pt>
                <c:pt idx="79">
                  <c:v>-0.81899999999999995</c:v>
                </c:pt>
                <c:pt idx="80">
                  <c:v>-0.68400000000000005</c:v>
                </c:pt>
                <c:pt idx="81">
                  <c:v>-0.46800000000000003</c:v>
                </c:pt>
                <c:pt idx="82">
                  <c:v>-0.14799999999999999</c:v>
                </c:pt>
                <c:pt idx="83">
                  <c:v>-0.38500000000000001</c:v>
                </c:pt>
                <c:pt idx="84">
                  <c:v>-0.89200000000000002</c:v>
                </c:pt>
                <c:pt idx="85">
                  <c:v>-0.65200000000000002</c:v>
                </c:pt>
                <c:pt idx="86">
                  <c:v>-0.80200000000000005</c:v>
                </c:pt>
                <c:pt idx="87">
                  <c:v>-0.52600000000000002</c:v>
                </c:pt>
                <c:pt idx="88">
                  <c:v>-0.47299999999999998</c:v>
                </c:pt>
                <c:pt idx="89">
                  <c:v>-8.6999999999999994E-2</c:v>
                </c:pt>
                <c:pt idx="90">
                  <c:v>-0.34200000000000003</c:v>
                </c:pt>
                <c:pt idx="91">
                  <c:v>-0.04</c:v>
                </c:pt>
                <c:pt idx="92">
                  <c:v>-0.28699999999999998</c:v>
                </c:pt>
                <c:pt idx="93">
                  <c:v>-5.3999999999999999E-2</c:v>
                </c:pt>
                <c:pt idx="94">
                  <c:v>-3.2000000000000001E-2</c:v>
                </c:pt>
                <c:pt idx="95">
                  <c:v>-2.1000000000000001E-2</c:v>
                </c:pt>
                <c:pt idx="96">
                  <c:v>0.20899999999999999</c:v>
                </c:pt>
                <c:pt idx="97">
                  <c:v>0.26800000000000002</c:v>
                </c:pt>
                <c:pt idx="98">
                  <c:v>0.252</c:v>
                </c:pt>
                <c:pt idx="99">
                  <c:v>0.188</c:v>
                </c:pt>
                <c:pt idx="100">
                  <c:v>0.23899999999999999</c:v>
                </c:pt>
                <c:pt idx="101">
                  <c:v>0.216</c:v>
                </c:pt>
                <c:pt idx="102">
                  <c:v>0.19600000000000001</c:v>
                </c:pt>
                <c:pt idx="103">
                  <c:v>1.4E-2</c:v>
                </c:pt>
                <c:pt idx="104">
                  <c:v>-4.3999999999999997E-2</c:v>
                </c:pt>
                <c:pt idx="105">
                  <c:v>-0.52800000000000002</c:v>
                </c:pt>
                <c:pt idx="106">
                  <c:v>-0.80800000000000005</c:v>
                </c:pt>
                <c:pt idx="107">
                  <c:v>-0.70099999999999996</c:v>
                </c:pt>
                <c:pt idx="108">
                  <c:v>-0.247</c:v>
                </c:pt>
                <c:pt idx="109">
                  <c:v>-4.8000000000000001E-2</c:v>
                </c:pt>
                <c:pt idx="110">
                  <c:v>0.316</c:v>
                </c:pt>
                <c:pt idx="111">
                  <c:v>0.189</c:v>
                </c:pt>
                <c:pt idx="112">
                  <c:v>0.16500000000000001</c:v>
                </c:pt>
                <c:pt idx="113">
                  <c:v>0.16300000000000001</c:v>
                </c:pt>
                <c:pt idx="114">
                  <c:v>0.316</c:v>
                </c:pt>
                <c:pt idx="115">
                  <c:v>0.29899999999999999</c:v>
                </c:pt>
                <c:pt idx="116">
                  <c:v>0.30199999999999999</c:v>
                </c:pt>
                <c:pt idx="117">
                  <c:v>0.34799999999999998</c:v>
                </c:pt>
                <c:pt idx="118">
                  <c:v>0.217</c:v>
                </c:pt>
                <c:pt idx="119">
                  <c:v>0.14099999999999999</c:v>
                </c:pt>
                <c:pt idx="120">
                  <c:v>0.29599999999999999</c:v>
                </c:pt>
                <c:pt idx="121">
                  <c:v>0.09</c:v>
                </c:pt>
                <c:pt idx="122">
                  <c:v>5.2999999999999999E-2</c:v>
                </c:pt>
                <c:pt idx="123">
                  <c:v>0.12</c:v>
                </c:pt>
                <c:pt idx="124">
                  <c:v>0.10100000000000001</c:v>
                </c:pt>
                <c:pt idx="125">
                  <c:v>0.189</c:v>
                </c:pt>
                <c:pt idx="126">
                  <c:v>0.187</c:v>
                </c:pt>
                <c:pt idx="127">
                  <c:v>0.26500000000000001</c:v>
                </c:pt>
                <c:pt idx="128">
                  <c:v>0.14000000000000001</c:v>
                </c:pt>
                <c:pt idx="129">
                  <c:v>0.187</c:v>
                </c:pt>
                <c:pt idx="130">
                  <c:v>0.28000000000000003</c:v>
                </c:pt>
                <c:pt idx="131">
                  <c:v>0.27400000000000002</c:v>
                </c:pt>
                <c:pt idx="132">
                  <c:v>-0.05</c:v>
                </c:pt>
                <c:pt idx="133">
                  <c:v>4.1000000000000002E-2</c:v>
                </c:pt>
                <c:pt idx="134">
                  <c:v>-0.112</c:v>
                </c:pt>
                <c:pt idx="135">
                  <c:v>0.28799999999999998</c:v>
                </c:pt>
                <c:pt idx="136">
                  <c:v>0.45300000000000001</c:v>
                </c:pt>
                <c:pt idx="137">
                  <c:v>1.3460000000000001</c:v>
                </c:pt>
                <c:pt idx="138">
                  <c:v>1.76</c:v>
                </c:pt>
                <c:pt idx="139">
                  <c:v>4.2619999999999996</c:v>
                </c:pt>
                <c:pt idx="140">
                  <c:v>2.641</c:v>
                </c:pt>
                <c:pt idx="141">
                  <c:v>3.4990000000000001</c:v>
                </c:pt>
                <c:pt idx="142">
                  <c:v>4.399</c:v>
                </c:pt>
                <c:pt idx="143">
                  <c:v>3.4590000000000001</c:v>
                </c:pt>
                <c:pt idx="144">
                  <c:v>1.839</c:v>
                </c:pt>
                <c:pt idx="145">
                  <c:v>1.9710000000000001</c:v>
                </c:pt>
                <c:pt idx="146">
                  <c:v>1.698</c:v>
                </c:pt>
                <c:pt idx="147">
                  <c:v>1.52</c:v>
                </c:pt>
                <c:pt idx="148">
                  <c:v>2.0640000000000001</c:v>
                </c:pt>
                <c:pt idx="149">
                  <c:v>2.069</c:v>
                </c:pt>
                <c:pt idx="150">
                  <c:v>3.2519999999999998</c:v>
                </c:pt>
                <c:pt idx="151">
                  <c:v>7.79</c:v>
                </c:pt>
                <c:pt idx="152">
                  <c:v>6.4859999999999998</c:v>
                </c:pt>
                <c:pt idx="153">
                  <c:v>2.8879999999999999</c:v>
                </c:pt>
                <c:pt idx="154">
                  <c:v>3.2949999999999999</c:v>
                </c:pt>
                <c:pt idx="155">
                  <c:v>1.337</c:v>
                </c:pt>
                <c:pt idx="156">
                  <c:v>-2.1000000000000001E-2</c:v>
                </c:pt>
                <c:pt idx="157">
                  <c:v>2.5670000000000002</c:v>
                </c:pt>
                <c:pt idx="158">
                  <c:v>4.5510000000000002</c:v>
                </c:pt>
                <c:pt idx="159">
                  <c:v>3.548</c:v>
                </c:pt>
                <c:pt idx="160">
                  <c:v>1.909</c:v>
                </c:pt>
                <c:pt idx="161">
                  <c:v>4.3</c:v>
                </c:pt>
                <c:pt idx="162">
                  <c:v>4.234</c:v>
                </c:pt>
                <c:pt idx="163">
                  <c:v>5.7089999999999996</c:v>
                </c:pt>
                <c:pt idx="164">
                  <c:v>9.01</c:v>
                </c:pt>
                <c:pt idx="165">
                  <c:v>4.1150000000000002</c:v>
                </c:pt>
                <c:pt idx="166">
                  <c:v>2.4540000000000002</c:v>
                </c:pt>
                <c:pt idx="167">
                  <c:v>4.5640000000000001</c:v>
                </c:pt>
                <c:pt idx="168">
                  <c:v>2.1659999999999999</c:v>
                </c:pt>
                <c:pt idx="169">
                  <c:v>1.752</c:v>
                </c:pt>
                <c:pt idx="170">
                  <c:v>1.8149999999999999</c:v>
                </c:pt>
                <c:pt idx="171">
                  <c:v>0.56299999999999994</c:v>
                </c:pt>
                <c:pt idx="172">
                  <c:v>1.839</c:v>
                </c:pt>
                <c:pt idx="173">
                  <c:v>0.96199999999999997</c:v>
                </c:pt>
                <c:pt idx="174">
                  <c:v>1.448</c:v>
                </c:pt>
                <c:pt idx="175">
                  <c:v>3.1869999999999998</c:v>
                </c:pt>
                <c:pt idx="176">
                  <c:v>4.7610000000000001</c:v>
                </c:pt>
                <c:pt idx="177">
                  <c:v>6.056</c:v>
                </c:pt>
                <c:pt idx="178">
                  <c:v>3.0569999999999999</c:v>
                </c:pt>
                <c:pt idx="179">
                  <c:v>2.1389999999999998</c:v>
                </c:pt>
                <c:pt idx="180">
                  <c:v>5.87</c:v>
                </c:pt>
                <c:pt idx="181">
                  <c:v>3.6749999999999998</c:v>
                </c:pt>
                <c:pt idx="182">
                  <c:v>3.9369999999999998</c:v>
                </c:pt>
                <c:pt idx="183">
                  <c:v>6.0209999999999999</c:v>
                </c:pt>
                <c:pt idx="184">
                  <c:v>6.0209999999999999</c:v>
                </c:pt>
                <c:pt idx="185">
                  <c:v>5.8440000000000003</c:v>
                </c:pt>
                <c:pt idx="186">
                  <c:v>5.2919999999999998</c:v>
                </c:pt>
                <c:pt idx="187">
                  <c:v>3.1070000000000002</c:v>
                </c:pt>
                <c:pt idx="188">
                  <c:v>3.3239999999999998</c:v>
                </c:pt>
                <c:pt idx="189">
                  <c:v>9.18</c:v>
                </c:pt>
                <c:pt idx="190">
                  <c:v>5.7370000000000001</c:v>
                </c:pt>
                <c:pt idx="191">
                  <c:v>3.129</c:v>
                </c:pt>
                <c:pt idx="192">
                  <c:v>6.0469999999999997</c:v>
                </c:pt>
                <c:pt idx="193">
                  <c:v>3.9369999999999998</c:v>
                </c:pt>
                <c:pt idx="194">
                  <c:v>5.6689999999999996</c:v>
                </c:pt>
                <c:pt idx="195">
                  <c:v>2.044</c:v>
                </c:pt>
                <c:pt idx="196">
                  <c:v>0.86099999999999999</c:v>
                </c:pt>
                <c:pt idx="197">
                  <c:v>1.583</c:v>
                </c:pt>
                <c:pt idx="198">
                  <c:v>1.0189999999999999</c:v>
                </c:pt>
                <c:pt idx="199">
                  <c:v>0.80600000000000005</c:v>
                </c:pt>
                <c:pt idx="200">
                  <c:v>2.1419999999999999</c:v>
                </c:pt>
                <c:pt idx="201">
                  <c:v>5.3440000000000003</c:v>
                </c:pt>
                <c:pt idx="202">
                  <c:v>7.76</c:v>
                </c:pt>
                <c:pt idx="203">
                  <c:v>7.3</c:v>
                </c:pt>
                <c:pt idx="204">
                  <c:v>7.9</c:v>
                </c:pt>
                <c:pt idx="205">
                  <c:v>7.68</c:v>
                </c:pt>
                <c:pt idx="206">
                  <c:v>6.5049999999999999</c:v>
                </c:pt>
                <c:pt idx="207">
                  <c:v>6.1239999999999997</c:v>
                </c:pt>
                <c:pt idx="208">
                  <c:v>5.0339999999999998</c:v>
                </c:pt>
                <c:pt idx="209">
                  <c:v>1.4059999999999999</c:v>
                </c:pt>
                <c:pt idx="210">
                  <c:v>0.44</c:v>
                </c:pt>
                <c:pt idx="211">
                  <c:v>1.1359999999999999</c:v>
                </c:pt>
                <c:pt idx="212">
                  <c:v>1.901</c:v>
                </c:pt>
                <c:pt idx="213">
                  <c:v>1.6180000000000001</c:v>
                </c:pt>
                <c:pt idx="214">
                  <c:v>1.238</c:v>
                </c:pt>
                <c:pt idx="215">
                  <c:v>-0.41799999999999998</c:v>
                </c:pt>
                <c:pt idx="216">
                  <c:v>-2.218</c:v>
                </c:pt>
                <c:pt idx="217">
                  <c:v>1.0960000000000001</c:v>
                </c:pt>
                <c:pt idx="218">
                  <c:v>2.524</c:v>
                </c:pt>
                <c:pt idx="219">
                  <c:v>2.702</c:v>
                </c:pt>
                <c:pt idx="220">
                  <c:v>3.98</c:v>
                </c:pt>
                <c:pt idx="221">
                  <c:v>5.7160000000000002</c:v>
                </c:pt>
                <c:pt idx="222">
                  <c:v>1.381</c:v>
                </c:pt>
                <c:pt idx="223">
                  <c:v>1.161</c:v>
                </c:pt>
                <c:pt idx="224">
                  <c:v>3.74</c:v>
                </c:pt>
                <c:pt idx="225">
                  <c:v>1.859</c:v>
                </c:pt>
                <c:pt idx="226">
                  <c:v>1.292</c:v>
                </c:pt>
                <c:pt idx="227">
                  <c:v>1.31</c:v>
                </c:pt>
                <c:pt idx="228">
                  <c:v>0.247</c:v>
                </c:pt>
                <c:pt idx="229">
                  <c:v>1.986</c:v>
                </c:pt>
                <c:pt idx="230">
                  <c:v>0.4</c:v>
                </c:pt>
                <c:pt idx="231">
                  <c:v>1.2010000000000001</c:v>
                </c:pt>
                <c:pt idx="232">
                  <c:v>2.3570000000000002</c:v>
                </c:pt>
                <c:pt idx="233">
                  <c:v>3.9529999999999998</c:v>
                </c:pt>
                <c:pt idx="234">
                  <c:v>1.9319999999999999</c:v>
                </c:pt>
                <c:pt idx="235">
                  <c:v>1.1160000000000001</c:v>
                </c:pt>
                <c:pt idx="236">
                  <c:v>0.75700000000000001</c:v>
                </c:pt>
                <c:pt idx="237">
                  <c:v>1.484</c:v>
                </c:pt>
                <c:pt idx="238">
                  <c:v>1.7969999999999999</c:v>
                </c:pt>
                <c:pt idx="239">
                  <c:v>1.581</c:v>
                </c:pt>
                <c:pt idx="240">
                  <c:v>3.0350000000000001</c:v>
                </c:pt>
                <c:pt idx="241">
                  <c:v>0.79900000000000004</c:v>
                </c:pt>
                <c:pt idx="242">
                  <c:v>-1.881</c:v>
                </c:pt>
                <c:pt idx="243">
                  <c:v>-1.1930000000000001</c:v>
                </c:pt>
                <c:pt idx="244">
                  <c:v>0.76800000000000002</c:v>
                </c:pt>
                <c:pt idx="245">
                  <c:v>1.5669999999999999</c:v>
                </c:pt>
                <c:pt idx="246">
                  <c:v>3.6659999999999999</c:v>
                </c:pt>
                <c:pt idx="247">
                  <c:v>3.0830000000000002</c:v>
                </c:pt>
                <c:pt idx="248">
                  <c:v>2.4209999999999998</c:v>
                </c:pt>
                <c:pt idx="249">
                  <c:v>2.1539999999999999</c:v>
                </c:pt>
                <c:pt idx="250">
                  <c:v>3.0350000000000001</c:v>
                </c:pt>
                <c:pt idx="251">
                  <c:v>3.3149999999999999</c:v>
                </c:pt>
                <c:pt idx="252">
                  <c:v>4.141</c:v>
                </c:pt>
                <c:pt idx="253">
                  <c:v>1.1910000000000001</c:v>
                </c:pt>
                <c:pt idx="254">
                  <c:v>2.3149999999999999</c:v>
                </c:pt>
                <c:pt idx="255">
                  <c:v>1.5309999999999999</c:v>
                </c:pt>
                <c:pt idx="256">
                  <c:v>1.0209999999999999</c:v>
                </c:pt>
                <c:pt idx="257">
                  <c:v>-0.95299999999999996</c:v>
                </c:pt>
                <c:pt idx="258">
                  <c:v>-1.4970000000000001</c:v>
                </c:pt>
                <c:pt idx="259">
                  <c:v>-3.0139999999999998</c:v>
                </c:pt>
                <c:pt idx="260">
                  <c:v>3.383</c:v>
                </c:pt>
                <c:pt idx="261">
                  <c:v>0.108</c:v>
                </c:pt>
                <c:pt idx="262">
                  <c:v>-0.307</c:v>
                </c:pt>
                <c:pt idx="263">
                  <c:v>3.6920000000000002</c:v>
                </c:pt>
                <c:pt idx="264">
                  <c:v>1.52</c:v>
                </c:pt>
                <c:pt idx="265">
                  <c:v>1.1459999999999999</c:v>
                </c:pt>
                <c:pt idx="266">
                  <c:v>-0.24199999999999999</c:v>
                </c:pt>
                <c:pt idx="267">
                  <c:v>0.3</c:v>
                </c:pt>
                <c:pt idx="268">
                  <c:v>1.2529999999999999</c:v>
                </c:pt>
                <c:pt idx="269">
                  <c:v>0.23599999999999999</c:v>
                </c:pt>
                <c:pt idx="270">
                  <c:v>1.169</c:v>
                </c:pt>
                <c:pt idx="271">
                  <c:v>0.36399999999999999</c:v>
                </c:pt>
                <c:pt idx="272">
                  <c:v>-1.54</c:v>
                </c:pt>
                <c:pt idx="273">
                  <c:v>-2.8130000000000002</c:v>
                </c:pt>
                <c:pt idx="274">
                  <c:v>-3.375</c:v>
                </c:pt>
                <c:pt idx="275">
                  <c:v>-3.4950000000000001</c:v>
                </c:pt>
                <c:pt idx="276">
                  <c:v>-2.9079999999999999</c:v>
                </c:pt>
                <c:pt idx="277">
                  <c:v>-2.2690000000000001</c:v>
                </c:pt>
                <c:pt idx="278">
                  <c:v>-1.2110000000000001</c:v>
                </c:pt>
                <c:pt idx="279">
                  <c:v>-5.7439999999999998</c:v>
                </c:pt>
                <c:pt idx="280">
                  <c:v>-5.1429999999999998</c:v>
                </c:pt>
                <c:pt idx="281">
                  <c:v>-6.3479999999999999</c:v>
                </c:pt>
                <c:pt idx="282">
                  <c:v>-4.33</c:v>
                </c:pt>
                <c:pt idx="283">
                  <c:v>-3.8039999999999998</c:v>
                </c:pt>
                <c:pt idx="284">
                  <c:v>-2.722</c:v>
                </c:pt>
                <c:pt idx="285">
                  <c:v>-1.696</c:v>
                </c:pt>
                <c:pt idx="286">
                  <c:v>-2.669</c:v>
                </c:pt>
                <c:pt idx="287">
                  <c:v>0.26400000000000001</c:v>
                </c:pt>
                <c:pt idx="288">
                  <c:v>-1.526</c:v>
                </c:pt>
                <c:pt idx="289">
                  <c:v>-0.83799999999999997</c:v>
                </c:pt>
                <c:pt idx="290">
                  <c:v>-0.53500000000000003</c:v>
                </c:pt>
                <c:pt idx="291">
                  <c:v>0.61799999999999999</c:v>
                </c:pt>
                <c:pt idx="292">
                  <c:v>-2.3969999999999998</c:v>
                </c:pt>
                <c:pt idx="293">
                  <c:v>-3.5329999999999999</c:v>
                </c:pt>
                <c:pt idx="294">
                  <c:v>-3.7490000000000001</c:v>
                </c:pt>
                <c:pt idx="295">
                  <c:v>-3.3239999999999998</c:v>
                </c:pt>
                <c:pt idx="296">
                  <c:v>-2.258</c:v>
                </c:pt>
                <c:pt idx="297">
                  <c:v>-4.8460000000000001</c:v>
                </c:pt>
                <c:pt idx="298">
                  <c:v>-0.187</c:v>
                </c:pt>
                <c:pt idx="299">
                  <c:v>1.75</c:v>
                </c:pt>
                <c:pt idx="300">
                  <c:v>1.887</c:v>
                </c:pt>
                <c:pt idx="301">
                  <c:v>-5.5E-2</c:v>
                </c:pt>
                <c:pt idx="302">
                  <c:v>-1.8029999999999999</c:v>
                </c:pt>
                <c:pt idx="303">
                  <c:v>-3.714</c:v>
                </c:pt>
                <c:pt idx="304">
                  <c:v>-4.5250000000000004</c:v>
                </c:pt>
                <c:pt idx="305">
                  <c:v>-2.5960000000000001</c:v>
                </c:pt>
                <c:pt idx="306">
                  <c:v>-0.52400000000000002</c:v>
                </c:pt>
                <c:pt idx="307">
                  <c:v>4.0000000000000001E-3</c:v>
                </c:pt>
                <c:pt idx="308">
                  <c:v>1.54</c:v>
                </c:pt>
                <c:pt idx="309">
                  <c:v>0.67800000000000005</c:v>
                </c:pt>
                <c:pt idx="310">
                  <c:v>1.0369999999999999</c:v>
                </c:pt>
                <c:pt idx="311">
                  <c:v>0.66400000000000003</c:v>
                </c:pt>
                <c:pt idx="312">
                  <c:v>-1.6950000000000001</c:v>
                </c:pt>
                <c:pt idx="313">
                  <c:v>-1.3420000000000001</c:v>
                </c:pt>
                <c:pt idx="314">
                  <c:v>0.191</c:v>
                </c:pt>
                <c:pt idx="315">
                  <c:v>0.29799999999999999</c:v>
                </c:pt>
                <c:pt idx="316">
                  <c:v>0.32600000000000001</c:v>
                </c:pt>
                <c:pt idx="317">
                  <c:v>5.1999999999999998E-2</c:v>
                </c:pt>
                <c:pt idx="318">
                  <c:v>0.29199999999999998</c:v>
                </c:pt>
                <c:pt idx="319">
                  <c:v>0.161</c:v>
                </c:pt>
                <c:pt idx="320">
                  <c:v>0.316</c:v>
                </c:pt>
                <c:pt idx="321">
                  <c:v>0.41599999999999998</c:v>
                </c:pt>
                <c:pt idx="322">
                  <c:v>0.41899999999999998</c:v>
                </c:pt>
                <c:pt idx="323">
                  <c:v>0.47399999999999998</c:v>
                </c:pt>
                <c:pt idx="324">
                  <c:v>0.39600000000000002</c:v>
                </c:pt>
                <c:pt idx="325">
                  <c:v>0.38800000000000001</c:v>
                </c:pt>
                <c:pt idx="326">
                  <c:v>0.36199999999999999</c:v>
                </c:pt>
                <c:pt idx="327">
                  <c:v>0.107</c:v>
                </c:pt>
                <c:pt idx="328">
                  <c:v>-0.50800000000000001</c:v>
                </c:pt>
                <c:pt idx="329">
                  <c:v>-0.58599999999999997</c:v>
                </c:pt>
                <c:pt idx="330">
                  <c:v>-1.4239999999999999</c:v>
                </c:pt>
                <c:pt idx="331">
                  <c:v>-3.5680000000000001</c:v>
                </c:pt>
                <c:pt idx="332">
                  <c:v>-3.7719999999999998</c:v>
                </c:pt>
                <c:pt idx="333">
                  <c:v>-1.613</c:v>
                </c:pt>
                <c:pt idx="334">
                  <c:v>-0.97499999999999998</c:v>
                </c:pt>
                <c:pt idx="335">
                  <c:v>-1.7450000000000001</c:v>
                </c:pt>
                <c:pt idx="336">
                  <c:v>-0.73</c:v>
                </c:pt>
                <c:pt idx="337">
                  <c:v>-0.55900000000000005</c:v>
                </c:pt>
                <c:pt idx="338">
                  <c:v>-0.56100000000000005</c:v>
                </c:pt>
                <c:pt idx="339">
                  <c:v>-0.46200000000000002</c:v>
                </c:pt>
                <c:pt idx="340">
                  <c:v>-0.378</c:v>
                </c:pt>
                <c:pt idx="341">
                  <c:v>-0.252</c:v>
                </c:pt>
                <c:pt idx="342">
                  <c:v>-0.23</c:v>
                </c:pt>
                <c:pt idx="343">
                  <c:v>-0.151</c:v>
                </c:pt>
                <c:pt idx="344">
                  <c:v>-3.7999999999999999E-2</c:v>
                </c:pt>
                <c:pt idx="345">
                  <c:v>-3.3000000000000002E-2</c:v>
                </c:pt>
                <c:pt idx="346">
                  <c:v>-4.3999999999999997E-2</c:v>
                </c:pt>
                <c:pt idx="347">
                  <c:v>-0.27300000000000002</c:v>
                </c:pt>
                <c:pt idx="348">
                  <c:v>-0.19700000000000001</c:v>
                </c:pt>
                <c:pt idx="349">
                  <c:v>-0.68799999999999994</c:v>
                </c:pt>
                <c:pt idx="350">
                  <c:v>-0.53600000000000003</c:v>
                </c:pt>
                <c:pt idx="351">
                  <c:v>-0.38</c:v>
                </c:pt>
                <c:pt idx="352">
                  <c:v>-8.3000000000000004E-2</c:v>
                </c:pt>
                <c:pt idx="353">
                  <c:v>3.0000000000000001E-3</c:v>
                </c:pt>
                <c:pt idx="354">
                  <c:v>-7.0000000000000007E-2</c:v>
                </c:pt>
                <c:pt idx="355">
                  <c:v>-1.4E-2</c:v>
                </c:pt>
                <c:pt idx="356">
                  <c:v>-0.23899999999999999</c:v>
                </c:pt>
                <c:pt idx="357">
                  <c:v>-0.54400000000000004</c:v>
                </c:pt>
                <c:pt idx="358">
                  <c:v>-0.115</c:v>
                </c:pt>
                <c:pt idx="359">
                  <c:v>2.3E-2</c:v>
                </c:pt>
                <c:pt idx="360">
                  <c:v>-0.155</c:v>
                </c:pt>
                <c:pt idx="361">
                  <c:v>-0.626</c:v>
                </c:pt>
                <c:pt idx="362">
                  <c:v>-0.69499999999999995</c:v>
                </c:pt>
                <c:pt idx="363">
                  <c:v>-0.54800000000000004</c:v>
                </c:pt>
                <c:pt idx="364">
                  <c:v>-0.39100000000000001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492544"/>
        <c:axId val="262494464"/>
      </c:lineChart>
      <c:catAx>
        <c:axId val="26249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49446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6249446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492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41065482796892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32852386237514"/>
          <c:y val="0.13539967373572595"/>
          <c:w val="0.88457269700332963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110.5</c:v>
                </c:pt>
                <c:pt idx="1">
                  <c:v>110</c:v>
                </c:pt>
                <c:pt idx="2">
                  <c:v>111</c:v>
                </c:pt>
                <c:pt idx="3">
                  <c:v>110.6</c:v>
                </c:pt>
                <c:pt idx="4">
                  <c:v>110.5</c:v>
                </c:pt>
                <c:pt idx="5">
                  <c:v>111</c:v>
                </c:pt>
                <c:pt idx="6">
                  <c:v>111.2</c:v>
                </c:pt>
                <c:pt idx="7">
                  <c:v>111.1</c:v>
                </c:pt>
                <c:pt idx="8">
                  <c:v>111.1</c:v>
                </c:pt>
                <c:pt idx="9">
                  <c:v>111</c:v>
                </c:pt>
                <c:pt idx="10">
                  <c:v>111.1</c:v>
                </c:pt>
                <c:pt idx="11">
                  <c:v>110.4</c:v>
                </c:pt>
                <c:pt idx="12">
                  <c:v>111</c:v>
                </c:pt>
                <c:pt idx="13">
                  <c:v>111.2</c:v>
                </c:pt>
                <c:pt idx="14">
                  <c:v>110.6</c:v>
                </c:pt>
                <c:pt idx="15">
                  <c:v>109.4</c:v>
                </c:pt>
                <c:pt idx="16">
                  <c:v>109.6</c:v>
                </c:pt>
                <c:pt idx="17">
                  <c:v>110.6</c:v>
                </c:pt>
                <c:pt idx="18">
                  <c:v>109.9</c:v>
                </c:pt>
                <c:pt idx="19">
                  <c:v>110.6</c:v>
                </c:pt>
                <c:pt idx="20">
                  <c:v>109.4</c:v>
                </c:pt>
                <c:pt idx="21">
                  <c:v>109.9</c:v>
                </c:pt>
                <c:pt idx="22">
                  <c:v>109.4</c:v>
                </c:pt>
                <c:pt idx="23">
                  <c:v>111.2</c:v>
                </c:pt>
                <c:pt idx="24">
                  <c:v>111.4</c:v>
                </c:pt>
                <c:pt idx="25">
                  <c:v>109.3</c:v>
                </c:pt>
                <c:pt idx="26">
                  <c:v>108.4</c:v>
                </c:pt>
                <c:pt idx="27">
                  <c:v>109.8</c:v>
                </c:pt>
                <c:pt idx="28">
                  <c:v>110</c:v>
                </c:pt>
                <c:pt idx="29">
                  <c:v>111</c:v>
                </c:pt>
                <c:pt idx="30">
                  <c:v>110.1</c:v>
                </c:pt>
                <c:pt idx="31">
                  <c:v>110.3</c:v>
                </c:pt>
                <c:pt idx="32">
                  <c:v>110.2</c:v>
                </c:pt>
                <c:pt idx="33">
                  <c:v>109.6</c:v>
                </c:pt>
                <c:pt idx="34">
                  <c:v>110.9</c:v>
                </c:pt>
                <c:pt idx="35">
                  <c:v>110.6</c:v>
                </c:pt>
                <c:pt idx="36">
                  <c:v>110.9</c:v>
                </c:pt>
                <c:pt idx="37">
                  <c:v>110.2</c:v>
                </c:pt>
                <c:pt idx="38">
                  <c:v>110.1</c:v>
                </c:pt>
                <c:pt idx="39">
                  <c:v>110.2</c:v>
                </c:pt>
                <c:pt idx="40">
                  <c:v>106.2</c:v>
                </c:pt>
                <c:pt idx="41">
                  <c:v>109.6</c:v>
                </c:pt>
                <c:pt idx="42">
                  <c:v>109.2</c:v>
                </c:pt>
                <c:pt idx="43">
                  <c:v>111</c:v>
                </c:pt>
                <c:pt idx="44">
                  <c:v>108.5</c:v>
                </c:pt>
                <c:pt idx="45">
                  <c:v>108.5</c:v>
                </c:pt>
                <c:pt idx="46">
                  <c:v>104.1</c:v>
                </c:pt>
                <c:pt idx="47">
                  <c:v>98.5</c:v>
                </c:pt>
                <c:pt idx="48">
                  <c:v>102.4</c:v>
                </c:pt>
                <c:pt idx="49">
                  <c:v>102.1</c:v>
                </c:pt>
                <c:pt idx="50">
                  <c:v>109.2</c:v>
                </c:pt>
                <c:pt idx="51">
                  <c:v>109.9</c:v>
                </c:pt>
                <c:pt idx="52">
                  <c:v>109.4</c:v>
                </c:pt>
                <c:pt idx="53">
                  <c:v>109.2</c:v>
                </c:pt>
                <c:pt idx="54">
                  <c:v>106.8</c:v>
                </c:pt>
                <c:pt idx="55">
                  <c:v>107.1</c:v>
                </c:pt>
                <c:pt idx="56">
                  <c:v>109.7</c:v>
                </c:pt>
                <c:pt idx="57">
                  <c:v>109.1</c:v>
                </c:pt>
                <c:pt idx="58">
                  <c:v>111.1</c:v>
                </c:pt>
                <c:pt idx="59">
                  <c:v>109.9</c:v>
                </c:pt>
                <c:pt idx="60">
                  <c:v>110.8</c:v>
                </c:pt>
                <c:pt idx="61">
                  <c:v>108.2</c:v>
                </c:pt>
                <c:pt idx="62">
                  <c:v>107</c:v>
                </c:pt>
                <c:pt idx="63">
                  <c:v>110.2</c:v>
                </c:pt>
                <c:pt idx="64">
                  <c:v>110.4</c:v>
                </c:pt>
                <c:pt idx="65">
                  <c:v>110.6</c:v>
                </c:pt>
                <c:pt idx="66">
                  <c:v>108</c:v>
                </c:pt>
                <c:pt idx="67">
                  <c:v>109</c:v>
                </c:pt>
                <c:pt idx="68">
                  <c:v>107.1</c:v>
                </c:pt>
                <c:pt idx="69">
                  <c:v>105.2</c:v>
                </c:pt>
                <c:pt idx="70">
                  <c:v>104.6</c:v>
                </c:pt>
                <c:pt idx="71">
                  <c:v>105.2</c:v>
                </c:pt>
                <c:pt idx="72">
                  <c:v>110.2</c:v>
                </c:pt>
                <c:pt idx="73">
                  <c:v>110.8</c:v>
                </c:pt>
                <c:pt idx="74">
                  <c:v>110.6</c:v>
                </c:pt>
                <c:pt idx="75">
                  <c:v>110.6</c:v>
                </c:pt>
                <c:pt idx="76">
                  <c:v>111.2</c:v>
                </c:pt>
                <c:pt idx="77">
                  <c:v>110</c:v>
                </c:pt>
                <c:pt idx="78">
                  <c:v>109.2</c:v>
                </c:pt>
                <c:pt idx="79">
                  <c:v>106.8</c:v>
                </c:pt>
                <c:pt idx="80">
                  <c:v>99.1</c:v>
                </c:pt>
                <c:pt idx="81">
                  <c:v>100.9</c:v>
                </c:pt>
                <c:pt idx="82">
                  <c:v>111.1</c:v>
                </c:pt>
                <c:pt idx="83">
                  <c:v>110.9</c:v>
                </c:pt>
                <c:pt idx="84">
                  <c:v>108.8</c:v>
                </c:pt>
                <c:pt idx="85">
                  <c:v>108.1</c:v>
                </c:pt>
                <c:pt idx="86">
                  <c:v>110.9</c:v>
                </c:pt>
                <c:pt idx="87">
                  <c:v>111</c:v>
                </c:pt>
                <c:pt idx="88">
                  <c:v>106.9</c:v>
                </c:pt>
                <c:pt idx="89">
                  <c:v>111.1</c:v>
                </c:pt>
                <c:pt idx="90">
                  <c:v>111.2</c:v>
                </c:pt>
                <c:pt idx="91">
                  <c:v>110.7</c:v>
                </c:pt>
                <c:pt idx="92">
                  <c:v>104.5</c:v>
                </c:pt>
                <c:pt idx="93">
                  <c:v>111</c:v>
                </c:pt>
                <c:pt idx="94">
                  <c:v>111.2</c:v>
                </c:pt>
                <c:pt idx="95">
                  <c:v>110.8</c:v>
                </c:pt>
                <c:pt idx="96">
                  <c:v>110.9</c:v>
                </c:pt>
                <c:pt idx="97">
                  <c:v>110.8</c:v>
                </c:pt>
                <c:pt idx="98">
                  <c:v>110.9</c:v>
                </c:pt>
                <c:pt idx="99">
                  <c:v>110.9</c:v>
                </c:pt>
                <c:pt idx="100">
                  <c:v>110.9</c:v>
                </c:pt>
                <c:pt idx="101">
                  <c:v>110.8</c:v>
                </c:pt>
                <c:pt idx="102">
                  <c:v>110.9</c:v>
                </c:pt>
                <c:pt idx="103">
                  <c:v>111</c:v>
                </c:pt>
                <c:pt idx="104">
                  <c:v>110.7</c:v>
                </c:pt>
                <c:pt idx="105">
                  <c:v>110.6</c:v>
                </c:pt>
                <c:pt idx="106">
                  <c:v>108.7</c:v>
                </c:pt>
                <c:pt idx="107">
                  <c:v>109.5</c:v>
                </c:pt>
                <c:pt idx="108">
                  <c:v>98.5</c:v>
                </c:pt>
                <c:pt idx="109">
                  <c:v>92.3</c:v>
                </c:pt>
                <c:pt idx="110">
                  <c:v>111.1</c:v>
                </c:pt>
                <c:pt idx="111">
                  <c:v>110.5</c:v>
                </c:pt>
                <c:pt idx="112">
                  <c:v>110</c:v>
                </c:pt>
                <c:pt idx="113">
                  <c:v>100.6</c:v>
                </c:pt>
                <c:pt idx="114">
                  <c:v>95.7</c:v>
                </c:pt>
                <c:pt idx="115">
                  <c:v>110.4</c:v>
                </c:pt>
                <c:pt idx="116">
                  <c:v>110.9</c:v>
                </c:pt>
                <c:pt idx="117">
                  <c:v>109.9</c:v>
                </c:pt>
                <c:pt idx="118">
                  <c:v>110.8</c:v>
                </c:pt>
                <c:pt idx="119">
                  <c:v>111.1</c:v>
                </c:pt>
                <c:pt idx="120">
                  <c:v>110.9</c:v>
                </c:pt>
                <c:pt idx="121">
                  <c:v>108.5</c:v>
                </c:pt>
                <c:pt idx="122">
                  <c:v>108.9</c:v>
                </c:pt>
                <c:pt idx="123">
                  <c:v>103.5</c:v>
                </c:pt>
                <c:pt idx="124">
                  <c:v>104.2</c:v>
                </c:pt>
                <c:pt idx="125">
                  <c:v>102.5</c:v>
                </c:pt>
                <c:pt idx="126">
                  <c:v>110.6</c:v>
                </c:pt>
                <c:pt idx="127">
                  <c:v>111.1</c:v>
                </c:pt>
                <c:pt idx="128">
                  <c:v>106.7</c:v>
                </c:pt>
                <c:pt idx="129">
                  <c:v>103.4</c:v>
                </c:pt>
                <c:pt idx="130">
                  <c:v>110.8</c:v>
                </c:pt>
                <c:pt idx="131">
                  <c:v>110.9</c:v>
                </c:pt>
                <c:pt idx="132">
                  <c:v>110.9</c:v>
                </c:pt>
                <c:pt idx="133">
                  <c:v>106.2</c:v>
                </c:pt>
                <c:pt idx="134">
                  <c:v>106.3</c:v>
                </c:pt>
                <c:pt idx="135">
                  <c:v>100.4</c:v>
                </c:pt>
                <c:pt idx="136">
                  <c:v>105.9</c:v>
                </c:pt>
                <c:pt idx="137">
                  <c:v>106.6</c:v>
                </c:pt>
                <c:pt idx="138">
                  <c:v>106.6</c:v>
                </c:pt>
                <c:pt idx="139">
                  <c:v>110.3</c:v>
                </c:pt>
                <c:pt idx="140">
                  <c:v>110.9</c:v>
                </c:pt>
                <c:pt idx="141">
                  <c:v>110.7</c:v>
                </c:pt>
                <c:pt idx="142">
                  <c:v>110.8</c:v>
                </c:pt>
                <c:pt idx="143">
                  <c:v>110.8</c:v>
                </c:pt>
                <c:pt idx="144">
                  <c:v>110.9</c:v>
                </c:pt>
                <c:pt idx="145">
                  <c:v>110.8</c:v>
                </c:pt>
                <c:pt idx="146">
                  <c:v>110.9</c:v>
                </c:pt>
                <c:pt idx="147">
                  <c:v>111</c:v>
                </c:pt>
                <c:pt idx="148">
                  <c:v>110.9</c:v>
                </c:pt>
                <c:pt idx="149">
                  <c:v>111</c:v>
                </c:pt>
                <c:pt idx="150">
                  <c:v>106.3</c:v>
                </c:pt>
                <c:pt idx="151">
                  <c:v>109.5</c:v>
                </c:pt>
                <c:pt idx="152">
                  <c:v>110.4</c:v>
                </c:pt>
                <c:pt idx="153">
                  <c:v>109</c:v>
                </c:pt>
                <c:pt idx="154">
                  <c:v>108.2</c:v>
                </c:pt>
                <c:pt idx="155">
                  <c:v>109.2</c:v>
                </c:pt>
                <c:pt idx="156">
                  <c:v>110.3</c:v>
                </c:pt>
                <c:pt idx="157">
                  <c:v>108.5</c:v>
                </c:pt>
                <c:pt idx="158">
                  <c:v>110.7</c:v>
                </c:pt>
                <c:pt idx="159">
                  <c:v>110.7</c:v>
                </c:pt>
                <c:pt idx="160">
                  <c:v>110.8</c:v>
                </c:pt>
                <c:pt idx="161">
                  <c:v>110.3</c:v>
                </c:pt>
                <c:pt idx="162">
                  <c:v>109.2</c:v>
                </c:pt>
                <c:pt idx="163">
                  <c:v>110.2</c:v>
                </c:pt>
                <c:pt idx="164">
                  <c:v>110.3</c:v>
                </c:pt>
                <c:pt idx="165">
                  <c:v>110.6</c:v>
                </c:pt>
                <c:pt idx="166">
                  <c:v>110.8</c:v>
                </c:pt>
                <c:pt idx="167">
                  <c:v>110.6</c:v>
                </c:pt>
                <c:pt idx="168">
                  <c:v>110.8</c:v>
                </c:pt>
                <c:pt idx="169">
                  <c:v>110.9</c:v>
                </c:pt>
                <c:pt idx="170">
                  <c:v>110.7</c:v>
                </c:pt>
                <c:pt idx="171">
                  <c:v>111</c:v>
                </c:pt>
                <c:pt idx="172">
                  <c:v>110.5</c:v>
                </c:pt>
                <c:pt idx="173">
                  <c:v>109</c:v>
                </c:pt>
                <c:pt idx="174">
                  <c:v>108.4</c:v>
                </c:pt>
                <c:pt idx="175">
                  <c:v>104.8</c:v>
                </c:pt>
                <c:pt idx="176">
                  <c:v>104.1</c:v>
                </c:pt>
                <c:pt idx="177">
                  <c:v>100.8</c:v>
                </c:pt>
                <c:pt idx="178">
                  <c:v>98.3</c:v>
                </c:pt>
                <c:pt idx="179">
                  <c:v>104.2</c:v>
                </c:pt>
                <c:pt idx="180">
                  <c:v>100.3</c:v>
                </c:pt>
                <c:pt idx="181">
                  <c:v>107.1</c:v>
                </c:pt>
                <c:pt idx="182">
                  <c:v>101.6</c:v>
                </c:pt>
                <c:pt idx="183">
                  <c:v>101.6</c:v>
                </c:pt>
                <c:pt idx="184">
                  <c:v>106.2</c:v>
                </c:pt>
                <c:pt idx="185">
                  <c:v>110.2</c:v>
                </c:pt>
                <c:pt idx="186">
                  <c:v>110.5</c:v>
                </c:pt>
                <c:pt idx="187">
                  <c:v>110.6</c:v>
                </c:pt>
                <c:pt idx="188">
                  <c:v>105.4</c:v>
                </c:pt>
                <c:pt idx="189">
                  <c:v>108.5</c:v>
                </c:pt>
                <c:pt idx="190">
                  <c:v>110.5</c:v>
                </c:pt>
                <c:pt idx="191">
                  <c:v>110.7</c:v>
                </c:pt>
                <c:pt idx="192">
                  <c:v>107.6</c:v>
                </c:pt>
                <c:pt idx="193">
                  <c:v>106.8</c:v>
                </c:pt>
                <c:pt idx="194">
                  <c:v>109.4</c:v>
                </c:pt>
                <c:pt idx="195">
                  <c:v>108.5</c:v>
                </c:pt>
                <c:pt idx="196">
                  <c:v>109.4</c:v>
                </c:pt>
                <c:pt idx="197">
                  <c:v>106</c:v>
                </c:pt>
                <c:pt idx="198">
                  <c:v>108.5</c:v>
                </c:pt>
                <c:pt idx="199">
                  <c:v>109.1</c:v>
                </c:pt>
                <c:pt idx="200">
                  <c:v>108.8</c:v>
                </c:pt>
                <c:pt idx="201">
                  <c:v>107</c:v>
                </c:pt>
                <c:pt idx="202">
                  <c:v>104.8</c:v>
                </c:pt>
                <c:pt idx="203">
                  <c:v>109.4</c:v>
                </c:pt>
                <c:pt idx="204">
                  <c:v>110.2</c:v>
                </c:pt>
                <c:pt idx="205">
                  <c:v>109</c:v>
                </c:pt>
                <c:pt idx="206">
                  <c:v>108.5</c:v>
                </c:pt>
                <c:pt idx="207">
                  <c:v>106.2</c:v>
                </c:pt>
                <c:pt idx="208">
                  <c:v>106.6</c:v>
                </c:pt>
                <c:pt idx="209">
                  <c:v>109.4</c:v>
                </c:pt>
                <c:pt idx="210">
                  <c:v>110.6</c:v>
                </c:pt>
                <c:pt idx="211">
                  <c:v>110.6</c:v>
                </c:pt>
                <c:pt idx="212">
                  <c:v>110.4</c:v>
                </c:pt>
                <c:pt idx="213">
                  <c:v>108.9</c:v>
                </c:pt>
                <c:pt idx="214">
                  <c:v>110.4</c:v>
                </c:pt>
                <c:pt idx="215">
                  <c:v>108.8</c:v>
                </c:pt>
                <c:pt idx="216">
                  <c:v>110.5</c:v>
                </c:pt>
                <c:pt idx="217">
                  <c:v>107</c:v>
                </c:pt>
                <c:pt idx="218">
                  <c:v>106.3</c:v>
                </c:pt>
                <c:pt idx="219">
                  <c:v>104.7</c:v>
                </c:pt>
                <c:pt idx="220">
                  <c:v>109.8</c:v>
                </c:pt>
                <c:pt idx="221">
                  <c:v>110.4</c:v>
                </c:pt>
                <c:pt idx="222">
                  <c:v>110.8</c:v>
                </c:pt>
                <c:pt idx="223">
                  <c:v>110.9</c:v>
                </c:pt>
                <c:pt idx="224">
                  <c:v>110.2</c:v>
                </c:pt>
                <c:pt idx="225">
                  <c:v>110</c:v>
                </c:pt>
                <c:pt idx="226">
                  <c:v>106.2</c:v>
                </c:pt>
                <c:pt idx="227">
                  <c:v>108.5</c:v>
                </c:pt>
                <c:pt idx="228">
                  <c:v>108.8</c:v>
                </c:pt>
                <c:pt idx="229">
                  <c:v>107.2</c:v>
                </c:pt>
                <c:pt idx="230">
                  <c:v>101.9</c:v>
                </c:pt>
                <c:pt idx="231">
                  <c:v>106.7</c:v>
                </c:pt>
                <c:pt idx="232">
                  <c:v>103.2</c:v>
                </c:pt>
                <c:pt idx="233">
                  <c:v>104.3</c:v>
                </c:pt>
                <c:pt idx="234">
                  <c:v>110.6</c:v>
                </c:pt>
                <c:pt idx="235">
                  <c:v>110.9</c:v>
                </c:pt>
                <c:pt idx="236">
                  <c:v>110.9</c:v>
                </c:pt>
                <c:pt idx="237">
                  <c:v>109.9</c:v>
                </c:pt>
                <c:pt idx="238">
                  <c:v>107.6</c:v>
                </c:pt>
                <c:pt idx="239">
                  <c:v>105.5</c:v>
                </c:pt>
                <c:pt idx="240">
                  <c:v>97.4</c:v>
                </c:pt>
                <c:pt idx="241">
                  <c:v>110.9</c:v>
                </c:pt>
                <c:pt idx="242">
                  <c:v>111</c:v>
                </c:pt>
                <c:pt idx="243">
                  <c:v>110.1</c:v>
                </c:pt>
                <c:pt idx="244">
                  <c:v>109.2</c:v>
                </c:pt>
                <c:pt idx="245">
                  <c:v>106</c:v>
                </c:pt>
                <c:pt idx="246">
                  <c:v>97.4</c:v>
                </c:pt>
                <c:pt idx="247">
                  <c:v>103.4</c:v>
                </c:pt>
                <c:pt idx="248">
                  <c:v>106.1</c:v>
                </c:pt>
                <c:pt idx="249">
                  <c:v>105.9</c:v>
                </c:pt>
                <c:pt idx="250">
                  <c:v>102.5</c:v>
                </c:pt>
                <c:pt idx="251">
                  <c:v>110.5</c:v>
                </c:pt>
                <c:pt idx="252">
                  <c:v>110.5</c:v>
                </c:pt>
                <c:pt idx="253">
                  <c:v>110.7</c:v>
                </c:pt>
                <c:pt idx="254">
                  <c:v>110.6</c:v>
                </c:pt>
                <c:pt idx="255">
                  <c:v>110.7</c:v>
                </c:pt>
                <c:pt idx="256">
                  <c:v>110.9</c:v>
                </c:pt>
                <c:pt idx="257">
                  <c:v>110.9</c:v>
                </c:pt>
                <c:pt idx="258">
                  <c:v>111</c:v>
                </c:pt>
                <c:pt idx="259">
                  <c:v>111.1</c:v>
                </c:pt>
                <c:pt idx="260">
                  <c:v>109</c:v>
                </c:pt>
                <c:pt idx="261">
                  <c:v>110.9</c:v>
                </c:pt>
                <c:pt idx="262">
                  <c:v>110.9</c:v>
                </c:pt>
                <c:pt idx="263">
                  <c:v>110.7</c:v>
                </c:pt>
                <c:pt idx="264">
                  <c:v>110.8</c:v>
                </c:pt>
                <c:pt idx="265">
                  <c:v>110.9</c:v>
                </c:pt>
                <c:pt idx="266">
                  <c:v>110.9</c:v>
                </c:pt>
                <c:pt idx="267">
                  <c:v>110.9</c:v>
                </c:pt>
                <c:pt idx="268">
                  <c:v>110.8</c:v>
                </c:pt>
                <c:pt idx="269">
                  <c:v>110.9</c:v>
                </c:pt>
                <c:pt idx="270">
                  <c:v>110.7</c:v>
                </c:pt>
                <c:pt idx="271">
                  <c:v>110.7</c:v>
                </c:pt>
                <c:pt idx="272">
                  <c:v>102.7</c:v>
                </c:pt>
                <c:pt idx="273">
                  <c:v>110.8</c:v>
                </c:pt>
                <c:pt idx="274">
                  <c:v>108.6</c:v>
                </c:pt>
                <c:pt idx="275">
                  <c:v>109.3</c:v>
                </c:pt>
                <c:pt idx="276">
                  <c:v>111.1</c:v>
                </c:pt>
                <c:pt idx="277">
                  <c:v>110.8</c:v>
                </c:pt>
                <c:pt idx="278">
                  <c:v>110.7</c:v>
                </c:pt>
                <c:pt idx="279">
                  <c:v>110.6</c:v>
                </c:pt>
                <c:pt idx="280">
                  <c:v>104.8</c:v>
                </c:pt>
                <c:pt idx="281">
                  <c:v>108.1</c:v>
                </c:pt>
                <c:pt idx="282">
                  <c:v>108</c:v>
                </c:pt>
                <c:pt idx="283">
                  <c:v>111.1</c:v>
                </c:pt>
                <c:pt idx="284">
                  <c:v>110.8</c:v>
                </c:pt>
                <c:pt idx="285">
                  <c:v>109.7</c:v>
                </c:pt>
                <c:pt idx="286">
                  <c:v>111</c:v>
                </c:pt>
                <c:pt idx="287">
                  <c:v>110.9</c:v>
                </c:pt>
                <c:pt idx="288">
                  <c:v>111</c:v>
                </c:pt>
                <c:pt idx="289">
                  <c:v>111</c:v>
                </c:pt>
                <c:pt idx="290">
                  <c:v>110.9</c:v>
                </c:pt>
                <c:pt idx="291">
                  <c:v>110.9</c:v>
                </c:pt>
                <c:pt idx="292">
                  <c:v>111.2</c:v>
                </c:pt>
                <c:pt idx="293">
                  <c:v>111.1</c:v>
                </c:pt>
                <c:pt idx="294">
                  <c:v>110.5</c:v>
                </c:pt>
                <c:pt idx="295">
                  <c:v>110.4</c:v>
                </c:pt>
                <c:pt idx="296">
                  <c:v>110.9</c:v>
                </c:pt>
                <c:pt idx="297">
                  <c:v>111.2</c:v>
                </c:pt>
                <c:pt idx="298">
                  <c:v>109.8</c:v>
                </c:pt>
                <c:pt idx="299">
                  <c:v>109.7</c:v>
                </c:pt>
                <c:pt idx="300">
                  <c:v>109.3</c:v>
                </c:pt>
                <c:pt idx="301">
                  <c:v>111.1</c:v>
                </c:pt>
                <c:pt idx="302">
                  <c:v>107.5</c:v>
                </c:pt>
                <c:pt idx="303">
                  <c:v>107.6</c:v>
                </c:pt>
                <c:pt idx="304">
                  <c:v>106.7</c:v>
                </c:pt>
                <c:pt idx="305">
                  <c:v>110.7</c:v>
                </c:pt>
                <c:pt idx="306">
                  <c:v>111</c:v>
                </c:pt>
                <c:pt idx="307">
                  <c:v>110.9</c:v>
                </c:pt>
                <c:pt idx="308">
                  <c:v>110.9</c:v>
                </c:pt>
                <c:pt idx="309">
                  <c:v>110.7</c:v>
                </c:pt>
                <c:pt idx="310">
                  <c:v>109.4</c:v>
                </c:pt>
                <c:pt idx="311">
                  <c:v>111.2</c:v>
                </c:pt>
                <c:pt idx="312">
                  <c:v>110.1</c:v>
                </c:pt>
                <c:pt idx="313">
                  <c:v>111</c:v>
                </c:pt>
                <c:pt idx="314">
                  <c:v>111</c:v>
                </c:pt>
                <c:pt idx="315">
                  <c:v>110.3</c:v>
                </c:pt>
                <c:pt idx="316">
                  <c:v>111</c:v>
                </c:pt>
                <c:pt idx="317">
                  <c:v>110.3</c:v>
                </c:pt>
                <c:pt idx="318">
                  <c:v>110.9</c:v>
                </c:pt>
                <c:pt idx="319">
                  <c:v>111.1</c:v>
                </c:pt>
                <c:pt idx="320">
                  <c:v>106.4</c:v>
                </c:pt>
                <c:pt idx="321">
                  <c:v>109.9</c:v>
                </c:pt>
                <c:pt idx="322">
                  <c:v>110.8</c:v>
                </c:pt>
                <c:pt idx="323">
                  <c:v>110.8</c:v>
                </c:pt>
                <c:pt idx="324">
                  <c:v>110.1</c:v>
                </c:pt>
                <c:pt idx="325">
                  <c:v>109.7</c:v>
                </c:pt>
                <c:pt idx="326">
                  <c:v>110.3</c:v>
                </c:pt>
                <c:pt idx="327">
                  <c:v>109.4</c:v>
                </c:pt>
                <c:pt idx="328">
                  <c:v>108.4</c:v>
                </c:pt>
                <c:pt idx="329">
                  <c:v>108.9</c:v>
                </c:pt>
                <c:pt idx="330">
                  <c:v>104.4</c:v>
                </c:pt>
                <c:pt idx="331">
                  <c:v>100.4</c:v>
                </c:pt>
                <c:pt idx="332">
                  <c:v>105.3</c:v>
                </c:pt>
                <c:pt idx="333">
                  <c:v>108.3</c:v>
                </c:pt>
                <c:pt idx="334">
                  <c:v>108.4</c:v>
                </c:pt>
                <c:pt idx="335">
                  <c:v>108.1</c:v>
                </c:pt>
                <c:pt idx="336">
                  <c:v>108.9</c:v>
                </c:pt>
                <c:pt idx="337">
                  <c:v>110.4</c:v>
                </c:pt>
                <c:pt idx="338">
                  <c:v>111</c:v>
                </c:pt>
                <c:pt idx="339">
                  <c:v>111.3</c:v>
                </c:pt>
                <c:pt idx="340">
                  <c:v>111.3</c:v>
                </c:pt>
                <c:pt idx="341">
                  <c:v>111.1</c:v>
                </c:pt>
                <c:pt idx="342">
                  <c:v>111</c:v>
                </c:pt>
                <c:pt idx="343">
                  <c:v>111</c:v>
                </c:pt>
                <c:pt idx="344">
                  <c:v>110.5</c:v>
                </c:pt>
                <c:pt idx="345">
                  <c:v>111</c:v>
                </c:pt>
                <c:pt idx="346">
                  <c:v>110.2</c:v>
                </c:pt>
                <c:pt idx="347">
                  <c:v>110.6</c:v>
                </c:pt>
                <c:pt idx="348">
                  <c:v>110.5</c:v>
                </c:pt>
                <c:pt idx="349">
                  <c:v>107.8</c:v>
                </c:pt>
                <c:pt idx="350">
                  <c:v>108.5</c:v>
                </c:pt>
                <c:pt idx="351">
                  <c:v>109.7</c:v>
                </c:pt>
                <c:pt idx="352">
                  <c:v>111.3</c:v>
                </c:pt>
                <c:pt idx="353">
                  <c:v>110.4</c:v>
                </c:pt>
                <c:pt idx="354">
                  <c:v>109</c:v>
                </c:pt>
                <c:pt idx="355">
                  <c:v>107.4</c:v>
                </c:pt>
                <c:pt idx="356">
                  <c:v>109.8</c:v>
                </c:pt>
                <c:pt idx="357">
                  <c:v>109.8</c:v>
                </c:pt>
                <c:pt idx="358">
                  <c:v>109.9</c:v>
                </c:pt>
                <c:pt idx="359">
                  <c:v>109.4</c:v>
                </c:pt>
                <c:pt idx="360">
                  <c:v>110.7</c:v>
                </c:pt>
                <c:pt idx="361">
                  <c:v>108.8</c:v>
                </c:pt>
                <c:pt idx="362">
                  <c:v>108.7</c:v>
                </c:pt>
                <c:pt idx="363">
                  <c:v>109.7</c:v>
                </c:pt>
                <c:pt idx="364">
                  <c:v>108.3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0">
                  <c:v>89.6</c:v>
                </c:pt>
                <c:pt idx="1">
                  <c:v>77.400000000000006</c:v>
                </c:pt>
                <c:pt idx="2">
                  <c:v>79.3</c:v>
                </c:pt>
                <c:pt idx="3">
                  <c:v>82.5</c:v>
                </c:pt>
                <c:pt idx="4">
                  <c:v>84.1</c:v>
                </c:pt>
                <c:pt idx="5">
                  <c:v>104.3</c:v>
                </c:pt>
                <c:pt idx="6">
                  <c:v>105.5</c:v>
                </c:pt>
                <c:pt idx="7">
                  <c:v>94.8</c:v>
                </c:pt>
                <c:pt idx="8">
                  <c:v>99.5</c:v>
                </c:pt>
                <c:pt idx="9">
                  <c:v>99.9</c:v>
                </c:pt>
                <c:pt idx="10">
                  <c:v>99.1</c:v>
                </c:pt>
                <c:pt idx="11">
                  <c:v>101.6</c:v>
                </c:pt>
                <c:pt idx="12">
                  <c:v>103.3</c:v>
                </c:pt>
                <c:pt idx="13">
                  <c:v>105.3</c:v>
                </c:pt>
                <c:pt idx="14">
                  <c:v>106.4</c:v>
                </c:pt>
                <c:pt idx="15">
                  <c:v>105.9</c:v>
                </c:pt>
                <c:pt idx="16">
                  <c:v>71.3</c:v>
                </c:pt>
                <c:pt idx="17">
                  <c:v>104.1</c:v>
                </c:pt>
                <c:pt idx="18">
                  <c:v>97.4</c:v>
                </c:pt>
                <c:pt idx="19">
                  <c:v>102.9</c:v>
                </c:pt>
                <c:pt idx="20">
                  <c:v>96.3</c:v>
                </c:pt>
                <c:pt idx="21">
                  <c:v>103.2</c:v>
                </c:pt>
                <c:pt idx="22">
                  <c:v>92.8</c:v>
                </c:pt>
                <c:pt idx="23">
                  <c:v>84.9</c:v>
                </c:pt>
                <c:pt idx="24">
                  <c:v>71.599999999999994</c:v>
                </c:pt>
                <c:pt idx="25">
                  <c:v>78.3</c:v>
                </c:pt>
                <c:pt idx="26">
                  <c:v>77.900000000000006</c:v>
                </c:pt>
                <c:pt idx="27">
                  <c:v>98.9</c:v>
                </c:pt>
                <c:pt idx="28">
                  <c:v>87.5</c:v>
                </c:pt>
                <c:pt idx="29">
                  <c:v>103.7</c:v>
                </c:pt>
                <c:pt idx="30">
                  <c:v>95.3</c:v>
                </c:pt>
                <c:pt idx="31">
                  <c:v>90.7</c:v>
                </c:pt>
                <c:pt idx="32">
                  <c:v>96.3</c:v>
                </c:pt>
                <c:pt idx="33">
                  <c:v>78.7</c:v>
                </c:pt>
                <c:pt idx="34">
                  <c:v>98.2</c:v>
                </c:pt>
                <c:pt idx="35">
                  <c:v>102.9</c:v>
                </c:pt>
                <c:pt idx="36">
                  <c:v>101.9</c:v>
                </c:pt>
                <c:pt idx="37">
                  <c:v>100.8</c:v>
                </c:pt>
                <c:pt idx="38">
                  <c:v>86.8</c:v>
                </c:pt>
                <c:pt idx="39">
                  <c:v>72.7</c:v>
                </c:pt>
                <c:pt idx="40">
                  <c:v>44.88</c:v>
                </c:pt>
                <c:pt idx="41">
                  <c:v>40.799999999999997</c:v>
                </c:pt>
                <c:pt idx="42">
                  <c:v>51.05</c:v>
                </c:pt>
                <c:pt idx="43">
                  <c:v>100.5</c:v>
                </c:pt>
                <c:pt idx="44">
                  <c:v>82.8</c:v>
                </c:pt>
                <c:pt idx="45">
                  <c:v>84.7</c:v>
                </c:pt>
                <c:pt idx="46">
                  <c:v>43.21</c:v>
                </c:pt>
                <c:pt idx="47">
                  <c:v>23.71</c:v>
                </c:pt>
                <c:pt idx="48">
                  <c:v>45.55</c:v>
                </c:pt>
                <c:pt idx="49">
                  <c:v>61.57</c:v>
                </c:pt>
                <c:pt idx="50">
                  <c:v>100.3</c:v>
                </c:pt>
                <c:pt idx="51">
                  <c:v>95.7</c:v>
                </c:pt>
                <c:pt idx="52">
                  <c:v>54.06</c:v>
                </c:pt>
                <c:pt idx="53">
                  <c:v>87.4</c:v>
                </c:pt>
                <c:pt idx="54">
                  <c:v>64.11</c:v>
                </c:pt>
                <c:pt idx="55">
                  <c:v>52.12</c:v>
                </c:pt>
                <c:pt idx="56">
                  <c:v>102.9</c:v>
                </c:pt>
                <c:pt idx="57">
                  <c:v>76.8</c:v>
                </c:pt>
                <c:pt idx="58">
                  <c:v>88</c:v>
                </c:pt>
                <c:pt idx="59">
                  <c:v>72.7</c:v>
                </c:pt>
                <c:pt idx="60">
                  <c:v>57.2</c:v>
                </c:pt>
                <c:pt idx="61">
                  <c:v>58.54</c:v>
                </c:pt>
                <c:pt idx="62">
                  <c:v>39.85</c:v>
                </c:pt>
                <c:pt idx="63">
                  <c:v>54.59</c:v>
                </c:pt>
                <c:pt idx="64">
                  <c:v>78.3</c:v>
                </c:pt>
                <c:pt idx="65">
                  <c:v>82.4</c:v>
                </c:pt>
                <c:pt idx="66">
                  <c:v>91.8</c:v>
                </c:pt>
                <c:pt idx="67">
                  <c:v>60.21</c:v>
                </c:pt>
                <c:pt idx="68">
                  <c:v>65.239999999999995</c:v>
                </c:pt>
                <c:pt idx="69">
                  <c:v>42.2</c:v>
                </c:pt>
                <c:pt idx="70">
                  <c:v>36.24</c:v>
                </c:pt>
                <c:pt idx="71">
                  <c:v>56.53</c:v>
                </c:pt>
                <c:pt idx="72">
                  <c:v>64.84</c:v>
                </c:pt>
                <c:pt idx="73">
                  <c:v>56.33</c:v>
                </c:pt>
                <c:pt idx="74">
                  <c:v>72.3</c:v>
                </c:pt>
                <c:pt idx="75">
                  <c:v>82.3</c:v>
                </c:pt>
                <c:pt idx="76">
                  <c:v>81</c:v>
                </c:pt>
                <c:pt idx="77">
                  <c:v>68.12</c:v>
                </c:pt>
                <c:pt idx="78">
                  <c:v>57.4</c:v>
                </c:pt>
                <c:pt idx="79">
                  <c:v>63.63</c:v>
                </c:pt>
                <c:pt idx="80">
                  <c:v>69.86</c:v>
                </c:pt>
                <c:pt idx="81">
                  <c:v>50.7</c:v>
                </c:pt>
                <c:pt idx="82">
                  <c:v>61.55</c:v>
                </c:pt>
                <c:pt idx="83">
                  <c:v>80.8</c:v>
                </c:pt>
                <c:pt idx="84">
                  <c:v>58.74</c:v>
                </c:pt>
                <c:pt idx="85">
                  <c:v>69.930000000000007</c:v>
                </c:pt>
                <c:pt idx="86">
                  <c:v>82.9</c:v>
                </c:pt>
                <c:pt idx="87">
                  <c:v>35.97</c:v>
                </c:pt>
                <c:pt idx="88">
                  <c:v>49.16</c:v>
                </c:pt>
                <c:pt idx="89">
                  <c:v>63.5</c:v>
                </c:pt>
                <c:pt idx="90">
                  <c:v>62.29</c:v>
                </c:pt>
                <c:pt idx="91">
                  <c:v>52.44</c:v>
                </c:pt>
                <c:pt idx="92">
                  <c:v>43</c:v>
                </c:pt>
                <c:pt idx="93">
                  <c:v>102.4</c:v>
                </c:pt>
                <c:pt idx="94">
                  <c:v>58.87</c:v>
                </c:pt>
                <c:pt idx="95">
                  <c:v>64.03</c:v>
                </c:pt>
                <c:pt idx="96">
                  <c:v>54.92</c:v>
                </c:pt>
                <c:pt idx="97">
                  <c:v>66.78</c:v>
                </c:pt>
                <c:pt idx="98">
                  <c:v>67.77</c:v>
                </c:pt>
                <c:pt idx="99">
                  <c:v>75.3</c:v>
                </c:pt>
                <c:pt idx="100">
                  <c:v>91.3</c:v>
                </c:pt>
                <c:pt idx="101">
                  <c:v>83.5</c:v>
                </c:pt>
                <c:pt idx="102">
                  <c:v>77.400000000000006</c:v>
                </c:pt>
                <c:pt idx="103">
                  <c:v>88.8</c:v>
                </c:pt>
                <c:pt idx="104">
                  <c:v>61.1</c:v>
                </c:pt>
                <c:pt idx="105">
                  <c:v>67.39</c:v>
                </c:pt>
                <c:pt idx="106">
                  <c:v>55.86</c:v>
                </c:pt>
                <c:pt idx="107">
                  <c:v>44.47</c:v>
                </c:pt>
                <c:pt idx="108">
                  <c:v>41.12</c:v>
                </c:pt>
                <c:pt idx="109">
                  <c:v>47.93</c:v>
                </c:pt>
                <c:pt idx="110">
                  <c:v>59.8</c:v>
                </c:pt>
                <c:pt idx="111">
                  <c:v>65.099999999999994</c:v>
                </c:pt>
                <c:pt idx="112">
                  <c:v>34.880000000000003</c:v>
                </c:pt>
                <c:pt idx="113">
                  <c:v>16.73</c:v>
                </c:pt>
                <c:pt idx="114">
                  <c:v>24.48</c:v>
                </c:pt>
                <c:pt idx="115">
                  <c:v>48.81</c:v>
                </c:pt>
                <c:pt idx="116">
                  <c:v>57.15</c:v>
                </c:pt>
                <c:pt idx="117">
                  <c:v>49.97</c:v>
                </c:pt>
                <c:pt idx="118">
                  <c:v>63.1</c:v>
                </c:pt>
                <c:pt idx="119">
                  <c:v>37.01</c:v>
                </c:pt>
                <c:pt idx="120">
                  <c:v>92.7</c:v>
                </c:pt>
                <c:pt idx="121">
                  <c:v>51.88</c:v>
                </c:pt>
                <c:pt idx="122">
                  <c:v>32.119999999999997</c:v>
                </c:pt>
                <c:pt idx="123">
                  <c:v>34.86</c:v>
                </c:pt>
                <c:pt idx="124">
                  <c:v>34.31</c:v>
                </c:pt>
                <c:pt idx="125">
                  <c:v>54.23</c:v>
                </c:pt>
                <c:pt idx="126">
                  <c:v>63.06</c:v>
                </c:pt>
                <c:pt idx="127">
                  <c:v>51.95</c:v>
                </c:pt>
                <c:pt idx="128">
                  <c:v>41.37</c:v>
                </c:pt>
                <c:pt idx="129">
                  <c:v>38.96</c:v>
                </c:pt>
                <c:pt idx="130">
                  <c:v>46.98</c:v>
                </c:pt>
                <c:pt idx="131">
                  <c:v>58.71</c:v>
                </c:pt>
                <c:pt idx="132">
                  <c:v>45.99</c:v>
                </c:pt>
                <c:pt idx="133">
                  <c:v>33.590000000000003</c:v>
                </c:pt>
                <c:pt idx="134">
                  <c:v>30.54</c:v>
                </c:pt>
                <c:pt idx="135">
                  <c:v>30.59</c:v>
                </c:pt>
                <c:pt idx="136">
                  <c:v>34.93</c:v>
                </c:pt>
                <c:pt idx="137">
                  <c:v>33.799999999999997</c:v>
                </c:pt>
                <c:pt idx="138">
                  <c:v>31.15</c:v>
                </c:pt>
                <c:pt idx="139">
                  <c:v>97.3</c:v>
                </c:pt>
                <c:pt idx="140">
                  <c:v>57.62</c:v>
                </c:pt>
                <c:pt idx="141">
                  <c:v>61.97</c:v>
                </c:pt>
                <c:pt idx="142">
                  <c:v>65.41</c:v>
                </c:pt>
                <c:pt idx="143">
                  <c:v>96.6</c:v>
                </c:pt>
                <c:pt idx="144">
                  <c:v>81.2</c:v>
                </c:pt>
                <c:pt idx="145">
                  <c:v>98.2</c:v>
                </c:pt>
                <c:pt idx="146">
                  <c:v>79.2</c:v>
                </c:pt>
                <c:pt idx="147">
                  <c:v>62.81</c:v>
                </c:pt>
                <c:pt idx="148">
                  <c:v>91</c:v>
                </c:pt>
                <c:pt idx="149">
                  <c:v>34.57</c:v>
                </c:pt>
                <c:pt idx="150">
                  <c:v>40.76</c:v>
                </c:pt>
                <c:pt idx="151">
                  <c:v>45.65</c:v>
                </c:pt>
                <c:pt idx="152">
                  <c:v>71.599999999999994</c:v>
                </c:pt>
                <c:pt idx="153">
                  <c:v>56.38</c:v>
                </c:pt>
                <c:pt idx="154">
                  <c:v>70.2</c:v>
                </c:pt>
                <c:pt idx="155">
                  <c:v>49.35</c:v>
                </c:pt>
                <c:pt idx="156">
                  <c:v>52.58</c:v>
                </c:pt>
                <c:pt idx="157">
                  <c:v>39.56</c:v>
                </c:pt>
                <c:pt idx="158">
                  <c:v>95.3</c:v>
                </c:pt>
                <c:pt idx="159">
                  <c:v>76.400000000000006</c:v>
                </c:pt>
                <c:pt idx="160">
                  <c:v>42.38</c:v>
                </c:pt>
                <c:pt idx="161">
                  <c:v>61.86</c:v>
                </c:pt>
                <c:pt idx="162">
                  <c:v>48.45</c:v>
                </c:pt>
                <c:pt idx="163">
                  <c:v>54.82</c:v>
                </c:pt>
                <c:pt idx="164">
                  <c:v>109.5</c:v>
                </c:pt>
                <c:pt idx="165">
                  <c:v>105.7</c:v>
                </c:pt>
                <c:pt idx="166">
                  <c:v>65.599999999999994</c:v>
                </c:pt>
                <c:pt idx="167">
                  <c:v>71.599999999999994</c:v>
                </c:pt>
                <c:pt idx="168">
                  <c:v>64.89</c:v>
                </c:pt>
                <c:pt idx="169">
                  <c:v>100.6</c:v>
                </c:pt>
                <c:pt idx="170">
                  <c:v>75.599999999999994</c:v>
                </c:pt>
                <c:pt idx="171">
                  <c:v>45.99</c:v>
                </c:pt>
                <c:pt idx="172">
                  <c:v>44.27</c:v>
                </c:pt>
                <c:pt idx="173">
                  <c:v>37.229999999999997</c:v>
                </c:pt>
                <c:pt idx="174">
                  <c:v>29.39</c:v>
                </c:pt>
                <c:pt idx="175">
                  <c:v>18.170000000000002</c:v>
                </c:pt>
                <c:pt idx="176">
                  <c:v>29.05</c:v>
                </c:pt>
                <c:pt idx="177">
                  <c:v>26.16</c:v>
                </c:pt>
                <c:pt idx="178">
                  <c:v>20.04</c:v>
                </c:pt>
                <c:pt idx="179">
                  <c:v>38.89</c:v>
                </c:pt>
                <c:pt idx="180">
                  <c:v>33.409999999999997</c:v>
                </c:pt>
                <c:pt idx="181">
                  <c:v>24.45</c:v>
                </c:pt>
                <c:pt idx="182">
                  <c:v>24.11</c:v>
                </c:pt>
                <c:pt idx="183">
                  <c:v>29.78</c:v>
                </c:pt>
                <c:pt idx="184">
                  <c:v>32.74</c:v>
                </c:pt>
                <c:pt idx="185">
                  <c:v>30.58</c:v>
                </c:pt>
                <c:pt idx="186">
                  <c:v>50.54</c:v>
                </c:pt>
                <c:pt idx="187">
                  <c:v>47.66</c:v>
                </c:pt>
                <c:pt idx="188">
                  <c:v>43.63</c:v>
                </c:pt>
                <c:pt idx="189">
                  <c:v>60.8</c:v>
                </c:pt>
                <c:pt idx="190">
                  <c:v>37.68</c:v>
                </c:pt>
                <c:pt idx="191">
                  <c:v>42.8</c:v>
                </c:pt>
                <c:pt idx="192">
                  <c:v>77</c:v>
                </c:pt>
                <c:pt idx="193">
                  <c:v>62.94</c:v>
                </c:pt>
                <c:pt idx="194">
                  <c:v>54.76</c:v>
                </c:pt>
                <c:pt idx="195">
                  <c:v>40.17</c:v>
                </c:pt>
                <c:pt idx="196">
                  <c:v>36.83</c:v>
                </c:pt>
                <c:pt idx="197">
                  <c:v>35.880000000000003</c:v>
                </c:pt>
                <c:pt idx="198">
                  <c:v>41.84</c:v>
                </c:pt>
                <c:pt idx="199">
                  <c:v>39.51</c:v>
                </c:pt>
                <c:pt idx="200">
                  <c:v>41.82</c:v>
                </c:pt>
                <c:pt idx="201">
                  <c:v>36.32</c:v>
                </c:pt>
                <c:pt idx="202">
                  <c:v>25.77</c:v>
                </c:pt>
                <c:pt idx="203">
                  <c:v>33.64</c:v>
                </c:pt>
                <c:pt idx="204">
                  <c:v>46.63</c:v>
                </c:pt>
                <c:pt idx="205">
                  <c:v>38.479999999999997</c:v>
                </c:pt>
                <c:pt idx="206">
                  <c:v>37.39</c:v>
                </c:pt>
                <c:pt idx="207">
                  <c:v>40.82</c:v>
                </c:pt>
                <c:pt idx="208">
                  <c:v>48.64</c:v>
                </c:pt>
                <c:pt idx="209">
                  <c:v>31.76</c:v>
                </c:pt>
                <c:pt idx="210">
                  <c:v>65.39</c:v>
                </c:pt>
                <c:pt idx="211">
                  <c:v>62.81</c:v>
                </c:pt>
                <c:pt idx="212">
                  <c:v>52.34</c:v>
                </c:pt>
                <c:pt idx="213">
                  <c:v>56.84</c:v>
                </c:pt>
                <c:pt idx="214">
                  <c:v>44.44</c:v>
                </c:pt>
                <c:pt idx="215">
                  <c:v>56.37</c:v>
                </c:pt>
                <c:pt idx="216">
                  <c:v>29.34</c:v>
                </c:pt>
                <c:pt idx="217">
                  <c:v>34.6</c:v>
                </c:pt>
                <c:pt idx="218">
                  <c:v>29.12</c:v>
                </c:pt>
                <c:pt idx="219">
                  <c:v>32.21</c:v>
                </c:pt>
                <c:pt idx="220">
                  <c:v>57.17</c:v>
                </c:pt>
                <c:pt idx="221">
                  <c:v>77.599999999999994</c:v>
                </c:pt>
                <c:pt idx="222">
                  <c:v>77.3</c:v>
                </c:pt>
                <c:pt idx="223">
                  <c:v>47.07</c:v>
                </c:pt>
                <c:pt idx="224">
                  <c:v>37.28</c:v>
                </c:pt>
                <c:pt idx="225">
                  <c:v>35.82</c:v>
                </c:pt>
                <c:pt idx="226">
                  <c:v>38.72</c:v>
                </c:pt>
                <c:pt idx="227">
                  <c:v>37.9</c:v>
                </c:pt>
                <c:pt idx="228">
                  <c:v>35.340000000000003</c:v>
                </c:pt>
                <c:pt idx="229">
                  <c:v>31.14</c:v>
                </c:pt>
                <c:pt idx="230">
                  <c:v>32.06</c:v>
                </c:pt>
                <c:pt idx="231">
                  <c:v>23.92</c:v>
                </c:pt>
                <c:pt idx="232">
                  <c:v>15.09</c:v>
                </c:pt>
                <c:pt idx="233">
                  <c:v>44.53</c:v>
                </c:pt>
                <c:pt idx="234">
                  <c:v>68.739999999999995</c:v>
                </c:pt>
                <c:pt idx="235">
                  <c:v>61.72</c:v>
                </c:pt>
                <c:pt idx="236">
                  <c:v>42.39</c:v>
                </c:pt>
                <c:pt idx="237">
                  <c:v>31.27</c:v>
                </c:pt>
                <c:pt idx="238">
                  <c:v>31.47</c:v>
                </c:pt>
                <c:pt idx="239">
                  <c:v>27.05</c:v>
                </c:pt>
                <c:pt idx="240">
                  <c:v>45.56</c:v>
                </c:pt>
                <c:pt idx="241">
                  <c:v>86.7</c:v>
                </c:pt>
                <c:pt idx="242">
                  <c:v>44.4</c:v>
                </c:pt>
                <c:pt idx="243">
                  <c:v>42.94</c:v>
                </c:pt>
                <c:pt idx="244">
                  <c:v>22.52</c:v>
                </c:pt>
                <c:pt idx="245">
                  <c:v>24.11</c:v>
                </c:pt>
                <c:pt idx="246">
                  <c:v>22.51</c:v>
                </c:pt>
                <c:pt idx="247">
                  <c:v>30.86</c:v>
                </c:pt>
                <c:pt idx="248">
                  <c:v>29.19</c:v>
                </c:pt>
                <c:pt idx="249">
                  <c:v>26.39</c:v>
                </c:pt>
                <c:pt idx="250">
                  <c:v>30.06</c:v>
                </c:pt>
                <c:pt idx="251">
                  <c:v>69.760000000000005</c:v>
                </c:pt>
                <c:pt idx="252">
                  <c:v>78</c:v>
                </c:pt>
                <c:pt idx="253">
                  <c:v>49.51</c:v>
                </c:pt>
                <c:pt idx="254">
                  <c:v>41.84</c:v>
                </c:pt>
                <c:pt idx="255">
                  <c:v>78.400000000000006</c:v>
                </c:pt>
                <c:pt idx="256">
                  <c:v>106.1</c:v>
                </c:pt>
                <c:pt idx="257">
                  <c:v>78.5</c:v>
                </c:pt>
                <c:pt idx="258">
                  <c:v>77.2</c:v>
                </c:pt>
                <c:pt idx="259">
                  <c:v>43.41</c:v>
                </c:pt>
                <c:pt idx="260">
                  <c:v>78.7</c:v>
                </c:pt>
                <c:pt idx="261">
                  <c:v>85.7</c:v>
                </c:pt>
                <c:pt idx="262">
                  <c:v>101</c:v>
                </c:pt>
                <c:pt idx="263">
                  <c:v>108.8</c:v>
                </c:pt>
                <c:pt idx="264">
                  <c:v>90.4</c:v>
                </c:pt>
                <c:pt idx="265">
                  <c:v>93.3</c:v>
                </c:pt>
                <c:pt idx="266">
                  <c:v>51.95</c:v>
                </c:pt>
                <c:pt idx="267">
                  <c:v>40.44</c:v>
                </c:pt>
                <c:pt idx="268">
                  <c:v>75.599999999999994</c:v>
                </c:pt>
                <c:pt idx="269">
                  <c:v>66.819999999999993</c:v>
                </c:pt>
                <c:pt idx="270">
                  <c:v>58.67</c:v>
                </c:pt>
                <c:pt idx="271">
                  <c:v>51.48</c:v>
                </c:pt>
                <c:pt idx="272">
                  <c:v>42.65</c:v>
                </c:pt>
                <c:pt idx="273">
                  <c:v>51.44</c:v>
                </c:pt>
                <c:pt idx="274">
                  <c:v>39.74</c:v>
                </c:pt>
                <c:pt idx="275">
                  <c:v>53.12</c:v>
                </c:pt>
                <c:pt idx="276">
                  <c:v>50.15</c:v>
                </c:pt>
                <c:pt idx="277">
                  <c:v>59.93</c:v>
                </c:pt>
                <c:pt idx="278">
                  <c:v>78.2</c:v>
                </c:pt>
                <c:pt idx="279">
                  <c:v>48.58</c:v>
                </c:pt>
                <c:pt idx="280">
                  <c:v>40.61</c:v>
                </c:pt>
                <c:pt idx="281">
                  <c:v>31.6</c:v>
                </c:pt>
                <c:pt idx="282">
                  <c:v>48.73</c:v>
                </c:pt>
                <c:pt idx="283">
                  <c:v>47.74</c:v>
                </c:pt>
                <c:pt idx="284">
                  <c:v>46.12</c:v>
                </c:pt>
                <c:pt idx="285">
                  <c:v>56.89</c:v>
                </c:pt>
                <c:pt idx="286">
                  <c:v>53.57</c:v>
                </c:pt>
                <c:pt idx="287">
                  <c:v>106.8</c:v>
                </c:pt>
                <c:pt idx="288">
                  <c:v>107.1</c:v>
                </c:pt>
                <c:pt idx="289">
                  <c:v>98.5</c:v>
                </c:pt>
                <c:pt idx="290">
                  <c:v>108.9</c:v>
                </c:pt>
                <c:pt idx="291">
                  <c:v>99</c:v>
                </c:pt>
                <c:pt idx="292">
                  <c:v>78.900000000000006</c:v>
                </c:pt>
                <c:pt idx="293">
                  <c:v>71.7</c:v>
                </c:pt>
                <c:pt idx="294">
                  <c:v>35.54</c:v>
                </c:pt>
                <c:pt idx="295">
                  <c:v>62.59</c:v>
                </c:pt>
                <c:pt idx="296">
                  <c:v>76.400000000000006</c:v>
                </c:pt>
                <c:pt idx="297">
                  <c:v>78.400000000000006</c:v>
                </c:pt>
                <c:pt idx="298">
                  <c:v>92.9</c:v>
                </c:pt>
                <c:pt idx="299">
                  <c:v>88.7</c:v>
                </c:pt>
                <c:pt idx="300">
                  <c:v>85.4</c:v>
                </c:pt>
                <c:pt idx="301">
                  <c:v>105.9</c:v>
                </c:pt>
                <c:pt idx="302">
                  <c:v>96.1</c:v>
                </c:pt>
                <c:pt idx="303">
                  <c:v>83.9</c:v>
                </c:pt>
                <c:pt idx="304">
                  <c:v>74.7</c:v>
                </c:pt>
                <c:pt idx="305">
                  <c:v>56.56</c:v>
                </c:pt>
                <c:pt idx="306">
                  <c:v>106.6</c:v>
                </c:pt>
                <c:pt idx="307">
                  <c:v>99.3</c:v>
                </c:pt>
                <c:pt idx="308">
                  <c:v>88.4</c:v>
                </c:pt>
                <c:pt idx="309">
                  <c:v>92.2</c:v>
                </c:pt>
                <c:pt idx="310">
                  <c:v>88.4</c:v>
                </c:pt>
                <c:pt idx="311">
                  <c:v>91.4</c:v>
                </c:pt>
                <c:pt idx="312">
                  <c:v>96.7</c:v>
                </c:pt>
                <c:pt idx="313">
                  <c:v>94.6</c:v>
                </c:pt>
                <c:pt idx="314">
                  <c:v>103.4</c:v>
                </c:pt>
                <c:pt idx="315">
                  <c:v>99.7</c:v>
                </c:pt>
                <c:pt idx="316">
                  <c:v>108.2</c:v>
                </c:pt>
                <c:pt idx="317">
                  <c:v>91.5</c:v>
                </c:pt>
                <c:pt idx="318">
                  <c:v>94</c:v>
                </c:pt>
                <c:pt idx="319">
                  <c:v>77</c:v>
                </c:pt>
                <c:pt idx="320">
                  <c:v>81</c:v>
                </c:pt>
                <c:pt idx="321">
                  <c:v>77</c:v>
                </c:pt>
                <c:pt idx="322">
                  <c:v>70.099999999999994</c:v>
                </c:pt>
                <c:pt idx="323">
                  <c:v>72.099999999999994</c:v>
                </c:pt>
                <c:pt idx="324">
                  <c:v>88.1</c:v>
                </c:pt>
                <c:pt idx="325">
                  <c:v>86.6</c:v>
                </c:pt>
                <c:pt idx="326">
                  <c:v>108.1</c:v>
                </c:pt>
                <c:pt idx="327">
                  <c:v>105</c:v>
                </c:pt>
                <c:pt idx="328">
                  <c:v>103.6</c:v>
                </c:pt>
                <c:pt idx="329">
                  <c:v>104.3</c:v>
                </c:pt>
                <c:pt idx="330">
                  <c:v>99.3</c:v>
                </c:pt>
                <c:pt idx="331">
                  <c:v>92.1</c:v>
                </c:pt>
                <c:pt idx="332">
                  <c:v>89.1</c:v>
                </c:pt>
                <c:pt idx="333">
                  <c:v>103.5</c:v>
                </c:pt>
                <c:pt idx="334">
                  <c:v>106.1</c:v>
                </c:pt>
                <c:pt idx="335">
                  <c:v>101.5</c:v>
                </c:pt>
                <c:pt idx="336">
                  <c:v>107.4</c:v>
                </c:pt>
                <c:pt idx="337">
                  <c:v>107.9</c:v>
                </c:pt>
                <c:pt idx="338">
                  <c:v>107.9</c:v>
                </c:pt>
                <c:pt idx="339">
                  <c:v>108.9</c:v>
                </c:pt>
                <c:pt idx="340">
                  <c:v>109.5</c:v>
                </c:pt>
                <c:pt idx="341">
                  <c:v>106.9</c:v>
                </c:pt>
                <c:pt idx="342">
                  <c:v>75.7</c:v>
                </c:pt>
                <c:pt idx="343">
                  <c:v>92.5</c:v>
                </c:pt>
                <c:pt idx="344">
                  <c:v>96.1</c:v>
                </c:pt>
                <c:pt idx="345">
                  <c:v>93.5</c:v>
                </c:pt>
                <c:pt idx="346">
                  <c:v>87.8</c:v>
                </c:pt>
                <c:pt idx="347">
                  <c:v>79.900000000000006</c:v>
                </c:pt>
                <c:pt idx="348">
                  <c:v>104.9</c:v>
                </c:pt>
                <c:pt idx="349">
                  <c:v>100.3</c:v>
                </c:pt>
                <c:pt idx="350">
                  <c:v>102.2</c:v>
                </c:pt>
                <c:pt idx="351">
                  <c:v>103.4</c:v>
                </c:pt>
                <c:pt idx="352">
                  <c:v>101.7</c:v>
                </c:pt>
                <c:pt idx="353">
                  <c:v>70.2</c:v>
                </c:pt>
                <c:pt idx="354">
                  <c:v>79.8</c:v>
                </c:pt>
                <c:pt idx="355">
                  <c:v>75.3</c:v>
                </c:pt>
                <c:pt idx="356">
                  <c:v>78.8</c:v>
                </c:pt>
                <c:pt idx="357">
                  <c:v>71.5</c:v>
                </c:pt>
                <c:pt idx="358">
                  <c:v>79.599999999999994</c:v>
                </c:pt>
                <c:pt idx="359">
                  <c:v>81.2</c:v>
                </c:pt>
                <c:pt idx="360">
                  <c:v>106.6</c:v>
                </c:pt>
                <c:pt idx="361">
                  <c:v>100.7</c:v>
                </c:pt>
                <c:pt idx="362">
                  <c:v>55.24</c:v>
                </c:pt>
                <c:pt idx="363">
                  <c:v>76.599999999999994</c:v>
                </c:pt>
                <c:pt idx="364">
                  <c:v>96.1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36576"/>
        <c:axId val="262538752"/>
      </c:lineChart>
      <c:catAx>
        <c:axId val="262536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34628190898999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5387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62538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52365415986949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2536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Data!$BL$7:$BL$372</c:f>
              <c:numCache>
                <c:formatCode>General</c:formatCode>
                <c:ptCount val="366"/>
                <c:pt idx="0">
                  <c:v>99</c:v>
                </c:pt>
                <c:pt idx="1">
                  <c:v>98.2</c:v>
                </c:pt>
                <c:pt idx="2">
                  <c:v>99.8</c:v>
                </c:pt>
                <c:pt idx="3">
                  <c:v>99.2</c:v>
                </c:pt>
                <c:pt idx="4">
                  <c:v>99</c:v>
                </c:pt>
                <c:pt idx="5">
                  <c:v>99.8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99.8</c:v>
                </c:pt>
                <c:pt idx="10">
                  <c:v>100</c:v>
                </c:pt>
                <c:pt idx="11">
                  <c:v>98.8</c:v>
                </c:pt>
                <c:pt idx="12">
                  <c:v>99.8</c:v>
                </c:pt>
                <c:pt idx="13">
                  <c:v>100</c:v>
                </c:pt>
                <c:pt idx="14">
                  <c:v>99.2</c:v>
                </c:pt>
                <c:pt idx="15">
                  <c:v>97.2</c:v>
                </c:pt>
                <c:pt idx="16">
                  <c:v>97.6</c:v>
                </c:pt>
                <c:pt idx="17">
                  <c:v>99.2</c:v>
                </c:pt>
                <c:pt idx="18">
                  <c:v>98</c:v>
                </c:pt>
                <c:pt idx="19">
                  <c:v>99.2</c:v>
                </c:pt>
                <c:pt idx="20">
                  <c:v>97.2</c:v>
                </c:pt>
                <c:pt idx="21">
                  <c:v>98</c:v>
                </c:pt>
                <c:pt idx="22">
                  <c:v>97.2</c:v>
                </c:pt>
                <c:pt idx="23">
                  <c:v>100</c:v>
                </c:pt>
                <c:pt idx="24">
                  <c:v>100</c:v>
                </c:pt>
                <c:pt idx="25">
                  <c:v>97.1</c:v>
                </c:pt>
                <c:pt idx="26">
                  <c:v>95.7</c:v>
                </c:pt>
                <c:pt idx="27">
                  <c:v>97.9</c:v>
                </c:pt>
                <c:pt idx="28">
                  <c:v>98.2</c:v>
                </c:pt>
                <c:pt idx="29">
                  <c:v>99.8</c:v>
                </c:pt>
                <c:pt idx="30">
                  <c:v>98.4</c:v>
                </c:pt>
                <c:pt idx="31">
                  <c:v>98.7</c:v>
                </c:pt>
                <c:pt idx="32">
                  <c:v>98.5</c:v>
                </c:pt>
                <c:pt idx="33">
                  <c:v>97.6</c:v>
                </c:pt>
                <c:pt idx="34">
                  <c:v>99.6</c:v>
                </c:pt>
                <c:pt idx="35">
                  <c:v>99.2</c:v>
                </c:pt>
                <c:pt idx="36">
                  <c:v>99.6</c:v>
                </c:pt>
                <c:pt idx="37">
                  <c:v>98.5</c:v>
                </c:pt>
                <c:pt idx="38">
                  <c:v>98.4</c:v>
                </c:pt>
                <c:pt idx="39">
                  <c:v>98.5</c:v>
                </c:pt>
                <c:pt idx="40">
                  <c:v>92.2</c:v>
                </c:pt>
                <c:pt idx="41">
                  <c:v>97.6</c:v>
                </c:pt>
                <c:pt idx="42">
                  <c:v>96.9</c:v>
                </c:pt>
                <c:pt idx="43">
                  <c:v>99.8</c:v>
                </c:pt>
                <c:pt idx="44">
                  <c:v>95.8</c:v>
                </c:pt>
                <c:pt idx="45">
                  <c:v>95.8</c:v>
                </c:pt>
                <c:pt idx="46">
                  <c:v>88.8</c:v>
                </c:pt>
                <c:pt idx="47">
                  <c:v>79.7</c:v>
                </c:pt>
                <c:pt idx="48">
                  <c:v>86.1</c:v>
                </c:pt>
                <c:pt idx="49">
                  <c:v>85.6</c:v>
                </c:pt>
                <c:pt idx="50">
                  <c:v>96.9</c:v>
                </c:pt>
                <c:pt idx="51">
                  <c:v>98</c:v>
                </c:pt>
                <c:pt idx="52">
                  <c:v>97.2</c:v>
                </c:pt>
                <c:pt idx="53">
                  <c:v>96.9</c:v>
                </c:pt>
                <c:pt idx="54">
                  <c:v>93.1</c:v>
                </c:pt>
                <c:pt idx="55">
                  <c:v>93.6</c:v>
                </c:pt>
                <c:pt idx="56">
                  <c:v>97.7</c:v>
                </c:pt>
                <c:pt idx="57">
                  <c:v>96.8</c:v>
                </c:pt>
                <c:pt idx="58">
                  <c:v>100</c:v>
                </c:pt>
                <c:pt idx="59">
                  <c:v>98</c:v>
                </c:pt>
                <c:pt idx="60">
                  <c:v>99.5</c:v>
                </c:pt>
                <c:pt idx="61">
                  <c:v>95.3</c:v>
                </c:pt>
                <c:pt idx="62">
                  <c:v>93.4</c:v>
                </c:pt>
                <c:pt idx="63">
                  <c:v>98.5</c:v>
                </c:pt>
                <c:pt idx="64">
                  <c:v>98.8</c:v>
                </c:pt>
                <c:pt idx="65">
                  <c:v>99.2</c:v>
                </c:pt>
                <c:pt idx="66">
                  <c:v>95</c:v>
                </c:pt>
                <c:pt idx="67">
                  <c:v>96.6</c:v>
                </c:pt>
                <c:pt idx="68">
                  <c:v>93.6</c:v>
                </c:pt>
                <c:pt idx="69">
                  <c:v>90.6</c:v>
                </c:pt>
                <c:pt idx="70">
                  <c:v>89.6</c:v>
                </c:pt>
                <c:pt idx="71">
                  <c:v>90.6</c:v>
                </c:pt>
                <c:pt idx="72">
                  <c:v>98.5</c:v>
                </c:pt>
                <c:pt idx="73">
                  <c:v>99.5</c:v>
                </c:pt>
                <c:pt idx="74">
                  <c:v>99.2</c:v>
                </c:pt>
                <c:pt idx="75">
                  <c:v>99.2</c:v>
                </c:pt>
                <c:pt idx="76">
                  <c:v>100</c:v>
                </c:pt>
                <c:pt idx="77">
                  <c:v>98.2</c:v>
                </c:pt>
                <c:pt idx="78">
                  <c:v>96.9</c:v>
                </c:pt>
                <c:pt idx="79">
                  <c:v>93.1</c:v>
                </c:pt>
                <c:pt idx="80">
                  <c:v>80.900000000000006</c:v>
                </c:pt>
                <c:pt idx="81">
                  <c:v>83.7</c:v>
                </c:pt>
                <c:pt idx="82">
                  <c:v>100</c:v>
                </c:pt>
                <c:pt idx="83">
                  <c:v>99.6</c:v>
                </c:pt>
                <c:pt idx="84">
                  <c:v>96.3</c:v>
                </c:pt>
                <c:pt idx="85">
                  <c:v>95.2</c:v>
                </c:pt>
                <c:pt idx="86">
                  <c:v>99.6</c:v>
                </c:pt>
                <c:pt idx="87">
                  <c:v>99.8</c:v>
                </c:pt>
                <c:pt idx="88">
                  <c:v>93.3</c:v>
                </c:pt>
                <c:pt idx="89">
                  <c:v>100</c:v>
                </c:pt>
                <c:pt idx="90">
                  <c:v>100</c:v>
                </c:pt>
                <c:pt idx="91">
                  <c:v>99.3</c:v>
                </c:pt>
                <c:pt idx="92">
                  <c:v>89.5</c:v>
                </c:pt>
                <c:pt idx="93">
                  <c:v>99.8</c:v>
                </c:pt>
                <c:pt idx="94">
                  <c:v>100</c:v>
                </c:pt>
                <c:pt idx="95">
                  <c:v>99.5</c:v>
                </c:pt>
                <c:pt idx="96">
                  <c:v>99.6</c:v>
                </c:pt>
                <c:pt idx="97">
                  <c:v>99.5</c:v>
                </c:pt>
                <c:pt idx="98">
                  <c:v>99.6</c:v>
                </c:pt>
                <c:pt idx="99">
                  <c:v>99.6</c:v>
                </c:pt>
                <c:pt idx="100">
                  <c:v>99.6</c:v>
                </c:pt>
                <c:pt idx="101">
                  <c:v>99.5</c:v>
                </c:pt>
                <c:pt idx="102">
                  <c:v>99.6</c:v>
                </c:pt>
                <c:pt idx="103">
                  <c:v>99.8</c:v>
                </c:pt>
                <c:pt idx="104">
                  <c:v>99.3</c:v>
                </c:pt>
                <c:pt idx="105">
                  <c:v>99.2</c:v>
                </c:pt>
                <c:pt idx="106">
                  <c:v>96.1</c:v>
                </c:pt>
                <c:pt idx="107">
                  <c:v>97.4</c:v>
                </c:pt>
                <c:pt idx="108">
                  <c:v>79.7</c:v>
                </c:pt>
                <c:pt idx="109">
                  <c:v>74.2</c:v>
                </c:pt>
                <c:pt idx="110">
                  <c:v>100</c:v>
                </c:pt>
                <c:pt idx="111">
                  <c:v>99</c:v>
                </c:pt>
                <c:pt idx="112">
                  <c:v>98.2</c:v>
                </c:pt>
                <c:pt idx="113">
                  <c:v>83.3</c:v>
                </c:pt>
                <c:pt idx="114">
                  <c:v>77.2</c:v>
                </c:pt>
                <c:pt idx="115">
                  <c:v>98.8</c:v>
                </c:pt>
                <c:pt idx="116">
                  <c:v>99.6</c:v>
                </c:pt>
                <c:pt idx="117">
                  <c:v>98</c:v>
                </c:pt>
                <c:pt idx="118">
                  <c:v>99.5</c:v>
                </c:pt>
                <c:pt idx="119">
                  <c:v>100</c:v>
                </c:pt>
                <c:pt idx="120">
                  <c:v>99.6</c:v>
                </c:pt>
                <c:pt idx="121">
                  <c:v>95.8</c:v>
                </c:pt>
                <c:pt idx="122">
                  <c:v>96.5</c:v>
                </c:pt>
                <c:pt idx="123">
                  <c:v>87.9</c:v>
                </c:pt>
                <c:pt idx="124">
                  <c:v>89</c:v>
                </c:pt>
                <c:pt idx="125">
                  <c:v>86.3</c:v>
                </c:pt>
                <c:pt idx="126">
                  <c:v>99.2</c:v>
                </c:pt>
                <c:pt idx="127">
                  <c:v>100</c:v>
                </c:pt>
                <c:pt idx="128">
                  <c:v>93</c:v>
                </c:pt>
                <c:pt idx="129">
                  <c:v>87.7</c:v>
                </c:pt>
                <c:pt idx="130">
                  <c:v>99.5</c:v>
                </c:pt>
                <c:pt idx="131">
                  <c:v>99.6</c:v>
                </c:pt>
                <c:pt idx="132">
                  <c:v>99.6</c:v>
                </c:pt>
                <c:pt idx="133">
                  <c:v>92.2</c:v>
                </c:pt>
                <c:pt idx="134">
                  <c:v>92.3</c:v>
                </c:pt>
                <c:pt idx="135">
                  <c:v>82.9</c:v>
                </c:pt>
                <c:pt idx="136">
                  <c:v>91.7</c:v>
                </c:pt>
                <c:pt idx="137">
                  <c:v>92.8</c:v>
                </c:pt>
                <c:pt idx="138">
                  <c:v>92.8</c:v>
                </c:pt>
                <c:pt idx="139">
                  <c:v>98.7</c:v>
                </c:pt>
                <c:pt idx="140">
                  <c:v>99.6</c:v>
                </c:pt>
                <c:pt idx="141">
                  <c:v>99.3</c:v>
                </c:pt>
                <c:pt idx="142">
                  <c:v>99.5</c:v>
                </c:pt>
                <c:pt idx="143">
                  <c:v>99.5</c:v>
                </c:pt>
                <c:pt idx="144">
                  <c:v>99.6</c:v>
                </c:pt>
                <c:pt idx="145">
                  <c:v>99.5</c:v>
                </c:pt>
                <c:pt idx="146">
                  <c:v>99.6</c:v>
                </c:pt>
                <c:pt idx="147">
                  <c:v>99.8</c:v>
                </c:pt>
                <c:pt idx="148">
                  <c:v>99.6</c:v>
                </c:pt>
                <c:pt idx="149">
                  <c:v>99.8</c:v>
                </c:pt>
                <c:pt idx="150">
                  <c:v>92.3</c:v>
                </c:pt>
                <c:pt idx="151">
                  <c:v>97.4</c:v>
                </c:pt>
                <c:pt idx="152">
                  <c:v>98.8</c:v>
                </c:pt>
                <c:pt idx="153">
                  <c:v>96.6</c:v>
                </c:pt>
                <c:pt idx="154">
                  <c:v>95.3</c:v>
                </c:pt>
                <c:pt idx="155">
                  <c:v>96.9</c:v>
                </c:pt>
                <c:pt idx="156">
                  <c:v>98.7</c:v>
                </c:pt>
                <c:pt idx="157">
                  <c:v>95.8</c:v>
                </c:pt>
                <c:pt idx="158">
                  <c:v>99.3</c:v>
                </c:pt>
                <c:pt idx="159">
                  <c:v>99.3</c:v>
                </c:pt>
                <c:pt idx="160">
                  <c:v>99.5</c:v>
                </c:pt>
                <c:pt idx="161">
                  <c:v>98.7</c:v>
                </c:pt>
                <c:pt idx="162">
                  <c:v>96.9</c:v>
                </c:pt>
                <c:pt idx="163">
                  <c:v>98.5</c:v>
                </c:pt>
                <c:pt idx="164">
                  <c:v>98.7</c:v>
                </c:pt>
                <c:pt idx="165">
                  <c:v>99.2</c:v>
                </c:pt>
                <c:pt idx="166">
                  <c:v>99.5</c:v>
                </c:pt>
                <c:pt idx="167">
                  <c:v>99.2</c:v>
                </c:pt>
                <c:pt idx="168">
                  <c:v>99.5</c:v>
                </c:pt>
                <c:pt idx="169">
                  <c:v>99.6</c:v>
                </c:pt>
                <c:pt idx="170">
                  <c:v>99.3</c:v>
                </c:pt>
                <c:pt idx="171">
                  <c:v>99.8</c:v>
                </c:pt>
                <c:pt idx="172">
                  <c:v>99</c:v>
                </c:pt>
                <c:pt idx="173">
                  <c:v>96.6</c:v>
                </c:pt>
                <c:pt idx="174">
                  <c:v>95.7</c:v>
                </c:pt>
                <c:pt idx="175">
                  <c:v>89.9</c:v>
                </c:pt>
                <c:pt idx="176">
                  <c:v>88.8</c:v>
                </c:pt>
                <c:pt idx="177">
                  <c:v>83.6</c:v>
                </c:pt>
                <c:pt idx="178">
                  <c:v>79.5</c:v>
                </c:pt>
                <c:pt idx="179">
                  <c:v>89</c:v>
                </c:pt>
                <c:pt idx="180">
                  <c:v>82.8</c:v>
                </c:pt>
                <c:pt idx="181">
                  <c:v>93.6</c:v>
                </c:pt>
                <c:pt idx="182">
                  <c:v>84.8</c:v>
                </c:pt>
                <c:pt idx="183">
                  <c:v>84.8</c:v>
                </c:pt>
                <c:pt idx="184">
                  <c:v>92.2</c:v>
                </c:pt>
                <c:pt idx="185">
                  <c:v>98.5</c:v>
                </c:pt>
                <c:pt idx="186">
                  <c:v>99</c:v>
                </c:pt>
                <c:pt idx="187">
                  <c:v>99.2</c:v>
                </c:pt>
                <c:pt idx="188">
                  <c:v>90.9</c:v>
                </c:pt>
                <c:pt idx="189">
                  <c:v>95.8</c:v>
                </c:pt>
                <c:pt idx="190">
                  <c:v>99</c:v>
                </c:pt>
                <c:pt idx="191">
                  <c:v>99.3</c:v>
                </c:pt>
                <c:pt idx="192">
                  <c:v>94.4</c:v>
                </c:pt>
                <c:pt idx="193">
                  <c:v>93.1</c:v>
                </c:pt>
                <c:pt idx="194">
                  <c:v>97.2</c:v>
                </c:pt>
                <c:pt idx="195">
                  <c:v>95.8</c:v>
                </c:pt>
                <c:pt idx="196">
                  <c:v>97.2</c:v>
                </c:pt>
                <c:pt idx="197">
                  <c:v>91.8</c:v>
                </c:pt>
                <c:pt idx="198">
                  <c:v>95.8</c:v>
                </c:pt>
                <c:pt idx="199">
                  <c:v>96.8</c:v>
                </c:pt>
                <c:pt idx="200">
                  <c:v>96.3</c:v>
                </c:pt>
                <c:pt idx="201">
                  <c:v>93.4</c:v>
                </c:pt>
                <c:pt idx="202">
                  <c:v>89.9</c:v>
                </c:pt>
                <c:pt idx="203">
                  <c:v>97.2</c:v>
                </c:pt>
                <c:pt idx="204">
                  <c:v>98.5</c:v>
                </c:pt>
                <c:pt idx="205">
                  <c:v>96.6</c:v>
                </c:pt>
                <c:pt idx="206">
                  <c:v>95.8</c:v>
                </c:pt>
                <c:pt idx="207">
                  <c:v>92.2</c:v>
                </c:pt>
                <c:pt idx="208">
                  <c:v>92.8</c:v>
                </c:pt>
                <c:pt idx="209">
                  <c:v>97.2</c:v>
                </c:pt>
                <c:pt idx="210">
                  <c:v>99.2</c:v>
                </c:pt>
                <c:pt idx="211">
                  <c:v>99.2</c:v>
                </c:pt>
                <c:pt idx="212">
                  <c:v>98.8</c:v>
                </c:pt>
                <c:pt idx="213">
                  <c:v>96.5</c:v>
                </c:pt>
                <c:pt idx="214">
                  <c:v>98.8</c:v>
                </c:pt>
                <c:pt idx="215">
                  <c:v>96.3</c:v>
                </c:pt>
                <c:pt idx="216">
                  <c:v>99</c:v>
                </c:pt>
                <c:pt idx="217">
                  <c:v>93.4</c:v>
                </c:pt>
                <c:pt idx="218">
                  <c:v>92.3</c:v>
                </c:pt>
                <c:pt idx="219">
                  <c:v>89.8</c:v>
                </c:pt>
                <c:pt idx="220">
                  <c:v>97.9</c:v>
                </c:pt>
                <c:pt idx="221">
                  <c:v>98.8</c:v>
                </c:pt>
                <c:pt idx="222">
                  <c:v>99.5</c:v>
                </c:pt>
                <c:pt idx="223">
                  <c:v>99.6</c:v>
                </c:pt>
                <c:pt idx="224">
                  <c:v>98.5</c:v>
                </c:pt>
                <c:pt idx="225">
                  <c:v>98.2</c:v>
                </c:pt>
                <c:pt idx="226">
                  <c:v>92.2</c:v>
                </c:pt>
                <c:pt idx="227">
                  <c:v>95.8</c:v>
                </c:pt>
                <c:pt idx="228">
                  <c:v>96.3</c:v>
                </c:pt>
                <c:pt idx="229">
                  <c:v>93.7</c:v>
                </c:pt>
                <c:pt idx="230">
                  <c:v>85.3</c:v>
                </c:pt>
                <c:pt idx="231">
                  <c:v>93</c:v>
                </c:pt>
                <c:pt idx="232">
                  <c:v>87.4</c:v>
                </c:pt>
                <c:pt idx="233">
                  <c:v>89.1</c:v>
                </c:pt>
                <c:pt idx="234">
                  <c:v>99.2</c:v>
                </c:pt>
                <c:pt idx="235">
                  <c:v>99.6</c:v>
                </c:pt>
                <c:pt idx="236">
                  <c:v>99.6</c:v>
                </c:pt>
                <c:pt idx="237">
                  <c:v>98</c:v>
                </c:pt>
                <c:pt idx="238">
                  <c:v>94.4</c:v>
                </c:pt>
                <c:pt idx="239">
                  <c:v>91</c:v>
                </c:pt>
                <c:pt idx="240">
                  <c:v>78.7</c:v>
                </c:pt>
                <c:pt idx="241">
                  <c:v>99.6</c:v>
                </c:pt>
                <c:pt idx="242">
                  <c:v>99.8</c:v>
                </c:pt>
                <c:pt idx="243">
                  <c:v>98.4</c:v>
                </c:pt>
                <c:pt idx="244">
                  <c:v>96.9</c:v>
                </c:pt>
                <c:pt idx="245">
                  <c:v>91.8</c:v>
                </c:pt>
                <c:pt idx="246">
                  <c:v>78.7</c:v>
                </c:pt>
                <c:pt idx="247">
                  <c:v>87.7</c:v>
                </c:pt>
                <c:pt idx="248">
                  <c:v>92</c:v>
                </c:pt>
                <c:pt idx="249">
                  <c:v>91.7</c:v>
                </c:pt>
                <c:pt idx="250">
                  <c:v>86.3</c:v>
                </c:pt>
                <c:pt idx="251">
                  <c:v>99</c:v>
                </c:pt>
                <c:pt idx="252">
                  <c:v>99</c:v>
                </c:pt>
                <c:pt idx="253">
                  <c:v>99.3</c:v>
                </c:pt>
                <c:pt idx="254">
                  <c:v>99.2</c:v>
                </c:pt>
                <c:pt idx="255">
                  <c:v>99.3</c:v>
                </c:pt>
                <c:pt idx="256">
                  <c:v>99.6</c:v>
                </c:pt>
                <c:pt idx="257">
                  <c:v>99.6</c:v>
                </c:pt>
                <c:pt idx="258">
                  <c:v>99.8</c:v>
                </c:pt>
                <c:pt idx="259">
                  <c:v>100</c:v>
                </c:pt>
                <c:pt idx="260">
                  <c:v>96.6</c:v>
                </c:pt>
                <c:pt idx="261">
                  <c:v>99.6</c:v>
                </c:pt>
                <c:pt idx="262">
                  <c:v>99.6</c:v>
                </c:pt>
                <c:pt idx="263">
                  <c:v>99.3</c:v>
                </c:pt>
                <c:pt idx="264">
                  <c:v>99.5</c:v>
                </c:pt>
                <c:pt idx="265">
                  <c:v>99.6</c:v>
                </c:pt>
                <c:pt idx="266">
                  <c:v>99.6</c:v>
                </c:pt>
                <c:pt idx="267">
                  <c:v>99.6</c:v>
                </c:pt>
                <c:pt idx="268">
                  <c:v>99.5</c:v>
                </c:pt>
                <c:pt idx="269">
                  <c:v>99.6</c:v>
                </c:pt>
                <c:pt idx="270">
                  <c:v>99.3</c:v>
                </c:pt>
                <c:pt idx="271">
                  <c:v>99.3</c:v>
                </c:pt>
                <c:pt idx="272">
                  <c:v>86.6</c:v>
                </c:pt>
                <c:pt idx="273">
                  <c:v>99.5</c:v>
                </c:pt>
                <c:pt idx="274">
                  <c:v>96</c:v>
                </c:pt>
                <c:pt idx="275">
                  <c:v>97.1</c:v>
                </c:pt>
                <c:pt idx="276">
                  <c:v>100</c:v>
                </c:pt>
                <c:pt idx="277">
                  <c:v>99.5</c:v>
                </c:pt>
                <c:pt idx="278">
                  <c:v>99.3</c:v>
                </c:pt>
                <c:pt idx="279">
                  <c:v>99.2</c:v>
                </c:pt>
                <c:pt idx="280">
                  <c:v>89.9</c:v>
                </c:pt>
                <c:pt idx="281">
                  <c:v>95.2</c:v>
                </c:pt>
                <c:pt idx="282">
                  <c:v>95</c:v>
                </c:pt>
                <c:pt idx="283">
                  <c:v>100</c:v>
                </c:pt>
                <c:pt idx="284">
                  <c:v>99.5</c:v>
                </c:pt>
                <c:pt idx="285">
                  <c:v>97.7</c:v>
                </c:pt>
                <c:pt idx="286">
                  <c:v>99.8</c:v>
                </c:pt>
                <c:pt idx="287">
                  <c:v>99.6</c:v>
                </c:pt>
                <c:pt idx="288">
                  <c:v>99.8</c:v>
                </c:pt>
                <c:pt idx="289">
                  <c:v>99.8</c:v>
                </c:pt>
                <c:pt idx="290">
                  <c:v>99.6</c:v>
                </c:pt>
                <c:pt idx="291">
                  <c:v>99.6</c:v>
                </c:pt>
                <c:pt idx="292">
                  <c:v>100</c:v>
                </c:pt>
                <c:pt idx="293">
                  <c:v>100</c:v>
                </c:pt>
                <c:pt idx="294">
                  <c:v>99</c:v>
                </c:pt>
                <c:pt idx="295">
                  <c:v>98.8</c:v>
                </c:pt>
                <c:pt idx="296">
                  <c:v>99.6</c:v>
                </c:pt>
                <c:pt idx="297">
                  <c:v>100</c:v>
                </c:pt>
                <c:pt idx="298">
                  <c:v>97.9</c:v>
                </c:pt>
                <c:pt idx="299">
                  <c:v>97.7</c:v>
                </c:pt>
                <c:pt idx="300">
                  <c:v>97.1</c:v>
                </c:pt>
                <c:pt idx="301">
                  <c:v>100</c:v>
                </c:pt>
                <c:pt idx="302">
                  <c:v>94.2</c:v>
                </c:pt>
                <c:pt idx="303">
                  <c:v>94.4</c:v>
                </c:pt>
                <c:pt idx="304">
                  <c:v>93</c:v>
                </c:pt>
                <c:pt idx="305">
                  <c:v>99.3</c:v>
                </c:pt>
                <c:pt idx="306">
                  <c:v>99.8</c:v>
                </c:pt>
                <c:pt idx="307">
                  <c:v>99.6</c:v>
                </c:pt>
                <c:pt idx="308">
                  <c:v>99.6</c:v>
                </c:pt>
                <c:pt idx="309">
                  <c:v>99.3</c:v>
                </c:pt>
                <c:pt idx="310">
                  <c:v>97.2</c:v>
                </c:pt>
                <c:pt idx="311">
                  <c:v>100</c:v>
                </c:pt>
                <c:pt idx="312">
                  <c:v>98.4</c:v>
                </c:pt>
                <c:pt idx="313">
                  <c:v>99.8</c:v>
                </c:pt>
                <c:pt idx="314">
                  <c:v>99.8</c:v>
                </c:pt>
                <c:pt idx="315">
                  <c:v>98.7</c:v>
                </c:pt>
                <c:pt idx="316">
                  <c:v>99.8</c:v>
                </c:pt>
                <c:pt idx="317">
                  <c:v>98.7</c:v>
                </c:pt>
                <c:pt idx="318">
                  <c:v>99.6</c:v>
                </c:pt>
                <c:pt idx="319">
                  <c:v>100</c:v>
                </c:pt>
                <c:pt idx="320">
                  <c:v>92.5</c:v>
                </c:pt>
                <c:pt idx="321">
                  <c:v>98</c:v>
                </c:pt>
                <c:pt idx="322">
                  <c:v>99.5</c:v>
                </c:pt>
                <c:pt idx="323">
                  <c:v>99.5</c:v>
                </c:pt>
                <c:pt idx="324">
                  <c:v>98.4</c:v>
                </c:pt>
                <c:pt idx="325">
                  <c:v>97.7</c:v>
                </c:pt>
                <c:pt idx="326">
                  <c:v>98.7</c:v>
                </c:pt>
                <c:pt idx="327">
                  <c:v>97.2</c:v>
                </c:pt>
                <c:pt idx="328">
                  <c:v>95.7</c:v>
                </c:pt>
                <c:pt idx="329">
                  <c:v>96.5</c:v>
                </c:pt>
                <c:pt idx="330">
                  <c:v>89.3</c:v>
                </c:pt>
                <c:pt idx="331">
                  <c:v>82.9</c:v>
                </c:pt>
                <c:pt idx="332">
                  <c:v>90.7</c:v>
                </c:pt>
                <c:pt idx="333">
                  <c:v>95.5</c:v>
                </c:pt>
                <c:pt idx="334">
                  <c:v>95.7</c:v>
                </c:pt>
                <c:pt idx="335">
                  <c:v>95.2</c:v>
                </c:pt>
                <c:pt idx="336">
                  <c:v>96.5</c:v>
                </c:pt>
                <c:pt idx="337">
                  <c:v>98.8</c:v>
                </c:pt>
                <c:pt idx="338">
                  <c:v>99.8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99.8</c:v>
                </c:pt>
                <c:pt idx="343">
                  <c:v>99.8</c:v>
                </c:pt>
                <c:pt idx="344">
                  <c:v>99</c:v>
                </c:pt>
                <c:pt idx="345">
                  <c:v>99.8</c:v>
                </c:pt>
                <c:pt idx="346">
                  <c:v>98.5</c:v>
                </c:pt>
                <c:pt idx="347">
                  <c:v>99.2</c:v>
                </c:pt>
                <c:pt idx="348">
                  <c:v>99</c:v>
                </c:pt>
                <c:pt idx="349">
                  <c:v>94.7</c:v>
                </c:pt>
                <c:pt idx="350">
                  <c:v>95.8</c:v>
                </c:pt>
                <c:pt idx="351">
                  <c:v>97.7</c:v>
                </c:pt>
                <c:pt idx="352">
                  <c:v>100</c:v>
                </c:pt>
                <c:pt idx="353">
                  <c:v>98.8</c:v>
                </c:pt>
                <c:pt idx="354">
                  <c:v>96.6</c:v>
                </c:pt>
                <c:pt idx="355">
                  <c:v>94.1</c:v>
                </c:pt>
                <c:pt idx="356">
                  <c:v>97.9</c:v>
                </c:pt>
                <c:pt idx="357">
                  <c:v>97.9</c:v>
                </c:pt>
                <c:pt idx="358">
                  <c:v>98</c:v>
                </c:pt>
                <c:pt idx="359">
                  <c:v>97.2</c:v>
                </c:pt>
                <c:pt idx="360">
                  <c:v>99.3</c:v>
                </c:pt>
                <c:pt idx="361">
                  <c:v>96.3</c:v>
                </c:pt>
                <c:pt idx="362">
                  <c:v>96.1</c:v>
                </c:pt>
                <c:pt idx="363">
                  <c:v>97.7</c:v>
                </c:pt>
                <c:pt idx="364">
                  <c:v>95.5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Data!$BN$7:$BN$372</c:f>
              <c:numCache>
                <c:formatCode>General</c:formatCode>
                <c:ptCount val="366"/>
                <c:pt idx="0">
                  <c:v>71.8</c:v>
                </c:pt>
                <c:pt idx="1">
                  <c:v>61.1</c:v>
                </c:pt>
                <c:pt idx="2">
                  <c:v>62.8</c:v>
                </c:pt>
                <c:pt idx="3">
                  <c:v>65.599999999999994</c:v>
                </c:pt>
                <c:pt idx="4">
                  <c:v>67</c:v>
                </c:pt>
                <c:pt idx="5">
                  <c:v>89.1</c:v>
                </c:pt>
                <c:pt idx="6">
                  <c:v>91</c:v>
                </c:pt>
                <c:pt idx="7">
                  <c:v>76.400000000000006</c:v>
                </c:pt>
                <c:pt idx="8">
                  <c:v>81.5</c:v>
                </c:pt>
                <c:pt idx="9">
                  <c:v>82.1</c:v>
                </c:pt>
                <c:pt idx="10">
                  <c:v>80.900000000000006</c:v>
                </c:pt>
                <c:pt idx="11">
                  <c:v>84.8</c:v>
                </c:pt>
                <c:pt idx="12">
                  <c:v>87.5</c:v>
                </c:pt>
                <c:pt idx="13">
                  <c:v>90.7</c:v>
                </c:pt>
                <c:pt idx="14">
                  <c:v>92.5</c:v>
                </c:pt>
                <c:pt idx="15">
                  <c:v>91.7</c:v>
                </c:pt>
                <c:pt idx="16">
                  <c:v>55.7</c:v>
                </c:pt>
                <c:pt idx="17">
                  <c:v>88.8</c:v>
                </c:pt>
                <c:pt idx="18">
                  <c:v>78.7</c:v>
                </c:pt>
                <c:pt idx="19">
                  <c:v>86.9</c:v>
                </c:pt>
                <c:pt idx="20">
                  <c:v>77.7</c:v>
                </c:pt>
                <c:pt idx="21">
                  <c:v>87.4</c:v>
                </c:pt>
                <c:pt idx="22">
                  <c:v>74.7</c:v>
                </c:pt>
                <c:pt idx="23">
                  <c:v>67.7</c:v>
                </c:pt>
                <c:pt idx="24">
                  <c:v>56</c:v>
                </c:pt>
                <c:pt idx="25">
                  <c:v>61.9</c:v>
                </c:pt>
                <c:pt idx="26">
                  <c:v>61.6</c:v>
                </c:pt>
                <c:pt idx="27">
                  <c:v>80</c:v>
                </c:pt>
                <c:pt idx="28">
                  <c:v>70</c:v>
                </c:pt>
                <c:pt idx="29">
                  <c:v>88.2</c:v>
                </c:pt>
                <c:pt idx="30">
                  <c:v>76.900000000000006</c:v>
                </c:pt>
                <c:pt idx="31">
                  <c:v>72.8</c:v>
                </c:pt>
                <c:pt idx="32">
                  <c:v>77.7</c:v>
                </c:pt>
                <c:pt idx="33">
                  <c:v>62.3</c:v>
                </c:pt>
                <c:pt idx="34">
                  <c:v>79.400000000000006</c:v>
                </c:pt>
                <c:pt idx="35">
                  <c:v>86.9</c:v>
                </c:pt>
                <c:pt idx="36">
                  <c:v>85.3</c:v>
                </c:pt>
                <c:pt idx="37">
                  <c:v>83.6</c:v>
                </c:pt>
                <c:pt idx="38">
                  <c:v>69.400000000000006</c:v>
                </c:pt>
                <c:pt idx="39">
                  <c:v>57</c:v>
                </c:pt>
                <c:pt idx="40">
                  <c:v>32.5</c:v>
                </c:pt>
                <c:pt idx="41">
                  <c:v>28.9</c:v>
                </c:pt>
                <c:pt idx="42">
                  <c:v>37.9</c:v>
                </c:pt>
                <c:pt idx="43">
                  <c:v>83.1</c:v>
                </c:pt>
                <c:pt idx="44">
                  <c:v>65.900000000000006</c:v>
                </c:pt>
                <c:pt idx="45">
                  <c:v>67.5</c:v>
                </c:pt>
                <c:pt idx="46">
                  <c:v>31</c:v>
                </c:pt>
                <c:pt idx="47">
                  <c:v>13.9</c:v>
                </c:pt>
                <c:pt idx="48">
                  <c:v>33.1</c:v>
                </c:pt>
                <c:pt idx="49">
                  <c:v>47.2</c:v>
                </c:pt>
                <c:pt idx="50">
                  <c:v>82.8</c:v>
                </c:pt>
                <c:pt idx="51">
                  <c:v>77.2</c:v>
                </c:pt>
                <c:pt idx="52">
                  <c:v>40.6</c:v>
                </c:pt>
                <c:pt idx="53">
                  <c:v>69.900000000000006</c:v>
                </c:pt>
                <c:pt idx="54">
                  <c:v>49.4</c:v>
                </c:pt>
                <c:pt idx="55">
                  <c:v>38.9</c:v>
                </c:pt>
                <c:pt idx="56">
                  <c:v>86.9</c:v>
                </c:pt>
                <c:pt idx="57">
                  <c:v>60.6</c:v>
                </c:pt>
                <c:pt idx="58">
                  <c:v>70.400000000000006</c:v>
                </c:pt>
                <c:pt idx="59">
                  <c:v>57</c:v>
                </c:pt>
                <c:pt idx="60">
                  <c:v>43.3</c:v>
                </c:pt>
                <c:pt idx="61">
                  <c:v>44.5</c:v>
                </c:pt>
                <c:pt idx="62">
                  <c:v>28.1</c:v>
                </c:pt>
                <c:pt idx="63">
                  <c:v>41</c:v>
                </c:pt>
                <c:pt idx="64">
                  <c:v>61.9</c:v>
                </c:pt>
                <c:pt idx="65">
                  <c:v>65.5</c:v>
                </c:pt>
                <c:pt idx="66">
                  <c:v>73.8</c:v>
                </c:pt>
                <c:pt idx="67">
                  <c:v>46</c:v>
                </c:pt>
                <c:pt idx="68">
                  <c:v>50.4</c:v>
                </c:pt>
                <c:pt idx="69">
                  <c:v>30.1</c:v>
                </c:pt>
                <c:pt idx="70">
                  <c:v>24.9</c:v>
                </c:pt>
                <c:pt idx="71">
                  <c:v>42.7</c:v>
                </c:pt>
                <c:pt idx="72">
                  <c:v>50.1</c:v>
                </c:pt>
                <c:pt idx="73">
                  <c:v>42.6</c:v>
                </c:pt>
                <c:pt idx="74">
                  <c:v>56.6</c:v>
                </c:pt>
                <c:pt idx="75">
                  <c:v>65.400000000000006</c:v>
                </c:pt>
                <c:pt idx="76">
                  <c:v>64.3</c:v>
                </c:pt>
                <c:pt idx="77">
                  <c:v>52.9</c:v>
                </c:pt>
                <c:pt idx="78">
                  <c:v>43.5</c:v>
                </c:pt>
                <c:pt idx="79">
                  <c:v>49</c:v>
                </c:pt>
                <c:pt idx="80">
                  <c:v>54.5</c:v>
                </c:pt>
                <c:pt idx="81">
                  <c:v>37.6</c:v>
                </c:pt>
                <c:pt idx="82">
                  <c:v>47.2</c:v>
                </c:pt>
                <c:pt idx="83">
                  <c:v>64.099999999999994</c:v>
                </c:pt>
                <c:pt idx="84">
                  <c:v>44.7</c:v>
                </c:pt>
                <c:pt idx="85">
                  <c:v>54.5</c:v>
                </c:pt>
                <c:pt idx="86">
                  <c:v>66</c:v>
                </c:pt>
                <c:pt idx="87">
                  <c:v>24.7</c:v>
                </c:pt>
                <c:pt idx="88">
                  <c:v>36.299999999999997</c:v>
                </c:pt>
                <c:pt idx="89">
                  <c:v>48.9</c:v>
                </c:pt>
                <c:pt idx="90">
                  <c:v>47.8</c:v>
                </c:pt>
                <c:pt idx="91">
                  <c:v>39.1</c:v>
                </c:pt>
                <c:pt idx="92">
                  <c:v>30.8</c:v>
                </c:pt>
                <c:pt idx="93">
                  <c:v>86.1</c:v>
                </c:pt>
                <c:pt idx="94">
                  <c:v>44.8</c:v>
                </c:pt>
                <c:pt idx="95">
                  <c:v>49.3</c:v>
                </c:pt>
                <c:pt idx="96">
                  <c:v>41.3</c:v>
                </c:pt>
                <c:pt idx="97">
                  <c:v>51.8</c:v>
                </c:pt>
                <c:pt idx="98">
                  <c:v>52.6</c:v>
                </c:pt>
                <c:pt idx="99">
                  <c:v>59.3</c:v>
                </c:pt>
                <c:pt idx="100">
                  <c:v>73.3</c:v>
                </c:pt>
                <c:pt idx="101">
                  <c:v>66.5</c:v>
                </c:pt>
                <c:pt idx="102">
                  <c:v>61.1</c:v>
                </c:pt>
                <c:pt idx="103">
                  <c:v>71.099999999999994</c:v>
                </c:pt>
                <c:pt idx="104">
                  <c:v>46.8</c:v>
                </c:pt>
                <c:pt idx="105">
                  <c:v>52.3</c:v>
                </c:pt>
                <c:pt idx="106">
                  <c:v>42.2</c:v>
                </c:pt>
                <c:pt idx="107">
                  <c:v>32.1</c:v>
                </c:pt>
                <c:pt idx="108">
                  <c:v>29.2</c:v>
                </c:pt>
                <c:pt idx="109">
                  <c:v>35.200000000000003</c:v>
                </c:pt>
                <c:pt idx="110">
                  <c:v>45.6</c:v>
                </c:pt>
                <c:pt idx="111">
                  <c:v>50.3</c:v>
                </c:pt>
                <c:pt idx="112">
                  <c:v>23.7</c:v>
                </c:pt>
                <c:pt idx="113">
                  <c:v>7.7</c:v>
                </c:pt>
                <c:pt idx="114">
                  <c:v>14.5</c:v>
                </c:pt>
                <c:pt idx="115">
                  <c:v>36</c:v>
                </c:pt>
                <c:pt idx="116">
                  <c:v>43.3</c:v>
                </c:pt>
                <c:pt idx="117">
                  <c:v>37</c:v>
                </c:pt>
                <c:pt idx="118">
                  <c:v>48.5</c:v>
                </c:pt>
                <c:pt idx="119">
                  <c:v>25.6</c:v>
                </c:pt>
                <c:pt idx="120">
                  <c:v>74.599999999999994</c:v>
                </c:pt>
                <c:pt idx="121">
                  <c:v>38.700000000000003</c:v>
                </c:pt>
                <c:pt idx="122">
                  <c:v>21.3</c:v>
                </c:pt>
                <c:pt idx="123">
                  <c:v>23.7</c:v>
                </c:pt>
                <c:pt idx="124">
                  <c:v>23.2</c:v>
                </c:pt>
                <c:pt idx="125">
                  <c:v>40.700000000000003</c:v>
                </c:pt>
                <c:pt idx="126">
                  <c:v>48.5</c:v>
                </c:pt>
                <c:pt idx="127">
                  <c:v>38.700000000000003</c:v>
                </c:pt>
                <c:pt idx="128">
                  <c:v>29.4</c:v>
                </c:pt>
                <c:pt idx="129">
                  <c:v>27.3</c:v>
                </c:pt>
                <c:pt idx="130">
                  <c:v>34.299999999999997</c:v>
                </c:pt>
                <c:pt idx="131">
                  <c:v>44.7</c:v>
                </c:pt>
                <c:pt idx="132">
                  <c:v>33.5</c:v>
                </c:pt>
                <c:pt idx="133">
                  <c:v>22.6</c:v>
                </c:pt>
                <c:pt idx="134">
                  <c:v>19.899999999999999</c:v>
                </c:pt>
                <c:pt idx="135">
                  <c:v>19.899999999999999</c:v>
                </c:pt>
                <c:pt idx="136">
                  <c:v>23.7</c:v>
                </c:pt>
                <c:pt idx="137">
                  <c:v>22.7</c:v>
                </c:pt>
                <c:pt idx="138">
                  <c:v>20.399999999999999</c:v>
                </c:pt>
                <c:pt idx="139">
                  <c:v>78.599999999999994</c:v>
                </c:pt>
                <c:pt idx="140">
                  <c:v>43.7</c:v>
                </c:pt>
                <c:pt idx="141">
                  <c:v>47.5</c:v>
                </c:pt>
                <c:pt idx="142">
                  <c:v>50.6</c:v>
                </c:pt>
                <c:pt idx="143">
                  <c:v>78</c:v>
                </c:pt>
                <c:pt idx="144">
                  <c:v>64.5</c:v>
                </c:pt>
                <c:pt idx="145">
                  <c:v>79.400000000000006</c:v>
                </c:pt>
                <c:pt idx="146">
                  <c:v>62.7</c:v>
                </c:pt>
                <c:pt idx="147">
                  <c:v>48.3</c:v>
                </c:pt>
                <c:pt idx="148">
                  <c:v>73.099999999999994</c:v>
                </c:pt>
                <c:pt idx="149">
                  <c:v>23.4</c:v>
                </c:pt>
                <c:pt idx="150">
                  <c:v>28.9</c:v>
                </c:pt>
                <c:pt idx="151">
                  <c:v>33.200000000000003</c:v>
                </c:pt>
                <c:pt idx="152">
                  <c:v>56</c:v>
                </c:pt>
                <c:pt idx="153">
                  <c:v>42.6</c:v>
                </c:pt>
                <c:pt idx="154">
                  <c:v>54.8</c:v>
                </c:pt>
                <c:pt idx="155">
                  <c:v>36.4</c:v>
                </c:pt>
                <c:pt idx="156">
                  <c:v>39.299999999999997</c:v>
                </c:pt>
                <c:pt idx="157">
                  <c:v>27.8</c:v>
                </c:pt>
                <c:pt idx="158">
                  <c:v>76.900000000000006</c:v>
                </c:pt>
                <c:pt idx="159">
                  <c:v>60.2</c:v>
                </c:pt>
                <c:pt idx="160">
                  <c:v>30.3</c:v>
                </c:pt>
                <c:pt idx="161">
                  <c:v>47.4</c:v>
                </c:pt>
                <c:pt idx="162">
                  <c:v>35.6</c:v>
                </c:pt>
                <c:pt idx="163">
                  <c:v>41.2</c:v>
                </c:pt>
                <c:pt idx="164">
                  <c:v>97.4</c:v>
                </c:pt>
                <c:pt idx="165">
                  <c:v>91.4</c:v>
                </c:pt>
                <c:pt idx="166">
                  <c:v>50.7</c:v>
                </c:pt>
                <c:pt idx="167">
                  <c:v>56</c:v>
                </c:pt>
                <c:pt idx="168">
                  <c:v>50.1</c:v>
                </c:pt>
                <c:pt idx="169">
                  <c:v>83.3</c:v>
                </c:pt>
                <c:pt idx="170">
                  <c:v>59.5</c:v>
                </c:pt>
                <c:pt idx="171">
                  <c:v>33.5</c:v>
                </c:pt>
                <c:pt idx="172">
                  <c:v>32</c:v>
                </c:pt>
                <c:pt idx="173">
                  <c:v>25.8</c:v>
                </c:pt>
                <c:pt idx="174">
                  <c:v>18.899999999999999</c:v>
                </c:pt>
                <c:pt idx="175">
                  <c:v>9</c:v>
                </c:pt>
                <c:pt idx="176">
                  <c:v>18.600000000000001</c:v>
                </c:pt>
                <c:pt idx="177">
                  <c:v>16</c:v>
                </c:pt>
                <c:pt idx="178">
                  <c:v>10.6</c:v>
                </c:pt>
                <c:pt idx="179">
                  <c:v>27.2</c:v>
                </c:pt>
                <c:pt idx="180">
                  <c:v>22.4</c:v>
                </c:pt>
                <c:pt idx="181">
                  <c:v>14.5</c:v>
                </c:pt>
                <c:pt idx="182">
                  <c:v>14.2</c:v>
                </c:pt>
                <c:pt idx="183">
                  <c:v>19.2</c:v>
                </c:pt>
                <c:pt idx="184">
                  <c:v>21.8</c:v>
                </c:pt>
                <c:pt idx="185">
                  <c:v>19.899999999999999</c:v>
                </c:pt>
                <c:pt idx="186">
                  <c:v>37.5</c:v>
                </c:pt>
                <c:pt idx="187">
                  <c:v>34.9</c:v>
                </c:pt>
                <c:pt idx="188">
                  <c:v>31.4</c:v>
                </c:pt>
                <c:pt idx="189">
                  <c:v>46.5</c:v>
                </c:pt>
                <c:pt idx="190">
                  <c:v>26.2</c:v>
                </c:pt>
                <c:pt idx="191">
                  <c:v>30.7</c:v>
                </c:pt>
                <c:pt idx="192">
                  <c:v>60.8</c:v>
                </c:pt>
                <c:pt idx="193">
                  <c:v>48.4</c:v>
                </c:pt>
                <c:pt idx="194">
                  <c:v>41.2</c:v>
                </c:pt>
                <c:pt idx="195">
                  <c:v>28.3</c:v>
                </c:pt>
                <c:pt idx="196">
                  <c:v>25.4</c:v>
                </c:pt>
                <c:pt idx="197">
                  <c:v>24.6</c:v>
                </c:pt>
                <c:pt idx="198">
                  <c:v>29.8</c:v>
                </c:pt>
                <c:pt idx="199">
                  <c:v>27.8</c:v>
                </c:pt>
                <c:pt idx="200">
                  <c:v>29.8</c:v>
                </c:pt>
                <c:pt idx="201">
                  <c:v>25</c:v>
                </c:pt>
                <c:pt idx="202">
                  <c:v>15.7</c:v>
                </c:pt>
                <c:pt idx="203">
                  <c:v>22.6</c:v>
                </c:pt>
                <c:pt idx="204">
                  <c:v>34</c:v>
                </c:pt>
                <c:pt idx="205">
                  <c:v>26.9</c:v>
                </c:pt>
                <c:pt idx="206">
                  <c:v>25.9</c:v>
                </c:pt>
                <c:pt idx="207">
                  <c:v>28.9</c:v>
                </c:pt>
                <c:pt idx="208">
                  <c:v>35.799999999999997</c:v>
                </c:pt>
                <c:pt idx="209">
                  <c:v>20.9</c:v>
                </c:pt>
                <c:pt idx="210">
                  <c:v>50.5</c:v>
                </c:pt>
                <c:pt idx="211">
                  <c:v>48.3</c:v>
                </c:pt>
                <c:pt idx="212">
                  <c:v>39.1</c:v>
                </c:pt>
                <c:pt idx="213">
                  <c:v>43</c:v>
                </c:pt>
                <c:pt idx="214">
                  <c:v>32.1</c:v>
                </c:pt>
                <c:pt idx="215">
                  <c:v>42.6</c:v>
                </c:pt>
                <c:pt idx="216">
                  <c:v>18.8</c:v>
                </c:pt>
                <c:pt idx="217">
                  <c:v>23.4</c:v>
                </c:pt>
                <c:pt idx="218">
                  <c:v>18.600000000000001</c:v>
                </c:pt>
                <c:pt idx="219">
                  <c:v>21.3</c:v>
                </c:pt>
                <c:pt idx="220">
                  <c:v>43.3</c:v>
                </c:pt>
                <c:pt idx="221">
                  <c:v>61.3</c:v>
                </c:pt>
                <c:pt idx="222">
                  <c:v>61</c:v>
                </c:pt>
                <c:pt idx="223">
                  <c:v>34.4</c:v>
                </c:pt>
                <c:pt idx="224">
                  <c:v>25.8</c:v>
                </c:pt>
                <c:pt idx="225">
                  <c:v>24.5</c:v>
                </c:pt>
                <c:pt idx="226">
                  <c:v>27.1</c:v>
                </c:pt>
                <c:pt idx="227">
                  <c:v>26.4</c:v>
                </c:pt>
                <c:pt idx="228">
                  <c:v>24.1</c:v>
                </c:pt>
                <c:pt idx="229">
                  <c:v>20.399999999999999</c:v>
                </c:pt>
                <c:pt idx="230">
                  <c:v>21.2</c:v>
                </c:pt>
                <c:pt idx="231">
                  <c:v>14</c:v>
                </c:pt>
                <c:pt idx="232">
                  <c:v>6.3</c:v>
                </c:pt>
                <c:pt idx="233">
                  <c:v>32.200000000000003</c:v>
                </c:pt>
                <c:pt idx="234">
                  <c:v>53.5</c:v>
                </c:pt>
                <c:pt idx="235">
                  <c:v>47.3</c:v>
                </c:pt>
                <c:pt idx="236">
                  <c:v>30.3</c:v>
                </c:pt>
                <c:pt idx="237">
                  <c:v>20.5</c:v>
                </c:pt>
                <c:pt idx="238">
                  <c:v>20.7</c:v>
                </c:pt>
                <c:pt idx="239">
                  <c:v>16.8</c:v>
                </c:pt>
                <c:pt idx="240">
                  <c:v>33.1</c:v>
                </c:pt>
                <c:pt idx="241">
                  <c:v>69.3</c:v>
                </c:pt>
                <c:pt idx="242">
                  <c:v>32.1</c:v>
                </c:pt>
                <c:pt idx="243">
                  <c:v>30.8</c:v>
                </c:pt>
                <c:pt idx="244">
                  <c:v>12.8</c:v>
                </c:pt>
                <c:pt idx="245">
                  <c:v>14.2</c:v>
                </c:pt>
                <c:pt idx="246">
                  <c:v>12.8</c:v>
                </c:pt>
                <c:pt idx="247">
                  <c:v>20.2</c:v>
                </c:pt>
                <c:pt idx="248">
                  <c:v>18.7</c:v>
                </c:pt>
                <c:pt idx="249">
                  <c:v>16.2</c:v>
                </c:pt>
                <c:pt idx="250">
                  <c:v>19.5</c:v>
                </c:pt>
                <c:pt idx="251">
                  <c:v>54.4</c:v>
                </c:pt>
                <c:pt idx="252">
                  <c:v>61.6</c:v>
                </c:pt>
                <c:pt idx="253">
                  <c:v>36.6</c:v>
                </c:pt>
                <c:pt idx="254">
                  <c:v>29.8</c:v>
                </c:pt>
                <c:pt idx="255">
                  <c:v>62</c:v>
                </c:pt>
                <c:pt idx="256">
                  <c:v>92</c:v>
                </c:pt>
                <c:pt idx="257">
                  <c:v>62.1</c:v>
                </c:pt>
                <c:pt idx="258">
                  <c:v>60.9</c:v>
                </c:pt>
                <c:pt idx="259">
                  <c:v>31.2</c:v>
                </c:pt>
                <c:pt idx="260">
                  <c:v>62.3</c:v>
                </c:pt>
                <c:pt idx="261">
                  <c:v>68.400000000000006</c:v>
                </c:pt>
                <c:pt idx="262">
                  <c:v>83.9</c:v>
                </c:pt>
                <c:pt idx="263">
                  <c:v>96.3</c:v>
                </c:pt>
                <c:pt idx="264">
                  <c:v>72.599999999999994</c:v>
                </c:pt>
                <c:pt idx="265">
                  <c:v>75.099999999999994</c:v>
                </c:pt>
                <c:pt idx="266">
                  <c:v>38.700000000000003</c:v>
                </c:pt>
                <c:pt idx="267">
                  <c:v>28.6</c:v>
                </c:pt>
                <c:pt idx="268">
                  <c:v>59.5</c:v>
                </c:pt>
                <c:pt idx="269">
                  <c:v>51.8</c:v>
                </c:pt>
                <c:pt idx="270">
                  <c:v>44.6</c:v>
                </c:pt>
                <c:pt idx="271">
                  <c:v>38.299999999999997</c:v>
                </c:pt>
                <c:pt idx="272">
                  <c:v>30.5</c:v>
                </c:pt>
                <c:pt idx="273">
                  <c:v>38.299999999999997</c:v>
                </c:pt>
                <c:pt idx="274">
                  <c:v>28</c:v>
                </c:pt>
                <c:pt idx="275">
                  <c:v>39.700000000000003</c:v>
                </c:pt>
                <c:pt idx="276">
                  <c:v>37.1</c:v>
                </c:pt>
                <c:pt idx="277">
                  <c:v>45.7</c:v>
                </c:pt>
                <c:pt idx="278">
                  <c:v>61.8</c:v>
                </c:pt>
                <c:pt idx="279">
                  <c:v>35.799999999999997</c:v>
                </c:pt>
                <c:pt idx="280">
                  <c:v>28.7</c:v>
                </c:pt>
                <c:pt idx="281">
                  <c:v>20.8</c:v>
                </c:pt>
                <c:pt idx="282">
                  <c:v>35.9</c:v>
                </c:pt>
                <c:pt idx="283">
                  <c:v>35</c:v>
                </c:pt>
                <c:pt idx="284">
                  <c:v>33.6</c:v>
                </c:pt>
                <c:pt idx="285">
                  <c:v>43.1</c:v>
                </c:pt>
                <c:pt idx="286">
                  <c:v>40.1</c:v>
                </c:pt>
                <c:pt idx="287">
                  <c:v>93.1</c:v>
                </c:pt>
                <c:pt idx="288">
                  <c:v>93.6</c:v>
                </c:pt>
                <c:pt idx="289">
                  <c:v>79.7</c:v>
                </c:pt>
                <c:pt idx="290">
                  <c:v>96.5</c:v>
                </c:pt>
                <c:pt idx="291">
                  <c:v>80.099999999999994</c:v>
                </c:pt>
                <c:pt idx="292">
                  <c:v>62.4</c:v>
                </c:pt>
                <c:pt idx="293">
                  <c:v>56.1</c:v>
                </c:pt>
                <c:pt idx="294">
                  <c:v>24.3</c:v>
                </c:pt>
                <c:pt idx="295">
                  <c:v>48.1</c:v>
                </c:pt>
                <c:pt idx="296">
                  <c:v>60.2</c:v>
                </c:pt>
                <c:pt idx="297">
                  <c:v>62</c:v>
                </c:pt>
                <c:pt idx="298">
                  <c:v>74.8</c:v>
                </c:pt>
                <c:pt idx="299">
                  <c:v>71.099999999999994</c:v>
                </c:pt>
                <c:pt idx="300">
                  <c:v>68.2</c:v>
                </c:pt>
                <c:pt idx="301">
                  <c:v>91.7</c:v>
                </c:pt>
                <c:pt idx="302">
                  <c:v>77.599999999999994</c:v>
                </c:pt>
                <c:pt idx="303">
                  <c:v>66.8</c:v>
                </c:pt>
                <c:pt idx="304">
                  <c:v>58.7</c:v>
                </c:pt>
                <c:pt idx="305">
                  <c:v>42.8</c:v>
                </c:pt>
                <c:pt idx="306">
                  <c:v>92.8</c:v>
                </c:pt>
                <c:pt idx="307">
                  <c:v>81.2</c:v>
                </c:pt>
                <c:pt idx="308">
                  <c:v>70.8</c:v>
                </c:pt>
                <c:pt idx="309">
                  <c:v>74.099999999999994</c:v>
                </c:pt>
                <c:pt idx="310">
                  <c:v>70.8</c:v>
                </c:pt>
                <c:pt idx="311">
                  <c:v>73.400000000000006</c:v>
                </c:pt>
                <c:pt idx="312">
                  <c:v>78.099999999999994</c:v>
                </c:pt>
                <c:pt idx="313">
                  <c:v>76.2</c:v>
                </c:pt>
                <c:pt idx="314">
                  <c:v>87.7</c:v>
                </c:pt>
                <c:pt idx="315">
                  <c:v>81.8</c:v>
                </c:pt>
                <c:pt idx="316">
                  <c:v>95.3</c:v>
                </c:pt>
                <c:pt idx="317">
                  <c:v>73.5</c:v>
                </c:pt>
                <c:pt idx="318">
                  <c:v>75.7</c:v>
                </c:pt>
                <c:pt idx="319">
                  <c:v>60.8</c:v>
                </c:pt>
                <c:pt idx="320">
                  <c:v>64.3</c:v>
                </c:pt>
                <c:pt idx="321">
                  <c:v>60.8</c:v>
                </c:pt>
                <c:pt idx="322">
                  <c:v>54.7</c:v>
                </c:pt>
                <c:pt idx="323">
                  <c:v>56.4</c:v>
                </c:pt>
                <c:pt idx="324">
                  <c:v>70.5</c:v>
                </c:pt>
                <c:pt idx="325">
                  <c:v>69.2</c:v>
                </c:pt>
                <c:pt idx="326">
                  <c:v>95.2</c:v>
                </c:pt>
                <c:pt idx="327">
                  <c:v>90.3</c:v>
                </c:pt>
                <c:pt idx="328">
                  <c:v>88</c:v>
                </c:pt>
                <c:pt idx="329">
                  <c:v>89.1</c:v>
                </c:pt>
                <c:pt idx="330">
                  <c:v>81.2</c:v>
                </c:pt>
                <c:pt idx="331">
                  <c:v>74</c:v>
                </c:pt>
                <c:pt idx="332">
                  <c:v>71.400000000000006</c:v>
                </c:pt>
                <c:pt idx="333">
                  <c:v>87.9</c:v>
                </c:pt>
                <c:pt idx="334">
                  <c:v>92</c:v>
                </c:pt>
                <c:pt idx="335">
                  <c:v>84.7</c:v>
                </c:pt>
                <c:pt idx="336">
                  <c:v>94.1</c:v>
                </c:pt>
                <c:pt idx="337">
                  <c:v>94.9</c:v>
                </c:pt>
                <c:pt idx="338">
                  <c:v>94.9</c:v>
                </c:pt>
                <c:pt idx="339">
                  <c:v>96.5</c:v>
                </c:pt>
                <c:pt idx="340">
                  <c:v>97.4</c:v>
                </c:pt>
                <c:pt idx="341">
                  <c:v>93.3</c:v>
                </c:pt>
                <c:pt idx="342">
                  <c:v>59.6</c:v>
                </c:pt>
                <c:pt idx="343">
                  <c:v>74.400000000000006</c:v>
                </c:pt>
                <c:pt idx="344">
                  <c:v>77.599999999999994</c:v>
                </c:pt>
                <c:pt idx="345">
                  <c:v>75.3</c:v>
                </c:pt>
                <c:pt idx="346">
                  <c:v>70.3</c:v>
                </c:pt>
                <c:pt idx="347">
                  <c:v>63.3</c:v>
                </c:pt>
                <c:pt idx="348">
                  <c:v>90.1</c:v>
                </c:pt>
                <c:pt idx="349">
                  <c:v>82.8</c:v>
                </c:pt>
                <c:pt idx="350">
                  <c:v>85.8</c:v>
                </c:pt>
                <c:pt idx="351">
                  <c:v>87.7</c:v>
                </c:pt>
                <c:pt idx="352">
                  <c:v>85</c:v>
                </c:pt>
                <c:pt idx="353">
                  <c:v>54.8</c:v>
                </c:pt>
                <c:pt idx="354">
                  <c:v>63.2</c:v>
                </c:pt>
                <c:pt idx="355">
                  <c:v>59.3</c:v>
                </c:pt>
                <c:pt idx="356">
                  <c:v>62.3</c:v>
                </c:pt>
                <c:pt idx="357">
                  <c:v>55.9</c:v>
                </c:pt>
                <c:pt idx="358">
                  <c:v>63</c:v>
                </c:pt>
                <c:pt idx="359">
                  <c:v>64.5</c:v>
                </c:pt>
                <c:pt idx="360">
                  <c:v>92.8</c:v>
                </c:pt>
                <c:pt idx="361">
                  <c:v>83.4</c:v>
                </c:pt>
                <c:pt idx="362">
                  <c:v>41.6</c:v>
                </c:pt>
                <c:pt idx="363">
                  <c:v>60.4</c:v>
                </c:pt>
                <c:pt idx="364">
                  <c:v>77.599999999999994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743552"/>
        <c:axId val="283271552"/>
      </c:lineChart>
      <c:catAx>
        <c:axId val="26474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2715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3271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4743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52497225305216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-0.252</c:v>
                </c:pt>
                <c:pt idx="1">
                  <c:v>-0.17799999999999999</c:v>
                </c:pt>
                <c:pt idx="2">
                  <c:v>-0.35899999999999999</c:v>
                </c:pt>
                <c:pt idx="3">
                  <c:v>-0.32200000000000001</c:v>
                </c:pt>
                <c:pt idx="4">
                  <c:v>-0.33100000000000002</c:v>
                </c:pt>
                <c:pt idx="5">
                  <c:v>-0.20599999999999999</c:v>
                </c:pt>
                <c:pt idx="6">
                  <c:v>-0.13200000000000001</c:v>
                </c:pt>
                <c:pt idx="7">
                  <c:v>-0.27</c:v>
                </c:pt>
                <c:pt idx="8">
                  <c:v>-0.39800000000000002</c:v>
                </c:pt>
                <c:pt idx="9">
                  <c:v>-0.315</c:v>
                </c:pt>
                <c:pt idx="10">
                  <c:v>-0.36299999999999999</c:v>
                </c:pt>
                <c:pt idx="11">
                  <c:v>-0.41699999999999998</c:v>
                </c:pt>
                <c:pt idx="12">
                  <c:v>-0.34399999999999997</c:v>
                </c:pt>
                <c:pt idx="13">
                  <c:v>-0.32500000000000001</c:v>
                </c:pt>
                <c:pt idx="14">
                  <c:v>-0.40799999999999997</c:v>
                </c:pt>
                <c:pt idx="15">
                  <c:v>-0.63300000000000001</c:v>
                </c:pt>
                <c:pt idx="16">
                  <c:v>-0.44900000000000001</c:v>
                </c:pt>
                <c:pt idx="17">
                  <c:v>-0.47299999999999998</c:v>
                </c:pt>
                <c:pt idx="18">
                  <c:v>-0.75700000000000001</c:v>
                </c:pt>
                <c:pt idx="19">
                  <c:v>-0.67700000000000005</c:v>
                </c:pt>
                <c:pt idx="20">
                  <c:v>-0.65300000000000002</c:v>
                </c:pt>
                <c:pt idx="21">
                  <c:v>-0.57799999999999996</c:v>
                </c:pt>
                <c:pt idx="22">
                  <c:v>-0.375</c:v>
                </c:pt>
                <c:pt idx="23">
                  <c:v>-0.36199999999999999</c:v>
                </c:pt>
                <c:pt idx="24">
                  <c:v>-0.36599999999999999</c:v>
                </c:pt>
                <c:pt idx="25">
                  <c:v>-0.437</c:v>
                </c:pt>
                <c:pt idx="26">
                  <c:v>-0.53100000000000003</c:v>
                </c:pt>
                <c:pt idx="27">
                  <c:v>-0.60199999999999998</c:v>
                </c:pt>
                <c:pt idx="28">
                  <c:v>-0.64400000000000002</c:v>
                </c:pt>
                <c:pt idx="29">
                  <c:v>-0.47499999999999998</c:v>
                </c:pt>
                <c:pt idx="30">
                  <c:v>-0.48299999999999998</c:v>
                </c:pt>
                <c:pt idx="31">
                  <c:v>-0.46100000000000002</c:v>
                </c:pt>
                <c:pt idx="32">
                  <c:v>-0.40699999999999997</c:v>
                </c:pt>
                <c:pt idx="33">
                  <c:v>-0.42</c:v>
                </c:pt>
                <c:pt idx="34">
                  <c:v>-0.35799999999999998</c:v>
                </c:pt>
                <c:pt idx="35">
                  <c:v>-0.38</c:v>
                </c:pt>
                <c:pt idx="36">
                  <c:v>-0.48799999999999999</c:v>
                </c:pt>
                <c:pt idx="37">
                  <c:v>-0.50700000000000001</c:v>
                </c:pt>
                <c:pt idx="38">
                  <c:v>-0.46100000000000002</c:v>
                </c:pt>
                <c:pt idx="39">
                  <c:v>-0.58499999999999996</c:v>
                </c:pt>
                <c:pt idx="40">
                  <c:v>-1.0660000000000001</c:v>
                </c:pt>
                <c:pt idx="41">
                  <c:v>-1.0780000000000001</c:v>
                </c:pt>
                <c:pt idx="42">
                  <c:v>-0.90600000000000003</c:v>
                </c:pt>
                <c:pt idx="43">
                  <c:v>-0.76100000000000001</c:v>
                </c:pt>
                <c:pt idx="44">
                  <c:v>-0.83599999999999997</c:v>
                </c:pt>
                <c:pt idx="45">
                  <c:v>-1.288</c:v>
                </c:pt>
                <c:pt idx="46">
                  <c:v>-1.663</c:v>
                </c:pt>
                <c:pt idx="47">
                  <c:v>-2.0699999999999998</c:v>
                </c:pt>
                <c:pt idx="48">
                  <c:v>-2.161</c:v>
                </c:pt>
                <c:pt idx="49">
                  <c:v>-1.8680000000000001</c:v>
                </c:pt>
                <c:pt idx="50">
                  <c:v>-1.337</c:v>
                </c:pt>
                <c:pt idx="51">
                  <c:v>-1.014</c:v>
                </c:pt>
                <c:pt idx="52">
                  <c:v>-0.98499999999999999</c:v>
                </c:pt>
                <c:pt idx="53">
                  <c:v>-0.94499999999999995</c:v>
                </c:pt>
                <c:pt idx="54">
                  <c:v>-1.0289999999999999</c:v>
                </c:pt>
                <c:pt idx="55">
                  <c:v>-1.7450000000000001</c:v>
                </c:pt>
                <c:pt idx="56">
                  <c:v>-1.1539999999999999</c:v>
                </c:pt>
                <c:pt idx="57">
                  <c:v>-0.54500000000000004</c:v>
                </c:pt>
                <c:pt idx="58">
                  <c:v>-0.50800000000000001</c:v>
                </c:pt>
                <c:pt idx="59">
                  <c:v>-0.53300000000000003</c:v>
                </c:pt>
                <c:pt idx="60">
                  <c:v>-0.76100000000000001</c:v>
                </c:pt>
                <c:pt idx="61">
                  <c:v>-0.88800000000000001</c:v>
                </c:pt>
                <c:pt idx="62">
                  <c:v>-1.4019999999999999</c:v>
                </c:pt>
                <c:pt idx="63">
                  <c:v>-1.089</c:v>
                </c:pt>
                <c:pt idx="64">
                  <c:v>-0.77400000000000002</c:v>
                </c:pt>
                <c:pt idx="65">
                  <c:v>-0.68899999999999995</c:v>
                </c:pt>
                <c:pt idx="66">
                  <c:v>-0.67700000000000005</c:v>
                </c:pt>
                <c:pt idx="67">
                  <c:v>-0.73299999999999998</c:v>
                </c:pt>
                <c:pt idx="68">
                  <c:v>-1.0309999999999999</c:v>
                </c:pt>
                <c:pt idx="69">
                  <c:v>-1.7450000000000001</c:v>
                </c:pt>
                <c:pt idx="70">
                  <c:v>-1.972</c:v>
                </c:pt>
                <c:pt idx="71">
                  <c:v>-1.839</c:v>
                </c:pt>
                <c:pt idx="72">
                  <c:v>-1.319</c:v>
                </c:pt>
                <c:pt idx="73">
                  <c:v>-1.1299999999999999</c:v>
                </c:pt>
                <c:pt idx="74">
                  <c:v>-0.91600000000000004</c:v>
                </c:pt>
                <c:pt idx="75">
                  <c:v>-0.77500000000000002</c:v>
                </c:pt>
                <c:pt idx="76">
                  <c:v>-0.73899999999999999</c:v>
                </c:pt>
                <c:pt idx="77">
                  <c:v>-0.93</c:v>
                </c:pt>
                <c:pt idx="78">
                  <c:v>-1.087</c:v>
                </c:pt>
                <c:pt idx="79">
                  <c:v>-0.84499999999999997</c:v>
                </c:pt>
                <c:pt idx="80">
                  <c:v>-0.70199999999999996</c:v>
                </c:pt>
                <c:pt idx="81">
                  <c:v>-0.41</c:v>
                </c:pt>
                <c:pt idx="82">
                  <c:v>-0.318</c:v>
                </c:pt>
                <c:pt idx="83">
                  <c:v>-0.33200000000000002</c:v>
                </c:pt>
                <c:pt idx="84">
                  <c:v>-0.54200000000000004</c:v>
                </c:pt>
                <c:pt idx="85">
                  <c:v>-0.58599999999999997</c:v>
                </c:pt>
                <c:pt idx="86">
                  <c:v>-0.66100000000000003</c:v>
                </c:pt>
                <c:pt idx="87">
                  <c:v>-0.47799999999999998</c:v>
                </c:pt>
                <c:pt idx="88">
                  <c:v>-0.48599999999999999</c:v>
                </c:pt>
                <c:pt idx="89">
                  <c:v>-0.48</c:v>
                </c:pt>
                <c:pt idx="90">
                  <c:v>-0.35599999999999998</c:v>
                </c:pt>
                <c:pt idx="91">
                  <c:v>-0.32400000000000001</c:v>
                </c:pt>
                <c:pt idx="92">
                  <c:v>-0.33500000000000002</c:v>
                </c:pt>
                <c:pt idx="93">
                  <c:v>-0.27600000000000002</c:v>
                </c:pt>
                <c:pt idx="94">
                  <c:v>-0.14299999999999999</c:v>
                </c:pt>
                <c:pt idx="95">
                  <c:v>-0.14799999999999999</c:v>
                </c:pt>
                <c:pt idx="96">
                  <c:v>-0.13100000000000001</c:v>
                </c:pt>
                <c:pt idx="97">
                  <c:v>-0.13100000000000001</c:v>
                </c:pt>
                <c:pt idx="98">
                  <c:v>-4.5999999999999999E-2</c:v>
                </c:pt>
                <c:pt idx="99">
                  <c:v>-4.9000000000000002E-2</c:v>
                </c:pt>
                <c:pt idx="100">
                  <c:v>-0.02</c:v>
                </c:pt>
                <c:pt idx="101">
                  <c:v>1.4999999999999999E-2</c:v>
                </c:pt>
                <c:pt idx="102">
                  <c:v>-0.11899999999999999</c:v>
                </c:pt>
                <c:pt idx="103">
                  <c:v>-8.7999999999999995E-2</c:v>
                </c:pt>
                <c:pt idx="104">
                  <c:v>-0.114</c:v>
                </c:pt>
                <c:pt idx="105">
                  <c:v>-0.27600000000000002</c:v>
                </c:pt>
                <c:pt idx="106">
                  <c:v>-0.35</c:v>
                </c:pt>
                <c:pt idx="107">
                  <c:v>-0.28499999999999998</c:v>
                </c:pt>
                <c:pt idx="108">
                  <c:v>-4.5999999999999999E-2</c:v>
                </c:pt>
                <c:pt idx="109">
                  <c:v>0.13800000000000001</c:v>
                </c:pt>
                <c:pt idx="110">
                  <c:v>-8.7999999999999995E-2</c:v>
                </c:pt>
                <c:pt idx="111">
                  <c:v>-4.1000000000000002E-2</c:v>
                </c:pt>
                <c:pt idx="112">
                  <c:v>1.2999999999999999E-2</c:v>
                </c:pt>
                <c:pt idx="113">
                  <c:v>0.13700000000000001</c:v>
                </c:pt>
                <c:pt idx="114">
                  <c:v>0.18099999999999999</c:v>
                </c:pt>
                <c:pt idx="115">
                  <c:v>0.16500000000000001</c:v>
                </c:pt>
                <c:pt idx="116">
                  <c:v>0.21</c:v>
                </c:pt>
                <c:pt idx="117">
                  <c:v>0.27800000000000002</c:v>
                </c:pt>
                <c:pt idx="118">
                  <c:v>0.374</c:v>
                </c:pt>
                <c:pt idx="119">
                  <c:v>0.16300000000000001</c:v>
                </c:pt>
                <c:pt idx="120">
                  <c:v>-3.4000000000000002E-2</c:v>
                </c:pt>
                <c:pt idx="121">
                  <c:v>0.189</c:v>
                </c:pt>
                <c:pt idx="122">
                  <c:v>0.20699999999999999</c:v>
                </c:pt>
                <c:pt idx="123">
                  <c:v>0.35699999999999998</c:v>
                </c:pt>
                <c:pt idx="124">
                  <c:v>0.39900000000000002</c:v>
                </c:pt>
                <c:pt idx="125">
                  <c:v>0.34399999999999997</c:v>
                </c:pt>
                <c:pt idx="126">
                  <c:v>0.378</c:v>
                </c:pt>
                <c:pt idx="127">
                  <c:v>0.253</c:v>
                </c:pt>
                <c:pt idx="128">
                  <c:v>0.26</c:v>
                </c:pt>
                <c:pt idx="129">
                  <c:v>0.77</c:v>
                </c:pt>
                <c:pt idx="130">
                  <c:v>0.71</c:v>
                </c:pt>
                <c:pt idx="131">
                  <c:v>1.258</c:v>
                </c:pt>
                <c:pt idx="132">
                  <c:v>1.988</c:v>
                </c:pt>
                <c:pt idx="133">
                  <c:v>4.0019999999999998</c:v>
                </c:pt>
                <c:pt idx="134">
                  <c:v>4.8390000000000004</c:v>
                </c:pt>
                <c:pt idx="135">
                  <c:v>5.7290000000000001</c:v>
                </c:pt>
                <c:pt idx="136">
                  <c:v>6.3520000000000003</c:v>
                </c:pt>
                <c:pt idx="137">
                  <c:v>7.6</c:v>
                </c:pt>
                <c:pt idx="138">
                  <c:v>7.31</c:v>
                </c:pt>
                <c:pt idx="139">
                  <c:v>3.57</c:v>
                </c:pt>
                <c:pt idx="140">
                  <c:v>7.04</c:v>
                </c:pt>
                <c:pt idx="141">
                  <c:v>5.1310000000000002</c:v>
                </c:pt>
                <c:pt idx="142">
                  <c:v>5.6630000000000003</c:v>
                </c:pt>
                <c:pt idx="143">
                  <c:v>3.762</c:v>
                </c:pt>
                <c:pt idx="144">
                  <c:v>4.2039999999999997</c:v>
                </c:pt>
                <c:pt idx="145">
                  <c:v>3.6680000000000001</c:v>
                </c:pt>
                <c:pt idx="146">
                  <c:v>4.5149999999999997</c:v>
                </c:pt>
                <c:pt idx="147">
                  <c:v>6.9039999999999999</c:v>
                </c:pt>
                <c:pt idx="148">
                  <c:v>5.6280000000000001</c:v>
                </c:pt>
                <c:pt idx="149">
                  <c:v>8.76</c:v>
                </c:pt>
                <c:pt idx="150">
                  <c:v>10.09</c:v>
                </c:pt>
                <c:pt idx="151">
                  <c:v>11.97</c:v>
                </c:pt>
                <c:pt idx="152">
                  <c:v>11.4</c:v>
                </c:pt>
                <c:pt idx="153">
                  <c:v>11.08</c:v>
                </c:pt>
                <c:pt idx="154">
                  <c:v>9.33</c:v>
                </c:pt>
                <c:pt idx="155">
                  <c:v>11.34</c:v>
                </c:pt>
                <c:pt idx="156">
                  <c:v>11.85</c:v>
                </c:pt>
                <c:pt idx="157">
                  <c:v>14.09</c:v>
                </c:pt>
                <c:pt idx="158">
                  <c:v>10.77</c:v>
                </c:pt>
                <c:pt idx="159">
                  <c:v>11.82</c:v>
                </c:pt>
                <c:pt idx="160">
                  <c:v>13.02</c:v>
                </c:pt>
                <c:pt idx="161">
                  <c:v>11.03</c:v>
                </c:pt>
                <c:pt idx="162">
                  <c:v>13.57</c:v>
                </c:pt>
                <c:pt idx="163">
                  <c:v>12.54</c:v>
                </c:pt>
                <c:pt idx="164">
                  <c:v>10.58</c:v>
                </c:pt>
                <c:pt idx="165">
                  <c:v>9.01</c:v>
                </c:pt>
                <c:pt idx="166">
                  <c:v>12.44</c:v>
                </c:pt>
                <c:pt idx="167">
                  <c:v>11.32</c:v>
                </c:pt>
                <c:pt idx="168">
                  <c:v>10.62</c:v>
                </c:pt>
                <c:pt idx="169">
                  <c:v>8.49</c:v>
                </c:pt>
                <c:pt idx="170">
                  <c:v>11.07</c:v>
                </c:pt>
                <c:pt idx="171">
                  <c:v>12.44</c:v>
                </c:pt>
                <c:pt idx="172">
                  <c:v>12.67</c:v>
                </c:pt>
                <c:pt idx="173">
                  <c:v>13.78</c:v>
                </c:pt>
                <c:pt idx="174">
                  <c:v>14.64</c:v>
                </c:pt>
                <c:pt idx="175">
                  <c:v>15.8</c:v>
                </c:pt>
                <c:pt idx="176">
                  <c:v>16.64</c:v>
                </c:pt>
                <c:pt idx="177">
                  <c:v>16.600000000000001</c:v>
                </c:pt>
                <c:pt idx="178">
                  <c:v>15.57</c:v>
                </c:pt>
                <c:pt idx="179">
                  <c:v>15.17</c:v>
                </c:pt>
                <c:pt idx="180">
                  <c:v>15.88</c:v>
                </c:pt>
                <c:pt idx="181">
                  <c:v>15.92</c:v>
                </c:pt>
                <c:pt idx="182">
                  <c:v>15.92</c:v>
                </c:pt>
                <c:pt idx="183">
                  <c:v>16.899999999999999</c:v>
                </c:pt>
                <c:pt idx="184">
                  <c:v>14.07</c:v>
                </c:pt>
                <c:pt idx="185">
                  <c:v>16.670000000000002</c:v>
                </c:pt>
                <c:pt idx="186">
                  <c:v>15.45</c:v>
                </c:pt>
                <c:pt idx="187">
                  <c:v>14.38</c:v>
                </c:pt>
                <c:pt idx="188">
                  <c:v>16</c:v>
                </c:pt>
                <c:pt idx="189">
                  <c:v>14.92</c:v>
                </c:pt>
                <c:pt idx="190">
                  <c:v>15.43</c:v>
                </c:pt>
                <c:pt idx="191">
                  <c:v>12.67</c:v>
                </c:pt>
                <c:pt idx="192">
                  <c:v>12.37</c:v>
                </c:pt>
                <c:pt idx="193">
                  <c:v>11.58</c:v>
                </c:pt>
                <c:pt idx="194">
                  <c:v>12.34</c:v>
                </c:pt>
                <c:pt idx="195">
                  <c:v>13.92</c:v>
                </c:pt>
                <c:pt idx="196">
                  <c:v>14.08</c:v>
                </c:pt>
                <c:pt idx="197">
                  <c:v>14.02</c:v>
                </c:pt>
                <c:pt idx="198">
                  <c:v>13.05</c:v>
                </c:pt>
                <c:pt idx="199">
                  <c:v>12.04</c:v>
                </c:pt>
                <c:pt idx="200">
                  <c:v>14.75</c:v>
                </c:pt>
                <c:pt idx="201">
                  <c:v>16.600000000000001</c:v>
                </c:pt>
                <c:pt idx="202">
                  <c:v>16.920000000000002</c:v>
                </c:pt>
                <c:pt idx="203">
                  <c:v>17.87</c:v>
                </c:pt>
                <c:pt idx="204">
                  <c:v>18.03</c:v>
                </c:pt>
                <c:pt idx="205">
                  <c:v>17.16</c:v>
                </c:pt>
                <c:pt idx="206">
                  <c:v>17.25</c:v>
                </c:pt>
                <c:pt idx="207">
                  <c:v>17.55</c:v>
                </c:pt>
                <c:pt idx="208">
                  <c:v>15.53</c:v>
                </c:pt>
                <c:pt idx="209">
                  <c:v>15.34</c:v>
                </c:pt>
                <c:pt idx="210">
                  <c:v>10.78</c:v>
                </c:pt>
                <c:pt idx="211">
                  <c:v>11.91</c:v>
                </c:pt>
                <c:pt idx="212">
                  <c:v>13.16</c:v>
                </c:pt>
                <c:pt idx="213">
                  <c:v>13.06</c:v>
                </c:pt>
                <c:pt idx="214">
                  <c:v>13.55</c:v>
                </c:pt>
                <c:pt idx="215">
                  <c:v>12.47</c:v>
                </c:pt>
                <c:pt idx="216">
                  <c:v>12.99</c:v>
                </c:pt>
                <c:pt idx="217">
                  <c:v>14.46</c:v>
                </c:pt>
                <c:pt idx="218">
                  <c:v>15.24</c:v>
                </c:pt>
                <c:pt idx="219">
                  <c:v>14.31</c:v>
                </c:pt>
                <c:pt idx="220">
                  <c:v>12.72</c:v>
                </c:pt>
                <c:pt idx="221">
                  <c:v>12.97</c:v>
                </c:pt>
                <c:pt idx="222">
                  <c:v>10.48</c:v>
                </c:pt>
                <c:pt idx="223">
                  <c:v>12.13</c:v>
                </c:pt>
                <c:pt idx="224">
                  <c:v>14.13</c:v>
                </c:pt>
                <c:pt idx="225">
                  <c:v>13.87</c:v>
                </c:pt>
                <c:pt idx="226">
                  <c:v>13.71</c:v>
                </c:pt>
                <c:pt idx="227">
                  <c:v>13.8</c:v>
                </c:pt>
                <c:pt idx="228">
                  <c:v>13.98</c:v>
                </c:pt>
                <c:pt idx="229">
                  <c:v>14.23</c:v>
                </c:pt>
                <c:pt idx="230">
                  <c:v>14.47</c:v>
                </c:pt>
                <c:pt idx="231">
                  <c:v>14.63</c:v>
                </c:pt>
                <c:pt idx="232">
                  <c:v>14.97</c:v>
                </c:pt>
                <c:pt idx="233">
                  <c:v>12.51</c:v>
                </c:pt>
                <c:pt idx="234">
                  <c:v>12.93</c:v>
                </c:pt>
                <c:pt idx="235">
                  <c:v>11.4</c:v>
                </c:pt>
                <c:pt idx="236">
                  <c:v>13.64</c:v>
                </c:pt>
                <c:pt idx="237">
                  <c:v>14.26</c:v>
                </c:pt>
                <c:pt idx="238">
                  <c:v>14.93</c:v>
                </c:pt>
                <c:pt idx="239">
                  <c:v>15.44</c:v>
                </c:pt>
                <c:pt idx="240">
                  <c:v>13.09</c:v>
                </c:pt>
                <c:pt idx="241">
                  <c:v>9.67</c:v>
                </c:pt>
                <c:pt idx="242">
                  <c:v>11.07</c:v>
                </c:pt>
                <c:pt idx="243">
                  <c:v>12.63</c:v>
                </c:pt>
                <c:pt idx="244">
                  <c:v>14.33</c:v>
                </c:pt>
                <c:pt idx="245">
                  <c:v>14.88</c:v>
                </c:pt>
                <c:pt idx="246">
                  <c:v>15.46</c:v>
                </c:pt>
                <c:pt idx="247">
                  <c:v>14.62</c:v>
                </c:pt>
                <c:pt idx="248">
                  <c:v>14.58</c:v>
                </c:pt>
                <c:pt idx="249">
                  <c:v>14.44</c:v>
                </c:pt>
                <c:pt idx="250">
                  <c:v>15.11</c:v>
                </c:pt>
                <c:pt idx="251">
                  <c:v>12.65</c:v>
                </c:pt>
                <c:pt idx="252">
                  <c:v>13.35</c:v>
                </c:pt>
                <c:pt idx="253">
                  <c:v>13.81</c:v>
                </c:pt>
                <c:pt idx="254">
                  <c:v>13.25</c:v>
                </c:pt>
                <c:pt idx="255">
                  <c:v>11.37</c:v>
                </c:pt>
                <c:pt idx="256">
                  <c:v>6.556</c:v>
                </c:pt>
                <c:pt idx="257">
                  <c:v>7.31</c:v>
                </c:pt>
                <c:pt idx="258">
                  <c:v>6.532</c:v>
                </c:pt>
                <c:pt idx="259">
                  <c:v>9.07</c:v>
                </c:pt>
                <c:pt idx="260">
                  <c:v>7.58</c:v>
                </c:pt>
                <c:pt idx="261">
                  <c:v>9.8000000000000007</c:v>
                </c:pt>
                <c:pt idx="262">
                  <c:v>5.7759999999999998</c:v>
                </c:pt>
                <c:pt idx="263">
                  <c:v>5.3230000000000004</c:v>
                </c:pt>
                <c:pt idx="264">
                  <c:v>6.58</c:v>
                </c:pt>
                <c:pt idx="265">
                  <c:v>7.46</c:v>
                </c:pt>
                <c:pt idx="266">
                  <c:v>10.68</c:v>
                </c:pt>
                <c:pt idx="267">
                  <c:v>10.75</c:v>
                </c:pt>
                <c:pt idx="268">
                  <c:v>10.08</c:v>
                </c:pt>
                <c:pt idx="269">
                  <c:v>11.21</c:v>
                </c:pt>
                <c:pt idx="270">
                  <c:v>11.12</c:v>
                </c:pt>
                <c:pt idx="271">
                  <c:v>12.03</c:v>
                </c:pt>
                <c:pt idx="272">
                  <c:v>10.35</c:v>
                </c:pt>
                <c:pt idx="273">
                  <c:v>8.74</c:v>
                </c:pt>
                <c:pt idx="274">
                  <c:v>7.71</c:v>
                </c:pt>
                <c:pt idx="275">
                  <c:v>6.1420000000000003</c:v>
                </c:pt>
                <c:pt idx="276">
                  <c:v>8.1300000000000008</c:v>
                </c:pt>
                <c:pt idx="277">
                  <c:v>6.7869999999999999</c:v>
                </c:pt>
                <c:pt idx="278">
                  <c:v>7.31</c:v>
                </c:pt>
                <c:pt idx="279">
                  <c:v>6.3739999999999997</c:v>
                </c:pt>
                <c:pt idx="280">
                  <c:v>6.66</c:v>
                </c:pt>
                <c:pt idx="281">
                  <c:v>5.8109999999999999</c:v>
                </c:pt>
                <c:pt idx="282">
                  <c:v>6.3220000000000001</c:v>
                </c:pt>
                <c:pt idx="283">
                  <c:v>7.28</c:v>
                </c:pt>
                <c:pt idx="284">
                  <c:v>7.77</c:v>
                </c:pt>
                <c:pt idx="285">
                  <c:v>7.82</c:v>
                </c:pt>
                <c:pt idx="286">
                  <c:v>6.3410000000000002</c:v>
                </c:pt>
                <c:pt idx="287">
                  <c:v>5.1479999999999997</c:v>
                </c:pt>
                <c:pt idx="288">
                  <c:v>4.0549999999999997</c:v>
                </c:pt>
                <c:pt idx="289">
                  <c:v>3.2290000000000001</c:v>
                </c:pt>
                <c:pt idx="290">
                  <c:v>2.8820000000000001</c:v>
                </c:pt>
                <c:pt idx="291">
                  <c:v>3.3889999999999998</c:v>
                </c:pt>
                <c:pt idx="292">
                  <c:v>4.3029999999999999</c:v>
                </c:pt>
                <c:pt idx="293">
                  <c:v>3.5249999999999999</c:v>
                </c:pt>
                <c:pt idx="294">
                  <c:v>3.589</c:v>
                </c:pt>
                <c:pt idx="295">
                  <c:v>3.6440000000000001</c:v>
                </c:pt>
                <c:pt idx="296">
                  <c:v>2.0299999999999998</c:v>
                </c:pt>
                <c:pt idx="297">
                  <c:v>1.8160000000000001</c:v>
                </c:pt>
                <c:pt idx="298">
                  <c:v>2.3410000000000002</c:v>
                </c:pt>
                <c:pt idx="299">
                  <c:v>4.2169999999999996</c:v>
                </c:pt>
                <c:pt idx="300">
                  <c:v>3.7229999999999999</c:v>
                </c:pt>
                <c:pt idx="301">
                  <c:v>2.875</c:v>
                </c:pt>
                <c:pt idx="302">
                  <c:v>1.111</c:v>
                </c:pt>
                <c:pt idx="303">
                  <c:v>0.31</c:v>
                </c:pt>
                <c:pt idx="304">
                  <c:v>-0.15</c:v>
                </c:pt>
                <c:pt idx="305">
                  <c:v>-0.26100000000000001</c:v>
                </c:pt>
                <c:pt idx="306">
                  <c:v>-7.1999999999999995E-2</c:v>
                </c:pt>
                <c:pt idx="307">
                  <c:v>0.14099999999999999</c:v>
                </c:pt>
                <c:pt idx="308">
                  <c:v>0.28499999999999998</c:v>
                </c:pt>
                <c:pt idx="309">
                  <c:v>0.28999999999999998</c:v>
                </c:pt>
                <c:pt idx="310">
                  <c:v>0.44500000000000001</c:v>
                </c:pt>
                <c:pt idx="311">
                  <c:v>0.184</c:v>
                </c:pt>
                <c:pt idx="312">
                  <c:v>0.17499999999999999</c:v>
                </c:pt>
                <c:pt idx="313">
                  <c:v>6.4000000000000001E-2</c:v>
                </c:pt>
                <c:pt idx="314">
                  <c:v>-2.4E-2</c:v>
                </c:pt>
                <c:pt idx="315">
                  <c:v>-9.2999999999999999E-2</c:v>
                </c:pt>
                <c:pt idx="316">
                  <c:v>-6.6000000000000003E-2</c:v>
                </c:pt>
                <c:pt idx="317">
                  <c:v>0.122</c:v>
                </c:pt>
                <c:pt idx="318">
                  <c:v>-7.0000000000000001E-3</c:v>
                </c:pt>
                <c:pt idx="319">
                  <c:v>5.8999999999999997E-2</c:v>
                </c:pt>
                <c:pt idx="320">
                  <c:v>2.7E-2</c:v>
                </c:pt>
                <c:pt idx="321">
                  <c:v>8.2000000000000003E-2</c:v>
                </c:pt>
                <c:pt idx="322">
                  <c:v>9.4E-2</c:v>
                </c:pt>
                <c:pt idx="323">
                  <c:v>0.19900000000000001</c:v>
                </c:pt>
                <c:pt idx="324">
                  <c:v>0.10199999999999999</c:v>
                </c:pt>
                <c:pt idx="325">
                  <c:v>0.126</c:v>
                </c:pt>
                <c:pt idx="326">
                  <c:v>7.6999999999999999E-2</c:v>
                </c:pt>
                <c:pt idx="327">
                  <c:v>1.6E-2</c:v>
                </c:pt>
                <c:pt idx="328">
                  <c:v>-9.7000000000000003E-2</c:v>
                </c:pt>
                <c:pt idx="329">
                  <c:v>-0.19500000000000001</c:v>
                </c:pt>
                <c:pt idx="330">
                  <c:v>-0.51500000000000001</c:v>
                </c:pt>
                <c:pt idx="331">
                  <c:v>-1.002</c:v>
                </c:pt>
                <c:pt idx="332">
                  <c:v>-1.129</c:v>
                </c:pt>
                <c:pt idx="333">
                  <c:v>-0.749</c:v>
                </c:pt>
                <c:pt idx="334">
                  <c:v>-0.64100000000000001</c:v>
                </c:pt>
                <c:pt idx="335">
                  <c:v>-0.77700000000000002</c:v>
                </c:pt>
                <c:pt idx="336">
                  <c:v>-0.63700000000000001</c:v>
                </c:pt>
                <c:pt idx="337">
                  <c:v>-0.51300000000000001</c:v>
                </c:pt>
                <c:pt idx="338">
                  <c:v>-0.42599999999999999</c:v>
                </c:pt>
                <c:pt idx="339">
                  <c:v>-0.34300000000000003</c:v>
                </c:pt>
                <c:pt idx="340">
                  <c:v>-0.35499999999999998</c:v>
                </c:pt>
                <c:pt idx="341">
                  <c:v>-0.27300000000000002</c:v>
                </c:pt>
                <c:pt idx="342">
                  <c:v>-0.187</c:v>
                </c:pt>
                <c:pt idx="343">
                  <c:v>-0.13200000000000001</c:v>
                </c:pt>
                <c:pt idx="344">
                  <c:v>-0.21099999999999999</c:v>
                </c:pt>
                <c:pt idx="345">
                  <c:v>-0.216</c:v>
                </c:pt>
                <c:pt idx="346">
                  <c:v>-0.23799999999999999</c:v>
                </c:pt>
                <c:pt idx="347">
                  <c:v>-0.34</c:v>
                </c:pt>
                <c:pt idx="348">
                  <c:v>-0.30399999999999999</c:v>
                </c:pt>
                <c:pt idx="349">
                  <c:v>-0.28899999999999998</c:v>
                </c:pt>
                <c:pt idx="350">
                  <c:v>-0.32100000000000001</c:v>
                </c:pt>
                <c:pt idx="351">
                  <c:v>-0.29799999999999999</c:v>
                </c:pt>
                <c:pt idx="352">
                  <c:v>-0.248</c:v>
                </c:pt>
                <c:pt idx="353">
                  <c:v>-0.221</c:v>
                </c:pt>
                <c:pt idx="354">
                  <c:v>-0.21</c:v>
                </c:pt>
                <c:pt idx="355">
                  <c:v>-0.22500000000000001</c:v>
                </c:pt>
                <c:pt idx="356">
                  <c:v>-0.218</c:v>
                </c:pt>
                <c:pt idx="357">
                  <c:v>-9.1999999999999998E-2</c:v>
                </c:pt>
                <c:pt idx="358">
                  <c:v>-0.215</c:v>
                </c:pt>
                <c:pt idx="359">
                  <c:v>-0.216</c:v>
                </c:pt>
                <c:pt idx="360">
                  <c:v>-0.22800000000000001</c:v>
                </c:pt>
                <c:pt idx="361">
                  <c:v>-0.186</c:v>
                </c:pt>
                <c:pt idx="362">
                  <c:v>-0.16400000000000001</c:v>
                </c:pt>
                <c:pt idx="363">
                  <c:v>-0.246</c:v>
                </c:pt>
                <c:pt idx="364">
                  <c:v>-0.22500000000000001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-0.70099999999999996</c:v>
                </c:pt>
                <c:pt idx="1">
                  <c:v>-0.69899999999999995</c:v>
                </c:pt>
                <c:pt idx="2">
                  <c:v>-0.86799999999999999</c:v>
                </c:pt>
                <c:pt idx="3">
                  <c:v>-0.85</c:v>
                </c:pt>
                <c:pt idx="4">
                  <c:v>-0.52300000000000002</c:v>
                </c:pt>
                <c:pt idx="5">
                  <c:v>-0.40600000000000003</c:v>
                </c:pt>
                <c:pt idx="6">
                  <c:v>-0.67400000000000004</c:v>
                </c:pt>
                <c:pt idx="7">
                  <c:v>-0.6</c:v>
                </c:pt>
                <c:pt idx="8">
                  <c:v>-0.58399999999999996</c:v>
                </c:pt>
                <c:pt idx="9">
                  <c:v>-0.50900000000000001</c:v>
                </c:pt>
                <c:pt idx="10">
                  <c:v>-0.48399999999999999</c:v>
                </c:pt>
                <c:pt idx="11">
                  <c:v>-0.53200000000000003</c:v>
                </c:pt>
                <c:pt idx="12">
                  <c:v>-0.51</c:v>
                </c:pt>
                <c:pt idx="13">
                  <c:v>-0.505</c:v>
                </c:pt>
                <c:pt idx="14">
                  <c:v>-0.90700000000000003</c:v>
                </c:pt>
                <c:pt idx="15">
                  <c:v>-0.88500000000000001</c:v>
                </c:pt>
                <c:pt idx="16">
                  <c:v>-0.68300000000000005</c:v>
                </c:pt>
                <c:pt idx="17">
                  <c:v>-0.96499999999999997</c:v>
                </c:pt>
                <c:pt idx="18">
                  <c:v>-1.0640000000000001</c:v>
                </c:pt>
                <c:pt idx="19">
                  <c:v>-0.81799999999999995</c:v>
                </c:pt>
                <c:pt idx="20">
                  <c:v>-1.0780000000000001</c:v>
                </c:pt>
                <c:pt idx="21">
                  <c:v>-0.95299999999999996</c:v>
                </c:pt>
                <c:pt idx="22">
                  <c:v>-0.63</c:v>
                </c:pt>
                <c:pt idx="23">
                  <c:v>-0.57699999999999996</c:v>
                </c:pt>
                <c:pt idx="24">
                  <c:v>-0.67900000000000005</c:v>
                </c:pt>
                <c:pt idx="25">
                  <c:v>-0.63700000000000001</c:v>
                </c:pt>
                <c:pt idx="26">
                  <c:v>-0.88100000000000001</c:v>
                </c:pt>
                <c:pt idx="27">
                  <c:v>-0.72199999999999998</c:v>
                </c:pt>
                <c:pt idx="28">
                  <c:v>-0.85099999999999998</c:v>
                </c:pt>
                <c:pt idx="29">
                  <c:v>-0.70299999999999996</c:v>
                </c:pt>
                <c:pt idx="30">
                  <c:v>-0.56499999999999995</c:v>
                </c:pt>
                <c:pt idx="31">
                  <c:v>-0.56699999999999995</c:v>
                </c:pt>
                <c:pt idx="32">
                  <c:v>-0.50600000000000001</c:v>
                </c:pt>
                <c:pt idx="33">
                  <c:v>-0.52500000000000002</c:v>
                </c:pt>
                <c:pt idx="34">
                  <c:v>-0.46600000000000003</c:v>
                </c:pt>
                <c:pt idx="35">
                  <c:v>-0.53300000000000003</c:v>
                </c:pt>
                <c:pt idx="36">
                  <c:v>-0.621</c:v>
                </c:pt>
                <c:pt idx="37">
                  <c:v>-0.66700000000000004</c:v>
                </c:pt>
                <c:pt idx="38">
                  <c:v>-0.61699999999999999</c:v>
                </c:pt>
                <c:pt idx="39">
                  <c:v>-1.0980000000000001</c:v>
                </c:pt>
                <c:pt idx="40">
                  <c:v>-1.4419999999999999</c:v>
                </c:pt>
                <c:pt idx="41">
                  <c:v>-1.448</c:v>
                </c:pt>
                <c:pt idx="42">
                  <c:v>-1.2430000000000001</c:v>
                </c:pt>
                <c:pt idx="43">
                  <c:v>-0.97099999999999997</c:v>
                </c:pt>
                <c:pt idx="44">
                  <c:v>-1.3</c:v>
                </c:pt>
                <c:pt idx="45">
                  <c:v>-1.865</c:v>
                </c:pt>
                <c:pt idx="46">
                  <c:v>-2.2480000000000002</c:v>
                </c:pt>
                <c:pt idx="47">
                  <c:v>-2.7589999999999999</c:v>
                </c:pt>
                <c:pt idx="48">
                  <c:v>-2.851</c:v>
                </c:pt>
                <c:pt idx="49">
                  <c:v>-2.8740000000000001</c:v>
                </c:pt>
                <c:pt idx="50">
                  <c:v>-1.8979999999999999</c:v>
                </c:pt>
                <c:pt idx="51">
                  <c:v>-1.3560000000000001</c:v>
                </c:pt>
                <c:pt idx="52">
                  <c:v>-1.1519999999999999</c:v>
                </c:pt>
                <c:pt idx="53">
                  <c:v>-1.0680000000000001</c:v>
                </c:pt>
                <c:pt idx="54">
                  <c:v>-2.1659999999999999</c:v>
                </c:pt>
                <c:pt idx="55">
                  <c:v>-2.702</c:v>
                </c:pt>
                <c:pt idx="56">
                  <c:v>-1.7729999999999999</c:v>
                </c:pt>
                <c:pt idx="57">
                  <c:v>-1.1850000000000001</c:v>
                </c:pt>
                <c:pt idx="58">
                  <c:v>-0.58799999999999997</c:v>
                </c:pt>
                <c:pt idx="59">
                  <c:v>-0.95199999999999996</c:v>
                </c:pt>
                <c:pt idx="60">
                  <c:v>-1.079</c:v>
                </c:pt>
                <c:pt idx="61">
                  <c:v>-1.56</c:v>
                </c:pt>
                <c:pt idx="62">
                  <c:v>-1.8580000000000001</c:v>
                </c:pt>
                <c:pt idx="63">
                  <c:v>-1.7</c:v>
                </c:pt>
                <c:pt idx="64">
                  <c:v>-1.1100000000000001</c:v>
                </c:pt>
                <c:pt idx="65">
                  <c:v>-0.84399999999999997</c:v>
                </c:pt>
                <c:pt idx="66">
                  <c:v>-0.78100000000000003</c:v>
                </c:pt>
                <c:pt idx="67">
                  <c:v>-1.0840000000000001</c:v>
                </c:pt>
                <c:pt idx="68">
                  <c:v>-1.756</c:v>
                </c:pt>
                <c:pt idx="69">
                  <c:v>-2.375</c:v>
                </c:pt>
                <c:pt idx="70">
                  <c:v>-2.6549999999999998</c:v>
                </c:pt>
                <c:pt idx="71">
                  <c:v>-2.6869999999999998</c:v>
                </c:pt>
                <c:pt idx="72">
                  <c:v>-1.8879999999999999</c:v>
                </c:pt>
                <c:pt idx="73">
                  <c:v>-1.498</c:v>
                </c:pt>
                <c:pt idx="74">
                  <c:v>-1.161</c:v>
                </c:pt>
                <c:pt idx="75">
                  <c:v>-0.95</c:v>
                </c:pt>
                <c:pt idx="76">
                  <c:v>-0.95799999999999996</c:v>
                </c:pt>
                <c:pt idx="77">
                  <c:v>-1.482</c:v>
                </c:pt>
                <c:pt idx="78">
                  <c:v>-1.591</c:v>
                </c:pt>
                <c:pt idx="79">
                  <c:v>-1.1100000000000001</c:v>
                </c:pt>
                <c:pt idx="80">
                  <c:v>-0.93200000000000005</c:v>
                </c:pt>
                <c:pt idx="81">
                  <c:v>-0.76</c:v>
                </c:pt>
                <c:pt idx="82">
                  <c:v>-0.46</c:v>
                </c:pt>
                <c:pt idx="83">
                  <c:v>-0.55300000000000005</c:v>
                </c:pt>
                <c:pt idx="84">
                  <c:v>-0.91500000000000004</c:v>
                </c:pt>
                <c:pt idx="85">
                  <c:v>-0.82299999999999995</c:v>
                </c:pt>
                <c:pt idx="86">
                  <c:v>-1.0640000000000001</c:v>
                </c:pt>
                <c:pt idx="87">
                  <c:v>-0.88100000000000001</c:v>
                </c:pt>
                <c:pt idx="88">
                  <c:v>-0.86499999999999999</c:v>
                </c:pt>
                <c:pt idx="89">
                  <c:v>-0.71099999999999997</c:v>
                </c:pt>
                <c:pt idx="90">
                  <c:v>-0.70399999999999996</c:v>
                </c:pt>
                <c:pt idx="91">
                  <c:v>-0.442</c:v>
                </c:pt>
                <c:pt idx="92">
                  <c:v>-0.622</c:v>
                </c:pt>
                <c:pt idx="93">
                  <c:v>-0.433</c:v>
                </c:pt>
                <c:pt idx="94">
                  <c:v>-0.37</c:v>
                </c:pt>
                <c:pt idx="95">
                  <c:v>-0.215</c:v>
                </c:pt>
                <c:pt idx="96">
                  <c:v>-0.313</c:v>
                </c:pt>
                <c:pt idx="97">
                  <c:v>-0.19400000000000001</c:v>
                </c:pt>
                <c:pt idx="98">
                  <c:v>-0.20100000000000001</c:v>
                </c:pt>
                <c:pt idx="99">
                  <c:v>-0.29599999999999999</c:v>
                </c:pt>
                <c:pt idx="100">
                  <c:v>-0.249</c:v>
                </c:pt>
                <c:pt idx="101">
                  <c:v>-0.25</c:v>
                </c:pt>
                <c:pt idx="102">
                  <c:v>-0.27300000000000002</c:v>
                </c:pt>
                <c:pt idx="103">
                  <c:v>-0.33500000000000002</c:v>
                </c:pt>
                <c:pt idx="104">
                  <c:v>-0.34499999999999997</c:v>
                </c:pt>
                <c:pt idx="105">
                  <c:v>-0.73199999999999998</c:v>
                </c:pt>
                <c:pt idx="106">
                  <c:v>-0.91700000000000004</c:v>
                </c:pt>
                <c:pt idx="107">
                  <c:v>-0.98499999999999999</c:v>
                </c:pt>
                <c:pt idx="108">
                  <c:v>-0.57299999999999995</c:v>
                </c:pt>
                <c:pt idx="109">
                  <c:v>-0.30499999999999999</c:v>
                </c:pt>
                <c:pt idx="110">
                  <c:v>-0.28999999999999998</c:v>
                </c:pt>
                <c:pt idx="111">
                  <c:v>-0.44800000000000001</c:v>
                </c:pt>
                <c:pt idx="112">
                  <c:v>-0.7</c:v>
                </c:pt>
                <c:pt idx="113">
                  <c:v>-0.61399999999999999</c:v>
                </c:pt>
                <c:pt idx="114">
                  <c:v>-0.47799999999999998</c:v>
                </c:pt>
                <c:pt idx="115">
                  <c:v>-0.33600000000000002</c:v>
                </c:pt>
                <c:pt idx="116">
                  <c:v>-0.32900000000000001</c:v>
                </c:pt>
                <c:pt idx="117">
                  <c:v>-0.28899999999999998</c:v>
                </c:pt>
                <c:pt idx="118">
                  <c:v>-0.31900000000000001</c:v>
                </c:pt>
                <c:pt idx="119">
                  <c:v>-0.45</c:v>
                </c:pt>
                <c:pt idx="120">
                  <c:v>-0.35099999999999998</c:v>
                </c:pt>
                <c:pt idx="121">
                  <c:v>-0.51100000000000001</c:v>
                </c:pt>
                <c:pt idx="122">
                  <c:v>-0.59299999999999997</c:v>
                </c:pt>
                <c:pt idx="123">
                  <c:v>-0.39900000000000002</c:v>
                </c:pt>
                <c:pt idx="124">
                  <c:v>-0.38900000000000001</c:v>
                </c:pt>
                <c:pt idx="125">
                  <c:v>-0.434</c:v>
                </c:pt>
                <c:pt idx="126">
                  <c:v>-0.48099999999999998</c:v>
                </c:pt>
                <c:pt idx="127">
                  <c:v>-0.441</c:v>
                </c:pt>
                <c:pt idx="128">
                  <c:v>-0.50700000000000001</c:v>
                </c:pt>
                <c:pt idx="129">
                  <c:v>-0.29799999999999999</c:v>
                </c:pt>
                <c:pt idx="130">
                  <c:v>-0.23799999999999999</c:v>
                </c:pt>
                <c:pt idx="131">
                  <c:v>-0.28000000000000003</c:v>
                </c:pt>
                <c:pt idx="132">
                  <c:v>-0.312</c:v>
                </c:pt>
                <c:pt idx="133">
                  <c:v>-0.26300000000000001</c:v>
                </c:pt>
                <c:pt idx="134">
                  <c:v>-0.221</c:v>
                </c:pt>
                <c:pt idx="135">
                  <c:v>-8.0000000000000002E-3</c:v>
                </c:pt>
                <c:pt idx="136">
                  <c:v>0.1</c:v>
                </c:pt>
                <c:pt idx="137">
                  <c:v>0.51500000000000001</c:v>
                </c:pt>
                <c:pt idx="138">
                  <c:v>0.54900000000000004</c:v>
                </c:pt>
                <c:pt idx="139">
                  <c:v>1.4450000000000001</c:v>
                </c:pt>
                <c:pt idx="140">
                  <c:v>0.57299999999999995</c:v>
                </c:pt>
                <c:pt idx="141">
                  <c:v>1.284</c:v>
                </c:pt>
                <c:pt idx="142">
                  <c:v>1.8029999999999999</c:v>
                </c:pt>
                <c:pt idx="143">
                  <c:v>0.85099999999999998</c:v>
                </c:pt>
                <c:pt idx="144">
                  <c:v>0.82599999999999996</c:v>
                </c:pt>
                <c:pt idx="145">
                  <c:v>1.1990000000000001</c:v>
                </c:pt>
                <c:pt idx="146">
                  <c:v>1.417</c:v>
                </c:pt>
                <c:pt idx="147">
                  <c:v>1.17</c:v>
                </c:pt>
                <c:pt idx="148">
                  <c:v>2.7559999999999998</c:v>
                </c:pt>
                <c:pt idx="149">
                  <c:v>2.4990000000000001</c:v>
                </c:pt>
                <c:pt idx="150">
                  <c:v>4.3220000000000001</c:v>
                </c:pt>
                <c:pt idx="151">
                  <c:v>7.2</c:v>
                </c:pt>
                <c:pt idx="152">
                  <c:v>9.43</c:v>
                </c:pt>
                <c:pt idx="153">
                  <c:v>7.98</c:v>
                </c:pt>
                <c:pt idx="154">
                  <c:v>7.23</c:v>
                </c:pt>
                <c:pt idx="155">
                  <c:v>7.23</c:v>
                </c:pt>
                <c:pt idx="156">
                  <c:v>6.1280000000000001</c:v>
                </c:pt>
                <c:pt idx="157">
                  <c:v>7.5</c:v>
                </c:pt>
                <c:pt idx="158">
                  <c:v>8.48</c:v>
                </c:pt>
                <c:pt idx="159">
                  <c:v>7.74</c:v>
                </c:pt>
                <c:pt idx="160">
                  <c:v>7.05</c:v>
                </c:pt>
                <c:pt idx="161">
                  <c:v>8.52</c:v>
                </c:pt>
                <c:pt idx="162">
                  <c:v>8.24</c:v>
                </c:pt>
                <c:pt idx="163">
                  <c:v>9.65</c:v>
                </c:pt>
                <c:pt idx="164">
                  <c:v>8.83</c:v>
                </c:pt>
                <c:pt idx="165">
                  <c:v>7.8</c:v>
                </c:pt>
                <c:pt idx="166">
                  <c:v>6.5709999999999997</c:v>
                </c:pt>
                <c:pt idx="167">
                  <c:v>7.73</c:v>
                </c:pt>
                <c:pt idx="168">
                  <c:v>7.21</c:v>
                </c:pt>
                <c:pt idx="169">
                  <c:v>6.8780000000000001</c:v>
                </c:pt>
                <c:pt idx="170">
                  <c:v>7.15</c:v>
                </c:pt>
                <c:pt idx="171">
                  <c:v>6.08</c:v>
                </c:pt>
                <c:pt idx="172">
                  <c:v>7.27</c:v>
                </c:pt>
                <c:pt idx="173">
                  <c:v>6.984</c:v>
                </c:pt>
                <c:pt idx="174">
                  <c:v>7.54</c:v>
                </c:pt>
                <c:pt idx="175">
                  <c:v>8.6</c:v>
                </c:pt>
                <c:pt idx="176">
                  <c:v>9.69</c:v>
                </c:pt>
                <c:pt idx="177">
                  <c:v>10.66</c:v>
                </c:pt>
                <c:pt idx="178">
                  <c:v>10.26</c:v>
                </c:pt>
                <c:pt idx="179">
                  <c:v>9.17</c:v>
                </c:pt>
                <c:pt idx="180">
                  <c:v>10.34</c:v>
                </c:pt>
                <c:pt idx="181">
                  <c:v>9.8000000000000007</c:v>
                </c:pt>
                <c:pt idx="182">
                  <c:v>9.8800000000000008</c:v>
                </c:pt>
                <c:pt idx="183">
                  <c:v>10.65</c:v>
                </c:pt>
                <c:pt idx="184">
                  <c:v>10.97</c:v>
                </c:pt>
                <c:pt idx="185">
                  <c:v>10.61</c:v>
                </c:pt>
                <c:pt idx="186">
                  <c:v>10.58</c:v>
                </c:pt>
                <c:pt idx="187">
                  <c:v>10.130000000000001</c:v>
                </c:pt>
                <c:pt idx="188">
                  <c:v>9.64</c:v>
                </c:pt>
                <c:pt idx="189">
                  <c:v>12.12</c:v>
                </c:pt>
                <c:pt idx="190">
                  <c:v>11.18</c:v>
                </c:pt>
                <c:pt idx="191">
                  <c:v>9.49</c:v>
                </c:pt>
                <c:pt idx="192">
                  <c:v>10.09</c:v>
                </c:pt>
                <c:pt idx="193">
                  <c:v>9.19</c:v>
                </c:pt>
                <c:pt idx="194">
                  <c:v>9.31</c:v>
                </c:pt>
                <c:pt idx="195">
                  <c:v>8.68</c:v>
                </c:pt>
                <c:pt idx="196">
                  <c:v>7.85</c:v>
                </c:pt>
                <c:pt idx="197">
                  <c:v>8.33</c:v>
                </c:pt>
                <c:pt idx="198">
                  <c:v>8.1199999999999992</c:v>
                </c:pt>
                <c:pt idx="199">
                  <c:v>7.55</c:v>
                </c:pt>
                <c:pt idx="200">
                  <c:v>8.09</c:v>
                </c:pt>
                <c:pt idx="201">
                  <c:v>9.69</c:v>
                </c:pt>
                <c:pt idx="202">
                  <c:v>11.42</c:v>
                </c:pt>
                <c:pt idx="203">
                  <c:v>11.55</c:v>
                </c:pt>
                <c:pt idx="204">
                  <c:v>12.68</c:v>
                </c:pt>
                <c:pt idx="205">
                  <c:v>12.17</c:v>
                </c:pt>
                <c:pt idx="206">
                  <c:v>11.41</c:v>
                </c:pt>
                <c:pt idx="207">
                  <c:v>12.11</c:v>
                </c:pt>
                <c:pt idx="208">
                  <c:v>10.99</c:v>
                </c:pt>
                <c:pt idx="209">
                  <c:v>10.43</c:v>
                </c:pt>
                <c:pt idx="210">
                  <c:v>8.24</c:v>
                </c:pt>
                <c:pt idx="211">
                  <c:v>7.87</c:v>
                </c:pt>
                <c:pt idx="212">
                  <c:v>7.68</c:v>
                </c:pt>
                <c:pt idx="213">
                  <c:v>8.1199999999999992</c:v>
                </c:pt>
                <c:pt idx="214">
                  <c:v>7.63</c:v>
                </c:pt>
                <c:pt idx="215">
                  <c:v>7.64</c:v>
                </c:pt>
                <c:pt idx="216">
                  <c:v>5.9690000000000003</c:v>
                </c:pt>
                <c:pt idx="217">
                  <c:v>7.2</c:v>
                </c:pt>
                <c:pt idx="218">
                  <c:v>8.33</c:v>
                </c:pt>
                <c:pt idx="219">
                  <c:v>8.7100000000000009</c:v>
                </c:pt>
                <c:pt idx="220">
                  <c:v>9.67</c:v>
                </c:pt>
                <c:pt idx="221">
                  <c:v>9.41</c:v>
                </c:pt>
                <c:pt idx="222">
                  <c:v>7.75</c:v>
                </c:pt>
                <c:pt idx="223">
                  <c:v>6.5830000000000002</c:v>
                </c:pt>
                <c:pt idx="224">
                  <c:v>7.95</c:v>
                </c:pt>
                <c:pt idx="225">
                  <c:v>7.71</c:v>
                </c:pt>
                <c:pt idx="226">
                  <c:v>8.57</c:v>
                </c:pt>
                <c:pt idx="227">
                  <c:v>7.3</c:v>
                </c:pt>
                <c:pt idx="228">
                  <c:v>6.9260000000000002</c:v>
                </c:pt>
                <c:pt idx="229">
                  <c:v>7.62</c:v>
                </c:pt>
                <c:pt idx="230">
                  <c:v>7.57</c:v>
                </c:pt>
                <c:pt idx="231">
                  <c:v>7.64</c:v>
                </c:pt>
                <c:pt idx="232">
                  <c:v>8.07</c:v>
                </c:pt>
                <c:pt idx="233">
                  <c:v>9.01</c:v>
                </c:pt>
                <c:pt idx="234">
                  <c:v>8.5299999999999994</c:v>
                </c:pt>
                <c:pt idx="235">
                  <c:v>6.9589999999999996</c:v>
                </c:pt>
                <c:pt idx="236">
                  <c:v>6.4749999999999996</c:v>
                </c:pt>
                <c:pt idx="237">
                  <c:v>7.01</c:v>
                </c:pt>
                <c:pt idx="238">
                  <c:v>7.49</c:v>
                </c:pt>
                <c:pt idx="239">
                  <c:v>7.89</c:v>
                </c:pt>
                <c:pt idx="240">
                  <c:v>8.92</c:v>
                </c:pt>
                <c:pt idx="241">
                  <c:v>6.6479999999999997</c:v>
                </c:pt>
                <c:pt idx="242">
                  <c:v>5.4009999999999998</c:v>
                </c:pt>
                <c:pt idx="243">
                  <c:v>4.79</c:v>
                </c:pt>
                <c:pt idx="244">
                  <c:v>6.3179999999999996</c:v>
                </c:pt>
                <c:pt idx="245">
                  <c:v>6.9539999999999997</c:v>
                </c:pt>
                <c:pt idx="246">
                  <c:v>8.3800000000000008</c:v>
                </c:pt>
                <c:pt idx="247">
                  <c:v>8.2799999999999994</c:v>
                </c:pt>
                <c:pt idx="248">
                  <c:v>7.85</c:v>
                </c:pt>
                <c:pt idx="249">
                  <c:v>7.77</c:v>
                </c:pt>
                <c:pt idx="250">
                  <c:v>8</c:v>
                </c:pt>
                <c:pt idx="251">
                  <c:v>8.48</c:v>
                </c:pt>
                <c:pt idx="252">
                  <c:v>8.0399999999999991</c:v>
                </c:pt>
                <c:pt idx="253">
                  <c:v>6.9450000000000003</c:v>
                </c:pt>
                <c:pt idx="254">
                  <c:v>7.13</c:v>
                </c:pt>
                <c:pt idx="255">
                  <c:v>6.5330000000000004</c:v>
                </c:pt>
                <c:pt idx="256">
                  <c:v>5.149</c:v>
                </c:pt>
                <c:pt idx="257">
                  <c:v>4.4119999999999999</c:v>
                </c:pt>
                <c:pt idx="258">
                  <c:v>4.3239999999999998</c:v>
                </c:pt>
                <c:pt idx="259">
                  <c:v>3.2719999999999998</c:v>
                </c:pt>
                <c:pt idx="260">
                  <c:v>6.3689999999999998</c:v>
                </c:pt>
                <c:pt idx="261">
                  <c:v>5.6</c:v>
                </c:pt>
                <c:pt idx="262">
                  <c:v>4.6180000000000003</c:v>
                </c:pt>
                <c:pt idx="263">
                  <c:v>4.5529999999999999</c:v>
                </c:pt>
                <c:pt idx="264">
                  <c:v>4.6920000000000002</c:v>
                </c:pt>
                <c:pt idx="265">
                  <c:v>4.6719999999999997</c:v>
                </c:pt>
                <c:pt idx="266">
                  <c:v>3.7210000000000001</c:v>
                </c:pt>
                <c:pt idx="267">
                  <c:v>4.3109999999999999</c:v>
                </c:pt>
                <c:pt idx="268">
                  <c:v>6.0750000000000002</c:v>
                </c:pt>
                <c:pt idx="269">
                  <c:v>4.5839999999999996</c:v>
                </c:pt>
                <c:pt idx="270">
                  <c:v>5.3390000000000004</c:v>
                </c:pt>
                <c:pt idx="271">
                  <c:v>5.5270000000000001</c:v>
                </c:pt>
                <c:pt idx="272">
                  <c:v>4.7190000000000003</c:v>
                </c:pt>
                <c:pt idx="273">
                  <c:v>3.9079999999999999</c:v>
                </c:pt>
                <c:pt idx="274">
                  <c:v>3.24</c:v>
                </c:pt>
                <c:pt idx="275">
                  <c:v>2.4809999999999999</c:v>
                </c:pt>
                <c:pt idx="276">
                  <c:v>2.3969999999999998</c:v>
                </c:pt>
                <c:pt idx="277">
                  <c:v>2.5819999999999999</c:v>
                </c:pt>
                <c:pt idx="278">
                  <c:v>4.0609999999999999</c:v>
                </c:pt>
                <c:pt idx="279">
                  <c:v>2.1080000000000001</c:v>
                </c:pt>
                <c:pt idx="280">
                  <c:v>1.9450000000000001</c:v>
                </c:pt>
                <c:pt idx="281">
                  <c:v>1</c:v>
                </c:pt>
                <c:pt idx="282">
                  <c:v>1.1990000000000001</c:v>
                </c:pt>
                <c:pt idx="283">
                  <c:v>1.244</c:v>
                </c:pt>
                <c:pt idx="284">
                  <c:v>1.7470000000000001</c:v>
                </c:pt>
                <c:pt idx="285">
                  <c:v>2.4209999999999998</c:v>
                </c:pt>
                <c:pt idx="286">
                  <c:v>2.0990000000000002</c:v>
                </c:pt>
                <c:pt idx="287">
                  <c:v>3.617</c:v>
                </c:pt>
                <c:pt idx="288">
                  <c:v>2.657</c:v>
                </c:pt>
                <c:pt idx="289">
                  <c:v>2.2629999999999999</c:v>
                </c:pt>
                <c:pt idx="290">
                  <c:v>2.04</c:v>
                </c:pt>
                <c:pt idx="291">
                  <c:v>2.4089999999999998</c:v>
                </c:pt>
                <c:pt idx="292">
                  <c:v>1.9770000000000001</c:v>
                </c:pt>
                <c:pt idx="293">
                  <c:v>1.252</c:v>
                </c:pt>
                <c:pt idx="294">
                  <c:v>1.0309999999999999</c:v>
                </c:pt>
                <c:pt idx="295">
                  <c:v>1.2629999999999999</c:v>
                </c:pt>
                <c:pt idx="296">
                  <c:v>1.2569999999999999</c:v>
                </c:pt>
                <c:pt idx="297">
                  <c:v>1.1180000000000001</c:v>
                </c:pt>
                <c:pt idx="298">
                  <c:v>1.208</c:v>
                </c:pt>
                <c:pt idx="299">
                  <c:v>2.2970000000000002</c:v>
                </c:pt>
                <c:pt idx="300">
                  <c:v>2.8679999999999999</c:v>
                </c:pt>
                <c:pt idx="301">
                  <c:v>0.99</c:v>
                </c:pt>
                <c:pt idx="302">
                  <c:v>0.16500000000000001</c:v>
                </c:pt>
                <c:pt idx="303">
                  <c:v>-0.41699999999999998</c:v>
                </c:pt>
                <c:pt idx="304">
                  <c:v>-0.68799999999999994</c:v>
                </c:pt>
                <c:pt idx="305">
                  <c:v>-0.498</c:v>
                </c:pt>
                <c:pt idx="306">
                  <c:v>-0.30499999999999999</c:v>
                </c:pt>
                <c:pt idx="307">
                  <c:v>-0.11</c:v>
                </c:pt>
                <c:pt idx="308">
                  <c:v>-1.7999999999999999E-2</c:v>
                </c:pt>
                <c:pt idx="309">
                  <c:v>6.5000000000000002E-2</c:v>
                </c:pt>
                <c:pt idx="310">
                  <c:v>9.0999999999999998E-2</c:v>
                </c:pt>
                <c:pt idx="311">
                  <c:v>-8.5999999999999993E-2</c:v>
                </c:pt>
                <c:pt idx="312">
                  <c:v>-0.33800000000000002</c:v>
                </c:pt>
                <c:pt idx="313">
                  <c:v>-0.126</c:v>
                </c:pt>
                <c:pt idx="314">
                  <c:v>-0.27900000000000003</c:v>
                </c:pt>
                <c:pt idx="315">
                  <c:v>-0.20200000000000001</c:v>
                </c:pt>
                <c:pt idx="316">
                  <c:v>-0.26</c:v>
                </c:pt>
                <c:pt idx="317">
                  <c:v>-0.52600000000000002</c:v>
                </c:pt>
                <c:pt idx="318">
                  <c:v>-0.19</c:v>
                </c:pt>
                <c:pt idx="319">
                  <c:v>-0.442</c:v>
                </c:pt>
                <c:pt idx="320">
                  <c:v>-0.218</c:v>
                </c:pt>
                <c:pt idx="321">
                  <c:v>-0.19700000000000001</c:v>
                </c:pt>
                <c:pt idx="322">
                  <c:v>-0.253</c:v>
                </c:pt>
                <c:pt idx="323">
                  <c:v>-0.26500000000000001</c:v>
                </c:pt>
                <c:pt idx="324">
                  <c:v>-0.112</c:v>
                </c:pt>
                <c:pt idx="325">
                  <c:v>-0.14399999999999999</c:v>
                </c:pt>
                <c:pt idx="326">
                  <c:v>-0.20200000000000001</c:v>
                </c:pt>
                <c:pt idx="327">
                  <c:v>-0.38400000000000001</c:v>
                </c:pt>
                <c:pt idx="328">
                  <c:v>-0.755</c:v>
                </c:pt>
                <c:pt idx="329">
                  <c:v>-0.57699999999999996</c:v>
                </c:pt>
                <c:pt idx="330">
                  <c:v>-1.206</c:v>
                </c:pt>
                <c:pt idx="331">
                  <c:v>-1.966</c:v>
                </c:pt>
                <c:pt idx="332">
                  <c:v>-2.0289999999999999</c:v>
                </c:pt>
                <c:pt idx="333">
                  <c:v>-1.224</c:v>
                </c:pt>
                <c:pt idx="334">
                  <c:v>-0.96399999999999997</c:v>
                </c:pt>
                <c:pt idx="335">
                  <c:v>-1.3049999999999999</c:v>
                </c:pt>
                <c:pt idx="336">
                  <c:v>-0.84399999999999997</c:v>
                </c:pt>
                <c:pt idx="337">
                  <c:v>-0.68400000000000005</c:v>
                </c:pt>
                <c:pt idx="338">
                  <c:v>-0.74</c:v>
                </c:pt>
                <c:pt idx="339">
                  <c:v>-0.65500000000000003</c:v>
                </c:pt>
                <c:pt idx="340">
                  <c:v>-0.58599999999999997</c:v>
                </c:pt>
                <c:pt idx="341">
                  <c:v>-0.44</c:v>
                </c:pt>
                <c:pt idx="342">
                  <c:v>-0.47899999999999998</c:v>
                </c:pt>
                <c:pt idx="343">
                  <c:v>-0.503</c:v>
                </c:pt>
                <c:pt idx="344">
                  <c:v>-0.34</c:v>
                </c:pt>
                <c:pt idx="345">
                  <c:v>-0.54200000000000004</c:v>
                </c:pt>
                <c:pt idx="346">
                  <c:v>-0.435</c:v>
                </c:pt>
                <c:pt idx="347">
                  <c:v>-0.84099999999999997</c:v>
                </c:pt>
                <c:pt idx="348">
                  <c:v>-0.63300000000000001</c:v>
                </c:pt>
                <c:pt idx="349">
                  <c:v>-0.65500000000000003</c:v>
                </c:pt>
                <c:pt idx="350">
                  <c:v>-0.59899999999999998</c:v>
                </c:pt>
                <c:pt idx="351">
                  <c:v>-0.437</c:v>
                </c:pt>
                <c:pt idx="352">
                  <c:v>-0.46899999999999997</c:v>
                </c:pt>
                <c:pt idx="353">
                  <c:v>-0.37</c:v>
                </c:pt>
                <c:pt idx="354">
                  <c:v>-0.38300000000000001</c:v>
                </c:pt>
                <c:pt idx="355">
                  <c:v>-0.4</c:v>
                </c:pt>
                <c:pt idx="356">
                  <c:v>-0.52600000000000002</c:v>
                </c:pt>
                <c:pt idx="357">
                  <c:v>-0.56100000000000005</c:v>
                </c:pt>
                <c:pt idx="358">
                  <c:v>-0.48</c:v>
                </c:pt>
                <c:pt idx="359">
                  <c:v>-0.376</c:v>
                </c:pt>
                <c:pt idx="360">
                  <c:v>-0.41699999999999998</c:v>
                </c:pt>
                <c:pt idx="361">
                  <c:v>-0.55400000000000005</c:v>
                </c:pt>
                <c:pt idx="362">
                  <c:v>-0.38600000000000001</c:v>
                </c:pt>
                <c:pt idx="363">
                  <c:v>-0.54300000000000004</c:v>
                </c:pt>
                <c:pt idx="364">
                  <c:v>-0.36099999999999999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355392"/>
        <c:axId val="283509120"/>
      </c:lineChart>
      <c:catAx>
        <c:axId val="28335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50912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83509120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9967373572593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35539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9.7000000000000003E-2</c:v>
                </c:pt>
                <c:pt idx="1">
                  <c:v>7.0999999999999994E-2</c:v>
                </c:pt>
                <c:pt idx="2">
                  <c:v>-8.7999999999999995E-2</c:v>
                </c:pt>
                <c:pt idx="3">
                  <c:v>1.9E-2</c:v>
                </c:pt>
                <c:pt idx="4">
                  <c:v>-9.2999999999999999E-2</c:v>
                </c:pt>
                <c:pt idx="5">
                  <c:v>-3.1E-2</c:v>
                </c:pt>
                <c:pt idx="6">
                  <c:v>6.7000000000000004E-2</c:v>
                </c:pt>
                <c:pt idx="7">
                  <c:v>-4.2999999999999997E-2</c:v>
                </c:pt>
                <c:pt idx="8">
                  <c:v>-0.11700000000000001</c:v>
                </c:pt>
                <c:pt idx="9">
                  <c:v>-9.8000000000000004E-2</c:v>
                </c:pt>
                <c:pt idx="10">
                  <c:v>-0.105</c:v>
                </c:pt>
                <c:pt idx="11">
                  <c:v>-0.13700000000000001</c:v>
                </c:pt>
                <c:pt idx="12">
                  <c:v>-9.7000000000000003E-2</c:v>
                </c:pt>
                <c:pt idx="13">
                  <c:v>-8.8999999999999996E-2</c:v>
                </c:pt>
                <c:pt idx="14">
                  <c:v>-0.156</c:v>
                </c:pt>
                <c:pt idx="15">
                  <c:v>-0.13700000000000001</c:v>
                </c:pt>
                <c:pt idx="16">
                  <c:v>-0.13200000000000001</c:v>
                </c:pt>
                <c:pt idx="17">
                  <c:v>-0.189</c:v>
                </c:pt>
                <c:pt idx="18">
                  <c:v>-0.20200000000000001</c:v>
                </c:pt>
                <c:pt idx="19">
                  <c:v>-0.28000000000000003</c:v>
                </c:pt>
                <c:pt idx="20">
                  <c:v>-0.25</c:v>
                </c:pt>
                <c:pt idx="21">
                  <c:v>-0.26700000000000002</c:v>
                </c:pt>
                <c:pt idx="22">
                  <c:v>-0.17399999999999999</c:v>
                </c:pt>
                <c:pt idx="23">
                  <c:v>-0.13700000000000001</c:v>
                </c:pt>
                <c:pt idx="24">
                  <c:v>-8.5000000000000006E-2</c:v>
                </c:pt>
                <c:pt idx="25">
                  <c:v>-0.16400000000000001</c:v>
                </c:pt>
                <c:pt idx="26">
                  <c:v>-0.191</c:v>
                </c:pt>
                <c:pt idx="27">
                  <c:v>-0.253</c:v>
                </c:pt>
                <c:pt idx="28">
                  <c:v>-0.26200000000000001</c:v>
                </c:pt>
                <c:pt idx="29">
                  <c:v>-0.23200000000000001</c:v>
                </c:pt>
                <c:pt idx="30">
                  <c:v>-0.20599999999999999</c:v>
                </c:pt>
                <c:pt idx="31">
                  <c:v>-0.2</c:v>
                </c:pt>
                <c:pt idx="32">
                  <c:v>-0.191</c:v>
                </c:pt>
                <c:pt idx="33">
                  <c:v>-0.182</c:v>
                </c:pt>
                <c:pt idx="34">
                  <c:v>-0.17399999999999999</c:v>
                </c:pt>
                <c:pt idx="35">
                  <c:v>-0.16400000000000001</c:v>
                </c:pt>
                <c:pt idx="36">
                  <c:v>-0.17299999999999999</c:v>
                </c:pt>
                <c:pt idx="37">
                  <c:v>-0.23400000000000001</c:v>
                </c:pt>
                <c:pt idx="38">
                  <c:v>-0.218</c:v>
                </c:pt>
                <c:pt idx="39">
                  <c:v>-0.222</c:v>
                </c:pt>
                <c:pt idx="40">
                  <c:v>-0.36199999999999999</c:v>
                </c:pt>
                <c:pt idx="41">
                  <c:v>-0.50800000000000001</c:v>
                </c:pt>
                <c:pt idx="42">
                  <c:v>-0.45700000000000002</c:v>
                </c:pt>
                <c:pt idx="43">
                  <c:v>-0.38900000000000001</c:v>
                </c:pt>
                <c:pt idx="44">
                  <c:v>-0.39400000000000002</c:v>
                </c:pt>
                <c:pt idx="45">
                  <c:v>-0.48499999999999999</c:v>
                </c:pt>
                <c:pt idx="46">
                  <c:v>-0.73099999999999998</c:v>
                </c:pt>
                <c:pt idx="47">
                  <c:v>-0.91700000000000004</c:v>
                </c:pt>
                <c:pt idx="48">
                  <c:v>-1.1220000000000001</c:v>
                </c:pt>
                <c:pt idx="49">
                  <c:v>-1.097</c:v>
                </c:pt>
                <c:pt idx="50">
                  <c:v>-0.83899999999999997</c:v>
                </c:pt>
                <c:pt idx="51">
                  <c:v>-0.67300000000000004</c:v>
                </c:pt>
                <c:pt idx="52">
                  <c:v>-0.60799999999999998</c:v>
                </c:pt>
                <c:pt idx="53">
                  <c:v>-0.57999999999999996</c:v>
                </c:pt>
                <c:pt idx="54">
                  <c:v>-0.59399999999999997</c:v>
                </c:pt>
                <c:pt idx="55">
                  <c:v>-0.94399999999999995</c:v>
                </c:pt>
                <c:pt idx="56">
                  <c:v>-0.81200000000000006</c:v>
                </c:pt>
                <c:pt idx="57">
                  <c:v>-0.56799999999999995</c:v>
                </c:pt>
                <c:pt idx="58">
                  <c:v>-0.45400000000000001</c:v>
                </c:pt>
                <c:pt idx="59">
                  <c:v>-0.435</c:v>
                </c:pt>
                <c:pt idx="60">
                  <c:v>-0.503</c:v>
                </c:pt>
                <c:pt idx="61">
                  <c:v>-0.51300000000000001</c:v>
                </c:pt>
                <c:pt idx="62">
                  <c:v>-0.68899999999999995</c:v>
                </c:pt>
                <c:pt idx="63">
                  <c:v>-0.752</c:v>
                </c:pt>
                <c:pt idx="64">
                  <c:v>-0.58099999999999996</c:v>
                </c:pt>
                <c:pt idx="65">
                  <c:v>-0.50800000000000001</c:v>
                </c:pt>
                <c:pt idx="66">
                  <c:v>-0.48799999999999999</c:v>
                </c:pt>
                <c:pt idx="67">
                  <c:v>-0.48299999999999998</c:v>
                </c:pt>
                <c:pt idx="68">
                  <c:v>-0.55200000000000005</c:v>
                </c:pt>
                <c:pt idx="69">
                  <c:v>-0.85799999999999998</c:v>
                </c:pt>
                <c:pt idx="70">
                  <c:v>-1.087</c:v>
                </c:pt>
                <c:pt idx="71">
                  <c:v>-1.236</c:v>
                </c:pt>
                <c:pt idx="72">
                  <c:v>-0.95</c:v>
                </c:pt>
                <c:pt idx="73">
                  <c:v>-0.85699999999999998</c:v>
                </c:pt>
                <c:pt idx="74">
                  <c:v>-0.72</c:v>
                </c:pt>
                <c:pt idx="75">
                  <c:v>-0.60399999999999998</c:v>
                </c:pt>
                <c:pt idx="76">
                  <c:v>-0.57099999999999995</c:v>
                </c:pt>
                <c:pt idx="77">
                  <c:v>-0.56999999999999995</c:v>
                </c:pt>
                <c:pt idx="78">
                  <c:v>-0.749</c:v>
                </c:pt>
                <c:pt idx="79">
                  <c:v>-0.66200000000000003</c:v>
                </c:pt>
                <c:pt idx="80">
                  <c:v>-0.57599999999999996</c:v>
                </c:pt>
                <c:pt idx="81">
                  <c:v>-0.47799999999999998</c:v>
                </c:pt>
                <c:pt idx="82">
                  <c:v>-0.375</c:v>
                </c:pt>
                <c:pt idx="83">
                  <c:v>-0.33200000000000002</c:v>
                </c:pt>
                <c:pt idx="84">
                  <c:v>-0.32600000000000001</c:v>
                </c:pt>
                <c:pt idx="85">
                  <c:v>-0.39200000000000002</c:v>
                </c:pt>
                <c:pt idx="86">
                  <c:v>-0.42599999999999999</c:v>
                </c:pt>
                <c:pt idx="87">
                  <c:v>-0.42099999999999999</c:v>
                </c:pt>
                <c:pt idx="88">
                  <c:v>-0.39700000000000002</c:v>
                </c:pt>
                <c:pt idx="89">
                  <c:v>-0.38100000000000001</c:v>
                </c:pt>
                <c:pt idx="90">
                  <c:v>-0.35699999999999998</c:v>
                </c:pt>
                <c:pt idx="91">
                  <c:v>-0.313</c:v>
                </c:pt>
                <c:pt idx="92">
                  <c:v>-0.29799999999999999</c:v>
                </c:pt>
                <c:pt idx="93">
                  <c:v>-0.27300000000000002</c:v>
                </c:pt>
                <c:pt idx="94">
                  <c:v>-0.26300000000000001</c:v>
                </c:pt>
                <c:pt idx="95">
                  <c:v>-0.23300000000000001</c:v>
                </c:pt>
                <c:pt idx="96">
                  <c:v>-0.22700000000000001</c:v>
                </c:pt>
                <c:pt idx="97">
                  <c:v>-0.21099999999999999</c:v>
                </c:pt>
                <c:pt idx="98">
                  <c:v>-0.128</c:v>
                </c:pt>
                <c:pt idx="99">
                  <c:v>-0.129</c:v>
                </c:pt>
                <c:pt idx="100">
                  <c:v>-7.6999999999999999E-2</c:v>
                </c:pt>
                <c:pt idx="101">
                  <c:v>-5.2999999999999999E-2</c:v>
                </c:pt>
                <c:pt idx="102">
                  <c:v>-0.16400000000000001</c:v>
                </c:pt>
                <c:pt idx="103">
                  <c:v>-0.13300000000000001</c:v>
                </c:pt>
                <c:pt idx="104">
                  <c:v>-8.7999999999999995E-2</c:v>
                </c:pt>
                <c:pt idx="105">
                  <c:v>-0.17899999999999999</c:v>
                </c:pt>
                <c:pt idx="106">
                  <c:v>-0.14000000000000001</c:v>
                </c:pt>
                <c:pt idx="107">
                  <c:v>-0.16400000000000001</c:v>
                </c:pt>
                <c:pt idx="108">
                  <c:v>-7.6999999999999999E-2</c:v>
                </c:pt>
                <c:pt idx="109">
                  <c:v>7.0000000000000007E-2</c:v>
                </c:pt>
                <c:pt idx="110">
                  <c:v>-0.14499999999999999</c:v>
                </c:pt>
                <c:pt idx="111">
                  <c:v>-3.4000000000000002E-2</c:v>
                </c:pt>
                <c:pt idx="112">
                  <c:v>6.3E-2</c:v>
                </c:pt>
                <c:pt idx="113">
                  <c:v>0.188</c:v>
                </c:pt>
                <c:pt idx="114">
                  <c:v>0.18099999999999999</c:v>
                </c:pt>
                <c:pt idx="115">
                  <c:v>0.1</c:v>
                </c:pt>
                <c:pt idx="116">
                  <c:v>0.13100000000000001</c:v>
                </c:pt>
                <c:pt idx="117">
                  <c:v>0.187</c:v>
                </c:pt>
                <c:pt idx="118">
                  <c:v>0.26100000000000001</c:v>
                </c:pt>
                <c:pt idx="119">
                  <c:v>0.13400000000000001</c:v>
                </c:pt>
                <c:pt idx="120">
                  <c:v>-0.10199999999999999</c:v>
                </c:pt>
                <c:pt idx="121">
                  <c:v>0.15</c:v>
                </c:pt>
                <c:pt idx="122">
                  <c:v>0.17699999999999999</c:v>
                </c:pt>
                <c:pt idx="123">
                  <c:v>0.28299999999999997</c:v>
                </c:pt>
                <c:pt idx="124">
                  <c:v>0.29699999999999999</c:v>
                </c:pt>
                <c:pt idx="125">
                  <c:v>0.27600000000000002</c:v>
                </c:pt>
                <c:pt idx="126">
                  <c:v>0.28699999999999998</c:v>
                </c:pt>
                <c:pt idx="127">
                  <c:v>0.14899999999999999</c:v>
                </c:pt>
                <c:pt idx="128">
                  <c:v>0.192</c:v>
                </c:pt>
                <c:pt idx="129">
                  <c:v>0.28100000000000003</c:v>
                </c:pt>
                <c:pt idx="130">
                  <c:v>0.26900000000000002</c:v>
                </c:pt>
                <c:pt idx="131">
                  <c:v>0.20699999999999999</c:v>
                </c:pt>
                <c:pt idx="132">
                  <c:v>0.26600000000000001</c:v>
                </c:pt>
                <c:pt idx="133">
                  <c:v>0.48599999999999999</c:v>
                </c:pt>
                <c:pt idx="134">
                  <c:v>0.46400000000000002</c:v>
                </c:pt>
                <c:pt idx="135">
                  <c:v>0.46500000000000002</c:v>
                </c:pt>
                <c:pt idx="136">
                  <c:v>0.52500000000000002</c:v>
                </c:pt>
                <c:pt idx="137">
                  <c:v>0.54900000000000004</c:v>
                </c:pt>
                <c:pt idx="138">
                  <c:v>0.55300000000000005</c:v>
                </c:pt>
                <c:pt idx="139">
                  <c:v>0.127</c:v>
                </c:pt>
                <c:pt idx="140">
                  <c:v>0.35799999999999998</c:v>
                </c:pt>
                <c:pt idx="141">
                  <c:v>0.374</c:v>
                </c:pt>
                <c:pt idx="142">
                  <c:v>0.39</c:v>
                </c:pt>
                <c:pt idx="143">
                  <c:v>0.22700000000000001</c:v>
                </c:pt>
                <c:pt idx="144">
                  <c:v>0.21</c:v>
                </c:pt>
                <c:pt idx="145">
                  <c:v>0.15</c:v>
                </c:pt>
                <c:pt idx="146">
                  <c:v>0.38500000000000001</c:v>
                </c:pt>
                <c:pt idx="147">
                  <c:v>0.81899999999999995</c:v>
                </c:pt>
                <c:pt idx="148">
                  <c:v>1.35</c:v>
                </c:pt>
                <c:pt idx="149">
                  <c:v>3.9849999999999999</c:v>
                </c:pt>
                <c:pt idx="150">
                  <c:v>5.4189999999999996</c:v>
                </c:pt>
                <c:pt idx="151">
                  <c:v>9.31</c:v>
                </c:pt>
                <c:pt idx="152">
                  <c:v>10.37</c:v>
                </c:pt>
                <c:pt idx="153">
                  <c:v>10.28</c:v>
                </c:pt>
                <c:pt idx="154">
                  <c:v>8.9700000000000006</c:v>
                </c:pt>
                <c:pt idx="155">
                  <c:v>8.5500000000000007</c:v>
                </c:pt>
                <c:pt idx="156">
                  <c:v>8.83</c:v>
                </c:pt>
                <c:pt idx="157">
                  <c:v>8.98</c:v>
                </c:pt>
                <c:pt idx="158">
                  <c:v>9.11</c:v>
                </c:pt>
                <c:pt idx="159">
                  <c:v>9.11</c:v>
                </c:pt>
                <c:pt idx="160">
                  <c:v>9.34</c:v>
                </c:pt>
                <c:pt idx="161">
                  <c:v>9.4700000000000006</c:v>
                </c:pt>
                <c:pt idx="162">
                  <c:v>9.52</c:v>
                </c:pt>
                <c:pt idx="163">
                  <c:v>9.9700000000000006</c:v>
                </c:pt>
                <c:pt idx="164">
                  <c:v>9.7100000000000009</c:v>
                </c:pt>
                <c:pt idx="165">
                  <c:v>9.43</c:v>
                </c:pt>
                <c:pt idx="166">
                  <c:v>8.94</c:v>
                </c:pt>
                <c:pt idx="167">
                  <c:v>8.74</c:v>
                </c:pt>
                <c:pt idx="168">
                  <c:v>9</c:v>
                </c:pt>
                <c:pt idx="169">
                  <c:v>8.7100000000000009</c:v>
                </c:pt>
                <c:pt idx="170">
                  <c:v>8.61</c:v>
                </c:pt>
                <c:pt idx="171">
                  <c:v>8.93</c:v>
                </c:pt>
                <c:pt idx="172">
                  <c:v>8.91</c:v>
                </c:pt>
                <c:pt idx="173">
                  <c:v>9.42</c:v>
                </c:pt>
                <c:pt idx="174">
                  <c:v>9.7799999999999994</c:v>
                </c:pt>
                <c:pt idx="175">
                  <c:v>10.29</c:v>
                </c:pt>
                <c:pt idx="176">
                  <c:v>10.86</c:v>
                </c:pt>
                <c:pt idx="177">
                  <c:v>11.48</c:v>
                </c:pt>
                <c:pt idx="178">
                  <c:v>11.87</c:v>
                </c:pt>
                <c:pt idx="179">
                  <c:v>11.61</c:v>
                </c:pt>
                <c:pt idx="180">
                  <c:v>11.21</c:v>
                </c:pt>
                <c:pt idx="181">
                  <c:v>11.72</c:v>
                </c:pt>
                <c:pt idx="182">
                  <c:v>11.82</c:v>
                </c:pt>
                <c:pt idx="183">
                  <c:v>11.87</c:v>
                </c:pt>
                <c:pt idx="184">
                  <c:v>12.26</c:v>
                </c:pt>
                <c:pt idx="185">
                  <c:v>12.03</c:v>
                </c:pt>
                <c:pt idx="186">
                  <c:v>12.15</c:v>
                </c:pt>
                <c:pt idx="187">
                  <c:v>11.47</c:v>
                </c:pt>
                <c:pt idx="188">
                  <c:v>11.9</c:v>
                </c:pt>
                <c:pt idx="189">
                  <c:v>11.86</c:v>
                </c:pt>
                <c:pt idx="190">
                  <c:v>11.78</c:v>
                </c:pt>
                <c:pt idx="191">
                  <c:v>11.9</c:v>
                </c:pt>
                <c:pt idx="192">
                  <c:v>11.25</c:v>
                </c:pt>
                <c:pt idx="193">
                  <c:v>10.99</c:v>
                </c:pt>
                <c:pt idx="194">
                  <c:v>10.83</c:v>
                </c:pt>
                <c:pt idx="195">
                  <c:v>11</c:v>
                </c:pt>
                <c:pt idx="196">
                  <c:v>10.99</c:v>
                </c:pt>
                <c:pt idx="197">
                  <c:v>11.2</c:v>
                </c:pt>
                <c:pt idx="198">
                  <c:v>11.08</c:v>
                </c:pt>
                <c:pt idx="199">
                  <c:v>10.92</c:v>
                </c:pt>
                <c:pt idx="200">
                  <c:v>10.85</c:v>
                </c:pt>
                <c:pt idx="201">
                  <c:v>11.45</c:v>
                </c:pt>
                <c:pt idx="202">
                  <c:v>12.02</c:v>
                </c:pt>
                <c:pt idx="203">
                  <c:v>12.8</c:v>
                </c:pt>
                <c:pt idx="204">
                  <c:v>13.17</c:v>
                </c:pt>
                <c:pt idx="205">
                  <c:v>13.4</c:v>
                </c:pt>
                <c:pt idx="206">
                  <c:v>13.4</c:v>
                </c:pt>
                <c:pt idx="207">
                  <c:v>13.24</c:v>
                </c:pt>
                <c:pt idx="208">
                  <c:v>13.34</c:v>
                </c:pt>
                <c:pt idx="209">
                  <c:v>13.15</c:v>
                </c:pt>
                <c:pt idx="210">
                  <c:v>12.51</c:v>
                </c:pt>
                <c:pt idx="211">
                  <c:v>10.83</c:v>
                </c:pt>
                <c:pt idx="212">
                  <c:v>10.73</c:v>
                </c:pt>
                <c:pt idx="213">
                  <c:v>10.87</c:v>
                </c:pt>
                <c:pt idx="214">
                  <c:v>10.75</c:v>
                </c:pt>
                <c:pt idx="215">
                  <c:v>10.75</c:v>
                </c:pt>
                <c:pt idx="216">
                  <c:v>10.48</c:v>
                </c:pt>
                <c:pt idx="217">
                  <c:v>10.55</c:v>
                </c:pt>
                <c:pt idx="218">
                  <c:v>11.08</c:v>
                </c:pt>
                <c:pt idx="219">
                  <c:v>11.24</c:v>
                </c:pt>
                <c:pt idx="220">
                  <c:v>11</c:v>
                </c:pt>
                <c:pt idx="221">
                  <c:v>10.76</c:v>
                </c:pt>
                <c:pt idx="222">
                  <c:v>10.19</c:v>
                </c:pt>
                <c:pt idx="223">
                  <c:v>10.1</c:v>
                </c:pt>
                <c:pt idx="224">
                  <c:v>10.26</c:v>
                </c:pt>
                <c:pt idx="225">
                  <c:v>10.68</c:v>
                </c:pt>
                <c:pt idx="226">
                  <c:v>10.96</c:v>
                </c:pt>
                <c:pt idx="227">
                  <c:v>10.77</c:v>
                </c:pt>
                <c:pt idx="228">
                  <c:v>10.64</c:v>
                </c:pt>
                <c:pt idx="229">
                  <c:v>10.75</c:v>
                </c:pt>
                <c:pt idx="230">
                  <c:v>10.97</c:v>
                </c:pt>
                <c:pt idx="231">
                  <c:v>10.83</c:v>
                </c:pt>
                <c:pt idx="232">
                  <c:v>11.03</c:v>
                </c:pt>
                <c:pt idx="233">
                  <c:v>10.91</c:v>
                </c:pt>
                <c:pt idx="234">
                  <c:v>10.72</c:v>
                </c:pt>
                <c:pt idx="235">
                  <c:v>10.54</c:v>
                </c:pt>
                <c:pt idx="236">
                  <c:v>10.06</c:v>
                </c:pt>
                <c:pt idx="237">
                  <c:v>10.220000000000001</c:v>
                </c:pt>
                <c:pt idx="238">
                  <c:v>10.52</c:v>
                </c:pt>
                <c:pt idx="239">
                  <c:v>10.89</c:v>
                </c:pt>
                <c:pt idx="240">
                  <c:v>11.07</c:v>
                </c:pt>
                <c:pt idx="241">
                  <c:v>10.43</c:v>
                </c:pt>
                <c:pt idx="242">
                  <c:v>9.41</c:v>
                </c:pt>
                <c:pt idx="243">
                  <c:v>9.11</c:v>
                </c:pt>
                <c:pt idx="244">
                  <c:v>9.49</c:v>
                </c:pt>
                <c:pt idx="245">
                  <c:v>10.15</c:v>
                </c:pt>
                <c:pt idx="246">
                  <c:v>10.8</c:v>
                </c:pt>
                <c:pt idx="247">
                  <c:v>10.88</c:v>
                </c:pt>
                <c:pt idx="248">
                  <c:v>10.78</c:v>
                </c:pt>
                <c:pt idx="249">
                  <c:v>10.83</c:v>
                </c:pt>
                <c:pt idx="250">
                  <c:v>10.91</c:v>
                </c:pt>
                <c:pt idx="251">
                  <c:v>10.82</c:v>
                </c:pt>
                <c:pt idx="252">
                  <c:v>9.8699999999999992</c:v>
                </c:pt>
                <c:pt idx="253">
                  <c:v>10.11</c:v>
                </c:pt>
                <c:pt idx="254">
                  <c:v>10.11</c:v>
                </c:pt>
                <c:pt idx="255">
                  <c:v>10.11</c:v>
                </c:pt>
                <c:pt idx="256">
                  <c:v>8.8000000000000007</c:v>
                </c:pt>
                <c:pt idx="257">
                  <c:v>7.95</c:v>
                </c:pt>
                <c:pt idx="258">
                  <c:v>7.33</c:v>
                </c:pt>
                <c:pt idx="259">
                  <c:v>7.26</c:v>
                </c:pt>
                <c:pt idx="260">
                  <c:v>7.3</c:v>
                </c:pt>
                <c:pt idx="261">
                  <c:v>7.91</c:v>
                </c:pt>
                <c:pt idx="262">
                  <c:v>7.43</c:v>
                </c:pt>
                <c:pt idx="263">
                  <c:v>6.78</c:v>
                </c:pt>
                <c:pt idx="264">
                  <c:v>6.3209999999999997</c:v>
                </c:pt>
                <c:pt idx="265">
                  <c:v>6.3</c:v>
                </c:pt>
                <c:pt idx="266">
                  <c:v>6.6109999999999998</c:v>
                </c:pt>
                <c:pt idx="267">
                  <c:v>7.04</c:v>
                </c:pt>
                <c:pt idx="268">
                  <c:v>7.27</c:v>
                </c:pt>
                <c:pt idx="269">
                  <c:v>7.45</c:v>
                </c:pt>
                <c:pt idx="270">
                  <c:v>7.68</c:v>
                </c:pt>
                <c:pt idx="271">
                  <c:v>7.93</c:v>
                </c:pt>
                <c:pt idx="272">
                  <c:v>8</c:v>
                </c:pt>
                <c:pt idx="273">
                  <c:v>7.66</c:v>
                </c:pt>
                <c:pt idx="274">
                  <c:v>6.9989999999999997</c:v>
                </c:pt>
                <c:pt idx="275">
                  <c:v>6.4269999999999996</c:v>
                </c:pt>
                <c:pt idx="276">
                  <c:v>6.2750000000000004</c:v>
                </c:pt>
                <c:pt idx="277">
                  <c:v>6.282</c:v>
                </c:pt>
                <c:pt idx="278">
                  <c:v>6.2380000000000004</c:v>
                </c:pt>
                <c:pt idx="279">
                  <c:v>5.7990000000000004</c:v>
                </c:pt>
                <c:pt idx="280">
                  <c:v>5.5119999999999996</c:v>
                </c:pt>
                <c:pt idx="281">
                  <c:v>5.2809999999999997</c:v>
                </c:pt>
                <c:pt idx="282">
                  <c:v>5.0129999999999999</c:v>
                </c:pt>
                <c:pt idx="283">
                  <c:v>4.9530000000000003</c:v>
                </c:pt>
                <c:pt idx="284">
                  <c:v>5.1470000000000002</c:v>
                </c:pt>
                <c:pt idx="285">
                  <c:v>5.2830000000000004</c:v>
                </c:pt>
                <c:pt idx="286">
                  <c:v>5.3780000000000001</c:v>
                </c:pt>
                <c:pt idx="287">
                  <c:v>5.141</c:v>
                </c:pt>
                <c:pt idx="288">
                  <c:v>5.0129999999999999</c:v>
                </c:pt>
                <c:pt idx="289">
                  <c:v>4.6630000000000003</c:v>
                </c:pt>
                <c:pt idx="290">
                  <c:v>4.2759999999999998</c:v>
                </c:pt>
                <c:pt idx="291">
                  <c:v>4.1589999999999998</c:v>
                </c:pt>
                <c:pt idx="292">
                  <c:v>4.1230000000000002</c:v>
                </c:pt>
                <c:pt idx="293">
                  <c:v>3.8940000000000001</c:v>
                </c:pt>
                <c:pt idx="294">
                  <c:v>3.657</c:v>
                </c:pt>
                <c:pt idx="295">
                  <c:v>3.39</c:v>
                </c:pt>
                <c:pt idx="296">
                  <c:v>3.2</c:v>
                </c:pt>
                <c:pt idx="297">
                  <c:v>3.1179999999999999</c:v>
                </c:pt>
                <c:pt idx="298">
                  <c:v>2.782</c:v>
                </c:pt>
                <c:pt idx="299">
                  <c:v>3.2050000000000001</c:v>
                </c:pt>
                <c:pt idx="300">
                  <c:v>3.25</c:v>
                </c:pt>
                <c:pt idx="301">
                  <c:v>3.19</c:v>
                </c:pt>
                <c:pt idx="302">
                  <c:v>2.82</c:v>
                </c:pt>
                <c:pt idx="303">
                  <c:v>2.1669999999999998</c:v>
                </c:pt>
                <c:pt idx="304">
                  <c:v>1.984</c:v>
                </c:pt>
                <c:pt idx="305">
                  <c:v>1.5009999999999999</c:v>
                </c:pt>
                <c:pt idx="306">
                  <c:v>1.3460000000000001</c:v>
                </c:pt>
                <c:pt idx="307">
                  <c:v>1.262</c:v>
                </c:pt>
                <c:pt idx="308">
                  <c:v>1.0489999999999999</c:v>
                </c:pt>
                <c:pt idx="309">
                  <c:v>0.91100000000000003</c:v>
                </c:pt>
                <c:pt idx="310">
                  <c:v>0.86699999999999999</c:v>
                </c:pt>
                <c:pt idx="311">
                  <c:v>0.77400000000000002</c:v>
                </c:pt>
                <c:pt idx="312">
                  <c:v>0.80300000000000005</c:v>
                </c:pt>
                <c:pt idx="313">
                  <c:v>0.71899999999999997</c:v>
                </c:pt>
                <c:pt idx="314">
                  <c:v>0.61099999999999999</c:v>
                </c:pt>
                <c:pt idx="315">
                  <c:v>0.56599999999999995</c:v>
                </c:pt>
                <c:pt idx="316">
                  <c:v>0.58099999999999996</c:v>
                </c:pt>
                <c:pt idx="317">
                  <c:v>0.72899999999999998</c:v>
                </c:pt>
                <c:pt idx="318">
                  <c:v>0.61699999999999999</c:v>
                </c:pt>
                <c:pt idx="319">
                  <c:v>0.624</c:v>
                </c:pt>
                <c:pt idx="320">
                  <c:v>0.61699999999999999</c:v>
                </c:pt>
                <c:pt idx="321">
                  <c:v>0.66400000000000003</c:v>
                </c:pt>
                <c:pt idx="322">
                  <c:v>0.69199999999999995</c:v>
                </c:pt>
                <c:pt idx="323">
                  <c:v>0.67900000000000005</c:v>
                </c:pt>
                <c:pt idx="324">
                  <c:v>0.54400000000000004</c:v>
                </c:pt>
                <c:pt idx="325">
                  <c:v>0.58799999999999997</c:v>
                </c:pt>
                <c:pt idx="326">
                  <c:v>0.56499999999999995</c:v>
                </c:pt>
                <c:pt idx="327">
                  <c:v>0.55000000000000004</c:v>
                </c:pt>
                <c:pt idx="328">
                  <c:v>0.56200000000000006</c:v>
                </c:pt>
                <c:pt idx="329">
                  <c:v>0.55700000000000005</c:v>
                </c:pt>
                <c:pt idx="330">
                  <c:v>0.38700000000000001</c:v>
                </c:pt>
                <c:pt idx="331">
                  <c:v>0.22600000000000001</c:v>
                </c:pt>
                <c:pt idx="332">
                  <c:v>0.47899999999999998</c:v>
                </c:pt>
                <c:pt idx="333">
                  <c:v>0.31900000000000001</c:v>
                </c:pt>
                <c:pt idx="334">
                  <c:v>0.219</c:v>
                </c:pt>
                <c:pt idx="335">
                  <c:v>0.41699999999999998</c:v>
                </c:pt>
                <c:pt idx="336">
                  <c:v>0.14799999999999999</c:v>
                </c:pt>
                <c:pt idx="337">
                  <c:v>0.10299999999999999</c:v>
                </c:pt>
                <c:pt idx="338">
                  <c:v>0.16500000000000001</c:v>
                </c:pt>
                <c:pt idx="339">
                  <c:v>0.14199999999999999</c:v>
                </c:pt>
                <c:pt idx="340">
                  <c:v>0.156</c:v>
                </c:pt>
                <c:pt idx="341">
                  <c:v>0.126</c:v>
                </c:pt>
                <c:pt idx="342">
                  <c:v>0.20499999999999999</c:v>
                </c:pt>
                <c:pt idx="343">
                  <c:v>0.215</c:v>
                </c:pt>
                <c:pt idx="344">
                  <c:v>0.13600000000000001</c:v>
                </c:pt>
                <c:pt idx="345">
                  <c:v>0.13600000000000001</c:v>
                </c:pt>
                <c:pt idx="346">
                  <c:v>0.14799999999999999</c:v>
                </c:pt>
                <c:pt idx="347">
                  <c:v>0.12</c:v>
                </c:pt>
                <c:pt idx="348">
                  <c:v>9.7000000000000003E-2</c:v>
                </c:pt>
                <c:pt idx="349">
                  <c:v>8.2000000000000003E-2</c:v>
                </c:pt>
                <c:pt idx="350">
                  <c:v>4.2999999999999997E-2</c:v>
                </c:pt>
                <c:pt idx="351">
                  <c:v>7.5999999999999998E-2</c:v>
                </c:pt>
                <c:pt idx="352">
                  <c:v>8.7999999999999995E-2</c:v>
                </c:pt>
                <c:pt idx="353">
                  <c:v>9.9000000000000005E-2</c:v>
                </c:pt>
                <c:pt idx="354">
                  <c:v>8.7999999999999995E-2</c:v>
                </c:pt>
                <c:pt idx="355">
                  <c:v>6.3E-2</c:v>
                </c:pt>
                <c:pt idx="356">
                  <c:v>6.6000000000000003E-2</c:v>
                </c:pt>
                <c:pt idx="357">
                  <c:v>0.20399999999999999</c:v>
                </c:pt>
                <c:pt idx="358">
                  <c:v>0.10100000000000001</c:v>
                </c:pt>
                <c:pt idx="359">
                  <c:v>0.09</c:v>
                </c:pt>
                <c:pt idx="360">
                  <c:v>7.9000000000000001E-2</c:v>
                </c:pt>
                <c:pt idx="361">
                  <c:v>0.109</c:v>
                </c:pt>
                <c:pt idx="362">
                  <c:v>0.155</c:v>
                </c:pt>
                <c:pt idx="363">
                  <c:v>9.2999999999999999E-2</c:v>
                </c:pt>
                <c:pt idx="364">
                  <c:v>0.112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-0.38300000000000001</c:v>
                </c:pt>
                <c:pt idx="1">
                  <c:v>-0.39100000000000001</c:v>
                </c:pt>
                <c:pt idx="2">
                  <c:v>-0.55000000000000004</c:v>
                </c:pt>
                <c:pt idx="3">
                  <c:v>-0.52200000000000002</c:v>
                </c:pt>
                <c:pt idx="4">
                  <c:v>-0.214</c:v>
                </c:pt>
                <c:pt idx="5">
                  <c:v>-0.19600000000000001</c:v>
                </c:pt>
                <c:pt idx="6">
                  <c:v>-0.436</c:v>
                </c:pt>
                <c:pt idx="7">
                  <c:v>-0.32200000000000001</c:v>
                </c:pt>
                <c:pt idx="8">
                  <c:v>-0.3</c:v>
                </c:pt>
                <c:pt idx="9">
                  <c:v>-0.28199999999999997</c:v>
                </c:pt>
                <c:pt idx="10">
                  <c:v>-0.21099999999999999</c:v>
                </c:pt>
                <c:pt idx="11">
                  <c:v>-0.245</c:v>
                </c:pt>
                <c:pt idx="12">
                  <c:v>-0.20499999999999999</c:v>
                </c:pt>
                <c:pt idx="13">
                  <c:v>-0.27200000000000002</c:v>
                </c:pt>
                <c:pt idx="14">
                  <c:v>-0.42899999999999999</c:v>
                </c:pt>
                <c:pt idx="15">
                  <c:v>-0.40699999999999997</c:v>
                </c:pt>
                <c:pt idx="16">
                  <c:v>-0.28100000000000003</c:v>
                </c:pt>
                <c:pt idx="17">
                  <c:v>-0.54900000000000004</c:v>
                </c:pt>
                <c:pt idx="18">
                  <c:v>-0.38100000000000001</c:v>
                </c:pt>
                <c:pt idx="19">
                  <c:v>-0.35699999999999998</c:v>
                </c:pt>
                <c:pt idx="20">
                  <c:v>-0.52700000000000002</c:v>
                </c:pt>
                <c:pt idx="21">
                  <c:v>-0.38500000000000001</c:v>
                </c:pt>
                <c:pt idx="22">
                  <c:v>-0.35799999999999998</c:v>
                </c:pt>
                <c:pt idx="23">
                  <c:v>-0.34899999999999998</c:v>
                </c:pt>
                <c:pt idx="24">
                  <c:v>-0.39900000000000002</c:v>
                </c:pt>
                <c:pt idx="25">
                  <c:v>-0.32700000000000001</c:v>
                </c:pt>
                <c:pt idx="26">
                  <c:v>-0.52300000000000002</c:v>
                </c:pt>
                <c:pt idx="27">
                  <c:v>-0.36799999999999999</c:v>
                </c:pt>
                <c:pt idx="28">
                  <c:v>-0.435</c:v>
                </c:pt>
                <c:pt idx="29">
                  <c:v>-0.34399999999999997</c:v>
                </c:pt>
                <c:pt idx="30">
                  <c:v>-0.27700000000000002</c:v>
                </c:pt>
                <c:pt idx="31">
                  <c:v>-0.28299999999999997</c:v>
                </c:pt>
                <c:pt idx="32">
                  <c:v>-0.26800000000000002</c:v>
                </c:pt>
                <c:pt idx="33">
                  <c:v>-0.26200000000000001</c:v>
                </c:pt>
                <c:pt idx="34">
                  <c:v>-0.251</c:v>
                </c:pt>
                <c:pt idx="35">
                  <c:v>-0.23</c:v>
                </c:pt>
                <c:pt idx="36">
                  <c:v>-0.29799999999999999</c:v>
                </c:pt>
                <c:pt idx="37">
                  <c:v>-0.311</c:v>
                </c:pt>
                <c:pt idx="38">
                  <c:v>-0.29899999999999999</c:v>
                </c:pt>
                <c:pt idx="39">
                  <c:v>-0.39700000000000002</c:v>
                </c:pt>
                <c:pt idx="40">
                  <c:v>-0.56299999999999994</c:v>
                </c:pt>
                <c:pt idx="41">
                  <c:v>-0.62</c:v>
                </c:pt>
                <c:pt idx="42">
                  <c:v>-0.6</c:v>
                </c:pt>
                <c:pt idx="43">
                  <c:v>-0.505</c:v>
                </c:pt>
                <c:pt idx="44">
                  <c:v>-0.51600000000000001</c:v>
                </c:pt>
                <c:pt idx="45">
                  <c:v>-0.75800000000000001</c:v>
                </c:pt>
                <c:pt idx="46">
                  <c:v>-0.95099999999999996</c:v>
                </c:pt>
                <c:pt idx="47">
                  <c:v>-1.224</c:v>
                </c:pt>
                <c:pt idx="48">
                  <c:v>-1.343</c:v>
                </c:pt>
                <c:pt idx="49">
                  <c:v>-1.397</c:v>
                </c:pt>
                <c:pt idx="50">
                  <c:v>-1.125</c:v>
                </c:pt>
                <c:pt idx="51">
                  <c:v>-0.88500000000000001</c:v>
                </c:pt>
                <c:pt idx="52">
                  <c:v>-0.71199999999999997</c:v>
                </c:pt>
                <c:pt idx="53">
                  <c:v>-0.66800000000000004</c:v>
                </c:pt>
                <c:pt idx="54">
                  <c:v>-0.98299999999999998</c:v>
                </c:pt>
                <c:pt idx="55">
                  <c:v>-1.337</c:v>
                </c:pt>
                <c:pt idx="56">
                  <c:v>-1.1419999999999999</c:v>
                </c:pt>
                <c:pt idx="57">
                  <c:v>-0.84399999999999997</c:v>
                </c:pt>
                <c:pt idx="58">
                  <c:v>-0.61599999999999999</c:v>
                </c:pt>
                <c:pt idx="59">
                  <c:v>-0.55800000000000005</c:v>
                </c:pt>
                <c:pt idx="60">
                  <c:v>-0.60399999999999998</c:v>
                </c:pt>
                <c:pt idx="61">
                  <c:v>-0.72099999999999997</c:v>
                </c:pt>
                <c:pt idx="62">
                  <c:v>-0.92</c:v>
                </c:pt>
                <c:pt idx="63">
                  <c:v>-0.92800000000000005</c:v>
                </c:pt>
                <c:pt idx="64">
                  <c:v>-0.79</c:v>
                </c:pt>
                <c:pt idx="65">
                  <c:v>-0.61299999999999999</c:v>
                </c:pt>
                <c:pt idx="66">
                  <c:v>-0.55700000000000005</c:v>
                </c:pt>
                <c:pt idx="67">
                  <c:v>-0.59599999999999997</c:v>
                </c:pt>
                <c:pt idx="68">
                  <c:v>-0.89100000000000001</c:v>
                </c:pt>
                <c:pt idx="69">
                  <c:v>-1.169</c:v>
                </c:pt>
                <c:pt idx="70">
                  <c:v>-1.3540000000000001</c:v>
                </c:pt>
                <c:pt idx="71">
                  <c:v>-1.4750000000000001</c:v>
                </c:pt>
                <c:pt idx="72">
                  <c:v>-1.274</c:v>
                </c:pt>
                <c:pt idx="73">
                  <c:v>-1</c:v>
                </c:pt>
                <c:pt idx="74">
                  <c:v>-0.89600000000000002</c:v>
                </c:pt>
                <c:pt idx="75">
                  <c:v>-0.751</c:v>
                </c:pt>
                <c:pt idx="76">
                  <c:v>-0.65200000000000002</c:v>
                </c:pt>
                <c:pt idx="77">
                  <c:v>-0.83399999999999996</c:v>
                </c:pt>
                <c:pt idx="78">
                  <c:v>-0.92400000000000004</c:v>
                </c:pt>
                <c:pt idx="79">
                  <c:v>-0.85499999999999998</c:v>
                </c:pt>
                <c:pt idx="80">
                  <c:v>-0.69599999999999995</c:v>
                </c:pt>
                <c:pt idx="81">
                  <c:v>-0.624</c:v>
                </c:pt>
                <c:pt idx="82">
                  <c:v>-0.50900000000000001</c:v>
                </c:pt>
                <c:pt idx="83">
                  <c:v>-0.41499999999999998</c:v>
                </c:pt>
                <c:pt idx="84">
                  <c:v>-0.437</c:v>
                </c:pt>
                <c:pt idx="85">
                  <c:v>-0.47199999999999998</c:v>
                </c:pt>
                <c:pt idx="86">
                  <c:v>-0.55000000000000004</c:v>
                </c:pt>
                <c:pt idx="87">
                  <c:v>-0.53500000000000003</c:v>
                </c:pt>
                <c:pt idx="88">
                  <c:v>-0.46500000000000002</c:v>
                </c:pt>
                <c:pt idx="89">
                  <c:v>-0.46800000000000003</c:v>
                </c:pt>
                <c:pt idx="90">
                  <c:v>-0.42699999999999999</c:v>
                </c:pt>
                <c:pt idx="91">
                  <c:v>-0.39900000000000002</c:v>
                </c:pt>
                <c:pt idx="92">
                  <c:v>-0.36299999999999999</c:v>
                </c:pt>
                <c:pt idx="93">
                  <c:v>-0.36199999999999999</c:v>
                </c:pt>
                <c:pt idx="94">
                  <c:v>-0.33500000000000002</c:v>
                </c:pt>
                <c:pt idx="95">
                  <c:v>-0.316</c:v>
                </c:pt>
                <c:pt idx="96">
                  <c:v>-0.40300000000000002</c:v>
                </c:pt>
                <c:pt idx="97">
                  <c:v>-0.27800000000000002</c:v>
                </c:pt>
                <c:pt idx="98">
                  <c:v>-0.26900000000000002</c:v>
                </c:pt>
                <c:pt idx="99">
                  <c:v>-0.35399999999999998</c:v>
                </c:pt>
                <c:pt idx="100">
                  <c:v>-0.30499999999999999</c:v>
                </c:pt>
                <c:pt idx="101">
                  <c:v>-0.29599999999999999</c:v>
                </c:pt>
                <c:pt idx="102">
                  <c:v>-0.32</c:v>
                </c:pt>
                <c:pt idx="103">
                  <c:v>-0.35899999999999999</c:v>
                </c:pt>
                <c:pt idx="104">
                  <c:v>-0.36699999999999999</c:v>
                </c:pt>
                <c:pt idx="105">
                  <c:v>-0.42199999999999999</c:v>
                </c:pt>
                <c:pt idx="106">
                  <c:v>-0.51300000000000001</c:v>
                </c:pt>
                <c:pt idx="107">
                  <c:v>-0.56100000000000005</c:v>
                </c:pt>
                <c:pt idx="108">
                  <c:v>-0.56499999999999995</c:v>
                </c:pt>
                <c:pt idx="109">
                  <c:v>-0.373</c:v>
                </c:pt>
                <c:pt idx="110">
                  <c:v>-0.33100000000000002</c:v>
                </c:pt>
                <c:pt idx="111">
                  <c:v>-0.41799999999999998</c:v>
                </c:pt>
                <c:pt idx="112">
                  <c:v>-0.42899999999999999</c:v>
                </c:pt>
                <c:pt idx="113">
                  <c:v>-0.48199999999999998</c:v>
                </c:pt>
                <c:pt idx="114">
                  <c:v>-0.38</c:v>
                </c:pt>
                <c:pt idx="115">
                  <c:v>-0.38100000000000001</c:v>
                </c:pt>
                <c:pt idx="116">
                  <c:v>-0.36</c:v>
                </c:pt>
                <c:pt idx="117">
                  <c:v>-0.32600000000000001</c:v>
                </c:pt>
                <c:pt idx="118">
                  <c:v>-0.35299999999999998</c:v>
                </c:pt>
                <c:pt idx="119">
                  <c:v>-0.46100000000000002</c:v>
                </c:pt>
                <c:pt idx="120">
                  <c:v>-0.374</c:v>
                </c:pt>
                <c:pt idx="121">
                  <c:v>-0.504</c:v>
                </c:pt>
                <c:pt idx="122">
                  <c:v>-0.55900000000000005</c:v>
                </c:pt>
                <c:pt idx="123">
                  <c:v>-0.38500000000000001</c:v>
                </c:pt>
                <c:pt idx="124">
                  <c:v>-0.378</c:v>
                </c:pt>
                <c:pt idx="125">
                  <c:v>-0.438</c:v>
                </c:pt>
                <c:pt idx="126">
                  <c:v>-0.51300000000000001</c:v>
                </c:pt>
                <c:pt idx="127">
                  <c:v>-0.441</c:v>
                </c:pt>
                <c:pt idx="128">
                  <c:v>-0.53</c:v>
                </c:pt>
                <c:pt idx="129">
                  <c:v>-0.40400000000000003</c:v>
                </c:pt>
                <c:pt idx="130">
                  <c:v>-0.28999999999999998</c:v>
                </c:pt>
                <c:pt idx="131">
                  <c:v>-0.35299999999999998</c:v>
                </c:pt>
                <c:pt idx="132">
                  <c:v>-0.501</c:v>
                </c:pt>
                <c:pt idx="133">
                  <c:v>-0.40200000000000002</c:v>
                </c:pt>
                <c:pt idx="134">
                  <c:v>-0.73199999999999998</c:v>
                </c:pt>
                <c:pt idx="135">
                  <c:v>-0.82599999999999996</c:v>
                </c:pt>
                <c:pt idx="136">
                  <c:v>-0.82399999999999995</c:v>
                </c:pt>
                <c:pt idx="137">
                  <c:v>-0.56799999999999995</c:v>
                </c:pt>
                <c:pt idx="138">
                  <c:v>-0.502</c:v>
                </c:pt>
                <c:pt idx="139">
                  <c:v>-0.157</c:v>
                </c:pt>
                <c:pt idx="140">
                  <c:v>-0.27800000000000002</c:v>
                </c:pt>
                <c:pt idx="141">
                  <c:v>-0.47499999999999998</c:v>
                </c:pt>
                <c:pt idx="142">
                  <c:v>-0.29199999999999998</c:v>
                </c:pt>
                <c:pt idx="143">
                  <c:v>-0.224</c:v>
                </c:pt>
                <c:pt idx="144">
                  <c:v>-0.33</c:v>
                </c:pt>
                <c:pt idx="145">
                  <c:v>-0.223</c:v>
                </c:pt>
                <c:pt idx="146">
                  <c:v>-0.11899999999999999</c:v>
                </c:pt>
                <c:pt idx="147">
                  <c:v>0.11600000000000001</c:v>
                </c:pt>
                <c:pt idx="148">
                  <c:v>0.55300000000000005</c:v>
                </c:pt>
                <c:pt idx="149">
                  <c:v>1.331</c:v>
                </c:pt>
                <c:pt idx="150">
                  <c:v>3.9470000000000001</c:v>
                </c:pt>
                <c:pt idx="151">
                  <c:v>5.399</c:v>
                </c:pt>
                <c:pt idx="152">
                  <c:v>9.31</c:v>
                </c:pt>
                <c:pt idx="153">
                  <c:v>8.7200000000000006</c:v>
                </c:pt>
                <c:pt idx="154">
                  <c:v>8.41</c:v>
                </c:pt>
                <c:pt idx="155">
                  <c:v>8.0299999999999994</c:v>
                </c:pt>
                <c:pt idx="156">
                  <c:v>7.81</c:v>
                </c:pt>
                <c:pt idx="157">
                  <c:v>8.1199999999999992</c:v>
                </c:pt>
                <c:pt idx="158">
                  <c:v>8.64</c:v>
                </c:pt>
                <c:pt idx="159">
                  <c:v>8.42</c:v>
                </c:pt>
                <c:pt idx="160">
                  <c:v>8.61</c:v>
                </c:pt>
                <c:pt idx="161">
                  <c:v>8.81</c:v>
                </c:pt>
                <c:pt idx="162">
                  <c:v>8.7799999999999994</c:v>
                </c:pt>
                <c:pt idx="163">
                  <c:v>8.89</c:v>
                </c:pt>
                <c:pt idx="164">
                  <c:v>9.3800000000000008</c:v>
                </c:pt>
                <c:pt idx="165">
                  <c:v>8.07</c:v>
                </c:pt>
                <c:pt idx="166">
                  <c:v>7.59</c:v>
                </c:pt>
                <c:pt idx="167">
                  <c:v>8</c:v>
                </c:pt>
                <c:pt idx="168">
                  <c:v>8.09</c:v>
                </c:pt>
                <c:pt idx="169">
                  <c:v>8.14</c:v>
                </c:pt>
                <c:pt idx="170">
                  <c:v>7.74</c:v>
                </c:pt>
                <c:pt idx="171">
                  <c:v>7.54</c:v>
                </c:pt>
                <c:pt idx="172">
                  <c:v>7.68</c:v>
                </c:pt>
                <c:pt idx="173">
                  <c:v>7.86</c:v>
                </c:pt>
                <c:pt idx="174">
                  <c:v>8.1199999999999992</c:v>
                </c:pt>
                <c:pt idx="175">
                  <c:v>8.65</c:v>
                </c:pt>
                <c:pt idx="176">
                  <c:v>9.3000000000000007</c:v>
                </c:pt>
                <c:pt idx="177">
                  <c:v>9.9600000000000009</c:v>
                </c:pt>
                <c:pt idx="178">
                  <c:v>10.08</c:v>
                </c:pt>
                <c:pt idx="179">
                  <c:v>9.7899999999999991</c:v>
                </c:pt>
                <c:pt idx="180">
                  <c:v>9.9700000000000006</c:v>
                </c:pt>
                <c:pt idx="181">
                  <c:v>9.91</c:v>
                </c:pt>
                <c:pt idx="182">
                  <c:v>9.99</c:v>
                </c:pt>
                <c:pt idx="183">
                  <c:v>10.34</c:v>
                </c:pt>
                <c:pt idx="184">
                  <c:v>10.57</c:v>
                </c:pt>
                <c:pt idx="185">
                  <c:v>10.29</c:v>
                </c:pt>
                <c:pt idx="186">
                  <c:v>10.54</c:v>
                </c:pt>
                <c:pt idx="187">
                  <c:v>10.39</c:v>
                </c:pt>
                <c:pt idx="188">
                  <c:v>10.35</c:v>
                </c:pt>
                <c:pt idx="189">
                  <c:v>10.57</c:v>
                </c:pt>
                <c:pt idx="190">
                  <c:v>10.82</c:v>
                </c:pt>
                <c:pt idx="191">
                  <c:v>10.68</c:v>
                </c:pt>
                <c:pt idx="192">
                  <c:v>10.41</c:v>
                </c:pt>
                <c:pt idx="193">
                  <c:v>10.039999999999999</c:v>
                </c:pt>
                <c:pt idx="194">
                  <c:v>9.5399999999999991</c:v>
                </c:pt>
                <c:pt idx="195">
                  <c:v>9.51</c:v>
                </c:pt>
                <c:pt idx="196">
                  <c:v>9.3800000000000008</c:v>
                </c:pt>
                <c:pt idx="197">
                  <c:v>9.34</c:v>
                </c:pt>
                <c:pt idx="198">
                  <c:v>9.39</c:v>
                </c:pt>
                <c:pt idx="199">
                  <c:v>9.52</c:v>
                </c:pt>
                <c:pt idx="200">
                  <c:v>9.34</c:v>
                </c:pt>
                <c:pt idx="201">
                  <c:v>10.1</c:v>
                </c:pt>
                <c:pt idx="202">
                  <c:v>10.93</c:v>
                </c:pt>
                <c:pt idx="203">
                  <c:v>11.41</c:v>
                </c:pt>
                <c:pt idx="204">
                  <c:v>11.91</c:v>
                </c:pt>
                <c:pt idx="205">
                  <c:v>11.85</c:v>
                </c:pt>
                <c:pt idx="206">
                  <c:v>11.55</c:v>
                </c:pt>
                <c:pt idx="207">
                  <c:v>11.84</c:v>
                </c:pt>
                <c:pt idx="208">
                  <c:v>11.64</c:v>
                </c:pt>
                <c:pt idx="209">
                  <c:v>11.47</c:v>
                </c:pt>
                <c:pt idx="210">
                  <c:v>10.46</c:v>
                </c:pt>
                <c:pt idx="211">
                  <c:v>9.5299999999999994</c:v>
                </c:pt>
                <c:pt idx="212">
                  <c:v>9.59</c:v>
                </c:pt>
                <c:pt idx="213">
                  <c:v>9.6300000000000008</c:v>
                </c:pt>
                <c:pt idx="214">
                  <c:v>9.67</c:v>
                </c:pt>
                <c:pt idx="215">
                  <c:v>9.3800000000000008</c:v>
                </c:pt>
                <c:pt idx="216">
                  <c:v>8.8800000000000008</c:v>
                </c:pt>
                <c:pt idx="217">
                  <c:v>9.23</c:v>
                </c:pt>
                <c:pt idx="218">
                  <c:v>9.75</c:v>
                </c:pt>
                <c:pt idx="219">
                  <c:v>9.9600000000000009</c:v>
                </c:pt>
                <c:pt idx="220">
                  <c:v>10.01</c:v>
                </c:pt>
                <c:pt idx="221">
                  <c:v>9.3000000000000007</c:v>
                </c:pt>
                <c:pt idx="222">
                  <c:v>9.19</c:v>
                </c:pt>
                <c:pt idx="223">
                  <c:v>8.7200000000000006</c:v>
                </c:pt>
                <c:pt idx="224">
                  <c:v>9.08</c:v>
                </c:pt>
                <c:pt idx="225">
                  <c:v>9.33</c:v>
                </c:pt>
                <c:pt idx="226">
                  <c:v>9.6199999999999992</c:v>
                </c:pt>
                <c:pt idx="227">
                  <c:v>9.25</c:v>
                </c:pt>
                <c:pt idx="228">
                  <c:v>9.11</c:v>
                </c:pt>
                <c:pt idx="229">
                  <c:v>9.4</c:v>
                </c:pt>
                <c:pt idx="230">
                  <c:v>9.39</c:v>
                </c:pt>
                <c:pt idx="231">
                  <c:v>9.5299999999999994</c:v>
                </c:pt>
                <c:pt idx="232">
                  <c:v>9.6199999999999992</c:v>
                </c:pt>
                <c:pt idx="233">
                  <c:v>10.029999999999999</c:v>
                </c:pt>
                <c:pt idx="234">
                  <c:v>8.9499999999999993</c:v>
                </c:pt>
                <c:pt idx="235">
                  <c:v>8.9700000000000006</c:v>
                </c:pt>
                <c:pt idx="236">
                  <c:v>8.8000000000000007</c:v>
                </c:pt>
                <c:pt idx="237">
                  <c:v>8.89</c:v>
                </c:pt>
                <c:pt idx="238">
                  <c:v>9.3000000000000007</c:v>
                </c:pt>
                <c:pt idx="239">
                  <c:v>9.5500000000000007</c:v>
                </c:pt>
                <c:pt idx="240">
                  <c:v>9.89</c:v>
                </c:pt>
                <c:pt idx="241">
                  <c:v>8.93</c:v>
                </c:pt>
                <c:pt idx="242">
                  <c:v>7.99</c:v>
                </c:pt>
                <c:pt idx="243">
                  <c:v>7.86</c:v>
                </c:pt>
                <c:pt idx="244">
                  <c:v>8.17</c:v>
                </c:pt>
                <c:pt idx="245">
                  <c:v>8.52</c:v>
                </c:pt>
                <c:pt idx="246">
                  <c:v>9.1999999999999993</c:v>
                </c:pt>
                <c:pt idx="247">
                  <c:v>9.61</c:v>
                </c:pt>
                <c:pt idx="248">
                  <c:v>9.51</c:v>
                </c:pt>
                <c:pt idx="249">
                  <c:v>9.52</c:v>
                </c:pt>
                <c:pt idx="250">
                  <c:v>9.5</c:v>
                </c:pt>
                <c:pt idx="251">
                  <c:v>9.01</c:v>
                </c:pt>
                <c:pt idx="252">
                  <c:v>9.01</c:v>
                </c:pt>
                <c:pt idx="253">
                  <c:v>8.81</c:v>
                </c:pt>
                <c:pt idx="254">
                  <c:v>8.98</c:v>
                </c:pt>
                <c:pt idx="255">
                  <c:v>8.2100000000000009</c:v>
                </c:pt>
                <c:pt idx="256">
                  <c:v>7.65</c:v>
                </c:pt>
                <c:pt idx="257">
                  <c:v>6.8529999999999998</c:v>
                </c:pt>
                <c:pt idx="258">
                  <c:v>6.4370000000000003</c:v>
                </c:pt>
                <c:pt idx="259">
                  <c:v>6.101</c:v>
                </c:pt>
                <c:pt idx="260">
                  <c:v>6.907</c:v>
                </c:pt>
                <c:pt idx="261">
                  <c:v>6.7560000000000002</c:v>
                </c:pt>
                <c:pt idx="262">
                  <c:v>6.4489999999999998</c:v>
                </c:pt>
                <c:pt idx="263">
                  <c:v>6.1520000000000001</c:v>
                </c:pt>
                <c:pt idx="264">
                  <c:v>5.8019999999999996</c:v>
                </c:pt>
                <c:pt idx="265">
                  <c:v>5.8890000000000002</c:v>
                </c:pt>
                <c:pt idx="266">
                  <c:v>5.806</c:v>
                </c:pt>
                <c:pt idx="267">
                  <c:v>6.2069999999999999</c:v>
                </c:pt>
                <c:pt idx="268">
                  <c:v>6.7640000000000002</c:v>
                </c:pt>
                <c:pt idx="269">
                  <c:v>6.59</c:v>
                </c:pt>
                <c:pt idx="270">
                  <c:v>6.8440000000000003</c:v>
                </c:pt>
                <c:pt idx="271">
                  <c:v>6.9859999999999998</c:v>
                </c:pt>
                <c:pt idx="272">
                  <c:v>6.9710000000000001</c:v>
                </c:pt>
                <c:pt idx="273">
                  <c:v>6.7359999999999998</c:v>
                </c:pt>
                <c:pt idx="274">
                  <c:v>5.968</c:v>
                </c:pt>
                <c:pt idx="275">
                  <c:v>5.7530000000000001</c:v>
                </c:pt>
                <c:pt idx="276">
                  <c:v>5.31</c:v>
                </c:pt>
                <c:pt idx="277">
                  <c:v>5.2309999999999999</c:v>
                </c:pt>
                <c:pt idx="278">
                  <c:v>5.452</c:v>
                </c:pt>
                <c:pt idx="279">
                  <c:v>5.0359999999999996</c:v>
                </c:pt>
                <c:pt idx="280">
                  <c:v>4.6189999999999998</c:v>
                </c:pt>
                <c:pt idx="281">
                  <c:v>4.1070000000000002</c:v>
                </c:pt>
                <c:pt idx="282">
                  <c:v>4.0419999999999998</c:v>
                </c:pt>
                <c:pt idx="283">
                  <c:v>4.0789999999999997</c:v>
                </c:pt>
                <c:pt idx="284">
                  <c:v>4.2210000000000001</c:v>
                </c:pt>
                <c:pt idx="285">
                  <c:v>4.4669999999999996</c:v>
                </c:pt>
                <c:pt idx="286">
                  <c:v>4.7119999999999997</c:v>
                </c:pt>
                <c:pt idx="287">
                  <c:v>4.8410000000000002</c:v>
                </c:pt>
                <c:pt idx="288">
                  <c:v>4.6040000000000001</c:v>
                </c:pt>
                <c:pt idx="289">
                  <c:v>4.234</c:v>
                </c:pt>
                <c:pt idx="290">
                  <c:v>3.9279999999999999</c:v>
                </c:pt>
                <c:pt idx="291">
                  <c:v>3.8340000000000001</c:v>
                </c:pt>
                <c:pt idx="292">
                  <c:v>3.4990000000000001</c:v>
                </c:pt>
                <c:pt idx="293">
                  <c:v>2.9569999999999999</c:v>
                </c:pt>
                <c:pt idx="294">
                  <c:v>2.621</c:v>
                </c:pt>
                <c:pt idx="295">
                  <c:v>2.7650000000000001</c:v>
                </c:pt>
                <c:pt idx="296">
                  <c:v>2.819</c:v>
                </c:pt>
                <c:pt idx="297">
                  <c:v>2.6040000000000001</c:v>
                </c:pt>
                <c:pt idx="298">
                  <c:v>2.6349999999999998</c:v>
                </c:pt>
                <c:pt idx="299">
                  <c:v>2.738</c:v>
                </c:pt>
                <c:pt idx="300">
                  <c:v>3.0680000000000001</c:v>
                </c:pt>
                <c:pt idx="301">
                  <c:v>2.6040000000000001</c:v>
                </c:pt>
                <c:pt idx="302">
                  <c:v>1.958</c:v>
                </c:pt>
                <c:pt idx="303">
                  <c:v>1.5089999999999999</c:v>
                </c:pt>
                <c:pt idx="304">
                  <c:v>1.1559999999999999</c:v>
                </c:pt>
                <c:pt idx="305">
                  <c:v>1.252</c:v>
                </c:pt>
                <c:pt idx="306">
                  <c:v>1.1919999999999999</c:v>
                </c:pt>
                <c:pt idx="307">
                  <c:v>0.90600000000000003</c:v>
                </c:pt>
                <c:pt idx="308">
                  <c:v>0.78300000000000003</c:v>
                </c:pt>
                <c:pt idx="309">
                  <c:v>0.748</c:v>
                </c:pt>
                <c:pt idx="310">
                  <c:v>0.61299999999999999</c:v>
                </c:pt>
                <c:pt idx="311">
                  <c:v>0.56100000000000005</c:v>
                </c:pt>
                <c:pt idx="312">
                  <c:v>0.33800000000000002</c:v>
                </c:pt>
                <c:pt idx="313">
                  <c:v>0.54500000000000004</c:v>
                </c:pt>
                <c:pt idx="314">
                  <c:v>0.38600000000000001</c:v>
                </c:pt>
                <c:pt idx="315">
                  <c:v>0.48299999999999998</c:v>
                </c:pt>
                <c:pt idx="316">
                  <c:v>0.40899999999999997</c:v>
                </c:pt>
                <c:pt idx="317">
                  <c:v>0.16700000000000001</c:v>
                </c:pt>
                <c:pt idx="318">
                  <c:v>0.48499999999999999</c:v>
                </c:pt>
                <c:pt idx="319">
                  <c:v>0.17299999999999999</c:v>
                </c:pt>
                <c:pt idx="320">
                  <c:v>0.372</c:v>
                </c:pt>
                <c:pt idx="321">
                  <c:v>0.42299999999999999</c:v>
                </c:pt>
                <c:pt idx="322">
                  <c:v>0.33</c:v>
                </c:pt>
                <c:pt idx="323">
                  <c:v>0.32100000000000001</c:v>
                </c:pt>
                <c:pt idx="324">
                  <c:v>0.36499999999999999</c:v>
                </c:pt>
                <c:pt idx="325">
                  <c:v>0.34799999999999998</c:v>
                </c:pt>
                <c:pt idx="326">
                  <c:v>0.32800000000000001</c:v>
                </c:pt>
                <c:pt idx="327">
                  <c:v>0.252</c:v>
                </c:pt>
                <c:pt idx="328">
                  <c:v>-2.1999999999999999E-2</c:v>
                </c:pt>
                <c:pt idx="329">
                  <c:v>0.23</c:v>
                </c:pt>
                <c:pt idx="330">
                  <c:v>-0.16700000000000001</c:v>
                </c:pt>
                <c:pt idx="331">
                  <c:v>-0.39200000000000002</c:v>
                </c:pt>
                <c:pt idx="332">
                  <c:v>-0.221</c:v>
                </c:pt>
                <c:pt idx="333">
                  <c:v>0.14199999999999999</c:v>
                </c:pt>
                <c:pt idx="334">
                  <c:v>-3.1E-2</c:v>
                </c:pt>
                <c:pt idx="335">
                  <c:v>-8.1000000000000003E-2</c:v>
                </c:pt>
                <c:pt idx="336">
                  <c:v>2.5000000000000001E-2</c:v>
                </c:pt>
                <c:pt idx="337">
                  <c:v>1.9E-2</c:v>
                </c:pt>
                <c:pt idx="338">
                  <c:v>-0.14899999999999999</c:v>
                </c:pt>
                <c:pt idx="339">
                  <c:v>-0.156</c:v>
                </c:pt>
                <c:pt idx="340">
                  <c:v>-3.5000000000000003E-2</c:v>
                </c:pt>
                <c:pt idx="341">
                  <c:v>-4.2999999999999997E-2</c:v>
                </c:pt>
                <c:pt idx="342">
                  <c:v>-0.06</c:v>
                </c:pt>
                <c:pt idx="343">
                  <c:v>-0.11700000000000001</c:v>
                </c:pt>
                <c:pt idx="344">
                  <c:v>1.2999999999999999E-2</c:v>
                </c:pt>
                <c:pt idx="345">
                  <c:v>-0.14599999999999999</c:v>
                </c:pt>
                <c:pt idx="346">
                  <c:v>-4.9000000000000002E-2</c:v>
                </c:pt>
                <c:pt idx="347">
                  <c:v>-0.375</c:v>
                </c:pt>
                <c:pt idx="348">
                  <c:v>-0.246</c:v>
                </c:pt>
                <c:pt idx="349">
                  <c:v>-0.26800000000000002</c:v>
                </c:pt>
                <c:pt idx="350">
                  <c:v>-0.222</c:v>
                </c:pt>
                <c:pt idx="351">
                  <c:v>-5.0999999999999997E-2</c:v>
                </c:pt>
                <c:pt idx="352">
                  <c:v>-0.11700000000000001</c:v>
                </c:pt>
                <c:pt idx="353">
                  <c:v>-2.9000000000000001E-2</c:v>
                </c:pt>
                <c:pt idx="354">
                  <c:v>-7.1999999999999995E-2</c:v>
                </c:pt>
                <c:pt idx="355">
                  <c:v>-9.5000000000000001E-2</c:v>
                </c:pt>
                <c:pt idx="356">
                  <c:v>-0.20599999999999999</c:v>
                </c:pt>
                <c:pt idx="357">
                  <c:v>-0.254</c:v>
                </c:pt>
                <c:pt idx="358">
                  <c:v>-0.151</c:v>
                </c:pt>
                <c:pt idx="359">
                  <c:v>-5.1999999999999998E-2</c:v>
                </c:pt>
                <c:pt idx="360">
                  <c:v>-0.09</c:v>
                </c:pt>
                <c:pt idx="361">
                  <c:v>-0.217</c:v>
                </c:pt>
                <c:pt idx="362">
                  <c:v>-5.7000000000000002E-2</c:v>
                </c:pt>
                <c:pt idx="363">
                  <c:v>-0.17899999999999999</c:v>
                </c:pt>
                <c:pt idx="364">
                  <c:v>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612672"/>
        <c:axId val="283614592"/>
      </c:lineChart>
      <c:catAx>
        <c:axId val="28361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61459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8361459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61267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1.054</c:v>
                </c:pt>
                <c:pt idx="1">
                  <c:v>1.0489999999999999</c:v>
                </c:pt>
                <c:pt idx="2">
                  <c:v>0.876</c:v>
                </c:pt>
                <c:pt idx="3">
                  <c:v>0.995</c:v>
                </c:pt>
                <c:pt idx="4">
                  <c:v>0.88200000000000001</c:v>
                </c:pt>
                <c:pt idx="5">
                  <c:v>0.93300000000000005</c:v>
                </c:pt>
                <c:pt idx="6">
                  <c:v>1.02</c:v>
                </c:pt>
                <c:pt idx="7">
                  <c:v>0.92100000000000004</c:v>
                </c:pt>
                <c:pt idx="8">
                  <c:v>0.85899999999999999</c:v>
                </c:pt>
                <c:pt idx="9">
                  <c:v>0.876</c:v>
                </c:pt>
                <c:pt idx="10">
                  <c:v>0.84799999999999998</c:v>
                </c:pt>
                <c:pt idx="11">
                  <c:v>0.83699999999999997</c:v>
                </c:pt>
                <c:pt idx="12">
                  <c:v>0.86899999999999999</c:v>
                </c:pt>
                <c:pt idx="13">
                  <c:v>0.85199999999999998</c:v>
                </c:pt>
                <c:pt idx="14">
                  <c:v>0.80300000000000005</c:v>
                </c:pt>
                <c:pt idx="15">
                  <c:v>0.83499999999999996</c:v>
                </c:pt>
                <c:pt idx="16">
                  <c:v>0.86699999999999999</c:v>
                </c:pt>
                <c:pt idx="17">
                  <c:v>0.80100000000000005</c:v>
                </c:pt>
                <c:pt idx="18">
                  <c:v>0.85299999999999998</c:v>
                </c:pt>
                <c:pt idx="19">
                  <c:v>0.78700000000000003</c:v>
                </c:pt>
                <c:pt idx="20">
                  <c:v>0.81299999999999994</c:v>
                </c:pt>
                <c:pt idx="21">
                  <c:v>0.80700000000000005</c:v>
                </c:pt>
                <c:pt idx="22">
                  <c:v>0.82899999999999996</c:v>
                </c:pt>
                <c:pt idx="23">
                  <c:v>0.85</c:v>
                </c:pt>
                <c:pt idx="24">
                  <c:v>0.89100000000000001</c:v>
                </c:pt>
                <c:pt idx="25">
                  <c:v>0.81100000000000005</c:v>
                </c:pt>
                <c:pt idx="26">
                  <c:v>0.79900000000000004</c:v>
                </c:pt>
                <c:pt idx="27">
                  <c:v>0.77500000000000002</c:v>
                </c:pt>
                <c:pt idx="28">
                  <c:v>0.79</c:v>
                </c:pt>
                <c:pt idx="29">
                  <c:v>0.78100000000000003</c:v>
                </c:pt>
                <c:pt idx="30">
                  <c:v>0.79700000000000004</c:v>
                </c:pt>
                <c:pt idx="31">
                  <c:v>0.78700000000000003</c:v>
                </c:pt>
                <c:pt idx="32">
                  <c:v>0.78100000000000003</c:v>
                </c:pt>
                <c:pt idx="33">
                  <c:v>0.78200000000000003</c:v>
                </c:pt>
                <c:pt idx="34">
                  <c:v>0.78100000000000003</c:v>
                </c:pt>
                <c:pt idx="35">
                  <c:v>0.77700000000000002</c:v>
                </c:pt>
                <c:pt idx="36">
                  <c:v>0.77300000000000002</c:v>
                </c:pt>
                <c:pt idx="37">
                  <c:v>0.76700000000000002</c:v>
                </c:pt>
                <c:pt idx="38">
                  <c:v>0.76700000000000002</c:v>
                </c:pt>
                <c:pt idx="39">
                  <c:v>0.76400000000000001</c:v>
                </c:pt>
                <c:pt idx="40">
                  <c:v>0.76600000000000001</c:v>
                </c:pt>
                <c:pt idx="41">
                  <c:v>0.75</c:v>
                </c:pt>
                <c:pt idx="42">
                  <c:v>0.745</c:v>
                </c:pt>
                <c:pt idx="43">
                  <c:v>0.73799999999999999</c:v>
                </c:pt>
                <c:pt idx="44">
                  <c:v>0.72899999999999998</c:v>
                </c:pt>
                <c:pt idx="45">
                  <c:v>0.73399999999999999</c:v>
                </c:pt>
                <c:pt idx="46">
                  <c:v>0.72399999999999998</c:v>
                </c:pt>
                <c:pt idx="47">
                  <c:v>0.72599999999999998</c:v>
                </c:pt>
                <c:pt idx="48">
                  <c:v>0.71599999999999997</c:v>
                </c:pt>
                <c:pt idx="49">
                  <c:v>0.70199999999999996</c:v>
                </c:pt>
                <c:pt idx="50">
                  <c:v>0.69399999999999995</c:v>
                </c:pt>
                <c:pt idx="51">
                  <c:v>0.67700000000000005</c:v>
                </c:pt>
                <c:pt idx="52">
                  <c:v>0.66700000000000004</c:v>
                </c:pt>
                <c:pt idx="53">
                  <c:v>0.65600000000000003</c:v>
                </c:pt>
                <c:pt idx="54">
                  <c:v>0.65400000000000003</c:v>
                </c:pt>
                <c:pt idx="55">
                  <c:v>0.65100000000000002</c:v>
                </c:pt>
                <c:pt idx="56">
                  <c:v>0.63700000000000001</c:v>
                </c:pt>
                <c:pt idx="57">
                  <c:v>0.63400000000000001</c:v>
                </c:pt>
                <c:pt idx="58">
                  <c:v>0.621</c:v>
                </c:pt>
                <c:pt idx="59">
                  <c:v>0.621</c:v>
                </c:pt>
                <c:pt idx="60">
                  <c:v>0.622</c:v>
                </c:pt>
                <c:pt idx="61">
                  <c:v>0.61399999999999999</c:v>
                </c:pt>
                <c:pt idx="62">
                  <c:v>0.60899999999999999</c:v>
                </c:pt>
                <c:pt idx="63">
                  <c:v>0.60799999999999998</c:v>
                </c:pt>
                <c:pt idx="64">
                  <c:v>0.59899999999999998</c:v>
                </c:pt>
                <c:pt idx="65">
                  <c:v>0.59799999999999998</c:v>
                </c:pt>
                <c:pt idx="66">
                  <c:v>0.59199999999999997</c:v>
                </c:pt>
                <c:pt idx="67">
                  <c:v>0.59099999999999997</c:v>
                </c:pt>
                <c:pt idx="68">
                  <c:v>0.58399999999999996</c:v>
                </c:pt>
                <c:pt idx="69">
                  <c:v>0.58399999999999996</c:v>
                </c:pt>
                <c:pt idx="70">
                  <c:v>0.58399999999999996</c:v>
                </c:pt>
                <c:pt idx="71">
                  <c:v>0.57199999999999995</c:v>
                </c:pt>
                <c:pt idx="72">
                  <c:v>0.55700000000000005</c:v>
                </c:pt>
                <c:pt idx="73">
                  <c:v>0.55600000000000005</c:v>
                </c:pt>
                <c:pt idx="74">
                  <c:v>0.54300000000000004</c:v>
                </c:pt>
                <c:pt idx="75">
                  <c:v>0.53100000000000003</c:v>
                </c:pt>
                <c:pt idx="76">
                  <c:v>0.53200000000000003</c:v>
                </c:pt>
                <c:pt idx="77">
                  <c:v>0.53300000000000003</c:v>
                </c:pt>
                <c:pt idx="78">
                  <c:v>0.51500000000000001</c:v>
                </c:pt>
                <c:pt idx="79">
                  <c:v>0.51600000000000001</c:v>
                </c:pt>
                <c:pt idx="80">
                  <c:v>0.52100000000000002</c:v>
                </c:pt>
                <c:pt idx="81">
                  <c:v>0.501</c:v>
                </c:pt>
                <c:pt idx="82">
                  <c:v>0.501</c:v>
                </c:pt>
                <c:pt idx="83">
                  <c:v>0.501</c:v>
                </c:pt>
                <c:pt idx="84">
                  <c:v>0.49</c:v>
                </c:pt>
                <c:pt idx="85">
                  <c:v>0.48</c:v>
                </c:pt>
                <c:pt idx="86">
                  <c:v>0.46500000000000002</c:v>
                </c:pt>
                <c:pt idx="87">
                  <c:v>0.46100000000000002</c:v>
                </c:pt>
                <c:pt idx="88">
                  <c:v>0.45800000000000002</c:v>
                </c:pt>
                <c:pt idx="89">
                  <c:v>0.45400000000000001</c:v>
                </c:pt>
                <c:pt idx="90">
                  <c:v>0.44900000000000001</c:v>
                </c:pt>
                <c:pt idx="91">
                  <c:v>0.438</c:v>
                </c:pt>
                <c:pt idx="92">
                  <c:v>0.44500000000000001</c:v>
                </c:pt>
                <c:pt idx="93">
                  <c:v>0.438</c:v>
                </c:pt>
                <c:pt idx="94">
                  <c:v>0.437</c:v>
                </c:pt>
                <c:pt idx="95">
                  <c:v>0.42599999999999999</c:v>
                </c:pt>
                <c:pt idx="96">
                  <c:v>0.40200000000000002</c:v>
                </c:pt>
                <c:pt idx="97">
                  <c:v>0.38100000000000001</c:v>
                </c:pt>
                <c:pt idx="98">
                  <c:v>0.441</c:v>
                </c:pt>
                <c:pt idx="99">
                  <c:v>0.41699999999999998</c:v>
                </c:pt>
                <c:pt idx="100">
                  <c:v>0.45600000000000002</c:v>
                </c:pt>
                <c:pt idx="101">
                  <c:v>0.46899999999999997</c:v>
                </c:pt>
                <c:pt idx="102">
                  <c:v>0.35299999999999998</c:v>
                </c:pt>
                <c:pt idx="103">
                  <c:v>0.38900000000000001</c:v>
                </c:pt>
                <c:pt idx="104">
                  <c:v>0.42</c:v>
                </c:pt>
                <c:pt idx="105">
                  <c:v>0.34300000000000003</c:v>
                </c:pt>
                <c:pt idx="106">
                  <c:v>0.42599999999999999</c:v>
                </c:pt>
                <c:pt idx="107">
                  <c:v>0.45</c:v>
                </c:pt>
                <c:pt idx="108">
                  <c:v>0.48899999999999999</c:v>
                </c:pt>
                <c:pt idx="109">
                  <c:v>0.59499999999999997</c:v>
                </c:pt>
                <c:pt idx="110">
                  <c:v>0.38200000000000001</c:v>
                </c:pt>
                <c:pt idx="111">
                  <c:v>0.46500000000000002</c:v>
                </c:pt>
                <c:pt idx="112">
                  <c:v>0.55900000000000005</c:v>
                </c:pt>
                <c:pt idx="113">
                  <c:v>0.65</c:v>
                </c:pt>
                <c:pt idx="114">
                  <c:v>0.624</c:v>
                </c:pt>
                <c:pt idx="115">
                  <c:v>0.61799999999999999</c:v>
                </c:pt>
                <c:pt idx="116">
                  <c:v>0.58699999999999997</c:v>
                </c:pt>
                <c:pt idx="117">
                  <c:v>0.68600000000000005</c:v>
                </c:pt>
                <c:pt idx="118">
                  <c:v>0.82699999999999996</c:v>
                </c:pt>
                <c:pt idx="119">
                  <c:v>0.56000000000000005</c:v>
                </c:pt>
                <c:pt idx="120">
                  <c:v>0.38500000000000001</c:v>
                </c:pt>
                <c:pt idx="121">
                  <c:v>0.61399999999999999</c:v>
                </c:pt>
                <c:pt idx="122">
                  <c:v>0.64900000000000002</c:v>
                </c:pt>
                <c:pt idx="123">
                  <c:v>0.77600000000000002</c:v>
                </c:pt>
                <c:pt idx="124">
                  <c:v>0.78500000000000003</c:v>
                </c:pt>
                <c:pt idx="125">
                  <c:v>0.70599999999999996</c:v>
                </c:pt>
                <c:pt idx="126">
                  <c:v>0.751</c:v>
                </c:pt>
                <c:pt idx="127">
                  <c:v>0.61299999999999999</c:v>
                </c:pt>
                <c:pt idx="128">
                  <c:v>0.60099999999999998</c:v>
                </c:pt>
                <c:pt idx="129">
                  <c:v>0.70499999999999996</c:v>
                </c:pt>
                <c:pt idx="130">
                  <c:v>0.68899999999999995</c:v>
                </c:pt>
                <c:pt idx="131">
                  <c:v>0.61899999999999999</c:v>
                </c:pt>
                <c:pt idx="132">
                  <c:v>0.66300000000000003</c:v>
                </c:pt>
                <c:pt idx="133">
                  <c:v>0.89400000000000002</c:v>
                </c:pt>
                <c:pt idx="134">
                  <c:v>0.92100000000000004</c:v>
                </c:pt>
                <c:pt idx="135">
                  <c:v>0.91700000000000004</c:v>
                </c:pt>
                <c:pt idx="136">
                  <c:v>0.93300000000000005</c:v>
                </c:pt>
                <c:pt idx="137">
                  <c:v>1.0449999999999999</c:v>
                </c:pt>
                <c:pt idx="138">
                  <c:v>1.165</c:v>
                </c:pt>
                <c:pt idx="139">
                  <c:v>0.99299999999999999</c:v>
                </c:pt>
                <c:pt idx="140">
                  <c:v>1.343</c:v>
                </c:pt>
                <c:pt idx="141">
                  <c:v>1.538</c:v>
                </c:pt>
                <c:pt idx="142">
                  <c:v>1.7929999999999999</c:v>
                </c:pt>
                <c:pt idx="143">
                  <c:v>1.9750000000000001</c:v>
                </c:pt>
                <c:pt idx="144">
                  <c:v>2.278</c:v>
                </c:pt>
                <c:pt idx="145">
                  <c:v>2.5350000000000001</c:v>
                </c:pt>
                <c:pt idx="146">
                  <c:v>2.851</c:v>
                </c:pt>
                <c:pt idx="147">
                  <c:v>3.339</c:v>
                </c:pt>
                <c:pt idx="148">
                  <c:v>3.5870000000000002</c:v>
                </c:pt>
                <c:pt idx="149">
                  <c:v>4.1580000000000004</c:v>
                </c:pt>
                <c:pt idx="150">
                  <c:v>5.0780000000000003</c:v>
                </c:pt>
                <c:pt idx="151">
                  <c:v>6.008</c:v>
                </c:pt>
                <c:pt idx="152">
                  <c:v>6.9909999999999997</c:v>
                </c:pt>
                <c:pt idx="153">
                  <c:v>7.75</c:v>
                </c:pt>
                <c:pt idx="154">
                  <c:v>8.1300000000000008</c:v>
                </c:pt>
                <c:pt idx="155">
                  <c:v>8.26</c:v>
                </c:pt>
                <c:pt idx="156">
                  <c:v>8.4700000000000006</c:v>
                </c:pt>
                <c:pt idx="157">
                  <c:v>8.33</c:v>
                </c:pt>
                <c:pt idx="158">
                  <c:v>7.99</c:v>
                </c:pt>
                <c:pt idx="159">
                  <c:v>8.41</c:v>
                </c:pt>
                <c:pt idx="160">
                  <c:v>8.56</c:v>
                </c:pt>
                <c:pt idx="161">
                  <c:v>8.57</c:v>
                </c:pt>
                <c:pt idx="162">
                  <c:v>8.7200000000000006</c:v>
                </c:pt>
                <c:pt idx="163">
                  <c:v>8.8800000000000008</c:v>
                </c:pt>
                <c:pt idx="164">
                  <c:v>8.68</c:v>
                </c:pt>
                <c:pt idx="165">
                  <c:v>8.69</c:v>
                </c:pt>
                <c:pt idx="166">
                  <c:v>8.94</c:v>
                </c:pt>
                <c:pt idx="167">
                  <c:v>8.4700000000000006</c:v>
                </c:pt>
                <c:pt idx="168">
                  <c:v>8.64</c:v>
                </c:pt>
                <c:pt idx="169">
                  <c:v>8.4600000000000009</c:v>
                </c:pt>
                <c:pt idx="170">
                  <c:v>8.77</c:v>
                </c:pt>
                <c:pt idx="171">
                  <c:v>8.9499999999999993</c:v>
                </c:pt>
                <c:pt idx="172">
                  <c:v>8.7899999999999991</c:v>
                </c:pt>
                <c:pt idx="173">
                  <c:v>8.98</c:v>
                </c:pt>
                <c:pt idx="174">
                  <c:v>9.1300000000000008</c:v>
                </c:pt>
                <c:pt idx="175">
                  <c:v>9.1999999999999993</c:v>
                </c:pt>
                <c:pt idx="176">
                  <c:v>9.25</c:v>
                </c:pt>
                <c:pt idx="177">
                  <c:v>9.4</c:v>
                </c:pt>
                <c:pt idx="178">
                  <c:v>9.58</c:v>
                </c:pt>
                <c:pt idx="179">
                  <c:v>9.7100000000000009</c:v>
                </c:pt>
                <c:pt idx="180">
                  <c:v>9.4499999999999993</c:v>
                </c:pt>
                <c:pt idx="181">
                  <c:v>9.8000000000000007</c:v>
                </c:pt>
                <c:pt idx="182">
                  <c:v>9.9</c:v>
                </c:pt>
                <c:pt idx="183">
                  <c:v>9.85</c:v>
                </c:pt>
                <c:pt idx="184">
                  <c:v>9.98</c:v>
                </c:pt>
                <c:pt idx="185">
                  <c:v>10</c:v>
                </c:pt>
                <c:pt idx="186">
                  <c:v>9.9499999999999993</c:v>
                </c:pt>
                <c:pt idx="187">
                  <c:v>9.7200000000000006</c:v>
                </c:pt>
                <c:pt idx="188">
                  <c:v>10.33</c:v>
                </c:pt>
                <c:pt idx="189">
                  <c:v>9.83</c:v>
                </c:pt>
                <c:pt idx="190">
                  <c:v>9.86</c:v>
                </c:pt>
                <c:pt idx="191">
                  <c:v>10.18</c:v>
                </c:pt>
                <c:pt idx="192">
                  <c:v>9.99</c:v>
                </c:pt>
                <c:pt idx="193">
                  <c:v>9.9700000000000006</c:v>
                </c:pt>
                <c:pt idx="194">
                  <c:v>10.039999999999999</c:v>
                </c:pt>
                <c:pt idx="195">
                  <c:v>10.199999999999999</c:v>
                </c:pt>
                <c:pt idx="196">
                  <c:v>10.08</c:v>
                </c:pt>
                <c:pt idx="197">
                  <c:v>10.18</c:v>
                </c:pt>
                <c:pt idx="198">
                  <c:v>9.99</c:v>
                </c:pt>
                <c:pt idx="199">
                  <c:v>10.07</c:v>
                </c:pt>
                <c:pt idx="200">
                  <c:v>10.01</c:v>
                </c:pt>
                <c:pt idx="201">
                  <c:v>10.01</c:v>
                </c:pt>
                <c:pt idx="202">
                  <c:v>9.85</c:v>
                </c:pt>
                <c:pt idx="203">
                  <c:v>10.18</c:v>
                </c:pt>
                <c:pt idx="204">
                  <c:v>10.210000000000001</c:v>
                </c:pt>
                <c:pt idx="205">
                  <c:v>10.51</c:v>
                </c:pt>
                <c:pt idx="206">
                  <c:v>10.78</c:v>
                </c:pt>
                <c:pt idx="207">
                  <c:v>10.67</c:v>
                </c:pt>
                <c:pt idx="208">
                  <c:v>11.01</c:v>
                </c:pt>
                <c:pt idx="209">
                  <c:v>11.16</c:v>
                </c:pt>
                <c:pt idx="210">
                  <c:v>10.97</c:v>
                </c:pt>
                <c:pt idx="211">
                  <c:v>10.75</c:v>
                </c:pt>
                <c:pt idx="212">
                  <c:v>10.56</c:v>
                </c:pt>
                <c:pt idx="213">
                  <c:v>10.38</c:v>
                </c:pt>
                <c:pt idx="214">
                  <c:v>10.18</c:v>
                </c:pt>
                <c:pt idx="215">
                  <c:v>10.1</c:v>
                </c:pt>
                <c:pt idx="216">
                  <c:v>10.19</c:v>
                </c:pt>
                <c:pt idx="217">
                  <c:v>10.19</c:v>
                </c:pt>
                <c:pt idx="218">
                  <c:v>10.130000000000001</c:v>
                </c:pt>
                <c:pt idx="219">
                  <c:v>9.94</c:v>
                </c:pt>
                <c:pt idx="220">
                  <c:v>9.68</c:v>
                </c:pt>
                <c:pt idx="221">
                  <c:v>9.82</c:v>
                </c:pt>
                <c:pt idx="222">
                  <c:v>9.7799999999999994</c:v>
                </c:pt>
                <c:pt idx="223">
                  <c:v>9.92</c:v>
                </c:pt>
                <c:pt idx="224">
                  <c:v>9.89</c:v>
                </c:pt>
                <c:pt idx="225">
                  <c:v>9.89</c:v>
                </c:pt>
                <c:pt idx="226">
                  <c:v>9.7899999999999991</c:v>
                </c:pt>
                <c:pt idx="227">
                  <c:v>9.9</c:v>
                </c:pt>
                <c:pt idx="228">
                  <c:v>9.93</c:v>
                </c:pt>
                <c:pt idx="229">
                  <c:v>9.89</c:v>
                </c:pt>
                <c:pt idx="230">
                  <c:v>9.93</c:v>
                </c:pt>
                <c:pt idx="231">
                  <c:v>9.83</c:v>
                </c:pt>
                <c:pt idx="232">
                  <c:v>9.9</c:v>
                </c:pt>
                <c:pt idx="233">
                  <c:v>9.6</c:v>
                </c:pt>
                <c:pt idx="234">
                  <c:v>9.69</c:v>
                </c:pt>
                <c:pt idx="235">
                  <c:v>9.76</c:v>
                </c:pt>
                <c:pt idx="236">
                  <c:v>9.6199999999999992</c:v>
                </c:pt>
                <c:pt idx="237">
                  <c:v>9.6300000000000008</c:v>
                </c:pt>
                <c:pt idx="238">
                  <c:v>9.64</c:v>
                </c:pt>
                <c:pt idx="239">
                  <c:v>9.7200000000000006</c:v>
                </c:pt>
                <c:pt idx="240">
                  <c:v>9.52</c:v>
                </c:pt>
                <c:pt idx="241">
                  <c:v>9.43</c:v>
                </c:pt>
                <c:pt idx="242">
                  <c:v>9.48</c:v>
                </c:pt>
                <c:pt idx="243">
                  <c:v>9.52</c:v>
                </c:pt>
                <c:pt idx="244">
                  <c:v>9.3699999999999992</c:v>
                </c:pt>
                <c:pt idx="245">
                  <c:v>9.4700000000000006</c:v>
                </c:pt>
                <c:pt idx="246">
                  <c:v>9.6</c:v>
                </c:pt>
                <c:pt idx="247">
                  <c:v>9.48</c:v>
                </c:pt>
                <c:pt idx="248">
                  <c:v>9.5299999999999994</c:v>
                </c:pt>
                <c:pt idx="249">
                  <c:v>9.65</c:v>
                </c:pt>
                <c:pt idx="250">
                  <c:v>9.73</c:v>
                </c:pt>
                <c:pt idx="251">
                  <c:v>9.58</c:v>
                </c:pt>
                <c:pt idx="252">
                  <c:v>9.39</c:v>
                </c:pt>
                <c:pt idx="253">
                  <c:v>9.59</c:v>
                </c:pt>
                <c:pt idx="254">
                  <c:v>9.4700000000000006</c:v>
                </c:pt>
                <c:pt idx="255">
                  <c:v>9.33</c:v>
                </c:pt>
                <c:pt idx="256">
                  <c:v>8.89</c:v>
                </c:pt>
                <c:pt idx="257">
                  <c:v>9</c:v>
                </c:pt>
                <c:pt idx="258">
                  <c:v>8.4700000000000006</c:v>
                </c:pt>
                <c:pt idx="259">
                  <c:v>8.4499999999999993</c:v>
                </c:pt>
                <c:pt idx="260">
                  <c:v>7.87</c:v>
                </c:pt>
                <c:pt idx="261">
                  <c:v>8.1199999999999992</c:v>
                </c:pt>
                <c:pt idx="262">
                  <c:v>7.58</c:v>
                </c:pt>
                <c:pt idx="263">
                  <c:v>7.61</c:v>
                </c:pt>
                <c:pt idx="264">
                  <c:v>7.08</c:v>
                </c:pt>
                <c:pt idx="265">
                  <c:v>6.952</c:v>
                </c:pt>
                <c:pt idx="266">
                  <c:v>7.05</c:v>
                </c:pt>
                <c:pt idx="267">
                  <c:v>7.07</c:v>
                </c:pt>
                <c:pt idx="268">
                  <c:v>6.93</c:v>
                </c:pt>
                <c:pt idx="269">
                  <c:v>7.08</c:v>
                </c:pt>
                <c:pt idx="270">
                  <c:v>7.22</c:v>
                </c:pt>
                <c:pt idx="271">
                  <c:v>7.32</c:v>
                </c:pt>
                <c:pt idx="272">
                  <c:v>7.39</c:v>
                </c:pt>
                <c:pt idx="273">
                  <c:v>7.37</c:v>
                </c:pt>
                <c:pt idx="274">
                  <c:v>7.28</c:v>
                </c:pt>
                <c:pt idx="275">
                  <c:v>7.2</c:v>
                </c:pt>
                <c:pt idx="276">
                  <c:v>7.07</c:v>
                </c:pt>
                <c:pt idx="277">
                  <c:v>7.1</c:v>
                </c:pt>
                <c:pt idx="278">
                  <c:v>6.8550000000000004</c:v>
                </c:pt>
                <c:pt idx="279">
                  <c:v>6.4850000000000003</c:v>
                </c:pt>
                <c:pt idx="280">
                  <c:v>6.4329999999999998</c:v>
                </c:pt>
                <c:pt idx="281">
                  <c:v>6.49</c:v>
                </c:pt>
                <c:pt idx="282">
                  <c:v>6.2569999999999997</c:v>
                </c:pt>
                <c:pt idx="283">
                  <c:v>6.1219999999999999</c:v>
                </c:pt>
                <c:pt idx="284">
                  <c:v>6.0430000000000001</c:v>
                </c:pt>
                <c:pt idx="285">
                  <c:v>5.9470000000000001</c:v>
                </c:pt>
                <c:pt idx="286">
                  <c:v>5.8949999999999996</c:v>
                </c:pt>
                <c:pt idx="287">
                  <c:v>5.46</c:v>
                </c:pt>
                <c:pt idx="288">
                  <c:v>5.4859999999999998</c:v>
                </c:pt>
                <c:pt idx="289">
                  <c:v>5.2610000000000001</c:v>
                </c:pt>
                <c:pt idx="290">
                  <c:v>5.1429999999999998</c:v>
                </c:pt>
                <c:pt idx="291">
                  <c:v>5.0830000000000002</c:v>
                </c:pt>
                <c:pt idx="292">
                  <c:v>4.9180000000000001</c:v>
                </c:pt>
                <c:pt idx="293">
                  <c:v>4.7279999999999998</c:v>
                </c:pt>
                <c:pt idx="294">
                  <c:v>4.6319999999999997</c:v>
                </c:pt>
                <c:pt idx="295">
                  <c:v>4.3250000000000002</c:v>
                </c:pt>
                <c:pt idx="296">
                  <c:v>3.9660000000000002</c:v>
                </c:pt>
                <c:pt idx="297">
                  <c:v>3.9319999999999999</c:v>
                </c:pt>
                <c:pt idx="298">
                  <c:v>3.5920000000000001</c:v>
                </c:pt>
                <c:pt idx="299">
                  <c:v>3.633</c:v>
                </c:pt>
                <c:pt idx="300">
                  <c:v>3.3769999999999998</c:v>
                </c:pt>
                <c:pt idx="301">
                  <c:v>3.2480000000000002</c:v>
                </c:pt>
                <c:pt idx="302">
                  <c:v>3.5259999999999998</c:v>
                </c:pt>
                <c:pt idx="303">
                  <c:v>3.2210000000000001</c:v>
                </c:pt>
                <c:pt idx="304">
                  <c:v>3.2650000000000001</c:v>
                </c:pt>
                <c:pt idx="305">
                  <c:v>2.8519999999999999</c:v>
                </c:pt>
                <c:pt idx="306">
                  <c:v>2.7010000000000001</c:v>
                </c:pt>
                <c:pt idx="307">
                  <c:v>2.5830000000000002</c:v>
                </c:pt>
                <c:pt idx="308">
                  <c:v>2.4500000000000002</c:v>
                </c:pt>
                <c:pt idx="309">
                  <c:v>2.218</c:v>
                </c:pt>
                <c:pt idx="310">
                  <c:v>2.0449999999999999</c:v>
                </c:pt>
                <c:pt idx="311">
                  <c:v>1.788</c:v>
                </c:pt>
                <c:pt idx="312">
                  <c:v>1.7330000000000001</c:v>
                </c:pt>
                <c:pt idx="313">
                  <c:v>1.619</c:v>
                </c:pt>
                <c:pt idx="314">
                  <c:v>1.478</c:v>
                </c:pt>
                <c:pt idx="315">
                  <c:v>1.403</c:v>
                </c:pt>
                <c:pt idx="316">
                  <c:v>1.397</c:v>
                </c:pt>
                <c:pt idx="317">
                  <c:v>1.5349999999999999</c:v>
                </c:pt>
                <c:pt idx="318">
                  <c:v>1.421</c:v>
                </c:pt>
                <c:pt idx="319">
                  <c:v>1.43</c:v>
                </c:pt>
                <c:pt idx="320">
                  <c:v>1.399</c:v>
                </c:pt>
                <c:pt idx="321">
                  <c:v>1.4450000000000001</c:v>
                </c:pt>
                <c:pt idx="322">
                  <c:v>1.458</c:v>
                </c:pt>
                <c:pt idx="323">
                  <c:v>1.4390000000000001</c:v>
                </c:pt>
                <c:pt idx="324">
                  <c:v>1.3149999999999999</c:v>
                </c:pt>
                <c:pt idx="325">
                  <c:v>1.347</c:v>
                </c:pt>
                <c:pt idx="326">
                  <c:v>1.302</c:v>
                </c:pt>
                <c:pt idx="327">
                  <c:v>1.2869999999999999</c:v>
                </c:pt>
                <c:pt idx="328">
                  <c:v>1.2949999999999999</c:v>
                </c:pt>
                <c:pt idx="329">
                  <c:v>1.3260000000000001</c:v>
                </c:pt>
                <c:pt idx="330">
                  <c:v>1.173</c:v>
                </c:pt>
                <c:pt idx="331">
                  <c:v>1.085</c:v>
                </c:pt>
                <c:pt idx="332">
                  <c:v>1.4219999999999999</c:v>
                </c:pt>
                <c:pt idx="333">
                  <c:v>1.34</c:v>
                </c:pt>
                <c:pt idx="334">
                  <c:v>1.2669999999999999</c:v>
                </c:pt>
                <c:pt idx="335">
                  <c:v>1.4850000000000001</c:v>
                </c:pt>
                <c:pt idx="336">
                  <c:v>1.248</c:v>
                </c:pt>
                <c:pt idx="337">
                  <c:v>1.2210000000000001</c:v>
                </c:pt>
                <c:pt idx="338">
                  <c:v>1.292</c:v>
                </c:pt>
                <c:pt idx="339">
                  <c:v>1.2609999999999999</c:v>
                </c:pt>
                <c:pt idx="340">
                  <c:v>1.262</c:v>
                </c:pt>
                <c:pt idx="341">
                  <c:v>1.2350000000000001</c:v>
                </c:pt>
                <c:pt idx="342">
                  <c:v>1.2969999999999999</c:v>
                </c:pt>
                <c:pt idx="343">
                  <c:v>1.3080000000000001</c:v>
                </c:pt>
                <c:pt idx="344">
                  <c:v>1.212</c:v>
                </c:pt>
                <c:pt idx="345">
                  <c:v>1.1970000000000001</c:v>
                </c:pt>
                <c:pt idx="346">
                  <c:v>1.1990000000000001</c:v>
                </c:pt>
                <c:pt idx="347">
                  <c:v>1.1639999999999999</c:v>
                </c:pt>
                <c:pt idx="348">
                  <c:v>1.151</c:v>
                </c:pt>
                <c:pt idx="349">
                  <c:v>1.109</c:v>
                </c:pt>
                <c:pt idx="350">
                  <c:v>1.069</c:v>
                </c:pt>
                <c:pt idx="351">
                  <c:v>1.085</c:v>
                </c:pt>
                <c:pt idx="352">
                  <c:v>1.079</c:v>
                </c:pt>
                <c:pt idx="353">
                  <c:v>1.08</c:v>
                </c:pt>
                <c:pt idx="354">
                  <c:v>1.0680000000000001</c:v>
                </c:pt>
                <c:pt idx="355">
                  <c:v>1.04</c:v>
                </c:pt>
                <c:pt idx="356">
                  <c:v>1.0349999999999999</c:v>
                </c:pt>
                <c:pt idx="357">
                  <c:v>1.1619999999999999</c:v>
                </c:pt>
                <c:pt idx="358">
                  <c:v>1.0760000000000001</c:v>
                </c:pt>
                <c:pt idx="359">
                  <c:v>1.0549999999999999</c:v>
                </c:pt>
                <c:pt idx="360">
                  <c:v>1.054</c:v>
                </c:pt>
                <c:pt idx="361">
                  <c:v>1.075</c:v>
                </c:pt>
                <c:pt idx="362">
                  <c:v>1.109</c:v>
                </c:pt>
                <c:pt idx="363">
                  <c:v>1.081</c:v>
                </c:pt>
                <c:pt idx="364">
                  <c:v>1.081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0.58699999999999997</c:v>
                </c:pt>
                <c:pt idx="1">
                  <c:v>0.58399999999999996</c:v>
                </c:pt>
                <c:pt idx="2">
                  <c:v>0.42599999999999999</c:v>
                </c:pt>
                <c:pt idx="3">
                  <c:v>0.46500000000000002</c:v>
                </c:pt>
                <c:pt idx="4">
                  <c:v>0.76900000000000002</c:v>
                </c:pt>
                <c:pt idx="5">
                  <c:v>0.77900000000000003</c:v>
                </c:pt>
                <c:pt idx="6">
                  <c:v>0.52900000000000003</c:v>
                </c:pt>
                <c:pt idx="7">
                  <c:v>0.64300000000000002</c:v>
                </c:pt>
                <c:pt idx="8">
                  <c:v>0.68700000000000006</c:v>
                </c:pt>
                <c:pt idx="9">
                  <c:v>0.68700000000000006</c:v>
                </c:pt>
                <c:pt idx="10">
                  <c:v>0.75600000000000001</c:v>
                </c:pt>
                <c:pt idx="11">
                  <c:v>0.73199999999999998</c:v>
                </c:pt>
                <c:pt idx="12">
                  <c:v>0.77400000000000002</c:v>
                </c:pt>
                <c:pt idx="13">
                  <c:v>0.68200000000000005</c:v>
                </c:pt>
                <c:pt idx="14">
                  <c:v>0.56999999999999995</c:v>
                </c:pt>
                <c:pt idx="15">
                  <c:v>0.58099999999999996</c:v>
                </c:pt>
                <c:pt idx="16">
                  <c:v>0.72899999999999998</c:v>
                </c:pt>
                <c:pt idx="17">
                  <c:v>0.44</c:v>
                </c:pt>
                <c:pt idx="18">
                  <c:v>0.65300000000000002</c:v>
                </c:pt>
                <c:pt idx="19">
                  <c:v>0.69299999999999995</c:v>
                </c:pt>
                <c:pt idx="20">
                  <c:v>0.55200000000000005</c:v>
                </c:pt>
                <c:pt idx="21">
                  <c:v>0.72299999999999998</c:v>
                </c:pt>
                <c:pt idx="22">
                  <c:v>0.64900000000000002</c:v>
                </c:pt>
                <c:pt idx="23">
                  <c:v>0.66</c:v>
                </c:pt>
                <c:pt idx="24">
                  <c:v>0.58699999999999997</c:v>
                </c:pt>
                <c:pt idx="25">
                  <c:v>0.66</c:v>
                </c:pt>
                <c:pt idx="26">
                  <c:v>0.49299999999999999</c:v>
                </c:pt>
                <c:pt idx="27">
                  <c:v>0.66800000000000004</c:v>
                </c:pt>
                <c:pt idx="28">
                  <c:v>0.60899999999999999</c:v>
                </c:pt>
                <c:pt idx="29">
                  <c:v>0.71099999999999997</c:v>
                </c:pt>
                <c:pt idx="30">
                  <c:v>0.71599999999999997</c:v>
                </c:pt>
                <c:pt idx="31">
                  <c:v>0.71199999999999997</c:v>
                </c:pt>
                <c:pt idx="32">
                  <c:v>0.71899999999999997</c:v>
                </c:pt>
                <c:pt idx="33">
                  <c:v>0.71199999999999997</c:v>
                </c:pt>
                <c:pt idx="34">
                  <c:v>0.72</c:v>
                </c:pt>
                <c:pt idx="35">
                  <c:v>0.71299999999999997</c:v>
                </c:pt>
                <c:pt idx="36">
                  <c:v>0.70899999999999996</c:v>
                </c:pt>
                <c:pt idx="37">
                  <c:v>0.70699999999999996</c:v>
                </c:pt>
                <c:pt idx="38">
                  <c:v>0.70699999999999996</c:v>
                </c:pt>
                <c:pt idx="39">
                  <c:v>0.69699999999999995</c:v>
                </c:pt>
                <c:pt idx="40">
                  <c:v>0.69299999999999995</c:v>
                </c:pt>
                <c:pt idx="41">
                  <c:v>0.68899999999999995</c:v>
                </c:pt>
                <c:pt idx="42">
                  <c:v>0.67500000000000004</c:v>
                </c:pt>
                <c:pt idx="43">
                  <c:v>0.67100000000000004</c:v>
                </c:pt>
                <c:pt idx="44">
                  <c:v>0.66500000000000004</c:v>
                </c:pt>
                <c:pt idx="45">
                  <c:v>0.66600000000000004</c:v>
                </c:pt>
                <c:pt idx="46">
                  <c:v>0.65700000000000003</c:v>
                </c:pt>
                <c:pt idx="47">
                  <c:v>0.64400000000000002</c:v>
                </c:pt>
                <c:pt idx="48">
                  <c:v>0.63200000000000001</c:v>
                </c:pt>
                <c:pt idx="49">
                  <c:v>0.623</c:v>
                </c:pt>
                <c:pt idx="50">
                  <c:v>0.61199999999999999</c:v>
                </c:pt>
                <c:pt idx="51">
                  <c:v>0.61</c:v>
                </c:pt>
                <c:pt idx="52">
                  <c:v>0.59799999999999998</c:v>
                </c:pt>
                <c:pt idx="53">
                  <c:v>0.59199999999999997</c:v>
                </c:pt>
                <c:pt idx="54">
                  <c:v>0.58799999999999997</c:v>
                </c:pt>
                <c:pt idx="55">
                  <c:v>0.58099999999999996</c:v>
                </c:pt>
                <c:pt idx="56">
                  <c:v>0.57199999999999995</c:v>
                </c:pt>
                <c:pt idx="57">
                  <c:v>0.56499999999999995</c:v>
                </c:pt>
                <c:pt idx="58">
                  <c:v>0.55800000000000005</c:v>
                </c:pt>
                <c:pt idx="59">
                  <c:v>0.55600000000000005</c:v>
                </c:pt>
                <c:pt idx="60">
                  <c:v>0.55200000000000005</c:v>
                </c:pt>
                <c:pt idx="61">
                  <c:v>0.55200000000000005</c:v>
                </c:pt>
                <c:pt idx="62">
                  <c:v>0.55000000000000004</c:v>
                </c:pt>
                <c:pt idx="63">
                  <c:v>0.54700000000000004</c:v>
                </c:pt>
                <c:pt idx="64">
                  <c:v>0.52800000000000002</c:v>
                </c:pt>
                <c:pt idx="65">
                  <c:v>0.53800000000000003</c:v>
                </c:pt>
                <c:pt idx="66">
                  <c:v>0.51900000000000002</c:v>
                </c:pt>
                <c:pt idx="67">
                  <c:v>0.52700000000000002</c:v>
                </c:pt>
                <c:pt idx="68">
                  <c:v>0.52500000000000002</c:v>
                </c:pt>
                <c:pt idx="69">
                  <c:v>0.52600000000000002</c:v>
                </c:pt>
                <c:pt idx="70">
                  <c:v>0.51700000000000002</c:v>
                </c:pt>
                <c:pt idx="71">
                  <c:v>0.51300000000000001</c:v>
                </c:pt>
                <c:pt idx="72">
                  <c:v>0.49299999999999999</c:v>
                </c:pt>
                <c:pt idx="73">
                  <c:v>0.48299999999999998</c:v>
                </c:pt>
                <c:pt idx="74">
                  <c:v>0.47299999999999998</c:v>
                </c:pt>
                <c:pt idx="75">
                  <c:v>0.46100000000000002</c:v>
                </c:pt>
                <c:pt idx="76">
                  <c:v>0.46</c:v>
                </c:pt>
                <c:pt idx="77">
                  <c:v>0.46100000000000002</c:v>
                </c:pt>
                <c:pt idx="78">
                  <c:v>0.45400000000000001</c:v>
                </c:pt>
                <c:pt idx="79">
                  <c:v>0.45100000000000001</c:v>
                </c:pt>
                <c:pt idx="80">
                  <c:v>0.44900000000000001</c:v>
                </c:pt>
                <c:pt idx="81">
                  <c:v>0.443</c:v>
                </c:pt>
                <c:pt idx="82">
                  <c:v>0.433</c:v>
                </c:pt>
                <c:pt idx="83">
                  <c:v>0.442</c:v>
                </c:pt>
                <c:pt idx="84">
                  <c:v>0.433</c:v>
                </c:pt>
                <c:pt idx="85">
                  <c:v>0.41299999999999998</c:v>
                </c:pt>
                <c:pt idx="86">
                  <c:v>0.40300000000000002</c:v>
                </c:pt>
                <c:pt idx="87">
                  <c:v>0.40200000000000002</c:v>
                </c:pt>
                <c:pt idx="88">
                  <c:v>0.39400000000000002</c:v>
                </c:pt>
                <c:pt idx="89">
                  <c:v>0.377</c:v>
                </c:pt>
                <c:pt idx="90">
                  <c:v>0.38100000000000001</c:v>
                </c:pt>
                <c:pt idx="91">
                  <c:v>0.38100000000000001</c:v>
                </c:pt>
                <c:pt idx="92">
                  <c:v>0.38100000000000001</c:v>
                </c:pt>
                <c:pt idx="93">
                  <c:v>0.378</c:v>
                </c:pt>
                <c:pt idx="94">
                  <c:v>0.377</c:v>
                </c:pt>
                <c:pt idx="95">
                  <c:v>0.36199999999999999</c:v>
                </c:pt>
                <c:pt idx="96">
                  <c:v>0.24399999999999999</c:v>
                </c:pt>
                <c:pt idx="97">
                  <c:v>0.309</c:v>
                </c:pt>
                <c:pt idx="98">
                  <c:v>0.29499999999999998</c:v>
                </c:pt>
                <c:pt idx="99">
                  <c:v>0.21</c:v>
                </c:pt>
                <c:pt idx="100">
                  <c:v>0.253</c:v>
                </c:pt>
                <c:pt idx="101">
                  <c:v>0.23799999999999999</c:v>
                </c:pt>
                <c:pt idx="102">
                  <c:v>0.21199999999999999</c:v>
                </c:pt>
                <c:pt idx="103">
                  <c:v>0.16400000000000001</c:v>
                </c:pt>
                <c:pt idx="104">
                  <c:v>0.155</c:v>
                </c:pt>
                <c:pt idx="105">
                  <c:v>0.108</c:v>
                </c:pt>
                <c:pt idx="106">
                  <c:v>6.6000000000000003E-2</c:v>
                </c:pt>
                <c:pt idx="107">
                  <c:v>5.3999999999999999E-2</c:v>
                </c:pt>
                <c:pt idx="108">
                  <c:v>5.8999999999999997E-2</c:v>
                </c:pt>
                <c:pt idx="109">
                  <c:v>0.217</c:v>
                </c:pt>
                <c:pt idx="110">
                  <c:v>0.19600000000000001</c:v>
                </c:pt>
                <c:pt idx="111">
                  <c:v>9.2999999999999999E-2</c:v>
                </c:pt>
                <c:pt idx="112">
                  <c:v>0.112</c:v>
                </c:pt>
                <c:pt idx="113">
                  <c:v>7.2999999999999995E-2</c:v>
                </c:pt>
                <c:pt idx="114">
                  <c:v>0.16500000000000001</c:v>
                </c:pt>
                <c:pt idx="115">
                  <c:v>0.16300000000000001</c:v>
                </c:pt>
                <c:pt idx="116">
                  <c:v>0.17199999999999999</c:v>
                </c:pt>
                <c:pt idx="117">
                  <c:v>0.2</c:v>
                </c:pt>
                <c:pt idx="118">
                  <c:v>0.157</c:v>
                </c:pt>
                <c:pt idx="119">
                  <c:v>3.6999999999999998E-2</c:v>
                </c:pt>
                <c:pt idx="120">
                  <c:v>0.125</c:v>
                </c:pt>
                <c:pt idx="121">
                  <c:v>-2.4E-2</c:v>
                </c:pt>
                <c:pt idx="122">
                  <c:v>-7.6999999999999999E-2</c:v>
                </c:pt>
                <c:pt idx="123">
                  <c:v>9.8000000000000004E-2</c:v>
                </c:pt>
                <c:pt idx="124">
                  <c:v>8.6999999999999994E-2</c:v>
                </c:pt>
                <c:pt idx="125">
                  <c:v>3.7999999999999999E-2</c:v>
                </c:pt>
                <c:pt idx="126">
                  <c:v>-3.5999999999999997E-2</c:v>
                </c:pt>
                <c:pt idx="127">
                  <c:v>1.2999999999999999E-2</c:v>
                </c:pt>
                <c:pt idx="128">
                  <c:v>-7.2999999999999995E-2</c:v>
                </c:pt>
                <c:pt idx="129">
                  <c:v>0.04</c:v>
                </c:pt>
                <c:pt idx="130">
                  <c:v>6.4000000000000001E-2</c:v>
                </c:pt>
                <c:pt idx="131">
                  <c:v>0.1</c:v>
                </c:pt>
                <c:pt idx="132">
                  <c:v>-5.8999999999999997E-2</c:v>
                </c:pt>
                <c:pt idx="133">
                  <c:v>3.9E-2</c:v>
                </c:pt>
                <c:pt idx="134">
                  <c:v>-0.28299999999999997</c:v>
                </c:pt>
                <c:pt idx="135">
                  <c:v>-0.36299999999999999</c:v>
                </c:pt>
                <c:pt idx="136">
                  <c:v>-0.32700000000000001</c:v>
                </c:pt>
                <c:pt idx="137">
                  <c:v>8.0000000000000002E-3</c:v>
                </c:pt>
                <c:pt idx="138">
                  <c:v>0.24299999999999999</c:v>
                </c:pt>
                <c:pt idx="139">
                  <c:v>0.69799999999999995</c:v>
                </c:pt>
                <c:pt idx="140">
                  <c:v>0.70699999999999996</c:v>
                </c:pt>
                <c:pt idx="141">
                  <c:v>0.75800000000000001</c:v>
                </c:pt>
                <c:pt idx="142">
                  <c:v>1.212</c:v>
                </c:pt>
                <c:pt idx="143">
                  <c:v>1.4059999999999999</c:v>
                </c:pt>
                <c:pt idx="144">
                  <c:v>1.641</c:v>
                </c:pt>
                <c:pt idx="145">
                  <c:v>2.0209999999999999</c:v>
                </c:pt>
                <c:pt idx="146">
                  <c:v>2.3359999999999999</c:v>
                </c:pt>
                <c:pt idx="147">
                  <c:v>2.5569999999999999</c:v>
                </c:pt>
                <c:pt idx="148">
                  <c:v>2.9279999999999999</c:v>
                </c:pt>
                <c:pt idx="149">
                  <c:v>3.3420000000000001</c:v>
                </c:pt>
                <c:pt idx="150">
                  <c:v>4.0039999999999996</c:v>
                </c:pt>
                <c:pt idx="151">
                  <c:v>5.0049999999999999</c:v>
                </c:pt>
                <c:pt idx="152">
                  <c:v>5.9960000000000004</c:v>
                </c:pt>
                <c:pt idx="153">
                  <c:v>6.8380000000000001</c:v>
                </c:pt>
                <c:pt idx="154">
                  <c:v>7.6</c:v>
                </c:pt>
                <c:pt idx="155">
                  <c:v>7.67</c:v>
                </c:pt>
                <c:pt idx="156">
                  <c:v>7.63</c:v>
                </c:pt>
                <c:pt idx="157">
                  <c:v>7.43</c:v>
                </c:pt>
                <c:pt idx="158">
                  <c:v>7.64</c:v>
                </c:pt>
                <c:pt idx="159">
                  <c:v>7.7</c:v>
                </c:pt>
                <c:pt idx="160">
                  <c:v>7.91</c:v>
                </c:pt>
                <c:pt idx="161">
                  <c:v>8.08</c:v>
                </c:pt>
                <c:pt idx="162">
                  <c:v>8.23</c:v>
                </c:pt>
                <c:pt idx="163">
                  <c:v>7.86</c:v>
                </c:pt>
                <c:pt idx="164">
                  <c:v>8.41</c:v>
                </c:pt>
                <c:pt idx="165">
                  <c:v>8</c:v>
                </c:pt>
                <c:pt idx="166">
                  <c:v>7.63</c:v>
                </c:pt>
                <c:pt idx="167">
                  <c:v>7.71</c:v>
                </c:pt>
                <c:pt idx="168">
                  <c:v>7.69</c:v>
                </c:pt>
                <c:pt idx="169">
                  <c:v>7.96</c:v>
                </c:pt>
                <c:pt idx="170">
                  <c:v>7.76</c:v>
                </c:pt>
                <c:pt idx="171">
                  <c:v>7.63</c:v>
                </c:pt>
                <c:pt idx="172">
                  <c:v>7.3</c:v>
                </c:pt>
                <c:pt idx="173">
                  <c:v>7.35</c:v>
                </c:pt>
                <c:pt idx="174">
                  <c:v>7.23</c:v>
                </c:pt>
                <c:pt idx="175">
                  <c:v>7.25</c:v>
                </c:pt>
                <c:pt idx="176">
                  <c:v>7.33</c:v>
                </c:pt>
                <c:pt idx="177">
                  <c:v>7.85</c:v>
                </c:pt>
                <c:pt idx="178">
                  <c:v>8.0399999999999991</c:v>
                </c:pt>
                <c:pt idx="179">
                  <c:v>7.98</c:v>
                </c:pt>
                <c:pt idx="180">
                  <c:v>8</c:v>
                </c:pt>
                <c:pt idx="181">
                  <c:v>7.86</c:v>
                </c:pt>
                <c:pt idx="182">
                  <c:v>7.9</c:v>
                </c:pt>
                <c:pt idx="183">
                  <c:v>8.2200000000000006</c:v>
                </c:pt>
                <c:pt idx="184">
                  <c:v>8.4499999999999993</c:v>
                </c:pt>
                <c:pt idx="185">
                  <c:v>8.18</c:v>
                </c:pt>
                <c:pt idx="186">
                  <c:v>8.67</c:v>
                </c:pt>
                <c:pt idx="187">
                  <c:v>8.86</c:v>
                </c:pt>
                <c:pt idx="188">
                  <c:v>8.58</c:v>
                </c:pt>
                <c:pt idx="189">
                  <c:v>8.5</c:v>
                </c:pt>
                <c:pt idx="190">
                  <c:v>8.89</c:v>
                </c:pt>
                <c:pt idx="191">
                  <c:v>9.1999999999999993</c:v>
                </c:pt>
                <c:pt idx="192">
                  <c:v>9.19</c:v>
                </c:pt>
                <c:pt idx="193">
                  <c:v>9.15</c:v>
                </c:pt>
                <c:pt idx="194">
                  <c:v>8.67</c:v>
                </c:pt>
                <c:pt idx="195">
                  <c:v>8.66</c:v>
                </c:pt>
                <c:pt idx="196">
                  <c:v>8.52</c:v>
                </c:pt>
                <c:pt idx="197">
                  <c:v>8.5500000000000007</c:v>
                </c:pt>
                <c:pt idx="198">
                  <c:v>8.34</c:v>
                </c:pt>
                <c:pt idx="199">
                  <c:v>8.73</c:v>
                </c:pt>
                <c:pt idx="200">
                  <c:v>8.2799999999999994</c:v>
                </c:pt>
                <c:pt idx="201">
                  <c:v>8.09</c:v>
                </c:pt>
                <c:pt idx="202">
                  <c:v>8.19</c:v>
                </c:pt>
                <c:pt idx="203">
                  <c:v>8.48</c:v>
                </c:pt>
                <c:pt idx="204">
                  <c:v>8.93</c:v>
                </c:pt>
                <c:pt idx="205">
                  <c:v>9.11</c:v>
                </c:pt>
                <c:pt idx="206">
                  <c:v>9.19</c:v>
                </c:pt>
                <c:pt idx="207">
                  <c:v>9.27</c:v>
                </c:pt>
                <c:pt idx="208">
                  <c:v>9.5</c:v>
                </c:pt>
                <c:pt idx="209">
                  <c:v>9.51</c:v>
                </c:pt>
                <c:pt idx="210">
                  <c:v>9.83</c:v>
                </c:pt>
                <c:pt idx="211">
                  <c:v>9.34</c:v>
                </c:pt>
                <c:pt idx="212">
                  <c:v>9.18</c:v>
                </c:pt>
                <c:pt idx="213">
                  <c:v>9.16</c:v>
                </c:pt>
                <c:pt idx="214">
                  <c:v>8.93</c:v>
                </c:pt>
                <c:pt idx="215">
                  <c:v>8.73</c:v>
                </c:pt>
                <c:pt idx="216">
                  <c:v>8.59</c:v>
                </c:pt>
                <c:pt idx="217">
                  <c:v>8.43</c:v>
                </c:pt>
                <c:pt idx="218">
                  <c:v>8.32</c:v>
                </c:pt>
                <c:pt idx="219">
                  <c:v>8.6300000000000008</c:v>
                </c:pt>
                <c:pt idx="220">
                  <c:v>8.67</c:v>
                </c:pt>
                <c:pt idx="221">
                  <c:v>8.41</c:v>
                </c:pt>
                <c:pt idx="222">
                  <c:v>8.83</c:v>
                </c:pt>
                <c:pt idx="223">
                  <c:v>8.5399999999999991</c:v>
                </c:pt>
                <c:pt idx="224">
                  <c:v>8.35</c:v>
                </c:pt>
                <c:pt idx="225">
                  <c:v>8.57</c:v>
                </c:pt>
                <c:pt idx="226">
                  <c:v>8.4</c:v>
                </c:pt>
                <c:pt idx="227">
                  <c:v>8.31</c:v>
                </c:pt>
                <c:pt idx="228">
                  <c:v>8.24</c:v>
                </c:pt>
                <c:pt idx="229">
                  <c:v>8.34</c:v>
                </c:pt>
                <c:pt idx="230">
                  <c:v>8.1999999999999993</c:v>
                </c:pt>
                <c:pt idx="231">
                  <c:v>8.19</c:v>
                </c:pt>
                <c:pt idx="232">
                  <c:v>8.17</c:v>
                </c:pt>
                <c:pt idx="233">
                  <c:v>8.75</c:v>
                </c:pt>
                <c:pt idx="234">
                  <c:v>7.98</c:v>
                </c:pt>
                <c:pt idx="235">
                  <c:v>8.5399999999999991</c:v>
                </c:pt>
                <c:pt idx="236">
                  <c:v>8.2100000000000009</c:v>
                </c:pt>
                <c:pt idx="237">
                  <c:v>8.16</c:v>
                </c:pt>
                <c:pt idx="238">
                  <c:v>8.08</c:v>
                </c:pt>
                <c:pt idx="239">
                  <c:v>8.18</c:v>
                </c:pt>
                <c:pt idx="240">
                  <c:v>8.6</c:v>
                </c:pt>
                <c:pt idx="241">
                  <c:v>8.48</c:v>
                </c:pt>
                <c:pt idx="242">
                  <c:v>8.17</c:v>
                </c:pt>
                <c:pt idx="243">
                  <c:v>8.0500000000000007</c:v>
                </c:pt>
                <c:pt idx="244">
                  <c:v>7.79</c:v>
                </c:pt>
                <c:pt idx="245">
                  <c:v>7.45</c:v>
                </c:pt>
                <c:pt idx="246">
                  <c:v>7.78</c:v>
                </c:pt>
                <c:pt idx="247">
                  <c:v>7.97</c:v>
                </c:pt>
                <c:pt idx="248">
                  <c:v>7.99</c:v>
                </c:pt>
                <c:pt idx="249">
                  <c:v>8.06</c:v>
                </c:pt>
                <c:pt idx="250">
                  <c:v>7.99</c:v>
                </c:pt>
                <c:pt idx="251">
                  <c:v>7.9</c:v>
                </c:pt>
                <c:pt idx="252">
                  <c:v>8.36</c:v>
                </c:pt>
                <c:pt idx="253">
                  <c:v>8.14</c:v>
                </c:pt>
                <c:pt idx="254">
                  <c:v>8.1</c:v>
                </c:pt>
                <c:pt idx="255">
                  <c:v>7.6</c:v>
                </c:pt>
                <c:pt idx="256">
                  <c:v>8.4700000000000006</c:v>
                </c:pt>
                <c:pt idx="257">
                  <c:v>7.97</c:v>
                </c:pt>
                <c:pt idx="258">
                  <c:v>7.6</c:v>
                </c:pt>
                <c:pt idx="259">
                  <c:v>7.46</c:v>
                </c:pt>
                <c:pt idx="260">
                  <c:v>7.23</c:v>
                </c:pt>
                <c:pt idx="261">
                  <c:v>6.8049999999999997</c:v>
                </c:pt>
                <c:pt idx="262">
                  <c:v>7.04</c:v>
                </c:pt>
                <c:pt idx="263">
                  <c:v>6.9740000000000002</c:v>
                </c:pt>
                <c:pt idx="264">
                  <c:v>6.53</c:v>
                </c:pt>
                <c:pt idx="265">
                  <c:v>6.3049999999999997</c:v>
                </c:pt>
                <c:pt idx="266">
                  <c:v>6.1950000000000003</c:v>
                </c:pt>
                <c:pt idx="267">
                  <c:v>6.1689999999999996</c:v>
                </c:pt>
                <c:pt idx="268">
                  <c:v>6.258</c:v>
                </c:pt>
                <c:pt idx="269">
                  <c:v>6.3840000000000003</c:v>
                </c:pt>
                <c:pt idx="270">
                  <c:v>6.468</c:v>
                </c:pt>
                <c:pt idx="271">
                  <c:v>6.4779999999999998</c:v>
                </c:pt>
                <c:pt idx="272">
                  <c:v>6.5940000000000003</c:v>
                </c:pt>
                <c:pt idx="273">
                  <c:v>6.5449999999999999</c:v>
                </c:pt>
                <c:pt idx="274">
                  <c:v>6.4059999999999997</c:v>
                </c:pt>
                <c:pt idx="275">
                  <c:v>6.5039999999999996</c:v>
                </c:pt>
                <c:pt idx="276">
                  <c:v>6.1420000000000003</c:v>
                </c:pt>
                <c:pt idx="277">
                  <c:v>6.0620000000000003</c:v>
                </c:pt>
                <c:pt idx="278">
                  <c:v>5.9820000000000002</c:v>
                </c:pt>
                <c:pt idx="279">
                  <c:v>5.8789999999999996</c:v>
                </c:pt>
                <c:pt idx="280">
                  <c:v>5.5940000000000003</c:v>
                </c:pt>
                <c:pt idx="281">
                  <c:v>5.391</c:v>
                </c:pt>
                <c:pt idx="282">
                  <c:v>5.3040000000000003</c:v>
                </c:pt>
                <c:pt idx="283">
                  <c:v>5.1239999999999997</c:v>
                </c:pt>
                <c:pt idx="284">
                  <c:v>4.984</c:v>
                </c:pt>
                <c:pt idx="285">
                  <c:v>4.9459999999999997</c:v>
                </c:pt>
                <c:pt idx="286">
                  <c:v>5.1970000000000001</c:v>
                </c:pt>
                <c:pt idx="287">
                  <c:v>5.1349999999999998</c:v>
                </c:pt>
                <c:pt idx="288">
                  <c:v>5.1459999999999999</c:v>
                </c:pt>
                <c:pt idx="289">
                  <c:v>5.0460000000000003</c:v>
                </c:pt>
                <c:pt idx="290">
                  <c:v>4.8869999999999996</c:v>
                </c:pt>
                <c:pt idx="291">
                  <c:v>4.7030000000000003</c:v>
                </c:pt>
                <c:pt idx="292">
                  <c:v>4.2750000000000004</c:v>
                </c:pt>
                <c:pt idx="293">
                  <c:v>3.9380000000000002</c:v>
                </c:pt>
                <c:pt idx="294">
                  <c:v>3.69</c:v>
                </c:pt>
                <c:pt idx="295">
                  <c:v>3.6589999999999998</c:v>
                </c:pt>
                <c:pt idx="296">
                  <c:v>3.6429999999999998</c:v>
                </c:pt>
                <c:pt idx="297">
                  <c:v>3.41</c:v>
                </c:pt>
                <c:pt idx="298">
                  <c:v>3.4369999999999998</c:v>
                </c:pt>
                <c:pt idx="299">
                  <c:v>3.198</c:v>
                </c:pt>
                <c:pt idx="300">
                  <c:v>3.218</c:v>
                </c:pt>
                <c:pt idx="301">
                  <c:v>3.1080000000000001</c:v>
                </c:pt>
                <c:pt idx="302">
                  <c:v>2.8559999999999999</c:v>
                </c:pt>
                <c:pt idx="303">
                  <c:v>2.7210000000000001</c:v>
                </c:pt>
                <c:pt idx="304">
                  <c:v>2.4689999999999999</c:v>
                </c:pt>
                <c:pt idx="305">
                  <c:v>2.6139999999999999</c:v>
                </c:pt>
                <c:pt idx="306">
                  <c:v>2.5289999999999999</c:v>
                </c:pt>
                <c:pt idx="307">
                  <c:v>2.3370000000000002</c:v>
                </c:pt>
                <c:pt idx="308">
                  <c:v>2.0990000000000002</c:v>
                </c:pt>
                <c:pt idx="309">
                  <c:v>1.9850000000000001</c:v>
                </c:pt>
                <c:pt idx="310">
                  <c:v>1.7</c:v>
                </c:pt>
                <c:pt idx="311">
                  <c:v>1.536</c:v>
                </c:pt>
                <c:pt idx="312">
                  <c:v>1.2569999999999999</c:v>
                </c:pt>
                <c:pt idx="313">
                  <c:v>1.41</c:v>
                </c:pt>
                <c:pt idx="314">
                  <c:v>1.2410000000000001</c:v>
                </c:pt>
                <c:pt idx="315">
                  <c:v>1.3</c:v>
                </c:pt>
                <c:pt idx="316">
                  <c:v>1.2250000000000001</c:v>
                </c:pt>
                <c:pt idx="317">
                  <c:v>0.97299999999999998</c:v>
                </c:pt>
                <c:pt idx="318">
                  <c:v>1.282</c:v>
                </c:pt>
                <c:pt idx="319">
                  <c:v>0.97399999999999998</c:v>
                </c:pt>
                <c:pt idx="320">
                  <c:v>1.165</c:v>
                </c:pt>
                <c:pt idx="321">
                  <c:v>1.208</c:v>
                </c:pt>
                <c:pt idx="322">
                  <c:v>1.1160000000000001</c:v>
                </c:pt>
                <c:pt idx="323">
                  <c:v>1.1040000000000001</c:v>
                </c:pt>
                <c:pt idx="324">
                  <c:v>1.131</c:v>
                </c:pt>
                <c:pt idx="325">
                  <c:v>1.1040000000000001</c:v>
                </c:pt>
                <c:pt idx="326">
                  <c:v>1.0660000000000001</c:v>
                </c:pt>
                <c:pt idx="327">
                  <c:v>0.99</c:v>
                </c:pt>
                <c:pt idx="328">
                  <c:v>0.73499999999999999</c:v>
                </c:pt>
                <c:pt idx="329">
                  <c:v>1.036</c:v>
                </c:pt>
                <c:pt idx="330">
                  <c:v>0.629</c:v>
                </c:pt>
                <c:pt idx="331">
                  <c:v>0.48499999999999999</c:v>
                </c:pt>
                <c:pt idx="332">
                  <c:v>0.67600000000000005</c:v>
                </c:pt>
                <c:pt idx="333">
                  <c:v>1.1419999999999999</c:v>
                </c:pt>
                <c:pt idx="334">
                  <c:v>1.048</c:v>
                </c:pt>
                <c:pt idx="335">
                  <c:v>1.006</c:v>
                </c:pt>
                <c:pt idx="336">
                  <c:v>1.137</c:v>
                </c:pt>
                <c:pt idx="337">
                  <c:v>1.155</c:v>
                </c:pt>
                <c:pt idx="338">
                  <c:v>0.97499999999999998</c:v>
                </c:pt>
                <c:pt idx="339">
                  <c:v>0.95899999999999996</c:v>
                </c:pt>
                <c:pt idx="340">
                  <c:v>1.073</c:v>
                </c:pt>
                <c:pt idx="341">
                  <c:v>1.0680000000000001</c:v>
                </c:pt>
                <c:pt idx="342">
                  <c:v>1.0329999999999999</c:v>
                </c:pt>
                <c:pt idx="343">
                  <c:v>0.98299999999999998</c:v>
                </c:pt>
                <c:pt idx="344">
                  <c:v>1.0860000000000001</c:v>
                </c:pt>
                <c:pt idx="345">
                  <c:v>0.92200000000000004</c:v>
                </c:pt>
                <c:pt idx="346">
                  <c:v>1.006</c:v>
                </c:pt>
                <c:pt idx="347">
                  <c:v>0.68700000000000006</c:v>
                </c:pt>
                <c:pt idx="348">
                  <c:v>0.80900000000000005</c:v>
                </c:pt>
                <c:pt idx="349">
                  <c:v>0.76600000000000001</c:v>
                </c:pt>
                <c:pt idx="350">
                  <c:v>0.8</c:v>
                </c:pt>
                <c:pt idx="351">
                  <c:v>0.96099999999999997</c:v>
                </c:pt>
                <c:pt idx="352">
                  <c:v>0.88100000000000001</c:v>
                </c:pt>
                <c:pt idx="353">
                  <c:v>0.94699999999999995</c:v>
                </c:pt>
                <c:pt idx="354">
                  <c:v>0.90400000000000003</c:v>
                </c:pt>
                <c:pt idx="355">
                  <c:v>0.88</c:v>
                </c:pt>
                <c:pt idx="356">
                  <c:v>0.77600000000000002</c:v>
                </c:pt>
                <c:pt idx="357">
                  <c:v>0.73499999999999999</c:v>
                </c:pt>
                <c:pt idx="358">
                  <c:v>0.83599999999999997</c:v>
                </c:pt>
                <c:pt idx="359">
                  <c:v>0.92</c:v>
                </c:pt>
                <c:pt idx="360">
                  <c:v>0.88600000000000001</c:v>
                </c:pt>
                <c:pt idx="361">
                  <c:v>0.77100000000000002</c:v>
                </c:pt>
                <c:pt idx="362">
                  <c:v>0.91800000000000004</c:v>
                </c:pt>
                <c:pt idx="363">
                  <c:v>0.80800000000000005</c:v>
                </c:pt>
                <c:pt idx="364">
                  <c:v>0.96899999999999997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894528"/>
        <c:axId val="283896448"/>
      </c:lineChart>
      <c:catAx>
        <c:axId val="28389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896448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8389644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83360522022838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89452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84239733629301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3539967373572595"/>
          <c:w val="0.90677025527192012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1.615</c:v>
                </c:pt>
                <c:pt idx="1">
                  <c:v>1.3149999999999999</c:v>
                </c:pt>
                <c:pt idx="2">
                  <c:v>1.204</c:v>
                </c:pt>
                <c:pt idx="3">
                  <c:v>1.429</c:v>
                </c:pt>
                <c:pt idx="4">
                  <c:v>1.827</c:v>
                </c:pt>
                <c:pt idx="5">
                  <c:v>1.3919999999999999</c:v>
                </c:pt>
                <c:pt idx="6">
                  <c:v>0.747</c:v>
                </c:pt>
                <c:pt idx="7">
                  <c:v>1.387</c:v>
                </c:pt>
                <c:pt idx="8">
                  <c:v>1.484</c:v>
                </c:pt>
                <c:pt idx="9">
                  <c:v>1.6140000000000001</c:v>
                </c:pt>
                <c:pt idx="10">
                  <c:v>1.956</c:v>
                </c:pt>
                <c:pt idx="11">
                  <c:v>0.48699999999999999</c:v>
                </c:pt>
                <c:pt idx="12">
                  <c:v>0.89900000000000002</c:v>
                </c:pt>
                <c:pt idx="13">
                  <c:v>0.93100000000000005</c:v>
                </c:pt>
                <c:pt idx="14">
                  <c:v>1.657</c:v>
                </c:pt>
                <c:pt idx="15">
                  <c:v>1.478</c:v>
                </c:pt>
                <c:pt idx="16">
                  <c:v>2.1019999999999999</c:v>
                </c:pt>
                <c:pt idx="17">
                  <c:v>1.3640000000000001</c:v>
                </c:pt>
                <c:pt idx="18">
                  <c:v>0.88100000000000001</c:v>
                </c:pt>
                <c:pt idx="19">
                  <c:v>1.2330000000000001</c:v>
                </c:pt>
                <c:pt idx="20">
                  <c:v>1.117</c:v>
                </c:pt>
                <c:pt idx="21">
                  <c:v>1.8129999999999999</c:v>
                </c:pt>
                <c:pt idx="22">
                  <c:v>2.5710000000000002</c:v>
                </c:pt>
                <c:pt idx="23">
                  <c:v>1.369</c:v>
                </c:pt>
                <c:pt idx="24">
                  <c:v>1.5660000000000001</c:v>
                </c:pt>
                <c:pt idx="25">
                  <c:v>2.0169999999999999</c:v>
                </c:pt>
                <c:pt idx="26">
                  <c:v>1.538</c:v>
                </c:pt>
                <c:pt idx="27">
                  <c:v>2.1589999999999998</c:v>
                </c:pt>
                <c:pt idx="28">
                  <c:v>1.7210000000000001</c:v>
                </c:pt>
                <c:pt idx="29">
                  <c:v>2.16</c:v>
                </c:pt>
                <c:pt idx="30">
                  <c:v>2.1589999999999998</c:v>
                </c:pt>
                <c:pt idx="31">
                  <c:v>2.57</c:v>
                </c:pt>
                <c:pt idx="32">
                  <c:v>1.4810000000000001</c:v>
                </c:pt>
                <c:pt idx="33">
                  <c:v>1.786</c:v>
                </c:pt>
                <c:pt idx="34">
                  <c:v>2.222</c:v>
                </c:pt>
                <c:pt idx="35">
                  <c:v>1.78</c:v>
                </c:pt>
                <c:pt idx="36">
                  <c:v>1.19</c:v>
                </c:pt>
                <c:pt idx="37">
                  <c:v>1.194</c:v>
                </c:pt>
                <c:pt idx="38">
                  <c:v>1.5980000000000001</c:v>
                </c:pt>
                <c:pt idx="39">
                  <c:v>1.5820000000000001</c:v>
                </c:pt>
                <c:pt idx="40">
                  <c:v>1.883</c:v>
                </c:pt>
                <c:pt idx="41">
                  <c:v>1.6679999999999999</c:v>
                </c:pt>
                <c:pt idx="42">
                  <c:v>1.57</c:v>
                </c:pt>
                <c:pt idx="43">
                  <c:v>1.5</c:v>
                </c:pt>
                <c:pt idx="44">
                  <c:v>1.3220000000000001</c:v>
                </c:pt>
                <c:pt idx="45">
                  <c:v>1.641</c:v>
                </c:pt>
                <c:pt idx="46">
                  <c:v>2.4289999999999998</c:v>
                </c:pt>
                <c:pt idx="47">
                  <c:v>2.0790000000000002</c:v>
                </c:pt>
                <c:pt idx="48">
                  <c:v>1.9259999999999999</c:v>
                </c:pt>
                <c:pt idx="49">
                  <c:v>1.6240000000000001</c:v>
                </c:pt>
                <c:pt idx="50">
                  <c:v>1.5980000000000001</c:v>
                </c:pt>
                <c:pt idx="51">
                  <c:v>2.1389999999999998</c:v>
                </c:pt>
                <c:pt idx="52">
                  <c:v>2.3010000000000002</c:v>
                </c:pt>
                <c:pt idx="53">
                  <c:v>1.4059999999999999</c:v>
                </c:pt>
                <c:pt idx="54">
                  <c:v>1.591</c:v>
                </c:pt>
                <c:pt idx="55">
                  <c:v>1.7170000000000001</c:v>
                </c:pt>
                <c:pt idx="56">
                  <c:v>1.171</c:v>
                </c:pt>
                <c:pt idx="57">
                  <c:v>2.9009999999999998</c:v>
                </c:pt>
                <c:pt idx="58">
                  <c:v>1.5449999999999999</c:v>
                </c:pt>
                <c:pt idx="59">
                  <c:v>1.444</c:v>
                </c:pt>
                <c:pt idx="60">
                  <c:v>2.0110000000000001</c:v>
                </c:pt>
                <c:pt idx="61">
                  <c:v>1.9910000000000001</c:v>
                </c:pt>
                <c:pt idx="62">
                  <c:v>1.925</c:v>
                </c:pt>
                <c:pt idx="63">
                  <c:v>1.8360000000000001</c:v>
                </c:pt>
                <c:pt idx="64">
                  <c:v>1.4019999999999999</c:v>
                </c:pt>
                <c:pt idx="65">
                  <c:v>1.849</c:v>
                </c:pt>
                <c:pt idx="66">
                  <c:v>2.052</c:v>
                </c:pt>
                <c:pt idx="67">
                  <c:v>2.1760000000000002</c:v>
                </c:pt>
                <c:pt idx="68">
                  <c:v>1.645</c:v>
                </c:pt>
                <c:pt idx="69">
                  <c:v>2.0209999999999999</c:v>
                </c:pt>
                <c:pt idx="70">
                  <c:v>1.35</c:v>
                </c:pt>
                <c:pt idx="71">
                  <c:v>1.655</c:v>
                </c:pt>
                <c:pt idx="72">
                  <c:v>1.5049999999999999</c:v>
                </c:pt>
                <c:pt idx="73">
                  <c:v>1.494</c:v>
                </c:pt>
                <c:pt idx="74">
                  <c:v>1.9690000000000001</c:v>
                </c:pt>
                <c:pt idx="75">
                  <c:v>1.242</c:v>
                </c:pt>
                <c:pt idx="76">
                  <c:v>1.464</c:v>
                </c:pt>
                <c:pt idx="77">
                  <c:v>1.75</c:v>
                </c:pt>
                <c:pt idx="78">
                  <c:v>1.421</c:v>
                </c:pt>
                <c:pt idx="79">
                  <c:v>1.4530000000000001</c:v>
                </c:pt>
                <c:pt idx="80">
                  <c:v>1.65</c:v>
                </c:pt>
                <c:pt idx="81">
                  <c:v>1.847</c:v>
                </c:pt>
                <c:pt idx="82">
                  <c:v>1.796</c:v>
                </c:pt>
                <c:pt idx="83">
                  <c:v>1.2589999999999999</c:v>
                </c:pt>
                <c:pt idx="84">
                  <c:v>1.71</c:v>
                </c:pt>
                <c:pt idx="85">
                  <c:v>1.4219999999999999</c:v>
                </c:pt>
                <c:pt idx="86">
                  <c:v>1.452</c:v>
                </c:pt>
                <c:pt idx="87">
                  <c:v>1.468</c:v>
                </c:pt>
                <c:pt idx="88">
                  <c:v>1.5329999999999999</c:v>
                </c:pt>
                <c:pt idx="89">
                  <c:v>1.1739999999999999</c:v>
                </c:pt>
                <c:pt idx="90">
                  <c:v>1.5169999999999999</c:v>
                </c:pt>
                <c:pt idx="91">
                  <c:v>1.57</c:v>
                </c:pt>
                <c:pt idx="92">
                  <c:v>1.7390000000000001</c:v>
                </c:pt>
                <c:pt idx="93">
                  <c:v>1.0900000000000001</c:v>
                </c:pt>
                <c:pt idx="94">
                  <c:v>1.7010000000000001</c:v>
                </c:pt>
                <c:pt idx="95">
                  <c:v>1.226</c:v>
                </c:pt>
                <c:pt idx="96">
                  <c:v>1.6579999999999999</c:v>
                </c:pt>
                <c:pt idx="97">
                  <c:v>1.155</c:v>
                </c:pt>
                <c:pt idx="98">
                  <c:v>1.1919999999999999</c:v>
                </c:pt>
                <c:pt idx="99">
                  <c:v>1.075</c:v>
                </c:pt>
                <c:pt idx="100">
                  <c:v>1.014</c:v>
                </c:pt>
                <c:pt idx="101">
                  <c:v>2.246</c:v>
                </c:pt>
                <c:pt idx="102">
                  <c:v>1.544</c:v>
                </c:pt>
                <c:pt idx="103">
                  <c:v>2.1760000000000002</c:v>
                </c:pt>
                <c:pt idx="104">
                  <c:v>1.556</c:v>
                </c:pt>
                <c:pt idx="105">
                  <c:v>1.9410000000000001</c:v>
                </c:pt>
                <c:pt idx="106">
                  <c:v>1.6910000000000001</c:v>
                </c:pt>
                <c:pt idx="107">
                  <c:v>1.778</c:v>
                </c:pt>
                <c:pt idx="108">
                  <c:v>1.766</c:v>
                </c:pt>
                <c:pt idx="109">
                  <c:v>1.7689999999999999</c:v>
                </c:pt>
                <c:pt idx="110">
                  <c:v>1.7809999999999999</c:v>
                </c:pt>
                <c:pt idx="111">
                  <c:v>1.55</c:v>
                </c:pt>
                <c:pt idx="112">
                  <c:v>2.1120000000000001</c:v>
                </c:pt>
                <c:pt idx="113">
                  <c:v>2.2999999999999998</c:v>
                </c:pt>
                <c:pt idx="114">
                  <c:v>1.8</c:v>
                </c:pt>
                <c:pt idx="115">
                  <c:v>1.8540000000000001</c:v>
                </c:pt>
                <c:pt idx="116">
                  <c:v>1.363</c:v>
                </c:pt>
                <c:pt idx="117">
                  <c:v>1.431</c:v>
                </c:pt>
                <c:pt idx="118">
                  <c:v>1.7809999999999999</c:v>
                </c:pt>
                <c:pt idx="119">
                  <c:v>1.552</c:v>
                </c:pt>
                <c:pt idx="120">
                  <c:v>1.9279999999999999</c:v>
                </c:pt>
                <c:pt idx="121">
                  <c:v>1.5229999999999999</c:v>
                </c:pt>
                <c:pt idx="122">
                  <c:v>1.8720000000000001</c:v>
                </c:pt>
                <c:pt idx="123">
                  <c:v>1.73</c:v>
                </c:pt>
                <c:pt idx="124">
                  <c:v>1.722</c:v>
                </c:pt>
                <c:pt idx="125">
                  <c:v>1.758</c:v>
                </c:pt>
                <c:pt idx="126">
                  <c:v>2.4430000000000001</c:v>
                </c:pt>
                <c:pt idx="127">
                  <c:v>2.1619999999999999</c:v>
                </c:pt>
                <c:pt idx="128">
                  <c:v>1.6870000000000001</c:v>
                </c:pt>
                <c:pt idx="129">
                  <c:v>1.839</c:v>
                </c:pt>
                <c:pt idx="130">
                  <c:v>1.671</c:v>
                </c:pt>
                <c:pt idx="131">
                  <c:v>1.623</c:v>
                </c:pt>
                <c:pt idx="132">
                  <c:v>1.5640000000000001</c:v>
                </c:pt>
                <c:pt idx="133">
                  <c:v>1.7430000000000001</c:v>
                </c:pt>
                <c:pt idx="134">
                  <c:v>1.958</c:v>
                </c:pt>
                <c:pt idx="135">
                  <c:v>1.845</c:v>
                </c:pt>
                <c:pt idx="136">
                  <c:v>1.8420000000000001</c:v>
                </c:pt>
                <c:pt idx="137">
                  <c:v>1.8859999999999999</c:v>
                </c:pt>
                <c:pt idx="138">
                  <c:v>1.9119999999999999</c:v>
                </c:pt>
                <c:pt idx="139">
                  <c:v>1.375</c:v>
                </c:pt>
                <c:pt idx="140">
                  <c:v>1.498</c:v>
                </c:pt>
                <c:pt idx="141">
                  <c:v>1.45</c:v>
                </c:pt>
                <c:pt idx="142">
                  <c:v>1.2130000000000001</c:v>
                </c:pt>
                <c:pt idx="143">
                  <c:v>0.96899999999999997</c:v>
                </c:pt>
                <c:pt idx="144">
                  <c:v>0.98599999999999999</c:v>
                </c:pt>
                <c:pt idx="145">
                  <c:v>0.84599999999999997</c:v>
                </c:pt>
                <c:pt idx="146">
                  <c:v>1.0820000000000001</c:v>
                </c:pt>
                <c:pt idx="147">
                  <c:v>1.3049999999999999</c:v>
                </c:pt>
                <c:pt idx="148">
                  <c:v>1.5429999999999999</c:v>
                </c:pt>
                <c:pt idx="149">
                  <c:v>1.534</c:v>
                </c:pt>
                <c:pt idx="150">
                  <c:v>1.577</c:v>
                </c:pt>
                <c:pt idx="151">
                  <c:v>1.5640000000000001</c:v>
                </c:pt>
                <c:pt idx="152">
                  <c:v>1.3460000000000001</c:v>
                </c:pt>
                <c:pt idx="153">
                  <c:v>1.6080000000000001</c:v>
                </c:pt>
                <c:pt idx="154">
                  <c:v>1.756</c:v>
                </c:pt>
                <c:pt idx="155">
                  <c:v>2.0139999999999998</c:v>
                </c:pt>
                <c:pt idx="156">
                  <c:v>1.67</c:v>
                </c:pt>
                <c:pt idx="157">
                  <c:v>1.8620000000000001</c:v>
                </c:pt>
                <c:pt idx="158">
                  <c:v>1.0860000000000001</c:v>
                </c:pt>
                <c:pt idx="159">
                  <c:v>1.0880000000000001</c:v>
                </c:pt>
                <c:pt idx="160">
                  <c:v>1.617</c:v>
                </c:pt>
                <c:pt idx="161">
                  <c:v>1.63</c:v>
                </c:pt>
                <c:pt idx="162">
                  <c:v>1.7789999999999999</c:v>
                </c:pt>
                <c:pt idx="163">
                  <c:v>1.2629999999999999</c:v>
                </c:pt>
                <c:pt idx="164">
                  <c:v>1.4910000000000001</c:v>
                </c:pt>
                <c:pt idx="165">
                  <c:v>1.466</c:v>
                </c:pt>
                <c:pt idx="166">
                  <c:v>1.4630000000000001</c:v>
                </c:pt>
                <c:pt idx="167">
                  <c:v>1.296</c:v>
                </c:pt>
                <c:pt idx="168">
                  <c:v>1.1870000000000001</c:v>
                </c:pt>
                <c:pt idx="169">
                  <c:v>0.997</c:v>
                </c:pt>
                <c:pt idx="170">
                  <c:v>1.508</c:v>
                </c:pt>
                <c:pt idx="171">
                  <c:v>1.595</c:v>
                </c:pt>
                <c:pt idx="172">
                  <c:v>1.9419999999999999</c:v>
                </c:pt>
                <c:pt idx="173">
                  <c:v>1.754</c:v>
                </c:pt>
                <c:pt idx="174">
                  <c:v>1.89</c:v>
                </c:pt>
                <c:pt idx="175">
                  <c:v>1.8129999999999999</c:v>
                </c:pt>
                <c:pt idx="176">
                  <c:v>1.8680000000000001</c:v>
                </c:pt>
                <c:pt idx="177">
                  <c:v>2.194</c:v>
                </c:pt>
                <c:pt idx="178">
                  <c:v>1.716</c:v>
                </c:pt>
                <c:pt idx="179">
                  <c:v>1.6890000000000001</c:v>
                </c:pt>
                <c:pt idx="180">
                  <c:v>1.766</c:v>
                </c:pt>
                <c:pt idx="181">
                  <c:v>1.7529999999999999</c:v>
                </c:pt>
                <c:pt idx="182">
                  <c:v>1.702</c:v>
                </c:pt>
                <c:pt idx="183">
                  <c:v>1.7450000000000001</c:v>
                </c:pt>
                <c:pt idx="184">
                  <c:v>1.605</c:v>
                </c:pt>
                <c:pt idx="185">
                  <c:v>1.5569999999999999</c:v>
                </c:pt>
                <c:pt idx="186">
                  <c:v>1.29</c:v>
                </c:pt>
                <c:pt idx="187">
                  <c:v>1.3680000000000001</c:v>
                </c:pt>
                <c:pt idx="188">
                  <c:v>1.637</c:v>
                </c:pt>
                <c:pt idx="189">
                  <c:v>1.3440000000000001</c:v>
                </c:pt>
                <c:pt idx="190">
                  <c:v>1.6679999999999999</c:v>
                </c:pt>
                <c:pt idx="191">
                  <c:v>1.1819999999999999</c:v>
                </c:pt>
                <c:pt idx="192">
                  <c:v>1.1599999999999999</c:v>
                </c:pt>
                <c:pt idx="193">
                  <c:v>1.869</c:v>
                </c:pt>
                <c:pt idx="194">
                  <c:v>1.292</c:v>
                </c:pt>
                <c:pt idx="195">
                  <c:v>1.696</c:v>
                </c:pt>
                <c:pt idx="196">
                  <c:v>1.546</c:v>
                </c:pt>
                <c:pt idx="197">
                  <c:v>1.87</c:v>
                </c:pt>
                <c:pt idx="198">
                  <c:v>1.7390000000000001</c:v>
                </c:pt>
                <c:pt idx="199">
                  <c:v>1.4</c:v>
                </c:pt>
                <c:pt idx="200">
                  <c:v>1.7450000000000001</c:v>
                </c:pt>
                <c:pt idx="201">
                  <c:v>1.8660000000000001</c:v>
                </c:pt>
                <c:pt idx="202">
                  <c:v>1.712</c:v>
                </c:pt>
                <c:pt idx="203">
                  <c:v>1.9890000000000001</c:v>
                </c:pt>
                <c:pt idx="204">
                  <c:v>1.5880000000000001</c:v>
                </c:pt>
                <c:pt idx="205">
                  <c:v>1.484</c:v>
                </c:pt>
                <c:pt idx="206">
                  <c:v>1.5649999999999999</c:v>
                </c:pt>
                <c:pt idx="207">
                  <c:v>1.552</c:v>
                </c:pt>
                <c:pt idx="208">
                  <c:v>1.6140000000000001</c:v>
                </c:pt>
                <c:pt idx="209">
                  <c:v>1.85</c:v>
                </c:pt>
                <c:pt idx="210">
                  <c:v>1.76</c:v>
                </c:pt>
                <c:pt idx="211">
                  <c:v>1.1990000000000001</c:v>
                </c:pt>
                <c:pt idx="212">
                  <c:v>1.579</c:v>
                </c:pt>
                <c:pt idx="213">
                  <c:v>1.498</c:v>
                </c:pt>
                <c:pt idx="214">
                  <c:v>1.6220000000000001</c:v>
                </c:pt>
                <c:pt idx="215">
                  <c:v>1.9339999999999999</c:v>
                </c:pt>
                <c:pt idx="216">
                  <c:v>1.7989999999999999</c:v>
                </c:pt>
                <c:pt idx="217">
                  <c:v>1.7490000000000001</c:v>
                </c:pt>
                <c:pt idx="218">
                  <c:v>1.772</c:v>
                </c:pt>
                <c:pt idx="219">
                  <c:v>1.5469999999999999</c:v>
                </c:pt>
                <c:pt idx="220">
                  <c:v>1.119</c:v>
                </c:pt>
                <c:pt idx="221">
                  <c:v>1.387</c:v>
                </c:pt>
                <c:pt idx="222">
                  <c:v>1.304</c:v>
                </c:pt>
                <c:pt idx="223">
                  <c:v>1.524</c:v>
                </c:pt>
                <c:pt idx="224">
                  <c:v>1.635</c:v>
                </c:pt>
                <c:pt idx="225">
                  <c:v>1.841</c:v>
                </c:pt>
                <c:pt idx="226">
                  <c:v>1.502</c:v>
                </c:pt>
                <c:pt idx="227">
                  <c:v>1.6930000000000001</c:v>
                </c:pt>
                <c:pt idx="228">
                  <c:v>1.8049999999999999</c:v>
                </c:pt>
                <c:pt idx="229">
                  <c:v>1.782</c:v>
                </c:pt>
                <c:pt idx="230">
                  <c:v>1.9</c:v>
                </c:pt>
                <c:pt idx="231">
                  <c:v>1.948</c:v>
                </c:pt>
                <c:pt idx="232">
                  <c:v>1.972</c:v>
                </c:pt>
                <c:pt idx="233">
                  <c:v>1.349</c:v>
                </c:pt>
                <c:pt idx="234">
                  <c:v>1.3420000000000001</c:v>
                </c:pt>
                <c:pt idx="235">
                  <c:v>1.357</c:v>
                </c:pt>
                <c:pt idx="236">
                  <c:v>1.768</c:v>
                </c:pt>
                <c:pt idx="237">
                  <c:v>1.823</c:v>
                </c:pt>
                <c:pt idx="238">
                  <c:v>1.8260000000000001</c:v>
                </c:pt>
                <c:pt idx="239">
                  <c:v>1.647</c:v>
                </c:pt>
                <c:pt idx="240">
                  <c:v>1.587</c:v>
                </c:pt>
                <c:pt idx="241">
                  <c:v>1.367</c:v>
                </c:pt>
                <c:pt idx="242">
                  <c:v>1.304</c:v>
                </c:pt>
                <c:pt idx="243">
                  <c:v>1.7070000000000001</c:v>
                </c:pt>
                <c:pt idx="244">
                  <c:v>1.718</c:v>
                </c:pt>
                <c:pt idx="245">
                  <c:v>1.94</c:v>
                </c:pt>
                <c:pt idx="246">
                  <c:v>1.6839999999999999</c:v>
                </c:pt>
                <c:pt idx="247">
                  <c:v>1.847</c:v>
                </c:pt>
                <c:pt idx="248">
                  <c:v>1.863</c:v>
                </c:pt>
                <c:pt idx="249">
                  <c:v>1.8340000000000001</c:v>
                </c:pt>
                <c:pt idx="250">
                  <c:v>1.7230000000000001</c:v>
                </c:pt>
                <c:pt idx="251">
                  <c:v>1.264</c:v>
                </c:pt>
                <c:pt idx="252">
                  <c:v>1.0509999999999999</c:v>
                </c:pt>
                <c:pt idx="253">
                  <c:v>1.516</c:v>
                </c:pt>
                <c:pt idx="254">
                  <c:v>1.45</c:v>
                </c:pt>
                <c:pt idx="255">
                  <c:v>1.052</c:v>
                </c:pt>
                <c:pt idx="256">
                  <c:v>0.88600000000000001</c:v>
                </c:pt>
                <c:pt idx="257">
                  <c:v>0.84599999999999997</c:v>
                </c:pt>
                <c:pt idx="258">
                  <c:v>1.1459999999999999</c:v>
                </c:pt>
                <c:pt idx="259">
                  <c:v>1.1499999999999999</c:v>
                </c:pt>
                <c:pt idx="260">
                  <c:v>1.048</c:v>
                </c:pt>
                <c:pt idx="261">
                  <c:v>0.97099999999999997</c:v>
                </c:pt>
                <c:pt idx="262">
                  <c:v>1.51</c:v>
                </c:pt>
                <c:pt idx="263">
                  <c:v>1.4770000000000001</c:v>
                </c:pt>
                <c:pt idx="264">
                  <c:v>0.78</c:v>
                </c:pt>
                <c:pt idx="265">
                  <c:v>0.95199999999999996</c:v>
                </c:pt>
                <c:pt idx="266">
                  <c:v>1.659</c:v>
                </c:pt>
                <c:pt idx="267">
                  <c:v>1.627</c:v>
                </c:pt>
                <c:pt idx="268">
                  <c:v>1.367</c:v>
                </c:pt>
                <c:pt idx="269">
                  <c:v>1.647</c:v>
                </c:pt>
                <c:pt idx="270">
                  <c:v>1.5089999999999999</c:v>
                </c:pt>
                <c:pt idx="271">
                  <c:v>1.5029999999999999</c:v>
                </c:pt>
                <c:pt idx="272">
                  <c:v>1.659</c:v>
                </c:pt>
                <c:pt idx="273">
                  <c:v>1.3640000000000001</c:v>
                </c:pt>
                <c:pt idx="274">
                  <c:v>1.4610000000000001</c:v>
                </c:pt>
                <c:pt idx="275">
                  <c:v>1.464</c:v>
                </c:pt>
                <c:pt idx="276">
                  <c:v>1.7110000000000001</c:v>
                </c:pt>
                <c:pt idx="277">
                  <c:v>1.3089999999999999</c:v>
                </c:pt>
                <c:pt idx="278">
                  <c:v>1.248</c:v>
                </c:pt>
                <c:pt idx="279">
                  <c:v>1.262</c:v>
                </c:pt>
                <c:pt idx="280">
                  <c:v>1.585</c:v>
                </c:pt>
                <c:pt idx="281">
                  <c:v>1.708</c:v>
                </c:pt>
                <c:pt idx="282">
                  <c:v>1.585</c:v>
                </c:pt>
                <c:pt idx="283">
                  <c:v>1.843</c:v>
                </c:pt>
                <c:pt idx="284">
                  <c:v>1.804</c:v>
                </c:pt>
                <c:pt idx="285">
                  <c:v>1.776</c:v>
                </c:pt>
                <c:pt idx="286">
                  <c:v>1.548</c:v>
                </c:pt>
                <c:pt idx="287">
                  <c:v>0.83699999999999997</c:v>
                </c:pt>
                <c:pt idx="288">
                  <c:v>1.0960000000000001</c:v>
                </c:pt>
                <c:pt idx="289">
                  <c:v>0.879</c:v>
                </c:pt>
                <c:pt idx="290">
                  <c:v>0.61299999999999999</c:v>
                </c:pt>
                <c:pt idx="291">
                  <c:v>0.88100000000000001</c:v>
                </c:pt>
                <c:pt idx="292">
                  <c:v>0.94</c:v>
                </c:pt>
                <c:pt idx="293">
                  <c:v>1.421</c:v>
                </c:pt>
                <c:pt idx="294">
                  <c:v>1.2210000000000001</c:v>
                </c:pt>
                <c:pt idx="295">
                  <c:v>1.0820000000000001</c:v>
                </c:pt>
                <c:pt idx="296">
                  <c:v>1.373</c:v>
                </c:pt>
                <c:pt idx="297">
                  <c:v>0.96499999999999997</c:v>
                </c:pt>
                <c:pt idx="298">
                  <c:v>3.3490000000000002</c:v>
                </c:pt>
                <c:pt idx="299">
                  <c:v>2.67</c:v>
                </c:pt>
                <c:pt idx="300">
                  <c:v>2.7429999999999999</c:v>
                </c:pt>
                <c:pt idx="301">
                  <c:v>1.9379999999999999</c:v>
                </c:pt>
                <c:pt idx="302">
                  <c:v>0.93799999999999994</c:v>
                </c:pt>
                <c:pt idx="303">
                  <c:v>1.139</c:v>
                </c:pt>
                <c:pt idx="304">
                  <c:v>1.405</c:v>
                </c:pt>
                <c:pt idx="305">
                  <c:v>1.26</c:v>
                </c:pt>
                <c:pt idx="306">
                  <c:v>0.65500000000000003</c:v>
                </c:pt>
                <c:pt idx="307">
                  <c:v>1.464</c:v>
                </c:pt>
                <c:pt idx="308">
                  <c:v>2.1960000000000002</c:v>
                </c:pt>
                <c:pt idx="309">
                  <c:v>2.363</c:v>
                </c:pt>
                <c:pt idx="310">
                  <c:v>2.6760000000000002</c:v>
                </c:pt>
                <c:pt idx="311">
                  <c:v>1.579</c:v>
                </c:pt>
                <c:pt idx="312">
                  <c:v>1.0129999999999999</c:v>
                </c:pt>
                <c:pt idx="313">
                  <c:v>1.5129999999999999</c:v>
                </c:pt>
                <c:pt idx="314">
                  <c:v>2.2040000000000002</c:v>
                </c:pt>
                <c:pt idx="315">
                  <c:v>1.8520000000000001</c:v>
                </c:pt>
                <c:pt idx="316">
                  <c:v>2.1280000000000001</c:v>
                </c:pt>
                <c:pt idx="317">
                  <c:v>1.619</c:v>
                </c:pt>
                <c:pt idx="318">
                  <c:v>2.6549999999999998</c:v>
                </c:pt>
                <c:pt idx="319">
                  <c:v>1.7809999999999999</c:v>
                </c:pt>
                <c:pt idx="320">
                  <c:v>1.302</c:v>
                </c:pt>
                <c:pt idx="321">
                  <c:v>1.262</c:v>
                </c:pt>
                <c:pt idx="322">
                  <c:v>2.4470000000000001</c:v>
                </c:pt>
                <c:pt idx="323">
                  <c:v>1.9379999999999999</c:v>
                </c:pt>
                <c:pt idx="324">
                  <c:v>2.2109999999999999</c:v>
                </c:pt>
                <c:pt idx="325">
                  <c:v>1.403</c:v>
                </c:pt>
                <c:pt idx="326">
                  <c:v>1.8759999999999999</c:v>
                </c:pt>
                <c:pt idx="327">
                  <c:v>1.677</c:v>
                </c:pt>
                <c:pt idx="328">
                  <c:v>0.93799999999999994</c:v>
                </c:pt>
                <c:pt idx="329">
                  <c:v>1.6379999999999999</c:v>
                </c:pt>
                <c:pt idx="330">
                  <c:v>0.90700000000000003</c:v>
                </c:pt>
                <c:pt idx="331">
                  <c:v>0.51500000000000001</c:v>
                </c:pt>
                <c:pt idx="332">
                  <c:v>0.54900000000000004</c:v>
                </c:pt>
                <c:pt idx="333">
                  <c:v>0.57499999999999996</c:v>
                </c:pt>
                <c:pt idx="334">
                  <c:v>0.746</c:v>
                </c:pt>
                <c:pt idx="335">
                  <c:v>0.45500000000000002</c:v>
                </c:pt>
                <c:pt idx="336">
                  <c:v>0.48499999999999999</c:v>
                </c:pt>
                <c:pt idx="337">
                  <c:v>0.53</c:v>
                </c:pt>
                <c:pt idx="338">
                  <c:v>0.44700000000000001</c:v>
                </c:pt>
                <c:pt idx="339">
                  <c:v>0.69299999999999995</c:v>
                </c:pt>
                <c:pt idx="340">
                  <c:v>0.72499999999999998</c:v>
                </c:pt>
                <c:pt idx="341">
                  <c:v>0.76</c:v>
                </c:pt>
                <c:pt idx="342">
                  <c:v>1.2450000000000001</c:v>
                </c:pt>
                <c:pt idx="343">
                  <c:v>1.151</c:v>
                </c:pt>
                <c:pt idx="344">
                  <c:v>2.0329999999999999</c:v>
                </c:pt>
                <c:pt idx="345">
                  <c:v>2.1579999999999999</c:v>
                </c:pt>
                <c:pt idx="346">
                  <c:v>2.86</c:v>
                </c:pt>
                <c:pt idx="347">
                  <c:v>2.0830000000000002</c:v>
                </c:pt>
                <c:pt idx="348">
                  <c:v>2.6150000000000002</c:v>
                </c:pt>
                <c:pt idx="349">
                  <c:v>0.70399999999999996</c:v>
                </c:pt>
                <c:pt idx="350">
                  <c:v>0.72599999999999998</c:v>
                </c:pt>
                <c:pt idx="351">
                  <c:v>0.72</c:v>
                </c:pt>
                <c:pt idx="352">
                  <c:v>1.008</c:v>
                </c:pt>
                <c:pt idx="353">
                  <c:v>1.3640000000000001</c:v>
                </c:pt>
                <c:pt idx="354">
                  <c:v>1.8779999999999999</c:v>
                </c:pt>
                <c:pt idx="355">
                  <c:v>1.389</c:v>
                </c:pt>
                <c:pt idx="356">
                  <c:v>1.196</c:v>
                </c:pt>
                <c:pt idx="357">
                  <c:v>1.9590000000000001</c:v>
                </c:pt>
                <c:pt idx="358">
                  <c:v>1.9279999999999999</c:v>
                </c:pt>
                <c:pt idx="359">
                  <c:v>1.151</c:v>
                </c:pt>
                <c:pt idx="360">
                  <c:v>1.4930000000000001</c:v>
                </c:pt>
                <c:pt idx="361">
                  <c:v>1.405</c:v>
                </c:pt>
                <c:pt idx="362">
                  <c:v>1.32</c:v>
                </c:pt>
                <c:pt idx="363">
                  <c:v>1.1950000000000001</c:v>
                </c:pt>
                <c:pt idx="364">
                  <c:v>0.96299999999999997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4.6500000000000004</c:v>
                </c:pt>
                <c:pt idx="1">
                  <c:v>4.6500000000000004</c:v>
                </c:pt>
                <c:pt idx="2">
                  <c:v>3.1869999999999998</c:v>
                </c:pt>
                <c:pt idx="3">
                  <c:v>4.53</c:v>
                </c:pt>
                <c:pt idx="4">
                  <c:v>5.4880000000000004</c:v>
                </c:pt>
                <c:pt idx="5">
                  <c:v>4.2770000000000001</c:v>
                </c:pt>
                <c:pt idx="6">
                  <c:v>2.3220000000000001</c:v>
                </c:pt>
                <c:pt idx="7">
                  <c:v>4.9960000000000004</c:v>
                </c:pt>
                <c:pt idx="8">
                  <c:v>5.4080000000000004</c:v>
                </c:pt>
                <c:pt idx="9">
                  <c:v>6.1130000000000004</c:v>
                </c:pt>
                <c:pt idx="10">
                  <c:v>5.0890000000000004</c:v>
                </c:pt>
                <c:pt idx="11">
                  <c:v>2.508</c:v>
                </c:pt>
                <c:pt idx="12">
                  <c:v>3.6520000000000001</c:v>
                </c:pt>
                <c:pt idx="13">
                  <c:v>3.2669999999999999</c:v>
                </c:pt>
                <c:pt idx="14">
                  <c:v>3.4790000000000001</c:v>
                </c:pt>
                <c:pt idx="15">
                  <c:v>4.53</c:v>
                </c:pt>
                <c:pt idx="16">
                  <c:v>5.2220000000000004</c:v>
                </c:pt>
                <c:pt idx="17">
                  <c:v>3.2530000000000001</c:v>
                </c:pt>
                <c:pt idx="18">
                  <c:v>3.2130000000000001</c:v>
                </c:pt>
                <c:pt idx="19">
                  <c:v>3.04</c:v>
                </c:pt>
                <c:pt idx="20">
                  <c:v>2.4820000000000002</c:v>
                </c:pt>
                <c:pt idx="21">
                  <c:v>5.9930000000000003</c:v>
                </c:pt>
                <c:pt idx="22">
                  <c:v>5.1150000000000002</c:v>
                </c:pt>
                <c:pt idx="23">
                  <c:v>3.8119999999999998</c:v>
                </c:pt>
                <c:pt idx="24">
                  <c:v>4.9960000000000004</c:v>
                </c:pt>
                <c:pt idx="25">
                  <c:v>5.2880000000000003</c:v>
                </c:pt>
                <c:pt idx="26">
                  <c:v>3.9449999999999998</c:v>
                </c:pt>
                <c:pt idx="27">
                  <c:v>6.8310000000000004</c:v>
                </c:pt>
                <c:pt idx="28">
                  <c:v>5.6470000000000002</c:v>
                </c:pt>
                <c:pt idx="29">
                  <c:v>6.5919999999999996</c:v>
                </c:pt>
                <c:pt idx="30">
                  <c:v>5.6870000000000003</c:v>
                </c:pt>
                <c:pt idx="31">
                  <c:v>6.3920000000000003</c:v>
                </c:pt>
                <c:pt idx="32">
                  <c:v>4.2640000000000002</c:v>
                </c:pt>
                <c:pt idx="33">
                  <c:v>4.9020000000000001</c:v>
                </c:pt>
                <c:pt idx="34">
                  <c:v>6.5650000000000004</c:v>
                </c:pt>
                <c:pt idx="35">
                  <c:v>3.8250000000000002</c:v>
                </c:pt>
                <c:pt idx="36">
                  <c:v>2.8540000000000001</c:v>
                </c:pt>
                <c:pt idx="37">
                  <c:v>2.3620000000000001</c:v>
                </c:pt>
                <c:pt idx="38">
                  <c:v>4.6760000000000002</c:v>
                </c:pt>
                <c:pt idx="39">
                  <c:v>3.4129999999999998</c:v>
                </c:pt>
                <c:pt idx="40">
                  <c:v>2.9209999999999998</c:v>
                </c:pt>
                <c:pt idx="41">
                  <c:v>3.4260000000000002</c:v>
                </c:pt>
                <c:pt idx="42">
                  <c:v>3.4790000000000001</c:v>
                </c:pt>
                <c:pt idx="43">
                  <c:v>3.7589999999999999</c:v>
                </c:pt>
                <c:pt idx="44">
                  <c:v>3.0139999999999998</c:v>
                </c:pt>
                <c:pt idx="45">
                  <c:v>3.2930000000000001</c:v>
                </c:pt>
                <c:pt idx="46">
                  <c:v>5.8730000000000002</c:v>
                </c:pt>
                <c:pt idx="47">
                  <c:v>3.5859999999999999</c:v>
                </c:pt>
                <c:pt idx="48">
                  <c:v>3.0139999999999998</c:v>
                </c:pt>
                <c:pt idx="49">
                  <c:v>3.12</c:v>
                </c:pt>
                <c:pt idx="50">
                  <c:v>3.8250000000000002</c:v>
                </c:pt>
                <c:pt idx="51">
                  <c:v>4.5030000000000001</c:v>
                </c:pt>
                <c:pt idx="52">
                  <c:v>6.8840000000000003</c:v>
                </c:pt>
                <c:pt idx="53">
                  <c:v>3.4129999999999998</c:v>
                </c:pt>
                <c:pt idx="54">
                  <c:v>3.36</c:v>
                </c:pt>
                <c:pt idx="55">
                  <c:v>3.6789999999999998</c:v>
                </c:pt>
                <c:pt idx="56">
                  <c:v>2.8940000000000001</c:v>
                </c:pt>
                <c:pt idx="57">
                  <c:v>7.22</c:v>
                </c:pt>
                <c:pt idx="58">
                  <c:v>4.9690000000000003</c:v>
                </c:pt>
                <c:pt idx="59">
                  <c:v>4.2640000000000002</c:v>
                </c:pt>
                <c:pt idx="60">
                  <c:v>4.8630000000000004</c:v>
                </c:pt>
                <c:pt idx="61">
                  <c:v>3.7589999999999999</c:v>
                </c:pt>
                <c:pt idx="62">
                  <c:v>3.9980000000000002</c:v>
                </c:pt>
                <c:pt idx="63">
                  <c:v>5.3150000000000004</c:v>
                </c:pt>
                <c:pt idx="64">
                  <c:v>4.5830000000000002</c:v>
                </c:pt>
                <c:pt idx="65">
                  <c:v>4.2770000000000001</c:v>
                </c:pt>
                <c:pt idx="66">
                  <c:v>5.1680000000000001</c:v>
                </c:pt>
                <c:pt idx="67">
                  <c:v>5.0490000000000004</c:v>
                </c:pt>
                <c:pt idx="68">
                  <c:v>3.306</c:v>
                </c:pt>
                <c:pt idx="69">
                  <c:v>3.5459999999999998</c:v>
                </c:pt>
                <c:pt idx="70">
                  <c:v>3.7050000000000001</c:v>
                </c:pt>
                <c:pt idx="71">
                  <c:v>3.0670000000000002</c:v>
                </c:pt>
                <c:pt idx="72">
                  <c:v>4.2240000000000002</c:v>
                </c:pt>
                <c:pt idx="73">
                  <c:v>4.6630000000000003</c:v>
                </c:pt>
                <c:pt idx="74">
                  <c:v>5.0220000000000002</c:v>
                </c:pt>
                <c:pt idx="75">
                  <c:v>3.36</c:v>
                </c:pt>
                <c:pt idx="76">
                  <c:v>3.4929999999999999</c:v>
                </c:pt>
                <c:pt idx="77">
                  <c:v>3.2130000000000001</c:v>
                </c:pt>
                <c:pt idx="78">
                  <c:v>3.0939999999999999</c:v>
                </c:pt>
                <c:pt idx="79">
                  <c:v>4.8230000000000004</c:v>
                </c:pt>
                <c:pt idx="80">
                  <c:v>4.9960000000000004</c:v>
                </c:pt>
                <c:pt idx="81">
                  <c:v>4.7030000000000003</c:v>
                </c:pt>
                <c:pt idx="82">
                  <c:v>6.6310000000000002</c:v>
                </c:pt>
                <c:pt idx="83">
                  <c:v>3.1869999999999998</c:v>
                </c:pt>
                <c:pt idx="84">
                  <c:v>5.82</c:v>
                </c:pt>
                <c:pt idx="85">
                  <c:v>4.41</c:v>
                </c:pt>
                <c:pt idx="86">
                  <c:v>3.9980000000000002</c:v>
                </c:pt>
                <c:pt idx="87">
                  <c:v>3.9049999999999998</c:v>
                </c:pt>
                <c:pt idx="88">
                  <c:v>3.9710000000000001</c:v>
                </c:pt>
                <c:pt idx="89">
                  <c:v>3.7050000000000001</c:v>
                </c:pt>
                <c:pt idx="90">
                  <c:v>3.4129999999999998</c:v>
                </c:pt>
                <c:pt idx="91">
                  <c:v>7.15</c:v>
                </c:pt>
                <c:pt idx="92">
                  <c:v>4.2510000000000003</c:v>
                </c:pt>
                <c:pt idx="93">
                  <c:v>2.6019999999999999</c:v>
                </c:pt>
                <c:pt idx="94">
                  <c:v>5.1680000000000001</c:v>
                </c:pt>
                <c:pt idx="95">
                  <c:v>3.2269999999999999</c:v>
                </c:pt>
                <c:pt idx="96">
                  <c:v>4.6760000000000002</c:v>
                </c:pt>
                <c:pt idx="97">
                  <c:v>3.32</c:v>
                </c:pt>
                <c:pt idx="98">
                  <c:v>3.5590000000000002</c:v>
                </c:pt>
                <c:pt idx="99">
                  <c:v>2.774</c:v>
                </c:pt>
                <c:pt idx="100">
                  <c:v>3.36</c:v>
                </c:pt>
                <c:pt idx="101">
                  <c:v>6.1929999999999996</c:v>
                </c:pt>
                <c:pt idx="102">
                  <c:v>4.9160000000000004</c:v>
                </c:pt>
                <c:pt idx="103">
                  <c:v>7.34</c:v>
                </c:pt>
                <c:pt idx="104">
                  <c:v>4.6230000000000002</c:v>
                </c:pt>
                <c:pt idx="105">
                  <c:v>4.8360000000000003</c:v>
                </c:pt>
                <c:pt idx="106">
                  <c:v>4.8360000000000003</c:v>
                </c:pt>
                <c:pt idx="107">
                  <c:v>5.1150000000000002</c:v>
                </c:pt>
                <c:pt idx="108">
                  <c:v>4.9560000000000004</c:v>
                </c:pt>
                <c:pt idx="109">
                  <c:v>5.0620000000000003</c:v>
                </c:pt>
                <c:pt idx="110">
                  <c:v>4.5570000000000004</c:v>
                </c:pt>
                <c:pt idx="111">
                  <c:v>4.3840000000000003</c:v>
                </c:pt>
                <c:pt idx="112">
                  <c:v>4.1980000000000004</c:v>
                </c:pt>
                <c:pt idx="113">
                  <c:v>4.4370000000000003</c:v>
                </c:pt>
                <c:pt idx="114">
                  <c:v>4.7160000000000002</c:v>
                </c:pt>
                <c:pt idx="115">
                  <c:v>4.9820000000000002</c:v>
                </c:pt>
                <c:pt idx="116">
                  <c:v>3.6659999999999999</c:v>
                </c:pt>
                <c:pt idx="117">
                  <c:v>3.1869999999999998</c:v>
                </c:pt>
                <c:pt idx="118">
                  <c:v>5.1150000000000002</c:v>
                </c:pt>
                <c:pt idx="119">
                  <c:v>4.4770000000000003</c:v>
                </c:pt>
                <c:pt idx="120">
                  <c:v>5.2480000000000002</c:v>
                </c:pt>
                <c:pt idx="121">
                  <c:v>3.9180000000000001</c:v>
                </c:pt>
                <c:pt idx="122">
                  <c:v>4.3170000000000002</c:v>
                </c:pt>
                <c:pt idx="123">
                  <c:v>3.8119999999999998</c:v>
                </c:pt>
                <c:pt idx="124">
                  <c:v>5.1420000000000003</c:v>
                </c:pt>
                <c:pt idx="125">
                  <c:v>5.2750000000000004</c:v>
                </c:pt>
                <c:pt idx="126">
                  <c:v>7.63</c:v>
                </c:pt>
                <c:pt idx="127">
                  <c:v>6.0060000000000002</c:v>
                </c:pt>
                <c:pt idx="128">
                  <c:v>4.1710000000000003</c:v>
                </c:pt>
                <c:pt idx="129">
                  <c:v>4.2510000000000003</c:v>
                </c:pt>
                <c:pt idx="130">
                  <c:v>4.9960000000000004</c:v>
                </c:pt>
                <c:pt idx="131">
                  <c:v>4.8490000000000002</c:v>
                </c:pt>
                <c:pt idx="132">
                  <c:v>3.7450000000000001</c:v>
                </c:pt>
                <c:pt idx="133">
                  <c:v>4.2640000000000002</c:v>
                </c:pt>
                <c:pt idx="134">
                  <c:v>4.5430000000000001</c:v>
                </c:pt>
                <c:pt idx="135">
                  <c:v>3.7589999999999999</c:v>
                </c:pt>
                <c:pt idx="136">
                  <c:v>4.7160000000000002</c:v>
                </c:pt>
                <c:pt idx="137">
                  <c:v>3.7589999999999999</c:v>
                </c:pt>
                <c:pt idx="138">
                  <c:v>4.3440000000000003</c:v>
                </c:pt>
                <c:pt idx="139">
                  <c:v>4.3570000000000002</c:v>
                </c:pt>
                <c:pt idx="140">
                  <c:v>5.2619999999999996</c:v>
                </c:pt>
                <c:pt idx="141">
                  <c:v>5.0620000000000003</c:v>
                </c:pt>
                <c:pt idx="142">
                  <c:v>4.4770000000000003</c:v>
                </c:pt>
                <c:pt idx="143">
                  <c:v>4.9420000000000002</c:v>
                </c:pt>
                <c:pt idx="144">
                  <c:v>2.9609999999999999</c:v>
                </c:pt>
                <c:pt idx="145">
                  <c:v>3.1339999999999999</c:v>
                </c:pt>
                <c:pt idx="146">
                  <c:v>3.7589999999999999</c:v>
                </c:pt>
                <c:pt idx="147">
                  <c:v>3.5859999999999999</c:v>
                </c:pt>
                <c:pt idx="148">
                  <c:v>3.9049999999999998</c:v>
                </c:pt>
                <c:pt idx="149">
                  <c:v>4.2110000000000003</c:v>
                </c:pt>
                <c:pt idx="150">
                  <c:v>5.4340000000000002</c:v>
                </c:pt>
                <c:pt idx="151">
                  <c:v>5.1420000000000003</c:v>
                </c:pt>
                <c:pt idx="152">
                  <c:v>4.1980000000000004</c:v>
                </c:pt>
                <c:pt idx="153">
                  <c:v>3.7050000000000001</c:v>
                </c:pt>
                <c:pt idx="154">
                  <c:v>5.1020000000000003</c:v>
                </c:pt>
                <c:pt idx="155">
                  <c:v>5.8730000000000002</c:v>
                </c:pt>
                <c:pt idx="156">
                  <c:v>4.3310000000000004</c:v>
                </c:pt>
                <c:pt idx="157">
                  <c:v>4.5970000000000004</c:v>
                </c:pt>
                <c:pt idx="158">
                  <c:v>3.5590000000000002</c:v>
                </c:pt>
                <c:pt idx="159">
                  <c:v>3.306</c:v>
                </c:pt>
                <c:pt idx="160">
                  <c:v>3.9449999999999998</c:v>
                </c:pt>
                <c:pt idx="161">
                  <c:v>4.5030000000000001</c:v>
                </c:pt>
                <c:pt idx="162">
                  <c:v>4.3040000000000003</c:v>
                </c:pt>
                <c:pt idx="163">
                  <c:v>4.7560000000000002</c:v>
                </c:pt>
                <c:pt idx="164">
                  <c:v>3.5329999999999999</c:v>
                </c:pt>
                <c:pt idx="165">
                  <c:v>3.9319999999999999</c:v>
                </c:pt>
                <c:pt idx="166">
                  <c:v>5.0890000000000004</c:v>
                </c:pt>
                <c:pt idx="167">
                  <c:v>4.53</c:v>
                </c:pt>
                <c:pt idx="168">
                  <c:v>4.1310000000000002</c:v>
                </c:pt>
                <c:pt idx="169">
                  <c:v>2.8010000000000002</c:v>
                </c:pt>
                <c:pt idx="170">
                  <c:v>3.9580000000000002</c:v>
                </c:pt>
                <c:pt idx="171">
                  <c:v>4.2510000000000003</c:v>
                </c:pt>
                <c:pt idx="172">
                  <c:v>5.1289999999999996</c:v>
                </c:pt>
                <c:pt idx="173">
                  <c:v>4.4640000000000004</c:v>
                </c:pt>
                <c:pt idx="174">
                  <c:v>5.0090000000000003</c:v>
                </c:pt>
                <c:pt idx="175">
                  <c:v>3.8650000000000002</c:v>
                </c:pt>
                <c:pt idx="176">
                  <c:v>3.8250000000000002</c:v>
                </c:pt>
                <c:pt idx="177">
                  <c:v>5.3680000000000003</c:v>
                </c:pt>
                <c:pt idx="178">
                  <c:v>4.5970000000000004</c:v>
                </c:pt>
                <c:pt idx="179">
                  <c:v>4.3440000000000003</c:v>
                </c:pt>
                <c:pt idx="180">
                  <c:v>4.6360000000000001</c:v>
                </c:pt>
                <c:pt idx="181">
                  <c:v>3.9580000000000002</c:v>
                </c:pt>
                <c:pt idx="182">
                  <c:v>3.8519999999999999</c:v>
                </c:pt>
                <c:pt idx="183">
                  <c:v>4.5430000000000001</c:v>
                </c:pt>
                <c:pt idx="184">
                  <c:v>4.9420000000000002</c:v>
                </c:pt>
                <c:pt idx="185">
                  <c:v>3.7989999999999999</c:v>
                </c:pt>
                <c:pt idx="186">
                  <c:v>4.2510000000000003</c:v>
                </c:pt>
                <c:pt idx="187">
                  <c:v>3.7719999999999998</c:v>
                </c:pt>
                <c:pt idx="188">
                  <c:v>4.0110000000000001</c:v>
                </c:pt>
                <c:pt idx="189">
                  <c:v>4.5170000000000003</c:v>
                </c:pt>
                <c:pt idx="190">
                  <c:v>6.4720000000000004</c:v>
                </c:pt>
                <c:pt idx="191">
                  <c:v>4.1580000000000004</c:v>
                </c:pt>
                <c:pt idx="192">
                  <c:v>3.7320000000000002</c:v>
                </c:pt>
                <c:pt idx="193">
                  <c:v>5.3280000000000003</c:v>
                </c:pt>
                <c:pt idx="194">
                  <c:v>4.8230000000000004</c:v>
                </c:pt>
                <c:pt idx="195">
                  <c:v>4.1440000000000001</c:v>
                </c:pt>
                <c:pt idx="196">
                  <c:v>4.0650000000000004</c:v>
                </c:pt>
                <c:pt idx="197">
                  <c:v>4.9820000000000002</c:v>
                </c:pt>
                <c:pt idx="198">
                  <c:v>4.1180000000000003</c:v>
                </c:pt>
                <c:pt idx="199">
                  <c:v>4.5970000000000004</c:v>
                </c:pt>
                <c:pt idx="200">
                  <c:v>3.9180000000000001</c:v>
                </c:pt>
                <c:pt idx="201">
                  <c:v>3.6920000000000002</c:v>
                </c:pt>
                <c:pt idx="202">
                  <c:v>3.5190000000000001</c:v>
                </c:pt>
                <c:pt idx="203">
                  <c:v>9.9</c:v>
                </c:pt>
                <c:pt idx="204">
                  <c:v>5.1820000000000004</c:v>
                </c:pt>
                <c:pt idx="205">
                  <c:v>3.9049999999999998</c:v>
                </c:pt>
                <c:pt idx="206">
                  <c:v>4.3040000000000003</c:v>
                </c:pt>
                <c:pt idx="207">
                  <c:v>4.4640000000000004</c:v>
                </c:pt>
                <c:pt idx="208">
                  <c:v>3.7989999999999999</c:v>
                </c:pt>
                <c:pt idx="209">
                  <c:v>5.2480000000000002</c:v>
                </c:pt>
                <c:pt idx="210">
                  <c:v>5.6340000000000003</c:v>
                </c:pt>
                <c:pt idx="211">
                  <c:v>3.7050000000000001</c:v>
                </c:pt>
                <c:pt idx="212">
                  <c:v>4.6500000000000004</c:v>
                </c:pt>
                <c:pt idx="213">
                  <c:v>4.1580000000000004</c:v>
                </c:pt>
                <c:pt idx="214">
                  <c:v>4.5830000000000002</c:v>
                </c:pt>
                <c:pt idx="215">
                  <c:v>5.1680000000000001</c:v>
                </c:pt>
                <c:pt idx="216">
                  <c:v>3.7989999999999999</c:v>
                </c:pt>
                <c:pt idx="217">
                  <c:v>3.9049999999999998</c:v>
                </c:pt>
                <c:pt idx="218">
                  <c:v>5.4740000000000002</c:v>
                </c:pt>
                <c:pt idx="219">
                  <c:v>3.6259999999999999</c:v>
                </c:pt>
                <c:pt idx="220">
                  <c:v>3.4260000000000002</c:v>
                </c:pt>
                <c:pt idx="221">
                  <c:v>5.2750000000000004</c:v>
                </c:pt>
                <c:pt idx="222">
                  <c:v>3.8380000000000001</c:v>
                </c:pt>
                <c:pt idx="223">
                  <c:v>4.2240000000000002</c:v>
                </c:pt>
                <c:pt idx="224">
                  <c:v>3.7850000000000001</c:v>
                </c:pt>
                <c:pt idx="225">
                  <c:v>5.2220000000000004</c:v>
                </c:pt>
                <c:pt idx="226">
                  <c:v>4.1580000000000004</c:v>
                </c:pt>
                <c:pt idx="227">
                  <c:v>4.8890000000000002</c:v>
                </c:pt>
                <c:pt idx="228">
                  <c:v>3.9980000000000002</c:v>
                </c:pt>
                <c:pt idx="229">
                  <c:v>4.0250000000000004</c:v>
                </c:pt>
                <c:pt idx="230">
                  <c:v>4.2110000000000003</c:v>
                </c:pt>
                <c:pt idx="231">
                  <c:v>4.2510000000000003</c:v>
                </c:pt>
                <c:pt idx="232">
                  <c:v>5.7140000000000004</c:v>
                </c:pt>
                <c:pt idx="233">
                  <c:v>4.1440000000000001</c:v>
                </c:pt>
                <c:pt idx="234">
                  <c:v>6.02</c:v>
                </c:pt>
                <c:pt idx="235">
                  <c:v>3.2269999999999999</c:v>
                </c:pt>
                <c:pt idx="236">
                  <c:v>3.9980000000000002</c:v>
                </c:pt>
                <c:pt idx="237">
                  <c:v>3.9710000000000001</c:v>
                </c:pt>
                <c:pt idx="238">
                  <c:v>4.0380000000000003</c:v>
                </c:pt>
                <c:pt idx="239">
                  <c:v>4.7830000000000004</c:v>
                </c:pt>
                <c:pt idx="240">
                  <c:v>4.1040000000000001</c:v>
                </c:pt>
                <c:pt idx="241">
                  <c:v>3.7719999999999998</c:v>
                </c:pt>
                <c:pt idx="242">
                  <c:v>3.5329999999999999</c:v>
                </c:pt>
                <c:pt idx="243">
                  <c:v>3.8250000000000002</c:v>
                </c:pt>
                <c:pt idx="244">
                  <c:v>3.5859999999999999</c:v>
                </c:pt>
                <c:pt idx="245">
                  <c:v>3.4129999999999998</c:v>
                </c:pt>
                <c:pt idx="246">
                  <c:v>3.5459999999999998</c:v>
                </c:pt>
                <c:pt idx="247">
                  <c:v>3.1869999999999998</c:v>
                </c:pt>
                <c:pt idx="248">
                  <c:v>2.9470000000000001</c:v>
                </c:pt>
                <c:pt idx="249">
                  <c:v>3.36</c:v>
                </c:pt>
                <c:pt idx="250">
                  <c:v>4.8630000000000004</c:v>
                </c:pt>
                <c:pt idx="251">
                  <c:v>4.8890000000000002</c:v>
                </c:pt>
                <c:pt idx="252">
                  <c:v>3.16</c:v>
                </c:pt>
                <c:pt idx="253">
                  <c:v>3.9710000000000001</c:v>
                </c:pt>
                <c:pt idx="254">
                  <c:v>4.6500000000000004</c:v>
                </c:pt>
                <c:pt idx="255">
                  <c:v>3.9580000000000002</c:v>
                </c:pt>
                <c:pt idx="256">
                  <c:v>2.7879999999999998</c:v>
                </c:pt>
                <c:pt idx="257">
                  <c:v>3.5190000000000001</c:v>
                </c:pt>
                <c:pt idx="258">
                  <c:v>3.12</c:v>
                </c:pt>
                <c:pt idx="259">
                  <c:v>3.4129999999999998</c:v>
                </c:pt>
                <c:pt idx="260">
                  <c:v>4.2770000000000001</c:v>
                </c:pt>
                <c:pt idx="261">
                  <c:v>3.4790000000000001</c:v>
                </c:pt>
                <c:pt idx="262">
                  <c:v>4.3170000000000002</c:v>
                </c:pt>
                <c:pt idx="263">
                  <c:v>4.41</c:v>
                </c:pt>
                <c:pt idx="264">
                  <c:v>2.5350000000000001</c:v>
                </c:pt>
                <c:pt idx="265">
                  <c:v>2.8809999999999998</c:v>
                </c:pt>
                <c:pt idx="266">
                  <c:v>3.0939999999999999</c:v>
                </c:pt>
                <c:pt idx="267">
                  <c:v>3.6520000000000001</c:v>
                </c:pt>
                <c:pt idx="268">
                  <c:v>3.4</c:v>
                </c:pt>
                <c:pt idx="269">
                  <c:v>3.4790000000000001</c:v>
                </c:pt>
                <c:pt idx="270">
                  <c:v>3.6659999999999999</c:v>
                </c:pt>
                <c:pt idx="271">
                  <c:v>3.24</c:v>
                </c:pt>
                <c:pt idx="272">
                  <c:v>4.5830000000000002</c:v>
                </c:pt>
                <c:pt idx="273">
                  <c:v>4.0380000000000003</c:v>
                </c:pt>
                <c:pt idx="274">
                  <c:v>3.3460000000000001</c:v>
                </c:pt>
                <c:pt idx="275">
                  <c:v>3.28</c:v>
                </c:pt>
                <c:pt idx="276">
                  <c:v>3.8250000000000002</c:v>
                </c:pt>
                <c:pt idx="277">
                  <c:v>2.5619999999999998</c:v>
                </c:pt>
                <c:pt idx="278">
                  <c:v>4.0380000000000003</c:v>
                </c:pt>
                <c:pt idx="279">
                  <c:v>3.7589999999999999</c:v>
                </c:pt>
                <c:pt idx="280">
                  <c:v>3.9710000000000001</c:v>
                </c:pt>
                <c:pt idx="281">
                  <c:v>3.6259999999999999</c:v>
                </c:pt>
                <c:pt idx="282">
                  <c:v>3.2930000000000001</c:v>
                </c:pt>
                <c:pt idx="283">
                  <c:v>3.28</c:v>
                </c:pt>
                <c:pt idx="284">
                  <c:v>2.8679999999999999</c:v>
                </c:pt>
                <c:pt idx="285">
                  <c:v>3.3730000000000002</c:v>
                </c:pt>
                <c:pt idx="286">
                  <c:v>4.41</c:v>
                </c:pt>
                <c:pt idx="287">
                  <c:v>3.0270000000000001</c:v>
                </c:pt>
                <c:pt idx="288">
                  <c:v>2.3220000000000001</c:v>
                </c:pt>
                <c:pt idx="289">
                  <c:v>2.5219999999999998</c:v>
                </c:pt>
                <c:pt idx="290">
                  <c:v>2.3090000000000002</c:v>
                </c:pt>
                <c:pt idx="291">
                  <c:v>3.8250000000000002</c:v>
                </c:pt>
                <c:pt idx="292">
                  <c:v>3.6259999999999999</c:v>
                </c:pt>
                <c:pt idx="293">
                  <c:v>3.0009999999999999</c:v>
                </c:pt>
                <c:pt idx="294">
                  <c:v>4.2640000000000002</c:v>
                </c:pt>
                <c:pt idx="295">
                  <c:v>3.8919999999999999</c:v>
                </c:pt>
                <c:pt idx="296">
                  <c:v>4.2110000000000003</c:v>
                </c:pt>
                <c:pt idx="297">
                  <c:v>3.306</c:v>
                </c:pt>
                <c:pt idx="298">
                  <c:v>6.5380000000000003</c:v>
                </c:pt>
                <c:pt idx="299">
                  <c:v>6.2859999999999996</c:v>
                </c:pt>
                <c:pt idx="300">
                  <c:v>5.9130000000000003</c:v>
                </c:pt>
                <c:pt idx="301">
                  <c:v>4.1980000000000004</c:v>
                </c:pt>
                <c:pt idx="302">
                  <c:v>2.681</c:v>
                </c:pt>
                <c:pt idx="303">
                  <c:v>2.681</c:v>
                </c:pt>
                <c:pt idx="304">
                  <c:v>2.8010000000000002</c:v>
                </c:pt>
                <c:pt idx="305">
                  <c:v>4.5570000000000004</c:v>
                </c:pt>
                <c:pt idx="306">
                  <c:v>3.2269999999999999</c:v>
                </c:pt>
                <c:pt idx="307">
                  <c:v>5.5010000000000003</c:v>
                </c:pt>
                <c:pt idx="308">
                  <c:v>5.4880000000000004</c:v>
                </c:pt>
                <c:pt idx="309">
                  <c:v>8.33</c:v>
                </c:pt>
                <c:pt idx="310">
                  <c:v>7.2</c:v>
                </c:pt>
                <c:pt idx="311">
                  <c:v>5.3550000000000004</c:v>
                </c:pt>
                <c:pt idx="312">
                  <c:v>2.5350000000000001</c:v>
                </c:pt>
                <c:pt idx="313">
                  <c:v>4.5570000000000004</c:v>
                </c:pt>
                <c:pt idx="314">
                  <c:v>5.2080000000000002</c:v>
                </c:pt>
                <c:pt idx="315">
                  <c:v>5.1420000000000003</c:v>
                </c:pt>
                <c:pt idx="316">
                  <c:v>7.59</c:v>
                </c:pt>
                <c:pt idx="317">
                  <c:v>4.37</c:v>
                </c:pt>
                <c:pt idx="318">
                  <c:v>8.99</c:v>
                </c:pt>
                <c:pt idx="319">
                  <c:v>7.03</c:v>
                </c:pt>
                <c:pt idx="320">
                  <c:v>3.1339999999999999</c:v>
                </c:pt>
                <c:pt idx="321">
                  <c:v>4.3170000000000002</c:v>
                </c:pt>
                <c:pt idx="322">
                  <c:v>6.6180000000000003</c:v>
                </c:pt>
                <c:pt idx="323">
                  <c:v>5.6070000000000002</c:v>
                </c:pt>
                <c:pt idx="324">
                  <c:v>6.4720000000000004</c:v>
                </c:pt>
                <c:pt idx="325">
                  <c:v>3.5329999999999999</c:v>
                </c:pt>
                <c:pt idx="326">
                  <c:v>5.7539999999999996</c:v>
                </c:pt>
                <c:pt idx="327">
                  <c:v>4.2370000000000001</c:v>
                </c:pt>
                <c:pt idx="328">
                  <c:v>2.8940000000000001</c:v>
                </c:pt>
                <c:pt idx="329">
                  <c:v>4.3970000000000002</c:v>
                </c:pt>
                <c:pt idx="330">
                  <c:v>3.1339999999999999</c:v>
                </c:pt>
                <c:pt idx="331">
                  <c:v>1.7769999999999999</c:v>
                </c:pt>
                <c:pt idx="332">
                  <c:v>2.1230000000000002</c:v>
                </c:pt>
                <c:pt idx="333">
                  <c:v>2.2029999999999998</c:v>
                </c:pt>
                <c:pt idx="334">
                  <c:v>2.7480000000000002</c:v>
                </c:pt>
                <c:pt idx="335">
                  <c:v>1.2849999999999999</c:v>
                </c:pt>
                <c:pt idx="336">
                  <c:v>1.857</c:v>
                </c:pt>
                <c:pt idx="337">
                  <c:v>3.4</c:v>
                </c:pt>
                <c:pt idx="338">
                  <c:v>0.52700000000000002</c:v>
                </c:pt>
                <c:pt idx="339">
                  <c:v>2.508</c:v>
                </c:pt>
                <c:pt idx="340">
                  <c:v>2.6150000000000002</c:v>
                </c:pt>
                <c:pt idx="341">
                  <c:v>4.4640000000000004</c:v>
                </c:pt>
                <c:pt idx="342">
                  <c:v>3.8250000000000002</c:v>
                </c:pt>
                <c:pt idx="343">
                  <c:v>3.9580000000000002</c:v>
                </c:pt>
                <c:pt idx="344">
                  <c:v>6.0730000000000004</c:v>
                </c:pt>
                <c:pt idx="345">
                  <c:v>5.3550000000000004</c:v>
                </c:pt>
                <c:pt idx="346">
                  <c:v>6.7910000000000004</c:v>
                </c:pt>
                <c:pt idx="347">
                  <c:v>5.3410000000000002</c:v>
                </c:pt>
                <c:pt idx="348">
                  <c:v>8.4</c:v>
                </c:pt>
                <c:pt idx="349">
                  <c:v>2.7480000000000002</c:v>
                </c:pt>
                <c:pt idx="350">
                  <c:v>2.7480000000000002</c:v>
                </c:pt>
                <c:pt idx="351">
                  <c:v>3.0670000000000002</c:v>
                </c:pt>
                <c:pt idx="352">
                  <c:v>3.6389999999999998</c:v>
                </c:pt>
                <c:pt idx="353">
                  <c:v>4.6760000000000002</c:v>
                </c:pt>
                <c:pt idx="354">
                  <c:v>6.6580000000000004</c:v>
                </c:pt>
                <c:pt idx="355">
                  <c:v>4.3040000000000003</c:v>
                </c:pt>
                <c:pt idx="356">
                  <c:v>4.5570000000000004</c:v>
                </c:pt>
                <c:pt idx="357">
                  <c:v>5.0490000000000004</c:v>
                </c:pt>
                <c:pt idx="358">
                  <c:v>5.2220000000000004</c:v>
                </c:pt>
                <c:pt idx="359">
                  <c:v>3.4929999999999999</c:v>
                </c:pt>
                <c:pt idx="360">
                  <c:v>3.7320000000000002</c:v>
                </c:pt>
                <c:pt idx="361">
                  <c:v>3.0139999999999998</c:v>
                </c:pt>
                <c:pt idx="362">
                  <c:v>5.78</c:v>
                </c:pt>
                <c:pt idx="363">
                  <c:v>2.6549999999999998</c:v>
                </c:pt>
                <c:pt idx="364">
                  <c:v>2.508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175808"/>
        <c:axId val="285177728"/>
      </c:lineChart>
      <c:catAx>
        <c:axId val="28517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2475027746948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5177728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851777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7047308319738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51758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62153163152053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357259380097879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</c:v>
                </c:pt>
                <c:pt idx="20">
                  <c:v>1</c:v>
                </c:pt>
                <c:pt idx="21">
                  <c:v>5</c:v>
                </c:pt>
                <c:pt idx="22">
                  <c:v>8</c:v>
                </c:pt>
                <c:pt idx="23">
                  <c:v>20</c:v>
                </c:pt>
                <c:pt idx="24">
                  <c:v>1</c:v>
                </c:pt>
                <c:pt idx="25">
                  <c:v>11</c:v>
                </c:pt>
                <c:pt idx="26">
                  <c:v>5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</c:v>
                </c:pt>
                <c:pt idx="39">
                  <c:v>2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4</c:v>
                </c:pt>
                <c:pt idx="44">
                  <c:v>52</c:v>
                </c:pt>
                <c:pt idx="45">
                  <c:v>11</c:v>
                </c:pt>
                <c:pt idx="46">
                  <c:v>1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3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31</c:v>
                </c:pt>
                <c:pt idx="102">
                  <c:v>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24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18</c:v>
                </c:pt>
                <c:pt idx="136">
                  <c:v>24</c:v>
                </c:pt>
                <c:pt idx="137">
                  <c:v>5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17</c:v>
                </c:pt>
                <c:pt idx="143">
                  <c:v>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</c:v>
                </c:pt>
                <c:pt idx="167">
                  <c:v>7</c:v>
                </c:pt>
                <c:pt idx="168">
                  <c:v>2</c:v>
                </c:pt>
                <c:pt idx="169">
                  <c:v>0</c:v>
                </c:pt>
                <c:pt idx="170">
                  <c:v>1</c:v>
                </c:pt>
                <c:pt idx="171">
                  <c:v>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491968"/>
        <c:axId val="287498240"/>
      </c:barChart>
      <c:catAx>
        <c:axId val="28749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49824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87498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35725938009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491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 Vapour Pressure Deficit </a:t>
            </a:r>
          </a:p>
        </c:rich>
      </c:tx>
      <c:layout>
        <c:manualLayout>
          <c:xMode val="edge"/>
          <c:yMode val="edge"/>
          <c:x val="0.3840177580466148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669256381798006E-2"/>
          <c:y val="0.13539967373572595"/>
          <c:w val="0.89123196448390674"/>
          <c:h val="0.73572593800978792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0.16900000000000001</c:v>
                </c:pt>
                <c:pt idx="1">
                  <c:v>0.25700000000000001</c:v>
                </c:pt>
                <c:pt idx="2">
                  <c:v>0.21</c:v>
                </c:pt>
                <c:pt idx="3">
                  <c:v>0.216</c:v>
                </c:pt>
                <c:pt idx="4">
                  <c:v>0.222</c:v>
                </c:pt>
                <c:pt idx="5">
                  <c:v>7.5999999999999998E-2</c:v>
                </c:pt>
                <c:pt idx="6">
                  <c:v>5.5E-2</c:v>
                </c:pt>
                <c:pt idx="7">
                  <c:v>0.13300000000000001</c:v>
                </c:pt>
                <c:pt idx="8">
                  <c:v>0.10100000000000001</c:v>
                </c:pt>
                <c:pt idx="9">
                  <c:v>0.109</c:v>
                </c:pt>
                <c:pt idx="10">
                  <c:v>0.10299999999999999</c:v>
                </c:pt>
                <c:pt idx="11">
                  <c:v>7.5999999999999998E-2</c:v>
                </c:pt>
                <c:pt idx="12">
                  <c:v>7.9000000000000001E-2</c:v>
                </c:pt>
                <c:pt idx="13">
                  <c:v>5.0999999999999997E-2</c:v>
                </c:pt>
                <c:pt idx="14">
                  <c:v>3.4000000000000002E-2</c:v>
                </c:pt>
                <c:pt idx="15">
                  <c:v>3.5999999999999997E-2</c:v>
                </c:pt>
                <c:pt idx="16">
                  <c:v>0.29399999999999998</c:v>
                </c:pt>
                <c:pt idx="17">
                  <c:v>5.3999999999999999E-2</c:v>
                </c:pt>
                <c:pt idx="18">
                  <c:v>9.2999999999999999E-2</c:v>
                </c:pt>
                <c:pt idx="19">
                  <c:v>5.5E-2</c:v>
                </c:pt>
                <c:pt idx="20">
                  <c:v>0.105</c:v>
                </c:pt>
                <c:pt idx="21">
                  <c:v>6.8000000000000005E-2</c:v>
                </c:pt>
                <c:pt idx="22">
                  <c:v>0.182</c:v>
                </c:pt>
                <c:pt idx="23">
                  <c:v>0.27</c:v>
                </c:pt>
                <c:pt idx="24">
                  <c:v>0.36099999999999999</c:v>
                </c:pt>
                <c:pt idx="25">
                  <c:v>0.219</c:v>
                </c:pt>
                <c:pt idx="26">
                  <c:v>0.20899999999999999</c:v>
                </c:pt>
                <c:pt idx="27">
                  <c:v>0.1</c:v>
                </c:pt>
                <c:pt idx="28">
                  <c:v>0.13900000000000001</c:v>
                </c:pt>
                <c:pt idx="29">
                  <c:v>6.7000000000000004E-2</c:v>
                </c:pt>
                <c:pt idx="30">
                  <c:v>0.108</c:v>
                </c:pt>
                <c:pt idx="31">
                  <c:v>0.158</c:v>
                </c:pt>
                <c:pt idx="32">
                  <c:v>0.129</c:v>
                </c:pt>
                <c:pt idx="33">
                  <c:v>0.22600000000000001</c:v>
                </c:pt>
                <c:pt idx="34">
                  <c:v>0.13</c:v>
                </c:pt>
                <c:pt idx="35">
                  <c:v>6.6000000000000003E-2</c:v>
                </c:pt>
                <c:pt idx="36">
                  <c:v>0.08</c:v>
                </c:pt>
                <c:pt idx="37">
                  <c:v>9.5000000000000001E-2</c:v>
                </c:pt>
                <c:pt idx="38">
                  <c:v>0.182</c:v>
                </c:pt>
                <c:pt idx="39">
                  <c:v>0.19500000000000001</c:v>
                </c:pt>
                <c:pt idx="40">
                  <c:v>0.39900000000000002</c:v>
                </c:pt>
                <c:pt idx="41">
                  <c:v>0.65900000000000003</c:v>
                </c:pt>
                <c:pt idx="42">
                  <c:v>0.51</c:v>
                </c:pt>
                <c:pt idx="43">
                  <c:v>7.8E-2</c:v>
                </c:pt>
                <c:pt idx="44">
                  <c:v>0.14199999999999999</c:v>
                </c:pt>
                <c:pt idx="45">
                  <c:v>0.111</c:v>
                </c:pt>
                <c:pt idx="46">
                  <c:v>0.18</c:v>
                </c:pt>
                <c:pt idx="47">
                  <c:v>0.29099999999999998</c:v>
                </c:pt>
                <c:pt idx="48">
                  <c:v>0.23</c:v>
                </c:pt>
                <c:pt idx="49">
                  <c:v>0.17</c:v>
                </c:pt>
                <c:pt idx="50">
                  <c:v>6.3E-2</c:v>
                </c:pt>
                <c:pt idx="51">
                  <c:v>0.10100000000000001</c:v>
                </c:pt>
                <c:pt idx="52">
                  <c:v>0.25700000000000001</c:v>
                </c:pt>
                <c:pt idx="53">
                  <c:v>0.11899999999999999</c:v>
                </c:pt>
                <c:pt idx="54">
                  <c:v>0.17</c:v>
                </c:pt>
                <c:pt idx="55">
                  <c:v>0.24</c:v>
                </c:pt>
                <c:pt idx="56">
                  <c:v>7.6999999999999999E-2</c:v>
                </c:pt>
                <c:pt idx="57">
                  <c:v>0.33700000000000002</c:v>
                </c:pt>
                <c:pt idx="58">
                  <c:v>0.188</c:v>
                </c:pt>
                <c:pt idx="59">
                  <c:v>0.27800000000000002</c:v>
                </c:pt>
                <c:pt idx="60">
                  <c:v>0.45</c:v>
                </c:pt>
                <c:pt idx="61">
                  <c:v>0.374</c:v>
                </c:pt>
                <c:pt idx="62">
                  <c:v>0.51700000000000002</c:v>
                </c:pt>
                <c:pt idx="63">
                  <c:v>0.41399999999999998</c:v>
                </c:pt>
                <c:pt idx="64">
                  <c:v>0.29799999999999999</c:v>
                </c:pt>
                <c:pt idx="65">
                  <c:v>0.22900000000000001</c:v>
                </c:pt>
                <c:pt idx="66">
                  <c:v>0.127</c:v>
                </c:pt>
                <c:pt idx="67">
                  <c:v>0.23499999999999999</c:v>
                </c:pt>
                <c:pt idx="68">
                  <c:v>0.253</c:v>
                </c:pt>
                <c:pt idx="69">
                  <c:v>0.35499999999999998</c:v>
                </c:pt>
                <c:pt idx="70">
                  <c:v>0.39800000000000002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0.376</c:v>
                </c:pt>
                <c:pt idx="74">
                  <c:v>0.28100000000000003</c:v>
                </c:pt>
                <c:pt idx="75">
                  <c:v>0.22500000000000001</c:v>
                </c:pt>
                <c:pt idx="76">
                  <c:v>0.20899999999999999</c:v>
                </c:pt>
                <c:pt idx="77">
                  <c:v>0.35499999999999998</c:v>
                </c:pt>
                <c:pt idx="78">
                  <c:v>0.44800000000000001</c:v>
                </c:pt>
                <c:pt idx="79">
                  <c:v>0.36199999999999999</c:v>
                </c:pt>
                <c:pt idx="80">
                  <c:v>0.38200000000000001</c:v>
                </c:pt>
                <c:pt idx="81">
                  <c:v>0.70199999999999996</c:v>
                </c:pt>
                <c:pt idx="82">
                  <c:v>0.44500000000000001</c:v>
                </c:pt>
                <c:pt idx="83">
                  <c:v>0.28499999999999998</c:v>
                </c:pt>
                <c:pt idx="84">
                  <c:v>0.36499999999999999</c:v>
                </c:pt>
                <c:pt idx="85">
                  <c:v>0.30399999999999999</c:v>
                </c:pt>
                <c:pt idx="86">
                  <c:v>0.23599999999999999</c:v>
                </c:pt>
                <c:pt idx="87">
                  <c:v>0.76200000000000001</c:v>
                </c:pt>
                <c:pt idx="88">
                  <c:v>0.60399999999999998</c:v>
                </c:pt>
                <c:pt idx="89">
                  <c:v>0.46</c:v>
                </c:pt>
                <c:pt idx="90">
                  <c:v>0.49399999999999999</c:v>
                </c:pt>
                <c:pt idx="91">
                  <c:v>0.53300000000000003</c:v>
                </c:pt>
                <c:pt idx="92">
                  <c:v>0.64900000000000002</c:v>
                </c:pt>
                <c:pt idx="93">
                  <c:v>0.104</c:v>
                </c:pt>
                <c:pt idx="94">
                  <c:v>0.68400000000000005</c:v>
                </c:pt>
                <c:pt idx="95">
                  <c:v>0.59099999999999997</c:v>
                </c:pt>
                <c:pt idx="96">
                  <c:v>0.66800000000000004</c:v>
                </c:pt>
                <c:pt idx="97">
                  <c:v>0.49199999999999999</c:v>
                </c:pt>
                <c:pt idx="98">
                  <c:v>0.497</c:v>
                </c:pt>
                <c:pt idx="99">
                  <c:v>0.36</c:v>
                </c:pt>
                <c:pt idx="100">
                  <c:v>0.23200000000000001</c:v>
                </c:pt>
                <c:pt idx="101">
                  <c:v>0.28100000000000003</c:v>
                </c:pt>
                <c:pt idx="102">
                  <c:v>0.26500000000000001</c:v>
                </c:pt>
                <c:pt idx="103">
                  <c:v>0.23899999999999999</c:v>
                </c:pt>
                <c:pt idx="104">
                  <c:v>0.35799999999999998</c:v>
                </c:pt>
                <c:pt idx="105">
                  <c:v>0.30499999999999999</c:v>
                </c:pt>
                <c:pt idx="106">
                  <c:v>0.437</c:v>
                </c:pt>
                <c:pt idx="107">
                  <c:v>0.66600000000000004</c:v>
                </c:pt>
                <c:pt idx="108">
                  <c:v>0.88</c:v>
                </c:pt>
                <c:pt idx="109">
                  <c:v>0.9</c:v>
                </c:pt>
                <c:pt idx="110">
                  <c:v>0.61</c:v>
                </c:pt>
                <c:pt idx="111">
                  <c:v>0.38400000000000001</c:v>
                </c:pt>
                <c:pt idx="112">
                  <c:v>0.94</c:v>
                </c:pt>
                <c:pt idx="113">
                  <c:v>1.522</c:v>
                </c:pt>
                <c:pt idx="114">
                  <c:v>1.25</c:v>
                </c:pt>
                <c:pt idx="115">
                  <c:v>0.70399999999999996</c:v>
                </c:pt>
                <c:pt idx="116">
                  <c:v>0.69699999999999995</c:v>
                </c:pt>
                <c:pt idx="117">
                  <c:v>1.091</c:v>
                </c:pt>
                <c:pt idx="118">
                  <c:v>0.79500000000000004</c:v>
                </c:pt>
                <c:pt idx="119">
                  <c:v>0.78200000000000003</c:v>
                </c:pt>
                <c:pt idx="120">
                  <c:v>0.16200000000000001</c:v>
                </c:pt>
                <c:pt idx="121">
                  <c:v>0.58099999999999996</c:v>
                </c:pt>
                <c:pt idx="122">
                  <c:v>0.97899999999999998</c:v>
                </c:pt>
                <c:pt idx="123">
                  <c:v>1.127</c:v>
                </c:pt>
                <c:pt idx="124">
                  <c:v>1.2549999999999999</c:v>
                </c:pt>
                <c:pt idx="125">
                  <c:v>0.64100000000000001</c:v>
                </c:pt>
                <c:pt idx="126">
                  <c:v>0.51200000000000001</c:v>
                </c:pt>
                <c:pt idx="127">
                  <c:v>0.46899999999999997</c:v>
                </c:pt>
                <c:pt idx="128">
                  <c:v>0.69199999999999995</c:v>
                </c:pt>
                <c:pt idx="129">
                  <c:v>0.88100000000000001</c:v>
                </c:pt>
                <c:pt idx="130">
                  <c:v>0.84699999999999998</c:v>
                </c:pt>
                <c:pt idx="131">
                  <c:v>0.44900000000000001</c:v>
                </c:pt>
                <c:pt idx="132">
                  <c:v>0.79800000000000004</c:v>
                </c:pt>
                <c:pt idx="133">
                  <c:v>1.4179999999999999</c:v>
                </c:pt>
                <c:pt idx="134">
                  <c:v>2.1739999999999999</c:v>
                </c:pt>
                <c:pt idx="135">
                  <c:v>2.4670000000000001</c:v>
                </c:pt>
                <c:pt idx="136">
                  <c:v>2.3439999999999999</c:v>
                </c:pt>
                <c:pt idx="137">
                  <c:v>2.081</c:v>
                </c:pt>
                <c:pt idx="138">
                  <c:v>1.978</c:v>
                </c:pt>
                <c:pt idx="139">
                  <c:v>0.25</c:v>
                </c:pt>
                <c:pt idx="140">
                  <c:v>0.92400000000000004</c:v>
                </c:pt>
                <c:pt idx="141">
                  <c:v>0.94799999999999995</c:v>
                </c:pt>
                <c:pt idx="142">
                  <c:v>0.69599999999999995</c:v>
                </c:pt>
                <c:pt idx="143">
                  <c:v>0.23899999999999999</c:v>
                </c:pt>
                <c:pt idx="144">
                  <c:v>0.35399999999999998</c:v>
                </c:pt>
                <c:pt idx="145">
                  <c:v>0.19500000000000001</c:v>
                </c:pt>
                <c:pt idx="146">
                  <c:v>0.42099999999999999</c:v>
                </c:pt>
                <c:pt idx="147">
                  <c:v>0.68500000000000005</c:v>
                </c:pt>
                <c:pt idx="148">
                  <c:v>0.30399999999999999</c:v>
                </c:pt>
                <c:pt idx="149">
                  <c:v>1.286</c:v>
                </c:pt>
                <c:pt idx="150">
                  <c:v>1.41</c:v>
                </c:pt>
                <c:pt idx="151">
                  <c:v>1.4390000000000001</c:v>
                </c:pt>
                <c:pt idx="152">
                  <c:v>0.71</c:v>
                </c:pt>
                <c:pt idx="153">
                  <c:v>0.82499999999999996</c:v>
                </c:pt>
                <c:pt idx="154">
                  <c:v>0.53800000000000003</c:v>
                </c:pt>
                <c:pt idx="155">
                  <c:v>0.98</c:v>
                </c:pt>
                <c:pt idx="156">
                  <c:v>1.117</c:v>
                </c:pt>
                <c:pt idx="157">
                  <c:v>1.7629999999999999</c:v>
                </c:pt>
                <c:pt idx="158">
                  <c:v>0.32300000000000001</c:v>
                </c:pt>
                <c:pt idx="159">
                  <c:v>0.64900000000000002</c:v>
                </c:pt>
                <c:pt idx="160">
                  <c:v>1.3620000000000001</c:v>
                </c:pt>
                <c:pt idx="161">
                  <c:v>0.73599999999999999</c:v>
                </c:pt>
                <c:pt idx="162">
                  <c:v>1.355</c:v>
                </c:pt>
                <c:pt idx="163">
                  <c:v>1.2370000000000001</c:v>
                </c:pt>
                <c:pt idx="164">
                  <c:v>0.03</c:v>
                </c:pt>
                <c:pt idx="165">
                  <c:v>0.104</c:v>
                </c:pt>
                <c:pt idx="166">
                  <c:v>0.77200000000000002</c:v>
                </c:pt>
                <c:pt idx="167">
                  <c:v>0.58099999999999996</c:v>
                </c:pt>
                <c:pt idx="168">
                  <c:v>0.755</c:v>
                </c:pt>
                <c:pt idx="169">
                  <c:v>0.16600000000000001</c:v>
                </c:pt>
                <c:pt idx="170">
                  <c:v>0.54400000000000004</c:v>
                </c:pt>
                <c:pt idx="171">
                  <c:v>1.139</c:v>
                </c:pt>
                <c:pt idx="172">
                  <c:v>1.25</c:v>
                </c:pt>
                <c:pt idx="173">
                  <c:v>1.4550000000000001</c:v>
                </c:pt>
                <c:pt idx="174">
                  <c:v>2.008</c:v>
                </c:pt>
                <c:pt idx="175">
                  <c:v>2.8410000000000002</c:v>
                </c:pt>
                <c:pt idx="176">
                  <c:v>2.8050000000000002</c:v>
                </c:pt>
                <c:pt idx="177">
                  <c:v>2.9089999999999998</c:v>
                </c:pt>
                <c:pt idx="178">
                  <c:v>2.3780000000000001</c:v>
                </c:pt>
                <c:pt idx="179">
                  <c:v>1.74</c:v>
                </c:pt>
                <c:pt idx="180">
                  <c:v>2.0750000000000002</c:v>
                </c:pt>
                <c:pt idx="181">
                  <c:v>2.4820000000000002</c:v>
                </c:pt>
                <c:pt idx="182">
                  <c:v>2.7730000000000001</c:v>
                </c:pt>
                <c:pt idx="183">
                  <c:v>2.8279999999999998</c:v>
                </c:pt>
                <c:pt idx="184">
                  <c:v>2.4609999999999999</c:v>
                </c:pt>
                <c:pt idx="185">
                  <c:v>2.5720000000000001</c:v>
                </c:pt>
                <c:pt idx="186">
                  <c:v>1.3779999999999999</c:v>
                </c:pt>
                <c:pt idx="187">
                  <c:v>1.2370000000000001</c:v>
                </c:pt>
                <c:pt idx="188">
                  <c:v>1.9119999999999999</c:v>
                </c:pt>
                <c:pt idx="189">
                  <c:v>1.2969999999999999</c:v>
                </c:pt>
                <c:pt idx="190">
                  <c:v>1.577</c:v>
                </c:pt>
                <c:pt idx="191">
                  <c:v>1.2689999999999999</c:v>
                </c:pt>
                <c:pt idx="192">
                  <c:v>0.63800000000000001</c:v>
                </c:pt>
                <c:pt idx="193">
                  <c:v>0.84399999999999997</c:v>
                </c:pt>
                <c:pt idx="194">
                  <c:v>1.135</c:v>
                </c:pt>
                <c:pt idx="195">
                  <c:v>1.472</c:v>
                </c:pt>
                <c:pt idx="196">
                  <c:v>1.6890000000000001</c:v>
                </c:pt>
                <c:pt idx="197">
                  <c:v>1.7010000000000001</c:v>
                </c:pt>
                <c:pt idx="198">
                  <c:v>1.3260000000000001</c:v>
                </c:pt>
                <c:pt idx="199">
                  <c:v>1.532</c:v>
                </c:pt>
                <c:pt idx="200">
                  <c:v>1.9510000000000001</c:v>
                </c:pt>
                <c:pt idx="201">
                  <c:v>2.9489999999999998</c:v>
                </c:pt>
                <c:pt idx="202">
                  <c:v>3.431</c:v>
                </c:pt>
                <c:pt idx="203">
                  <c:v>3.113</c:v>
                </c:pt>
                <c:pt idx="204">
                  <c:v>2.0539999999999998</c:v>
                </c:pt>
                <c:pt idx="205">
                  <c:v>2.2170000000000001</c:v>
                </c:pt>
                <c:pt idx="206">
                  <c:v>2.4350000000000001</c:v>
                </c:pt>
                <c:pt idx="207">
                  <c:v>2.1629999999999998</c:v>
                </c:pt>
                <c:pt idx="208">
                  <c:v>1.6459999999999999</c:v>
                </c:pt>
                <c:pt idx="209">
                  <c:v>1.6459999999999999</c:v>
                </c:pt>
                <c:pt idx="210">
                  <c:v>0.59799999999999998</c:v>
                </c:pt>
                <c:pt idx="211">
                  <c:v>0.80700000000000005</c:v>
                </c:pt>
                <c:pt idx="212">
                  <c:v>1.1180000000000001</c:v>
                </c:pt>
                <c:pt idx="213">
                  <c:v>1.0069999999999999</c:v>
                </c:pt>
                <c:pt idx="214">
                  <c:v>1.407</c:v>
                </c:pt>
                <c:pt idx="215">
                  <c:v>0.84599999999999997</c:v>
                </c:pt>
                <c:pt idx="216">
                  <c:v>1.784</c:v>
                </c:pt>
                <c:pt idx="217">
                  <c:v>2.105</c:v>
                </c:pt>
                <c:pt idx="218">
                  <c:v>2.5299999999999998</c:v>
                </c:pt>
                <c:pt idx="219">
                  <c:v>2.165</c:v>
                </c:pt>
                <c:pt idx="220">
                  <c:v>1.1479999999999999</c:v>
                </c:pt>
                <c:pt idx="221">
                  <c:v>0.71899999999999997</c:v>
                </c:pt>
                <c:pt idx="222">
                  <c:v>0.58399999999999996</c:v>
                </c:pt>
                <c:pt idx="223">
                  <c:v>1.19</c:v>
                </c:pt>
                <c:pt idx="224">
                  <c:v>1.6739999999999999</c:v>
                </c:pt>
                <c:pt idx="225">
                  <c:v>1.966</c:v>
                </c:pt>
                <c:pt idx="226">
                  <c:v>1.4279999999999999</c:v>
                </c:pt>
                <c:pt idx="227">
                  <c:v>1.5840000000000001</c:v>
                </c:pt>
                <c:pt idx="228">
                  <c:v>1.9019999999999999</c:v>
                </c:pt>
                <c:pt idx="229">
                  <c:v>2.1110000000000002</c:v>
                </c:pt>
                <c:pt idx="230">
                  <c:v>2.0670000000000002</c:v>
                </c:pt>
                <c:pt idx="231">
                  <c:v>2.4260000000000002</c:v>
                </c:pt>
                <c:pt idx="232">
                  <c:v>3.198</c:v>
                </c:pt>
                <c:pt idx="233">
                  <c:v>1.5009999999999999</c:v>
                </c:pt>
                <c:pt idx="234">
                  <c:v>0.80700000000000005</c:v>
                </c:pt>
                <c:pt idx="235">
                  <c:v>0.91700000000000004</c:v>
                </c:pt>
                <c:pt idx="236">
                  <c:v>1.4379999999999999</c:v>
                </c:pt>
                <c:pt idx="237">
                  <c:v>2.0510000000000002</c:v>
                </c:pt>
                <c:pt idx="238">
                  <c:v>2.2759999999999998</c:v>
                </c:pt>
                <c:pt idx="239">
                  <c:v>2.62</c:v>
                </c:pt>
                <c:pt idx="240">
                  <c:v>1.2669999999999999</c:v>
                </c:pt>
                <c:pt idx="241">
                  <c:v>0.34100000000000003</c:v>
                </c:pt>
                <c:pt idx="242">
                  <c:v>1.0009999999999999</c:v>
                </c:pt>
                <c:pt idx="243">
                  <c:v>1.3660000000000001</c:v>
                </c:pt>
                <c:pt idx="244">
                  <c:v>2.4870000000000001</c:v>
                </c:pt>
                <c:pt idx="245">
                  <c:v>2.8759999999999999</c:v>
                </c:pt>
                <c:pt idx="246">
                  <c:v>2.9630000000000001</c:v>
                </c:pt>
                <c:pt idx="247">
                  <c:v>2.3860000000000001</c:v>
                </c:pt>
                <c:pt idx="248">
                  <c:v>2.4300000000000002</c:v>
                </c:pt>
                <c:pt idx="249">
                  <c:v>2.5190000000000001</c:v>
                </c:pt>
                <c:pt idx="250">
                  <c:v>2.4809999999999999</c:v>
                </c:pt>
                <c:pt idx="251">
                  <c:v>0.86799999999999999</c:v>
                </c:pt>
                <c:pt idx="252">
                  <c:v>0.68600000000000005</c:v>
                </c:pt>
                <c:pt idx="253">
                  <c:v>1.3859999999999999</c:v>
                </c:pt>
                <c:pt idx="254">
                  <c:v>1.4770000000000001</c:v>
                </c:pt>
                <c:pt idx="255">
                  <c:v>0.49</c:v>
                </c:pt>
                <c:pt idx="256">
                  <c:v>6.3E-2</c:v>
                </c:pt>
                <c:pt idx="257">
                  <c:v>0.372</c:v>
                </c:pt>
                <c:pt idx="258">
                  <c:v>0.36699999999999999</c:v>
                </c:pt>
                <c:pt idx="259">
                  <c:v>0.88900000000000001</c:v>
                </c:pt>
                <c:pt idx="260">
                  <c:v>0.40699999999999997</c:v>
                </c:pt>
                <c:pt idx="261">
                  <c:v>0.39900000000000002</c:v>
                </c:pt>
                <c:pt idx="262">
                  <c:v>0.13700000000000001</c:v>
                </c:pt>
                <c:pt idx="263">
                  <c:v>2.9000000000000001E-2</c:v>
                </c:pt>
                <c:pt idx="264">
                  <c:v>0.26500000000000001</c:v>
                </c:pt>
                <c:pt idx="265">
                  <c:v>0.28199999999999997</c:v>
                </c:pt>
                <c:pt idx="266">
                  <c:v>1.19</c:v>
                </c:pt>
                <c:pt idx="267">
                  <c:v>1.411</c:v>
                </c:pt>
                <c:pt idx="268">
                  <c:v>0.64100000000000001</c:v>
                </c:pt>
                <c:pt idx="269">
                  <c:v>0.95199999999999996</c:v>
                </c:pt>
                <c:pt idx="270">
                  <c:v>1.087</c:v>
                </c:pt>
                <c:pt idx="271">
                  <c:v>1.3680000000000001</c:v>
                </c:pt>
                <c:pt idx="272">
                  <c:v>1.155</c:v>
                </c:pt>
                <c:pt idx="273">
                  <c:v>0.67200000000000004</c:v>
                </c:pt>
                <c:pt idx="274">
                  <c:v>0.85099999999999998</c:v>
                </c:pt>
                <c:pt idx="275">
                  <c:v>0.64900000000000002</c:v>
                </c:pt>
                <c:pt idx="276">
                  <c:v>0.93400000000000005</c:v>
                </c:pt>
                <c:pt idx="277">
                  <c:v>0.83399999999999996</c:v>
                </c:pt>
                <c:pt idx="278">
                  <c:v>0.41499999999999998</c:v>
                </c:pt>
                <c:pt idx="279">
                  <c:v>0.59</c:v>
                </c:pt>
                <c:pt idx="280">
                  <c:v>0.76500000000000001</c:v>
                </c:pt>
                <c:pt idx="281">
                  <c:v>0.91800000000000004</c:v>
                </c:pt>
                <c:pt idx="282">
                  <c:v>0.81399999999999995</c:v>
                </c:pt>
                <c:pt idx="283">
                  <c:v>1.016</c:v>
                </c:pt>
                <c:pt idx="284">
                  <c:v>1.1240000000000001</c:v>
                </c:pt>
                <c:pt idx="285">
                  <c:v>0.90600000000000003</c:v>
                </c:pt>
                <c:pt idx="286">
                  <c:v>0.86299999999999999</c:v>
                </c:pt>
                <c:pt idx="287">
                  <c:v>5.8999999999999997E-2</c:v>
                </c:pt>
                <c:pt idx="288">
                  <c:v>5.1999999999999998E-2</c:v>
                </c:pt>
                <c:pt idx="289">
                  <c:v>0.11799999999999999</c:v>
                </c:pt>
                <c:pt idx="290">
                  <c:v>2.7E-2</c:v>
                </c:pt>
                <c:pt idx="291">
                  <c:v>0.17299999999999999</c:v>
                </c:pt>
                <c:pt idx="292">
                  <c:v>0.33300000000000002</c:v>
                </c:pt>
                <c:pt idx="293">
                  <c:v>0.42699999999999999</c:v>
                </c:pt>
                <c:pt idx="294">
                  <c:v>0.91900000000000004</c:v>
                </c:pt>
                <c:pt idx="295">
                  <c:v>0.50900000000000001</c:v>
                </c:pt>
                <c:pt idx="296">
                  <c:v>0.308</c:v>
                </c:pt>
                <c:pt idx="297">
                  <c:v>0.25700000000000001</c:v>
                </c:pt>
                <c:pt idx="298">
                  <c:v>0.192</c:v>
                </c:pt>
                <c:pt idx="299">
                  <c:v>0.29199999999999998</c:v>
                </c:pt>
                <c:pt idx="300">
                  <c:v>0.27700000000000002</c:v>
                </c:pt>
                <c:pt idx="301">
                  <c:v>5.6000000000000001E-2</c:v>
                </c:pt>
                <c:pt idx="302">
                  <c:v>7.9000000000000001E-2</c:v>
                </c:pt>
                <c:pt idx="303">
                  <c:v>0.11700000000000001</c:v>
                </c:pt>
                <c:pt idx="304">
                  <c:v>0.22600000000000001</c:v>
                </c:pt>
                <c:pt idx="305">
                  <c:v>0.315</c:v>
                </c:pt>
                <c:pt idx="306">
                  <c:v>4.9000000000000002E-2</c:v>
                </c:pt>
                <c:pt idx="307">
                  <c:v>0.14599999999999999</c:v>
                </c:pt>
                <c:pt idx="308">
                  <c:v>0.24299999999999999</c:v>
                </c:pt>
                <c:pt idx="309">
                  <c:v>0.29299999999999998</c:v>
                </c:pt>
                <c:pt idx="310">
                  <c:v>0.28799999999999998</c:v>
                </c:pt>
                <c:pt idx="311">
                  <c:v>0.157</c:v>
                </c:pt>
                <c:pt idx="312">
                  <c:v>0.11</c:v>
                </c:pt>
                <c:pt idx="313">
                  <c:v>0.11600000000000001</c:v>
                </c:pt>
                <c:pt idx="314">
                  <c:v>0.06</c:v>
                </c:pt>
                <c:pt idx="315">
                  <c:v>9.7000000000000003E-2</c:v>
                </c:pt>
                <c:pt idx="316">
                  <c:v>2.3E-2</c:v>
                </c:pt>
                <c:pt idx="317">
                  <c:v>0.126</c:v>
                </c:pt>
                <c:pt idx="318">
                  <c:v>0.16600000000000001</c:v>
                </c:pt>
                <c:pt idx="319">
                  <c:v>0.25700000000000001</c:v>
                </c:pt>
                <c:pt idx="320">
                  <c:v>0.19800000000000001</c:v>
                </c:pt>
                <c:pt idx="321">
                  <c:v>0.24399999999999999</c:v>
                </c:pt>
                <c:pt idx="322">
                  <c:v>0.36099999999999999</c:v>
                </c:pt>
                <c:pt idx="323">
                  <c:v>0.29599999999999999</c:v>
                </c:pt>
                <c:pt idx="324">
                  <c:v>0.18099999999999999</c:v>
                </c:pt>
                <c:pt idx="325">
                  <c:v>0.16800000000000001</c:v>
                </c:pt>
                <c:pt idx="326">
                  <c:v>2.1999999999999999E-2</c:v>
                </c:pt>
                <c:pt idx="327">
                  <c:v>3.9E-2</c:v>
                </c:pt>
                <c:pt idx="328">
                  <c:v>3.5999999999999997E-2</c:v>
                </c:pt>
                <c:pt idx="329">
                  <c:v>3.7999999999999999E-2</c:v>
                </c:pt>
                <c:pt idx="330">
                  <c:v>3.1E-2</c:v>
                </c:pt>
                <c:pt idx="331">
                  <c:v>2.8000000000000001E-2</c:v>
                </c:pt>
                <c:pt idx="332">
                  <c:v>5.8999999999999997E-2</c:v>
                </c:pt>
                <c:pt idx="333">
                  <c:v>3.9E-2</c:v>
                </c:pt>
                <c:pt idx="334">
                  <c:v>2.5999999999999999E-2</c:v>
                </c:pt>
                <c:pt idx="335">
                  <c:v>5.8999999999999997E-2</c:v>
                </c:pt>
                <c:pt idx="336">
                  <c:v>2.1000000000000001E-2</c:v>
                </c:pt>
                <c:pt idx="337">
                  <c:v>2.1999999999999999E-2</c:v>
                </c:pt>
                <c:pt idx="338">
                  <c:v>0.03</c:v>
                </c:pt>
                <c:pt idx="339">
                  <c:v>2.3E-2</c:v>
                </c:pt>
                <c:pt idx="340">
                  <c:v>1.4999999999999999E-2</c:v>
                </c:pt>
                <c:pt idx="341">
                  <c:v>4.1000000000000002E-2</c:v>
                </c:pt>
                <c:pt idx="342">
                  <c:v>0.30399999999999999</c:v>
                </c:pt>
                <c:pt idx="343">
                  <c:v>0.188</c:v>
                </c:pt>
                <c:pt idx="344">
                  <c:v>0.13400000000000001</c:v>
                </c:pt>
                <c:pt idx="345">
                  <c:v>0.14000000000000001</c:v>
                </c:pt>
                <c:pt idx="346">
                  <c:v>0.188</c:v>
                </c:pt>
                <c:pt idx="347">
                  <c:v>0.19700000000000001</c:v>
                </c:pt>
                <c:pt idx="348">
                  <c:v>5.5E-2</c:v>
                </c:pt>
                <c:pt idx="349">
                  <c:v>5.2999999999999999E-2</c:v>
                </c:pt>
                <c:pt idx="350">
                  <c:v>0.05</c:v>
                </c:pt>
                <c:pt idx="351">
                  <c:v>4.9000000000000002E-2</c:v>
                </c:pt>
                <c:pt idx="352">
                  <c:v>7.8E-2</c:v>
                </c:pt>
                <c:pt idx="353">
                  <c:v>0.26100000000000001</c:v>
                </c:pt>
                <c:pt idx="354">
                  <c:v>0.20699999999999999</c:v>
                </c:pt>
                <c:pt idx="355">
                  <c:v>0.20100000000000001</c:v>
                </c:pt>
                <c:pt idx="356">
                  <c:v>0.159</c:v>
                </c:pt>
                <c:pt idx="357">
                  <c:v>0.20100000000000001</c:v>
                </c:pt>
                <c:pt idx="358">
                  <c:v>0.19700000000000001</c:v>
                </c:pt>
                <c:pt idx="359">
                  <c:v>0.17399999999999999</c:v>
                </c:pt>
                <c:pt idx="360">
                  <c:v>0.03</c:v>
                </c:pt>
                <c:pt idx="361">
                  <c:v>5.8000000000000003E-2</c:v>
                </c:pt>
                <c:pt idx="362">
                  <c:v>0.28100000000000003</c:v>
                </c:pt>
                <c:pt idx="363">
                  <c:v>0.19500000000000001</c:v>
                </c:pt>
                <c:pt idx="364">
                  <c:v>0.104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527296"/>
        <c:axId val="287529216"/>
      </c:lineChart>
      <c:catAx>
        <c:axId val="28752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529216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87529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2936378466557911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527296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39511653718091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2234910277324633"/>
          <c:w val="0.90677025527192012"/>
          <c:h val="0.76345840130505704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605</c:v>
                </c:pt>
                <c:pt idx="1">
                  <c:v>586</c:v>
                </c:pt>
                <c:pt idx="2">
                  <c:v>675</c:v>
                </c:pt>
                <c:pt idx="3">
                  <c:v>661</c:v>
                </c:pt>
                <c:pt idx="4">
                  <c:v>644</c:v>
                </c:pt>
                <c:pt idx="5">
                  <c:v>645</c:v>
                </c:pt>
                <c:pt idx="6">
                  <c:v>667</c:v>
                </c:pt>
                <c:pt idx="7">
                  <c:v>680</c:v>
                </c:pt>
                <c:pt idx="8">
                  <c:v>793</c:v>
                </c:pt>
                <c:pt idx="9">
                  <c:v>879</c:v>
                </c:pt>
                <c:pt idx="10">
                  <c:v>920</c:v>
                </c:pt>
                <c:pt idx="11">
                  <c:v>991</c:v>
                </c:pt>
                <c:pt idx="12">
                  <c:v>929</c:v>
                </c:pt>
                <c:pt idx="13">
                  <c:v>896</c:v>
                </c:pt>
                <c:pt idx="14">
                  <c:v>936</c:v>
                </c:pt>
                <c:pt idx="15">
                  <c:v>971</c:v>
                </c:pt>
                <c:pt idx="16">
                  <c:v>929</c:v>
                </c:pt>
                <c:pt idx="17">
                  <c:v>880</c:v>
                </c:pt>
                <c:pt idx="18">
                  <c:v>880</c:v>
                </c:pt>
                <c:pt idx="19">
                  <c:v>953</c:v>
                </c:pt>
                <c:pt idx="20">
                  <c:v>918</c:v>
                </c:pt>
                <c:pt idx="21">
                  <c:v>952</c:v>
                </c:pt>
                <c:pt idx="22">
                  <c:v>922</c:v>
                </c:pt>
                <c:pt idx="23">
                  <c:v>906</c:v>
                </c:pt>
                <c:pt idx="24">
                  <c:v>873</c:v>
                </c:pt>
                <c:pt idx="25">
                  <c:v>855</c:v>
                </c:pt>
                <c:pt idx="26">
                  <c:v>894</c:v>
                </c:pt>
                <c:pt idx="27">
                  <c:v>1037</c:v>
                </c:pt>
                <c:pt idx="28">
                  <c:v>1135</c:v>
                </c:pt>
                <c:pt idx="29">
                  <c:v>1118</c:v>
                </c:pt>
                <c:pt idx="30">
                  <c:v>1264</c:v>
                </c:pt>
                <c:pt idx="31">
                  <c:v>1176</c:v>
                </c:pt>
                <c:pt idx="32">
                  <c:v>1189</c:v>
                </c:pt>
                <c:pt idx="33">
                  <c:v>1187</c:v>
                </c:pt>
                <c:pt idx="34">
                  <c:v>1252</c:v>
                </c:pt>
                <c:pt idx="35">
                  <c:v>1206</c:v>
                </c:pt>
                <c:pt idx="36">
                  <c:v>1174</c:v>
                </c:pt>
                <c:pt idx="37">
                  <c:v>1150</c:v>
                </c:pt>
                <c:pt idx="38">
                  <c:v>1100</c:v>
                </c:pt>
                <c:pt idx="39">
                  <c:v>1075</c:v>
                </c:pt>
                <c:pt idx="40">
                  <c:v>1064</c:v>
                </c:pt>
                <c:pt idx="41">
                  <c:v>1059</c:v>
                </c:pt>
                <c:pt idx="42">
                  <c:v>1080</c:v>
                </c:pt>
                <c:pt idx="43">
                  <c:v>1109</c:v>
                </c:pt>
                <c:pt idx="44">
                  <c:v>1071</c:v>
                </c:pt>
                <c:pt idx="45">
                  <c:v>1070</c:v>
                </c:pt>
                <c:pt idx="46">
                  <c:v>1067</c:v>
                </c:pt>
                <c:pt idx="47">
                  <c:v>1065</c:v>
                </c:pt>
                <c:pt idx="48">
                  <c:v>1057</c:v>
                </c:pt>
                <c:pt idx="49">
                  <c:v>1055</c:v>
                </c:pt>
                <c:pt idx="50">
                  <c:v>1086</c:v>
                </c:pt>
                <c:pt idx="51">
                  <c:v>1115</c:v>
                </c:pt>
                <c:pt idx="52">
                  <c:v>1200</c:v>
                </c:pt>
                <c:pt idx="53">
                  <c:v>1251</c:v>
                </c:pt>
                <c:pt idx="54">
                  <c:v>1220</c:v>
                </c:pt>
                <c:pt idx="55">
                  <c:v>1194</c:v>
                </c:pt>
                <c:pt idx="56">
                  <c:v>1180</c:v>
                </c:pt>
                <c:pt idx="57">
                  <c:v>1172</c:v>
                </c:pt>
                <c:pt idx="58">
                  <c:v>1242</c:v>
                </c:pt>
                <c:pt idx="59">
                  <c:v>1213</c:v>
                </c:pt>
                <c:pt idx="60">
                  <c:v>1286</c:v>
                </c:pt>
                <c:pt idx="61">
                  <c:v>1253</c:v>
                </c:pt>
                <c:pt idx="62">
                  <c:v>1237</c:v>
                </c:pt>
                <c:pt idx="63">
                  <c:v>1290</c:v>
                </c:pt>
                <c:pt idx="64">
                  <c:v>1249</c:v>
                </c:pt>
                <c:pt idx="65">
                  <c:v>1215</c:v>
                </c:pt>
                <c:pt idx="66">
                  <c:v>1328</c:v>
                </c:pt>
                <c:pt idx="67">
                  <c:v>1356</c:v>
                </c:pt>
                <c:pt idx="68">
                  <c:v>1308</c:v>
                </c:pt>
                <c:pt idx="69">
                  <c:v>1290</c:v>
                </c:pt>
                <c:pt idx="70">
                  <c:v>1280</c:v>
                </c:pt>
                <c:pt idx="71">
                  <c:v>1260</c:v>
                </c:pt>
                <c:pt idx="72">
                  <c:v>1245</c:v>
                </c:pt>
                <c:pt idx="73">
                  <c:v>1281</c:v>
                </c:pt>
                <c:pt idx="74">
                  <c:v>1267</c:v>
                </c:pt>
                <c:pt idx="75">
                  <c:v>1404</c:v>
                </c:pt>
                <c:pt idx="76">
                  <c:v>1375</c:v>
                </c:pt>
                <c:pt idx="77">
                  <c:v>1319</c:v>
                </c:pt>
                <c:pt idx="78">
                  <c:v>1298</c:v>
                </c:pt>
                <c:pt idx="79">
                  <c:v>1291</c:v>
                </c:pt>
                <c:pt idx="80">
                  <c:v>1276</c:v>
                </c:pt>
                <c:pt idx="81">
                  <c:v>1199</c:v>
                </c:pt>
                <c:pt idx="82">
                  <c:v>1243</c:v>
                </c:pt>
                <c:pt idx="83">
                  <c:v>1260</c:v>
                </c:pt>
                <c:pt idx="84">
                  <c:v>1249</c:v>
                </c:pt>
                <c:pt idx="85">
                  <c:v>1251</c:v>
                </c:pt>
                <c:pt idx="86">
                  <c:v>1241</c:v>
                </c:pt>
                <c:pt idx="87">
                  <c:v>1211</c:v>
                </c:pt>
                <c:pt idx="88">
                  <c:v>1203</c:v>
                </c:pt>
                <c:pt idx="89">
                  <c:v>1226</c:v>
                </c:pt>
                <c:pt idx="90">
                  <c:v>1198</c:v>
                </c:pt>
                <c:pt idx="91">
                  <c:v>1186</c:v>
                </c:pt>
                <c:pt idx="92">
                  <c:v>1181</c:v>
                </c:pt>
                <c:pt idx="93">
                  <c:v>1162</c:v>
                </c:pt>
                <c:pt idx="94">
                  <c:v>1100</c:v>
                </c:pt>
                <c:pt idx="95">
                  <c:v>1079</c:v>
                </c:pt>
                <c:pt idx="96">
                  <c:v>1052</c:v>
                </c:pt>
                <c:pt idx="97">
                  <c:v>1020</c:v>
                </c:pt>
                <c:pt idx="98">
                  <c:v>990</c:v>
                </c:pt>
                <c:pt idx="99">
                  <c:v>976</c:v>
                </c:pt>
                <c:pt idx="100">
                  <c:v>977</c:v>
                </c:pt>
                <c:pt idx="101">
                  <c:v>974</c:v>
                </c:pt>
                <c:pt idx="102">
                  <c:v>1090</c:v>
                </c:pt>
                <c:pt idx="103">
                  <c:v>1046</c:v>
                </c:pt>
                <c:pt idx="104">
                  <c:v>1167</c:v>
                </c:pt>
                <c:pt idx="105">
                  <c:v>1102</c:v>
                </c:pt>
                <c:pt idx="106">
                  <c:v>1042</c:v>
                </c:pt>
                <c:pt idx="107">
                  <c:v>1015</c:v>
                </c:pt>
                <c:pt idx="108">
                  <c:v>992</c:v>
                </c:pt>
                <c:pt idx="109">
                  <c:v>955</c:v>
                </c:pt>
                <c:pt idx="110">
                  <c:v>1010</c:v>
                </c:pt>
                <c:pt idx="111">
                  <c:v>1000</c:v>
                </c:pt>
                <c:pt idx="112">
                  <c:v>919</c:v>
                </c:pt>
                <c:pt idx="113">
                  <c:v>858</c:v>
                </c:pt>
                <c:pt idx="114">
                  <c:v>820</c:v>
                </c:pt>
                <c:pt idx="115">
                  <c:v>797</c:v>
                </c:pt>
                <c:pt idx="116">
                  <c:v>760</c:v>
                </c:pt>
                <c:pt idx="117">
                  <c:v>715</c:v>
                </c:pt>
                <c:pt idx="118">
                  <c:v>660</c:v>
                </c:pt>
                <c:pt idx="119">
                  <c:v>620</c:v>
                </c:pt>
                <c:pt idx="120">
                  <c:v>629</c:v>
                </c:pt>
                <c:pt idx="121">
                  <c:v>614</c:v>
                </c:pt>
                <c:pt idx="122">
                  <c:v>567</c:v>
                </c:pt>
                <c:pt idx="123">
                  <c:v>541</c:v>
                </c:pt>
                <c:pt idx="124">
                  <c:v>481</c:v>
                </c:pt>
                <c:pt idx="125">
                  <c:v>474</c:v>
                </c:pt>
                <c:pt idx="126">
                  <c:v>438</c:v>
                </c:pt>
                <c:pt idx="127">
                  <c:v>448</c:v>
                </c:pt>
                <c:pt idx="128">
                  <c:v>424</c:v>
                </c:pt>
                <c:pt idx="129">
                  <c:v>394</c:v>
                </c:pt>
                <c:pt idx="130">
                  <c:v>365</c:v>
                </c:pt>
                <c:pt idx="131">
                  <c:v>286</c:v>
                </c:pt>
                <c:pt idx="132">
                  <c:v>326</c:v>
                </c:pt>
                <c:pt idx="133">
                  <c:v>269</c:v>
                </c:pt>
                <c:pt idx="134">
                  <c:v>180</c:v>
                </c:pt>
                <c:pt idx="135">
                  <c:v>37</c:v>
                </c:pt>
                <c:pt idx="136">
                  <c:v>0</c:v>
                </c:pt>
                <c:pt idx="299">
                  <c:v>0</c:v>
                </c:pt>
                <c:pt idx="300">
                  <c:v>60</c:v>
                </c:pt>
                <c:pt idx="301">
                  <c:v>115</c:v>
                </c:pt>
                <c:pt idx="302">
                  <c:v>90</c:v>
                </c:pt>
                <c:pt idx="303">
                  <c:v>88</c:v>
                </c:pt>
                <c:pt idx="304">
                  <c:v>90</c:v>
                </c:pt>
                <c:pt idx="305">
                  <c:v>154</c:v>
                </c:pt>
                <c:pt idx="306">
                  <c:v>245</c:v>
                </c:pt>
                <c:pt idx="307">
                  <c:v>170</c:v>
                </c:pt>
                <c:pt idx="308">
                  <c:v>100</c:v>
                </c:pt>
                <c:pt idx="309">
                  <c:v>85</c:v>
                </c:pt>
                <c:pt idx="310">
                  <c:v>58</c:v>
                </c:pt>
                <c:pt idx="311">
                  <c:v>58</c:v>
                </c:pt>
                <c:pt idx="312">
                  <c:v>87</c:v>
                </c:pt>
                <c:pt idx="313">
                  <c:v>150</c:v>
                </c:pt>
                <c:pt idx="314">
                  <c:v>247</c:v>
                </c:pt>
                <c:pt idx="315">
                  <c:v>300</c:v>
                </c:pt>
                <c:pt idx="316">
                  <c:v>350</c:v>
                </c:pt>
                <c:pt idx="317">
                  <c:v>414</c:v>
                </c:pt>
                <c:pt idx="318">
                  <c:v>455</c:v>
                </c:pt>
                <c:pt idx="319">
                  <c:v>430</c:v>
                </c:pt>
                <c:pt idx="320">
                  <c:v>404</c:v>
                </c:pt>
                <c:pt idx="321">
                  <c:v>398</c:v>
                </c:pt>
                <c:pt idx="322">
                  <c:v>359</c:v>
                </c:pt>
                <c:pt idx="323">
                  <c:v>329</c:v>
                </c:pt>
                <c:pt idx="324">
                  <c:v>448</c:v>
                </c:pt>
                <c:pt idx="325">
                  <c:v>399</c:v>
                </c:pt>
                <c:pt idx="326">
                  <c:v>553</c:v>
                </c:pt>
                <c:pt idx="327">
                  <c:v>539</c:v>
                </c:pt>
                <c:pt idx="328">
                  <c:v>550</c:v>
                </c:pt>
                <c:pt idx="329">
                  <c:v>570</c:v>
                </c:pt>
                <c:pt idx="330">
                  <c:v>590</c:v>
                </c:pt>
                <c:pt idx="331">
                  <c:v>600</c:v>
                </c:pt>
                <c:pt idx="332">
                  <c:v>650</c:v>
                </c:pt>
                <c:pt idx="333">
                  <c:v>700</c:v>
                </c:pt>
                <c:pt idx="334">
                  <c:v>713</c:v>
                </c:pt>
                <c:pt idx="335">
                  <c:v>711</c:v>
                </c:pt>
                <c:pt idx="336">
                  <c:v>734</c:v>
                </c:pt>
                <c:pt idx="337">
                  <c:v>719</c:v>
                </c:pt>
                <c:pt idx="338">
                  <c:v>765</c:v>
                </c:pt>
                <c:pt idx="339">
                  <c:v>750</c:v>
                </c:pt>
                <c:pt idx="340">
                  <c:v>712</c:v>
                </c:pt>
                <c:pt idx="341">
                  <c:v>720</c:v>
                </c:pt>
                <c:pt idx="342">
                  <c:v>740</c:v>
                </c:pt>
                <c:pt idx="343">
                  <c:v>750</c:v>
                </c:pt>
                <c:pt idx="344">
                  <c:v>774</c:v>
                </c:pt>
                <c:pt idx="345">
                  <c:v>794</c:v>
                </c:pt>
                <c:pt idx="346">
                  <c:v>810</c:v>
                </c:pt>
                <c:pt idx="347">
                  <c:v>867</c:v>
                </c:pt>
                <c:pt idx="348">
                  <c:v>936</c:v>
                </c:pt>
                <c:pt idx="349">
                  <c:v>899</c:v>
                </c:pt>
                <c:pt idx="350">
                  <c:v>845</c:v>
                </c:pt>
                <c:pt idx="351">
                  <c:v>864</c:v>
                </c:pt>
                <c:pt idx="352">
                  <c:v>843</c:v>
                </c:pt>
                <c:pt idx="353">
                  <c:v>819</c:v>
                </c:pt>
                <c:pt idx="354">
                  <c:v>832</c:v>
                </c:pt>
                <c:pt idx="355">
                  <c:v>806</c:v>
                </c:pt>
                <c:pt idx="356">
                  <c:v>876</c:v>
                </c:pt>
                <c:pt idx="357">
                  <c:v>903</c:v>
                </c:pt>
                <c:pt idx="358">
                  <c:v>879</c:v>
                </c:pt>
                <c:pt idx="359">
                  <c:v>829</c:v>
                </c:pt>
                <c:pt idx="360">
                  <c:v>870</c:v>
                </c:pt>
                <c:pt idx="361">
                  <c:v>903</c:v>
                </c:pt>
                <c:pt idx="362">
                  <c:v>908</c:v>
                </c:pt>
                <c:pt idx="363">
                  <c:v>886</c:v>
                </c:pt>
                <c:pt idx="364">
                  <c:v>862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541888"/>
        <c:axId val="287560448"/>
      </c:lineChart>
      <c:catAx>
        <c:axId val="28754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194228634850166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56044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8756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4208809135399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7541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372</xdr:row>
      <xdr:rowOff>0</xdr:rowOff>
    </xdr:from>
    <xdr:to>
      <xdr:col>23</xdr:col>
      <xdr:colOff>19050</xdr:colOff>
      <xdr:row>392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29</xdr:col>
      <xdr:colOff>200025</xdr:colOff>
      <xdr:row>24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29</xdr:col>
      <xdr:colOff>200025</xdr:colOff>
      <xdr:row>44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29</xdr:col>
      <xdr:colOff>200025</xdr:colOff>
      <xdr:row>64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0.48675</cdr:x>
      <cdr:y>0.50525</cdr:y>
    </cdr:from>
    <cdr:to>
      <cdr:x>0.4995</cdr:x>
      <cdr:y>0.53675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77301" y="2950066"/>
          <a:ext cx="109420" cy="1839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81625578707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0601" maxValue="200612" count="12">
        <n v="200601"/>
        <n v="200602"/>
        <n v="200603"/>
        <n v="200604"/>
        <n v="200605"/>
        <n v="200606"/>
        <n v="200607"/>
        <n v="200608"/>
        <n v="200609"/>
        <n v="200610"/>
        <n v="200611"/>
        <n v="200612"/>
      </sharedItems>
    </cacheField>
    <cacheField name="DD&lt;0" numFmtId="0">
      <sharedItems containsSemiMixedTypes="0" containsString="0" containsNumber="1" minValue="0" maxValue="26.1"/>
    </cacheField>
    <cacheField name="DD&gt;5" numFmtId="0">
      <sharedItems containsSemiMixedTypes="0" containsString="0" containsNumber="1" minValue="0" maxValue="14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2.8"/>
    <n v="0"/>
  </r>
  <r>
    <x v="0"/>
    <n v="1.6"/>
    <n v="0"/>
  </r>
  <r>
    <x v="0"/>
    <n v="3.3"/>
    <n v="0"/>
  </r>
  <r>
    <x v="0"/>
    <n v="3"/>
    <n v="0"/>
  </r>
  <r>
    <x v="0"/>
    <n v="0.8"/>
    <n v="0"/>
  </r>
  <r>
    <x v="0"/>
    <n v="0"/>
    <n v="0"/>
  </r>
  <r>
    <x v="0"/>
    <n v="2.6"/>
    <n v="0"/>
  </r>
  <r>
    <x v="0"/>
    <n v="3.1"/>
    <n v="0"/>
  </r>
  <r>
    <x v="0"/>
    <n v="2.6"/>
    <n v="0"/>
  </r>
  <r>
    <x v="0"/>
    <n v="1.9"/>
    <n v="0"/>
  </r>
  <r>
    <x v="0"/>
    <n v="3.2"/>
    <n v="0"/>
  </r>
  <r>
    <x v="0"/>
    <n v="3.8"/>
    <n v="0"/>
  </r>
  <r>
    <x v="0"/>
    <n v="1.6"/>
    <n v="0"/>
  </r>
  <r>
    <x v="0"/>
    <n v="2.8"/>
    <n v="0"/>
  </r>
  <r>
    <x v="0"/>
    <n v="7.2"/>
    <n v="0"/>
  </r>
  <r>
    <x v="0"/>
    <n v="6.9"/>
    <n v="0"/>
  </r>
  <r>
    <x v="0"/>
    <n v="2.7"/>
    <n v="0"/>
  </r>
  <r>
    <x v="0"/>
    <n v="6.6"/>
    <n v="0"/>
  </r>
  <r>
    <x v="0"/>
    <n v="8.9"/>
    <n v="0"/>
  </r>
  <r>
    <x v="0"/>
    <n v="6.1"/>
    <n v="0"/>
  </r>
  <r>
    <x v="0"/>
    <n v="8.5"/>
    <n v="0"/>
  </r>
  <r>
    <x v="0"/>
    <n v="3.7"/>
    <n v="0"/>
  </r>
  <r>
    <x v="0"/>
    <n v="0"/>
    <n v="0"/>
  </r>
  <r>
    <x v="0"/>
    <n v="1.3"/>
    <n v="0"/>
  </r>
  <r>
    <x v="0"/>
    <n v="1"/>
    <n v="0"/>
  </r>
  <r>
    <x v="0"/>
    <n v="3.6"/>
    <n v="0"/>
  </r>
  <r>
    <x v="0"/>
    <n v="5"/>
    <n v="0"/>
  </r>
  <r>
    <x v="0"/>
    <n v="5"/>
    <n v="0"/>
  </r>
  <r>
    <x v="0"/>
    <n v="5.9"/>
    <n v="0"/>
  </r>
  <r>
    <x v="0"/>
    <n v="2.9"/>
    <n v="0"/>
  </r>
  <r>
    <x v="0"/>
    <n v="4.7"/>
    <n v="0"/>
  </r>
  <r>
    <x v="1"/>
    <n v="3.2"/>
    <n v="0"/>
  </r>
  <r>
    <x v="1"/>
    <n v="3.4"/>
    <n v="0"/>
  </r>
  <r>
    <x v="1"/>
    <n v="3"/>
    <n v="0"/>
  </r>
  <r>
    <x v="1"/>
    <n v="1.7"/>
    <n v="0"/>
  </r>
  <r>
    <x v="1"/>
    <n v="5.6"/>
    <n v="0"/>
  </r>
  <r>
    <x v="1"/>
    <n v="6.4"/>
    <n v="0"/>
  </r>
  <r>
    <x v="1"/>
    <n v="5.3"/>
    <n v="0"/>
  </r>
  <r>
    <x v="1"/>
    <n v="4.7"/>
    <n v="0"/>
  </r>
  <r>
    <x v="1"/>
    <n v="12"/>
    <n v="0"/>
  </r>
  <r>
    <x v="1"/>
    <n v="13.6"/>
    <n v="0"/>
  </r>
  <r>
    <x v="1"/>
    <n v="9.6999999999999993"/>
    <n v="0"/>
  </r>
  <r>
    <x v="1"/>
    <n v="6.7"/>
    <n v="0"/>
  </r>
  <r>
    <x v="1"/>
    <n v="6.6"/>
    <n v="0"/>
  </r>
  <r>
    <x v="1"/>
    <n v="11.3"/>
    <n v="0"/>
  </r>
  <r>
    <x v="1"/>
    <n v="16.399999999999999"/>
    <n v="0"/>
  </r>
  <r>
    <x v="1"/>
    <n v="18.899999999999999"/>
    <n v="0"/>
  </r>
  <r>
    <x v="1"/>
    <n v="20.2"/>
    <n v="0"/>
  </r>
  <r>
    <x v="1"/>
    <n v="18.5"/>
    <n v="0"/>
  </r>
  <r>
    <x v="1"/>
    <n v="15.8"/>
    <n v="0"/>
  </r>
  <r>
    <x v="1"/>
    <n v="9.6"/>
    <n v="0"/>
  </r>
  <r>
    <x v="1"/>
    <n v="6"/>
    <n v="0"/>
  </r>
  <r>
    <x v="1"/>
    <n v="6.3"/>
    <n v="0"/>
  </r>
  <r>
    <x v="1"/>
    <n v="8.1999999999999993"/>
    <n v="0"/>
  </r>
  <r>
    <x v="1"/>
    <n v="16.100000000000001"/>
    <n v="0"/>
  </r>
  <r>
    <x v="1"/>
    <n v="14.5"/>
    <n v="0"/>
  </r>
  <r>
    <x v="1"/>
    <n v="4.9000000000000004"/>
    <n v="0"/>
  </r>
  <r>
    <x v="1"/>
    <n v="0"/>
    <n v="0"/>
  </r>
  <r>
    <x v="1"/>
    <n v="2.1"/>
    <n v="0"/>
  </r>
  <r>
    <x v="2"/>
    <n v="6"/>
    <n v="0"/>
  </r>
  <r>
    <x v="2"/>
    <n v="4.0999999999999996"/>
    <n v="0"/>
  </r>
  <r>
    <x v="2"/>
    <n v="9.1999999999999993"/>
    <n v="0"/>
  </r>
  <r>
    <x v="2"/>
    <n v="8.6"/>
    <n v="0"/>
  </r>
  <r>
    <x v="2"/>
    <n v="3.9"/>
    <n v="0"/>
  </r>
  <r>
    <x v="2"/>
    <n v="0.8"/>
    <n v="0"/>
  </r>
  <r>
    <x v="2"/>
    <n v="2.5"/>
    <n v="0"/>
  </r>
  <r>
    <x v="2"/>
    <n v="4.8"/>
    <n v="0"/>
  </r>
  <r>
    <x v="2"/>
    <n v="8.4"/>
    <n v="0"/>
  </r>
  <r>
    <x v="2"/>
    <n v="12.7"/>
    <n v="0"/>
  </r>
  <r>
    <x v="2"/>
    <n v="13.3"/>
    <n v="0"/>
  </r>
  <r>
    <x v="2"/>
    <n v="13.4"/>
    <n v="0"/>
  </r>
  <r>
    <x v="2"/>
    <n v="10.4"/>
    <n v="0"/>
  </r>
  <r>
    <x v="2"/>
    <n v="5.0999999999999996"/>
    <n v="0"/>
  </r>
  <r>
    <x v="2"/>
    <n v="4.3"/>
    <n v="0"/>
  </r>
  <r>
    <x v="2"/>
    <n v="2.8"/>
    <n v="0"/>
  </r>
  <r>
    <x v="2"/>
    <n v="2.7"/>
    <n v="0"/>
  </r>
  <r>
    <x v="2"/>
    <n v="5.3"/>
    <n v="0"/>
  </r>
  <r>
    <x v="2"/>
    <n v="7.5"/>
    <n v="0"/>
  </r>
  <r>
    <x v="2"/>
    <n v="4.7"/>
    <n v="0"/>
  </r>
  <r>
    <x v="2"/>
    <n v="2.1"/>
    <n v="0"/>
  </r>
  <r>
    <x v="2"/>
    <n v="0"/>
    <n v="0"/>
  </r>
  <r>
    <x v="2"/>
    <n v="0"/>
    <n v="0"/>
  </r>
  <r>
    <x v="2"/>
    <n v="0"/>
    <n v="0"/>
  </r>
  <r>
    <x v="2"/>
    <n v="3.5"/>
    <n v="0"/>
  </r>
  <r>
    <x v="2"/>
    <n v="5.5"/>
    <n v="0"/>
  </r>
  <r>
    <x v="2"/>
    <n v="3.1"/>
    <n v="0"/>
  </r>
  <r>
    <x v="2"/>
    <n v="2.8"/>
    <n v="0"/>
  </r>
  <r>
    <x v="2"/>
    <n v="0.9"/>
    <n v="0"/>
  </r>
  <r>
    <x v="2"/>
    <n v="1.7"/>
    <n v="0"/>
  </r>
  <r>
    <x v="2"/>
    <n v="0"/>
    <n v="0"/>
  </r>
  <r>
    <x v="3"/>
    <n v="0.4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1.5"/>
    <n v="0"/>
  </r>
  <r>
    <x v="3"/>
    <n v="0.5"/>
    <n v="0"/>
  </r>
  <r>
    <x v="3"/>
    <n v="3.8"/>
    <n v="0"/>
  </r>
  <r>
    <x v="3"/>
    <n v="4.4000000000000004"/>
    <n v="0"/>
  </r>
  <r>
    <x v="3"/>
    <n v="5.2"/>
    <n v="0"/>
  </r>
  <r>
    <x v="3"/>
    <n v="2"/>
    <n v="0"/>
  </r>
  <r>
    <x v="3"/>
    <n v="0"/>
    <n v="0"/>
  </r>
  <r>
    <x v="3"/>
    <n v="0"/>
    <n v="2"/>
  </r>
  <r>
    <x v="3"/>
    <n v="0"/>
    <n v="0"/>
  </r>
  <r>
    <x v="3"/>
    <n v="2.2999999999999998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1.5"/>
  </r>
  <r>
    <x v="3"/>
    <n v="0"/>
    <n v="1.4"/>
  </r>
  <r>
    <x v="3"/>
    <n v="0"/>
    <n v="0"/>
  </r>
  <r>
    <x v="4"/>
    <n v="1.9"/>
    <n v="0"/>
  </r>
  <r>
    <x v="4"/>
    <n v="0.6"/>
    <n v="0"/>
  </r>
  <r>
    <x v="4"/>
    <n v="0"/>
    <n v="0"/>
  </r>
  <r>
    <x v="4"/>
    <n v="0"/>
    <n v="0"/>
  </r>
  <r>
    <x v="4"/>
    <n v="0"/>
    <n v="2.2000000000000002"/>
  </r>
  <r>
    <x v="4"/>
    <n v="0"/>
    <n v="0"/>
  </r>
  <r>
    <x v="4"/>
    <n v="0"/>
    <n v="0"/>
  </r>
  <r>
    <x v="4"/>
    <n v="1.2"/>
    <n v="0"/>
  </r>
  <r>
    <x v="4"/>
    <n v="0.7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5"/>
  </r>
  <r>
    <x v="4"/>
    <n v="0"/>
    <n v="6"/>
  </r>
  <r>
    <x v="4"/>
    <n v="0"/>
    <n v="7.7"/>
  </r>
  <r>
    <x v="4"/>
    <n v="0"/>
    <n v="6.8"/>
  </r>
  <r>
    <x v="4"/>
    <n v="0"/>
    <n v="6.1"/>
  </r>
  <r>
    <x v="4"/>
    <n v="0"/>
    <n v="5.5"/>
  </r>
  <r>
    <x v="4"/>
    <n v="0"/>
    <n v="1.6"/>
  </r>
  <r>
    <x v="4"/>
    <n v="0"/>
    <n v="2.5"/>
  </r>
  <r>
    <x v="4"/>
    <n v="0"/>
    <n v="3.5"/>
  </r>
  <r>
    <x v="4"/>
    <n v="0"/>
    <n v="1.6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"/>
  </r>
  <r>
    <x v="4"/>
    <n v="0"/>
    <n v="6"/>
  </r>
  <r>
    <x v="5"/>
    <n v="0"/>
    <n v="7.4"/>
  </r>
  <r>
    <x v="5"/>
    <n v="0"/>
    <n v="4.8"/>
  </r>
  <r>
    <x v="5"/>
    <n v="0"/>
    <n v="1.2"/>
  </r>
  <r>
    <x v="5"/>
    <n v="0"/>
    <n v="1.7"/>
  </r>
  <r>
    <x v="5"/>
    <n v="0"/>
    <n v="2.4"/>
  </r>
  <r>
    <x v="5"/>
    <n v="0"/>
    <n v="3.7"/>
  </r>
  <r>
    <x v="5"/>
    <n v="0"/>
    <n v="7.6"/>
  </r>
  <r>
    <x v="5"/>
    <n v="0"/>
    <n v="2.7"/>
  </r>
  <r>
    <x v="5"/>
    <n v="0"/>
    <n v="2.4"/>
  </r>
  <r>
    <x v="5"/>
    <n v="0"/>
    <n v="4.5"/>
  </r>
  <r>
    <x v="5"/>
    <n v="0"/>
    <n v="3.6"/>
  </r>
  <r>
    <x v="5"/>
    <n v="0"/>
    <n v="7.4"/>
  </r>
  <r>
    <x v="5"/>
    <n v="0"/>
    <n v="7.6"/>
  </r>
  <r>
    <x v="5"/>
    <n v="0"/>
    <n v="3.5"/>
  </r>
  <r>
    <x v="5"/>
    <n v="0"/>
    <n v="2.2000000000000002"/>
  </r>
  <r>
    <x v="5"/>
    <n v="0"/>
    <n v="2.4"/>
  </r>
  <r>
    <x v="5"/>
    <n v="0"/>
    <n v="1.1000000000000001"/>
  </r>
  <r>
    <x v="5"/>
    <n v="0"/>
    <n v="1.9"/>
  </r>
  <r>
    <x v="5"/>
    <n v="0"/>
    <n v="0"/>
  </r>
  <r>
    <x v="5"/>
    <n v="0"/>
    <n v="1.2"/>
  </r>
  <r>
    <x v="5"/>
    <n v="0"/>
    <n v="1.8"/>
  </r>
  <r>
    <x v="5"/>
    <n v="0"/>
    <n v="3.8"/>
  </r>
  <r>
    <x v="5"/>
    <n v="0"/>
    <n v="4"/>
  </r>
  <r>
    <x v="5"/>
    <n v="0"/>
    <n v="7.3"/>
  </r>
  <r>
    <x v="5"/>
    <n v="0"/>
    <n v="10.3"/>
  </r>
  <r>
    <x v="5"/>
    <n v="0"/>
    <n v="12.2"/>
  </r>
  <r>
    <x v="5"/>
    <n v="0"/>
    <n v="13.8"/>
  </r>
  <r>
    <x v="5"/>
    <n v="0"/>
    <n v="9.4"/>
  </r>
  <r>
    <x v="5"/>
    <n v="0"/>
    <n v="7.3"/>
  </r>
  <r>
    <x v="5"/>
    <n v="0"/>
    <n v="9.3000000000000007"/>
  </r>
  <r>
    <x v="6"/>
    <n v="0"/>
    <n v="9.6999999999999993"/>
  </r>
  <r>
    <x v="6"/>
    <n v="0"/>
    <n v="10.9"/>
  </r>
  <r>
    <x v="6"/>
    <n v="0"/>
    <n v="12"/>
  </r>
  <r>
    <x v="6"/>
    <n v="0"/>
    <n v="11"/>
  </r>
  <r>
    <x v="6"/>
    <n v="0"/>
    <n v="10.1"/>
  </r>
  <r>
    <x v="6"/>
    <n v="0"/>
    <n v="7.3"/>
  </r>
  <r>
    <x v="6"/>
    <n v="0"/>
    <n v="5.9"/>
  </r>
  <r>
    <x v="6"/>
    <n v="0"/>
    <n v="9.4"/>
  </r>
  <r>
    <x v="6"/>
    <n v="0"/>
    <n v="9.5"/>
  </r>
  <r>
    <x v="6"/>
    <n v="0"/>
    <n v="6.7"/>
  </r>
  <r>
    <x v="6"/>
    <n v="0"/>
    <n v="5.4"/>
  </r>
  <r>
    <x v="6"/>
    <n v="0"/>
    <n v="5"/>
  </r>
  <r>
    <x v="6"/>
    <n v="0"/>
    <n v="4.3"/>
  </r>
  <r>
    <x v="6"/>
    <n v="0"/>
    <n v="5.3"/>
  </r>
  <r>
    <x v="6"/>
    <n v="0"/>
    <n v="5.4"/>
  </r>
  <r>
    <x v="6"/>
    <n v="0"/>
    <n v="5.8"/>
  </r>
  <r>
    <x v="6"/>
    <n v="0"/>
    <n v="6.6"/>
  </r>
  <r>
    <x v="6"/>
    <n v="0"/>
    <n v="4.5"/>
  </r>
  <r>
    <x v="6"/>
    <n v="0"/>
    <n v="5.9"/>
  </r>
  <r>
    <x v="6"/>
    <n v="0"/>
    <n v="8.5"/>
  </r>
  <r>
    <x v="6"/>
    <n v="0"/>
    <n v="12.9"/>
  </r>
  <r>
    <x v="6"/>
    <n v="0"/>
    <n v="14.5"/>
  </r>
  <r>
    <x v="6"/>
    <n v="0"/>
    <n v="14.7"/>
  </r>
  <r>
    <x v="6"/>
    <n v="0"/>
    <n v="12"/>
  </r>
  <r>
    <x v="6"/>
    <n v="0"/>
    <n v="11.5"/>
  </r>
  <r>
    <x v="6"/>
    <n v="0"/>
    <n v="12.1"/>
  </r>
  <r>
    <x v="6"/>
    <n v="0"/>
    <n v="11.3"/>
  </r>
  <r>
    <x v="6"/>
    <n v="0"/>
    <n v="8.5"/>
  </r>
  <r>
    <x v="6"/>
    <n v="0"/>
    <n v="6.5"/>
  </r>
  <r>
    <x v="6"/>
    <n v="0"/>
    <n v="0.2"/>
  </r>
  <r>
    <x v="6"/>
    <n v="0"/>
    <n v="1.3"/>
  </r>
  <r>
    <x v="7"/>
    <n v="0"/>
    <n v="4.2"/>
  </r>
  <r>
    <x v="7"/>
    <n v="0"/>
    <n v="3.9"/>
  </r>
  <r>
    <x v="7"/>
    <n v="0"/>
    <n v="5"/>
  </r>
  <r>
    <x v="7"/>
    <n v="0"/>
    <n v="1.8"/>
  </r>
  <r>
    <x v="7"/>
    <n v="0"/>
    <n v="3.3"/>
  </r>
  <r>
    <x v="7"/>
    <n v="0"/>
    <n v="7.7"/>
  </r>
  <r>
    <x v="7"/>
    <n v="0"/>
    <n v="9.5"/>
  </r>
  <r>
    <x v="7"/>
    <n v="0"/>
    <n v="8.9"/>
  </r>
  <r>
    <x v="7"/>
    <n v="0"/>
    <n v="5.4"/>
  </r>
  <r>
    <x v="7"/>
    <n v="0"/>
    <n v="4.4000000000000004"/>
  </r>
  <r>
    <x v="7"/>
    <n v="0"/>
    <n v="1.3"/>
  </r>
  <r>
    <x v="7"/>
    <n v="0"/>
    <n v="2.7"/>
  </r>
  <r>
    <x v="7"/>
    <n v="0"/>
    <n v="6.1"/>
  </r>
  <r>
    <x v="7"/>
    <n v="0"/>
    <n v="8.3000000000000007"/>
  </r>
  <r>
    <x v="7"/>
    <n v="0"/>
    <n v="5.4"/>
  </r>
  <r>
    <x v="7"/>
    <n v="0"/>
    <n v="4.5999999999999996"/>
  </r>
  <r>
    <x v="7"/>
    <n v="0"/>
    <n v="5.7"/>
  </r>
  <r>
    <x v="7"/>
    <n v="0"/>
    <n v="7.2"/>
  </r>
  <r>
    <x v="7"/>
    <n v="0"/>
    <n v="6.7"/>
  </r>
  <r>
    <x v="7"/>
    <n v="0"/>
    <n v="7.5"/>
  </r>
  <r>
    <x v="7"/>
    <n v="0"/>
    <n v="9.6"/>
  </r>
  <r>
    <x v="7"/>
    <n v="0"/>
    <n v="7.3"/>
  </r>
  <r>
    <x v="7"/>
    <n v="0"/>
    <n v="3.5"/>
  </r>
  <r>
    <x v="7"/>
    <n v="0"/>
    <n v="1.8"/>
  </r>
  <r>
    <x v="7"/>
    <n v="0"/>
    <n v="3.4"/>
  </r>
  <r>
    <x v="7"/>
    <n v="0"/>
    <n v="6.2"/>
  </r>
  <r>
    <x v="7"/>
    <n v="0"/>
    <n v="7.9"/>
  </r>
  <r>
    <x v="7"/>
    <n v="0"/>
    <n v="10.6"/>
  </r>
  <r>
    <x v="7"/>
    <n v="0"/>
    <n v="5.4"/>
  </r>
  <r>
    <x v="7"/>
    <n v="0"/>
    <n v="0"/>
  </r>
  <r>
    <x v="7"/>
    <n v="0"/>
    <n v="0"/>
  </r>
  <r>
    <x v="8"/>
    <n v="0"/>
    <n v="2.5"/>
  </r>
  <r>
    <x v="8"/>
    <n v="0"/>
    <n v="6.9"/>
  </r>
  <r>
    <x v="8"/>
    <n v="0"/>
    <n v="8.8000000000000007"/>
  </r>
  <r>
    <x v="8"/>
    <n v="0"/>
    <n v="9.6999999999999993"/>
  </r>
  <r>
    <x v="8"/>
    <n v="0"/>
    <n v="8"/>
  </r>
  <r>
    <x v="8"/>
    <n v="0"/>
    <n v="7.6"/>
  </r>
  <r>
    <x v="8"/>
    <n v="0"/>
    <n v="7.8"/>
  </r>
  <r>
    <x v="8"/>
    <n v="0"/>
    <n v="9.6999999999999993"/>
  </r>
  <r>
    <x v="8"/>
    <n v="0"/>
    <n v="2.9"/>
  </r>
  <r>
    <x v="8"/>
    <n v="0"/>
    <n v="3.6"/>
  </r>
  <r>
    <x v="8"/>
    <n v="0"/>
    <n v="4.5999999999999996"/>
  </r>
  <r>
    <x v="8"/>
    <n v="0"/>
    <n v="4.5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1000000000000001"/>
  </r>
  <r>
    <x v="8"/>
    <n v="0"/>
    <n v="0.2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"/>
  </r>
  <r>
    <x v="8"/>
    <n v="0"/>
    <n v="2.4"/>
  </r>
  <r>
    <x v="8"/>
    <n v="0"/>
    <n v="2.8"/>
  </r>
  <r>
    <x v="8"/>
    <n v="0"/>
    <n v="2"/>
  </r>
  <r>
    <x v="8"/>
    <n v="0"/>
    <n v="3.4"/>
  </r>
  <r>
    <x v="8"/>
    <n v="0"/>
    <n v="4.7"/>
  </r>
  <r>
    <x v="8"/>
    <n v="0"/>
    <n v="1.6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7"/>
    <n v="0"/>
  </r>
  <r>
    <x v="9"/>
    <n v="0"/>
    <n v="0"/>
  </r>
  <r>
    <x v="9"/>
    <n v="0.7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7"/>
    <n v="0"/>
  </r>
  <r>
    <x v="9"/>
    <n v="0.2"/>
    <n v="0"/>
  </r>
  <r>
    <x v="9"/>
    <n v="0"/>
    <n v="0"/>
  </r>
  <r>
    <x v="9"/>
    <n v="0"/>
    <n v="0"/>
  </r>
  <r>
    <x v="9"/>
    <n v="1.6"/>
    <n v="0"/>
  </r>
  <r>
    <x v="9"/>
    <n v="0"/>
    <n v="0"/>
  </r>
  <r>
    <x v="9"/>
    <n v="0"/>
    <n v="0"/>
  </r>
  <r>
    <x v="9"/>
    <n v="0"/>
    <n v="0"/>
  </r>
  <r>
    <x v="9"/>
    <n v="1.6"/>
    <n v="0"/>
  </r>
  <r>
    <x v="9"/>
    <n v="0"/>
    <n v="0"/>
  </r>
  <r>
    <x v="9"/>
    <n v="0"/>
    <n v="0"/>
  </r>
  <r>
    <x v="9"/>
    <n v="0"/>
    <n v="0"/>
  </r>
  <r>
    <x v="9"/>
    <n v="6"/>
    <n v="0"/>
  </r>
  <r>
    <x v="9"/>
    <n v="12.4"/>
    <n v="0"/>
  </r>
  <r>
    <x v="9"/>
    <n v="11.7"/>
    <n v="0"/>
  </r>
  <r>
    <x v="10"/>
    <n v="10.7"/>
    <n v="0"/>
  </r>
  <r>
    <x v="10"/>
    <n v="4.7"/>
    <n v="0"/>
  </r>
  <r>
    <x v="10"/>
    <n v="1.6"/>
    <n v="0"/>
  </r>
  <r>
    <x v="10"/>
    <n v="0"/>
    <n v="0"/>
  </r>
  <r>
    <x v="10"/>
    <n v="0"/>
    <n v="0"/>
  </r>
  <r>
    <x v="10"/>
    <n v="0"/>
    <n v="0.2"/>
  </r>
  <r>
    <x v="10"/>
    <n v="0"/>
    <n v="0"/>
  </r>
  <r>
    <x v="10"/>
    <n v="2.6"/>
    <n v="0"/>
  </r>
  <r>
    <x v="10"/>
    <n v="6.5"/>
    <n v="0"/>
  </r>
  <r>
    <x v="10"/>
    <n v="3.8"/>
    <n v="0"/>
  </r>
  <r>
    <x v="10"/>
    <n v="4"/>
    <n v="0"/>
  </r>
  <r>
    <x v="10"/>
    <n v="3"/>
    <n v="0"/>
  </r>
  <r>
    <x v="10"/>
    <n v="4.0999999999999996"/>
    <n v="0"/>
  </r>
  <r>
    <x v="10"/>
    <n v="5.9"/>
    <n v="0"/>
  </r>
  <r>
    <x v="10"/>
    <n v="1.6"/>
    <n v="0"/>
  </r>
  <r>
    <x v="10"/>
    <n v="3.8"/>
    <n v="0"/>
  </r>
  <r>
    <x v="10"/>
    <n v="3.5"/>
    <n v="0"/>
  </r>
  <r>
    <x v="10"/>
    <n v="2.4"/>
    <n v="0"/>
  </r>
  <r>
    <x v="10"/>
    <n v="0"/>
    <n v="0"/>
  </r>
  <r>
    <x v="10"/>
    <n v="2.6"/>
    <n v="0"/>
  </r>
  <r>
    <x v="10"/>
    <n v="1.6"/>
    <n v="0"/>
  </r>
  <r>
    <x v="10"/>
    <n v="3.6"/>
    <n v="0"/>
  </r>
  <r>
    <x v="10"/>
    <n v="5.3"/>
    <n v="0"/>
  </r>
  <r>
    <x v="10"/>
    <n v="9.1999999999999993"/>
    <n v="0"/>
  </r>
  <r>
    <x v="10"/>
    <n v="12.8"/>
    <n v="0"/>
  </r>
  <r>
    <x v="10"/>
    <n v="9.9"/>
    <n v="0"/>
  </r>
  <r>
    <x v="10"/>
    <n v="22.2"/>
    <n v="0"/>
  </r>
  <r>
    <x v="10"/>
    <n v="26.1"/>
    <n v="0"/>
  </r>
  <r>
    <x v="10"/>
    <n v="24"/>
    <n v="0"/>
  </r>
  <r>
    <x v="10"/>
    <n v="12.4"/>
    <n v="0"/>
  </r>
  <r>
    <x v="11"/>
    <n v="9.6"/>
    <n v="0"/>
  </r>
  <r>
    <x v="11"/>
    <n v="12.7"/>
    <n v="0"/>
  </r>
  <r>
    <x v="11"/>
    <n v="8.3000000000000007"/>
    <n v="0"/>
  </r>
  <r>
    <x v="11"/>
    <n v="6.5"/>
    <n v="0"/>
  </r>
  <r>
    <x v="11"/>
    <n v="4.5"/>
    <n v="0"/>
  </r>
  <r>
    <x v="11"/>
    <n v="3.2"/>
    <n v="0"/>
  </r>
  <r>
    <x v="11"/>
    <n v="3.7"/>
    <n v="0"/>
  </r>
  <r>
    <x v="11"/>
    <n v="1.7"/>
    <n v="0"/>
  </r>
  <r>
    <x v="11"/>
    <n v="0.8"/>
    <n v="0"/>
  </r>
  <r>
    <x v="11"/>
    <n v="0.6"/>
    <n v="0"/>
  </r>
  <r>
    <x v="11"/>
    <n v="1"/>
    <n v="0"/>
  </r>
  <r>
    <x v="11"/>
    <n v="3"/>
    <n v="0"/>
  </r>
  <r>
    <x v="11"/>
    <n v="2.6"/>
    <n v="0"/>
  </r>
  <r>
    <x v="11"/>
    <n v="5.6"/>
    <n v="0"/>
  </r>
  <r>
    <x v="11"/>
    <n v="6.8"/>
    <n v="0"/>
  </r>
  <r>
    <x v="11"/>
    <n v="15.2"/>
    <n v="0"/>
  </r>
  <r>
    <x v="11"/>
    <n v="11.6"/>
    <n v="0"/>
  </r>
  <r>
    <x v="11"/>
    <n v="8.8000000000000007"/>
    <n v="0"/>
  </r>
  <r>
    <x v="11"/>
    <n v="5.4"/>
    <n v="0"/>
  </r>
  <r>
    <x v="11"/>
    <n v="3.1"/>
    <n v="0"/>
  </r>
  <r>
    <x v="11"/>
    <n v="3.6"/>
    <n v="0"/>
  </r>
  <r>
    <x v="11"/>
    <n v="5.4"/>
    <n v="0"/>
  </r>
  <r>
    <x v="11"/>
    <n v="7"/>
    <n v="0"/>
  </r>
  <r>
    <x v="11"/>
    <n v="9.8000000000000007"/>
    <n v="0"/>
  </r>
  <r>
    <x v="11"/>
    <n v="4.2"/>
    <n v="0"/>
  </r>
  <r>
    <x v="11"/>
    <n v="5.4"/>
    <n v="0"/>
  </r>
  <r>
    <x v="11"/>
    <n v="7.6"/>
    <n v="0"/>
  </r>
  <r>
    <x v="11"/>
    <n v="14.7"/>
    <n v="0"/>
  </r>
  <r>
    <x v="11"/>
    <n v="8.9"/>
    <n v="0"/>
  </r>
  <r>
    <x v="11"/>
    <n v="10.6"/>
    <n v="0"/>
  </r>
  <r>
    <x v="11"/>
    <n v="7.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6" cacheId="8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A2" sqref="A2"/>
    </sheetView>
  </sheetViews>
  <sheetFormatPr defaultRowHeight="12.75" x14ac:dyDescent="0.2"/>
  <cols>
    <col min="1" max="16384" width="9.140625" style="3"/>
  </cols>
  <sheetData>
    <row r="1" spans="1:2" x14ac:dyDescent="0.2">
      <c r="A1" s="3" t="s">
        <v>115</v>
      </c>
    </row>
    <row r="2" spans="1:2" x14ac:dyDescent="0.2">
      <c r="A2" s="3" t="s">
        <v>157</v>
      </c>
    </row>
    <row r="3" spans="1:2" x14ac:dyDescent="0.2">
      <c r="B3" s="3" t="s">
        <v>116</v>
      </c>
    </row>
    <row r="5" spans="1:2" x14ac:dyDescent="0.2">
      <c r="A5" s="3" t="s">
        <v>117</v>
      </c>
    </row>
    <row r="6" spans="1:2" x14ac:dyDescent="0.2">
      <c r="B6" s="3" t="s">
        <v>118</v>
      </c>
    </row>
    <row r="7" spans="1:2" x14ac:dyDescent="0.2">
      <c r="B7" s="3" t="s">
        <v>119</v>
      </c>
    </row>
    <row r="8" spans="1:2" x14ac:dyDescent="0.2">
      <c r="A8" s="3" t="s">
        <v>120</v>
      </c>
    </row>
    <row r="9" spans="1:2" x14ac:dyDescent="0.2">
      <c r="B9" s="3" t="s">
        <v>121</v>
      </c>
    </row>
    <row r="10" spans="1:2" x14ac:dyDescent="0.2">
      <c r="A10" s="3" t="s">
        <v>122</v>
      </c>
    </row>
    <row r="11" spans="1:2" x14ac:dyDescent="0.2">
      <c r="B11" s="3" t="s">
        <v>123</v>
      </c>
    </row>
    <row r="12" spans="1:2" x14ac:dyDescent="0.2">
      <c r="B12" s="3" t="s">
        <v>124</v>
      </c>
    </row>
    <row r="13" spans="1:2" x14ac:dyDescent="0.2">
      <c r="A13" s="3" t="s">
        <v>125</v>
      </c>
    </row>
    <row r="14" spans="1:2" x14ac:dyDescent="0.2">
      <c r="B14" s="3" t="s">
        <v>123</v>
      </c>
    </row>
    <row r="15" spans="1:2" x14ac:dyDescent="0.2">
      <c r="B15" s="3" t="s">
        <v>126</v>
      </c>
    </row>
    <row r="16" spans="1:2" x14ac:dyDescent="0.2">
      <c r="A16" s="3" t="s">
        <v>127</v>
      </c>
    </row>
    <row r="17" spans="1:3" x14ac:dyDescent="0.2">
      <c r="B17" s="3" t="s">
        <v>128</v>
      </c>
    </row>
    <row r="18" spans="1:3" x14ac:dyDescent="0.2">
      <c r="A18" s="3" t="s">
        <v>129</v>
      </c>
    </row>
    <row r="19" spans="1:3" x14ac:dyDescent="0.2">
      <c r="B19" s="3" t="s">
        <v>189</v>
      </c>
    </row>
    <row r="20" spans="1:3" x14ac:dyDescent="0.2">
      <c r="A20" s="3" t="s">
        <v>130</v>
      </c>
    </row>
    <row r="21" spans="1:3" x14ac:dyDescent="0.2">
      <c r="B21" s="3" t="s">
        <v>131</v>
      </c>
    </row>
    <row r="22" spans="1:3" x14ac:dyDescent="0.2">
      <c r="A22" s="3" t="s">
        <v>132</v>
      </c>
    </row>
    <row r="23" spans="1:3" x14ac:dyDescent="0.2">
      <c r="B23" s="3" t="s">
        <v>133</v>
      </c>
    </row>
    <row r="24" spans="1:3" x14ac:dyDescent="0.2">
      <c r="A24" s="3" t="s">
        <v>155</v>
      </c>
    </row>
    <row r="25" spans="1:3" x14ac:dyDescent="0.2">
      <c r="B25" s="3" t="s">
        <v>134</v>
      </c>
    </row>
    <row r="27" spans="1:3" x14ac:dyDescent="0.2">
      <c r="A27" s="3" t="s">
        <v>146</v>
      </c>
    </row>
    <row r="28" spans="1:3" x14ac:dyDescent="0.2">
      <c r="B28" s="3" t="s">
        <v>147</v>
      </c>
    </row>
    <row r="29" spans="1:3" x14ac:dyDescent="0.2">
      <c r="B29" s="3" t="s">
        <v>148</v>
      </c>
    </row>
    <row r="30" spans="1:3" x14ac:dyDescent="0.2">
      <c r="C30" s="3" t="s">
        <v>149</v>
      </c>
    </row>
    <row r="31" spans="1:3" x14ac:dyDescent="0.2">
      <c r="A31"/>
      <c r="B31"/>
      <c r="C31" s="3" t="s">
        <v>150</v>
      </c>
    </row>
    <row r="32" spans="1:3" x14ac:dyDescent="0.2">
      <c r="A32"/>
      <c r="B32"/>
      <c r="C32" s="3" t="s">
        <v>156</v>
      </c>
    </row>
    <row r="33" spans="1:3" x14ac:dyDescent="0.2">
      <c r="A33" s="3" t="s">
        <v>151</v>
      </c>
    </row>
    <row r="34" spans="1:3" x14ac:dyDescent="0.2">
      <c r="B34" s="3" t="s">
        <v>152</v>
      </c>
    </row>
    <row r="35" spans="1:3" x14ac:dyDescent="0.2">
      <c r="A35" s="3" t="s">
        <v>153</v>
      </c>
      <c r="C35"/>
    </row>
    <row r="36" spans="1:3" x14ac:dyDescent="0.2">
      <c r="B36" s="3" t="s">
        <v>154</v>
      </c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95</v>
      </c>
      <c r="I1" s="3">
        <v>0.13</v>
      </c>
      <c r="K1" s="29" t="s">
        <v>41</v>
      </c>
      <c r="P1" s="3" t="s">
        <v>96</v>
      </c>
      <c r="Q1" s="3">
        <v>0.4</v>
      </c>
    </row>
    <row r="2" spans="1:20" x14ac:dyDescent="0.2">
      <c r="A2" s="3" t="str">
        <f>Data!A2</f>
        <v>Last edit 18/04/25</v>
      </c>
      <c r="K2" s="30" t="s">
        <v>97</v>
      </c>
      <c r="P2" s="3" t="s">
        <v>98</v>
      </c>
      <c r="Q2" s="3">
        <v>0.33400000000000002</v>
      </c>
    </row>
    <row r="3" spans="1:20" x14ac:dyDescent="0.2">
      <c r="A3" s="1"/>
      <c r="B3" s="1"/>
      <c r="C3" s="4" t="s">
        <v>38</v>
      </c>
      <c r="K3" s="31" t="s">
        <v>99</v>
      </c>
      <c r="L3" s="3">
        <v>1.05</v>
      </c>
    </row>
    <row r="4" spans="1:20" x14ac:dyDescent="0.2">
      <c r="A4" s="1"/>
      <c r="B4" s="1"/>
      <c r="C4" s="4" t="s">
        <v>39</v>
      </c>
      <c r="D4" s="3" t="s">
        <v>100</v>
      </c>
      <c r="E4" s="3" t="s">
        <v>101</v>
      </c>
      <c r="F4" s="3" t="s">
        <v>102</v>
      </c>
      <c r="G4" s="3" t="s">
        <v>41</v>
      </c>
      <c r="H4" s="3" t="s">
        <v>103</v>
      </c>
      <c r="I4" s="3" t="s">
        <v>60</v>
      </c>
      <c r="J4" s="3" t="s">
        <v>62</v>
      </c>
      <c r="M4" s="3" t="s">
        <v>62</v>
      </c>
      <c r="N4" s="3" t="s">
        <v>104</v>
      </c>
      <c r="P4" s="3" t="s">
        <v>105</v>
      </c>
      <c r="R4" s="3" t="s">
        <v>106</v>
      </c>
      <c r="S4" s="3" t="s">
        <v>107</v>
      </c>
      <c r="T4" s="3" t="s">
        <v>108</v>
      </c>
    </row>
    <row r="5" spans="1:20" x14ac:dyDescent="0.2">
      <c r="A5" s="5" t="s">
        <v>17</v>
      </c>
      <c r="B5" s="4" t="s">
        <v>109</v>
      </c>
      <c r="C5" s="10" t="s">
        <v>26</v>
      </c>
      <c r="I5" s="3" t="s">
        <v>61</v>
      </c>
      <c r="K5" s="1" t="s">
        <v>95</v>
      </c>
      <c r="P5" s="3" t="s">
        <v>110</v>
      </c>
      <c r="R5" s="3" t="s">
        <v>20</v>
      </c>
      <c r="S5" s="3" t="s">
        <v>20</v>
      </c>
      <c r="T5" s="3" t="s">
        <v>20</v>
      </c>
    </row>
    <row r="6" spans="1:20" x14ac:dyDescent="0.2">
      <c r="A6" s="1"/>
      <c r="B6" s="1"/>
      <c r="C6" s="1"/>
      <c r="H6" s="21">
        <f>Data!BE6</f>
        <v>583</v>
      </c>
      <c r="K6" s="1"/>
      <c r="Q6" s="39">
        <f>Q2</f>
        <v>0.33400000000000002</v>
      </c>
      <c r="R6" s="40">
        <f>H6*Q$2</f>
        <v>194.72200000000001</v>
      </c>
      <c r="S6" s="22">
        <v>0</v>
      </c>
      <c r="T6" s="22">
        <v>0</v>
      </c>
    </row>
    <row r="7" spans="1:20" x14ac:dyDescent="0.2">
      <c r="A7" s="14">
        <v>38718</v>
      </c>
      <c r="B7" s="1">
        <v>1</v>
      </c>
      <c r="C7" s="16">
        <f>ROUND(Data!BI7,2)</f>
        <v>1.46</v>
      </c>
      <c r="D7" s="3">
        <f>ROUND(Data!O7,1)</f>
        <v>-0.2</v>
      </c>
      <c r="E7" s="3">
        <f>ROUND(Data!AA7,1)</f>
        <v>-8.5</v>
      </c>
      <c r="F7" s="3">
        <f>Data!BN7</f>
        <v>71.8</v>
      </c>
      <c r="G7" s="3">
        <f>Data!N7</f>
        <v>0</v>
      </c>
      <c r="H7" s="21">
        <f>Data!BE7</f>
        <v>605</v>
      </c>
      <c r="I7" s="13">
        <f t="shared" ref="I7" si="0">IF(H7&gt;H6,ROUND((H7-H6)*I$1,1),0)</f>
        <v>2.9</v>
      </c>
      <c r="J7" s="3">
        <f>Data!BR7</f>
        <v>0</v>
      </c>
      <c r="K7" s="32">
        <f>I7</f>
        <v>2.9</v>
      </c>
      <c r="M7" s="3">
        <f>J7</f>
        <v>0</v>
      </c>
      <c r="N7" s="13">
        <f>K7</f>
        <v>2.9</v>
      </c>
      <c r="P7" s="24">
        <f>(R6+K7)/H7</f>
        <v>0.32664793388429753</v>
      </c>
      <c r="Q7" s="24">
        <f t="shared" ref="Q7:Q70" si="1">IF(P7&gt;Q$1,Q$1,P7)</f>
        <v>0.32664793388429753</v>
      </c>
      <c r="R7" s="21">
        <f>Q7*H7</f>
        <v>197.62200000000001</v>
      </c>
      <c r="S7" s="22">
        <f t="shared" ref="S7:S70" si="2">R7-R6</f>
        <v>2.9000000000000057</v>
      </c>
      <c r="T7" s="22">
        <f>K7-S7</f>
        <v>-5.773159728050814E-15</v>
      </c>
    </row>
    <row r="8" spans="1:20" x14ac:dyDescent="0.2">
      <c r="A8" s="14">
        <f>A7+1</f>
        <v>38719</v>
      </c>
      <c r="B8" s="1">
        <v>2</v>
      </c>
      <c r="C8" s="16">
        <f>ROUND(Data!BI8,2)</f>
        <v>3.17</v>
      </c>
      <c r="D8" s="3">
        <f>ROUND(Data!O8,1)</f>
        <v>1.1000000000000001</v>
      </c>
      <c r="E8" s="3">
        <f>ROUND(Data!AA8,1)</f>
        <v>-3.9</v>
      </c>
      <c r="F8" s="3">
        <f>Data!BN8</f>
        <v>61.1</v>
      </c>
      <c r="G8" s="3">
        <f>Data!N8</f>
        <v>0</v>
      </c>
      <c r="H8" s="21">
        <f>Data!BE8</f>
        <v>586</v>
      </c>
      <c r="I8" s="13">
        <f t="shared" ref="I8:I71" si="3">IF(H8&gt;H7,ROUND((H8-H7)*I$1,1),0)</f>
        <v>0</v>
      </c>
      <c r="J8" s="3">
        <f>Data!BR8</f>
        <v>0</v>
      </c>
      <c r="K8" s="32">
        <f>I8</f>
        <v>0</v>
      </c>
      <c r="M8" s="22">
        <f>J8+M7</f>
        <v>0</v>
      </c>
      <c r="N8" s="22">
        <f>K8+N7</f>
        <v>2.9</v>
      </c>
      <c r="P8" s="24">
        <f t="shared" ref="P8:P71" si="4">(R7+K8)/H8</f>
        <v>0.33723890784982935</v>
      </c>
      <c r="Q8" s="24">
        <f t="shared" si="1"/>
        <v>0.33723890784982935</v>
      </c>
      <c r="R8" s="21">
        <f t="shared" ref="R8:R71" si="5">Q8*H8</f>
        <v>197.62199999999999</v>
      </c>
      <c r="S8" s="22">
        <f t="shared" si="2"/>
        <v>0</v>
      </c>
      <c r="T8" s="22">
        <f t="shared" ref="T8:T71" si="6">K8-S8</f>
        <v>0</v>
      </c>
    </row>
    <row r="9" spans="1:20" x14ac:dyDescent="0.2">
      <c r="A9" s="14">
        <f t="shared" ref="A9:A72" si="7">A8+1</f>
        <v>38720</v>
      </c>
      <c r="B9" s="1">
        <v>3</v>
      </c>
      <c r="C9" s="16">
        <f>ROUND(Data!BI9,2)</f>
        <v>1.82</v>
      </c>
      <c r="D9" s="3">
        <f>ROUND(Data!O9,1)</f>
        <v>-1.1000000000000001</v>
      </c>
      <c r="E9" s="3">
        <f>ROUND(Data!AA9,1)</f>
        <v>-5.4</v>
      </c>
      <c r="F9" s="3">
        <f>Data!BN9</f>
        <v>62.8</v>
      </c>
      <c r="G9" s="3">
        <f>Data!N9</f>
        <v>0</v>
      </c>
      <c r="H9" s="21">
        <f>Data!BE9</f>
        <v>675</v>
      </c>
      <c r="I9" s="13">
        <f t="shared" si="3"/>
        <v>11.6</v>
      </c>
      <c r="J9" s="3">
        <f>Data!BR9</f>
        <v>0</v>
      </c>
      <c r="K9" s="32">
        <f t="shared" ref="K9:K72" si="8">I9</f>
        <v>11.6</v>
      </c>
      <c r="M9" s="22">
        <f t="shared" ref="M9:N24" si="9">J9+M8</f>
        <v>0</v>
      </c>
      <c r="N9" s="22">
        <f t="shared" si="9"/>
        <v>14.5</v>
      </c>
      <c r="P9" s="24">
        <f t="shared" si="4"/>
        <v>0.30995851851851847</v>
      </c>
      <c r="Q9" s="24">
        <f t="shared" si="1"/>
        <v>0.30995851851851847</v>
      </c>
      <c r="R9" s="21">
        <f t="shared" si="5"/>
        <v>209.22199999999995</v>
      </c>
      <c r="S9" s="22">
        <f t="shared" si="2"/>
        <v>11.599999999999966</v>
      </c>
      <c r="T9" s="22">
        <f t="shared" si="6"/>
        <v>3.3750779948604759E-14</v>
      </c>
    </row>
    <row r="10" spans="1:20" x14ac:dyDescent="0.2">
      <c r="A10" s="14">
        <f t="shared" si="7"/>
        <v>38721</v>
      </c>
      <c r="B10" s="1">
        <v>4</v>
      </c>
      <c r="C10" s="16">
        <f>ROUND(Data!BI10,2)</f>
        <v>2.73</v>
      </c>
      <c r="D10" s="3">
        <f>ROUND(Data!O10,1)</f>
        <v>0.3</v>
      </c>
      <c r="E10" s="3">
        <f>ROUND(Data!AA10,1)</f>
        <v>-5.9</v>
      </c>
      <c r="F10" s="3">
        <f>Data!BN10</f>
        <v>65.599999999999994</v>
      </c>
      <c r="G10" s="3">
        <f>Data!N10</f>
        <v>0</v>
      </c>
      <c r="H10" s="21">
        <f>Data!BE10</f>
        <v>661</v>
      </c>
      <c r="I10" s="13">
        <f t="shared" si="3"/>
        <v>0</v>
      </c>
      <c r="J10" s="3">
        <f>Data!BR10</f>
        <v>0</v>
      </c>
      <c r="K10" s="32">
        <f t="shared" si="8"/>
        <v>0</v>
      </c>
      <c r="M10" s="22">
        <f t="shared" si="9"/>
        <v>0</v>
      </c>
      <c r="N10" s="22">
        <f t="shared" si="9"/>
        <v>14.5</v>
      </c>
      <c r="P10" s="24">
        <f t="shared" si="4"/>
        <v>0.31652344931921322</v>
      </c>
      <c r="Q10" s="24">
        <f t="shared" si="1"/>
        <v>0.31652344931921322</v>
      </c>
      <c r="R10" s="21">
        <f t="shared" si="5"/>
        <v>209.22199999999995</v>
      </c>
      <c r="S10" s="22">
        <f t="shared" si="2"/>
        <v>0</v>
      </c>
      <c r="T10" s="22">
        <f t="shared" si="6"/>
        <v>0</v>
      </c>
    </row>
    <row r="11" spans="1:20" x14ac:dyDescent="0.2">
      <c r="A11" s="14">
        <f t="shared" si="7"/>
        <v>38722</v>
      </c>
      <c r="B11" s="1">
        <v>5</v>
      </c>
      <c r="C11" s="16">
        <f>ROUND(Data!BI11,2)</f>
        <v>0.64</v>
      </c>
      <c r="D11" s="3">
        <f>ROUND(Data!O11,1)</f>
        <v>1.3</v>
      </c>
      <c r="E11" s="3">
        <f>ROUND(Data!AA11,1)</f>
        <v>-2.9</v>
      </c>
      <c r="F11" s="3">
        <f>Data!BN11</f>
        <v>67</v>
      </c>
      <c r="G11" s="3">
        <f>Data!N11</f>
        <v>0</v>
      </c>
      <c r="H11" s="21">
        <f>Data!BE11</f>
        <v>644</v>
      </c>
      <c r="I11" s="13">
        <f t="shared" si="3"/>
        <v>0</v>
      </c>
      <c r="J11" s="3">
        <f>Data!BR11</f>
        <v>0</v>
      </c>
      <c r="K11" s="32">
        <f t="shared" si="8"/>
        <v>0</v>
      </c>
      <c r="M11" s="22">
        <f t="shared" si="9"/>
        <v>0</v>
      </c>
      <c r="N11" s="22">
        <f t="shared" si="9"/>
        <v>14.5</v>
      </c>
      <c r="P11" s="24">
        <f t="shared" si="4"/>
        <v>0.32487888198757758</v>
      </c>
      <c r="Q11" s="24">
        <f t="shared" si="1"/>
        <v>0.32487888198757758</v>
      </c>
      <c r="R11" s="21">
        <f t="shared" si="5"/>
        <v>209.22199999999995</v>
      </c>
      <c r="S11" s="22">
        <f t="shared" si="2"/>
        <v>0</v>
      </c>
      <c r="T11" s="22">
        <f t="shared" si="6"/>
        <v>0</v>
      </c>
    </row>
    <row r="12" spans="1:20" x14ac:dyDescent="0.2">
      <c r="A12" s="14">
        <f t="shared" si="7"/>
        <v>38723</v>
      </c>
      <c r="B12" s="1">
        <v>6</v>
      </c>
      <c r="C12" s="16">
        <f>ROUND(Data!BI12,2)</f>
        <v>1.52</v>
      </c>
      <c r="D12" s="3">
        <f>ROUND(Data!O12,1)</f>
        <v>1.9</v>
      </c>
      <c r="E12" s="3">
        <f>ROUND(Data!AA12,1)</f>
        <v>-1.8</v>
      </c>
      <c r="F12" s="3">
        <f>Data!BN12</f>
        <v>89.1</v>
      </c>
      <c r="G12" s="3">
        <f>Data!N12</f>
        <v>0</v>
      </c>
      <c r="H12" s="21">
        <f>Data!BE12</f>
        <v>645</v>
      </c>
      <c r="I12" s="13">
        <f t="shared" si="3"/>
        <v>0.1</v>
      </c>
      <c r="J12" s="3">
        <f>Data!BR12</f>
        <v>0</v>
      </c>
      <c r="K12" s="32">
        <f t="shared" si="8"/>
        <v>0.1</v>
      </c>
      <c r="M12" s="22">
        <f t="shared" si="9"/>
        <v>0</v>
      </c>
      <c r="N12" s="22">
        <f t="shared" si="9"/>
        <v>14.6</v>
      </c>
      <c r="P12" s="24">
        <f t="shared" si="4"/>
        <v>0.32453023255813945</v>
      </c>
      <c r="Q12" s="24">
        <f t="shared" si="1"/>
        <v>0.32453023255813945</v>
      </c>
      <c r="R12" s="21">
        <f t="shared" si="5"/>
        <v>209.32199999999995</v>
      </c>
      <c r="S12" s="22">
        <f t="shared" si="2"/>
        <v>9.9999999999994316E-2</v>
      </c>
      <c r="T12" s="22">
        <f t="shared" si="6"/>
        <v>5.6898930012039273E-15</v>
      </c>
    </row>
    <row r="13" spans="1:20" x14ac:dyDescent="0.2">
      <c r="A13" s="14">
        <f t="shared" si="7"/>
        <v>38724</v>
      </c>
      <c r="B13" s="1">
        <v>7</v>
      </c>
      <c r="C13" s="16">
        <f>ROUND(Data!BI13,2)</f>
        <v>2.25</v>
      </c>
      <c r="D13" s="3">
        <f>ROUND(Data!O13,1)</f>
        <v>-0.1</v>
      </c>
      <c r="E13" s="3">
        <f>ROUND(Data!AA13,1)</f>
        <v>-6.5</v>
      </c>
      <c r="F13" s="3">
        <f>Data!BN13</f>
        <v>91</v>
      </c>
      <c r="G13" s="3">
        <f>Data!N13</f>
        <v>0</v>
      </c>
      <c r="H13" s="21">
        <f>Data!BE13</f>
        <v>667</v>
      </c>
      <c r="I13" s="13">
        <f t="shared" si="3"/>
        <v>2.9</v>
      </c>
      <c r="J13" s="3">
        <f>Data!BR13</f>
        <v>0</v>
      </c>
      <c r="K13" s="32">
        <f t="shared" si="8"/>
        <v>2.9</v>
      </c>
      <c r="M13" s="22">
        <f t="shared" si="9"/>
        <v>0</v>
      </c>
      <c r="N13" s="22">
        <f t="shared" si="9"/>
        <v>17.5</v>
      </c>
      <c r="P13" s="24">
        <f t="shared" si="4"/>
        <v>0.3181739130434782</v>
      </c>
      <c r="Q13" s="24">
        <f t="shared" si="1"/>
        <v>0.3181739130434782</v>
      </c>
      <c r="R13" s="21">
        <f t="shared" si="5"/>
        <v>212.22199999999995</v>
      </c>
      <c r="S13" s="22">
        <f t="shared" si="2"/>
        <v>2.9000000000000057</v>
      </c>
      <c r="T13" s="22">
        <f t="shared" si="6"/>
        <v>-5.773159728050814E-15</v>
      </c>
    </row>
    <row r="14" spans="1:20" x14ac:dyDescent="0.2">
      <c r="A14" s="14">
        <f t="shared" si="7"/>
        <v>38725</v>
      </c>
      <c r="B14" s="1">
        <v>8</v>
      </c>
      <c r="C14" s="16">
        <f>ROUND(Data!BI14,2)</f>
        <v>0.55000000000000004</v>
      </c>
      <c r="D14" s="3">
        <f>ROUND(Data!O14,1)</f>
        <v>-1</v>
      </c>
      <c r="E14" s="3">
        <f>ROUND(Data!AA14,1)</f>
        <v>-4.3</v>
      </c>
      <c r="F14" s="3">
        <f>Data!BN14</f>
        <v>76.400000000000006</v>
      </c>
      <c r="G14" s="3">
        <f>Data!N14</f>
        <v>0</v>
      </c>
      <c r="H14" s="21">
        <f>Data!BE14</f>
        <v>680</v>
      </c>
      <c r="I14" s="13">
        <f t="shared" si="3"/>
        <v>1.7</v>
      </c>
      <c r="J14" s="3">
        <f>Data!BR14</f>
        <v>0</v>
      </c>
      <c r="K14" s="32">
        <f t="shared" si="8"/>
        <v>1.7</v>
      </c>
      <c r="M14" s="22">
        <f t="shared" si="9"/>
        <v>0</v>
      </c>
      <c r="N14" s="22">
        <f t="shared" si="9"/>
        <v>19.2</v>
      </c>
      <c r="P14" s="24">
        <f t="shared" si="4"/>
        <v>0.31459117647058815</v>
      </c>
      <c r="Q14" s="24">
        <f t="shared" si="1"/>
        <v>0.31459117647058815</v>
      </c>
      <c r="R14" s="21">
        <f t="shared" si="5"/>
        <v>213.92199999999994</v>
      </c>
      <c r="S14" s="22">
        <f t="shared" si="2"/>
        <v>1.6999999999999886</v>
      </c>
      <c r="T14" s="22">
        <f t="shared" si="6"/>
        <v>1.1324274851176597E-14</v>
      </c>
    </row>
    <row r="15" spans="1:20" x14ac:dyDescent="0.2">
      <c r="A15" s="14">
        <f t="shared" si="7"/>
        <v>38726</v>
      </c>
      <c r="B15" s="1">
        <v>9</v>
      </c>
      <c r="C15" s="16">
        <f>ROUND(Data!BI15,2)</f>
        <v>0.15</v>
      </c>
      <c r="D15" s="3">
        <f>ROUND(Data!O15,1)</f>
        <v>-1.5</v>
      </c>
      <c r="E15" s="3">
        <f>ROUND(Data!AA15,1)</f>
        <v>-3.8</v>
      </c>
      <c r="F15" s="3">
        <f>Data!BN15</f>
        <v>81.5</v>
      </c>
      <c r="G15" s="3">
        <f>Data!N15</f>
        <v>0</v>
      </c>
      <c r="H15" s="21">
        <f>Data!BE15</f>
        <v>793</v>
      </c>
      <c r="I15" s="13">
        <f t="shared" si="3"/>
        <v>14.7</v>
      </c>
      <c r="J15" s="3">
        <f>Data!BR15</f>
        <v>0</v>
      </c>
      <c r="K15" s="32">
        <f t="shared" si="8"/>
        <v>14.7</v>
      </c>
      <c r="M15" s="22">
        <f t="shared" si="9"/>
        <v>0</v>
      </c>
      <c r="N15" s="22">
        <f t="shared" si="9"/>
        <v>33.9</v>
      </c>
      <c r="P15" s="24">
        <f t="shared" si="4"/>
        <v>0.28830012610340472</v>
      </c>
      <c r="Q15" s="24">
        <f t="shared" si="1"/>
        <v>0.28830012610340472</v>
      </c>
      <c r="R15" s="21">
        <f t="shared" si="5"/>
        <v>228.62199999999993</v>
      </c>
      <c r="S15" s="22">
        <f t="shared" si="2"/>
        <v>14.699999999999989</v>
      </c>
      <c r="T15" s="22">
        <f t="shared" si="6"/>
        <v>0</v>
      </c>
    </row>
    <row r="16" spans="1:20" x14ac:dyDescent="0.2">
      <c r="A16" s="14">
        <f t="shared" si="7"/>
        <v>38727</v>
      </c>
      <c r="B16" s="1">
        <v>10</v>
      </c>
      <c r="C16" s="16">
        <f>ROUND(Data!BI16,2)</f>
        <v>0.2</v>
      </c>
      <c r="D16" s="3">
        <f>ROUND(Data!O16,1)</f>
        <v>-0.1</v>
      </c>
      <c r="E16" s="3">
        <f>ROUND(Data!AA16,1)</f>
        <v>-4.2</v>
      </c>
      <c r="F16" s="3">
        <f>Data!BN16</f>
        <v>82.1</v>
      </c>
      <c r="G16" s="3">
        <f>Data!N16</f>
        <v>0</v>
      </c>
      <c r="H16" s="21">
        <f>Data!BE16</f>
        <v>879</v>
      </c>
      <c r="I16" s="13">
        <f t="shared" si="3"/>
        <v>11.2</v>
      </c>
      <c r="J16" s="3">
        <f>Data!BR16</f>
        <v>0</v>
      </c>
      <c r="K16" s="32">
        <f t="shared" si="8"/>
        <v>11.2</v>
      </c>
      <c r="M16" s="22">
        <f t="shared" si="9"/>
        <v>0</v>
      </c>
      <c r="N16" s="22">
        <f t="shared" si="9"/>
        <v>45.099999999999994</v>
      </c>
      <c r="P16" s="24">
        <f t="shared" si="4"/>
        <v>0.27283503981797486</v>
      </c>
      <c r="Q16" s="24">
        <f t="shared" si="1"/>
        <v>0.27283503981797486</v>
      </c>
      <c r="R16" s="21">
        <f t="shared" si="5"/>
        <v>239.82199999999989</v>
      </c>
      <c r="S16" s="22">
        <f t="shared" si="2"/>
        <v>11.19999999999996</v>
      </c>
      <c r="T16" s="22">
        <f t="shared" si="6"/>
        <v>3.907985046680551E-14</v>
      </c>
    </row>
    <row r="17" spans="1:20" x14ac:dyDescent="0.2">
      <c r="A17" s="14">
        <f t="shared" si="7"/>
        <v>38728</v>
      </c>
      <c r="B17" s="1">
        <v>11</v>
      </c>
      <c r="C17" s="16">
        <f>ROUND(Data!BI17,2)</f>
        <v>0.56000000000000005</v>
      </c>
      <c r="D17" s="3">
        <f>ROUND(Data!O17,1)</f>
        <v>-1.7</v>
      </c>
      <c r="E17" s="3">
        <f>ROUND(Data!AA17,1)</f>
        <v>-4</v>
      </c>
      <c r="F17" s="3">
        <f>Data!BN17</f>
        <v>80.900000000000006</v>
      </c>
      <c r="G17" s="3">
        <f>Data!N17</f>
        <v>0</v>
      </c>
      <c r="H17" s="21">
        <f>Data!BE17</f>
        <v>920</v>
      </c>
      <c r="I17" s="13">
        <f t="shared" si="3"/>
        <v>5.3</v>
      </c>
      <c r="J17" s="3">
        <f>Data!BR17</f>
        <v>0</v>
      </c>
      <c r="K17" s="32">
        <f t="shared" si="8"/>
        <v>5.3</v>
      </c>
      <c r="M17" s="22">
        <f t="shared" si="9"/>
        <v>0</v>
      </c>
      <c r="N17" s="22">
        <f t="shared" si="9"/>
        <v>50.399999999999991</v>
      </c>
      <c r="P17" s="24">
        <f t="shared" si="4"/>
        <v>0.26643695652173904</v>
      </c>
      <c r="Q17" s="24">
        <f t="shared" si="1"/>
        <v>0.26643695652173904</v>
      </c>
      <c r="R17" s="21">
        <f t="shared" si="5"/>
        <v>245.12199999999993</v>
      </c>
      <c r="S17" s="22">
        <f t="shared" si="2"/>
        <v>5.3000000000000398</v>
      </c>
      <c r="T17" s="22">
        <f t="shared" si="6"/>
        <v>-3.9968028886505635E-14</v>
      </c>
    </row>
    <row r="18" spans="1:20" x14ac:dyDescent="0.2">
      <c r="A18" s="14">
        <f t="shared" si="7"/>
        <v>38729</v>
      </c>
      <c r="B18" s="1">
        <v>12</v>
      </c>
      <c r="C18" s="16">
        <f>ROUND(Data!BI18,2)</f>
        <v>0.52</v>
      </c>
      <c r="D18" s="3">
        <f>ROUND(Data!O18,1)</f>
        <v>-2.8</v>
      </c>
      <c r="E18" s="3">
        <f>ROUND(Data!AA18,1)</f>
        <v>-4.2</v>
      </c>
      <c r="F18" s="3">
        <f>Data!BN18</f>
        <v>84.8</v>
      </c>
      <c r="G18" s="3">
        <f>Data!N18</f>
        <v>0</v>
      </c>
      <c r="H18" s="21">
        <f>Data!BE18</f>
        <v>991</v>
      </c>
      <c r="I18" s="13">
        <f t="shared" si="3"/>
        <v>9.1999999999999993</v>
      </c>
      <c r="J18" s="3">
        <f>Data!BR18</f>
        <v>0</v>
      </c>
      <c r="K18" s="32">
        <f t="shared" si="8"/>
        <v>9.1999999999999993</v>
      </c>
      <c r="M18" s="22">
        <f t="shared" si="9"/>
        <v>0</v>
      </c>
      <c r="N18" s="22">
        <f t="shared" si="9"/>
        <v>59.599999999999994</v>
      </c>
      <c r="P18" s="24">
        <f t="shared" si="4"/>
        <v>0.25663168516649842</v>
      </c>
      <c r="Q18" s="24">
        <f t="shared" si="1"/>
        <v>0.25663168516649842</v>
      </c>
      <c r="R18" s="21">
        <f t="shared" si="5"/>
        <v>254.32199999999995</v>
      </c>
      <c r="S18" s="22">
        <f t="shared" si="2"/>
        <v>9.2000000000000171</v>
      </c>
      <c r="T18" s="22">
        <f t="shared" si="6"/>
        <v>-1.7763568394002505E-14</v>
      </c>
    </row>
    <row r="19" spans="1:20" x14ac:dyDescent="0.2">
      <c r="A19" s="14">
        <f t="shared" si="7"/>
        <v>38730</v>
      </c>
      <c r="B19" s="1">
        <v>13</v>
      </c>
      <c r="C19" s="16">
        <f>ROUND(Data!BI19,2)</f>
        <v>0.63</v>
      </c>
      <c r="D19" s="3">
        <f>ROUND(Data!O19,1)</f>
        <v>0.4</v>
      </c>
      <c r="E19" s="3">
        <f>ROUND(Data!AA19,1)</f>
        <v>-3.6</v>
      </c>
      <c r="F19" s="3">
        <f>Data!BN19</f>
        <v>87.5</v>
      </c>
      <c r="G19" s="3">
        <f>Data!N19</f>
        <v>0</v>
      </c>
      <c r="H19" s="21">
        <f>Data!BE19</f>
        <v>929</v>
      </c>
      <c r="I19" s="13">
        <f t="shared" si="3"/>
        <v>0</v>
      </c>
      <c r="J19" s="3">
        <f>Data!BR19</f>
        <v>0</v>
      </c>
      <c r="K19" s="32">
        <f t="shared" si="8"/>
        <v>0</v>
      </c>
      <c r="M19" s="22">
        <f t="shared" si="9"/>
        <v>0</v>
      </c>
      <c r="N19" s="22">
        <f t="shared" si="9"/>
        <v>59.599999999999994</v>
      </c>
      <c r="P19" s="24">
        <f t="shared" si="4"/>
        <v>0.27375888051668457</v>
      </c>
      <c r="Q19" s="24">
        <f t="shared" si="1"/>
        <v>0.27375888051668457</v>
      </c>
      <c r="R19" s="21">
        <f t="shared" si="5"/>
        <v>254.32199999999997</v>
      </c>
      <c r="S19" s="22">
        <f t="shared" si="2"/>
        <v>0</v>
      </c>
      <c r="T19" s="22">
        <f t="shared" si="6"/>
        <v>0</v>
      </c>
    </row>
    <row r="20" spans="1:20" x14ac:dyDescent="0.2">
      <c r="A20" s="14">
        <f t="shared" si="7"/>
        <v>38731</v>
      </c>
      <c r="B20" s="1">
        <v>14</v>
      </c>
      <c r="C20" s="16">
        <f>ROUND(Data!BI20,2)</f>
        <v>1.02</v>
      </c>
      <c r="D20" s="3">
        <f>ROUND(Data!O20,1)</f>
        <v>-1.4</v>
      </c>
      <c r="E20" s="3">
        <f>ROUND(Data!AA20,1)</f>
        <v>-4.5</v>
      </c>
      <c r="F20" s="3">
        <f>Data!BN20</f>
        <v>90.7</v>
      </c>
      <c r="G20" s="3">
        <f>Data!N20</f>
        <v>0</v>
      </c>
      <c r="H20" s="21">
        <f>Data!BE20</f>
        <v>896</v>
      </c>
      <c r="I20" s="13">
        <f t="shared" si="3"/>
        <v>0</v>
      </c>
      <c r="J20" s="3">
        <f>Data!BR20</f>
        <v>0</v>
      </c>
      <c r="K20" s="32">
        <f t="shared" si="8"/>
        <v>0</v>
      </c>
      <c r="M20" s="22">
        <f t="shared" si="9"/>
        <v>0</v>
      </c>
      <c r="N20" s="22">
        <f t="shared" si="9"/>
        <v>59.599999999999994</v>
      </c>
      <c r="P20" s="24">
        <f t="shared" si="4"/>
        <v>0.28384151785714284</v>
      </c>
      <c r="Q20" s="24">
        <f t="shared" si="1"/>
        <v>0.28384151785714284</v>
      </c>
      <c r="R20" s="21">
        <f t="shared" si="5"/>
        <v>254.322</v>
      </c>
      <c r="S20" s="22">
        <f t="shared" si="2"/>
        <v>0</v>
      </c>
      <c r="T20" s="22">
        <f t="shared" si="6"/>
        <v>0</v>
      </c>
    </row>
    <row r="21" spans="1:20" x14ac:dyDescent="0.2">
      <c r="A21" s="14">
        <f t="shared" si="7"/>
        <v>38732</v>
      </c>
      <c r="B21" s="1">
        <v>15</v>
      </c>
      <c r="C21" s="16">
        <f>ROUND(Data!BI21,2)</f>
        <v>0.76</v>
      </c>
      <c r="D21" s="3">
        <f>ROUND(Data!O21,1)</f>
        <v>-4.0999999999999996</v>
      </c>
      <c r="E21" s="3">
        <f>ROUND(Data!AA21,1)</f>
        <v>-14</v>
      </c>
      <c r="F21" s="3">
        <f>Data!BN21</f>
        <v>92.5</v>
      </c>
      <c r="G21" s="3">
        <f>Data!N21</f>
        <v>0</v>
      </c>
      <c r="H21" s="21">
        <f>Data!BE21</f>
        <v>936</v>
      </c>
      <c r="I21" s="13">
        <f t="shared" si="3"/>
        <v>5.2</v>
      </c>
      <c r="J21" s="3">
        <f>Data!BR21</f>
        <v>0</v>
      </c>
      <c r="K21" s="32">
        <f t="shared" si="8"/>
        <v>5.2</v>
      </c>
      <c r="M21" s="22">
        <f t="shared" si="9"/>
        <v>0</v>
      </c>
      <c r="N21" s="22">
        <f t="shared" si="9"/>
        <v>64.8</v>
      </c>
      <c r="P21" s="24">
        <f t="shared" si="4"/>
        <v>0.27726709401709398</v>
      </c>
      <c r="Q21" s="24">
        <f t="shared" si="1"/>
        <v>0.27726709401709398</v>
      </c>
      <c r="R21" s="21">
        <f t="shared" si="5"/>
        <v>259.52199999999999</v>
      </c>
      <c r="S21" s="22">
        <f t="shared" si="2"/>
        <v>5.1999999999999886</v>
      </c>
      <c r="T21" s="22">
        <f t="shared" si="6"/>
        <v>1.1546319456101628E-14</v>
      </c>
    </row>
    <row r="22" spans="1:20" x14ac:dyDescent="0.2">
      <c r="A22" s="14">
        <f t="shared" si="7"/>
        <v>38733</v>
      </c>
      <c r="B22" s="1">
        <v>16</v>
      </c>
      <c r="C22" s="16">
        <f>ROUND(Data!BI22,2)</f>
        <v>0.89</v>
      </c>
      <c r="D22" s="3">
        <f>ROUND(Data!O22,1)</f>
        <v>-4.5999999999999996</v>
      </c>
      <c r="E22" s="3">
        <f>ROUND(Data!AA22,1)</f>
        <v>-14.1</v>
      </c>
      <c r="F22" s="3">
        <f>Data!BN22</f>
        <v>91.7</v>
      </c>
      <c r="G22" s="3">
        <f>Data!N22</f>
        <v>0</v>
      </c>
      <c r="H22" s="21">
        <f>Data!BE22</f>
        <v>971</v>
      </c>
      <c r="I22" s="13">
        <f t="shared" si="3"/>
        <v>4.5999999999999996</v>
      </c>
      <c r="J22" s="3">
        <f>Data!BR22</f>
        <v>0</v>
      </c>
      <c r="K22" s="32">
        <f t="shared" si="8"/>
        <v>4.5999999999999996</v>
      </c>
      <c r="M22" s="22">
        <f t="shared" si="9"/>
        <v>0</v>
      </c>
      <c r="N22" s="22">
        <f t="shared" si="9"/>
        <v>69.399999999999991</v>
      </c>
      <c r="P22" s="24">
        <f t="shared" si="4"/>
        <v>0.27201029866117404</v>
      </c>
      <c r="Q22" s="24">
        <f t="shared" si="1"/>
        <v>0.27201029866117404</v>
      </c>
      <c r="R22" s="21">
        <f t="shared" si="5"/>
        <v>264.12200000000001</v>
      </c>
      <c r="S22" s="22">
        <f t="shared" si="2"/>
        <v>4.6000000000000227</v>
      </c>
      <c r="T22" s="22">
        <f t="shared" si="6"/>
        <v>-2.3092638912203256E-14</v>
      </c>
    </row>
    <row r="23" spans="1:20" x14ac:dyDescent="0.2">
      <c r="A23" s="14">
        <f t="shared" si="7"/>
        <v>38734</v>
      </c>
      <c r="B23" s="1">
        <v>17</v>
      </c>
      <c r="C23" s="16">
        <f>ROUND(Data!BI23,2)</f>
        <v>3.68</v>
      </c>
      <c r="D23" s="3">
        <f>ROUND(Data!O23,1)</f>
        <v>1.2</v>
      </c>
      <c r="E23" s="3">
        <f>ROUND(Data!AA23,1)</f>
        <v>-5</v>
      </c>
      <c r="F23" s="3">
        <f>Data!BN23</f>
        <v>55.7</v>
      </c>
      <c r="G23" s="3">
        <f>Data!N23</f>
        <v>0</v>
      </c>
      <c r="H23" s="21">
        <f>Data!BE23</f>
        <v>929</v>
      </c>
      <c r="I23" s="13">
        <f t="shared" si="3"/>
        <v>0</v>
      </c>
      <c r="J23" s="3">
        <f>Data!BR23</f>
        <v>0</v>
      </c>
      <c r="K23" s="32">
        <f t="shared" si="8"/>
        <v>0</v>
      </c>
      <c r="M23" s="22">
        <f t="shared" si="9"/>
        <v>0</v>
      </c>
      <c r="N23" s="22">
        <f t="shared" si="9"/>
        <v>69.399999999999991</v>
      </c>
      <c r="P23" s="24">
        <f t="shared" si="4"/>
        <v>0.28430785791173308</v>
      </c>
      <c r="Q23" s="24">
        <f t="shared" si="1"/>
        <v>0.28430785791173308</v>
      </c>
      <c r="R23" s="21">
        <f t="shared" si="5"/>
        <v>264.12200000000001</v>
      </c>
      <c r="S23" s="22">
        <f t="shared" si="2"/>
        <v>0</v>
      </c>
      <c r="T23" s="22">
        <f t="shared" si="6"/>
        <v>0</v>
      </c>
    </row>
    <row r="24" spans="1:20" x14ac:dyDescent="0.2">
      <c r="A24" s="14">
        <f t="shared" si="7"/>
        <v>38735</v>
      </c>
      <c r="B24" s="1">
        <v>18</v>
      </c>
      <c r="C24" s="16">
        <f>ROUND(Data!BI24,2)</f>
        <v>0.94</v>
      </c>
      <c r="D24" s="3">
        <f>ROUND(Data!O24,1)</f>
        <v>-3.2</v>
      </c>
      <c r="E24" s="3">
        <f>ROUND(Data!AA24,1)</f>
        <v>-15.7</v>
      </c>
      <c r="F24" s="3">
        <f>Data!BN24</f>
        <v>88.8</v>
      </c>
      <c r="G24" s="3">
        <f>Data!N24</f>
        <v>0</v>
      </c>
      <c r="H24" s="21">
        <f>Data!BE24</f>
        <v>880</v>
      </c>
      <c r="I24" s="13">
        <f t="shared" si="3"/>
        <v>0</v>
      </c>
      <c r="J24" s="3">
        <f>Data!BR24</f>
        <v>0</v>
      </c>
      <c r="K24" s="32">
        <f t="shared" si="8"/>
        <v>0</v>
      </c>
      <c r="M24" s="22">
        <f t="shared" si="9"/>
        <v>0</v>
      </c>
      <c r="N24" s="22">
        <f t="shared" si="9"/>
        <v>69.399999999999991</v>
      </c>
      <c r="P24" s="24">
        <f t="shared" si="4"/>
        <v>0.30013863636363636</v>
      </c>
      <c r="Q24" s="24">
        <f t="shared" si="1"/>
        <v>0.30013863636363636</v>
      </c>
      <c r="R24" s="21">
        <f t="shared" si="5"/>
        <v>264.12200000000001</v>
      </c>
      <c r="S24" s="22">
        <f t="shared" si="2"/>
        <v>0</v>
      </c>
      <c r="T24" s="22">
        <f t="shared" si="6"/>
        <v>0</v>
      </c>
    </row>
    <row r="25" spans="1:20" x14ac:dyDescent="0.2">
      <c r="A25" s="14">
        <f t="shared" si="7"/>
        <v>38736</v>
      </c>
      <c r="B25" s="1">
        <v>19</v>
      </c>
      <c r="C25" s="16">
        <f>ROUND(Data!BI25,2)</f>
        <v>0.99</v>
      </c>
      <c r="D25" s="3">
        <f>ROUND(Data!O25,1)</f>
        <v>-4.5</v>
      </c>
      <c r="E25" s="3">
        <f>ROUND(Data!AA25,1)</f>
        <v>-15.7</v>
      </c>
      <c r="F25" s="3">
        <f>Data!BN25</f>
        <v>78.7</v>
      </c>
      <c r="G25" s="3">
        <f>Data!N25</f>
        <v>0</v>
      </c>
      <c r="H25" s="21">
        <f>Data!BE25</f>
        <v>880</v>
      </c>
      <c r="I25" s="13">
        <f t="shared" si="3"/>
        <v>0</v>
      </c>
      <c r="J25" s="3">
        <f>Data!BR25</f>
        <v>0</v>
      </c>
      <c r="K25" s="32">
        <f t="shared" si="8"/>
        <v>0</v>
      </c>
      <c r="M25" s="22">
        <f t="shared" ref="M25:N40" si="10">J25+M24</f>
        <v>0</v>
      </c>
      <c r="N25" s="22">
        <f t="shared" si="10"/>
        <v>69.399999999999991</v>
      </c>
      <c r="P25" s="24">
        <f t="shared" si="4"/>
        <v>0.30013863636363636</v>
      </c>
      <c r="Q25" s="24">
        <f t="shared" si="1"/>
        <v>0.30013863636363636</v>
      </c>
      <c r="R25" s="21">
        <f t="shared" si="5"/>
        <v>264.12200000000001</v>
      </c>
      <c r="S25" s="22">
        <f t="shared" si="2"/>
        <v>0</v>
      </c>
      <c r="T25" s="22">
        <f t="shared" si="6"/>
        <v>0</v>
      </c>
    </row>
    <row r="26" spans="1:20" x14ac:dyDescent="0.2">
      <c r="A26" s="14">
        <f t="shared" si="7"/>
        <v>38737</v>
      </c>
      <c r="B26" s="1">
        <v>20</v>
      </c>
      <c r="C26" s="16">
        <f>ROUND(Data!BI26,2)</f>
        <v>0.32</v>
      </c>
      <c r="D26" s="3">
        <f>ROUND(Data!O26,1)</f>
        <v>-5</v>
      </c>
      <c r="E26" s="3">
        <f>ROUND(Data!AA26,1)</f>
        <v>-7.1</v>
      </c>
      <c r="F26" s="3">
        <f>Data!BN26</f>
        <v>86.9</v>
      </c>
      <c r="G26" s="3">
        <f>Data!N26</f>
        <v>0</v>
      </c>
      <c r="H26" s="21">
        <f>Data!BE26</f>
        <v>953</v>
      </c>
      <c r="I26" s="13">
        <f t="shared" si="3"/>
        <v>9.5</v>
      </c>
      <c r="J26" s="3">
        <f>Data!BR26</f>
        <v>0</v>
      </c>
      <c r="K26" s="32">
        <f t="shared" si="8"/>
        <v>9.5</v>
      </c>
      <c r="M26" s="22">
        <f t="shared" si="10"/>
        <v>0</v>
      </c>
      <c r="N26" s="22">
        <f t="shared" si="10"/>
        <v>78.899999999999991</v>
      </c>
      <c r="P26" s="24">
        <f t="shared" si="4"/>
        <v>0.28711647429171039</v>
      </c>
      <c r="Q26" s="24">
        <f t="shared" si="1"/>
        <v>0.28711647429171039</v>
      </c>
      <c r="R26" s="21">
        <f t="shared" si="5"/>
        <v>273.62200000000001</v>
      </c>
      <c r="S26" s="22">
        <f t="shared" si="2"/>
        <v>9.5</v>
      </c>
      <c r="T26" s="22">
        <f t="shared" si="6"/>
        <v>0</v>
      </c>
    </row>
    <row r="27" spans="1:20" x14ac:dyDescent="0.2">
      <c r="A27" s="14">
        <f t="shared" si="7"/>
        <v>38738</v>
      </c>
      <c r="B27" s="1">
        <v>21</v>
      </c>
      <c r="C27" s="16">
        <f>ROUND(Data!BI27,2)</f>
        <v>1.49</v>
      </c>
      <c r="D27" s="3">
        <f>ROUND(Data!O27,1)</f>
        <v>-3.5</v>
      </c>
      <c r="E27" s="3">
        <f>ROUND(Data!AA27,1)</f>
        <v>-15.4</v>
      </c>
      <c r="F27" s="3">
        <f>Data!BN27</f>
        <v>77.7</v>
      </c>
      <c r="G27" s="3">
        <f>Data!N27</f>
        <v>0</v>
      </c>
      <c r="H27" s="21">
        <f>Data!BE27</f>
        <v>918</v>
      </c>
      <c r="I27" s="13">
        <f t="shared" si="3"/>
        <v>0</v>
      </c>
      <c r="J27" s="3">
        <f>Data!BR27</f>
        <v>0</v>
      </c>
      <c r="K27" s="32">
        <f t="shared" si="8"/>
        <v>0</v>
      </c>
      <c r="M27" s="22">
        <f t="shared" si="10"/>
        <v>0</v>
      </c>
      <c r="N27" s="22">
        <f t="shared" si="10"/>
        <v>78.899999999999991</v>
      </c>
      <c r="P27" s="24">
        <f t="shared" si="4"/>
        <v>0.29806318082788674</v>
      </c>
      <c r="Q27" s="24">
        <f t="shared" si="1"/>
        <v>0.29806318082788674</v>
      </c>
      <c r="R27" s="21">
        <f t="shared" si="5"/>
        <v>273.62200000000001</v>
      </c>
      <c r="S27" s="22">
        <f t="shared" si="2"/>
        <v>0</v>
      </c>
      <c r="T27" s="22">
        <f t="shared" si="6"/>
        <v>0</v>
      </c>
    </row>
    <row r="28" spans="1:20" x14ac:dyDescent="0.2">
      <c r="A28" s="14">
        <f t="shared" si="7"/>
        <v>38739</v>
      </c>
      <c r="B28" s="1">
        <v>22</v>
      </c>
      <c r="C28" s="16">
        <f>ROUND(Data!BI28,2)</f>
        <v>0.48</v>
      </c>
      <c r="D28" s="3">
        <f>ROUND(Data!O28,1)</f>
        <v>-1.7</v>
      </c>
      <c r="E28" s="3">
        <f>ROUND(Data!AA28,1)</f>
        <v>-8.6999999999999993</v>
      </c>
      <c r="F28" s="3">
        <f>Data!BN28</f>
        <v>87.4</v>
      </c>
      <c r="G28" s="3">
        <f>Data!N28</f>
        <v>0</v>
      </c>
      <c r="H28" s="21">
        <f>Data!BE28</f>
        <v>952</v>
      </c>
      <c r="I28" s="13">
        <f t="shared" si="3"/>
        <v>4.4000000000000004</v>
      </c>
      <c r="J28" s="3">
        <f>Data!BR28</f>
        <v>0</v>
      </c>
      <c r="K28" s="32">
        <f t="shared" si="8"/>
        <v>4.4000000000000004</v>
      </c>
      <c r="M28" s="22">
        <f t="shared" si="10"/>
        <v>0</v>
      </c>
      <c r="N28" s="22">
        <f t="shared" si="10"/>
        <v>83.3</v>
      </c>
      <c r="P28" s="24">
        <f t="shared" si="4"/>
        <v>0.29203991596638657</v>
      </c>
      <c r="Q28" s="24">
        <f t="shared" si="1"/>
        <v>0.29203991596638657</v>
      </c>
      <c r="R28" s="21">
        <f t="shared" si="5"/>
        <v>278.02199999999999</v>
      </c>
      <c r="S28" s="22">
        <f t="shared" si="2"/>
        <v>4.3999999999999773</v>
      </c>
      <c r="T28" s="22">
        <f t="shared" si="6"/>
        <v>2.3092638912203256E-14</v>
      </c>
    </row>
    <row r="29" spans="1:20" x14ac:dyDescent="0.2">
      <c r="A29" s="14">
        <f t="shared" si="7"/>
        <v>38740</v>
      </c>
      <c r="B29" s="1">
        <v>23</v>
      </c>
      <c r="C29" s="16">
        <f>ROUND(Data!BI29,2)</f>
        <v>1.74</v>
      </c>
      <c r="D29" s="3">
        <f>ROUND(Data!O29,1)</f>
        <v>2.2000000000000002</v>
      </c>
      <c r="E29" s="3">
        <f>ROUND(Data!AA29,1)</f>
        <v>-3.3</v>
      </c>
      <c r="F29" s="3">
        <f>Data!BN29</f>
        <v>74.7</v>
      </c>
      <c r="G29" s="3">
        <f>Data!N29</f>
        <v>0</v>
      </c>
      <c r="H29" s="21">
        <f>Data!BE29</f>
        <v>922</v>
      </c>
      <c r="I29" s="13">
        <f t="shared" si="3"/>
        <v>0</v>
      </c>
      <c r="J29" s="3">
        <f>Data!BR29</f>
        <v>0</v>
      </c>
      <c r="K29" s="32">
        <f t="shared" si="8"/>
        <v>0</v>
      </c>
      <c r="M29" s="22">
        <f t="shared" si="10"/>
        <v>0</v>
      </c>
      <c r="N29" s="22">
        <f t="shared" si="10"/>
        <v>83.3</v>
      </c>
      <c r="P29" s="24">
        <f t="shared" si="4"/>
        <v>0.30154229934924076</v>
      </c>
      <c r="Q29" s="24">
        <f t="shared" si="1"/>
        <v>0.30154229934924076</v>
      </c>
      <c r="R29" s="21">
        <f t="shared" si="5"/>
        <v>278.02199999999999</v>
      </c>
      <c r="S29" s="22">
        <f t="shared" si="2"/>
        <v>0</v>
      </c>
      <c r="T29" s="22">
        <f t="shared" si="6"/>
        <v>0</v>
      </c>
    </row>
    <row r="30" spans="1:20" x14ac:dyDescent="0.2">
      <c r="A30" s="14">
        <f t="shared" si="7"/>
        <v>38741</v>
      </c>
      <c r="B30" s="1">
        <v>24</v>
      </c>
      <c r="C30" s="16">
        <f>ROUND(Data!BI30,2)</f>
        <v>3.49</v>
      </c>
      <c r="D30" s="3">
        <f>ROUND(Data!O30,1)</f>
        <v>4.4000000000000004</v>
      </c>
      <c r="E30" s="3">
        <f>ROUND(Data!AA30,1)</f>
        <v>-5.0999999999999996</v>
      </c>
      <c r="F30" s="3">
        <f>Data!BN30</f>
        <v>67.7</v>
      </c>
      <c r="G30" s="3">
        <f>Data!N30</f>
        <v>0</v>
      </c>
      <c r="H30" s="21">
        <f>Data!BE30</f>
        <v>906</v>
      </c>
      <c r="I30" s="13">
        <f t="shared" si="3"/>
        <v>0</v>
      </c>
      <c r="J30" s="3">
        <f>Data!BR30</f>
        <v>0</v>
      </c>
      <c r="K30" s="32">
        <f t="shared" si="8"/>
        <v>0</v>
      </c>
      <c r="M30" s="22">
        <f t="shared" si="10"/>
        <v>0</v>
      </c>
      <c r="N30" s="22">
        <f t="shared" si="10"/>
        <v>83.3</v>
      </c>
      <c r="P30" s="24">
        <f t="shared" si="4"/>
        <v>0.30686754966887414</v>
      </c>
      <c r="Q30" s="24">
        <f t="shared" si="1"/>
        <v>0.30686754966887414</v>
      </c>
      <c r="R30" s="21">
        <f t="shared" si="5"/>
        <v>278.02199999999999</v>
      </c>
      <c r="S30" s="22">
        <f t="shared" si="2"/>
        <v>0</v>
      </c>
      <c r="T30" s="22">
        <f t="shared" si="6"/>
        <v>0</v>
      </c>
    </row>
    <row r="31" spans="1:20" x14ac:dyDescent="0.2">
      <c r="A31" s="14">
        <f t="shared" si="7"/>
        <v>38742</v>
      </c>
      <c r="B31" s="1">
        <v>25</v>
      </c>
      <c r="C31" s="16">
        <f>ROUND(Data!BI31,2)</f>
        <v>7.25</v>
      </c>
      <c r="D31" s="3">
        <f>ROUND(Data!O31,1)</f>
        <v>4.0999999999999996</v>
      </c>
      <c r="E31" s="3">
        <f>ROUND(Data!AA31,1)</f>
        <v>-7.2</v>
      </c>
      <c r="F31" s="3">
        <f>Data!BN31</f>
        <v>56</v>
      </c>
      <c r="G31" s="3">
        <f>Data!N31</f>
        <v>1</v>
      </c>
      <c r="H31" s="21">
        <f>Data!BE31</f>
        <v>873</v>
      </c>
      <c r="I31" s="13">
        <f t="shared" si="3"/>
        <v>0</v>
      </c>
      <c r="J31" s="3">
        <f>Data!BR31</f>
        <v>0</v>
      </c>
      <c r="K31" s="32">
        <f t="shared" si="8"/>
        <v>0</v>
      </c>
      <c r="M31" s="22">
        <f t="shared" si="10"/>
        <v>0</v>
      </c>
      <c r="N31" s="22">
        <f t="shared" si="10"/>
        <v>83.3</v>
      </c>
      <c r="P31" s="24">
        <f t="shared" si="4"/>
        <v>0.31846735395189002</v>
      </c>
      <c r="Q31" s="24">
        <f t="shared" si="1"/>
        <v>0.31846735395189002</v>
      </c>
      <c r="R31" s="21">
        <f t="shared" si="5"/>
        <v>278.02199999999999</v>
      </c>
      <c r="S31" s="22">
        <f t="shared" si="2"/>
        <v>0</v>
      </c>
      <c r="T31" s="22">
        <f t="shared" si="6"/>
        <v>0</v>
      </c>
    </row>
    <row r="32" spans="1:20" x14ac:dyDescent="0.2">
      <c r="A32" s="14">
        <f t="shared" si="7"/>
        <v>38743</v>
      </c>
      <c r="B32" s="1">
        <v>26</v>
      </c>
      <c r="C32" s="16">
        <f>ROUND(Data!BI32,2)</f>
        <v>3.6</v>
      </c>
      <c r="D32" s="3">
        <f>ROUND(Data!O32,1)</f>
        <v>-0.8</v>
      </c>
      <c r="E32" s="3">
        <f>ROUND(Data!AA32,1)</f>
        <v>-5.3</v>
      </c>
      <c r="F32" s="3">
        <f>Data!BN32</f>
        <v>61.9</v>
      </c>
      <c r="G32" s="3">
        <f>Data!N32</f>
        <v>0</v>
      </c>
      <c r="H32" s="21">
        <f>Data!BE32</f>
        <v>855</v>
      </c>
      <c r="I32" s="13">
        <f t="shared" si="3"/>
        <v>0</v>
      </c>
      <c r="J32" s="3">
        <f>Data!BR32</f>
        <v>0</v>
      </c>
      <c r="K32" s="32">
        <f t="shared" si="8"/>
        <v>0</v>
      </c>
      <c r="M32" s="22">
        <f t="shared" si="10"/>
        <v>0</v>
      </c>
      <c r="N32" s="22">
        <f t="shared" si="10"/>
        <v>83.3</v>
      </c>
      <c r="P32" s="24">
        <f t="shared" si="4"/>
        <v>0.32517192982456139</v>
      </c>
      <c r="Q32" s="24">
        <f t="shared" si="1"/>
        <v>0.32517192982456139</v>
      </c>
      <c r="R32" s="21">
        <f t="shared" si="5"/>
        <v>278.02199999999999</v>
      </c>
      <c r="S32" s="22">
        <f t="shared" si="2"/>
        <v>0</v>
      </c>
      <c r="T32" s="22">
        <f t="shared" si="6"/>
        <v>0</v>
      </c>
    </row>
    <row r="33" spans="1:20" x14ac:dyDescent="0.2">
      <c r="A33" s="14">
        <f t="shared" si="7"/>
        <v>38744</v>
      </c>
      <c r="B33" s="1">
        <v>27</v>
      </c>
      <c r="C33" s="16">
        <f>ROUND(Data!BI33,2)</f>
        <v>3.68</v>
      </c>
      <c r="D33" s="3">
        <f>ROUND(Data!O33,1)</f>
        <v>-1.6</v>
      </c>
      <c r="E33" s="3">
        <f>ROUND(Data!AA33,1)</f>
        <v>-8.5</v>
      </c>
      <c r="F33" s="3">
        <f>Data!BN33</f>
        <v>61.6</v>
      </c>
      <c r="G33" s="3">
        <f>Data!N33</f>
        <v>0</v>
      </c>
      <c r="H33" s="21">
        <f>Data!BE33</f>
        <v>894</v>
      </c>
      <c r="I33" s="13">
        <f t="shared" si="3"/>
        <v>5.0999999999999996</v>
      </c>
      <c r="J33" s="3">
        <f>Data!BR33</f>
        <v>0</v>
      </c>
      <c r="K33" s="32">
        <f t="shared" si="8"/>
        <v>5.0999999999999996</v>
      </c>
      <c r="M33" s="22">
        <f t="shared" si="10"/>
        <v>0</v>
      </c>
      <c r="N33" s="22">
        <f t="shared" si="10"/>
        <v>88.399999999999991</v>
      </c>
      <c r="P33" s="24">
        <f t="shared" si="4"/>
        <v>0.31669127516778522</v>
      </c>
      <c r="Q33" s="24">
        <f t="shared" si="1"/>
        <v>0.31669127516778522</v>
      </c>
      <c r="R33" s="21">
        <f t="shared" si="5"/>
        <v>283.12200000000001</v>
      </c>
      <c r="S33" s="22">
        <f t="shared" si="2"/>
        <v>5.1000000000000227</v>
      </c>
      <c r="T33" s="22">
        <f t="shared" si="6"/>
        <v>-2.3092638912203256E-14</v>
      </c>
    </row>
    <row r="34" spans="1:20" x14ac:dyDescent="0.2">
      <c r="A34" s="14">
        <f t="shared" si="7"/>
        <v>38745</v>
      </c>
      <c r="B34" s="1">
        <v>28</v>
      </c>
      <c r="C34" s="16">
        <f>ROUND(Data!BI34,2)</f>
        <v>1.65</v>
      </c>
      <c r="D34" s="3">
        <f>ROUND(Data!O34,1)</f>
        <v>-2.7</v>
      </c>
      <c r="E34" s="3">
        <f>ROUND(Data!AA34,1)</f>
        <v>-5.9</v>
      </c>
      <c r="F34" s="3">
        <f>Data!BN34</f>
        <v>80</v>
      </c>
      <c r="G34" s="3">
        <f>Data!N34</f>
        <v>0</v>
      </c>
      <c r="H34" s="21">
        <f>Data!BE34</f>
        <v>1037</v>
      </c>
      <c r="I34" s="13">
        <f t="shared" si="3"/>
        <v>18.600000000000001</v>
      </c>
      <c r="J34" s="3">
        <f>Data!BR34</f>
        <v>0</v>
      </c>
      <c r="K34" s="32">
        <f t="shared" si="8"/>
        <v>18.600000000000001</v>
      </c>
      <c r="M34" s="22">
        <f t="shared" si="10"/>
        <v>0</v>
      </c>
      <c r="N34" s="22">
        <f t="shared" si="10"/>
        <v>107</v>
      </c>
      <c r="P34" s="24">
        <f t="shared" si="4"/>
        <v>0.29095660559305692</v>
      </c>
      <c r="Q34" s="24">
        <f t="shared" si="1"/>
        <v>0.29095660559305692</v>
      </c>
      <c r="R34" s="21">
        <f t="shared" si="5"/>
        <v>301.72200000000004</v>
      </c>
      <c r="S34" s="22">
        <f t="shared" si="2"/>
        <v>18.600000000000023</v>
      </c>
      <c r="T34" s="22">
        <f t="shared" si="6"/>
        <v>0</v>
      </c>
    </row>
    <row r="35" spans="1:20" x14ac:dyDescent="0.2">
      <c r="A35" s="14">
        <f t="shared" si="7"/>
        <v>38746</v>
      </c>
      <c r="B35" s="1">
        <v>29</v>
      </c>
      <c r="C35" s="16">
        <f>ROUND(Data!BI35,2)</f>
        <v>2.5099999999999998</v>
      </c>
      <c r="D35" s="3">
        <f>ROUND(Data!O35,1)</f>
        <v>-3.7</v>
      </c>
      <c r="E35" s="3">
        <f>ROUND(Data!AA35,1)</f>
        <v>-12.5</v>
      </c>
      <c r="F35" s="3">
        <f>Data!BN35</f>
        <v>70</v>
      </c>
      <c r="G35" s="3">
        <f>Data!N35</f>
        <v>0</v>
      </c>
      <c r="H35" s="21">
        <f>Data!BE35</f>
        <v>1135</v>
      </c>
      <c r="I35" s="13">
        <f t="shared" si="3"/>
        <v>12.7</v>
      </c>
      <c r="J35" s="3">
        <f>Data!BR35</f>
        <v>0</v>
      </c>
      <c r="K35" s="32">
        <f t="shared" si="8"/>
        <v>12.7</v>
      </c>
      <c r="M35" s="22">
        <f t="shared" si="10"/>
        <v>0</v>
      </c>
      <c r="N35" s="22">
        <f t="shared" si="10"/>
        <v>119.7</v>
      </c>
      <c r="P35" s="24">
        <f t="shared" si="4"/>
        <v>0.27702378854625553</v>
      </c>
      <c r="Q35" s="24">
        <f t="shared" si="1"/>
        <v>0.27702378854625553</v>
      </c>
      <c r="R35" s="21">
        <f t="shared" si="5"/>
        <v>314.42200000000003</v>
      </c>
      <c r="S35" s="22">
        <f t="shared" si="2"/>
        <v>12.699999999999989</v>
      </c>
      <c r="T35" s="22">
        <f t="shared" si="6"/>
        <v>0</v>
      </c>
    </row>
    <row r="36" spans="1:20" x14ac:dyDescent="0.2">
      <c r="A36" s="14">
        <f t="shared" si="7"/>
        <v>38747</v>
      </c>
      <c r="B36" s="1">
        <v>30</v>
      </c>
      <c r="C36" s="16">
        <f>ROUND(Data!BI36,2)</f>
        <v>0.4</v>
      </c>
      <c r="D36" s="3">
        <f>ROUND(Data!O36,1)</f>
        <v>-1</v>
      </c>
      <c r="E36" s="3">
        <f>ROUND(Data!AA36,1)</f>
        <v>-7.4</v>
      </c>
      <c r="F36" s="3">
        <f>Data!BN36</f>
        <v>88.2</v>
      </c>
      <c r="G36" s="3">
        <f>Data!N36</f>
        <v>0</v>
      </c>
      <c r="H36" s="21">
        <f>Data!BE36</f>
        <v>1118</v>
      </c>
      <c r="I36" s="13">
        <f t="shared" si="3"/>
        <v>0</v>
      </c>
      <c r="J36" s="3">
        <f>Data!BR36</f>
        <v>0</v>
      </c>
      <c r="K36" s="32">
        <f t="shared" si="8"/>
        <v>0</v>
      </c>
      <c r="M36" s="22">
        <f t="shared" si="10"/>
        <v>0</v>
      </c>
      <c r="N36" s="22">
        <f t="shared" si="10"/>
        <v>119.7</v>
      </c>
      <c r="P36" s="24">
        <f t="shared" si="4"/>
        <v>0.2812361359570662</v>
      </c>
      <c r="Q36" s="24">
        <f t="shared" si="1"/>
        <v>0.2812361359570662</v>
      </c>
      <c r="R36" s="21">
        <f t="shared" si="5"/>
        <v>314.42200000000003</v>
      </c>
      <c r="S36" s="22">
        <f t="shared" si="2"/>
        <v>0</v>
      </c>
      <c r="T36" s="22">
        <f t="shared" si="6"/>
        <v>0</v>
      </c>
    </row>
    <row r="37" spans="1:20" x14ac:dyDescent="0.2">
      <c r="A37" s="14">
        <f t="shared" si="7"/>
        <v>38748</v>
      </c>
      <c r="B37" s="1">
        <v>31</v>
      </c>
      <c r="C37" s="16">
        <f>ROUND(Data!BI37,2)</f>
        <v>0.65</v>
      </c>
      <c r="D37" s="3">
        <f>ROUND(Data!O37,1)</f>
        <v>-3.6</v>
      </c>
      <c r="E37" s="3">
        <f>ROUND(Data!AA37,1)</f>
        <v>-7.5</v>
      </c>
      <c r="F37" s="3">
        <f>Data!BN37</f>
        <v>76.900000000000006</v>
      </c>
      <c r="G37" s="3">
        <f>Data!N37</f>
        <v>0</v>
      </c>
      <c r="H37" s="21">
        <f>Data!BE37</f>
        <v>1264</v>
      </c>
      <c r="I37" s="13">
        <f t="shared" si="3"/>
        <v>19</v>
      </c>
      <c r="J37" s="3">
        <f>Data!BR37</f>
        <v>0</v>
      </c>
      <c r="K37" s="32">
        <f t="shared" si="8"/>
        <v>19</v>
      </c>
      <c r="M37" s="22">
        <f t="shared" si="10"/>
        <v>0</v>
      </c>
      <c r="N37" s="22">
        <f t="shared" si="10"/>
        <v>138.69999999999999</v>
      </c>
      <c r="P37" s="24">
        <f t="shared" si="4"/>
        <v>0.26378322784810126</v>
      </c>
      <c r="Q37" s="24">
        <f t="shared" si="1"/>
        <v>0.26378322784810126</v>
      </c>
      <c r="R37" s="21">
        <f t="shared" si="5"/>
        <v>333.42200000000003</v>
      </c>
      <c r="S37" s="22">
        <f t="shared" si="2"/>
        <v>19</v>
      </c>
      <c r="T37" s="22">
        <f t="shared" si="6"/>
        <v>0</v>
      </c>
    </row>
    <row r="38" spans="1:20" x14ac:dyDescent="0.2">
      <c r="A38" s="14">
        <f t="shared" si="7"/>
        <v>38749</v>
      </c>
      <c r="B38" s="1">
        <v>32</v>
      </c>
      <c r="C38" s="16">
        <f>ROUND(Data!BI38,2)</f>
        <v>1.48</v>
      </c>
      <c r="D38" s="3">
        <f>ROUND(Data!O38,1)</f>
        <v>-0.7</v>
      </c>
      <c r="E38" s="3">
        <f>ROUND(Data!AA38,1)</f>
        <v>-5.4</v>
      </c>
      <c r="F38" s="3">
        <f>Data!BN38</f>
        <v>72.8</v>
      </c>
      <c r="G38" s="3">
        <f>Data!N38</f>
        <v>0</v>
      </c>
      <c r="H38" s="21">
        <f>Data!BE38</f>
        <v>1176</v>
      </c>
      <c r="I38" s="13">
        <f t="shared" si="3"/>
        <v>0</v>
      </c>
      <c r="J38" s="3">
        <f>Data!BR38</f>
        <v>0</v>
      </c>
      <c r="K38" s="32">
        <f t="shared" si="8"/>
        <v>0</v>
      </c>
      <c r="M38" s="22">
        <f t="shared" si="10"/>
        <v>0</v>
      </c>
      <c r="N38" s="22">
        <f t="shared" si="10"/>
        <v>138.69999999999999</v>
      </c>
      <c r="P38" s="24">
        <f t="shared" si="4"/>
        <v>0.28352210884353746</v>
      </c>
      <c r="Q38" s="24">
        <f t="shared" si="1"/>
        <v>0.28352210884353746</v>
      </c>
      <c r="R38" s="21">
        <f t="shared" si="5"/>
        <v>333.42200000000003</v>
      </c>
      <c r="S38" s="22">
        <f t="shared" si="2"/>
        <v>0</v>
      </c>
      <c r="T38" s="22">
        <f t="shared" si="6"/>
        <v>0</v>
      </c>
    </row>
    <row r="39" spans="1:20" x14ac:dyDescent="0.2">
      <c r="A39" s="14">
        <f t="shared" si="7"/>
        <v>38750</v>
      </c>
      <c r="B39" s="1">
        <v>33</v>
      </c>
      <c r="C39" s="16">
        <f>ROUND(Data!BI39,2)</f>
        <v>0.79</v>
      </c>
      <c r="D39" s="3">
        <f>ROUND(Data!O39,1)</f>
        <v>-0.7</v>
      </c>
      <c r="E39" s="3">
        <f>ROUND(Data!AA39,1)</f>
        <v>-8</v>
      </c>
      <c r="F39" s="3">
        <f>Data!BN39</f>
        <v>77.7</v>
      </c>
      <c r="G39" s="3">
        <f>Data!N39</f>
        <v>0</v>
      </c>
      <c r="H39" s="21">
        <f>Data!BE39</f>
        <v>1189</v>
      </c>
      <c r="I39" s="13">
        <f t="shared" si="3"/>
        <v>1.7</v>
      </c>
      <c r="J39" s="3">
        <f>Data!BR39</f>
        <v>0</v>
      </c>
      <c r="K39" s="32">
        <f t="shared" si="8"/>
        <v>1.7</v>
      </c>
      <c r="M39" s="22">
        <f t="shared" si="10"/>
        <v>0</v>
      </c>
      <c r="N39" s="22">
        <f t="shared" si="10"/>
        <v>140.39999999999998</v>
      </c>
      <c r="P39" s="24">
        <f t="shared" si="4"/>
        <v>0.28185197645079901</v>
      </c>
      <c r="Q39" s="24">
        <f t="shared" si="1"/>
        <v>0.28185197645079901</v>
      </c>
      <c r="R39" s="21">
        <f t="shared" si="5"/>
        <v>335.12200000000001</v>
      </c>
      <c r="S39" s="22">
        <f t="shared" si="2"/>
        <v>1.6999999999999886</v>
      </c>
      <c r="T39" s="22">
        <f t="shared" si="6"/>
        <v>1.1324274851176597E-14</v>
      </c>
    </row>
    <row r="40" spans="1:20" x14ac:dyDescent="0.2">
      <c r="A40" s="14">
        <f t="shared" si="7"/>
        <v>38751</v>
      </c>
      <c r="B40" s="1">
        <v>34</v>
      </c>
      <c r="C40" s="16">
        <f>ROUND(Data!BI40,2)</f>
        <v>1.96</v>
      </c>
      <c r="D40" s="3">
        <f>ROUND(Data!O40,1)</f>
        <v>-0.3</v>
      </c>
      <c r="E40" s="3">
        <f>ROUND(Data!AA40,1)</f>
        <v>-8.1</v>
      </c>
      <c r="F40" s="3">
        <f>Data!BN40</f>
        <v>62.3</v>
      </c>
      <c r="G40" s="3">
        <f>Data!N40</f>
        <v>0</v>
      </c>
      <c r="H40" s="21">
        <f>Data!BE40</f>
        <v>1187</v>
      </c>
      <c r="I40" s="13">
        <f t="shared" si="3"/>
        <v>0</v>
      </c>
      <c r="J40" s="3">
        <f>Data!BR40</f>
        <v>0</v>
      </c>
      <c r="K40" s="32">
        <f t="shared" si="8"/>
        <v>0</v>
      </c>
      <c r="M40" s="22">
        <f t="shared" si="10"/>
        <v>0</v>
      </c>
      <c r="N40" s="22">
        <f t="shared" si="10"/>
        <v>140.39999999999998</v>
      </c>
      <c r="P40" s="24">
        <f t="shared" si="4"/>
        <v>0.2823268744734625</v>
      </c>
      <c r="Q40" s="24">
        <f t="shared" si="1"/>
        <v>0.2823268744734625</v>
      </c>
      <c r="R40" s="21">
        <f t="shared" si="5"/>
        <v>335.12199999999996</v>
      </c>
      <c r="S40" s="22">
        <f t="shared" si="2"/>
        <v>0</v>
      </c>
      <c r="T40" s="22">
        <f t="shared" si="6"/>
        <v>0</v>
      </c>
    </row>
    <row r="41" spans="1:20" x14ac:dyDescent="0.2">
      <c r="A41" s="14">
        <f t="shared" si="7"/>
        <v>38752</v>
      </c>
      <c r="B41" s="1">
        <v>35</v>
      </c>
      <c r="C41" s="16">
        <f>ROUND(Data!BI41,2)</f>
        <v>1.02</v>
      </c>
      <c r="D41" s="3">
        <f>ROUND(Data!O41,1)</f>
        <v>0.5</v>
      </c>
      <c r="E41" s="3">
        <f>ROUND(Data!AA41,1)</f>
        <v>-3.7</v>
      </c>
      <c r="F41" s="3">
        <f>Data!BN41</f>
        <v>79.400000000000006</v>
      </c>
      <c r="G41" s="3">
        <f>Data!N41</f>
        <v>0</v>
      </c>
      <c r="H41" s="21">
        <f>Data!BE41</f>
        <v>1252</v>
      </c>
      <c r="I41" s="13">
        <f t="shared" si="3"/>
        <v>8.5</v>
      </c>
      <c r="J41" s="3">
        <f>Data!BR41</f>
        <v>0</v>
      </c>
      <c r="K41" s="32">
        <f t="shared" si="8"/>
        <v>8.5</v>
      </c>
      <c r="M41" s="22">
        <f t="shared" ref="M41:N56" si="11">J41+M40</f>
        <v>0</v>
      </c>
      <c r="N41" s="22">
        <f t="shared" si="11"/>
        <v>148.89999999999998</v>
      </c>
      <c r="P41" s="24">
        <f t="shared" si="4"/>
        <v>0.27445846645367411</v>
      </c>
      <c r="Q41" s="24">
        <f t="shared" si="1"/>
        <v>0.27445846645367411</v>
      </c>
      <c r="R41" s="21">
        <f t="shared" si="5"/>
        <v>343.62200000000001</v>
      </c>
      <c r="S41" s="22">
        <f t="shared" si="2"/>
        <v>8.5000000000000568</v>
      </c>
      <c r="T41" s="22">
        <f t="shared" si="6"/>
        <v>-5.6843418860808015E-14</v>
      </c>
    </row>
    <row r="42" spans="1:20" x14ac:dyDescent="0.2">
      <c r="A42" s="14">
        <f t="shared" si="7"/>
        <v>38753</v>
      </c>
      <c r="B42" s="1">
        <v>36</v>
      </c>
      <c r="C42" s="16">
        <f>ROUND(Data!BI42,2)</f>
        <v>2.0699999999999998</v>
      </c>
      <c r="D42" s="3">
        <f>ROUND(Data!O42,1)</f>
        <v>-2.7</v>
      </c>
      <c r="E42" s="3">
        <f>ROUND(Data!AA42,1)</f>
        <v>-11.8</v>
      </c>
      <c r="F42" s="3">
        <f>Data!BN42</f>
        <v>86.9</v>
      </c>
      <c r="G42" s="3">
        <f>Data!N42</f>
        <v>0</v>
      </c>
      <c r="H42" s="21">
        <f>Data!BE42</f>
        <v>1206</v>
      </c>
      <c r="I42" s="13">
        <f t="shared" si="3"/>
        <v>0</v>
      </c>
      <c r="J42" s="3">
        <f>Data!BR42</f>
        <v>0</v>
      </c>
      <c r="K42" s="32">
        <f t="shared" si="8"/>
        <v>0</v>
      </c>
      <c r="M42" s="22">
        <f t="shared" si="11"/>
        <v>0</v>
      </c>
      <c r="N42" s="22">
        <f t="shared" si="11"/>
        <v>148.89999999999998</v>
      </c>
      <c r="P42" s="24">
        <f t="shared" si="4"/>
        <v>0.28492703150912108</v>
      </c>
      <c r="Q42" s="24">
        <f t="shared" si="1"/>
        <v>0.28492703150912108</v>
      </c>
      <c r="R42" s="21">
        <f t="shared" si="5"/>
        <v>343.62200000000001</v>
      </c>
      <c r="S42" s="22">
        <f t="shared" si="2"/>
        <v>0</v>
      </c>
      <c r="T42" s="22">
        <f t="shared" si="6"/>
        <v>0</v>
      </c>
    </row>
    <row r="43" spans="1:20" x14ac:dyDescent="0.2">
      <c r="A43" s="14">
        <f t="shared" si="7"/>
        <v>38754</v>
      </c>
      <c r="B43" s="1">
        <v>37</v>
      </c>
      <c r="C43" s="16">
        <f>ROUND(Data!BI43,2)</f>
        <v>1.47</v>
      </c>
      <c r="D43" s="3">
        <f>ROUND(Data!O43,1)</f>
        <v>-1.6</v>
      </c>
      <c r="E43" s="3">
        <f>ROUND(Data!AA43,1)</f>
        <v>-11.7</v>
      </c>
      <c r="F43" s="3">
        <f>Data!BN43</f>
        <v>85.3</v>
      </c>
      <c r="G43" s="3">
        <f>Data!N43</f>
        <v>0</v>
      </c>
      <c r="H43" s="21">
        <f>Data!BE43</f>
        <v>1174</v>
      </c>
      <c r="I43" s="13">
        <f t="shared" si="3"/>
        <v>0</v>
      </c>
      <c r="J43" s="3">
        <f>Data!BR43</f>
        <v>0</v>
      </c>
      <c r="K43" s="32">
        <f t="shared" si="8"/>
        <v>0</v>
      </c>
      <c r="M43" s="22">
        <f t="shared" si="11"/>
        <v>0</v>
      </c>
      <c r="N43" s="22">
        <f t="shared" si="11"/>
        <v>148.89999999999998</v>
      </c>
      <c r="P43" s="24">
        <f t="shared" si="4"/>
        <v>0.29269335604770019</v>
      </c>
      <c r="Q43" s="24">
        <f t="shared" si="1"/>
        <v>0.29269335604770019</v>
      </c>
      <c r="R43" s="21">
        <f t="shared" si="5"/>
        <v>343.62200000000001</v>
      </c>
      <c r="S43" s="22">
        <f t="shared" si="2"/>
        <v>0</v>
      </c>
      <c r="T43" s="22">
        <f t="shared" si="6"/>
        <v>0</v>
      </c>
    </row>
    <row r="44" spans="1:20" x14ac:dyDescent="0.2">
      <c r="A44" s="14">
        <f t="shared" si="7"/>
        <v>38755</v>
      </c>
      <c r="B44" s="1">
        <v>38</v>
      </c>
      <c r="C44" s="16">
        <f>ROUND(Data!BI44,2)</f>
        <v>1.67</v>
      </c>
      <c r="D44" s="3">
        <f>ROUND(Data!O44,1)</f>
        <v>-0.8</v>
      </c>
      <c r="E44" s="3">
        <f>ROUND(Data!AA44,1)</f>
        <v>-10.9</v>
      </c>
      <c r="F44" s="3">
        <f>Data!BN44</f>
        <v>83.6</v>
      </c>
      <c r="G44" s="3">
        <f>Data!N44</f>
        <v>0</v>
      </c>
      <c r="H44" s="21">
        <f>Data!BE44</f>
        <v>1150</v>
      </c>
      <c r="I44" s="13">
        <f t="shared" si="3"/>
        <v>0</v>
      </c>
      <c r="J44" s="3">
        <f>Data!BR44</f>
        <v>0</v>
      </c>
      <c r="K44" s="32">
        <f t="shared" si="8"/>
        <v>0</v>
      </c>
      <c r="M44" s="22">
        <f t="shared" si="11"/>
        <v>0</v>
      </c>
      <c r="N44" s="22">
        <f t="shared" si="11"/>
        <v>148.89999999999998</v>
      </c>
      <c r="P44" s="24">
        <f t="shared" si="4"/>
        <v>0.29880173913043478</v>
      </c>
      <c r="Q44" s="24">
        <f t="shared" si="1"/>
        <v>0.29880173913043478</v>
      </c>
      <c r="R44" s="21">
        <f t="shared" si="5"/>
        <v>343.62200000000001</v>
      </c>
      <c r="S44" s="22">
        <f t="shared" si="2"/>
        <v>0</v>
      </c>
      <c r="T44" s="22">
        <f t="shared" si="6"/>
        <v>0</v>
      </c>
    </row>
    <row r="45" spans="1:20" x14ac:dyDescent="0.2">
      <c r="A45" s="14">
        <f t="shared" si="7"/>
        <v>38756</v>
      </c>
      <c r="B45" s="1">
        <v>39</v>
      </c>
      <c r="C45" s="16">
        <f>ROUND(Data!BI45,2)</f>
        <v>3.99</v>
      </c>
      <c r="D45" s="3">
        <f>ROUND(Data!O45,1)</f>
        <v>-0.4</v>
      </c>
      <c r="E45" s="3">
        <f>ROUND(Data!AA45,1)</f>
        <v>-11.8</v>
      </c>
      <c r="F45" s="3">
        <f>Data!BN45</f>
        <v>69.400000000000006</v>
      </c>
      <c r="G45" s="3">
        <f>Data!N45</f>
        <v>0</v>
      </c>
      <c r="H45" s="21">
        <f>Data!BE45</f>
        <v>1100</v>
      </c>
      <c r="I45" s="13">
        <f t="shared" si="3"/>
        <v>0</v>
      </c>
      <c r="J45" s="3">
        <f>Data!BR45</f>
        <v>0</v>
      </c>
      <c r="K45" s="32">
        <f t="shared" si="8"/>
        <v>0</v>
      </c>
      <c r="M45" s="22">
        <f t="shared" si="11"/>
        <v>0</v>
      </c>
      <c r="N45" s="22">
        <f t="shared" si="11"/>
        <v>148.89999999999998</v>
      </c>
      <c r="P45" s="24">
        <f t="shared" si="4"/>
        <v>0.31238363636363636</v>
      </c>
      <c r="Q45" s="24">
        <f t="shared" si="1"/>
        <v>0.31238363636363636</v>
      </c>
      <c r="R45" s="21">
        <f t="shared" si="5"/>
        <v>343.62200000000001</v>
      </c>
      <c r="S45" s="22">
        <f t="shared" si="2"/>
        <v>0</v>
      </c>
      <c r="T45" s="22">
        <f t="shared" si="6"/>
        <v>0</v>
      </c>
    </row>
    <row r="46" spans="1:20" x14ac:dyDescent="0.2">
      <c r="A46" s="14">
        <f t="shared" si="7"/>
        <v>38757</v>
      </c>
      <c r="B46" s="1">
        <v>40</v>
      </c>
      <c r="C46" s="16">
        <f>ROUND(Data!BI46,2)</f>
        <v>8.75</v>
      </c>
      <c r="D46" s="3">
        <f>ROUND(Data!O46,1)</f>
        <v>-4</v>
      </c>
      <c r="E46" s="3">
        <f>ROUND(Data!AA46,1)</f>
        <v>-20.6</v>
      </c>
      <c r="F46" s="3">
        <f>Data!BN46</f>
        <v>57</v>
      </c>
      <c r="G46" s="3">
        <f>Data!N46</f>
        <v>0</v>
      </c>
      <c r="H46" s="21">
        <f>Data!BE46</f>
        <v>1075</v>
      </c>
      <c r="I46" s="13">
        <f t="shared" si="3"/>
        <v>0</v>
      </c>
      <c r="J46" s="3">
        <f>Data!BR46</f>
        <v>0</v>
      </c>
      <c r="K46" s="32">
        <f t="shared" si="8"/>
        <v>0</v>
      </c>
      <c r="M46" s="22">
        <f t="shared" si="11"/>
        <v>0</v>
      </c>
      <c r="N46" s="22">
        <f t="shared" si="11"/>
        <v>148.89999999999998</v>
      </c>
      <c r="P46" s="24">
        <f t="shared" si="4"/>
        <v>0.31964837209302327</v>
      </c>
      <c r="Q46" s="24">
        <f t="shared" si="1"/>
        <v>0.31964837209302327</v>
      </c>
      <c r="R46" s="21">
        <f t="shared" si="5"/>
        <v>343.62200000000001</v>
      </c>
      <c r="S46" s="22">
        <f t="shared" si="2"/>
        <v>0</v>
      </c>
      <c r="T46" s="22">
        <f t="shared" si="6"/>
        <v>0</v>
      </c>
    </row>
    <row r="47" spans="1:20" x14ac:dyDescent="0.2">
      <c r="A47" s="14">
        <f t="shared" si="7"/>
        <v>38758</v>
      </c>
      <c r="B47" s="1">
        <v>41</v>
      </c>
      <c r="C47" s="16">
        <f>ROUND(Data!BI47,2)</f>
        <v>8.93</v>
      </c>
      <c r="D47" s="3">
        <f>ROUND(Data!O47,1)</f>
        <v>-0.5</v>
      </c>
      <c r="E47" s="3">
        <f>ROUND(Data!AA47,1)</f>
        <v>-22.4</v>
      </c>
      <c r="F47" s="3">
        <f>Data!BN47</f>
        <v>32.5</v>
      </c>
      <c r="G47" s="3">
        <f>Data!N47</f>
        <v>0</v>
      </c>
      <c r="H47" s="21">
        <f>Data!BE47</f>
        <v>1064</v>
      </c>
      <c r="I47" s="13">
        <f t="shared" si="3"/>
        <v>0</v>
      </c>
      <c r="J47" s="3">
        <f>Data!BR47</f>
        <v>0</v>
      </c>
      <c r="K47" s="32">
        <f t="shared" si="8"/>
        <v>0</v>
      </c>
      <c r="M47" s="22">
        <f t="shared" si="11"/>
        <v>0</v>
      </c>
      <c r="N47" s="22">
        <f t="shared" si="11"/>
        <v>148.89999999999998</v>
      </c>
      <c r="P47" s="24">
        <f t="shared" si="4"/>
        <v>0.32295300751879702</v>
      </c>
      <c r="Q47" s="24">
        <f t="shared" si="1"/>
        <v>0.32295300751879702</v>
      </c>
      <c r="R47" s="21">
        <f t="shared" si="5"/>
        <v>343.62200000000001</v>
      </c>
      <c r="S47" s="22">
        <f t="shared" si="2"/>
        <v>0</v>
      </c>
      <c r="T47" s="22">
        <f t="shared" si="6"/>
        <v>0</v>
      </c>
    </row>
    <row r="48" spans="1:20" x14ac:dyDescent="0.2">
      <c r="A48" s="14">
        <f t="shared" si="7"/>
        <v>38759</v>
      </c>
      <c r="B48" s="1">
        <v>42</v>
      </c>
      <c r="C48" s="16">
        <f>ROUND(Data!BI48,2)</f>
        <v>9.1199999999999992</v>
      </c>
      <c r="D48" s="3">
        <f>ROUND(Data!O48,1)</f>
        <v>5.9</v>
      </c>
      <c r="E48" s="3">
        <f>ROUND(Data!AA48,1)</f>
        <v>-17.3</v>
      </c>
      <c r="F48" s="3">
        <f>Data!BN48</f>
        <v>28.9</v>
      </c>
      <c r="G48" s="3">
        <f>Data!N48</f>
        <v>0</v>
      </c>
      <c r="H48" s="21">
        <f>Data!BE48</f>
        <v>1059</v>
      </c>
      <c r="I48" s="13">
        <f t="shared" si="3"/>
        <v>0</v>
      </c>
      <c r="J48" s="3">
        <f>Data!BR48</f>
        <v>0</v>
      </c>
      <c r="K48" s="32">
        <f t="shared" si="8"/>
        <v>0</v>
      </c>
      <c r="M48" s="22">
        <f t="shared" si="11"/>
        <v>0</v>
      </c>
      <c r="N48" s="22">
        <f t="shared" si="11"/>
        <v>148.89999999999998</v>
      </c>
      <c r="P48" s="24">
        <f t="shared" si="4"/>
        <v>0.32447780925401326</v>
      </c>
      <c r="Q48" s="24">
        <f t="shared" si="1"/>
        <v>0.32447780925401326</v>
      </c>
      <c r="R48" s="21">
        <f t="shared" si="5"/>
        <v>343.62200000000007</v>
      </c>
      <c r="S48" s="22">
        <f t="shared" si="2"/>
        <v>0</v>
      </c>
      <c r="T48" s="22">
        <f t="shared" si="6"/>
        <v>0</v>
      </c>
    </row>
    <row r="49" spans="1:20" x14ac:dyDescent="0.2">
      <c r="A49" s="14">
        <f t="shared" si="7"/>
        <v>38760</v>
      </c>
      <c r="B49" s="1">
        <v>43</v>
      </c>
      <c r="C49" s="16">
        <f>ROUND(Data!BI49,2)</f>
        <v>8.93</v>
      </c>
      <c r="D49" s="3">
        <f>ROUND(Data!O49,1)</f>
        <v>4.0999999999999996</v>
      </c>
      <c r="E49" s="3">
        <f>ROUND(Data!AA49,1)</f>
        <v>-14.8</v>
      </c>
      <c r="F49" s="3">
        <f>Data!BN49</f>
        <v>37.9</v>
      </c>
      <c r="G49" s="3">
        <f>Data!N49</f>
        <v>1</v>
      </c>
      <c r="H49" s="21">
        <f>Data!BE49</f>
        <v>1080</v>
      </c>
      <c r="I49" s="13">
        <f t="shared" si="3"/>
        <v>2.7</v>
      </c>
      <c r="J49" s="3">
        <f>Data!BR49</f>
        <v>0</v>
      </c>
      <c r="K49" s="32">
        <f t="shared" si="8"/>
        <v>2.7</v>
      </c>
      <c r="M49" s="22">
        <f t="shared" si="11"/>
        <v>0</v>
      </c>
      <c r="N49" s="22">
        <f t="shared" si="11"/>
        <v>151.59999999999997</v>
      </c>
      <c r="P49" s="24">
        <f t="shared" si="4"/>
        <v>0.32066851851851857</v>
      </c>
      <c r="Q49" s="24">
        <f t="shared" si="1"/>
        <v>0.32066851851851857</v>
      </c>
      <c r="R49" s="21">
        <f t="shared" si="5"/>
        <v>346.32200000000006</v>
      </c>
      <c r="S49" s="22">
        <f t="shared" si="2"/>
        <v>2.6999999999999886</v>
      </c>
      <c r="T49" s="22">
        <f t="shared" si="6"/>
        <v>1.1546319456101628E-14</v>
      </c>
    </row>
    <row r="50" spans="1:20" x14ac:dyDescent="0.2">
      <c r="A50" s="14">
        <f t="shared" si="7"/>
        <v>38761</v>
      </c>
      <c r="B50" s="1">
        <v>44</v>
      </c>
      <c r="C50" s="16">
        <f>ROUND(Data!BI50,2)</f>
        <v>1.34</v>
      </c>
      <c r="D50" s="3">
        <f>ROUND(Data!O50,1)</f>
        <v>-3.7</v>
      </c>
      <c r="E50" s="3">
        <f>ROUND(Data!AA50,1)</f>
        <v>-10.8</v>
      </c>
      <c r="F50" s="3">
        <f>Data!BN50</f>
        <v>83.1</v>
      </c>
      <c r="G50" s="3">
        <f>Data!N50</f>
        <v>0</v>
      </c>
      <c r="H50" s="21">
        <f>Data!BE50</f>
        <v>1109</v>
      </c>
      <c r="I50" s="13">
        <f t="shared" si="3"/>
        <v>3.8</v>
      </c>
      <c r="J50" s="3">
        <f>Data!BR50</f>
        <v>0</v>
      </c>
      <c r="K50" s="32">
        <f t="shared" si="8"/>
        <v>3.8</v>
      </c>
      <c r="M50" s="22">
        <f t="shared" si="11"/>
        <v>0</v>
      </c>
      <c r="N50" s="22">
        <f t="shared" si="11"/>
        <v>155.39999999999998</v>
      </c>
      <c r="P50" s="24">
        <f t="shared" si="4"/>
        <v>0.31570964833183052</v>
      </c>
      <c r="Q50" s="24">
        <f t="shared" si="1"/>
        <v>0.31570964833183052</v>
      </c>
      <c r="R50" s="21">
        <f t="shared" si="5"/>
        <v>350.12200000000007</v>
      </c>
      <c r="S50" s="22">
        <f t="shared" si="2"/>
        <v>3.8000000000000114</v>
      </c>
      <c r="T50" s="22">
        <f t="shared" si="6"/>
        <v>-1.1546319456101628E-14</v>
      </c>
    </row>
    <row r="51" spans="1:20" x14ac:dyDescent="0.2">
      <c r="A51" s="14">
        <f t="shared" si="7"/>
        <v>38762</v>
      </c>
      <c r="B51" s="1">
        <v>45</v>
      </c>
      <c r="C51" s="16">
        <f>ROUND(Data!BI51,2)</f>
        <v>2.31</v>
      </c>
      <c r="D51" s="3">
        <f>ROUND(Data!O51,1)</f>
        <v>-5.0999999999999996</v>
      </c>
      <c r="E51" s="3">
        <f>ROUND(Data!AA51,1)</f>
        <v>-20.5</v>
      </c>
      <c r="F51" s="3">
        <f>Data!BN51</f>
        <v>65.900000000000006</v>
      </c>
      <c r="G51" s="3">
        <f>Data!N51</f>
        <v>0</v>
      </c>
      <c r="H51" s="21">
        <f>Data!BE51</f>
        <v>1071</v>
      </c>
      <c r="I51" s="13">
        <f t="shared" si="3"/>
        <v>0</v>
      </c>
      <c r="J51" s="3">
        <f>Data!BR51</f>
        <v>0</v>
      </c>
      <c r="K51" s="32">
        <f t="shared" si="8"/>
        <v>0</v>
      </c>
      <c r="M51" s="22">
        <f t="shared" si="11"/>
        <v>0</v>
      </c>
      <c r="N51" s="22">
        <f t="shared" si="11"/>
        <v>155.39999999999998</v>
      </c>
      <c r="P51" s="24">
        <f t="shared" si="4"/>
        <v>0.32691129785247441</v>
      </c>
      <c r="Q51" s="24">
        <f t="shared" si="1"/>
        <v>0.32691129785247441</v>
      </c>
      <c r="R51" s="21">
        <f t="shared" si="5"/>
        <v>350.12200000000007</v>
      </c>
      <c r="S51" s="22">
        <f t="shared" si="2"/>
        <v>0</v>
      </c>
      <c r="T51" s="22">
        <f t="shared" si="6"/>
        <v>0</v>
      </c>
    </row>
    <row r="52" spans="1:20" x14ac:dyDescent="0.2">
      <c r="A52" s="14">
        <f t="shared" si="7"/>
        <v>38763</v>
      </c>
      <c r="B52" s="1">
        <v>46</v>
      </c>
      <c r="C52" s="16">
        <f>ROUND(Data!BI52,2)</f>
        <v>3.2</v>
      </c>
      <c r="D52" s="3">
        <f>ROUND(Data!O52,1)</f>
        <v>-7.7</v>
      </c>
      <c r="E52" s="3">
        <f>ROUND(Data!AA52,1)</f>
        <v>-24.4</v>
      </c>
      <c r="F52" s="3">
        <f>Data!BN52</f>
        <v>67.5</v>
      </c>
      <c r="G52" s="3">
        <f>Data!N52</f>
        <v>0</v>
      </c>
      <c r="H52" s="21">
        <f>Data!BE52</f>
        <v>1070</v>
      </c>
      <c r="I52" s="13">
        <f t="shared" si="3"/>
        <v>0</v>
      </c>
      <c r="J52" s="3">
        <f>Data!BR52</f>
        <v>0</v>
      </c>
      <c r="K52" s="32">
        <f t="shared" si="8"/>
        <v>0</v>
      </c>
      <c r="M52" s="22">
        <f t="shared" si="11"/>
        <v>0</v>
      </c>
      <c r="N52" s="22">
        <f t="shared" si="11"/>
        <v>155.39999999999998</v>
      </c>
      <c r="P52" s="24">
        <f t="shared" si="4"/>
        <v>0.32721682242990663</v>
      </c>
      <c r="Q52" s="24">
        <f t="shared" si="1"/>
        <v>0.32721682242990663</v>
      </c>
      <c r="R52" s="21">
        <f t="shared" si="5"/>
        <v>350.12200000000007</v>
      </c>
      <c r="S52" s="22">
        <f t="shared" si="2"/>
        <v>0</v>
      </c>
      <c r="T52" s="22">
        <f t="shared" si="6"/>
        <v>0</v>
      </c>
    </row>
    <row r="53" spans="1:20" x14ac:dyDescent="0.2">
      <c r="A53" s="14">
        <f t="shared" si="7"/>
        <v>38764</v>
      </c>
      <c r="B53" s="1">
        <v>47</v>
      </c>
      <c r="C53" s="16">
        <f>ROUND(Data!BI53,2)</f>
        <v>7.01</v>
      </c>
      <c r="D53" s="3">
        <f>ROUND(Data!O53,1)</f>
        <v>-11.1</v>
      </c>
      <c r="E53" s="3">
        <f>ROUND(Data!AA53,1)</f>
        <v>-26.2</v>
      </c>
      <c r="F53" s="3">
        <f>Data!BN53</f>
        <v>31</v>
      </c>
      <c r="G53" s="3">
        <f>Data!N53</f>
        <v>0</v>
      </c>
      <c r="H53" s="21">
        <f>Data!BE53</f>
        <v>1067</v>
      </c>
      <c r="I53" s="13">
        <f t="shared" si="3"/>
        <v>0</v>
      </c>
      <c r="J53" s="3">
        <f>Data!BR53</f>
        <v>0</v>
      </c>
      <c r="K53" s="32">
        <f t="shared" si="8"/>
        <v>0</v>
      </c>
      <c r="M53" s="22">
        <f t="shared" si="11"/>
        <v>0</v>
      </c>
      <c r="N53" s="22">
        <f t="shared" si="11"/>
        <v>155.39999999999998</v>
      </c>
      <c r="P53" s="24">
        <f t="shared" si="4"/>
        <v>0.32813683223992507</v>
      </c>
      <c r="Q53" s="24">
        <f t="shared" si="1"/>
        <v>0.32813683223992507</v>
      </c>
      <c r="R53" s="21">
        <f t="shared" si="5"/>
        <v>350.12200000000007</v>
      </c>
      <c r="S53" s="22">
        <f t="shared" si="2"/>
        <v>0</v>
      </c>
      <c r="T53" s="22">
        <f t="shared" si="6"/>
        <v>0</v>
      </c>
    </row>
    <row r="54" spans="1:20" x14ac:dyDescent="0.2">
      <c r="A54" s="14">
        <f t="shared" si="7"/>
        <v>38765</v>
      </c>
      <c r="B54" s="1">
        <v>48</v>
      </c>
      <c r="C54" s="16">
        <f>ROUND(Data!BI54,2)</f>
        <v>11.03</v>
      </c>
      <c r="D54" s="3">
        <f>ROUND(Data!O54,1)</f>
        <v>-7.8</v>
      </c>
      <c r="E54" s="3">
        <f>ROUND(Data!AA54,1)</f>
        <v>-29.7</v>
      </c>
      <c r="F54" s="3">
        <f>Data!BN54</f>
        <v>13.9</v>
      </c>
      <c r="G54" s="3">
        <f>Data!N54</f>
        <v>0</v>
      </c>
      <c r="H54" s="21">
        <f>Data!BE54</f>
        <v>1065</v>
      </c>
      <c r="I54" s="13">
        <f t="shared" si="3"/>
        <v>0</v>
      </c>
      <c r="J54" s="3">
        <f>Data!BR54</f>
        <v>0</v>
      </c>
      <c r="K54" s="32">
        <f t="shared" si="8"/>
        <v>0</v>
      </c>
      <c r="M54" s="22">
        <f t="shared" si="11"/>
        <v>0</v>
      </c>
      <c r="N54" s="22">
        <f t="shared" si="11"/>
        <v>155.39999999999998</v>
      </c>
      <c r="P54" s="24">
        <f t="shared" si="4"/>
        <v>0.32875305164319257</v>
      </c>
      <c r="Q54" s="24">
        <f t="shared" si="1"/>
        <v>0.32875305164319257</v>
      </c>
      <c r="R54" s="21">
        <f t="shared" si="5"/>
        <v>350.12200000000007</v>
      </c>
      <c r="S54" s="22">
        <f t="shared" si="2"/>
        <v>0</v>
      </c>
      <c r="T54" s="22">
        <f t="shared" si="6"/>
        <v>0</v>
      </c>
    </row>
    <row r="55" spans="1:20" x14ac:dyDescent="0.2">
      <c r="A55" s="14">
        <f t="shared" si="7"/>
        <v>38766</v>
      </c>
      <c r="B55" s="1">
        <v>49</v>
      </c>
      <c r="C55" s="16">
        <f>ROUND(Data!BI55,2)</f>
        <v>10.89</v>
      </c>
      <c r="D55" s="3">
        <f>ROUND(Data!O55,1)</f>
        <v>-7.6</v>
      </c>
      <c r="E55" s="3">
        <f>ROUND(Data!AA55,1)</f>
        <v>-27.2</v>
      </c>
      <c r="F55" s="3">
        <f>Data!BN55</f>
        <v>33.1</v>
      </c>
      <c r="G55" s="3">
        <f>Data!N55</f>
        <v>0</v>
      </c>
      <c r="H55" s="21">
        <f>Data!BE55</f>
        <v>1057</v>
      </c>
      <c r="I55" s="13">
        <f t="shared" si="3"/>
        <v>0</v>
      </c>
      <c r="J55" s="3">
        <f>Data!BR55</f>
        <v>0</v>
      </c>
      <c r="K55" s="32">
        <f t="shared" si="8"/>
        <v>0</v>
      </c>
      <c r="M55" s="22">
        <f t="shared" si="11"/>
        <v>0</v>
      </c>
      <c r="N55" s="22">
        <f t="shared" si="11"/>
        <v>155.39999999999998</v>
      </c>
      <c r="P55" s="24">
        <f t="shared" si="4"/>
        <v>0.33124124881740785</v>
      </c>
      <c r="Q55" s="24">
        <f t="shared" si="1"/>
        <v>0.33124124881740785</v>
      </c>
      <c r="R55" s="21">
        <f t="shared" si="5"/>
        <v>350.12200000000007</v>
      </c>
      <c r="S55" s="22">
        <f t="shared" si="2"/>
        <v>0</v>
      </c>
      <c r="T55" s="22">
        <f t="shared" si="6"/>
        <v>0</v>
      </c>
    </row>
    <row r="56" spans="1:20" x14ac:dyDescent="0.2">
      <c r="A56" s="14">
        <f t="shared" si="7"/>
        <v>38767</v>
      </c>
      <c r="B56" s="1">
        <v>50</v>
      </c>
      <c r="C56" s="16">
        <f>ROUND(Data!BI56,2)</f>
        <v>7.11</v>
      </c>
      <c r="D56" s="3">
        <f>ROUND(Data!O56,1)</f>
        <v>-8.4</v>
      </c>
      <c r="E56" s="3">
        <f>ROUND(Data!AA56,1)</f>
        <v>-25.6</v>
      </c>
      <c r="F56" s="3">
        <f>Data!BN56</f>
        <v>47.2</v>
      </c>
      <c r="G56" s="3">
        <f>Data!N56</f>
        <v>0</v>
      </c>
      <c r="H56" s="21">
        <f>Data!BE56</f>
        <v>1055</v>
      </c>
      <c r="I56" s="13">
        <f t="shared" si="3"/>
        <v>0</v>
      </c>
      <c r="J56" s="3">
        <f>Data!BR56</f>
        <v>0</v>
      </c>
      <c r="K56" s="32">
        <f t="shared" si="8"/>
        <v>0</v>
      </c>
      <c r="M56" s="22">
        <f t="shared" si="11"/>
        <v>0</v>
      </c>
      <c r="N56" s="22">
        <f t="shared" si="11"/>
        <v>155.39999999999998</v>
      </c>
      <c r="P56" s="24">
        <f t="shared" si="4"/>
        <v>0.33186919431279627</v>
      </c>
      <c r="Q56" s="24">
        <f t="shared" si="1"/>
        <v>0.33186919431279627</v>
      </c>
      <c r="R56" s="21">
        <f t="shared" si="5"/>
        <v>350.12200000000007</v>
      </c>
      <c r="S56" s="22">
        <f t="shared" si="2"/>
        <v>0</v>
      </c>
      <c r="T56" s="22">
        <f t="shared" si="6"/>
        <v>0</v>
      </c>
    </row>
    <row r="57" spans="1:20" x14ac:dyDescent="0.2">
      <c r="A57" s="14">
        <f t="shared" si="7"/>
        <v>38768</v>
      </c>
      <c r="B57" s="1">
        <v>51</v>
      </c>
      <c r="C57" s="16">
        <f>ROUND(Data!BI57,2)</f>
        <v>2.65</v>
      </c>
      <c r="D57" s="3">
        <f>ROUND(Data!O57,1)</f>
        <v>-6.9</v>
      </c>
      <c r="E57" s="3">
        <f>ROUND(Data!AA57,1)</f>
        <v>-14.2</v>
      </c>
      <c r="F57" s="3">
        <f>Data!BN57</f>
        <v>82.8</v>
      </c>
      <c r="G57" s="3">
        <f>Data!N57</f>
        <v>0</v>
      </c>
      <c r="H57" s="21">
        <f>Data!BE57</f>
        <v>1086</v>
      </c>
      <c r="I57" s="13">
        <f t="shared" si="3"/>
        <v>4</v>
      </c>
      <c r="J57" s="3">
        <f>Data!BR57</f>
        <v>0</v>
      </c>
      <c r="K57" s="32">
        <f t="shared" si="8"/>
        <v>4</v>
      </c>
      <c r="M57" s="22">
        <f t="shared" ref="M57:N72" si="12">J57+M56</f>
        <v>0</v>
      </c>
      <c r="N57" s="22">
        <f t="shared" si="12"/>
        <v>159.39999999999998</v>
      </c>
      <c r="P57" s="24">
        <f t="shared" si="4"/>
        <v>0.32607918968692456</v>
      </c>
      <c r="Q57" s="24">
        <f t="shared" si="1"/>
        <v>0.32607918968692456</v>
      </c>
      <c r="R57" s="21">
        <f t="shared" si="5"/>
        <v>354.12200000000007</v>
      </c>
      <c r="S57" s="22">
        <f t="shared" si="2"/>
        <v>4</v>
      </c>
      <c r="T57" s="22">
        <f t="shared" si="6"/>
        <v>0</v>
      </c>
    </row>
    <row r="58" spans="1:20" x14ac:dyDescent="0.2">
      <c r="A58" s="14">
        <f t="shared" si="7"/>
        <v>38769</v>
      </c>
      <c r="B58" s="1">
        <v>52</v>
      </c>
      <c r="C58" s="16">
        <f>ROUND(Data!BI58,2)</f>
        <v>2.33</v>
      </c>
      <c r="D58" s="3">
        <f>ROUND(Data!O58,1)</f>
        <v>-4.3</v>
      </c>
      <c r="E58" s="3">
        <f>ROUND(Data!AA58,1)</f>
        <v>-7.8</v>
      </c>
      <c r="F58" s="3">
        <f>Data!BN58</f>
        <v>77.2</v>
      </c>
      <c r="G58" s="3">
        <f>Data!N58</f>
        <v>0</v>
      </c>
      <c r="H58" s="21">
        <f>Data!BE58</f>
        <v>1115</v>
      </c>
      <c r="I58" s="13">
        <f t="shared" si="3"/>
        <v>3.8</v>
      </c>
      <c r="J58" s="3">
        <f>Data!BR58</f>
        <v>0</v>
      </c>
      <c r="K58" s="32">
        <f t="shared" si="8"/>
        <v>3.8</v>
      </c>
      <c r="M58" s="22">
        <f t="shared" si="12"/>
        <v>0</v>
      </c>
      <c r="N58" s="22">
        <f t="shared" si="12"/>
        <v>163.19999999999999</v>
      </c>
      <c r="P58" s="24">
        <f t="shared" si="4"/>
        <v>0.3210062780269059</v>
      </c>
      <c r="Q58" s="24">
        <f t="shared" si="1"/>
        <v>0.3210062780269059</v>
      </c>
      <c r="R58" s="21">
        <f t="shared" si="5"/>
        <v>357.92200000000008</v>
      </c>
      <c r="S58" s="22">
        <f t="shared" si="2"/>
        <v>3.8000000000000114</v>
      </c>
      <c r="T58" s="22">
        <f t="shared" si="6"/>
        <v>-1.1546319456101628E-14</v>
      </c>
    </row>
    <row r="59" spans="1:20" x14ac:dyDescent="0.2">
      <c r="A59" s="14">
        <f t="shared" si="7"/>
        <v>38770</v>
      </c>
      <c r="B59" s="1">
        <v>53</v>
      </c>
      <c r="C59" s="16">
        <f>ROUND(Data!BI59,2)</f>
        <v>6.93</v>
      </c>
      <c r="D59" s="3">
        <f>ROUND(Data!O59,1)</f>
        <v>-4.5999999999999996</v>
      </c>
      <c r="E59" s="3">
        <f>ROUND(Data!AA59,1)</f>
        <v>-7.9</v>
      </c>
      <c r="F59" s="3">
        <f>Data!BN59</f>
        <v>40.6</v>
      </c>
      <c r="G59" s="3">
        <f>Data!N59</f>
        <v>0</v>
      </c>
      <c r="H59" s="21">
        <f>Data!BE59</f>
        <v>1200</v>
      </c>
      <c r="I59" s="13">
        <f t="shared" si="3"/>
        <v>11.1</v>
      </c>
      <c r="J59" s="3">
        <f>Data!BR59</f>
        <v>0</v>
      </c>
      <c r="K59" s="32">
        <f t="shared" si="8"/>
        <v>11.1</v>
      </c>
      <c r="M59" s="22">
        <f t="shared" si="12"/>
        <v>0</v>
      </c>
      <c r="N59" s="22">
        <f t="shared" si="12"/>
        <v>174.29999999999998</v>
      </c>
      <c r="P59" s="24">
        <f t="shared" si="4"/>
        <v>0.30751833333333339</v>
      </c>
      <c r="Q59" s="24">
        <f t="shared" si="1"/>
        <v>0.30751833333333339</v>
      </c>
      <c r="R59" s="21">
        <f t="shared" si="5"/>
        <v>369.02200000000005</v>
      </c>
      <c r="S59" s="22">
        <f t="shared" si="2"/>
        <v>11.099999999999966</v>
      </c>
      <c r="T59" s="22">
        <f t="shared" si="6"/>
        <v>3.3750779948604759E-14</v>
      </c>
    </row>
    <row r="60" spans="1:20" x14ac:dyDescent="0.2">
      <c r="A60" s="14">
        <f t="shared" si="7"/>
        <v>38771</v>
      </c>
      <c r="B60" s="1">
        <v>54</v>
      </c>
      <c r="C60" s="16">
        <f>ROUND(Data!BI60,2)</f>
        <v>1.37</v>
      </c>
      <c r="D60" s="3">
        <f>ROUND(Data!O60,1)</f>
        <v>-5.8</v>
      </c>
      <c r="E60" s="3">
        <f>ROUND(Data!AA60,1)</f>
        <v>-11.5</v>
      </c>
      <c r="F60" s="3">
        <f>Data!BN60</f>
        <v>69.900000000000006</v>
      </c>
      <c r="G60" s="3">
        <f>Data!N60</f>
        <v>0</v>
      </c>
      <c r="H60" s="21">
        <f>Data!BE60</f>
        <v>1251</v>
      </c>
      <c r="I60" s="13">
        <f t="shared" si="3"/>
        <v>6.6</v>
      </c>
      <c r="J60" s="3">
        <f>Data!BR60</f>
        <v>0</v>
      </c>
      <c r="K60" s="32">
        <f t="shared" si="8"/>
        <v>6.6</v>
      </c>
      <c r="M60" s="22">
        <f t="shared" si="12"/>
        <v>0</v>
      </c>
      <c r="N60" s="22">
        <f t="shared" si="12"/>
        <v>180.89999999999998</v>
      </c>
      <c r="P60" s="24">
        <f t="shared" si="4"/>
        <v>0.30025739408473229</v>
      </c>
      <c r="Q60" s="24">
        <f t="shared" si="1"/>
        <v>0.30025739408473229</v>
      </c>
      <c r="R60" s="21">
        <f t="shared" si="5"/>
        <v>375.62200000000007</v>
      </c>
      <c r="S60" s="22">
        <f t="shared" si="2"/>
        <v>6.6000000000000227</v>
      </c>
      <c r="T60" s="22">
        <f t="shared" si="6"/>
        <v>-2.3092638912203256E-14</v>
      </c>
    </row>
    <row r="61" spans="1:20" x14ac:dyDescent="0.2">
      <c r="A61" s="14">
        <f t="shared" si="7"/>
        <v>38772</v>
      </c>
      <c r="B61" s="1">
        <v>55</v>
      </c>
      <c r="C61" s="16">
        <f>ROUND(Data!BI61,2)</f>
        <v>4.3899999999999997</v>
      </c>
      <c r="D61" s="3">
        <f>ROUND(Data!O61,1)</f>
        <v>-7.9</v>
      </c>
      <c r="E61" s="3">
        <f>ROUND(Data!AA61,1)</f>
        <v>-24.6</v>
      </c>
      <c r="F61" s="3">
        <f>Data!BN61</f>
        <v>49.4</v>
      </c>
      <c r="G61" s="3">
        <f>Data!N61</f>
        <v>0</v>
      </c>
      <c r="H61" s="21">
        <f>Data!BE61</f>
        <v>1220</v>
      </c>
      <c r="I61" s="13">
        <f t="shared" si="3"/>
        <v>0</v>
      </c>
      <c r="J61" s="3">
        <f>Data!BR61</f>
        <v>0</v>
      </c>
      <c r="K61" s="32">
        <f t="shared" si="8"/>
        <v>0</v>
      </c>
      <c r="M61" s="22">
        <f t="shared" si="12"/>
        <v>0</v>
      </c>
      <c r="N61" s="22">
        <f t="shared" si="12"/>
        <v>180.89999999999998</v>
      </c>
      <c r="P61" s="24">
        <f t="shared" si="4"/>
        <v>0.30788688524590169</v>
      </c>
      <c r="Q61" s="24">
        <f t="shared" si="1"/>
        <v>0.30788688524590169</v>
      </c>
      <c r="R61" s="21">
        <f t="shared" si="5"/>
        <v>375.62200000000007</v>
      </c>
      <c r="S61" s="22">
        <f t="shared" si="2"/>
        <v>0</v>
      </c>
      <c r="T61" s="22">
        <f t="shared" si="6"/>
        <v>0</v>
      </c>
    </row>
    <row r="62" spans="1:20" x14ac:dyDescent="0.2">
      <c r="A62" s="14">
        <f t="shared" si="7"/>
        <v>38773</v>
      </c>
      <c r="B62" s="1">
        <v>56</v>
      </c>
      <c r="C62" s="16">
        <f>ROUND(Data!BI62,2)</f>
        <v>3.78</v>
      </c>
      <c r="D62" s="3">
        <f>ROUND(Data!O62,1)</f>
        <v>-5.9</v>
      </c>
      <c r="E62" s="3">
        <f>ROUND(Data!AA62,1)</f>
        <v>-26.1</v>
      </c>
      <c r="F62" s="3">
        <f>Data!BN62</f>
        <v>38.9</v>
      </c>
      <c r="G62" s="3">
        <f>Data!N62</f>
        <v>0</v>
      </c>
      <c r="H62" s="21">
        <f>Data!BE62</f>
        <v>1194</v>
      </c>
      <c r="I62" s="13">
        <f t="shared" si="3"/>
        <v>0</v>
      </c>
      <c r="J62" s="3">
        <f>Data!BR62</f>
        <v>0</v>
      </c>
      <c r="K62" s="32">
        <f t="shared" si="8"/>
        <v>0</v>
      </c>
      <c r="M62" s="22">
        <f t="shared" si="12"/>
        <v>0</v>
      </c>
      <c r="N62" s="22">
        <f t="shared" si="12"/>
        <v>180.89999999999998</v>
      </c>
      <c r="P62" s="24">
        <f t="shared" si="4"/>
        <v>0.3145912897822446</v>
      </c>
      <c r="Q62" s="24">
        <f t="shared" si="1"/>
        <v>0.3145912897822446</v>
      </c>
      <c r="R62" s="21">
        <f t="shared" si="5"/>
        <v>375.62200000000007</v>
      </c>
      <c r="S62" s="22">
        <f t="shared" si="2"/>
        <v>0</v>
      </c>
      <c r="T62" s="22">
        <f t="shared" si="6"/>
        <v>0</v>
      </c>
    </row>
    <row r="63" spans="1:20" x14ac:dyDescent="0.2">
      <c r="A63" s="14">
        <f t="shared" si="7"/>
        <v>38774</v>
      </c>
      <c r="B63" s="1">
        <v>57</v>
      </c>
      <c r="C63" s="16">
        <f>ROUND(Data!BI63,2)</f>
        <v>0.66</v>
      </c>
      <c r="D63" s="3">
        <f>ROUND(Data!O63,1)</f>
        <v>-0.5</v>
      </c>
      <c r="E63" s="3">
        <f>ROUND(Data!AA63,1)</f>
        <v>-9.3000000000000007</v>
      </c>
      <c r="F63" s="3">
        <f>Data!BN63</f>
        <v>86.9</v>
      </c>
      <c r="G63" s="3">
        <f>Data!N63</f>
        <v>0</v>
      </c>
      <c r="H63" s="21">
        <f>Data!BE63</f>
        <v>1180</v>
      </c>
      <c r="I63" s="13">
        <f t="shared" si="3"/>
        <v>0</v>
      </c>
      <c r="J63" s="3">
        <f>Data!BR63</f>
        <v>0</v>
      </c>
      <c r="K63" s="32">
        <f t="shared" si="8"/>
        <v>0</v>
      </c>
      <c r="M63" s="22">
        <f t="shared" si="12"/>
        <v>0</v>
      </c>
      <c r="N63" s="22">
        <f t="shared" si="12"/>
        <v>180.89999999999998</v>
      </c>
      <c r="P63" s="24">
        <f t="shared" si="4"/>
        <v>0.31832372881355936</v>
      </c>
      <c r="Q63" s="24">
        <f t="shared" si="1"/>
        <v>0.31832372881355936</v>
      </c>
      <c r="R63" s="21">
        <f t="shared" si="5"/>
        <v>375.62200000000007</v>
      </c>
      <c r="S63" s="22">
        <f t="shared" si="2"/>
        <v>0</v>
      </c>
      <c r="T63" s="22">
        <f t="shared" si="6"/>
        <v>0</v>
      </c>
    </row>
    <row r="64" spans="1:20" x14ac:dyDescent="0.2">
      <c r="A64" s="14">
        <f t="shared" si="7"/>
        <v>38775</v>
      </c>
      <c r="B64" s="1">
        <v>58</v>
      </c>
      <c r="C64" s="16">
        <f>ROUND(Data!BI64,2)</f>
        <v>8.02</v>
      </c>
      <c r="D64" s="3">
        <f>ROUND(Data!O64,1)</f>
        <v>4.7</v>
      </c>
      <c r="E64" s="3">
        <f>ROUND(Data!AA64,1)</f>
        <v>-1.3</v>
      </c>
      <c r="F64" s="3">
        <f>Data!BN64</f>
        <v>60.6</v>
      </c>
      <c r="G64" s="3">
        <f>Data!N64</f>
        <v>4</v>
      </c>
      <c r="H64" s="21">
        <f>Data!BE64</f>
        <v>1172</v>
      </c>
      <c r="I64" s="13">
        <f t="shared" si="3"/>
        <v>0</v>
      </c>
      <c r="J64" s="3">
        <f>Data!BR64</f>
        <v>0</v>
      </c>
      <c r="K64" s="32">
        <f t="shared" si="8"/>
        <v>0</v>
      </c>
      <c r="M64" s="22">
        <f t="shared" si="12"/>
        <v>0</v>
      </c>
      <c r="N64" s="22">
        <f t="shared" si="12"/>
        <v>180.89999999999998</v>
      </c>
      <c r="P64" s="24">
        <f t="shared" si="4"/>
        <v>0.32049658703071676</v>
      </c>
      <c r="Q64" s="24">
        <f t="shared" si="1"/>
        <v>0.32049658703071676</v>
      </c>
      <c r="R64" s="21">
        <f t="shared" si="5"/>
        <v>375.62200000000007</v>
      </c>
      <c r="S64" s="22">
        <f t="shared" si="2"/>
        <v>0</v>
      </c>
      <c r="T64" s="22">
        <f t="shared" si="6"/>
        <v>0</v>
      </c>
    </row>
    <row r="65" spans="1:20" x14ac:dyDescent="0.2">
      <c r="A65" s="14">
        <f t="shared" si="7"/>
        <v>38776</v>
      </c>
      <c r="B65" s="1">
        <v>59</v>
      </c>
      <c r="C65" s="16">
        <f>ROUND(Data!BI65,2)</f>
        <v>0.97</v>
      </c>
      <c r="D65" s="3">
        <f>ROUND(Data!O65,1)</f>
        <v>0.5</v>
      </c>
      <c r="E65" s="3">
        <f>ROUND(Data!AA65,1)</f>
        <v>-7.5</v>
      </c>
      <c r="F65" s="3">
        <f>Data!BN65</f>
        <v>70.400000000000006</v>
      </c>
      <c r="G65" s="3">
        <f>Data!N65</f>
        <v>0</v>
      </c>
      <c r="H65" s="21">
        <f>Data!BE65</f>
        <v>1242</v>
      </c>
      <c r="I65" s="13">
        <f t="shared" si="3"/>
        <v>9.1</v>
      </c>
      <c r="J65" s="3">
        <f>Data!BR65</f>
        <v>0</v>
      </c>
      <c r="K65" s="32">
        <f t="shared" si="8"/>
        <v>9.1</v>
      </c>
      <c r="M65" s="22">
        <f t="shared" si="12"/>
        <v>0</v>
      </c>
      <c r="N65" s="22">
        <f t="shared" si="12"/>
        <v>189.99999999999997</v>
      </c>
      <c r="P65" s="24">
        <f t="shared" si="4"/>
        <v>0.30976006441223841</v>
      </c>
      <c r="Q65" s="24">
        <f t="shared" si="1"/>
        <v>0.30976006441223841</v>
      </c>
      <c r="R65" s="21">
        <f t="shared" si="5"/>
        <v>384.72200000000009</v>
      </c>
      <c r="S65" s="22">
        <f t="shared" si="2"/>
        <v>9.1000000000000227</v>
      </c>
      <c r="T65" s="22">
        <f t="shared" si="6"/>
        <v>-2.3092638912203256E-14</v>
      </c>
    </row>
    <row r="66" spans="1:20" x14ac:dyDescent="0.2">
      <c r="A66" s="14">
        <f t="shared" si="7"/>
        <v>38777</v>
      </c>
      <c r="B66" s="1">
        <v>60</v>
      </c>
      <c r="C66" s="16">
        <f>ROUND(Data!BI66,2)</f>
        <v>8.59</v>
      </c>
      <c r="D66" s="3">
        <f>ROUND(Data!O66,1)</f>
        <v>0.8</v>
      </c>
      <c r="E66" s="3">
        <f>ROUND(Data!AA66,1)</f>
        <v>-13.2</v>
      </c>
      <c r="F66" s="3">
        <f>Data!BN66</f>
        <v>57</v>
      </c>
      <c r="G66" s="3">
        <f>Data!N66</f>
        <v>0</v>
      </c>
      <c r="H66" s="21">
        <f>Data!BE66</f>
        <v>1213</v>
      </c>
      <c r="I66" s="13">
        <f t="shared" si="3"/>
        <v>0</v>
      </c>
      <c r="J66" s="3">
        <f>Data!BR66</f>
        <v>0</v>
      </c>
      <c r="K66" s="32">
        <f t="shared" si="8"/>
        <v>0</v>
      </c>
      <c r="M66" s="22">
        <f t="shared" si="12"/>
        <v>0</v>
      </c>
      <c r="N66" s="22">
        <f t="shared" si="12"/>
        <v>189.99999999999997</v>
      </c>
      <c r="P66" s="24">
        <f t="shared" si="4"/>
        <v>0.31716570486397372</v>
      </c>
      <c r="Q66" s="24">
        <f t="shared" si="1"/>
        <v>0.31716570486397372</v>
      </c>
      <c r="R66" s="21">
        <f t="shared" si="5"/>
        <v>384.72200000000009</v>
      </c>
      <c r="S66" s="22">
        <f t="shared" si="2"/>
        <v>0</v>
      </c>
      <c r="T66" s="22">
        <f t="shared" si="6"/>
        <v>0</v>
      </c>
    </row>
    <row r="67" spans="1:20" x14ac:dyDescent="0.2">
      <c r="A67" s="14">
        <f t="shared" si="7"/>
        <v>38778</v>
      </c>
      <c r="B67" s="1">
        <v>61</v>
      </c>
      <c r="C67" s="16">
        <f>ROUND(Data!BI67,2)</f>
        <v>6.2</v>
      </c>
      <c r="D67" s="3">
        <f>ROUND(Data!O67,1)</f>
        <v>3.7</v>
      </c>
      <c r="E67" s="3">
        <f>ROUND(Data!AA67,1)</f>
        <v>-11.9</v>
      </c>
      <c r="F67" s="3">
        <f>Data!BN67</f>
        <v>43.3</v>
      </c>
      <c r="G67" s="3">
        <f>Data!N67</f>
        <v>0</v>
      </c>
      <c r="H67" s="21">
        <f>Data!BE67</f>
        <v>1286</v>
      </c>
      <c r="I67" s="13">
        <f t="shared" si="3"/>
        <v>9.5</v>
      </c>
      <c r="J67" s="3">
        <f>Data!BR67</f>
        <v>0</v>
      </c>
      <c r="K67" s="32">
        <f t="shared" si="8"/>
        <v>9.5</v>
      </c>
      <c r="M67" s="22">
        <f t="shared" si="12"/>
        <v>0</v>
      </c>
      <c r="N67" s="22">
        <f t="shared" si="12"/>
        <v>199.49999999999997</v>
      </c>
      <c r="P67" s="24">
        <f t="shared" si="4"/>
        <v>0.3065489891135304</v>
      </c>
      <c r="Q67" s="24">
        <f t="shared" si="1"/>
        <v>0.3065489891135304</v>
      </c>
      <c r="R67" s="21">
        <f t="shared" si="5"/>
        <v>394.22200000000009</v>
      </c>
      <c r="S67" s="22">
        <f t="shared" si="2"/>
        <v>9.5</v>
      </c>
      <c r="T67" s="22">
        <f t="shared" si="6"/>
        <v>0</v>
      </c>
    </row>
    <row r="68" spans="1:20" x14ac:dyDescent="0.2">
      <c r="A68" s="14">
        <f t="shared" si="7"/>
        <v>38779</v>
      </c>
      <c r="B68" s="1">
        <v>62</v>
      </c>
      <c r="C68" s="16">
        <f>ROUND(Data!BI68,2)</f>
        <v>9.91</v>
      </c>
      <c r="D68" s="3">
        <f>ROUND(Data!O68,1)</f>
        <v>1.4</v>
      </c>
      <c r="E68" s="3">
        <f>ROUND(Data!AA68,1)</f>
        <v>-17.899999999999999</v>
      </c>
      <c r="F68" s="3">
        <f>Data!BN68</f>
        <v>44.5</v>
      </c>
      <c r="G68" s="3">
        <f>Data!N68</f>
        <v>0</v>
      </c>
      <c r="H68" s="21">
        <f>Data!BE68</f>
        <v>1253</v>
      </c>
      <c r="I68" s="13">
        <f t="shared" si="3"/>
        <v>0</v>
      </c>
      <c r="J68" s="3">
        <f>Data!BR68</f>
        <v>0</v>
      </c>
      <c r="K68" s="32">
        <f t="shared" si="8"/>
        <v>0</v>
      </c>
      <c r="M68" s="22">
        <f t="shared" si="12"/>
        <v>0</v>
      </c>
      <c r="N68" s="22">
        <f t="shared" si="12"/>
        <v>199.49999999999997</v>
      </c>
      <c r="P68" s="24">
        <f t="shared" si="4"/>
        <v>0.31462250598563457</v>
      </c>
      <c r="Q68" s="24">
        <f t="shared" si="1"/>
        <v>0.31462250598563457</v>
      </c>
      <c r="R68" s="21">
        <f t="shared" si="5"/>
        <v>394.22200000000009</v>
      </c>
      <c r="S68" s="22">
        <f t="shared" si="2"/>
        <v>0</v>
      </c>
      <c r="T68" s="22">
        <f t="shared" si="6"/>
        <v>0</v>
      </c>
    </row>
    <row r="69" spans="1:20" x14ac:dyDescent="0.2">
      <c r="A69" s="14">
        <f t="shared" si="7"/>
        <v>38780</v>
      </c>
      <c r="B69" s="1">
        <v>63</v>
      </c>
      <c r="C69" s="16">
        <f>ROUND(Data!BI69,2)</f>
        <v>13.96</v>
      </c>
      <c r="D69" s="3">
        <f>ROUND(Data!O69,1)</f>
        <v>2.2999999999999998</v>
      </c>
      <c r="E69" s="3">
        <f>ROUND(Data!AA69,1)</f>
        <v>-18.600000000000001</v>
      </c>
      <c r="F69" s="3">
        <f>Data!BN69</f>
        <v>28.1</v>
      </c>
      <c r="G69" s="3">
        <f>Data!N69</f>
        <v>0</v>
      </c>
      <c r="H69" s="21">
        <f>Data!BE69</f>
        <v>1237</v>
      </c>
      <c r="I69" s="13">
        <f t="shared" si="3"/>
        <v>0</v>
      </c>
      <c r="J69" s="3">
        <f>Data!BR69</f>
        <v>0</v>
      </c>
      <c r="K69" s="32">
        <f t="shared" si="8"/>
        <v>0</v>
      </c>
      <c r="M69" s="22">
        <f t="shared" si="12"/>
        <v>0</v>
      </c>
      <c r="N69" s="22">
        <f t="shared" si="12"/>
        <v>199.49999999999997</v>
      </c>
      <c r="P69" s="24">
        <f t="shared" si="4"/>
        <v>0.31869199676637033</v>
      </c>
      <c r="Q69" s="24">
        <f t="shared" si="1"/>
        <v>0.31869199676637033</v>
      </c>
      <c r="R69" s="21">
        <f t="shared" si="5"/>
        <v>394.22200000000009</v>
      </c>
      <c r="S69" s="22">
        <f t="shared" si="2"/>
        <v>0</v>
      </c>
      <c r="T69" s="22">
        <f t="shared" si="6"/>
        <v>0</v>
      </c>
    </row>
    <row r="70" spans="1:20" x14ac:dyDescent="0.2">
      <c r="A70" s="14">
        <f t="shared" si="7"/>
        <v>38781</v>
      </c>
      <c r="B70" s="1">
        <v>64</v>
      </c>
      <c r="C70" s="16">
        <f>ROUND(Data!BI70,2)</f>
        <v>7.68</v>
      </c>
      <c r="D70" s="3">
        <f>ROUND(Data!O70,1)</f>
        <v>1.9</v>
      </c>
      <c r="E70" s="3">
        <f>ROUND(Data!AA70,1)</f>
        <v>-14.4</v>
      </c>
      <c r="F70" s="3">
        <f>Data!BN70</f>
        <v>41</v>
      </c>
      <c r="G70" s="3">
        <f>Data!N70</f>
        <v>0</v>
      </c>
      <c r="H70" s="21">
        <f>Data!BE70</f>
        <v>1290</v>
      </c>
      <c r="I70" s="13">
        <f t="shared" si="3"/>
        <v>6.9</v>
      </c>
      <c r="J70" s="3">
        <f>Data!BR70</f>
        <v>0</v>
      </c>
      <c r="K70" s="32">
        <f t="shared" si="8"/>
        <v>6.9</v>
      </c>
      <c r="M70" s="22">
        <f t="shared" si="12"/>
        <v>0</v>
      </c>
      <c r="N70" s="22">
        <f t="shared" si="12"/>
        <v>206.39999999999998</v>
      </c>
      <c r="P70" s="24">
        <f t="shared" si="4"/>
        <v>0.31094728682170547</v>
      </c>
      <c r="Q70" s="24">
        <f t="shared" si="1"/>
        <v>0.31094728682170547</v>
      </c>
      <c r="R70" s="21">
        <f t="shared" si="5"/>
        <v>401.12200000000007</v>
      </c>
      <c r="S70" s="22">
        <f t="shared" si="2"/>
        <v>6.8999999999999773</v>
      </c>
      <c r="T70" s="22">
        <f t="shared" si="6"/>
        <v>2.3092638912203256E-14</v>
      </c>
    </row>
    <row r="71" spans="1:20" x14ac:dyDescent="0.2">
      <c r="A71" s="14">
        <f t="shared" si="7"/>
        <v>38782</v>
      </c>
      <c r="B71" s="1">
        <v>65</v>
      </c>
      <c r="C71" s="16">
        <f>ROUND(Data!BI71,2)</f>
        <v>6.97</v>
      </c>
      <c r="D71" s="3">
        <f>ROUND(Data!O71,1)</f>
        <v>3.5</v>
      </c>
      <c r="E71" s="3">
        <f>ROUND(Data!AA71,1)</f>
        <v>-3.9</v>
      </c>
      <c r="F71" s="3">
        <f>Data!BN71</f>
        <v>61.9</v>
      </c>
      <c r="G71" s="3">
        <f>Data!N71</f>
        <v>0</v>
      </c>
      <c r="H71" s="21">
        <f>Data!BE71</f>
        <v>1249</v>
      </c>
      <c r="I71" s="13">
        <f t="shared" si="3"/>
        <v>0</v>
      </c>
      <c r="J71" s="3">
        <f>Data!BR71</f>
        <v>0</v>
      </c>
      <c r="K71" s="32">
        <f t="shared" si="8"/>
        <v>0</v>
      </c>
      <c r="M71" s="22">
        <f t="shared" si="12"/>
        <v>0</v>
      </c>
      <c r="N71" s="22">
        <f t="shared" si="12"/>
        <v>206.39999999999998</v>
      </c>
      <c r="P71" s="24">
        <f t="shared" si="4"/>
        <v>0.32115452361889518</v>
      </c>
      <c r="Q71" s="24">
        <f t="shared" ref="Q71:Q134" si="13">IF(P71&gt;Q$1,Q$1,P71)</f>
        <v>0.32115452361889518</v>
      </c>
      <c r="R71" s="21">
        <f t="shared" si="5"/>
        <v>401.12200000000007</v>
      </c>
      <c r="S71" s="22">
        <f t="shared" ref="S71:S134" si="14">R71-R70</f>
        <v>0</v>
      </c>
      <c r="T71" s="22">
        <f t="shared" si="6"/>
        <v>0</v>
      </c>
    </row>
    <row r="72" spans="1:20" x14ac:dyDescent="0.2">
      <c r="A72" s="14">
        <f t="shared" si="7"/>
        <v>38783</v>
      </c>
      <c r="B72" s="1">
        <v>66</v>
      </c>
      <c r="C72" s="16">
        <f>ROUND(Data!BI72,2)</f>
        <v>7.02</v>
      </c>
      <c r="D72" s="3">
        <f>ROUND(Data!O72,1)</f>
        <v>1.2</v>
      </c>
      <c r="E72" s="3">
        <f>ROUND(Data!AA72,1)</f>
        <v>-5.8</v>
      </c>
      <c r="F72" s="3">
        <f>Data!BN72</f>
        <v>65.5</v>
      </c>
      <c r="G72" s="3">
        <f>Data!N72</f>
        <v>0</v>
      </c>
      <c r="H72" s="21">
        <f>Data!BE72</f>
        <v>1215</v>
      </c>
      <c r="I72" s="13">
        <f t="shared" ref="I72:I135" si="15">IF(H72&gt;H71,ROUND((H72-H71)*I$1,1),0)</f>
        <v>0</v>
      </c>
      <c r="J72" s="3">
        <f>Data!BR72</f>
        <v>1</v>
      </c>
      <c r="K72" s="32">
        <f t="shared" si="8"/>
        <v>0</v>
      </c>
      <c r="M72" s="22">
        <f t="shared" si="12"/>
        <v>1</v>
      </c>
      <c r="N72" s="22">
        <f t="shared" si="12"/>
        <v>206.39999999999998</v>
      </c>
      <c r="P72" s="24">
        <f t="shared" ref="P72:P135" si="16">(R71+K72)/H72</f>
        <v>0.33014156378600829</v>
      </c>
      <c r="Q72" s="24">
        <f t="shared" si="13"/>
        <v>0.33014156378600829</v>
      </c>
      <c r="R72" s="21">
        <f t="shared" ref="R72:R135" si="17">Q72*H72</f>
        <v>401.12200000000007</v>
      </c>
      <c r="S72" s="22">
        <f t="shared" si="14"/>
        <v>0</v>
      </c>
      <c r="T72" s="22">
        <f t="shared" ref="T72:T135" si="18">K72-S72</f>
        <v>0</v>
      </c>
    </row>
    <row r="73" spans="1:20" x14ac:dyDescent="0.2">
      <c r="A73" s="14">
        <f t="shared" ref="A73:A136" si="19">A72+1</f>
        <v>38784</v>
      </c>
      <c r="B73" s="1">
        <v>67</v>
      </c>
      <c r="C73" s="16">
        <f>ROUND(Data!BI73,2)</f>
        <v>2.1800000000000002</v>
      </c>
      <c r="D73" s="3">
        <f>ROUND(Data!O73,1)</f>
        <v>-3.1</v>
      </c>
      <c r="E73" s="3">
        <f>ROUND(Data!AA73,1)</f>
        <v>-6.3</v>
      </c>
      <c r="F73" s="3">
        <f>Data!BN73</f>
        <v>73.8</v>
      </c>
      <c r="G73" s="3">
        <f>Data!N73</f>
        <v>0</v>
      </c>
      <c r="H73" s="21">
        <f>Data!BE73</f>
        <v>1328</v>
      </c>
      <c r="I73" s="13">
        <f t="shared" si="15"/>
        <v>14.7</v>
      </c>
      <c r="J73" s="3">
        <f>Data!BR73</f>
        <v>0</v>
      </c>
      <c r="K73" s="32">
        <f t="shared" ref="K73:K124" si="20">I73</f>
        <v>14.7</v>
      </c>
      <c r="M73" s="22">
        <f t="shared" ref="M73:N88" si="21">J73+M72</f>
        <v>1</v>
      </c>
      <c r="N73" s="22">
        <f t="shared" si="21"/>
        <v>221.09999999999997</v>
      </c>
      <c r="P73" s="24">
        <f t="shared" si="16"/>
        <v>0.31311897590361448</v>
      </c>
      <c r="Q73" s="24">
        <f t="shared" si="13"/>
        <v>0.31311897590361448</v>
      </c>
      <c r="R73" s="21">
        <f t="shared" si="17"/>
        <v>415.82200000000006</v>
      </c>
      <c r="S73" s="22">
        <f t="shared" si="14"/>
        <v>14.699999999999989</v>
      </c>
      <c r="T73" s="22">
        <f t="shared" si="18"/>
        <v>0</v>
      </c>
    </row>
    <row r="74" spans="1:20" x14ac:dyDescent="0.2">
      <c r="A74" s="14">
        <f t="shared" si="19"/>
        <v>38785</v>
      </c>
      <c r="B74" s="1">
        <v>68</v>
      </c>
      <c r="C74" s="16">
        <f>ROUND(Data!BI74,2)</f>
        <v>13.32</v>
      </c>
      <c r="D74" s="3">
        <f>ROUND(Data!O74,1)</f>
        <v>-4.5999999999999996</v>
      </c>
      <c r="E74" s="3">
        <f>ROUND(Data!AA74,1)</f>
        <v>-14.8</v>
      </c>
      <c r="F74" s="3">
        <f>Data!BN74</f>
        <v>46</v>
      </c>
      <c r="G74" s="3">
        <f>Data!N74</f>
        <v>0</v>
      </c>
      <c r="H74" s="21">
        <f>Data!BE74</f>
        <v>1356</v>
      </c>
      <c r="I74" s="13">
        <f t="shared" si="15"/>
        <v>3.6</v>
      </c>
      <c r="J74" s="3">
        <f>Data!BR74</f>
        <v>5.6</v>
      </c>
      <c r="K74" s="32">
        <f t="shared" si="20"/>
        <v>3.6</v>
      </c>
      <c r="M74" s="22">
        <f t="shared" si="21"/>
        <v>6.6</v>
      </c>
      <c r="N74" s="22">
        <f t="shared" si="21"/>
        <v>224.69999999999996</v>
      </c>
      <c r="P74" s="24">
        <f t="shared" si="16"/>
        <v>0.30930825958702068</v>
      </c>
      <c r="Q74" s="24">
        <f t="shared" si="13"/>
        <v>0.30930825958702068</v>
      </c>
      <c r="R74" s="21">
        <f t="shared" si="17"/>
        <v>419.42200000000003</v>
      </c>
      <c r="S74" s="22">
        <f t="shared" si="14"/>
        <v>3.5999999999999659</v>
      </c>
      <c r="T74" s="22">
        <f t="shared" si="18"/>
        <v>3.4194869158454821E-14</v>
      </c>
    </row>
    <row r="75" spans="1:20" x14ac:dyDescent="0.2">
      <c r="A75" s="14">
        <f t="shared" si="19"/>
        <v>38786</v>
      </c>
      <c r="B75" s="1">
        <v>69</v>
      </c>
      <c r="C75" s="16">
        <f>ROUND(Data!BI75,2)</f>
        <v>9.7200000000000006</v>
      </c>
      <c r="D75" s="3">
        <f>ROUND(Data!O75,1)</f>
        <v>-2.5</v>
      </c>
      <c r="E75" s="3">
        <f>ROUND(Data!AA75,1)</f>
        <v>-22.1</v>
      </c>
      <c r="F75" s="3">
        <f>Data!BN75</f>
        <v>50.4</v>
      </c>
      <c r="G75" s="3">
        <f>Data!N75</f>
        <v>0</v>
      </c>
      <c r="H75" s="21">
        <f>Data!BE75</f>
        <v>1308</v>
      </c>
      <c r="I75" s="13">
        <f t="shared" si="15"/>
        <v>0</v>
      </c>
      <c r="J75" s="3">
        <f>Data!BR75</f>
        <v>1.4</v>
      </c>
      <c r="K75" s="32">
        <f t="shared" si="20"/>
        <v>0</v>
      </c>
      <c r="M75" s="22">
        <f t="shared" si="21"/>
        <v>8</v>
      </c>
      <c r="N75" s="22">
        <f t="shared" si="21"/>
        <v>224.69999999999996</v>
      </c>
      <c r="P75" s="24">
        <f t="shared" si="16"/>
        <v>0.32065902140672786</v>
      </c>
      <c r="Q75" s="24">
        <f t="shared" si="13"/>
        <v>0.32065902140672786</v>
      </c>
      <c r="R75" s="21">
        <f t="shared" si="17"/>
        <v>419.42200000000003</v>
      </c>
      <c r="S75" s="22">
        <f t="shared" si="14"/>
        <v>0</v>
      </c>
      <c r="T75" s="22">
        <f t="shared" si="18"/>
        <v>0</v>
      </c>
    </row>
    <row r="76" spans="1:20" x14ac:dyDescent="0.2">
      <c r="A76" s="14">
        <f t="shared" si="19"/>
        <v>38787</v>
      </c>
      <c r="B76" s="1">
        <v>70</v>
      </c>
      <c r="C76" s="16">
        <f>ROUND(Data!BI76,2)</f>
        <v>10.97</v>
      </c>
      <c r="D76" s="3">
        <f>ROUND(Data!O76,1)</f>
        <v>-2.5</v>
      </c>
      <c r="E76" s="3">
        <f>ROUND(Data!AA76,1)</f>
        <v>-22.5</v>
      </c>
      <c r="F76" s="3">
        <f>Data!BN76</f>
        <v>30.1</v>
      </c>
      <c r="G76" s="3">
        <f>Data!N76</f>
        <v>0</v>
      </c>
      <c r="H76" s="21">
        <f>Data!BE76</f>
        <v>1290</v>
      </c>
      <c r="I76" s="13">
        <f t="shared" si="15"/>
        <v>0</v>
      </c>
      <c r="J76" s="3">
        <f>Data!BR76</f>
        <v>0</v>
      </c>
      <c r="K76" s="32">
        <f t="shared" si="20"/>
        <v>0</v>
      </c>
      <c r="M76" s="22">
        <f t="shared" si="21"/>
        <v>8</v>
      </c>
      <c r="N76" s="22">
        <f t="shared" si="21"/>
        <v>224.69999999999996</v>
      </c>
      <c r="P76" s="24">
        <f t="shared" si="16"/>
        <v>0.32513333333333333</v>
      </c>
      <c r="Q76" s="24">
        <f t="shared" si="13"/>
        <v>0.32513333333333333</v>
      </c>
      <c r="R76" s="21">
        <f t="shared" si="17"/>
        <v>419.42199999999997</v>
      </c>
      <c r="S76" s="22">
        <f t="shared" si="14"/>
        <v>0</v>
      </c>
      <c r="T76" s="22">
        <f t="shared" si="18"/>
        <v>0</v>
      </c>
    </row>
    <row r="77" spans="1:20" x14ac:dyDescent="0.2">
      <c r="A77" s="14">
        <f t="shared" si="19"/>
        <v>38788</v>
      </c>
      <c r="B77" s="1">
        <v>71</v>
      </c>
      <c r="C77" s="16">
        <f>ROUND(Data!BI77,2)</f>
        <v>16.600000000000001</v>
      </c>
      <c r="D77" s="3">
        <f>ROUND(Data!O77,1)</f>
        <v>-1.9</v>
      </c>
      <c r="E77" s="3">
        <f>ROUND(Data!AA77,1)</f>
        <v>-23.8</v>
      </c>
      <c r="F77" s="3">
        <f>Data!BN77</f>
        <v>24.9</v>
      </c>
      <c r="G77" s="3">
        <f>Data!N77</f>
        <v>0</v>
      </c>
      <c r="H77" s="21">
        <f>Data!BE77</f>
        <v>1280</v>
      </c>
      <c r="I77" s="13">
        <f t="shared" si="15"/>
        <v>0</v>
      </c>
      <c r="J77" s="3">
        <f>Data!BR77</f>
        <v>0</v>
      </c>
      <c r="K77" s="32">
        <f t="shared" si="20"/>
        <v>0</v>
      </c>
      <c r="M77" s="22">
        <f t="shared" si="21"/>
        <v>8</v>
      </c>
      <c r="N77" s="22">
        <f t="shared" si="21"/>
        <v>224.69999999999996</v>
      </c>
      <c r="P77" s="24">
        <f t="shared" si="16"/>
        <v>0.3276734375</v>
      </c>
      <c r="Q77" s="24">
        <f t="shared" si="13"/>
        <v>0.3276734375</v>
      </c>
      <c r="R77" s="21">
        <f t="shared" si="17"/>
        <v>419.42200000000003</v>
      </c>
      <c r="S77" s="22">
        <f t="shared" si="14"/>
        <v>0</v>
      </c>
      <c r="T77" s="22">
        <f t="shared" si="18"/>
        <v>0</v>
      </c>
    </row>
    <row r="78" spans="1:20" x14ac:dyDescent="0.2">
      <c r="A78" s="14">
        <f t="shared" si="19"/>
        <v>38789</v>
      </c>
      <c r="B78" s="1">
        <v>72</v>
      </c>
      <c r="C78" s="16">
        <f>ROUND(Data!BI78,2)</f>
        <v>10.25</v>
      </c>
      <c r="D78" s="3">
        <f>ROUND(Data!O78,1)</f>
        <v>-1.9</v>
      </c>
      <c r="E78" s="3">
        <f>ROUND(Data!AA78,1)</f>
        <v>-22.3</v>
      </c>
      <c r="F78" s="3">
        <f>Data!BN78</f>
        <v>42.7</v>
      </c>
      <c r="G78" s="3">
        <f>Data!N78</f>
        <v>0</v>
      </c>
      <c r="H78" s="21">
        <f>Data!BE78</f>
        <v>1260</v>
      </c>
      <c r="I78" s="13">
        <f t="shared" si="15"/>
        <v>0</v>
      </c>
      <c r="J78" s="3">
        <f>Data!BR78</f>
        <v>0</v>
      </c>
      <c r="K78" s="32">
        <f t="shared" si="20"/>
        <v>0</v>
      </c>
      <c r="M78" s="22">
        <f t="shared" si="21"/>
        <v>8</v>
      </c>
      <c r="N78" s="22">
        <f t="shared" si="21"/>
        <v>224.69999999999996</v>
      </c>
      <c r="P78" s="24">
        <f t="shared" si="16"/>
        <v>0.33287460317460321</v>
      </c>
      <c r="Q78" s="24">
        <f t="shared" si="13"/>
        <v>0.33287460317460321</v>
      </c>
      <c r="R78" s="21">
        <f t="shared" si="17"/>
        <v>419.42200000000003</v>
      </c>
      <c r="S78" s="22">
        <f t="shared" si="14"/>
        <v>0</v>
      </c>
      <c r="T78" s="22">
        <f t="shared" si="18"/>
        <v>0</v>
      </c>
    </row>
    <row r="79" spans="1:20" x14ac:dyDescent="0.2">
      <c r="A79" s="14">
        <f t="shared" si="19"/>
        <v>38790</v>
      </c>
      <c r="B79" s="1">
        <v>73</v>
      </c>
      <c r="C79" s="16">
        <f>ROUND(Data!BI79,2)</f>
        <v>7.87</v>
      </c>
      <c r="D79" s="3">
        <f>ROUND(Data!O79,1)</f>
        <v>0</v>
      </c>
      <c r="E79" s="3">
        <f>ROUND(Data!AA79,1)</f>
        <v>-10.5</v>
      </c>
      <c r="F79" s="3">
        <f>Data!BN79</f>
        <v>50.1</v>
      </c>
      <c r="G79" s="3">
        <f>Data!N79</f>
        <v>0</v>
      </c>
      <c r="H79" s="21">
        <f>Data!BE79</f>
        <v>1245</v>
      </c>
      <c r="I79" s="13">
        <f t="shared" si="15"/>
        <v>0</v>
      </c>
      <c r="J79" s="3">
        <f>Data!BR79</f>
        <v>0</v>
      </c>
      <c r="K79" s="32">
        <f t="shared" si="20"/>
        <v>0</v>
      </c>
      <c r="M79" s="22">
        <f t="shared" si="21"/>
        <v>8</v>
      </c>
      <c r="N79" s="22">
        <f t="shared" si="21"/>
        <v>224.69999999999996</v>
      </c>
      <c r="P79" s="24">
        <f t="shared" si="16"/>
        <v>0.336885140562249</v>
      </c>
      <c r="Q79" s="24">
        <f t="shared" si="13"/>
        <v>0.336885140562249</v>
      </c>
      <c r="R79" s="21">
        <f t="shared" si="17"/>
        <v>419.42200000000003</v>
      </c>
      <c r="S79" s="22">
        <f t="shared" si="14"/>
        <v>0</v>
      </c>
      <c r="T79" s="22">
        <f t="shared" si="18"/>
        <v>0</v>
      </c>
    </row>
    <row r="80" spans="1:20" x14ac:dyDescent="0.2">
      <c r="A80" s="14">
        <f t="shared" si="19"/>
        <v>38791</v>
      </c>
      <c r="B80" s="1">
        <v>74</v>
      </c>
      <c r="C80" s="16">
        <f>ROUND(Data!BI80,2)</f>
        <v>11.99</v>
      </c>
      <c r="D80" s="3">
        <f>ROUND(Data!O80,1)</f>
        <v>1</v>
      </c>
      <c r="E80" s="3">
        <f>ROUND(Data!AA80,1)</f>
        <v>-12.2</v>
      </c>
      <c r="F80" s="3">
        <f>Data!BN80</f>
        <v>42.6</v>
      </c>
      <c r="G80" s="3">
        <f>Data!N80</f>
        <v>0</v>
      </c>
      <c r="H80" s="21">
        <f>Data!BE80</f>
        <v>1281</v>
      </c>
      <c r="I80" s="13">
        <f t="shared" si="15"/>
        <v>4.7</v>
      </c>
      <c r="J80" s="3">
        <f>Data!BR80</f>
        <v>1</v>
      </c>
      <c r="K80" s="32">
        <f t="shared" si="20"/>
        <v>4.7</v>
      </c>
      <c r="M80" s="22">
        <f t="shared" si="21"/>
        <v>9</v>
      </c>
      <c r="N80" s="22">
        <f t="shared" si="21"/>
        <v>229.39999999999995</v>
      </c>
      <c r="P80" s="24">
        <f t="shared" si="16"/>
        <v>0.3310866510538642</v>
      </c>
      <c r="Q80" s="24">
        <f t="shared" si="13"/>
        <v>0.3310866510538642</v>
      </c>
      <c r="R80" s="21">
        <f t="shared" si="17"/>
        <v>424.12200000000001</v>
      </c>
      <c r="S80" s="22">
        <f t="shared" si="14"/>
        <v>4.6999999999999886</v>
      </c>
      <c r="T80" s="22">
        <f t="shared" si="18"/>
        <v>1.1546319456101628E-14</v>
      </c>
    </row>
    <row r="81" spans="1:20" x14ac:dyDescent="0.2">
      <c r="A81" s="14">
        <f t="shared" si="19"/>
        <v>38792</v>
      </c>
      <c r="B81" s="1">
        <v>75</v>
      </c>
      <c r="C81" s="16">
        <f>ROUND(Data!BI81,2)</f>
        <v>10.54</v>
      </c>
      <c r="D81" s="3">
        <f>ROUND(Data!O81,1)</f>
        <v>0.8</v>
      </c>
      <c r="E81" s="3">
        <f>ROUND(Data!AA81,1)</f>
        <v>-6.8</v>
      </c>
      <c r="F81" s="3">
        <f>Data!BN81</f>
        <v>56.6</v>
      </c>
      <c r="G81" s="3">
        <f>Data!N81</f>
        <v>0</v>
      </c>
      <c r="H81" s="21">
        <f>Data!BE81</f>
        <v>1267</v>
      </c>
      <c r="I81" s="13">
        <f t="shared" si="15"/>
        <v>0</v>
      </c>
      <c r="J81" s="3">
        <f>Data!BR81</f>
        <v>0</v>
      </c>
      <c r="K81" s="32">
        <f t="shared" si="20"/>
        <v>0</v>
      </c>
      <c r="M81" s="22">
        <f t="shared" si="21"/>
        <v>9</v>
      </c>
      <c r="N81" s="22">
        <f t="shared" si="21"/>
        <v>229.39999999999995</v>
      </c>
      <c r="P81" s="24">
        <f t="shared" si="16"/>
        <v>0.33474506708760854</v>
      </c>
      <c r="Q81" s="24">
        <f t="shared" si="13"/>
        <v>0.33474506708760854</v>
      </c>
      <c r="R81" s="21">
        <f t="shared" si="17"/>
        <v>424.12200000000001</v>
      </c>
      <c r="S81" s="22">
        <f t="shared" si="14"/>
        <v>0</v>
      </c>
      <c r="T81" s="22">
        <f t="shared" si="18"/>
        <v>0</v>
      </c>
    </row>
    <row r="82" spans="1:20" x14ac:dyDescent="0.2">
      <c r="A82" s="14">
        <f t="shared" si="19"/>
        <v>38793</v>
      </c>
      <c r="B82" s="1">
        <v>76</v>
      </c>
      <c r="C82" s="16">
        <f>ROUND(Data!BI82,2)</f>
        <v>5.55</v>
      </c>
      <c r="D82" s="3">
        <f>ROUND(Data!O82,1)</f>
        <v>0.9</v>
      </c>
      <c r="E82" s="3">
        <f>ROUND(Data!AA82,1)</f>
        <v>-5.7</v>
      </c>
      <c r="F82" s="3">
        <f>Data!BN82</f>
        <v>65.400000000000006</v>
      </c>
      <c r="G82" s="3">
        <f>Data!N82</f>
        <v>0</v>
      </c>
      <c r="H82" s="21">
        <f>Data!BE82</f>
        <v>1404</v>
      </c>
      <c r="I82" s="13">
        <f t="shared" si="15"/>
        <v>17.8</v>
      </c>
      <c r="J82" s="3">
        <f>Data!BR82</f>
        <v>5.2</v>
      </c>
      <c r="K82" s="32">
        <f t="shared" si="20"/>
        <v>17.8</v>
      </c>
      <c r="M82" s="22">
        <f t="shared" si="21"/>
        <v>14.2</v>
      </c>
      <c r="N82" s="22">
        <f t="shared" si="21"/>
        <v>247.19999999999996</v>
      </c>
      <c r="P82" s="24">
        <f t="shared" si="16"/>
        <v>0.31475925925925929</v>
      </c>
      <c r="Q82" s="24">
        <f t="shared" si="13"/>
        <v>0.31475925925925929</v>
      </c>
      <c r="R82" s="21">
        <f t="shared" si="17"/>
        <v>441.92200000000003</v>
      </c>
      <c r="S82" s="22">
        <f t="shared" si="14"/>
        <v>17.800000000000011</v>
      </c>
      <c r="T82" s="22">
        <f t="shared" si="18"/>
        <v>0</v>
      </c>
    </row>
    <row r="83" spans="1:20" x14ac:dyDescent="0.2">
      <c r="A83" s="14">
        <f t="shared" si="19"/>
        <v>38794</v>
      </c>
      <c r="B83" s="1">
        <v>77</v>
      </c>
      <c r="C83" s="16">
        <f>ROUND(Data!BI83,2)</f>
        <v>8.08</v>
      </c>
      <c r="D83" s="3">
        <f>ROUND(Data!O83,1)</f>
        <v>-0.6</v>
      </c>
      <c r="E83" s="3">
        <f>ROUND(Data!AA83,1)</f>
        <v>-14.7</v>
      </c>
      <c r="F83" s="3">
        <f>Data!BN83</f>
        <v>64.3</v>
      </c>
      <c r="G83" s="3">
        <f>Data!N83</f>
        <v>0</v>
      </c>
      <c r="H83" s="21">
        <f>Data!BE83</f>
        <v>1375</v>
      </c>
      <c r="I83" s="13">
        <f t="shared" si="15"/>
        <v>0</v>
      </c>
      <c r="J83" s="3">
        <f>Data!BR83</f>
        <v>7.6</v>
      </c>
      <c r="K83" s="32">
        <f t="shared" si="20"/>
        <v>0</v>
      </c>
      <c r="M83" s="22">
        <f t="shared" si="21"/>
        <v>21.799999999999997</v>
      </c>
      <c r="N83" s="22">
        <f t="shared" si="21"/>
        <v>247.19999999999996</v>
      </c>
      <c r="P83" s="24">
        <f t="shared" si="16"/>
        <v>0.32139781818181817</v>
      </c>
      <c r="Q83" s="24">
        <f t="shared" si="13"/>
        <v>0.32139781818181817</v>
      </c>
      <c r="R83" s="21">
        <f t="shared" si="17"/>
        <v>441.92199999999997</v>
      </c>
      <c r="S83" s="22">
        <f t="shared" si="14"/>
        <v>0</v>
      </c>
      <c r="T83" s="22">
        <f t="shared" si="18"/>
        <v>0</v>
      </c>
    </row>
    <row r="84" spans="1:20" x14ac:dyDescent="0.2">
      <c r="A84" s="14">
        <f t="shared" si="19"/>
        <v>38795</v>
      </c>
      <c r="B84" s="1">
        <v>78</v>
      </c>
      <c r="C84" s="16">
        <f>ROUND(Data!BI84,2)</f>
        <v>18.170000000000002</v>
      </c>
      <c r="D84" s="3">
        <f>ROUND(Data!O84,1)</f>
        <v>2.9</v>
      </c>
      <c r="E84" s="3">
        <f>ROUND(Data!AA84,1)</f>
        <v>-17.8</v>
      </c>
      <c r="F84" s="3">
        <f>Data!BN84</f>
        <v>52.9</v>
      </c>
      <c r="G84" s="3">
        <f>Data!N84</f>
        <v>0</v>
      </c>
      <c r="H84" s="21">
        <f>Data!BE84</f>
        <v>1319</v>
      </c>
      <c r="I84" s="13">
        <f t="shared" si="15"/>
        <v>0</v>
      </c>
      <c r="J84" s="3">
        <f>Data!BR84</f>
        <v>0</v>
      </c>
      <c r="K84" s="32">
        <f t="shared" si="20"/>
        <v>0</v>
      </c>
      <c r="M84" s="22">
        <f t="shared" si="21"/>
        <v>21.799999999999997</v>
      </c>
      <c r="N84" s="22">
        <f t="shared" si="21"/>
        <v>247.19999999999996</v>
      </c>
      <c r="P84" s="24">
        <f t="shared" si="16"/>
        <v>0.33504321455648217</v>
      </c>
      <c r="Q84" s="24">
        <f t="shared" si="13"/>
        <v>0.33504321455648217</v>
      </c>
      <c r="R84" s="21">
        <f t="shared" si="17"/>
        <v>441.92199999999997</v>
      </c>
      <c r="S84" s="22">
        <f t="shared" si="14"/>
        <v>0</v>
      </c>
      <c r="T84" s="22">
        <f t="shared" si="18"/>
        <v>0</v>
      </c>
    </row>
    <row r="85" spans="1:20" x14ac:dyDescent="0.2">
      <c r="A85" s="14">
        <f t="shared" si="19"/>
        <v>38796</v>
      </c>
      <c r="B85" s="1">
        <v>79</v>
      </c>
      <c r="C85" s="16">
        <f>ROUND(Data!BI85,2)</f>
        <v>11.69</v>
      </c>
      <c r="D85" s="3">
        <f>ROUND(Data!O85,1)</f>
        <v>3.7</v>
      </c>
      <c r="E85" s="3">
        <f>ROUND(Data!AA85,1)</f>
        <v>-15.9</v>
      </c>
      <c r="F85" s="3">
        <f>Data!BN85</f>
        <v>43.5</v>
      </c>
      <c r="G85" s="3">
        <f>Data!N85</f>
        <v>0</v>
      </c>
      <c r="H85" s="21">
        <f>Data!BE85</f>
        <v>1298</v>
      </c>
      <c r="I85" s="13">
        <f t="shared" si="15"/>
        <v>0</v>
      </c>
      <c r="J85" s="3">
        <f>Data!BR85</f>
        <v>0</v>
      </c>
      <c r="K85" s="32">
        <f t="shared" si="20"/>
        <v>0</v>
      </c>
      <c r="M85" s="22">
        <f t="shared" si="21"/>
        <v>21.799999999999997</v>
      </c>
      <c r="N85" s="22">
        <f t="shared" si="21"/>
        <v>247.19999999999996</v>
      </c>
      <c r="P85" s="24">
        <f t="shared" si="16"/>
        <v>0.34046379044684127</v>
      </c>
      <c r="Q85" s="24">
        <f t="shared" si="13"/>
        <v>0.34046379044684127</v>
      </c>
      <c r="R85" s="21">
        <f t="shared" si="17"/>
        <v>441.92199999999997</v>
      </c>
      <c r="S85" s="22">
        <f t="shared" si="14"/>
        <v>0</v>
      </c>
      <c r="T85" s="22">
        <f t="shared" si="18"/>
        <v>0</v>
      </c>
    </row>
    <row r="86" spans="1:20" x14ac:dyDescent="0.2">
      <c r="A86" s="14">
        <f t="shared" si="19"/>
        <v>38797</v>
      </c>
      <c r="B86" s="1">
        <v>80</v>
      </c>
      <c r="C86" s="16">
        <f>ROUND(Data!BI86,2)</f>
        <v>7.77</v>
      </c>
      <c r="D86" s="3">
        <f>ROUND(Data!O86,1)</f>
        <v>2.1</v>
      </c>
      <c r="E86" s="3">
        <f>ROUND(Data!AA86,1)</f>
        <v>-5.4</v>
      </c>
      <c r="F86" s="3">
        <f>Data!BN86</f>
        <v>49</v>
      </c>
      <c r="G86" s="3">
        <f>Data!N86</f>
        <v>0</v>
      </c>
      <c r="H86" s="21">
        <f>Data!BE86</f>
        <v>1291</v>
      </c>
      <c r="I86" s="13">
        <f t="shared" si="15"/>
        <v>0</v>
      </c>
      <c r="J86" s="3">
        <f>Data!BR86</f>
        <v>0</v>
      </c>
      <c r="K86" s="32">
        <f t="shared" si="20"/>
        <v>0</v>
      </c>
      <c r="M86" s="22">
        <f t="shared" si="21"/>
        <v>21.799999999999997</v>
      </c>
      <c r="N86" s="22">
        <f t="shared" si="21"/>
        <v>247.19999999999996</v>
      </c>
      <c r="P86" s="24">
        <f t="shared" si="16"/>
        <v>0.34230983733539888</v>
      </c>
      <c r="Q86" s="24">
        <f t="shared" si="13"/>
        <v>0.34230983733539888</v>
      </c>
      <c r="R86" s="21">
        <f t="shared" si="17"/>
        <v>441.92199999999997</v>
      </c>
      <c r="S86" s="22">
        <f t="shared" si="14"/>
        <v>0</v>
      </c>
      <c r="T86" s="22">
        <f t="shared" si="18"/>
        <v>0</v>
      </c>
    </row>
    <row r="87" spans="1:20" x14ac:dyDescent="0.2">
      <c r="A87" s="14">
        <f t="shared" si="19"/>
        <v>38798</v>
      </c>
      <c r="B87" s="1">
        <v>81</v>
      </c>
      <c r="C87" s="16">
        <f>ROUND(Data!BI87,2)</f>
        <v>11.52</v>
      </c>
      <c r="D87" s="3">
        <f>ROUND(Data!O87,1)</f>
        <v>4.5</v>
      </c>
      <c r="E87" s="3">
        <f>ROUND(Data!AA87,1)</f>
        <v>-2.9</v>
      </c>
      <c r="F87" s="3">
        <f>Data!BN87</f>
        <v>54.5</v>
      </c>
      <c r="G87" s="3">
        <f>Data!N87</f>
        <v>0</v>
      </c>
      <c r="H87" s="21">
        <f>Data!BE87</f>
        <v>1276</v>
      </c>
      <c r="I87" s="13">
        <f t="shared" si="15"/>
        <v>0</v>
      </c>
      <c r="J87" s="3">
        <f>Data!BR87</f>
        <v>0</v>
      </c>
      <c r="K87" s="32">
        <f t="shared" si="20"/>
        <v>0</v>
      </c>
      <c r="M87" s="22">
        <f t="shared" si="21"/>
        <v>21.799999999999997</v>
      </c>
      <c r="N87" s="22">
        <f t="shared" si="21"/>
        <v>247.19999999999996</v>
      </c>
      <c r="P87" s="24">
        <f t="shared" si="16"/>
        <v>0.34633385579937304</v>
      </c>
      <c r="Q87" s="24">
        <f t="shared" si="13"/>
        <v>0.34633385579937304</v>
      </c>
      <c r="R87" s="21">
        <f t="shared" si="17"/>
        <v>441.92199999999997</v>
      </c>
      <c r="S87" s="22">
        <f t="shared" si="14"/>
        <v>0</v>
      </c>
      <c r="T87" s="22">
        <f t="shared" si="18"/>
        <v>0</v>
      </c>
    </row>
    <row r="88" spans="1:20" x14ac:dyDescent="0.2">
      <c r="A88" s="14">
        <f t="shared" si="19"/>
        <v>38799</v>
      </c>
      <c r="B88" s="1">
        <v>82</v>
      </c>
      <c r="C88" s="16">
        <f>ROUND(Data!BI88,2)</f>
        <v>18.37</v>
      </c>
      <c r="D88" s="3">
        <f>ROUND(Data!O88,1)</f>
        <v>8.6999999999999993</v>
      </c>
      <c r="E88" s="3">
        <f>ROUND(Data!AA88,1)</f>
        <v>-2.6</v>
      </c>
      <c r="F88" s="3">
        <f>Data!BN88</f>
        <v>37.6</v>
      </c>
      <c r="G88" s="3">
        <f>Data!N88</f>
        <v>1</v>
      </c>
      <c r="H88" s="21">
        <f>Data!BE88</f>
        <v>1199</v>
      </c>
      <c r="I88" s="13">
        <f t="shared" si="15"/>
        <v>0</v>
      </c>
      <c r="J88" s="3">
        <f>Data!BR88</f>
        <v>0</v>
      </c>
      <c r="K88" s="32">
        <f t="shared" si="20"/>
        <v>0</v>
      </c>
      <c r="M88" s="22">
        <f t="shared" si="21"/>
        <v>21.799999999999997</v>
      </c>
      <c r="N88" s="22">
        <f t="shared" si="21"/>
        <v>247.19999999999996</v>
      </c>
      <c r="P88" s="24">
        <f t="shared" si="16"/>
        <v>0.36857547956630521</v>
      </c>
      <c r="Q88" s="24">
        <f t="shared" si="13"/>
        <v>0.36857547956630521</v>
      </c>
      <c r="R88" s="21">
        <f t="shared" si="17"/>
        <v>441.92199999999997</v>
      </c>
      <c r="S88" s="22">
        <f t="shared" si="14"/>
        <v>0</v>
      </c>
      <c r="T88" s="22">
        <f t="shared" si="18"/>
        <v>0</v>
      </c>
    </row>
    <row r="89" spans="1:20" x14ac:dyDescent="0.2">
      <c r="A89" s="14">
        <f t="shared" si="19"/>
        <v>38800</v>
      </c>
      <c r="B89" s="1">
        <v>83</v>
      </c>
      <c r="C89" s="16">
        <f>ROUND(Data!BI89,2)</f>
        <v>4.5</v>
      </c>
      <c r="D89" s="3">
        <f>ROUND(Data!O89,1)</f>
        <v>4.5</v>
      </c>
      <c r="E89" s="3">
        <f>ROUND(Data!AA89,1)</f>
        <v>-8.6999999999999993</v>
      </c>
      <c r="F89" s="3">
        <f>Data!BN89</f>
        <v>47.2</v>
      </c>
      <c r="G89" s="3">
        <f>Data!N89</f>
        <v>1</v>
      </c>
      <c r="H89" s="21">
        <f>Data!BE89</f>
        <v>1243</v>
      </c>
      <c r="I89" s="13">
        <f t="shared" si="15"/>
        <v>5.7</v>
      </c>
      <c r="J89" s="3">
        <f>Data!BR89</f>
        <v>4.5999999999999996</v>
      </c>
      <c r="K89" s="32">
        <f t="shared" si="20"/>
        <v>5.7</v>
      </c>
      <c r="M89" s="22">
        <f t="shared" ref="M89:N104" si="22">J89+M88</f>
        <v>26.4</v>
      </c>
      <c r="N89" s="22">
        <f t="shared" si="22"/>
        <v>252.89999999999995</v>
      </c>
      <c r="P89" s="24">
        <f t="shared" si="16"/>
        <v>0.3601142397425583</v>
      </c>
      <c r="Q89" s="24">
        <f t="shared" si="13"/>
        <v>0.3601142397425583</v>
      </c>
      <c r="R89" s="21">
        <f t="shared" si="17"/>
        <v>447.62199999999996</v>
      </c>
      <c r="S89" s="22">
        <f t="shared" si="14"/>
        <v>5.6999999999999886</v>
      </c>
      <c r="T89" s="22">
        <f t="shared" si="18"/>
        <v>1.1546319456101628E-14</v>
      </c>
    </row>
    <row r="90" spans="1:20" x14ac:dyDescent="0.2">
      <c r="A90" s="14">
        <f t="shared" si="19"/>
        <v>38801</v>
      </c>
      <c r="B90" s="1">
        <v>84</v>
      </c>
      <c r="C90" s="16">
        <f>ROUND(Data!BI90,2)</f>
        <v>7.57</v>
      </c>
      <c r="D90" s="3">
        <f>ROUND(Data!O90,1)</f>
        <v>3.7</v>
      </c>
      <c r="E90" s="3">
        <f>ROUND(Data!AA90,1)</f>
        <v>-11.1</v>
      </c>
      <c r="F90" s="3">
        <f>Data!BN90</f>
        <v>64.099999999999994</v>
      </c>
      <c r="G90" s="3">
        <f>Data!N90</f>
        <v>0</v>
      </c>
      <c r="H90" s="21">
        <f>Data!BE90</f>
        <v>1260</v>
      </c>
      <c r="I90" s="13">
        <f t="shared" si="15"/>
        <v>2.2000000000000002</v>
      </c>
      <c r="J90" s="3">
        <f>Data!BR90</f>
        <v>2.8</v>
      </c>
      <c r="K90" s="32">
        <f t="shared" si="20"/>
        <v>2.2000000000000002</v>
      </c>
      <c r="M90" s="22">
        <f t="shared" si="22"/>
        <v>29.2</v>
      </c>
      <c r="N90" s="22">
        <f t="shared" si="22"/>
        <v>255.09999999999994</v>
      </c>
      <c r="P90" s="24">
        <f t="shared" si="16"/>
        <v>0.35700158730158726</v>
      </c>
      <c r="Q90" s="24">
        <f t="shared" si="13"/>
        <v>0.35700158730158726</v>
      </c>
      <c r="R90" s="21">
        <f t="shared" si="17"/>
        <v>449.82199999999995</v>
      </c>
      <c r="S90" s="22">
        <f t="shared" si="14"/>
        <v>2.1999999999999886</v>
      </c>
      <c r="T90" s="22">
        <f t="shared" si="18"/>
        <v>1.1546319456101628E-14</v>
      </c>
    </row>
    <row r="91" spans="1:20" x14ac:dyDescent="0.2">
      <c r="A91" s="14">
        <f t="shared" si="19"/>
        <v>38802</v>
      </c>
      <c r="B91" s="1">
        <v>85</v>
      </c>
      <c r="C91" s="16">
        <f>ROUND(Data!BI91,2)</f>
        <v>13.28</v>
      </c>
      <c r="D91" s="3">
        <f>ROUND(Data!O91,1)</f>
        <v>1.1000000000000001</v>
      </c>
      <c r="E91" s="3">
        <f>ROUND(Data!AA91,1)</f>
        <v>-14.1</v>
      </c>
      <c r="F91" s="3">
        <f>Data!BN91</f>
        <v>44.7</v>
      </c>
      <c r="G91" s="3">
        <f>Data!N91</f>
        <v>0</v>
      </c>
      <c r="H91" s="21">
        <f>Data!BE91</f>
        <v>1249</v>
      </c>
      <c r="I91" s="13">
        <f t="shared" si="15"/>
        <v>0</v>
      </c>
      <c r="J91" s="3">
        <f>Data!BR91</f>
        <v>0</v>
      </c>
      <c r="K91" s="32">
        <f t="shared" si="20"/>
        <v>0</v>
      </c>
      <c r="M91" s="22">
        <f t="shared" si="22"/>
        <v>29.2</v>
      </c>
      <c r="N91" s="22">
        <f t="shared" si="22"/>
        <v>255.09999999999994</v>
      </c>
      <c r="P91" s="24">
        <f t="shared" si="16"/>
        <v>0.36014571657325856</v>
      </c>
      <c r="Q91" s="24">
        <f t="shared" si="13"/>
        <v>0.36014571657325856</v>
      </c>
      <c r="R91" s="21">
        <f t="shared" si="17"/>
        <v>449.82199999999995</v>
      </c>
      <c r="S91" s="22">
        <f t="shared" si="14"/>
        <v>0</v>
      </c>
      <c r="T91" s="22">
        <f t="shared" si="18"/>
        <v>0</v>
      </c>
    </row>
    <row r="92" spans="1:20" x14ac:dyDescent="0.2">
      <c r="A92" s="14">
        <f t="shared" si="19"/>
        <v>38803</v>
      </c>
      <c r="B92" s="1">
        <v>86</v>
      </c>
      <c r="C92" s="16">
        <f>ROUND(Data!BI92,2)</f>
        <v>10.75</v>
      </c>
      <c r="D92" s="3">
        <f>ROUND(Data!O92,1)</f>
        <v>1.2</v>
      </c>
      <c r="E92" s="3">
        <f>ROUND(Data!AA92,1)</f>
        <v>-8.6</v>
      </c>
      <c r="F92" s="3">
        <f>Data!BN92</f>
        <v>54.5</v>
      </c>
      <c r="G92" s="3">
        <f>Data!N92</f>
        <v>0</v>
      </c>
      <c r="H92" s="21">
        <f>Data!BE92</f>
        <v>1251</v>
      </c>
      <c r="I92" s="13">
        <f t="shared" si="15"/>
        <v>0.3</v>
      </c>
      <c r="J92" s="3">
        <f>Data!BR92</f>
        <v>0</v>
      </c>
      <c r="K92" s="32">
        <f t="shared" si="20"/>
        <v>0.3</v>
      </c>
      <c r="M92" s="22">
        <f t="shared" si="22"/>
        <v>29.2</v>
      </c>
      <c r="N92" s="22">
        <f t="shared" si="22"/>
        <v>255.39999999999995</v>
      </c>
      <c r="P92" s="24">
        <f t="shared" si="16"/>
        <v>0.35980975219824135</v>
      </c>
      <c r="Q92" s="24">
        <f t="shared" si="13"/>
        <v>0.35980975219824135</v>
      </c>
      <c r="R92" s="21">
        <f t="shared" si="17"/>
        <v>450.12199999999996</v>
      </c>
      <c r="S92" s="22">
        <f t="shared" si="14"/>
        <v>0.30000000000001137</v>
      </c>
      <c r="T92" s="22">
        <f t="shared" si="18"/>
        <v>-1.1379786002407855E-14</v>
      </c>
    </row>
    <row r="93" spans="1:20" x14ac:dyDescent="0.2">
      <c r="A93" s="14">
        <f t="shared" si="19"/>
        <v>38804</v>
      </c>
      <c r="B93" s="1">
        <v>87</v>
      </c>
      <c r="C93" s="16">
        <f>ROUND(Data!BI93,2)</f>
        <v>8.67</v>
      </c>
      <c r="D93" s="3">
        <f>ROUND(Data!O93,1)</f>
        <v>1.8</v>
      </c>
      <c r="E93" s="3">
        <f>ROUND(Data!AA93,1)</f>
        <v>-10.1</v>
      </c>
      <c r="F93" s="3">
        <f>Data!BN93</f>
        <v>66</v>
      </c>
      <c r="G93" s="3">
        <f>Data!N93</f>
        <v>0</v>
      </c>
      <c r="H93" s="21">
        <f>Data!BE93</f>
        <v>1241</v>
      </c>
      <c r="I93" s="13">
        <f t="shared" si="15"/>
        <v>0</v>
      </c>
      <c r="J93" s="3">
        <f>Data!BR93</f>
        <v>0.6</v>
      </c>
      <c r="K93" s="32">
        <f t="shared" si="20"/>
        <v>0</v>
      </c>
      <c r="M93" s="22">
        <f t="shared" si="22"/>
        <v>29.8</v>
      </c>
      <c r="N93" s="22">
        <f t="shared" si="22"/>
        <v>255.39999999999995</v>
      </c>
      <c r="P93" s="24">
        <f t="shared" si="16"/>
        <v>0.36270910556003222</v>
      </c>
      <c r="Q93" s="24">
        <f t="shared" si="13"/>
        <v>0.36270910556003222</v>
      </c>
      <c r="R93" s="21">
        <f t="shared" si="17"/>
        <v>450.12199999999996</v>
      </c>
      <c r="S93" s="22">
        <f t="shared" si="14"/>
        <v>0</v>
      </c>
      <c r="T93" s="22">
        <f t="shared" si="18"/>
        <v>0</v>
      </c>
    </row>
    <row r="94" spans="1:20" x14ac:dyDescent="0.2">
      <c r="A94" s="14">
        <f t="shared" si="19"/>
        <v>38805</v>
      </c>
      <c r="B94" s="1">
        <v>88</v>
      </c>
      <c r="C94" s="16">
        <f>ROUND(Data!BI94,2)</f>
        <v>16.190000000000001</v>
      </c>
      <c r="D94" s="3">
        <f>ROUND(Data!O94,1)</f>
        <v>7.2</v>
      </c>
      <c r="E94" s="3">
        <f>ROUND(Data!AA94,1)</f>
        <v>-7.7</v>
      </c>
      <c r="F94" s="3">
        <f>Data!BN94</f>
        <v>24.7</v>
      </c>
      <c r="G94" s="3">
        <f>Data!N94</f>
        <v>0</v>
      </c>
      <c r="H94" s="21">
        <f>Data!BE94</f>
        <v>1211</v>
      </c>
      <c r="I94" s="13">
        <f t="shared" si="15"/>
        <v>0</v>
      </c>
      <c r="J94" s="3">
        <f>Data!BR94</f>
        <v>0.2</v>
      </c>
      <c r="K94" s="32">
        <f t="shared" si="20"/>
        <v>0</v>
      </c>
      <c r="M94" s="22">
        <f t="shared" si="22"/>
        <v>30</v>
      </c>
      <c r="N94" s="22">
        <f t="shared" si="22"/>
        <v>255.39999999999995</v>
      </c>
      <c r="P94" s="24">
        <f t="shared" si="16"/>
        <v>0.37169446738232864</v>
      </c>
      <c r="Q94" s="24">
        <f t="shared" si="13"/>
        <v>0.37169446738232864</v>
      </c>
      <c r="R94" s="21">
        <f t="shared" si="17"/>
        <v>450.12199999999996</v>
      </c>
      <c r="S94" s="22">
        <f t="shared" si="14"/>
        <v>0</v>
      </c>
      <c r="T94" s="22">
        <f t="shared" si="18"/>
        <v>0</v>
      </c>
    </row>
    <row r="95" spans="1:20" x14ac:dyDescent="0.2">
      <c r="A95" s="14">
        <f t="shared" si="19"/>
        <v>38806</v>
      </c>
      <c r="B95" s="1">
        <v>89</v>
      </c>
      <c r="C95" s="16">
        <f>ROUND(Data!BI95,2)</f>
        <v>11.61</v>
      </c>
      <c r="D95" s="3">
        <f>ROUND(Data!O95,1)</f>
        <v>6.2</v>
      </c>
      <c r="E95" s="3">
        <f>ROUND(Data!AA95,1)</f>
        <v>-9.6999999999999993</v>
      </c>
      <c r="F95" s="3">
        <f>Data!BN95</f>
        <v>36.299999999999997</v>
      </c>
      <c r="G95" s="3">
        <f>Data!N95</f>
        <v>0</v>
      </c>
      <c r="H95" s="21">
        <f>Data!BE95</f>
        <v>1203</v>
      </c>
      <c r="I95" s="13">
        <f t="shared" si="15"/>
        <v>0</v>
      </c>
      <c r="J95" s="3">
        <f>Data!BR95</f>
        <v>0</v>
      </c>
      <c r="K95" s="32">
        <f t="shared" si="20"/>
        <v>0</v>
      </c>
      <c r="M95" s="22">
        <f t="shared" si="22"/>
        <v>30</v>
      </c>
      <c r="N95" s="22">
        <f t="shared" si="22"/>
        <v>255.39999999999995</v>
      </c>
      <c r="P95" s="24">
        <f t="shared" si="16"/>
        <v>0.37416625103906898</v>
      </c>
      <c r="Q95" s="24">
        <f t="shared" si="13"/>
        <v>0.37416625103906898</v>
      </c>
      <c r="R95" s="21">
        <f t="shared" si="17"/>
        <v>450.12199999999996</v>
      </c>
      <c r="S95" s="22">
        <f t="shared" si="14"/>
        <v>0</v>
      </c>
      <c r="T95" s="22">
        <f t="shared" si="18"/>
        <v>0</v>
      </c>
    </row>
    <row r="96" spans="1:20" x14ac:dyDescent="0.2">
      <c r="A96" s="14">
        <f t="shared" si="19"/>
        <v>38807</v>
      </c>
      <c r="B96" s="1">
        <v>90</v>
      </c>
      <c r="C96" s="16">
        <f>ROUND(Data!BI96,2)</f>
        <v>8.52</v>
      </c>
      <c r="D96" s="3">
        <f>ROUND(Data!O96,1)</f>
        <v>5.4</v>
      </c>
      <c r="E96" s="3">
        <f>ROUND(Data!AA96,1)</f>
        <v>-3.1</v>
      </c>
      <c r="F96" s="3">
        <f>Data!BN96</f>
        <v>48.9</v>
      </c>
      <c r="G96" s="3">
        <f>Data!N96</f>
        <v>0</v>
      </c>
      <c r="H96" s="21">
        <f>Data!BE96</f>
        <v>1226</v>
      </c>
      <c r="I96" s="13">
        <f t="shared" si="15"/>
        <v>3</v>
      </c>
      <c r="J96" s="3">
        <f>Data!BR96</f>
        <v>5.4</v>
      </c>
      <c r="K96" s="32">
        <f t="shared" si="20"/>
        <v>3</v>
      </c>
      <c r="M96" s="22">
        <f t="shared" si="22"/>
        <v>35.4</v>
      </c>
      <c r="N96" s="22">
        <f t="shared" si="22"/>
        <v>258.39999999999998</v>
      </c>
      <c r="P96" s="24">
        <f t="shared" si="16"/>
        <v>0.3695938009787928</v>
      </c>
      <c r="Q96" s="24">
        <f t="shared" si="13"/>
        <v>0.3695938009787928</v>
      </c>
      <c r="R96" s="21">
        <f t="shared" si="17"/>
        <v>453.12199999999996</v>
      </c>
      <c r="S96" s="22">
        <f t="shared" si="14"/>
        <v>3</v>
      </c>
      <c r="T96" s="22">
        <f t="shared" si="18"/>
        <v>0</v>
      </c>
    </row>
    <row r="97" spans="1:20" x14ac:dyDescent="0.2">
      <c r="A97" s="14">
        <f t="shared" si="19"/>
        <v>38808</v>
      </c>
      <c r="B97" s="1">
        <v>91</v>
      </c>
      <c r="C97" s="16">
        <f>ROUND(Data!BI97,2)</f>
        <v>14.48</v>
      </c>
      <c r="D97" s="3">
        <f>ROUND(Data!O97,1)</f>
        <v>6.2</v>
      </c>
      <c r="E97" s="3">
        <f>ROUND(Data!AA97,1)</f>
        <v>-7.3</v>
      </c>
      <c r="F97" s="3">
        <f>Data!BN97</f>
        <v>47.8</v>
      </c>
      <c r="G97" s="3">
        <f>Data!N97</f>
        <v>4</v>
      </c>
      <c r="H97" s="21">
        <f>Data!BE97</f>
        <v>1198</v>
      </c>
      <c r="I97" s="13">
        <f t="shared" si="15"/>
        <v>0</v>
      </c>
      <c r="J97" s="3">
        <f>Data!BR97</f>
        <v>0.2</v>
      </c>
      <c r="K97" s="32">
        <f t="shared" si="20"/>
        <v>0</v>
      </c>
      <c r="M97" s="22">
        <f t="shared" si="22"/>
        <v>35.6</v>
      </c>
      <c r="N97" s="22">
        <f t="shared" si="22"/>
        <v>258.39999999999998</v>
      </c>
      <c r="P97" s="24">
        <f t="shared" si="16"/>
        <v>0.3782320534223706</v>
      </c>
      <c r="Q97" s="24">
        <f t="shared" si="13"/>
        <v>0.3782320534223706</v>
      </c>
      <c r="R97" s="21">
        <f t="shared" si="17"/>
        <v>453.12199999999996</v>
      </c>
      <c r="S97" s="22">
        <f t="shared" si="14"/>
        <v>0</v>
      </c>
      <c r="T97" s="22">
        <f t="shared" si="18"/>
        <v>0</v>
      </c>
    </row>
    <row r="98" spans="1:20" x14ac:dyDescent="0.2">
      <c r="A98" s="14">
        <f t="shared" si="19"/>
        <v>38809</v>
      </c>
      <c r="B98" s="1">
        <v>92</v>
      </c>
      <c r="C98" s="16">
        <f>ROUND(Data!BI98,2)</f>
        <v>13.3</v>
      </c>
      <c r="D98" s="3">
        <f>ROUND(Data!O98,1)</f>
        <v>5</v>
      </c>
      <c r="E98" s="3">
        <f>ROUND(Data!AA98,1)</f>
        <v>-5</v>
      </c>
      <c r="F98" s="3">
        <f>Data!BN98</f>
        <v>39.1</v>
      </c>
      <c r="G98" s="3">
        <f>Data!N98</f>
        <v>0</v>
      </c>
      <c r="H98" s="21">
        <f>Data!BE98</f>
        <v>1186</v>
      </c>
      <c r="I98" s="13">
        <f t="shared" si="15"/>
        <v>0</v>
      </c>
      <c r="J98" s="3">
        <f>Data!BR98</f>
        <v>0.8</v>
      </c>
      <c r="K98" s="32">
        <f t="shared" si="20"/>
        <v>0</v>
      </c>
      <c r="M98" s="22">
        <f t="shared" si="22"/>
        <v>36.4</v>
      </c>
      <c r="N98" s="22">
        <f t="shared" si="22"/>
        <v>258.39999999999998</v>
      </c>
      <c r="P98" s="24">
        <f t="shared" si="16"/>
        <v>0.3820590219224283</v>
      </c>
      <c r="Q98" s="24">
        <f t="shared" si="13"/>
        <v>0.3820590219224283</v>
      </c>
      <c r="R98" s="21">
        <f t="shared" si="17"/>
        <v>453.12199999999996</v>
      </c>
      <c r="S98" s="22">
        <f t="shared" si="14"/>
        <v>0</v>
      </c>
      <c r="T98" s="22">
        <f t="shared" si="18"/>
        <v>0</v>
      </c>
    </row>
    <row r="99" spans="1:20" x14ac:dyDescent="0.2">
      <c r="A99" s="14">
        <f t="shared" si="19"/>
        <v>38810</v>
      </c>
      <c r="B99" s="1">
        <v>93</v>
      </c>
      <c r="C99" s="16">
        <f>ROUND(Data!BI99,2)</f>
        <v>11.01</v>
      </c>
      <c r="D99" s="3">
        <f>ROUND(Data!O99,1)</f>
        <v>6.1</v>
      </c>
      <c r="E99" s="3">
        <f>ROUND(Data!AA99,1)</f>
        <v>-8.6</v>
      </c>
      <c r="F99" s="3">
        <f>Data!BN99</f>
        <v>30.8</v>
      </c>
      <c r="G99" s="3">
        <f>Data!N99</f>
        <v>0</v>
      </c>
      <c r="H99" s="21">
        <f>Data!BE99</f>
        <v>1181</v>
      </c>
      <c r="I99" s="13">
        <f t="shared" si="15"/>
        <v>0</v>
      </c>
      <c r="J99" s="3">
        <f>Data!BR99</f>
        <v>0</v>
      </c>
      <c r="K99" s="32">
        <f t="shared" si="20"/>
        <v>0</v>
      </c>
      <c r="M99" s="22">
        <f t="shared" si="22"/>
        <v>36.4</v>
      </c>
      <c r="N99" s="22">
        <f t="shared" si="22"/>
        <v>258.39999999999998</v>
      </c>
      <c r="P99" s="24">
        <f t="shared" si="16"/>
        <v>0.3836765453005927</v>
      </c>
      <c r="Q99" s="24">
        <f t="shared" si="13"/>
        <v>0.3836765453005927</v>
      </c>
      <c r="R99" s="21">
        <f t="shared" si="17"/>
        <v>453.12199999999996</v>
      </c>
      <c r="S99" s="22">
        <f t="shared" si="14"/>
        <v>0</v>
      </c>
      <c r="T99" s="22">
        <f t="shared" si="18"/>
        <v>0</v>
      </c>
    </row>
    <row r="100" spans="1:20" x14ac:dyDescent="0.2">
      <c r="A100" s="14">
        <f t="shared" si="19"/>
        <v>38811</v>
      </c>
      <c r="B100" s="1">
        <v>94</v>
      </c>
      <c r="C100" s="16">
        <f>ROUND(Data!BI100,2)</f>
        <v>5.59</v>
      </c>
      <c r="D100" s="3">
        <f>ROUND(Data!O100,1)</f>
        <v>2.8</v>
      </c>
      <c r="E100" s="3">
        <f>ROUND(Data!AA100,1)</f>
        <v>-1.1000000000000001</v>
      </c>
      <c r="F100" s="3">
        <f>Data!BN100</f>
        <v>86.1</v>
      </c>
      <c r="G100" s="3">
        <f>Data!N100</f>
        <v>1</v>
      </c>
      <c r="H100" s="21">
        <f>Data!BE100</f>
        <v>1162</v>
      </c>
      <c r="I100" s="13">
        <f t="shared" si="15"/>
        <v>0</v>
      </c>
      <c r="J100" s="3">
        <f>Data!BR100</f>
        <v>4.4000000000000004</v>
      </c>
      <c r="K100" s="33">
        <f t="shared" ref="K100:K108" si="23">ROUND(J100*L$3,1)</f>
        <v>4.5999999999999996</v>
      </c>
      <c r="M100" s="22">
        <f t="shared" si="22"/>
        <v>40.799999999999997</v>
      </c>
      <c r="N100" s="22">
        <f t="shared" si="22"/>
        <v>263</v>
      </c>
      <c r="P100" s="24">
        <f t="shared" si="16"/>
        <v>0.39390877796901891</v>
      </c>
      <c r="Q100" s="24">
        <f t="shared" si="13"/>
        <v>0.39390877796901891</v>
      </c>
      <c r="R100" s="21">
        <f t="shared" si="17"/>
        <v>457.72199999999998</v>
      </c>
      <c r="S100" s="22">
        <f t="shared" si="14"/>
        <v>4.6000000000000227</v>
      </c>
      <c r="T100" s="22">
        <f t="shared" si="18"/>
        <v>-2.3092638912203256E-14</v>
      </c>
    </row>
    <row r="101" spans="1:20" x14ac:dyDescent="0.2">
      <c r="A101" s="14">
        <f t="shared" si="19"/>
        <v>38812</v>
      </c>
      <c r="B101" s="1">
        <v>95</v>
      </c>
      <c r="C101" s="16">
        <f>ROUND(Data!BI101,2)</f>
        <v>19.05</v>
      </c>
      <c r="D101" s="3">
        <f>ROUND(Data!O101,1)</f>
        <v>10.1</v>
      </c>
      <c r="E101" s="3">
        <f>ROUND(Data!AA101,1)</f>
        <v>-4</v>
      </c>
      <c r="F101" s="3">
        <f>Data!BN101</f>
        <v>44.8</v>
      </c>
      <c r="G101" s="3">
        <f>Data!N101</f>
        <v>0</v>
      </c>
      <c r="H101" s="21">
        <f>Data!BE101</f>
        <v>1100</v>
      </c>
      <c r="I101" s="13">
        <f t="shared" si="15"/>
        <v>0</v>
      </c>
      <c r="J101" s="3">
        <f>Data!BR101</f>
        <v>0.2</v>
      </c>
      <c r="K101" s="33">
        <f t="shared" si="23"/>
        <v>0.2</v>
      </c>
      <c r="M101" s="22">
        <f t="shared" si="22"/>
        <v>41</v>
      </c>
      <c r="N101" s="22">
        <f t="shared" si="22"/>
        <v>263.2</v>
      </c>
      <c r="P101" s="24">
        <f t="shared" si="16"/>
        <v>0.41629272727272726</v>
      </c>
      <c r="Q101" s="24">
        <f t="shared" si="13"/>
        <v>0.4</v>
      </c>
      <c r="R101" s="21">
        <f t="shared" si="17"/>
        <v>440</v>
      </c>
      <c r="S101" s="22">
        <f t="shared" si="14"/>
        <v>-17.72199999999998</v>
      </c>
      <c r="T101" s="22">
        <f t="shared" si="18"/>
        <v>17.921999999999979</v>
      </c>
    </row>
    <row r="102" spans="1:20" x14ac:dyDescent="0.2">
      <c r="A102" s="14">
        <f t="shared" si="19"/>
        <v>38813</v>
      </c>
      <c r="B102" s="1">
        <v>96</v>
      </c>
      <c r="C102" s="16">
        <f>ROUND(Data!BI102,2)</f>
        <v>12.29</v>
      </c>
      <c r="D102" s="3">
        <f>ROUND(Data!O102,1)</f>
        <v>9.1999999999999993</v>
      </c>
      <c r="E102" s="3">
        <f>ROUND(Data!AA102,1)</f>
        <v>-3</v>
      </c>
      <c r="F102" s="3">
        <f>Data!BN102</f>
        <v>49.3</v>
      </c>
      <c r="G102" s="3">
        <f>Data!N102</f>
        <v>1</v>
      </c>
      <c r="H102" s="21">
        <f>Data!BE102</f>
        <v>1079</v>
      </c>
      <c r="I102" s="13">
        <f t="shared" si="15"/>
        <v>0</v>
      </c>
      <c r="J102" s="3">
        <f>Data!BR102</f>
        <v>3.4</v>
      </c>
      <c r="K102" s="33">
        <f t="shared" si="23"/>
        <v>3.6</v>
      </c>
      <c r="M102" s="22">
        <f t="shared" si="22"/>
        <v>44.4</v>
      </c>
      <c r="N102" s="22">
        <f t="shared" si="22"/>
        <v>266.8</v>
      </c>
      <c r="P102" s="24">
        <f t="shared" si="16"/>
        <v>0.41112140871177016</v>
      </c>
      <c r="Q102" s="24">
        <f t="shared" si="13"/>
        <v>0.4</v>
      </c>
      <c r="R102" s="21">
        <f t="shared" si="17"/>
        <v>431.6</v>
      </c>
      <c r="S102" s="22">
        <f t="shared" si="14"/>
        <v>-8.3999999999999773</v>
      </c>
      <c r="T102" s="22">
        <f t="shared" si="18"/>
        <v>11.999999999999977</v>
      </c>
    </row>
    <row r="103" spans="1:20" x14ac:dyDescent="0.2">
      <c r="A103" s="14">
        <f t="shared" si="19"/>
        <v>38814</v>
      </c>
      <c r="B103" s="1">
        <v>97</v>
      </c>
      <c r="C103" s="16">
        <f>ROUND(Data!BI103,2)</f>
        <v>16.41</v>
      </c>
      <c r="D103" s="3">
        <f>ROUND(Data!O103,1)</f>
        <v>8.9</v>
      </c>
      <c r="E103" s="3">
        <f>ROUND(Data!AA103,1)</f>
        <v>-4.7</v>
      </c>
      <c r="F103" s="3">
        <f>Data!BN103</f>
        <v>41.3</v>
      </c>
      <c r="G103" s="3">
        <f>Data!N103</f>
        <v>0</v>
      </c>
      <c r="H103" s="21">
        <f>Data!BE103</f>
        <v>1052</v>
      </c>
      <c r="I103" s="13">
        <f t="shared" si="15"/>
        <v>0</v>
      </c>
      <c r="J103" s="3">
        <f>Data!BR103</f>
        <v>0</v>
      </c>
      <c r="K103" s="33">
        <f t="shared" si="23"/>
        <v>0</v>
      </c>
      <c r="M103" s="22">
        <f t="shared" si="22"/>
        <v>44.4</v>
      </c>
      <c r="N103" s="22">
        <f t="shared" si="22"/>
        <v>266.8</v>
      </c>
      <c r="P103" s="24">
        <f t="shared" si="16"/>
        <v>0.41026615969581753</v>
      </c>
      <c r="Q103" s="24">
        <f t="shared" si="13"/>
        <v>0.4</v>
      </c>
      <c r="R103" s="21">
        <f t="shared" si="17"/>
        <v>420.8</v>
      </c>
      <c r="S103" s="22">
        <f t="shared" si="14"/>
        <v>-10.800000000000011</v>
      </c>
      <c r="T103" s="22">
        <f t="shared" si="18"/>
        <v>10.800000000000011</v>
      </c>
    </row>
    <row r="104" spans="1:20" x14ac:dyDescent="0.2">
      <c r="A104" s="14">
        <f t="shared" si="19"/>
        <v>38815</v>
      </c>
      <c r="B104" s="1">
        <v>98</v>
      </c>
      <c r="C104" s="16">
        <f>ROUND(Data!BI104,2)</f>
        <v>8.39</v>
      </c>
      <c r="D104" s="3">
        <f>ROUND(Data!O104,1)</f>
        <v>7.3</v>
      </c>
      <c r="E104" s="3">
        <f>ROUND(Data!AA104,1)</f>
        <v>0</v>
      </c>
      <c r="F104" s="3">
        <f>Data!BN104</f>
        <v>51.8</v>
      </c>
      <c r="G104" s="3">
        <f>Data!N104</f>
        <v>0</v>
      </c>
      <c r="H104" s="21">
        <f>Data!BE104</f>
        <v>1020</v>
      </c>
      <c r="I104" s="13">
        <f t="shared" si="15"/>
        <v>0</v>
      </c>
      <c r="J104" s="3">
        <f>Data!BR104</f>
        <v>1</v>
      </c>
      <c r="K104" s="33">
        <f t="shared" si="23"/>
        <v>1.1000000000000001</v>
      </c>
      <c r="M104" s="22">
        <f t="shared" si="22"/>
        <v>45.4</v>
      </c>
      <c r="N104" s="22">
        <f t="shared" si="22"/>
        <v>267.90000000000003</v>
      </c>
      <c r="P104" s="24">
        <f t="shared" si="16"/>
        <v>0.41362745098039216</v>
      </c>
      <c r="Q104" s="24">
        <f t="shared" si="13"/>
        <v>0.4</v>
      </c>
      <c r="R104" s="21">
        <f t="shared" si="17"/>
        <v>408</v>
      </c>
      <c r="S104" s="22">
        <f t="shared" si="14"/>
        <v>-12.800000000000011</v>
      </c>
      <c r="T104" s="22">
        <f t="shared" si="18"/>
        <v>13.900000000000011</v>
      </c>
    </row>
    <row r="105" spans="1:20" x14ac:dyDescent="0.2">
      <c r="A105" s="14">
        <f t="shared" si="19"/>
        <v>38816</v>
      </c>
      <c r="B105" s="1">
        <v>99</v>
      </c>
      <c r="C105" s="16">
        <f>ROUND(Data!BI105,2)</f>
        <v>15</v>
      </c>
      <c r="D105" s="3">
        <f>ROUND(Data!O105,1)</f>
        <v>7.7</v>
      </c>
      <c r="E105" s="3">
        <f>ROUND(Data!AA105,1)</f>
        <v>-0.4</v>
      </c>
      <c r="F105" s="3">
        <f>Data!BN105</f>
        <v>52.6</v>
      </c>
      <c r="G105" s="3">
        <f>Data!N105</f>
        <v>0</v>
      </c>
      <c r="H105" s="21">
        <f>Data!BE105</f>
        <v>990</v>
      </c>
      <c r="I105" s="13">
        <f t="shared" si="15"/>
        <v>0</v>
      </c>
      <c r="J105" s="3">
        <f>Data!BR105</f>
        <v>1.2</v>
      </c>
      <c r="K105" s="33">
        <f t="shared" si="23"/>
        <v>1.3</v>
      </c>
      <c r="M105" s="22">
        <f t="shared" ref="M105:N120" si="24">J105+M104</f>
        <v>46.6</v>
      </c>
      <c r="N105" s="22">
        <f t="shared" si="24"/>
        <v>269.20000000000005</v>
      </c>
      <c r="P105" s="24">
        <f t="shared" si="16"/>
        <v>0.41343434343434343</v>
      </c>
      <c r="Q105" s="24">
        <f t="shared" si="13"/>
        <v>0.4</v>
      </c>
      <c r="R105" s="21">
        <f t="shared" si="17"/>
        <v>396</v>
      </c>
      <c r="S105" s="22">
        <f t="shared" si="14"/>
        <v>-12</v>
      </c>
      <c r="T105" s="22">
        <f t="shared" si="18"/>
        <v>13.3</v>
      </c>
    </row>
    <row r="106" spans="1:20" x14ac:dyDescent="0.2">
      <c r="A106" s="14">
        <f t="shared" si="19"/>
        <v>38817</v>
      </c>
      <c r="B106" s="1">
        <v>100</v>
      </c>
      <c r="C106" s="16">
        <f>ROUND(Data!BI106,2)</f>
        <v>11.4</v>
      </c>
      <c r="D106" s="3">
        <f>ROUND(Data!O106,1)</f>
        <v>5.2</v>
      </c>
      <c r="E106" s="3">
        <f>ROUND(Data!AA106,1)</f>
        <v>-2.9</v>
      </c>
      <c r="F106" s="3">
        <f>Data!BN106</f>
        <v>59.3</v>
      </c>
      <c r="G106" s="3">
        <f>Data!N106</f>
        <v>1</v>
      </c>
      <c r="H106" s="21">
        <f>Data!BE106</f>
        <v>976</v>
      </c>
      <c r="I106" s="13">
        <f t="shared" si="15"/>
        <v>0</v>
      </c>
      <c r="J106" s="3">
        <f>Data!BR106</f>
        <v>3</v>
      </c>
      <c r="K106" s="33">
        <f t="shared" si="23"/>
        <v>3.2</v>
      </c>
      <c r="M106" s="22">
        <f t="shared" si="24"/>
        <v>49.6</v>
      </c>
      <c r="N106" s="22">
        <f t="shared" si="24"/>
        <v>272.40000000000003</v>
      </c>
      <c r="P106" s="24">
        <f t="shared" si="16"/>
        <v>0.40901639344262292</v>
      </c>
      <c r="Q106" s="24">
        <f t="shared" si="13"/>
        <v>0.4</v>
      </c>
      <c r="R106" s="21">
        <f t="shared" si="17"/>
        <v>390.40000000000003</v>
      </c>
      <c r="S106" s="22">
        <f t="shared" si="14"/>
        <v>-5.5999999999999659</v>
      </c>
      <c r="T106" s="22">
        <f t="shared" si="18"/>
        <v>8.7999999999999652</v>
      </c>
    </row>
    <row r="107" spans="1:20" x14ac:dyDescent="0.2">
      <c r="A107" s="14">
        <f t="shared" si="19"/>
        <v>38818</v>
      </c>
      <c r="B107" s="1">
        <v>101</v>
      </c>
      <c r="C107" s="16">
        <f>ROUND(Data!BI107,2)</f>
        <v>8.06</v>
      </c>
      <c r="D107" s="3">
        <f>ROUND(Data!O107,1)</f>
        <v>4.9000000000000004</v>
      </c>
      <c r="E107" s="3">
        <f>ROUND(Data!AA107,1)</f>
        <v>-2.8</v>
      </c>
      <c r="F107" s="3">
        <f>Data!BN107</f>
        <v>73.3</v>
      </c>
      <c r="G107" s="3">
        <f>Data!N107</f>
        <v>1</v>
      </c>
      <c r="H107" s="21">
        <f>Data!BE107</f>
        <v>977</v>
      </c>
      <c r="I107" s="13">
        <f t="shared" si="15"/>
        <v>0.1</v>
      </c>
      <c r="J107" s="3">
        <f>Data!BR107</f>
        <v>1.2</v>
      </c>
      <c r="K107" s="33">
        <f t="shared" si="23"/>
        <v>1.3</v>
      </c>
      <c r="M107" s="22">
        <f t="shared" si="24"/>
        <v>50.800000000000004</v>
      </c>
      <c r="N107" s="22">
        <f t="shared" si="24"/>
        <v>273.70000000000005</v>
      </c>
      <c r="P107" s="24">
        <f t="shared" si="16"/>
        <v>0.40092118730808601</v>
      </c>
      <c r="Q107" s="24">
        <f t="shared" si="13"/>
        <v>0.4</v>
      </c>
      <c r="R107" s="21">
        <f t="shared" si="17"/>
        <v>390.8</v>
      </c>
      <c r="S107" s="22">
        <f t="shared" si="14"/>
        <v>0.39999999999997726</v>
      </c>
      <c r="T107" s="22">
        <f t="shared" si="18"/>
        <v>0.90000000000002278</v>
      </c>
    </row>
    <row r="108" spans="1:20" x14ac:dyDescent="0.2">
      <c r="A108" s="14">
        <f t="shared" si="19"/>
        <v>38819</v>
      </c>
      <c r="B108" s="1">
        <v>102</v>
      </c>
      <c r="C108" s="16">
        <f>ROUND(Data!BI108,2)</f>
        <v>10.28</v>
      </c>
      <c r="D108" s="3">
        <f>ROUND(Data!O108,1)</f>
        <v>4.5</v>
      </c>
      <c r="E108" s="3">
        <f>ROUND(Data!AA108,1)</f>
        <v>-3.1</v>
      </c>
      <c r="F108" s="3">
        <f>Data!BN108</f>
        <v>66.5</v>
      </c>
      <c r="G108" s="3">
        <f>Data!N108</f>
        <v>0</v>
      </c>
      <c r="H108" s="21">
        <f>Data!BE108</f>
        <v>974</v>
      </c>
      <c r="I108" s="13">
        <f t="shared" si="15"/>
        <v>0</v>
      </c>
      <c r="J108" s="3">
        <f>Data!BR108</f>
        <v>1.2</v>
      </c>
      <c r="K108" s="33">
        <f t="shared" si="23"/>
        <v>1.3</v>
      </c>
      <c r="M108" s="22">
        <f t="shared" si="24"/>
        <v>52.000000000000007</v>
      </c>
      <c r="N108" s="22">
        <f t="shared" si="24"/>
        <v>275.00000000000006</v>
      </c>
      <c r="P108" s="24">
        <f t="shared" si="16"/>
        <v>0.40256673511293639</v>
      </c>
      <c r="Q108" s="24">
        <f t="shared" si="13"/>
        <v>0.4</v>
      </c>
      <c r="R108" s="21">
        <f t="shared" si="17"/>
        <v>389.6</v>
      </c>
      <c r="S108" s="22">
        <f t="shared" si="14"/>
        <v>-1.1999999999999886</v>
      </c>
      <c r="T108" s="22">
        <f t="shared" si="18"/>
        <v>2.4999999999999885</v>
      </c>
    </row>
    <row r="109" spans="1:20" x14ac:dyDescent="0.2">
      <c r="A109" s="14">
        <f t="shared" si="19"/>
        <v>38820</v>
      </c>
      <c r="B109" s="1">
        <v>103</v>
      </c>
      <c r="C109" s="16">
        <f>ROUND(Data!BI109,2)</f>
        <v>7.91</v>
      </c>
      <c r="D109" s="3">
        <f>ROUND(Data!O109,1)</f>
        <v>1.5</v>
      </c>
      <c r="E109" s="3">
        <f>ROUND(Data!AA109,1)</f>
        <v>-3.6</v>
      </c>
      <c r="F109" s="3">
        <f>Data!BN109</f>
        <v>61.1</v>
      </c>
      <c r="G109" s="3">
        <f>Data!N109</f>
        <v>0</v>
      </c>
      <c r="H109" s="21">
        <f>Data!BE109</f>
        <v>1090</v>
      </c>
      <c r="I109" s="13">
        <f t="shared" si="15"/>
        <v>15.1</v>
      </c>
      <c r="J109" s="3">
        <f>Data!BR109</f>
        <v>7.4</v>
      </c>
      <c r="K109" s="32">
        <f t="shared" si="20"/>
        <v>15.1</v>
      </c>
      <c r="M109" s="22">
        <f t="shared" si="24"/>
        <v>59.400000000000006</v>
      </c>
      <c r="N109" s="22">
        <f t="shared" si="24"/>
        <v>290.10000000000008</v>
      </c>
      <c r="P109" s="24">
        <f t="shared" si="16"/>
        <v>0.37128440366972482</v>
      </c>
      <c r="Q109" s="24">
        <f t="shared" si="13"/>
        <v>0.37128440366972482</v>
      </c>
      <c r="R109" s="21">
        <f t="shared" si="17"/>
        <v>404.70000000000005</v>
      </c>
      <c r="S109" s="22">
        <f t="shared" si="14"/>
        <v>15.100000000000023</v>
      </c>
      <c r="T109" s="22">
        <f t="shared" si="18"/>
        <v>-2.3092638912203256E-14</v>
      </c>
    </row>
    <row r="110" spans="1:20" x14ac:dyDescent="0.2">
      <c r="A110" s="14">
        <f t="shared" si="19"/>
        <v>38821</v>
      </c>
      <c r="B110" s="1">
        <v>104</v>
      </c>
      <c r="C110" s="16">
        <f>ROUND(Data!BI110,2)</f>
        <v>7.35</v>
      </c>
      <c r="D110" s="3">
        <f>ROUND(Data!O110,1)</f>
        <v>4.3</v>
      </c>
      <c r="E110" s="3">
        <f>ROUND(Data!AA110,1)</f>
        <v>-4.8</v>
      </c>
      <c r="F110" s="3">
        <f>Data!BN110</f>
        <v>71.099999999999994</v>
      </c>
      <c r="G110" s="3">
        <f>Data!N110</f>
        <v>3</v>
      </c>
      <c r="H110" s="21">
        <f>Data!BE110</f>
        <v>1046</v>
      </c>
      <c r="I110" s="13">
        <f t="shared" si="15"/>
        <v>0</v>
      </c>
      <c r="J110" s="3">
        <f>Data!BR110</f>
        <v>0.6</v>
      </c>
      <c r="K110" s="32">
        <f t="shared" si="20"/>
        <v>0</v>
      </c>
      <c r="M110" s="22">
        <f t="shared" si="24"/>
        <v>60.000000000000007</v>
      </c>
      <c r="N110" s="22">
        <f t="shared" si="24"/>
        <v>290.10000000000008</v>
      </c>
      <c r="P110" s="24">
        <f t="shared" si="16"/>
        <v>0.38690248565965585</v>
      </c>
      <c r="Q110" s="24">
        <f t="shared" si="13"/>
        <v>0.38690248565965585</v>
      </c>
      <c r="R110" s="21">
        <f t="shared" si="17"/>
        <v>404.70000000000005</v>
      </c>
      <c r="S110" s="22">
        <f t="shared" si="14"/>
        <v>0</v>
      </c>
      <c r="T110" s="22">
        <f t="shared" si="18"/>
        <v>0</v>
      </c>
    </row>
    <row r="111" spans="1:20" x14ac:dyDescent="0.2">
      <c r="A111" s="14">
        <f t="shared" si="19"/>
        <v>38822</v>
      </c>
      <c r="B111" s="1">
        <v>105</v>
      </c>
      <c r="C111" s="16">
        <f>ROUND(Data!BI111,2)</f>
        <v>15.28</v>
      </c>
      <c r="D111" s="3">
        <f>ROUND(Data!O111,1)</f>
        <v>1.4</v>
      </c>
      <c r="E111" s="3">
        <f>ROUND(Data!AA111,1)</f>
        <v>-8.6999999999999993</v>
      </c>
      <c r="F111" s="3">
        <f>Data!BN111</f>
        <v>46.8</v>
      </c>
      <c r="G111" s="3">
        <f>Data!N111</f>
        <v>0</v>
      </c>
      <c r="H111" s="21">
        <f>Data!BE111</f>
        <v>1167</v>
      </c>
      <c r="I111" s="13">
        <f t="shared" si="15"/>
        <v>15.7</v>
      </c>
      <c r="J111" s="3">
        <f>Data!BR111</f>
        <v>0</v>
      </c>
      <c r="K111" s="32">
        <f t="shared" si="20"/>
        <v>15.7</v>
      </c>
      <c r="M111" s="22">
        <f t="shared" si="24"/>
        <v>60.000000000000007</v>
      </c>
      <c r="N111" s="22">
        <f t="shared" si="24"/>
        <v>305.80000000000007</v>
      </c>
      <c r="P111" s="24">
        <f t="shared" si="16"/>
        <v>0.36023993144815769</v>
      </c>
      <c r="Q111" s="24">
        <f t="shared" si="13"/>
        <v>0.36023993144815769</v>
      </c>
      <c r="R111" s="21">
        <f t="shared" si="17"/>
        <v>420.40000000000003</v>
      </c>
      <c r="S111" s="22">
        <f t="shared" si="14"/>
        <v>15.699999999999989</v>
      </c>
      <c r="T111" s="22">
        <f t="shared" si="18"/>
        <v>0</v>
      </c>
    </row>
    <row r="112" spans="1:20" x14ac:dyDescent="0.2">
      <c r="A112" s="14">
        <f t="shared" si="19"/>
        <v>38823</v>
      </c>
      <c r="B112" s="1">
        <v>106</v>
      </c>
      <c r="C112" s="16">
        <f>ROUND(Data!BI112,2)</f>
        <v>10.79</v>
      </c>
      <c r="D112" s="3">
        <f>ROUND(Data!O112,1)</f>
        <v>0.6</v>
      </c>
      <c r="E112" s="3">
        <f>ROUND(Data!AA112,1)</f>
        <v>-12.5</v>
      </c>
      <c r="F112" s="3">
        <f>Data!BN112</f>
        <v>52.3</v>
      </c>
      <c r="G112" s="3">
        <f>Data!N112</f>
        <v>0</v>
      </c>
      <c r="H112" s="21">
        <f>Data!BE112</f>
        <v>1102</v>
      </c>
      <c r="I112" s="13">
        <f t="shared" si="15"/>
        <v>0</v>
      </c>
      <c r="J112" s="3">
        <f>Data!BR112</f>
        <v>7.6</v>
      </c>
      <c r="K112" s="32">
        <f t="shared" si="20"/>
        <v>0</v>
      </c>
      <c r="M112" s="22">
        <f t="shared" si="24"/>
        <v>67.600000000000009</v>
      </c>
      <c r="N112" s="22">
        <f t="shared" si="24"/>
        <v>305.80000000000007</v>
      </c>
      <c r="P112" s="24">
        <f t="shared" si="16"/>
        <v>0.38148820326678767</v>
      </c>
      <c r="Q112" s="24">
        <f t="shared" si="13"/>
        <v>0.38148820326678767</v>
      </c>
      <c r="R112" s="21">
        <f t="shared" si="17"/>
        <v>420.40000000000003</v>
      </c>
      <c r="S112" s="22">
        <f t="shared" si="14"/>
        <v>0</v>
      </c>
      <c r="T112" s="22">
        <f t="shared" si="18"/>
        <v>0</v>
      </c>
    </row>
    <row r="113" spans="1:20" x14ac:dyDescent="0.2">
      <c r="A113" s="14">
        <f t="shared" si="19"/>
        <v>38824</v>
      </c>
      <c r="B113" s="1">
        <v>107</v>
      </c>
      <c r="C113" s="16">
        <f>ROUND(Data!BI113,2)</f>
        <v>20.56</v>
      </c>
      <c r="D113" s="3">
        <f>ROUND(Data!O113,1)</f>
        <v>3</v>
      </c>
      <c r="E113" s="3">
        <f>ROUND(Data!AA113,1)</f>
        <v>-14.6</v>
      </c>
      <c r="F113" s="3">
        <f>Data!BN113</f>
        <v>42.2</v>
      </c>
      <c r="G113" s="3">
        <f>Data!N113</f>
        <v>0</v>
      </c>
      <c r="H113" s="21">
        <f>Data!BE113</f>
        <v>1042</v>
      </c>
      <c r="I113" s="13">
        <f t="shared" si="15"/>
        <v>0</v>
      </c>
      <c r="J113" s="3">
        <f>Data!BR113</f>
        <v>0</v>
      </c>
      <c r="K113" s="32">
        <f t="shared" si="20"/>
        <v>0</v>
      </c>
      <c r="M113" s="22">
        <f t="shared" si="24"/>
        <v>67.600000000000009</v>
      </c>
      <c r="N113" s="22">
        <f t="shared" si="24"/>
        <v>305.80000000000007</v>
      </c>
      <c r="P113" s="24">
        <f t="shared" si="16"/>
        <v>0.40345489443378124</v>
      </c>
      <c r="Q113" s="24">
        <f t="shared" si="13"/>
        <v>0.4</v>
      </c>
      <c r="R113" s="21">
        <f t="shared" si="17"/>
        <v>416.8</v>
      </c>
      <c r="S113" s="22">
        <f t="shared" si="14"/>
        <v>-3.6000000000000227</v>
      </c>
      <c r="T113" s="22">
        <f t="shared" si="18"/>
        <v>3.6000000000000227</v>
      </c>
    </row>
    <row r="114" spans="1:20" x14ac:dyDescent="0.2">
      <c r="A114" s="14">
        <f t="shared" si="19"/>
        <v>38825</v>
      </c>
      <c r="B114" s="1">
        <v>108</v>
      </c>
      <c r="C114" s="16">
        <f>ROUND(Data!BI114,2)</f>
        <v>23.01</v>
      </c>
      <c r="D114" s="3">
        <f>ROUND(Data!O114,1)</f>
        <v>6.7</v>
      </c>
      <c r="E114" s="3">
        <f>ROUND(Data!AA114,1)</f>
        <v>-13</v>
      </c>
      <c r="F114" s="3">
        <f>Data!BN114</f>
        <v>32.1</v>
      </c>
      <c r="G114" s="3">
        <f>Data!N114</f>
        <v>0</v>
      </c>
      <c r="H114" s="21">
        <f>Data!BE114</f>
        <v>1015</v>
      </c>
      <c r="I114" s="13">
        <f t="shared" si="15"/>
        <v>0</v>
      </c>
      <c r="J114" s="3">
        <f>Data!BR114</f>
        <v>0</v>
      </c>
      <c r="K114" s="32">
        <f t="shared" si="20"/>
        <v>0</v>
      </c>
      <c r="M114" s="22">
        <f t="shared" si="24"/>
        <v>67.600000000000009</v>
      </c>
      <c r="N114" s="22">
        <f t="shared" si="24"/>
        <v>305.80000000000007</v>
      </c>
      <c r="P114" s="24">
        <f t="shared" si="16"/>
        <v>0.41064039408866998</v>
      </c>
      <c r="Q114" s="24">
        <f t="shared" si="13"/>
        <v>0.4</v>
      </c>
      <c r="R114" s="21">
        <f t="shared" si="17"/>
        <v>406</v>
      </c>
      <c r="S114" s="22">
        <f t="shared" si="14"/>
        <v>-10.800000000000011</v>
      </c>
      <c r="T114" s="22">
        <f t="shared" si="18"/>
        <v>10.800000000000011</v>
      </c>
    </row>
    <row r="115" spans="1:20" x14ac:dyDescent="0.2">
      <c r="A115" s="14">
        <f t="shared" si="19"/>
        <v>38826</v>
      </c>
      <c r="B115" s="1">
        <v>109</v>
      </c>
      <c r="C115" s="16">
        <f>ROUND(Data!BI115,2)</f>
        <v>22.24</v>
      </c>
      <c r="D115" s="3">
        <f>ROUND(Data!O115,1)</f>
        <v>10.199999999999999</v>
      </c>
      <c r="E115" s="3">
        <f>ROUND(Data!AA115,1)</f>
        <v>-3.3</v>
      </c>
      <c r="F115" s="3">
        <f>Data!BN115</f>
        <v>29.2</v>
      </c>
      <c r="G115" s="3">
        <f>Data!N115</f>
        <v>0</v>
      </c>
      <c r="H115" s="21">
        <f>Data!BE115</f>
        <v>992</v>
      </c>
      <c r="I115" s="13">
        <f t="shared" si="15"/>
        <v>0</v>
      </c>
      <c r="J115" s="3">
        <f>Data!BR115</f>
        <v>0</v>
      </c>
      <c r="K115" s="32">
        <f t="shared" si="20"/>
        <v>0</v>
      </c>
      <c r="M115" s="22">
        <f t="shared" si="24"/>
        <v>67.600000000000009</v>
      </c>
      <c r="N115" s="22">
        <f t="shared" si="24"/>
        <v>305.80000000000007</v>
      </c>
      <c r="P115" s="24">
        <f t="shared" si="16"/>
        <v>0.40927419354838712</v>
      </c>
      <c r="Q115" s="24">
        <f t="shared" si="13"/>
        <v>0.4</v>
      </c>
      <c r="R115" s="21">
        <f t="shared" si="17"/>
        <v>396.8</v>
      </c>
      <c r="S115" s="22">
        <f t="shared" si="14"/>
        <v>-9.1999999999999886</v>
      </c>
      <c r="T115" s="22">
        <f t="shared" si="18"/>
        <v>9.1999999999999886</v>
      </c>
    </row>
    <row r="116" spans="1:20" x14ac:dyDescent="0.2">
      <c r="A116" s="14">
        <f t="shared" si="19"/>
        <v>38827</v>
      </c>
      <c r="B116" s="1">
        <v>110</v>
      </c>
      <c r="C116" s="16">
        <f>ROUND(Data!BI116,2)</f>
        <v>20.170000000000002</v>
      </c>
      <c r="D116" s="3">
        <f>ROUND(Data!O116,1)</f>
        <v>11.9</v>
      </c>
      <c r="E116" s="3">
        <f>ROUND(Data!AA116,1)</f>
        <v>0.3</v>
      </c>
      <c r="F116" s="3">
        <f>Data!BN116</f>
        <v>35.200000000000003</v>
      </c>
      <c r="G116" s="3">
        <f>Data!N116</f>
        <v>0</v>
      </c>
      <c r="H116" s="21">
        <f>Data!BE116</f>
        <v>955</v>
      </c>
      <c r="I116" s="13">
        <f t="shared" si="15"/>
        <v>0</v>
      </c>
      <c r="J116" s="3">
        <f>Data!BR116</f>
        <v>0</v>
      </c>
      <c r="K116" s="32">
        <f t="shared" si="20"/>
        <v>0</v>
      </c>
      <c r="M116" s="22">
        <f t="shared" si="24"/>
        <v>67.600000000000009</v>
      </c>
      <c r="N116" s="22">
        <f t="shared" si="24"/>
        <v>305.80000000000007</v>
      </c>
      <c r="P116" s="24">
        <f t="shared" si="16"/>
        <v>0.41549738219895288</v>
      </c>
      <c r="Q116" s="24">
        <f t="shared" si="13"/>
        <v>0.4</v>
      </c>
      <c r="R116" s="21">
        <f t="shared" si="17"/>
        <v>382</v>
      </c>
      <c r="S116" s="22">
        <f t="shared" si="14"/>
        <v>-14.800000000000011</v>
      </c>
      <c r="T116" s="22">
        <f t="shared" si="18"/>
        <v>14.800000000000011</v>
      </c>
    </row>
    <row r="117" spans="1:20" x14ac:dyDescent="0.2">
      <c r="A117" s="14">
        <f t="shared" si="19"/>
        <v>38828</v>
      </c>
      <c r="B117" s="1">
        <v>111</v>
      </c>
      <c r="C117" s="16">
        <f>ROUND(Data!BI117,2)</f>
        <v>3.42</v>
      </c>
      <c r="D117" s="3">
        <f>ROUND(Data!O117,1)</f>
        <v>8.6999999999999993</v>
      </c>
      <c r="E117" s="3">
        <f>ROUND(Data!AA117,1)</f>
        <v>-3.8</v>
      </c>
      <c r="F117" s="3">
        <f>Data!BN117</f>
        <v>45.6</v>
      </c>
      <c r="G117" s="3">
        <f>Data!N117</f>
        <v>11</v>
      </c>
      <c r="H117" s="21">
        <f>Data!BE117</f>
        <v>1010</v>
      </c>
      <c r="I117" s="13">
        <f t="shared" si="15"/>
        <v>7.2</v>
      </c>
      <c r="J117" s="3">
        <f>Data!BR117</f>
        <v>18.8</v>
      </c>
      <c r="K117" s="32">
        <f t="shared" si="20"/>
        <v>7.2</v>
      </c>
      <c r="M117" s="22">
        <f t="shared" si="24"/>
        <v>86.4</v>
      </c>
      <c r="N117" s="22">
        <f t="shared" si="24"/>
        <v>313.00000000000006</v>
      </c>
      <c r="P117" s="24">
        <f t="shared" si="16"/>
        <v>0.38534653465346536</v>
      </c>
      <c r="Q117" s="24">
        <f t="shared" si="13"/>
        <v>0.38534653465346536</v>
      </c>
      <c r="R117" s="21">
        <f t="shared" si="17"/>
        <v>389.2</v>
      </c>
      <c r="S117" s="22">
        <f t="shared" si="14"/>
        <v>7.1999999999999886</v>
      </c>
      <c r="T117" s="22">
        <f t="shared" si="18"/>
        <v>1.1546319456101628E-14</v>
      </c>
    </row>
    <row r="118" spans="1:20" x14ac:dyDescent="0.2">
      <c r="A118" s="14">
        <f t="shared" si="19"/>
        <v>38829</v>
      </c>
      <c r="B118" s="1">
        <v>112</v>
      </c>
      <c r="C118" s="16">
        <f>ROUND(Data!BI118,2)</f>
        <v>15.87</v>
      </c>
      <c r="D118" s="3">
        <f>ROUND(Data!O118,1)</f>
        <v>3.3</v>
      </c>
      <c r="E118" s="3">
        <f>ROUND(Data!AA118,1)</f>
        <v>-7.5</v>
      </c>
      <c r="F118" s="3">
        <f>Data!BN118</f>
        <v>50.3</v>
      </c>
      <c r="G118" s="3">
        <f>Data!N118</f>
        <v>3</v>
      </c>
      <c r="H118" s="21">
        <f>Data!BE118</f>
        <v>1000</v>
      </c>
      <c r="I118" s="13">
        <f t="shared" si="15"/>
        <v>0</v>
      </c>
      <c r="J118" s="3">
        <f>Data!BR118</f>
        <v>1.6</v>
      </c>
      <c r="K118" s="32">
        <f t="shared" si="20"/>
        <v>0</v>
      </c>
      <c r="M118" s="22">
        <f t="shared" si="24"/>
        <v>88</v>
      </c>
      <c r="N118" s="22">
        <f t="shared" si="24"/>
        <v>313.00000000000006</v>
      </c>
      <c r="P118" s="24">
        <f t="shared" si="16"/>
        <v>0.38919999999999999</v>
      </c>
      <c r="Q118" s="24">
        <f t="shared" si="13"/>
        <v>0.38919999999999999</v>
      </c>
      <c r="R118" s="21">
        <f t="shared" si="17"/>
        <v>389.2</v>
      </c>
      <c r="S118" s="22">
        <f t="shared" si="14"/>
        <v>0</v>
      </c>
      <c r="T118" s="22">
        <f t="shared" si="18"/>
        <v>0</v>
      </c>
    </row>
    <row r="119" spans="1:20" x14ac:dyDescent="0.2">
      <c r="A119" s="14">
        <f t="shared" si="19"/>
        <v>38830</v>
      </c>
      <c r="B119" s="1">
        <v>113</v>
      </c>
      <c r="C119" s="16">
        <f>ROUND(Data!BI119,2)</f>
        <v>26.61</v>
      </c>
      <c r="D119" s="3">
        <f>ROUND(Data!O119,1)</f>
        <v>10</v>
      </c>
      <c r="E119" s="3">
        <f>ROUND(Data!AA119,1)</f>
        <v>-9.8000000000000007</v>
      </c>
      <c r="F119" s="3">
        <f>Data!BN119</f>
        <v>23.7</v>
      </c>
      <c r="G119" s="3">
        <f>Data!N119</f>
        <v>0</v>
      </c>
      <c r="H119" s="21">
        <f>Data!BE119</f>
        <v>919</v>
      </c>
      <c r="I119" s="13">
        <f t="shared" si="15"/>
        <v>0</v>
      </c>
      <c r="J119" s="3">
        <f>Data!BR119</f>
        <v>0</v>
      </c>
      <c r="K119" s="32">
        <f t="shared" si="20"/>
        <v>0</v>
      </c>
      <c r="M119" s="22">
        <f t="shared" si="24"/>
        <v>88</v>
      </c>
      <c r="N119" s="22">
        <f t="shared" si="24"/>
        <v>313.00000000000006</v>
      </c>
      <c r="P119" s="24">
        <f t="shared" si="16"/>
        <v>0.42350380848748637</v>
      </c>
      <c r="Q119" s="24">
        <f t="shared" si="13"/>
        <v>0.4</v>
      </c>
      <c r="R119" s="21">
        <f t="shared" si="17"/>
        <v>367.6</v>
      </c>
      <c r="S119" s="22">
        <f t="shared" si="14"/>
        <v>-21.599999999999966</v>
      </c>
      <c r="T119" s="22">
        <f t="shared" si="18"/>
        <v>21.599999999999966</v>
      </c>
    </row>
    <row r="120" spans="1:20" x14ac:dyDescent="0.2">
      <c r="A120" s="14">
        <f t="shared" si="19"/>
        <v>38831</v>
      </c>
      <c r="B120" s="1">
        <v>114</v>
      </c>
      <c r="C120" s="16">
        <f>ROUND(Data!BI120,2)</f>
        <v>27.31</v>
      </c>
      <c r="D120" s="3">
        <f>ROUND(Data!O120,1)</f>
        <v>14.5</v>
      </c>
      <c r="E120" s="3">
        <f>ROUND(Data!AA120,1)</f>
        <v>-7.5</v>
      </c>
      <c r="F120" s="3">
        <f>Data!BN120</f>
        <v>7.7</v>
      </c>
      <c r="G120" s="3">
        <f>Data!N120</f>
        <v>0</v>
      </c>
      <c r="H120" s="21">
        <f>Data!BE120</f>
        <v>858</v>
      </c>
      <c r="I120" s="13">
        <f t="shared" si="15"/>
        <v>0</v>
      </c>
      <c r="J120" s="3">
        <f>Data!BR120</f>
        <v>0</v>
      </c>
      <c r="K120" s="32">
        <f t="shared" si="20"/>
        <v>0</v>
      </c>
      <c r="M120" s="22">
        <f t="shared" si="24"/>
        <v>88</v>
      </c>
      <c r="N120" s="22">
        <f t="shared" si="24"/>
        <v>313.00000000000006</v>
      </c>
      <c r="P120" s="24">
        <f t="shared" si="16"/>
        <v>0.42843822843822849</v>
      </c>
      <c r="Q120" s="24">
        <f t="shared" si="13"/>
        <v>0.4</v>
      </c>
      <c r="R120" s="21">
        <f t="shared" si="17"/>
        <v>343.20000000000005</v>
      </c>
      <c r="S120" s="22">
        <f t="shared" si="14"/>
        <v>-24.399999999999977</v>
      </c>
      <c r="T120" s="22">
        <f t="shared" si="18"/>
        <v>24.399999999999977</v>
      </c>
    </row>
    <row r="121" spans="1:20" x14ac:dyDescent="0.2">
      <c r="A121" s="14">
        <f t="shared" si="19"/>
        <v>38832</v>
      </c>
      <c r="B121" s="1">
        <v>115</v>
      </c>
      <c r="C121" s="16">
        <f>ROUND(Data!BI121,2)</f>
        <v>26.17</v>
      </c>
      <c r="D121" s="3">
        <f>ROUND(Data!O121,1)</f>
        <v>12.6</v>
      </c>
      <c r="E121" s="3">
        <f>ROUND(Data!AA121,1)</f>
        <v>-6.2</v>
      </c>
      <c r="F121" s="3">
        <f>Data!BN121</f>
        <v>14.5</v>
      </c>
      <c r="G121" s="3">
        <f>Data!N121</f>
        <v>0</v>
      </c>
      <c r="H121" s="21">
        <f>Data!BE121</f>
        <v>820</v>
      </c>
      <c r="I121" s="13">
        <f t="shared" si="15"/>
        <v>0</v>
      </c>
      <c r="J121" s="3">
        <f>Data!BR121</f>
        <v>0</v>
      </c>
      <c r="K121" s="32">
        <f t="shared" si="20"/>
        <v>0</v>
      </c>
      <c r="M121" s="22">
        <f t="shared" ref="M121:N136" si="25">J121+M120</f>
        <v>88</v>
      </c>
      <c r="N121" s="22">
        <f t="shared" si="25"/>
        <v>313.00000000000006</v>
      </c>
      <c r="P121" s="24">
        <f t="shared" si="16"/>
        <v>0.4185365853658537</v>
      </c>
      <c r="Q121" s="24">
        <f t="shared" si="13"/>
        <v>0.4</v>
      </c>
      <c r="R121" s="21">
        <f t="shared" si="17"/>
        <v>328</v>
      </c>
      <c r="S121" s="22">
        <f t="shared" si="14"/>
        <v>-15.200000000000045</v>
      </c>
      <c r="T121" s="22">
        <f t="shared" si="18"/>
        <v>15.200000000000045</v>
      </c>
    </row>
    <row r="122" spans="1:20" x14ac:dyDescent="0.2">
      <c r="A122" s="14">
        <f t="shared" si="19"/>
        <v>38833</v>
      </c>
      <c r="B122" s="1">
        <v>116</v>
      </c>
      <c r="C122" s="16">
        <f>ROUND(Data!BI122,2)</f>
        <v>14.12</v>
      </c>
      <c r="D122" s="3">
        <f>ROUND(Data!O122,1)</f>
        <v>8.4</v>
      </c>
      <c r="E122" s="3">
        <f>ROUND(Data!AA122,1)</f>
        <v>-3.7</v>
      </c>
      <c r="F122" s="3">
        <f>Data!BN122</f>
        <v>36</v>
      </c>
      <c r="G122" s="3">
        <f>Data!N122</f>
        <v>0</v>
      </c>
      <c r="H122" s="21">
        <f>Data!BE122</f>
        <v>797</v>
      </c>
      <c r="I122" s="13">
        <f t="shared" si="15"/>
        <v>0</v>
      </c>
      <c r="J122" s="3">
        <f>Data!BR122</f>
        <v>0</v>
      </c>
      <c r="K122" s="32">
        <f t="shared" si="20"/>
        <v>0</v>
      </c>
      <c r="M122" s="22">
        <f t="shared" si="25"/>
        <v>88</v>
      </c>
      <c r="N122" s="22">
        <f t="shared" si="25"/>
        <v>313.00000000000006</v>
      </c>
      <c r="P122" s="24">
        <f t="shared" si="16"/>
        <v>0.41154328732747802</v>
      </c>
      <c r="Q122" s="24">
        <f t="shared" si="13"/>
        <v>0.4</v>
      </c>
      <c r="R122" s="21">
        <f t="shared" si="17"/>
        <v>318.8</v>
      </c>
      <c r="S122" s="22">
        <f t="shared" si="14"/>
        <v>-9.1999999999999886</v>
      </c>
      <c r="T122" s="22">
        <f t="shared" si="18"/>
        <v>9.1999999999999886</v>
      </c>
    </row>
    <row r="123" spans="1:20" x14ac:dyDescent="0.2">
      <c r="A123" s="14">
        <f t="shared" si="19"/>
        <v>38834</v>
      </c>
      <c r="B123" s="1">
        <v>117</v>
      </c>
      <c r="C123" s="16">
        <f>ROUND(Data!BI123,2)</f>
        <v>21.84</v>
      </c>
      <c r="D123" s="3">
        <f>ROUND(Data!O123,1)</f>
        <v>10</v>
      </c>
      <c r="E123" s="3">
        <f>ROUND(Data!AA123,1)</f>
        <v>-3.1</v>
      </c>
      <c r="F123" s="3">
        <f>Data!BN123</f>
        <v>43.3</v>
      </c>
      <c r="G123" s="3">
        <f>Data!N123</f>
        <v>0</v>
      </c>
      <c r="H123" s="21">
        <f>Data!BE123</f>
        <v>760</v>
      </c>
      <c r="I123" s="13">
        <f t="shared" si="15"/>
        <v>0</v>
      </c>
      <c r="J123" s="3">
        <f>Data!BR123</f>
        <v>0.2</v>
      </c>
      <c r="K123" s="32">
        <f t="shared" si="20"/>
        <v>0</v>
      </c>
      <c r="M123" s="22">
        <f t="shared" si="25"/>
        <v>88.2</v>
      </c>
      <c r="N123" s="22">
        <f t="shared" si="25"/>
        <v>313.00000000000006</v>
      </c>
      <c r="P123" s="24">
        <f t="shared" si="16"/>
        <v>0.41947368421052633</v>
      </c>
      <c r="Q123" s="24">
        <f t="shared" si="13"/>
        <v>0.4</v>
      </c>
      <c r="R123" s="21">
        <f t="shared" si="17"/>
        <v>304</v>
      </c>
      <c r="S123" s="22">
        <f t="shared" si="14"/>
        <v>-14.800000000000011</v>
      </c>
      <c r="T123" s="22">
        <f t="shared" si="18"/>
        <v>14.800000000000011</v>
      </c>
    </row>
    <row r="124" spans="1:20" x14ac:dyDescent="0.2">
      <c r="A124" s="14">
        <f t="shared" si="19"/>
        <v>38835</v>
      </c>
      <c r="B124" s="1">
        <v>118</v>
      </c>
      <c r="C124" s="16">
        <f>ROUND(Data!BI124,2)</f>
        <v>20.85</v>
      </c>
      <c r="D124" s="3">
        <f>ROUND(Data!O124,1)</f>
        <v>15.2</v>
      </c>
      <c r="E124" s="3">
        <f>ROUND(Data!AA124,1)</f>
        <v>-2.7</v>
      </c>
      <c r="F124" s="3">
        <f>Data!BN124</f>
        <v>37</v>
      </c>
      <c r="G124" s="3">
        <f>Data!N124</f>
        <v>0</v>
      </c>
      <c r="H124" s="21">
        <f>Data!BE124</f>
        <v>715</v>
      </c>
      <c r="I124" s="13">
        <f t="shared" si="15"/>
        <v>0</v>
      </c>
      <c r="J124" s="3">
        <f>Data!BR124</f>
        <v>1</v>
      </c>
      <c r="K124" s="32">
        <f t="shared" si="20"/>
        <v>0</v>
      </c>
      <c r="M124" s="22">
        <f t="shared" si="25"/>
        <v>89.2</v>
      </c>
      <c r="N124" s="22">
        <f t="shared" si="25"/>
        <v>313.00000000000006</v>
      </c>
      <c r="P124" s="24">
        <f t="shared" si="16"/>
        <v>0.42517482517482519</v>
      </c>
      <c r="Q124" s="24">
        <f t="shared" si="13"/>
        <v>0.4</v>
      </c>
      <c r="R124" s="21">
        <f t="shared" si="17"/>
        <v>286</v>
      </c>
      <c r="S124" s="22">
        <f t="shared" si="14"/>
        <v>-18</v>
      </c>
      <c r="T124" s="22">
        <f t="shared" si="18"/>
        <v>18</v>
      </c>
    </row>
    <row r="125" spans="1:20" x14ac:dyDescent="0.2">
      <c r="A125" s="14">
        <f t="shared" si="19"/>
        <v>38836</v>
      </c>
      <c r="B125" s="1">
        <v>119</v>
      </c>
      <c r="C125" s="16">
        <f>ROUND(Data!BI125,2)</f>
        <v>15.22</v>
      </c>
      <c r="D125" s="3">
        <f>ROUND(Data!O125,1)</f>
        <v>13.5</v>
      </c>
      <c r="E125" s="3">
        <f>ROUND(Data!AA125,1)</f>
        <v>-0.1</v>
      </c>
      <c r="F125" s="3">
        <f>Data!BN125</f>
        <v>48.5</v>
      </c>
      <c r="G125" s="3">
        <f>Data!N125</f>
        <v>19</v>
      </c>
      <c r="H125" s="21">
        <f>Data!BE125</f>
        <v>660</v>
      </c>
      <c r="I125" s="13">
        <f t="shared" si="15"/>
        <v>0</v>
      </c>
      <c r="J125" s="3">
        <f>Data!BR125</f>
        <v>4.2</v>
      </c>
      <c r="K125" s="33">
        <f t="shared" ref="K125:K133" si="26">ROUND(J125*L$3,1)</f>
        <v>4.4000000000000004</v>
      </c>
      <c r="M125" s="22">
        <f t="shared" si="25"/>
        <v>93.4</v>
      </c>
      <c r="N125" s="22">
        <f t="shared" si="25"/>
        <v>317.40000000000003</v>
      </c>
      <c r="P125" s="24">
        <f t="shared" si="16"/>
        <v>0.43999999999999995</v>
      </c>
      <c r="Q125" s="24">
        <f t="shared" si="13"/>
        <v>0.4</v>
      </c>
      <c r="R125" s="21">
        <f t="shared" si="17"/>
        <v>264</v>
      </c>
      <c r="S125" s="22">
        <f t="shared" si="14"/>
        <v>-22</v>
      </c>
      <c r="T125" s="22">
        <f t="shared" si="18"/>
        <v>26.4</v>
      </c>
    </row>
    <row r="126" spans="1:20" x14ac:dyDescent="0.2">
      <c r="A126" s="14">
        <f t="shared" si="19"/>
        <v>38837</v>
      </c>
      <c r="B126" s="1">
        <v>120</v>
      </c>
      <c r="C126" s="16">
        <f>ROUND(Data!BI126,2)</f>
        <v>26.1</v>
      </c>
      <c r="D126" s="3">
        <f>ROUND(Data!O126,1)</f>
        <v>7.7</v>
      </c>
      <c r="E126" s="3">
        <f>ROUND(Data!AA126,1)</f>
        <v>-4.2</v>
      </c>
      <c r="F126" s="3">
        <f>Data!BN126</f>
        <v>25.6</v>
      </c>
      <c r="G126" s="3">
        <f>Data!N126</f>
        <v>0</v>
      </c>
      <c r="H126" s="21">
        <f>Data!BE126</f>
        <v>620</v>
      </c>
      <c r="I126" s="13">
        <f t="shared" si="15"/>
        <v>0</v>
      </c>
      <c r="J126" s="3">
        <f>Data!BR126</f>
        <v>0.2</v>
      </c>
      <c r="K126" s="33">
        <f t="shared" si="26"/>
        <v>0.2</v>
      </c>
      <c r="M126" s="22">
        <f t="shared" si="25"/>
        <v>93.600000000000009</v>
      </c>
      <c r="N126" s="22">
        <f t="shared" si="25"/>
        <v>317.60000000000002</v>
      </c>
      <c r="P126" s="24">
        <f t="shared" si="16"/>
        <v>0.42612903225806448</v>
      </c>
      <c r="Q126" s="24">
        <f t="shared" si="13"/>
        <v>0.4</v>
      </c>
      <c r="R126" s="21">
        <f t="shared" si="17"/>
        <v>248</v>
      </c>
      <c r="S126" s="22">
        <f t="shared" si="14"/>
        <v>-16</v>
      </c>
      <c r="T126" s="22">
        <f t="shared" si="18"/>
        <v>16.2</v>
      </c>
    </row>
    <row r="127" spans="1:20" x14ac:dyDescent="0.2">
      <c r="A127" s="14">
        <f t="shared" si="19"/>
        <v>38838</v>
      </c>
      <c r="B127" s="1">
        <v>121</v>
      </c>
      <c r="C127" s="16">
        <f>ROUND(Data!BI127,2)</f>
        <v>8.24</v>
      </c>
      <c r="D127" s="3">
        <f>ROUND(Data!O127,1)</f>
        <v>0.6</v>
      </c>
      <c r="E127" s="3">
        <f>ROUND(Data!AA127,1)</f>
        <v>-4.5999999999999996</v>
      </c>
      <c r="F127" s="3">
        <f>Data!BN127</f>
        <v>74.599999999999994</v>
      </c>
      <c r="G127" s="3">
        <f>Data!N127</f>
        <v>2</v>
      </c>
      <c r="H127" s="21">
        <f>Data!BE127</f>
        <v>629</v>
      </c>
      <c r="I127" s="13">
        <f t="shared" si="15"/>
        <v>1.2</v>
      </c>
      <c r="J127" s="3">
        <f>Data!BR127</f>
        <v>4.5999999999999996</v>
      </c>
      <c r="K127" s="33">
        <f t="shared" si="26"/>
        <v>4.8</v>
      </c>
      <c r="M127" s="22">
        <f t="shared" si="25"/>
        <v>98.2</v>
      </c>
      <c r="N127" s="22">
        <f t="shared" si="25"/>
        <v>322.40000000000003</v>
      </c>
      <c r="P127" s="24">
        <f t="shared" si="16"/>
        <v>0.40190779014308425</v>
      </c>
      <c r="Q127" s="24">
        <f t="shared" si="13"/>
        <v>0.4</v>
      </c>
      <c r="R127" s="21">
        <f t="shared" si="17"/>
        <v>251.60000000000002</v>
      </c>
      <c r="S127" s="22">
        <f t="shared" si="14"/>
        <v>3.6000000000000227</v>
      </c>
      <c r="T127" s="22">
        <f t="shared" si="18"/>
        <v>1.1999999999999771</v>
      </c>
    </row>
    <row r="128" spans="1:20" x14ac:dyDescent="0.2">
      <c r="A128" s="14">
        <f t="shared" si="19"/>
        <v>38839</v>
      </c>
      <c r="B128" s="1">
        <v>122</v>
      </c>
      <c r="C128" s="16">
        <f>ROUND(Data!BI128,2)</f>
        <v>18.11</v>
      </c>
      <c r="D128" s="3">
        <f>ROUND(Data!O128,1)</f>
        <v>6.2</v>
      </c>
      <c r="E128" s="3">
        <f>ROUND(Data!AA128,1)</f>
        <v>-5.7</v>
      </c>
      <c r="F128" s="3">
        <f>Data!BN128</f>
        <v>38.700000000000003</v>
      </c>
      <c r="G128" s="3">
        <f>Data!N128</f>
        <v>0</v>
      </c>
      <c r="H128" s="21">
        <f>Data!BE128</f>
        <v>614</v>
      </c>
      <c r="I128" s="13">
        <f t="shared" si="15"/>
        <v>0</v>
      </c>
      <c r="J128" s="3">
        <f>Data!BR128</f>
        <v>0</v>
      </c>
      <c r="K128" s="33">
        <f t="shared" si="26"/>
        <v>0</v>
      </c>
      <c r="M128" s="22">
        <f t="shared" si="25"/>
        <v>98.2</v>
      </c>
      <c r="N128" s="22">
        <f t="shared" si="25"/>
        <v>322.40000000000003</v>
      </c>
      <c r="P128" s="24">
        <f t="shared" si="16"/>
        <v>0.40977198697068407</v>
      </c>
      <c r="Q128" s="24">
        <f t="shared" si="13"/>
        <v>0.4</v>
      </c>
      <c r="R128" s="21">
        <f t="shared" si="17"/>
        <v>245.60000000000002</v>
      </c>
      <c r="S128" s="22">
        <f t="shared" si="14"/>
        <v>-6</v>
      </c>
      <c r="T128" s="22">
        <f t="shared" si="18"/>
        <v>6</v>
      </c>
    </row>
    <row r="129" spans="1:20" x14ac:dyDescent="0.2">
      <c r="A129" s="14">
        <f t="shared" si="19"/>
        <v>38840</v>
      </c>
      <c r="B129" s="1">
        <v>123</v>
      </c>
      <c r="C129" s="16">
        <f>ROUND(Data!BI129,2)</f>
        <v>26.82</v>
      </c>
      <c r="D129" s="3">
        <f>ROUND(Data!O129,1)</f>
        <v>10.199999999999999</v>
      </c>
      <c r="E129" s="3">
        <f>ROUND(Data!AA129,1)</f>
        <v>-8.5</v>
      </c>
      <c r="F129" s="3">
        <f>Data!BN129</f>
        <v>21.3</v>
      </c>
      <c r="G129" s="3">
        <f>Data!N129</f>
        <v>0</v>
      </c>
      <c r="H129" s="21">
        <f>Data!BE129</f>
        <v>567</v>
      </c>
      <c r="I129" s="13">
        <f t="shared" si="15"/>
        <v>0</v>
      </c>
      <c r="J129" s="3">
        <f>Data!BR129</f>
        <v>0</v>
      </c>
      <c r="K129" s="33">
        <f t="shared" si="26"/>
        <v>0</v>
      </c>
      <c r="M129" s="22">
        <f t="shared" si="25"/>
        <v>98.2</v>
      </c>
      <c r="N129" s="22">
        <f t="shared" si="25"/>
        <v>322.40000000000003</v>
      </c>
      <c r="P129" s="24">
        <f t="shared" si="16"/>
        <v>0.43315696649029989</v>
      </c>
      <c r="Q129" s="24">
        <f t="shared" si="13"/>
        <v>0.4</v>
      </c>
      <c r="R129" s="21">
        <f t="shared" si="17"/>
        <v>226.8</v>
      </c>
      <c r="S129" s="22">
        <f t="shared" si="14"/>
        <v>-18.800000000000011</v>
      </c>
      <c r="T129" s="22">
        <f t="shared" si="18"/>
        <v>18.800000000000011</v>
      </c>
    </row>
    <row r="130" spans="1:20" x14ac:dyDescent="0.2">
      <c r="A130" s="14">
        <f t="shared" si="19"/>
        <v>38841</v>
      </c>
      <c r="B130" s="1">
        <v>124</v>
      </c>
      <c r="C130" s="16">
        <f>ROUND(Data!BI130,2)</f>
        <v>26.36</v>
      </c>
      <c r="D130" s="3">
        <f>ROUND(Data!O130,1)</f>
        <v>12.8</v>
      </c>
      <c r="E130" s="3">
        <f>ROUND(Data!AA130,1)</f>
        <v>-6.4</v>
      </c>
      <c r="F130" s="3">
        <f>Data!BN130</f>
        <v>23.7</v>
      </c>
      <c r="G130" s="3">
        <f>Data!N130</f>
        <v>0</v>
      </c>
      <c r="H130" s="21">
        <f>Data!BE130</f>
        <v>541</v>
      </c>
      <c r="I130" s="13">
        <f t="shared" si="15"/>
        <v>0</v>
      </c>
      <c r="J130" s="3">
        <f>Data!BR130</f>
        <v>0</v>
      </c>
      <c r="K130" s="33">
        <f t="shared" si="26"/>
        <v>0</v>
      </c>
      <c r="M130" s="22">
        <f t="shared" si="25"/>
        <v>98.2</v>
      </c>
      <c r="N130" s="22">
        <f t="shared" si="25"/>
        <v>322.40000000000003</v>
      </c>
      <c r="P130" s="24">
        <f t="shared" si="16"/>
        <v>0.41922365988909427</v>
      </c>
      <c r="Q130" s="24">
        <f t="shared" si="13"/>
        <v>0.4</v>
      </c>
      <c r="R130" s="21">
        <f t="shared" si="17"/>
        <v>216.4</v>
      </c>
      <c r="S130" s="22">
        <f t="shared" si="14"/>
        <v>-10.400000000000006</v>
      </c>
      <c r="T130" s="22">
        <f t="shared" si="18"/>
        <v>10.400000000000006</v>
      </c>
    </row>
    <row r="131" spans="1:20" x14ac:dyDescent="0.2">
      <c r="A131" s="14">
        <f t="shared" si="19"/>
        <v>38842</v>
      </c>
      <c r="B131" s="1">
        <v>125</v>
      </c>
      <c r="C131" s="16">
        <f>ROUND(Data!BI131,2)</f>
        <v>23.21</v>
      </c>
      <c r="D131" s="3">
        <f>ROUND(Data!O131,1)</f>
        <v>14.3</v>
      </c>
      <c r="E131" s="3">
        <f>ROUND(Data!AA131,1)</f>
        <v>-2.9</v>
      </c>
      <c r="F131" s="3">
        <f>Data!BN131</f>
        <v>23.2</v>
      </c>
      <c r="G131" s="3">
        <f>Data!N131</f>
        <v>0</v>
      </c>
      <c r="H131" s="21">
        <f>Data!BE131</f>
        <v>481</v>
      </c>
      <c r="I131" s="13">
        <f t="shared" si="15"/>
        <v>0</v>
      </c>
      <c r="J131" s="3">
        <f>Data!BR131</f>
        <v>0</v>
      </c>
      <c r="K131" s="33">
        <f t="shared" si="26"/>
        <v>0</v>
      </c>
      <c r="M131" s="22">
        <f t="shared" si="25"/>
        <v>98.2</v>
      </c>
      <c r="N131" s="22">
        <f t="shared" si="25"/>
        <v>322.40000000000003</v>
      </c>
      <c r="P131" s="24">
        <f t="shared" si="16"/>
        <v>0.44989604989604992</v>
      </c>
      <c r="Q131" s="24">
        <f t="shared" si="13"/>
        <v>0.4</v>
      </c>
      <c r="R131" s="21">
        <f t="shared" si="17"/>
        <v>192.4</v>
      </c>
      <c r="S131" s="22">
        <f t="shared" si="14"/>
        <v>-24</v>
      </c>
      <c r="T131" s="22">
        <f t="shared" si="18"/>
        <v>24</v>
      </c>
    </row>
    <row r="132" spans="1:20" x14ac:dyDescent="0.2">
      <c r="A132" s="14">
        <f t="shared" si="19"/>
        <v>38843</v>
      </c>
      <c r="B132" s="1">
        <v>126</v>
      </c>
      <c r="C132" s="16">
        <f>ROUND(Data!BI132,2)</f>
        <v>16.260000000000002</v>
      </c>
      <c r="D132" s="3">
        <f>ROUND(Data!O132,1)</f>
        <v>8.1</v>
      </c>
      <c r="E132" s="3">
        <f>ROUND(Data!AA132,1)</f>
        <v>-1.1000000000000001</v>
      </c>
      <c r="F132" s="3">
        <f>Data!BN132</f>
        <v>40.700000000000003</v>
      </c>
      <c r="G132" s="3">
        <f>Data!N132</f>
        <v>0</v>
      </c>
      <c r="H132" s="21">
        <f>Data!BE132</f>
        <v>474</v>
      </c>
      <c r="I132" s="13">
        <f t="shared" si="15"/>
        <v>0</v>
      </c>
      <c r="J132" s="3">
        <f>Data!BR132</f>
        <v>0.2</v>
      </c>
      <c r="K132" s="33">
        <f t="shared" si="26"/>
        <v>0.2</v>
      </c>
      <c r="M132" s="22">
        <f t="shared" si="25"/>
        <v>98.4</v>
      </c>
      <c r="N132" s="22">
        <f t="shared" si="25"/>
        <v>322.60000000000002</v>
      </c>
      <c r="P132" s="24">
        <f t="shared" si="16"/>
        <v>0.40632911392405063</v>
      </c>
      <c r="Q132" s="24">
        <f t="shared" si="13"/>
        <v>0.4</v>
      </c>
      <c r="R132" s="21">
        <f t="shared" si="17"/>
        <v>189.60000000000002</v>
      </c>
      <c r="S132" s="22">
        <f t="shared" si="14"/>
        <v>-2.7999999999999829</v>
      </c>
      <c r="T132" s="22">
        <f t="shared" si="18"/>
        <v>2.9999999999999831</v>
      </c>
    </row>
    <row r="133" spans="1:20" x14ac:dyDescent="0.2">
      <c r="A133" s="14">
        <f t="shared" si="19"/>
        <v>38844</v>
      </c>
      <c r="B133" s="1">
        <v>127</v>
      </c>
      <c r="C133" s="16">
        <f>ROUND(Data!BI133,2)</f>
        <v>15.53</v>
      </c>
      <c r="D133" s="3">
        <f>ROUND(Data!O133,1)</f>
        <v>6.9</v>
      </c>
      <c r="E133" s="3">
        <f>ROUND(Data!AA133,1)</f>
        <v>-2.7</v>
      </c>
      <c r="F133" s="3">
        <f>Data!BN133</f>
        <v>48.5</v>
      </c>
      <c r="G133" s="3">
        <f>Data!N133</f>
        <v>0</v>
      </c>
      <c r="H133" s="21">
        <f>Data!BE133</f>
        <v>438</v>
      </c>
      <c r="I133" s="13">
        <f t="shared" si="15"/>
        <v>0</v>
      </c>
      <c r="J133" s="3">
        <f>Data!BR133</f>
        <v>0.8</v>
      </c>
      <c r="K133" s="33">
        <f t="shared" si="26"/>
        <v>0.8</v>
      </c>
      <c r="M133" s="22">
        <f t="shared" si="25"/>
        <v>99.2</v>
      </c>
      <c r="N133" s="22">
        <f t="shared" si="25"/>
        <v>323.40000000000003</v>
      </c>
      <c r="P133" s="24">
        <f t="shared" si="16"/>
        <v>0.43470319634703203</v>
      </c>
      <c r="Q133" s="24">
        <f t="shared" si="13"/>
        <v>0.4</v>
      </c>
      <c r="R133" s="21">
        <f t="shared" si="17"/>
        <v>175.20000000000002</v>
      </c>
      <c r="S133" s="22">
        <f t="shared" si="14"/>
        <v>-14.400000000000006</v>
      </c>
      <c r="T133" s="22">
        <f t="shared" si="18"/>
        <v>15.200000000000006</v>
      </c>
    </row>
    <row r="134" spans="1:20" x14ac:dyDescent="0.2">
      <c r="A134" s="14">
        <f t="shared" si="19"/>
        <v>38845</v>
      </c>
      <c r="B134" s="1">
        <v>128</v>
      </c>
      <c r="C134" s="16">
        <f>ROUND(Data!BI134,2)</f>
        <v>21.23</v>
      </c>
      <c r="D134" s="3">
        <f>ROUND(Data!O134,1)</f>
        <v>3.1</v>
      </c>
      <c r="E134" s="3">
        <f>ROUND(Data!AA134,1)</f>
        <v>-5.8</v>
      </c>
      <c r="F134" s="3">
        <f>Data!BN134</f>
        <v>38.700000000000003</v>
      </c>
      <c r="G134" s="3">
        <f>Data!N134</f>
        <v>4</v>
      </c>
      <c r="H134" s="21">
        <f>Data!BE134</f>
        <v>448</v>
      </c>
      <c r="I134" s="13">
        <f t="shared" si="15"/>
        <v>1.3</v>
      </c>
      <c r="J134" s="3">
        <f>Data!BR134</f>
        <v>1.6</v>
      </c>
      <c r="K134" s="35">
        <f t="shared" ref="K134:K145" si="27">G134</f>
        <v>4</v>
      </c>
      <c r="M134" s="22">
        <f t="shared" si="25"/>
        <v>100.8</v>
      </c>
      <c r="N134" s="22">
        <f t="shared" si="25"/>
        <v>327.40000000000003</v>
      </c>
      <c r="P134" s="24">
        <f t="shared" si="16"/>
        <v>0.4</v>
      </c>
      <c r="Q134" s="24">
        <f t="shared" si="13"/>
        <v>0.4</v>
      </c>
      <c r="R134" s="21">
        <f t="shared" si="17"/>
        <v>179.20000000000002</v>
      </c>
      <c r="S134" s="22">
        <f t="shared" si="14"/>
        <v>4</v>
      </c>
      <c r="T134" s="22">
        <f t="shared" si="18"/>
        <v>0</v>
      </c>
    </row>
    <row r="135" spans="1:20" x14ac:dyDescent="0.2">
      <c r="A135" s="14">
        <f t="shared" si="19"/>
        <v>38846</v>
      </c>
      <c r="B135" s="1">
        <v>129</v>
      </c>
      <c r="C135" s="16">
        <f>ROUND(Data!BI135,2)</f>
        <v>24.47</v>
      </c>
      <c r="D135" s="3">
        <f>ROUND(Data!O135,1)</f>
        <v>6.7</v>
      </c>
      <c r="E135" s="3">
        <f>ROUND(Data!AA135,1)</f>
        <v>-8.9</v>
      </c>
      <c r="F135" s="3">
        <f>Data!BN135</f>
        <v>29.4</v>
      </c>
      <c r="G135" s="3">
        <f>Data!N135</f>
        <v>0</v>
      </c>
      <c r="H135" s="21">
        <f>Data!BE135</f>
        <v>424</v>
      </c>
      <c r="I135" s="13">
        <f t="shared" si="15"/>
        <v>0</v>
      </c>
      <c r="J135" s="3">
        <f>Data!BR135</f>
        <v>0</v>
      </c>
      <c r="K135" s="35">
        <f t="shared" si="27"/>
        <v>0</v>
      </c>
      <c r="M135" s="22">
        <f t="shared" si="25"/>
        <v>100.8</v>
      </c>
      <c r="N135" s="22">
        <f t="shared" si="25"/>
        <v>327.40000000000003</v>
      </c>
      <c r="P135" s="24">
        <f t="shared" si="16"/>
        <v>0.42264150943396228</v>
      </c>
      <c r="Q135" s="24">
        <f t="shared" ref="Q135:Q142" si="28">IF(P135&gt;Q$1,Q$1,P135)</f>
        <v>0.4</v>
      </c>
      <c r="R135" s="21">
        <f t="shared" si="17"/>
        <v>169.60000000000002</v>
      </c>
      <c r="S135" s="22">
        <f t="shared" ref="S135:S142" si="29">R135-R134</f>
        <v>-9.5999999999999943</v>
      </c>
      <c r="T135" s="22">
        <f t="shared" si="18"/>
        <v>9.5999999999999943</v>
      </c>
    </row>
    <row r="136" spans="1:20" x14ac:dyDescent="0.2">
      <c r="A136" s="14">
        <f t="shared" si="19"/>
        <v>38847</v>
      </c>
      <c r="B136" s="1">
        <v>130</v>
      </c>
      <c r="C136" s="16">
        <f>ROUND(Data!BI136,2)</f>
        <v>21.31</v>
      </c>
      <c r="D136" s="3">
        <f>ROUND(Data!O136,1)</f>
        <v>9.8000000000000007</v>
      </c>
      <c r="E136" s="3">
        <f>ROUND(Data!AA136,1)</f>
        <v>-6.9</v>
      </c>
      <c r="F136" s="3">
        <f>Data!BN136</f>
        <v>27.3</v>
      </c>
      <c r="G136" s="3">
        <f>Data!N136</f>
        <v>0</v>
      </c>
      <c r="H136" s="21">
        <f>Data!BE136</f>
        <v>394</v>
      </c>
      <c r="I136" s="13">
        <f t="shared" ref="I136:I199" si="30">IF(H136&gt;H135,ROUND((H136-H135)*I$1,1),0)</f>
        <v>0</v>
      </c>
      <c r="J136" s="3">
        <f>Data!BR136</f>
        <v>0</v>
      </c>
      <c r="K136" s="35">
        <f t="shared" si="27"/>
        <v>0</v>
      </c>
      <c r="M136" s="22">
        <f t="shared" si="25"/>
        <v>100.8</v>
      </c>
      <c r="N136" s="22">
        <f t="shared" si="25"/>
        <v>327.40000000000003</v>
      </c>
      <c r="P136" s="24">
        <f t="shared" ref="P136:P142" si="31">(R135+K136)/H136</f>
        <v>0.43045685279187823</v>
      </c>
      <c r="Q136" s="24">
        <f t="shared" si="28"/>
        <v>0.4</v>
      </c>
      <c r="R136" s="21">
        <f t="shared" ref="R136:R142" si="32">Q136*H136</f>
        <v>157.60000000000002</v>
      </c>
      <c r="S136" s="22">
        <f t="shared" si="29"/>
        <v>-12</v>
      </c>
      <c r="T136" s="22">
        <f t="shared" ref="T136:T142" si="33">K136-S136</f>
        <v>12</v>
      </c>
    </row>
    <row r="137" spans="1:20" x14ac:dyDescent="0.2">
      <c r="A137" s="14">
        <f t="shared" ref="A137:A200" si="34">A136+1</f>
        <v>38848</v>
      </c>
      <c r="B137" s="1">
        <v>131</v>
      </c>
      <c r="C137" s="16">
        <f>ROUND(Data!BI137,2)</f>
        <v>12.91</v>
      </c>
      <c r="D137" s="3">
        <f>ROUND(Data!O137,1)</f>
        <v>10.7</v>
      </c>
      <c r="E137" s="3">
        <f>ROUND(Data!AA137,1)</f>
        <v>-2</v>
      </c>
      <c r="F137" s="3">
        <f>Data!BN137</f>
        <v>34.299999999999997</v>
      </c>
      <c r="G137" s="3">
        <f>Data!N137</f>
        <v>3</v>
      </c>
      <c r="H137" s="21">
        <f>Data!BE137</f>
        <v>365</v>
      </c>
      <c r="I137" s="13">
        <f t="shared" si="30"/>
        <v>0</v>
      </c>
      <c r="J137" s="3">
        <f>Data!BR137</f>
        <v>4</v>
      </c>
      <c r="K137" s="35">
        <f t="shared" si="27"/>
        <v>3</v>
      </c>
      <c r="M137" s="22">
        <f t="shared" ref="M137:N152" si="35">J137+M136</f>
        <v>104.8</v>
      </c>
      <c r="N137" s="22">
        <f t="shared" si="35"/>
        <v>330.40000000000003</v>
      </c>
      <c r="P137" s="24">
        <f t="shared" si="31"/>
        <v>0.44000000000000006</v>
      </c>
      <c r="Q137" s="24">
        <f t="shared" si="28"/>
        <v>0.4</v>
      </c>
      <c r="R137" s="21">
        <f t="shared" si="32"/>
        <v>146</v>
      </c>
      <c r="S137" s="22">
        <f t="shared" si="29"/>
        <v>-11.600000000000023</v>
      </c>
      <c r="T137" s="22">
        <f t="shared" si="33"/>
        <v>14.600000000000023</v>
      </c>
    </row>
    <row r="138" spans="1:20" x14ac:dyDescent="0.2">
      <c r="A138" s="14">
        <f t="shared" si="34"/>
        <v>38849</v>
      </c>
      <c r="B138" s="1">
        <v>132</v>
      </c>
      <c r="C138" s="16">
        <f>ROUND(Data!BI138,2)</f>
        <v>19.28</v>
      </c>
      <c r="D138" s="3">
        <f>ROUND(Data!O138,1)</f>
        <v>4</v>
      </c>
      <c r="E138" s="3">
        <f>ROUND(Data!AA138,1)</f>
        <v>-3.2</v>
      </c>
      <c r="F138" s="3">
        <f>Data!BN138</f>
        <v>44.7</v>
      </c>
      <c r="G138" s="3">
        <f>Data!N138</f>
        <v>0</v>
      </c>
      <c r="H138" s="21">
        <f>Data!BE138</f>
        <v>286</v>
      </c>
      <c r="I138" s="13">
        <f t="shared" si="30"/>
        <v>0</v>
      </c>
      <c r="J138" s="3">
        <f>Data!BR138</f>
        <v>0.6</v>
      </c>
      <c r="K138" s="35">
        <f t="shared" si="27"/>
        <v>0</v>
      </c>
      <c r="M138" s="22">
        <f t="shared" si="35"/>
        <v>105.39999999999999</v>
      </c>
      <c r="N138" s="22">
        <f t="shared" si="35"/>
        <v>330.40000000000003</v>
      </c>
      <c r="P138" s="24">
        <f t="shared" si="31"/>
        <v>0.51048951048951052</v>
      </c>
      <c r="Q138" s="24">
        <f t="shared" si="28"/>
        <v>0.4</v>
      </c>
      <c r="R138" s="21">
        <f t="shared" si="32"/>
        <v>114.4</v>
      </c>
      <c r="S138" s="22">
        <f t="shared" si="29"/>
        <v>-31.599999999999994</v>
      </c>
      <c r="T138" s="22">
        <f t="shared" si="33"/>
        <v>31.599999999999994</v>
      </c>
    </row>
    <row r="139" spans="1:20" x14ac:dyDescent="0.2">
      <c r="A139" s="14">
        <f t="shared" si="34"/>
        <v>38850</v>
      </c>
      <c r="B139" s="1">
        <v>133</v>
      </c>
      <c r="C139" s="16">
        <f>ROUND(Data!BI139,2)</f>
        <v>24.41</v>
      </c>
      <c r="D139" s="3">
        <f>ROUND(Data!O139,1)</f>
        <v>9.6999999999999993</v>
      </c>
      <c r="E139" s="3">
        <f>ROUND(Data!AA139,1)</f>
        <v>-6.1</v>
      </c>
      <c r="F139" s="3">
        <f>Data!BN139</f>
        <v>33.5</v>
      </c>
      <c r="G139" s="3">
        <f>Data!N139</f>
        <v>0</v>
      </c>
      <c r="H139" s="21">
        <f>Data!BE139</f>
        <v>326</v>
      </c>
      <c r="I139" s="13">
        <f t="shared" si="30"/>
        <v>5.2</v>
      </c>
      <c r="J139" s="3">
        <f>Data!BR139</f>
        <v>0</v>
      </c>
      <c r="K139" s="35">
        <f t="shared" si="27"/>
        <v>0</v>
      </c>
      <c r="M139" s="22">
        <f t="shared" si="35"/>
        <v>105.39999999999999</v>
      </c>
      <c r="N139" s="22">
        <f t="shared" si="35"/>
        <v>330.40000000000003</v>
      </c>
      <c r="P139" s="24">
        <f t="shared" si="31"/>
        <v>0.35092024539877303</v>
      </c>
      <c r="Q139" s="24">
        <f t="shared" si="28"/>
        <v>0.35092024539877303</v>
      </c>
      <c r="R139" s="21">
        <f t="shared" si="32"/>
        <v>114.4</v>
      </c>
      <c r="S139" s="22">
        <f t="shared" si="29"/>
        <v>0</v>
      </c>
      <c r="T139" s="22">
        <f t="shared" si="33"/>
        <v>0</v>
      </c>
    </row>
    <row r="140" spans="1:20" x14ac:dyDescent="0.2">
      <c r="A140" s="14">
        <f t="shared" si="34"/>
        <v>38851</v>
      </c>
      <c r="B140" s="1">
        <v>134</v>
      </c>
      <c r="C140" s="16">
        <f>ROUND(Data!BI140,2)</f>
        <v>27.52</v>
      </c>
      <c r="D140" s="3">
        <f>ROUND(Data!O140,1)</f>
        <v>16.100000000000001</v>
      </c>
      <c r="E140" s="3">
        <f>ROUND(Data!AA140,1)</f>
        <v>-4.3</v>
      </c>
      <c r="F140" s="3">
        <f>Data!BN140</f>
        <v>22.6</v>
      </c>
      <c r="G140" s="3">
        <f>Data!N140</f>
        <v>0</v>
      </c>
      <c r="H140" s="21">
        <f>Data!BE140</f>
        <v>269</v>
      </c>
      <c r="I140" s="13">
        <f t="shared" si="30"/>
        <v>0</v>
      </c>
      <c r="J140" s="3">
        <f>Data!BR140</f>
        <v>0</v>
      </c>
      <c r="K140" s="35">
        <f t="shared" si="27"/>
        <v>0</v>
      </c>
      <c r="M140" s="22">
        <f t="shared" si="35"/>
        <v>105.39999999999999</v>
      </c>
      <c r="N140" s="22">
        <f t="shared" si="35"/>
        <v>330.40000000000003</v>
      </c>
      <c r="P140" s="24">
        <f t="shared" si="31"/>
        <v>0.42527881040892196</v>
      </c>
      <c r="Q140" s="24">
        <f t="shared" si="28"/>
        <v>0.4</v>
      </c>
      <c r="R140" s="21">
        <f t="shared" si="32"/>
        <v>107.60000000000001</v>
      </c>
      <c r="S140" s="22">
        <f t="shared" si="29"/>
        <v>-6.7999999999999972</v>
      </c>
      <c r="T140" s="22">
        <f t="shared" si="33"/>
        <v>6.7999999999999972</v>
      </c>
    </row>
    <row r="141" spans="1:20" x14ac:dyDescent="0.2">
      <c r="A141" s="14">
        <f t="shared" si="34"/>
        <v>38852</v>
      </c>
      <c r="B141" s="1">
        <v>135</v>
      </c>
      <c r="C141" s="16">
        <f>ROUND(Data!BI141,2)</f>
        <v>30.17</v>
      </c>
      <c r="D141" s="3">
        <f>ROUND(Data!O141,1)</f>
        <v>22.4</v>
      </c>
      <c r="E141" s="3">
        <f>ROUND(Data!AA141,1)</f>
        <v>-1.3</v>
      </c>
      <c r="F141" s="3">
        <f>Data!BN141</f>
        <v>19.899999999999999</v>
      </c>
      <c r="G141" s="3">
        <f>Data!N141</f>
        <v>0</v>
      </c>
      <c r="H141" s="21">
        <f>Data!BE141</f>
        <v>180</v>
      </c>
      <c r="I141" s="13">
        <f t="shared" si="30"/>
        <v>0</v>
      </c>
      <c r="J141" s="3">
        <f>Data!BR141</f>
        <v>0</v>
      </c>
      <c r="K141" s="35">
        <f t="shared" si="27"/>
        <v>0</v>
      </c>
      <c r="M141" s="22">
        <f t="shared" si="35"/>
        <v>105.39999999999999</v>
      </c>
      <c r="N141" s="22">
        <f t="shared" si="35"/>
        <v>330.40000000000003</v>
      </c>
      <c r="P141" s="24">
        <f t="shared" si="31"/>
        <v>0.59777777777777785</v>
      </c>
      <c r="Q141" s="24">
        <f t="shared" si="28"/>
        <v>0.4</v>
      </c>
      <c r="R141" s="21">
        <f t="shared" si="32"/>
        <v>72</v>
      </c>
      <c r="S141" s="22">
        <f t="shared" si="29"/>
        <v>-35.600000000000009</v>
      </c>
      <c r="T141" s="22">
        <f t="shared" si="33"/>
        <v>35.600000000000009</v>
      </c>
    </row>
    <row r="142" spans="1:20" x14ac:dyDescent="0.2">
      <c r="A142" s="14">
        <f t="shared" si="34"/>
        <v>38853</v>
      </c>
      <c r="B142" s="1">
        <v>136</v>
      </c>
      <c r="C142" s="16">
        <f>ROUND(Data!BI142,2)</f>
        <v>29.93</v>
      </c>
      <c r="D142" s="3">
        <f>ROUND(Data!O142,1)</f>
        <v>24.5</v>
      </c>
      <c r="E142" s="3">
        <f>ROUND(Data!AA142,1)</f>
        <v>2.1</v>
      </c>
      <c r="F142" s="3">
        <f>Data!BN142</f>
        <v>19.899999999999999</v>
      </c>
      <c r="G142" s="3">
        <f>Data!N142</f>
        <v>0</v>
      </c>
      <c r="H142" s="21">
        <f>Data!BE142</f>
        <v>37</v>
      </c>
      <c r="I142" s="13">
        <f t="shared" si="30"/>
        <v>0</v>
      </c>
      <c r="J142" s="3">
        <f>Data!BR142</f>
        <v>0</v>
      </c>
      <c r="K142" s="35">
        <f t="shared" si="27"/>
        <v>0</v>
      </c>
      <c r="M142" s="22">
        <f t="shared" si="35"/>
        <v>105.39999999999999</v>
      </c>
      <c r="N142" s="22">
        <f t="shared" si="35"/>
        <v>330.40000000000003</v>
      </c>
      <c r="P142" s="24">
        <f t="shared" si="31"/>
        <v>1.9459459459459461</v>
      </c>
      <c r="Q142" s="24">
        <f t="shared" si="28"/>
        <v>0.4</v>
      </c>
      <c r="R142" s="21">
        <f t="shared" si="32"/>
        <v>14.8</v>
      </c>
      <c r="S142" s="22">
        <f t="shared" si="29"/>
        <v>-57.2</v>
      </c>
      <c r="T142" s="22">
        <f t="shared" si="33"/>
        <v>57.2</v>
      </c>
    </row>
    <row r="143" spans="1:20" x14ac:dyDescent="0.2">
      <c r="A143" s="14">
        <f t="shared" si="34"/>
        <v>38854</v>
      </c>
      <c r="B143" s="1">
        <v>137</v>
      </c>
      <c r="C143" s="16">
        <f>ROUND(Data!BI143,2)</f>
        <v>25.22</v>
      </c>
      <c r="D143" s="3">
        <f>ROUND(Data!O143,1)</f>
        <v>24.5</v>
      </c>
      <c r="E143" s="3">
        <f>ROUND(Data!AA143,1)</f>
        <v>1.5</v>
      </c>
      <c r="F143" s="3">
        <f>Data!BN143</f>
        <v>23.7</v>
      </c>
      <c r="G143" s="3">
        <f>Data!N143</f>
        <v>0</v>
      </c>
      <c r="H143" s="21">
        <f>Data!BE143</f>
        <v>0</v>
      </c>
      <c r="I143" s="13">
        <f t="shared" si="30"/>
        <v>0</v>
      </c>
      <c r="J143" s="3">
        <f>Data!BR143</f>
        <v>1.2</v>
      </c>
      <c r="K143" s="35">
        <f t="shared" si="27"/>
        <v>0</v>
      </c>
      <c r="M143" s="22">
        <f t="shared" si="35"/>
        <v>106.6</v>
      </c>
      <c r="N143" s="22">
        <f t="shared" si="35"/>
        <v>330.40000000000003</v>
      </c>
      <c r="P143" s="34">
        <v>1</v>
      </c>
      <c r="Q143" s="24">
        <f t="shared" ref="Q143" si="36">IF(P143&gt;Q$1,Q$1,P143)</f>
        <v>0.4</v>
      </c>
      <c r="R143" s="21">
        <f t="shared" ref="R143" si="37">Q143*H143</f>
        <v>0</v>
      </c>
      <c r="S143" s="22">
        <f t="shared" ref="S143" si="38">R143-R142</f>
        <v>-14.8</v>
      </c>
      <c r="T143" s="22">
        <f t="shared" ref="T143" si="39">K143-S143</f>
        <v>14.8</v>
      </c>
    </row>
    <row r="144" spans="1:20" x14ac:dyDescent="0.2">
      <c r="A144" s="14">
        <f t="shared" si="34"/>
        <v>38855</v>
      </c>
      <c r="B144" s="1">
        <v>138</v>
      </c>
      <c r="C144" s="16">
        <f>ROUND(Data!BI144,2)</f>
        <v>28.13</v>
      </c>
      <c r="D144" s="3">
        <f>ROUND(Data!O144,1)</f>
        <v>22.3</v>
      </c>
      <c r="E144" s="3">
        <f>ROUND(Data!AA144,1)</f>
        <v>2.4</v>
      </c>
      <c r="F144" s="3">
        <f>Data!BN144</f>
        <v>22.7</v>
      </c>
      <c r="G144" s="3">
        <f>Data!N144</f>
        <v>0</v>
      </c>
      <c r="H144" s="21">
        <f>Data!BE144</f>
        <v>0</v>
      </c>
      <c r="I144" s="13">
        <f t="shared" si="30"/>
        <v>0</v>
      </c>
      <c r="J144" s="3">
        <f>Data!BR144</f>
        <v>0</v>
      </c>
      <c r="K144" s="35">
        <f t="shared" si="27"/>
        <v>0</v>
      </c>
      <c r="M144" s="22">
        <f t="shared" si="35"/>
        <v>106.6</v>
      </c>
      <c r="N144" s="22">
        <f t="shared" si="35"/>
        <v>330.40000000000003</v>
      </c>
      <c r="P144" s="39"/>
      <c r="Q144" s="39"/>
      <c r="R144" s="40"/>
      <c r="S144" s="41"/>
      <c r="T144" s="41"/>
    </row>
    <row r="145" spans="1:20" x14ac:dyDescent="0.2">
      <c r="A145" s="14">
        <f t="shared" si="34"/>
        <v>38856</v>
      </c>
      <c r="B145" s="1">
        <v>139</v>
      </c>
      <c r="C145" s="16">
        <f>ROUND(Data!BI145,2)</f>
        <v>23.87</v>
      </c>
      <c r="D145" s="3">
        <f>ROUND(Data!O145,1)</f>
        <v>21</v>
      </c>
      <c r="E145" s="3">
        <f>ROUND(Data!AA145,1)</f>
        <v>0.6</v>
      </c>
      <c r="F145" s="3">
        <f>Data!BN145</f>
        <v>20.399999999999999</v>
      </c>
      <c r="G145" s="3">
        <f>Data!N145</f>
        <v>0</v>
      </c>
      <c r="H145" s="21">
        <f>Data!BE145</f>
        <v>0</v>
      </c>
      <c r="I145" s="13">
        <f t="shared" si="30"/>
        <v>0</v>
      </c>
      <c r="J145" s="3">
        <f>Data!BR145</f>
        <v>0</v>
      </c>
      <c r="K145" s="35">
        <f t="shared" si="27"/>
        <v>0</v>
      </c>
      <c r="M145" s="22">
        <f t="shared" si="35"/>
        <v>106.6</v>
      </c>
      <c r="N145" s="22">
        <f t="shared" si="35"/>
        <v>330.40000000000003</v>
      </c>
      <c r="P145" s="39"/>
      <c r="Q145" s="39"/>
      <c r="R145" s="40"/>
      <c r="S145" s="41"/>
      <c r="T145" s="41"/>
    </row>
    <row r="146" spans="1:20" x14ac:dyDescent="0.2">
      <c r="A146" s="14">
        <f t="shared" si="34"/>
        <v>38857</v>
      </c>
      <c r="B146" s="1">
        <v>140</v>
      </c>
      <c r="C146" s="16">
        <f>ROUND(Data!BI146,2)</f>
        <v>4.1900000000000004</v>
      </c>
      <c r="D146" s="3">
        <f>ROUND(Data!O146,1)</f>
        <v>9.1999999999999993</v>
      </c>
      <c r="E146" s="3">
        <f>ROUND(Data!AA146,1)</f>
        <v>4</v>
      </c>
      <c r="F146" s="3">
        <f>Data!BN146</f>
        <v>78.599999999999994</v>
      </c>
      <c r="G146" s="3">
        <f>Data!N146</f>
        <v>16</v>
      </c>
      <c r="H146" s="21">
        <f>Data!BE146</f>
        <v>0</v>
      </c>
      <c r="I146" s="13">
        <f t="shared" si="30"/>
        <v>0</v>
      </c>
      <c r="J146" s="3">
        <f>Data!BR146</f>
        <v>13.4</v>
      </c>
      <c r="K146" s="35">
        <f t="shared" ref="K146:K209" si="40">G146</f>
        <v>16</v>
      </c>
      <c r="M146" s="22">
        <f t="shared" si="35"/>
        <v>120</v>
      </c>
      <c r="N146" s="22">
        <f t="shared" si="35"/>
        <v>346.40000000000003</v>
      </c>
    </row>
    <row r="147" spans="1:20" x14ac:dyDescent="0.2">
      <c r="A147" s="14">
        <f t="shared" si="34"/>
        <v>38858</v>
      </c>
      <c r="B147" s="1">
        <v>141</v>
      </c>
      <c r="C147" s="16">
        <f>ROUND(Data!BI147,2)</f>
        <v>23.6</v>
      </c>
      <c r="D147" s="3">
        <f>ROUND(Data!O147,1)</f>
        <v>14.4</v>
      </c>
      <c r="E147" s="3">
        <f>ROUND(Data!AA147,1)</f>
        <v>-0.2</v>
      </c>
      <c r="F147" s="3">
        <f>Data!BN147</f>
        <v>43.7</v>
      </c>
      <c r="G147" s="3">
        <f>Data!N147</f>
        <v>1</v>
      </c>
      <c r="H147" s="21">
        <f>Data!BE147</f>
        <v>0</v>
      </c>
      <c r="I147" s="13">
        <f t="shared" si="30"/>
        <v>0</v>
      </c>
      <c r="J147" s="3">
        <f>Data!BR147</f>
        <v>1</v>
      </c>
      <c r="K147" s="35">
        <f t="shared" si="40"/>
        <v>1</v>
      </c>
      <c r="M147" s="22">
        <f t="shared" si="35"/>
        <v>121</v>
      </c>
      <c r="N147" s="22">
        <f t="shared" si="35"/>
        <v>347.40000000000003</v>
      </c>
      <c r="P147" s="24"/>
      <c r="Q147" s="24"/>
      <c r="R147" s="21"/>
      <c r="S147" s="22"/>
      <c r="T147" s="22"/>
    </row>
    <row r="148" spans="1:20" x14ac:dyDescent="0.2">
      <c r="A148" s="14">
        <f t="shared" si="34"/>
        <v>38859</v>
      </c>
      <c r="B148" s="1">
        <v>142</v>
      </c>
      <c r="C148" s="16">
        <f>ROUND(Data!BI148,2)</f>
        <v>15.3</v>
      </c>
      <c r="D148" s="3">
        <f>ROUND(Data!O148,1)</f>
        <v>15.9</v>
      </c>
      <c r="E148" s="3">
        <f>ROUND(Data!AA148,1)</f>
        <v>2</v>
      </c>
      <c r="F148" s="3">
        <f>Data!BN148</f>
        <v>47.5</v>
      </c>
      <c r="G148" s="3">
        <f>Data!N148</f>
        <v>5</v>
      </c>
      <c r="H148" s="21">
        <f>Data!BE148</f>
        <v>0</v>
      </c>
      <c r="I148" s="13">
        <f t="shared" si="30"/>
        <v>0</v>
      </c>
      <c r="J148" s="3">
        <f>Data!BR148</f>
        <v>10</v>
      </c>
      <c r="K148" s="35">
        <f t="shared" si="40"/>
        <v>5</v>
      </c>
      <c r="M148" s="22">
        <f t="shared" si="35"/>
        <v>131</v>
      </c>
      <c r="N148" s="22">
        <f t="shared" si="35"/>
        <v>352.40000000000003</v>
      </c>
      <c r="P148" s="24"/>
      <c r="Q148" s="24"/>
      <c r="R148" s="21"/>
      <c r="S148" s="22"/>
      <c r="T148" s="22"/>
    </row>
    <row r="149" spans="1:20" x14ac:dyDescent="0.2">
      <c r="A149" s="14">
        <f t="shared" si="34"/>
        <v>38860</v>
      </c>
      <c r="B149" s="1">
        <v>143</v>
      </c>
      <c r="C149" s="16">
        <f>ROUND(Data!BI149,2)</f>
        <v>19.170000000000002</v>
      </c>
      <c r="D149" s="3">
        <f>ROUND(Data!O149,1)</f>
        <v>12.1</v>
      </c>
      <c r="E149" s="3">
        <f>ROUND(Data!AA149,1)</f>
        <v>1</v>
      </c>
      <c r="F149" s="3">
        <f>Data!BN149</f>
        <v>50.6</v>
      </c>
      <c r="G149" s="3">
        <f>Data!N149</f>
        <v>8</v>
      </c>
      <c r="H149" s="21">
        <f>Data!BE149</f>
        <v>0</v>
      </c>
      <c r="I149" s="13">
        <f t="shared" si="30"/>
        <v>0</v>
      </c>
      <c r="J149" s="3">
        <f>Data!BR149</f>
        <v>6</v>
      </c>
      <c r="K149" s="35">
        <f t="shared" si="40"/>
        <v>8</v>
      </c>
      <c r="M149" s="22">
        <f t="shared" si="35"/>
        <v>137</v>
      </c>
      <c r="N149" s="22">
        <f t="shared" si="35"/>
        <v>360.40000000000003</v>
      </c>
      <c r="P149" s="24"/>
      <c r="Q149" s="24"/>
      <c r="R149" s="21"/>
      <c r="S149" s="22"/>
      <c r="T149" s="22"/>
    </row>
    <row r="150" spans="1:20" x14ac:dyDescent="0.2">
      <c r="A150" s="14">
        <f t="shared" si="34"/>
        <v>38861</v>
      </c>
      <c r="B150" s="1">
        <v>144</v>
      </c>
      <c r="C150" s="16">
        <f>ROUND(Data!BI150,2)</f>
        <v>7.75</v>
      </c>
      <c r="D150" s="3">
        <f>ROUND(Data!O150,1)</f>
        <v>8.1999999999999993</v>
      </c>
      <c r="E150" s="3">
        <f>ROUND(Data!AA150,1)</f>
        <v>-0.1</v>
      </c>
      <c r="F150" s="3">
        <f>Data!BN150</f>
        <v>78</v>
      </c>
      <c r="G150" s="3">
        <f>Data!N150</f>
        <v>20</v>
      </c>
      <c r="H150" s="21">
        <f>Data!BE150</f>
        <v>0</v>
      </c>
      <c r="I150" s="13">
        <f t="shared" si="30"/>
        <v>0</v>
      </c>
      <c r="J150" s="3">
        <f>Data!BR150</f>
        <v>14.8</v>
      </c>
      <c r="K150" s="35">
        <f t="shared" si="40"/>
        <v>20</v>
      </c>
      <c r="M150" s="22">
        <f t="shared" si="35"/>
        <v>151.80000000000001</v>
      </c>
      <c r="N150" s="22">
        <f t="shared" si="35"/>
        <v>380.40000000000003</v>
      </c>
      <c r="P150" s="24"/>
      <c r="Q150" s="24"/>
      <c r="R150" s="21"/>
      <c r="S150" s="22"/>
      <c r="T150" s="22"/>
    </row>
    <row r="151" spans="1:20" x14ac:dyDescent="0.2">
      <c r="A151" s="14">
        <f t="shared" si="34"/>
        <v>38862</v>
      </c>
      <c r="B151" s="1">
        <v>145</v>
      </c>
      <c r="C151" s="16">
        <f>ROUND(Data!BI151,2)</f>
        <v>14.06</v>
      </c>
      <c r="D151" s="3">
        <f>ROUND(Data!O151,1)</f>
        <v>6.9</v>
      </c>
      <c r="E151" s="3">
        <f>ROUND(Data!AA151,1)</f>
        <v>-0.6</v>
      </c>
      <c r="F151" s="3">
        <f>Data!BN151</f>
        <v>64.5</v>
      </c>
      <c r="G151" s="3">
        <f>Data!N151</f>
        <v>1</v>
      </c>
      <c r="H151" s="21">
        <f>Data!BE151</f>
        <v>0</v>
      </c>
      <c r="I151" s="13">
        <f t="shared" si="30"/>
        <v>0</v>
      </c>
      <c r="J151" s="3">
        <f>Data!BR151</f>
        <v>0.2</v>
      </c>
      <c r="K151" s="35">
        <f t="shared" si="40"/>
        <v>1</v>
      </c>
      <c r="M151" s="22">
        <f t="shared" si="35"/>
        <v>152</v>
      </c>
      <c r="N151" s="22">
        <f t="shared" si="35"/>
        <v>381.40000000000003</v>
      </c>
      <c r="P151" s="24"/>
      <c r="Q151" s="24"/>
      <c r="R151" s="21"/>
      <c r="S151" s="22"/>
      <c r="T151" s="22"/>
    </row>
    <row r="152" spans="1:20" x14ac:dyDescent="0.2">
      <c r="A152" s="14">
        <f t="shared" si="34"/>
        <v>38863</v>
      </c>
      <c r="B152" s="1">
        <v>146</v>
      </c>
      <c r="C152" s="16">
        <f>ROUND(Data!BI152,2)</f>
        <v>8.33</v>
      </c>
      <c r="D152" s="3">
        <f>ROUND(Data!O152,1)</f>
        <v>6.2</v>
      </c>
      <c r="E152" s="3">
        <f>ROUND(Data!AA152,1)</f>
        <v>0.1</v>
      </c>
      <c r="F152" s="3">
        <f>Data!BN152</f>
        <v>79.400000000000006</v>
      </c>
      <c r="G152" s="3">
        <f>Data!N152</f>
        <v>11</v>
      </c>
      <c r="H152" s="21">
        <f>Data!BE152</f>
        <v>0</v>
      </c>
      <c r="I152" s="13">
        <f t="shared" si="30"/>
        <v>0</v>
      </c>
      <c r="J152" s="3">
        <f>Data!BR152</f>
        <v>4</v>
      </c>
      <c r="K152" s="35">
        <f t="shared" si="40"/>
        <v>11</v>
      </c>
      <c r="M152" s="22">
        <f t="shared" si="35"/>
        <v>156</v>
      </c>
      <c r="N152" s="22">
        <f t="shared" si="35"/>
        <v>392.40000000000003</v>
      </c>
      <c r="P152" s="24"/>
      <c r="Q152" s="24"/>
      <c r="R152" s="21"/>
      <c r="S152" s="22"/>
      <c r="T152" s="22"/>
    </row>
    <row r="153" spans="1:20" x14ac:dyDescent="0.2">
      <c r="A153" s="14">
        <f t="shared" si="34"/>
        <v>38864</v>
      </c>
      <c r="B153" s="1">
        <v>147</v>
      </c>
      <c r="C153" s="16">
        <f>ROUND(Data!BI153,2)</f>
        <v>12.7</v>
      </c>
      <c r="D153" s="3">
        <f>ROUND(Data!O153,1)</f>
        <v>8.8000000000000007</v>
      </c>
      <c r="E153" s="3">
        <f>ROUND(Data!AA153,1)</f>
        <v>-0.5</v>
      </c>
      <c r="F153" s="3">
        <f>Data!BN153</f>
        <v>62.7</v>
      </c>
      <c r="G153" s="3">
        <f>Data!N153</f>
        <v>5</v>
      </c>
      <c r="H153" s="21">
        <f>Data!BE153</f>
        <v>0</v>
      </c>
      <c r="I153" s="13">
        <f t="shared" si="30"/>
        <v>0</v>
      </c>
      <c r="J153" s="3">
        <f>Data!BR153</f>
        <v>3.8</v>
      </c>
      <c r="K153" s="35">
        <f t="shared" si="40"/>
        <v>5</v>
      </c>
      <c r="M153" s="22">
        <f t="shared" ref="M153:N168" si="41">J153+M152</f>
        <v>159.80000000000001</v>
      </c>
      <c r="N153" s="22">
        <f t="shared" si="41"/>
        <v>397.40000000000003</v>
      </c>
      <c r="P153" s="24"/>
      <c r="Q153" s="24"/>
      <c r="R153" s="21"/>
      <c r="S153" s="22"/>
      <c r="T153" s="22"/>
    </row>
    <row r="154" spans="1:20" x14ac:dyDescent="0.2">
      <c r="A154" s="14">
        <f t="shared" si="34"/>
        <v>38865</v>
      </c>
      <c r="B154" s="1">
        <v>148</v>
      </c>
      <c r="C154" s="16">
        <f>ROUND(Data!BI154,2)</f>
        <v>17.079999999999998</v>
      </c>
      <c r="D154" s="3">
        <f>ROUND(Data!O154,1)</f>
        <v>11.1</v>
      </c>
      <c r="E154" s="3">
        <f>ROUND(Data!AA154,1)</f>
        <v>-1.2</v>
      </c>
      <c r="F154" s="3">
        <f>Data!BN154</f>
        <v>48.3</v>
      </c>
      <c r="G154" s="3">
        <f>Data!N154</f>
        <v>0</v>
      </c>
      <c r="H154" s="21">
        <f>Data!BE154</f>
        <v>0</v>
      </c>
      <c r="I154" s="13">
        <f t="shared" si="30"/>
        <v>0</v>
      </c>
      <c r="J154" s="3">
        <f>Data!BR154</f>
        <v>0</v>
      </c>
      <c r="K154" s="35">
        <f t="shared" si="40"/>
        <v>0</v>
      </c>
      <c r="M154" s="22">
        <f t="shared" si="41"/>
        <v>159.80000000000001</v>
      </c>
      <c r="N154" s="22">
        <f t="shared" si="41"/>
        <v>397.40000000000003</v>
      </c>
      <c r="P154" s="24"/>
      <c r="Q154" s="24"/>
      <c r="R154" s="21"/>
      <c r="S154" s="22"/>
      <c r="T154" s="22"/>
    </row>
    <row r="155" spans="1:20" x14ac:dyDescent="0.2">
      <c r="A155" s="14">
        <f t="shared" si="34"/>
        <v>38866</v>
      </c>
      <c r="B155" s="1">
        <v>149</v>
      </c>
      <c r="C155" s="16">
        <f>ROUND(Data!BI155,2)</f>
        <v>12.31</v>
      </c>
      <c r="D155" s="3">
        <f>ROUND(Data!O155,1)</f>
        <v>8.8000000000000007</v>
      </c>
      <c r="E155" s="3">
        <f>ROUND(Data!AA155,1)</f>
        <v>-0.8</v>
      </c>
      <c r="F155" s="3">
        <f>Data!BN155</f>
        <v>73.099999999999994</v>
      </c>
      <c r="G155" s="3">
        <f>Data!N155</f>
        <v>3</v>
      </c>
      <c r="H155" s="21">
        <f>Data!BE155</f>
        <v>0</v>
      </c>
      <c r="I155" s="13">
        <f t="shared" si="30"/>
        <v>0</v>
      </c>
      <c r="J155" s="3">
        <f>Data!BR155</f>
        <v>3.6</v>
      </c>
      <c r="K155" s="35">
        <f t="shared" si="40"/>
        <v>3</v>
      </c>
      <c r="M155" s="22">
        <f t="shared" si="41"/>
        <v>163.4</v>
      </c>
      <c r="N155" s="22">
        <f t="shared" si="41"/>
        <v>400.40000000000003</v>
      </c>
      <c r="Q155" s="24"/>
      <c r="R155" s="21"/>
      <c r="S155" s="22"/>
      <c r="T155" s="22"/>
    </row>
    <row r="156" spans="1:20" x14ac:dyDescent="0.2">
      <c r="A156" s="14">
        <f t="shared" si="34"/>
        <v>38867</v>
      </c>
      <c r="B156" s="1">
        <v>150</v>
      </c>
      <c r="C156" s="16">
        <f>ROUND(Data!BI156,2)</f>
        <v>26.05</v>
      </c>
      <c r="D156" s="3">
        <f>ROUND(Data!O156,1)</f>
        <v>14.8</v>
      </c>
      <c r="E156" s="3">
        <f>ROUND(Data!AA156,1)</f>
        <v>-1</v>
      </c>
      <c r="F156" s="3">
        <f>Data!BN156</f>
        <v>23.4</v>
      </c>
      <c r="G156" s="3">
        <f>Data!N156</f>
        <v>0</v>
      </c>
      <c r="H156" s="21">
        <f>Data!BE156</f>
        <v>0</v>
      </c>
      <c r="I156" s="13">
        <f t="shared" si="30"/>
        <v>0</v>
      </c>
      <c r="J156" s="3">
        <f>Data!BR156</f>
        <v>0</v>
      </c>
      <c r="K156" s="35">
        <f t="shared" si="40"/>
        <v>0</v>
      </c>
      <c r="M156" s="22">
        <f t="shared" si="41"/>
        <v>163.4</v>
      </c>
      <c r="N156" s="22">
        <f t="shared" si="41"/>
        <v>400.40000000000003</v>
      </c>
    </row>
    <row r="157" spans="1:20" x14ac:dyDescent="0.2">
      <c r="A157" s="14">
        <f t="shared" si="34"/>
        <v>38868</v>
      </c>
      <c r="B157" s="1">
        <v>151</v>
      </c>
      <c r="C157" s="16">
        <f>ROUND(Data!BI157,2)</f>
        <v>25.24</v>
      </c>
      <c r="D157" s="3">
        <f>ROUND(Data!O157,1)</f>
        <v>17.399999999999999</v>
      </c>
      <c r="E157" s="3">
        <f>ROUND(Data!AA157,1)</f>
        <v>1.6</v>
      </c>
      <c r="F157" s="3">
        <f>Data!BN157</f>
        <v>28.9</v>
      </c>
      <c r="G157" s="3">
        <f>Data!N157</f>
        <v>0</v>
      </c>
      <c r="H157" s="21">
        <f>Data!BE157</f>
        <v>0</v>
      </c>
      <c r="I157" s="13">
        <f t="shared" si="30"/>
        <v>0</v>
      </c>
      <c r="J157" s="3">
        <f>Data!BR157</f>
        <v>0</v>
      </c>
      <c r="K157" s="35">
        <f t="shared" si="40"/>
        <v>0</v>
      </c>
      <c r="M157" s="22">
        <f t="shared" si="41"/>
        <v>163.4</v>
      </c>
      <c r="N157" s="22">
        <f t="shared" si="41"/>
        <v>400.40000000000003</v>
      </c>
    </row>
    <row r="158" spans="1:20" x14ac:dyDescent="0.2">
      <c r="A158" s="14">
        <f t="shared" si="34"/>
        <v>38869</v>
      </c>
      <c r="B158" s="1">
        <v>152</v>
      </c>
      <c r="C158" s="16">
        <f>ROUND(Data!BI158,2)</f>
        <v>20.12</v>
      </c>
      <c r="D158" s="3">
        <f>ROUND(Data!O158,1)</f>
        <v>18.7</v>
      </c>
      <c r="E158" s="3">
        <f>ROUND(Data!AA158,1)</f>
        <v>6.9</v>
      </c>
      <c r="F158" s="3">
        <f>Data!BN158</f>
        <v>33.200000000000003</v>
      </c>
      <c r="G158" s="3">
        <f>Data!N158</f>
        <v>4</v>
      </c>
      <c r="H158" s="21">
        <f>Data!BE158</f>
        <v>0</v>
      </c>
      <c r="I158" s="13">
        <f t="shared" si="30"/>
        <v>0</v>
      </c>
      <c r="J158" s="3">
        <f>Data!BR158</f>
        <v>3.4</v>
      </c>
      <c r="K158" s="35">
        <f t="shared" si="40"/>
        <v>4</v>
      </c>
      <c r="M158" s="22">
        <f t="shared" si="41"/>
        <v>166.8</v>
      </c>
      <c r="N158" s="22">
        <f t="shared" si="41"/>
        <v>404.40000000000003</v>
      </c>
    </row>
    <row r="159" spans="1:20" x14ac:dyDescent="0.2">
      <c r="A159" s="14">
        <f t="shared" si="34"/>
        <v>38870</v>
      </c>
      <c r="B159" s="1">
        <v>153</v>
      </c>
      <c r="C159" s="16">
        <f>ROUND(Data!BI159,2)</f>
        <v>9.84</v>
      </c>
      <c r="D159" s="3">
        <f>ROUND(Data!O159,1)</f>
        <v>14.1</v>
      </c>
      <c r="E159" s="3">
        <f>ROUND(Data!AA159,1)</f>
        <v>5.7</v>
      </c>
      <c r="F159" s="3">
        <f>Data!BN159</f>
        <v>56</v>
      </c>
      <c r="G159" s="3">
        <f>Data!N159</f>
        <v>6</v>
      </c>
      <c r="H159" s="21">
        <f>Data!BE159</f>
        <v>0</v>
      </c>
      <c r="I159" s="13">
        <f t="shared" si="30"/>
        <v>0</v>
      </c>
      <c r="J159" s="3">
        <f>Data!BR159</f>
        <v>1.2</v>
      </c>
      <c r="K159" s="35">
        <f t="shared" si="40"/>
        <v>6</v>
      </c>
      <c r="M159" s="22">
        <f t="shared" si="41"/>
        <v>168</v>
      </c>
      <c r="N159" s="22">
        <f t="shared" si="41"/>
        <v>410.40000000000003</v>
      </c>
    </row>
    <row r="160" spans="1:20" x14ac:dyDescent="0.2">
      <c r="A160" s="14">
        <f t="shared" si="34"/>
        <v>38871</v>
      </c>
      <c r="B160" s="1">
        <v>154</v>
      </c>
      <c r="C160" s="16">
        <f>ROUND(Data!BI160,2)</f>
        <v>18.71</v>
      </c>
      <c r="D160" s="3">
        <f>ROUND(Data!O160,1)</f>
        <v>12.4</v>
      </c>
      <c r="E160" s="3">
        <f>ROUND(Data!AA160,1)</f>
        <v>0.3</v>
      </c>
      <c r="F160" s="3">
        <f>Data!BN160</f>
        <v>42.6</v>
      </c>
      <c r="G160" s="3">
        <f>Data!N160</f>
        <v>0</v>
      </c>
      <c r="H160" s="21">
        <f>Data!BE160</f>
        <v>0</v>
      </c>
      <c r="I160" s="13">
        <f t="shared" si="30"/>
        <v>0</v>
      </c>
      <c r="J160" s="3">
        <f>Data!BR160</f>
        <v>0</v>
      </c>
      <c r="K160" s="35">
        <f t="shared" si="40"/>
        <v>0</v>
      </c>
      <c r="M160" s="22">
        <f t="shared" si="41"/>
        <v>168</v>
      </c>
      <c r="N160" s="22">
        <f t="shared" si="41"/>
        <v>410.40000000000003</v>
      </c>
    </row>
    <row r="161" spans="1:14" x14ac:dyDescent="0.2">
      <c r="A161" s="14">
        <f t="shared" si="34"/>
        <v>38872</v>
      </c>
      <c r="B161" s="1">
        <v>155</v>
      </c>
      <c r="C161" s="16">
        <f>ROUND(Data!BI161,2)</f>
        <v>9.74</v>
      </c>
      <c r="D161" s="3">
        <f>ROUND(Data!O161,1)</f>
        <v>9.5</v>
      </c>
      <c r="E161" s="3">
        <f>ROUND(Data!AA161,1)</f>
        <v>0.9</v>
      </c>
      <c r="F161" s="3">
        <f>Data!BN161</f>
        <v>54.8</v>
      </c>
      <c r="G161" s="3">
        <f>Data!N161</f>
        <v>0</v>
      </c>
      <c r="H161" s="21">
        <f>Data!BE161</f>
        <v>0</v>
      </c>
      <c r="I161" s="13">
        <f t="shared" si="30"/>
        <v>0</v>
      </c>
      <c r="J161" s="3">
        <f>Data!BR161</f>
        <v>2</v>
      </c>
      <c r="K161" s="35">
        <f t="shared" si="40"/>
        <v>0</v>
      </c>
      <c r="M161" s="22">
        <f t="shared" si="41"/>
        <v>170</v>
      </c>
      <c r="N161" s="22">
        <f t="shared" si="41"/>
        <v>410.40000000000003</v>
      </c>
    </row>
    <row r="162" spans="1:14" x14ac:dyDescent="0.2">
      <c r="A162" s="14">
        <f t="shared" si="34"/>
        <v>38873</v>
      </c>
      <c r="B162" s="1">
        <v>156</v>
      </c>
      <c r="C162" s="16">
        <f>ROUND(Data!BI162,2)</f>
        <v>18.149999999999999</v>
      </c>
      <c r="D162" s="3">
        <f>ROUND(Data!O162,1)</f>
        <v>13.4</v>
      </c>
      <c r="E162" s="3">
        <f>ROUND(Data!AA162,1)</f>
        <v>0</v>
      </c>
      <c r="F162" s="3">
        <f>Data!BN162</f>
        <v>36.4</v>
      </c>
      <c r="G162" s="3">
        <f>Data!N162</f>
        <v>0</v>
      </c>
      <c r="H162" s="21">
        <f>Data!BE162</f>
        <v>0</v>
      </c>
      <c r="I162" s="13">
        <f t="shared" si="30"/>
        <v>0</v>
      </c>
      <c r="J162" s="3">
        <f>Data!BR162</f>
        <v>0</v>
      </c>
      <c r="K162" s="35">
        <f t="shared" si="40"/>
        <v>0</v>
      </c>
      <c r="M162" s="22">
        <f t="shared" si="41"/>
        <v>170</v>
      </c>
      <c r="N162" s="22">
        <f t="shared" si="41"/>
        <v>410.40000000000003</v>
      </c>
    </row>
    <row r="163" spans="1:14" x14ac:dyDescent="0.2">
      <c r="A163" s="14">
        <f t="shared" si="34"/>
        <v>38874</v>
      </c>
      <c r="B163" s="1">
        <v>157</v>
      </c>
      <c r="C163" s="16">
        <f>ROUND(Data!BI163,2)</f>
        <v>22.91</v>
      </c>
      <c r="D163" s="3">
        <f>ROUND(Data!O163,1)</f>
        <v>16.2</v>
      </c>
      <c r="E163" s="3">
        <f>ROUND(Data!AA163,1)</f>
        <v>-1.5</v>
      </c>
      <c r="F163" s="3">
        <f>Data!BN163</f>
        <v>39.299999999999997</v>
      </c>
      <c r="G163" s="3">
        <f>Data!N163</f>
        <v>0</v>
      </c>
      <c r="H163" s="21">
        <f>Data!BE163</f>
        <v>0</v>
      </c>
      <c r="I163" s="13">
        <f t="shared" si="30"/>
        <v>0</v>
      </c>
      <c r="J163" s="3">
        <f>Data!BR163</f>
        <v>0</v>
      </c>
      <c r="K163" s="35">
        <f t="shared" si="40"/>
        <v>0</v>
      </c>
      <c r="M163" s="22">
        <f t="shared" si="41"/>
        <v>170</v>
      </c>
      <c r="N163" s="22">
        <f t="shared" si="41"/>
        <v>410.40000000000003</v>
      </c>
    </row>
    <row r="164" spans="1:14" x14ac:dyDescent="0.2">
      <c r="A164" s="14">
        <f t="shared" si="34"/>
        <v>38875</v>
      </c>
      <c r="B164" s="1">
        <v>158</v>
      </c>
      <c r="C164" s="16">
        <f>ROUND(Data!BI164,2)</f>
        <v>25.33</v>
      </c>
      <c r="D164" s="3">
        <f>ROUND(Data!O164,1)</f>
        <v>20.7</v>
      </c>
      <c r="E164" s="3">
        <f>ROUND(Data!AA164,1)</f>
        <v>2.1</v>
      </c>
      <c r="F164" s="3">
        <f>Data!BN164</f>
        <v>27.8</v>
      </c>
      <c r="G164" s="3">
        <f>Data!N164</f>
        <v>0</v>
      </c>
      <c r="H164" s="21">
        <f>Data!BE164</f>
        <v>0</v>
      </c>
      <c r="I164" s="13">
        <f t="shared" si="30"/>
        <v>0</v>
      </c>
      <c r="J164" s="3">
        <f>Data!BR164</f>
        <v>0</v>
      </c>
      <c r="K164" s="35">
        <f t="shared" si="40"/>
        <v>0</v>
      </c>
      <c r="M164" s="22">
        <f t="shared" si="41"/>
        <v>170</v>
      </c>
      <c r="N164" s="22">
        <f t="shared" si="41"/>
        <v>410.40000000000003</v>
      </c>
    </row>
    <row r="165" spans="1:14" x14ac:dyDescent="0.2">
      <c r="A165" s="14">
        <f t="shared" si="34"/>
        <v>38876</v>
      </c>
      <c r="B165" s="1">
        <v>159</v>
      </c>
      <c r="C165" s="16">
        <f>ROUND(Data!BI165,2)</f>
        <v>7.34</v>
      </c>
      <c r="D165" s="3">
        <f>ROUND(Data!O165,1)</f>
        <v>12</v>
      </c>
      <c r="E165" s="3">
        <f>ROUND(Data!AA165,1)</f>
        <v>3.7</v>
      </c>
      <c r="F165" s="3">
        <f>Data!BN165</f>
        <v>76.900000000000006</v>
      </c>
      <c r="G165" s="3">
        <f>Data!N165</f>
        <v>11</v>
      </c>
      <c r="H165" s="21">
        <f>Data!BE165</f>
        <v>0</v>
      </c>
      <c r="I165" s="13">
        <f t="shared" si="30"/>
        <v>0</v>
      </c>
      <c r="J165" s="3">
        <f>Data!BR165</f>
        <v>8.1999999999999993</v>
      </c>
      <c r="K165" s="35">
        <f t="shared" si="40"/>
        <v>11</v>
      </c>
      <c r="M165" s="22">
        <f t="shared" si="41"/>
        <v>178.2</v>
      </c>
      <c r="N165" s="22">
        <f t="shared" si="41"/>
        <v>421.40000000000003</v>
      </c>
    </row>
    <row r="166" spans="1:14" x14ac:dyDescent="0.2">
      <c r="A166" s="14">
        <f t="shared" si="34"/>
        <v>38877</v>
      </c>
      <c r="B166" s="1">
        <v>160</v>
      </c>
      <c r="C166" s="16">
        <f>ROUND(Data!BI166,2)</f>
        <v>14.11</v>
      </c>
      <c r="D166" s="3">
        <f>ROUND(Data!O166,1)</f>
        <v>14.3</v>
      </c>
      <c r="E166" s="3">
        <f>ROUND(Data!AA166,1)</f>
        <v>2.1</v>
      </c>
      <c r="F166" s="3">
        <f>Data!BN166</f>
        <v>60.2</v>
      </c>
      <c r="G166" s="3">
        <f>Data!N166</f>
        <v>2</v>
      </c>
      <c r="H166" s="21">
        <f>Data!BE166</f>
        <v>0</v>
      </c>
      <c r="I166" s="13">
        <f t="shared" si="30"/>
        <v>0</v>
      </c>
      <c r="J166" s="3">
        <f>Data!BR166</f>
        <v>0.6</v>
      </c>
      <c r="K166" s="35">
        <f t="shared" si="40"/>
        <v>2</v>
      </c>
      <c r="M166" s="22">
        <f t="shared" si="41"/>
        <v>178.79999999999998</v>
      </c>
      <c r="N166" s="22">
        <f t="shared" si="41"/>
        <v>423.40000000000003</v>
      </c>
    </row>
    <row r="167" spans="1:14" x14ac:dyDescent="0.2">
      <c r="A167" s="14">
        <f t="shared" si="34"/>
        <v>38878</v>
      </c>
      <c r="B167" s="1">
        <v>161</v>
      </c>
      <c r="C167" s="16">
        <f>ROUND(Data!BI167,2)</f>
        <v>23.43</v>
      </c>
      <c r="D167" s="3">
        <f>ROUND(Data!O167,1)</f>
        <v>17.100000000000001</v>
      </c>
      <c r="E167" s="3">
        <f>ROUND(Data!AA167,1)</f>
        <v>0</v>
      </c>
      <c r="F167" s="3">
        <f>Data!BN167</f>
        <v>30.3</v>
      </c>
      <c r="G167" s="3">
        <f>Data!N167</f>
        <v>0</v>
      </c>
      <c r="H167" s="21">
        <f>Data!BE167</f>
        <v>0</v>
      </c>
      <c r="I167" s="13">
        <f t="shared" si="30"/>
        <v>0</v>
      </c>
      <c r="J167" s="3">
        <f>Data!BR167</f>
        <v>0</v>
      </c>
      <c r="K167" s="35">
        <f t="shared" si="40"/>
        <v>0</v>
      </c>
      <c r="M167" s="22">
        <f t="shared" si="41"/>
        <v>178.79999999999998</v>
      </c>
      <c r="N167" s="22">
        <f t="shared" si="41"/>
        <v>423.40000000000003</v>
      </c>
    </row>
    <row r="168" spans="1:14" x14ac:dyDescent="0.2">
      <c r="A168" s="14">
        <f t="shared" si="34"/>
        <v>38879</v>
      </c>
      <c r="B168" s="1">
        <v>162</v>
      </c>
      <c r="C168" s="16">
        <f>ROUND(Data!BI168,2)</f>
        <v>14.08</v>
      </c>
      <c r="D168" s="3">
        <f>ROUND(Data!O168,1)</f>
        <v>12</v>
      </c>
      <c r="E168" s="3">
        <f>ROUND(Data!AA168,1)</f>
        <v>4.4000000000000004</v>
      </c>
      <c r="F168" s="3">
        <f>Data!BN168</f>
        <v>47.4</v>
      </c>
      <c r="G168" s="3">
        <f>Data!N168</f>
        <v>1</v>
      </c>
      <c r="H168" s="21">
        <f>Data!BE168</f>
        <v>0</v>
      </c>
      <c r="I168" s="13">
        <f t="shared" si="30"/>
        <v>0</v>
      </c>
      <c r="J168" s="3">
        <f>Data!BR168</f>
        <v>0.2</v>
      </c>
      <c r="K168" s="35">
        <f t="shared" si="40"/>
        <v>1</v>
      </c>
      <c r="M168" s="22">
        <f t="shared" si="41"/>
        <v>178.99999999999997</v>
      </c>
      <c r="N168" s="22">
        <f t="shared" si="41"/>
        <v>424.40000000000003</v>
      </c>
    </row>
    <row r="169" spans="1:14" x14ac:dyDescent="0.2">
      <c r="A169" s="14">
        <f t="shared" si="34"/>
        <v>38880</v>
      </c>
      <c r="B169" s="1">
        <v>163</v>
      </c>
      <c r="C169" s="16">
        <f>ROUND(Data!BI169,2)</f>
        <v>22.82</v>
      </c>
      <c r="D169" s="3">
        <f>ROUND(Data!O169,1)</f>
        <v>18.3</v>
      </c>
      <c r="E169" s="3">
        <f>ROUND(Data!AA169,1)</f>
        <v>4.0999999999999996</v>
      </c>
      <c r="F169" s="3">
        <f>Data!BN169</f>
        <v>35.6</v>
      </c>
      <c r="G169" s="3">
        <f>Data!N169</f>
        <v>0</v>
      </c>
      <c r="H169" s="21">
        <f>Data!BE169</f>
        <v>0</v>
      </c>
      <c r="I169" s="13">
        <f t="shared" si="30"/>
        <v>0</v>
      </c>
      <c r="J169" s="3">
        <f>Data!BR169</f>
        <v>0</v>
      </c>
      <c r="K169" s="35">
        <f t="shared" si="40"/>
        <v>0</v>
      </c>
      <c r="M169" s="22">
        <f t="shared" ref="M169:N184" si="42">J169+M168</f>
        <v>178.99999999999997</v>
      </c>
      <c r="N169" s="22">
        <f t="shared" si="42"/>
        <v>424.40000000000003</v>
      </c>
    </row>
    <row r="170" spans="1:14" x14ac:dyDescent="0.2">
      <c r="A170" s="14">
        <f t="shared" si="34"/>
        <v>38881</v>
      </c>
      <c r="B170" s="1">
        <v>164</v>
      </c>
      <c r="C170" s="16">
        <f>ROUND(Data!BI170,2)</f>
        <v>17.760000000000002</v>
      </c>
      <c r="D170" s="3">
        <f>ROUND(Data!O170,1)</f>
        <v>18.3</v>
      </c>
      <c r="E170" s="3">
        <f>ROUND(Data!AA170,1)</f>
        <v>6</v>
      </c>
      <c r="F170" s="3">
        <f>Data!BN170</f>
        <v>41.2</v>
      </c>
      <c r="G170" s="3">
        <f>Data!N170</f>
        <v>4</v>
      </c>
      <c r="H170" s="21">
        <f>Data!BE170</f>
        <v>0</v>
      </c>
      <c r="I170" s="13">
        <f t="shared" si="30"/>
        <v>0</v>
      </c>
      <c r="J170" s="3">
        <f>Data!BR170</f>
        <v>1.2</v>
      </c>
      <c r="K170" s="35">
        <f t="shared" si="40"/>
        <v>4</v>
      </c>
      <c r="M170" s="22">
        <f t="shared" si="42"/>
        <v>180.19999999999996</v>
      </c>
      <c r="N170" s="22">
        <f t="shared" si="42"/>
        <v>428.40000000000003</v>
      </c>
    </row>
    <row r="171" spans="1:14" x14ac:dyDescent="0.2">
      <c r="A171" s="14">
        <f t="shared" si="34"/>
        <v>38882</v>
      </c>
      <c r="B171" s="1">
        <v>165</v>
      </c>
      <c r="C171" s="16">
        <f>ROUND(Data!BI171,2)</f>
        <v>4.3600000000000003</v>
      </c>
      <c r="D171" s="3">
        <f>ROUND(Data!O171,1)</f>
        <v>9.1999999999999993</v>
      </c>
      <c r="E171" s="3">
        <f>ROUND(Data!AA171,1)</f>
        <v>7</v>
      </c>
      <c r="F171" s="3">
        <f>Data!BN171</f>
        <v>97.4</v>
      </c>
      <c r="G171" s="3">
        <f>Data!N171</f>
        <v>52</v>
      </c>
      <c r="H171" s="21">
        <f>Data!BE171</f>
        <v>0</v>
      </c>
      <c r="I171" s="13">
        <f t="shared" si="30"/>
        <v>0</v>
      </c>
      <c r="J171" s="3">
        <f>Data!BR171</f>
        <v>36.799999999999997</v>
      </c>
      <c r="K171" s="35">
        <f t="shared" si="40"/>
        <v>52</v>
      </c>
      <c r="M171" s="22">
        <f t="shared" si="42"/>
        <v>216.99999999999994</v>
      </c>
      <c r="N171" s="22">
        <f t="shared" si="42"/>
        <v>480.40000000000003</v>
      </c>
    </row>
    <row r="172" spans="1:14" x14ac:dyDescent="0.2">
      <c r="A172" s="14">
        <f t="shared" si="34"/>
        <v>38883</v>
      </c>
      <c r="B172" s="1">
        <v>166</v>
      </c>
      <c r="C172" s="16">
        <f>ROUND(Data!BI172,2)</f>
        <v>2.65</v>
      </c>
      <c r="D172" s="3">
        <f>ROUND(Data!O172,1)</f>
        <v>9.8000000000000007</v>
      </c>
      <c r="E172" s="3">
        <f>ROUND(Data!AA172,1)</f>
        <v>3.6</v>
      </c>
      <c r="F172" s="3">
        <f>Data!BN172</f>
        <v>91.4</v>
      </c>
      <c r="G172" s="3">
        <f>Data!N172</f>
        <v>11</v>
      </c>
      <c r="H172" s="21">
        <f>Data!BE172</f>
        <v>0</v>
      </c>
      <c r="I172" s="13">
        <f t="shared" si="30"/>
        <v>0</v>
      </c>
      <c r="J172" s="3">
        <f>Data!BR172</f>
        <v>3</v>
      </c>
      <c r="K172" s="35">
        <f t="shared" si="40"/>
        <v>11</v>
      </c>
      <c r="M172" s="22">
        <f t="shared" si="42"/>
        <v>219.99999999999994</v>
      </c>
      <c r="N172" s="22">
        <f t="shared" si="42"/>
        <v>491.40000000000003</v>
      </c>
    </row>
    <row r="173" spans="1:14" x14ac:dyDescent="0.2">
      <c r="A173" s="14">
        <f t="shared" si="34"/>
        <v>38884</v>
      </c>
      <c r="B173" s="1">
        <v>167</v>
      </c>
      <c r="C173" s="16">
        <f>ROUND(Data!BI173,2)</f>
        <v>19.27</v>
      </c>
      <c r="D173" s="3">
        <f>ROUND(Data!O173,1)</f>
        <v>13.7</v>
      </c>
      <c r="E173" s="3">
        <f>ROUND(Data!AA173,1)</f>
        <v>0.5</v>
      </c>
      <c r="F173" s="3">
        <f>Data!BN173</f>
        <v>50.7</v>
      </c>
      <c r="G173" s="3">
        <f>Data!N173</f>
        <v>1</v>
      </c>
      <c r="H173" s="21">
        <f>Data!BE173</f>
        <v>0</v>
      </c>
      <c r="I173" s="13">
        <f t="shared" si="30"/>
        <v>0</v>
      </c>
      <c r="J173" s="3">
        <f>Data!BR173</f>
        <v>0.6</v>
      </c>
      <c r="K173" s="35">
        <f t="shared" si="40"/>
        <v>1</v>
      </c>
      <c r="M173" s="22">
        <f t="shared" si="42"/>
        <v>220.59999999999994</v>
      </c>
      <c r="N173" s="22">
        <f t="shared" si="42"/>
        <v>492.40000000000003</v>
      </c>
    </row>
    <row r="174" spans="1:14" x14ac:dyDescent="0.2">
      <c r="A174" s="14">
        <f t="shared" si="34"/>
        <v>38885</v>
      </c>
      <c r="B174" s="1">
        <v>168</v>
      </c>
      <c r="C174" s="16">
        <f>ROUND(Data!BI174,2)</f>
        <v>17.489999999999998</v>
      </c>
      <c r="D174" s="3">
        <f>ROUND(Data!O174,1)</f>
        <v>11.1</v>
      </c>
      <c r="E174" s="3">
        <f>ROUND(Data!AA174,1)</f>
        <v>3.2</v>
      </c>
      <c r="F174" s="3">
        <f>Data!BN174</f>
        <v>56</v>
      </c>
      <c r="G174" s="3">
        <f>Data!N174</f>
        <v>2</v>
      </c>
      <c r="H174" s="21">
        <f>Data!BE174</f>
        <v>0</v>
      </c>
      <c r="I174" s="13">
        <f t="shared" si="30"/>
        <v>0</v>
      </c>
      <c r="J174" s="3">
        <f>Data!BR174</f>
        <v>1.4</v>
      </c>
      <c r="K174" s="35">
        <f t="shared" si="40"/>
        <v>2</v>
      </c>
      <c r="M174" s="22">
        <f t="shared" si="42"/>
        <v>221.99999999999994</v>
      </c>
      <c r="N174" s="22">
        <f t="shared" si="42"/>
        <v>494.40000000000003</v>
      </c>
    </row>
    <row r="175" spans="1:14" x14ac:dyDescent="0.2">
      <c r="A175" s="14">
        <f t="shared" si="34"/>
        <v>38886</v>
      </c>
      <c r="B175" s="1">
        <v>169</v>
      </c>
      <c r="C175" s="16">
        <f>ROUND(Data!BI175,2)</f>
        <v>15.85</v>
      </c>
      <c r="D175" s="3">
        <f>ROUND(Data!O175,1)</f>
        <v>13.2</v>
      </c>
      <c r="E175" s="3">
        <f>ROUND(Data!AA175,1)</f>
        <v>0.3</v>
      </c>
      <c r="F175" s="3">
        <f>Data!BN175</f>
        <v>50.1</v>
      </c>
      <c r="G175" s="3">
        <f>Data!N175</f>
        <v>4</v>
      </c>
      <c r="H175" s="21">
        <f>Data!BE175</f>
        <v>0</v>
      </c>
      <c r="I175" s="13">
        <f t="shared" si="30"/>
        <v>0</v>
      </c>
      <c r="J175" s="3">
        <f>Data!BR175</f>
        <v>0.2</v>
      </c>
      <c r="K175" s="35">
        <f t="shared" si="40"/>
        <v>4</v>
      </c>
      <c r="M175" s="22">
        <f t="shared" si="42"/>
        <v>222.19999999999993</v>
      </c>
      <c r="N175" s="22">
        <f t="shared" si="42"/>
        <v>498.40000000000003</v>
      </c>
    </row>
    <row r="176" spans="1:14" x14ac:dyDescent="0.2">
      <c r="A176" s="14">
        <f t="shared" si="34"/>
        <v>38887</v>
      </c>
      <c r="B176" s="1">
        <v>170</v>
      </c>
      <c r="C176" s="16">
        <f>ROUND(Data!BI176,2)</f>
        <v>7.47</v>
      </c>
      <c r="D176" s="3">
        <f>ROUND(Data!O176,1)</f>
        <v>6.9</v>
      </c>
      <c r="E176" s="3">
        <f>ROUND(Data!AA176,1)</f>
        <v>-0.2</v>
      </c>
      <c r="F176" s="3">
        <f>Data!BN176</f>
        <v>83.3</v>
      </c>
      <c r="G176" s="3">
        <f>Data!N176</f>
        <v>4</v>
      </c>
      <c r="H176" s="21">
        <f>Data!BE176</f>
        <v>0</v>
      </c>
      <c r="I176" s="13">
        <f t="shared" si="30"/>
        <v>0</v>
      </c>
      <c r="J176" s="3">
        <f>Data!BR176</f>
        <v>3.2</v>
      </c>
      <c r="K176" s="35">
        <f t="shared" si="40"/>
        <v>4</v>
      </c>
      <c r="M176" s="22">
        <f t="shared" si="42"/>
        <v>225.39999999999992</v>
      </c>
      <c r="N176" s="22">
        <f t="shared" si="42"/>
        <v>502.40000000000003</v>
      </c>
    </row>
    <row r="177" spans="1:14" x14ac:dyDescent="0.2">
      <c r="A177" s="14">
        <f t="shared" si="34"/>
        <v>38888</v>
      </c>
      <c r="B177" s="1">
        <v>171</v>
      </c>
      <c r="C177" s="16">
        <f>ROUND(Data!BI177,2)</f>
        <v>19.059999999999999</v>
      </c>
      <c r="D177" s="3">
        <f>ROUND(Data!O177,1)</f>
        <v>11.4</v>
      </c>
      <c r="E177" s="3">
        <f>ROUND(Data!AA177,1)</f>
        <v>0.2</v>
      </c>
      <c r="F177" s="3">
        <f>Data!BN177</f>
        <v>59.5</v>
      </c>
      <c r="G177" s="3">
        <f>Data!N177</f>
        <v>0</v>
      </c>
      <c r="H177" s="21">
        <f>Data!BE177</f>
        <v>0</v>
      </c>
      <c r="I177" s="13">
        <f t="shared" si="30"/>
        <v>0</v>
      </c>
      <c r="J177" s="3">
        <f>Data!BR177</f>
        <v>0.8</v>
      </c>
      <c r="K177" s="35">
        <f t="shared" si="40"/>
        <v>0</v>
      </c>
      <c r="M177" s="22">
        <f t="shared" si="42"/>
        <v>226.19999999999993</v>
      </c>
      <c r="N177" s="22">
        <f t="shared" si="42"/>
        <v>502.40000000000003</v>
      </c>
    </row>
    <row r="178" spans="1:14" x14ac:dyDescent="0.2">
      <c r="A178" s="14">
        <f t="shared" si="34"/>
        <v>38889</v>
      </c>
      <c r="B178" s="1">
        <v>172</v>
      </c>
      <c r="C178" s="16">
        <f>ROUND(Data!BI178,2)</f>
        <v>21.12</v>
      </c>
      <c r="D178" s="3">
        <f>ROUND(Data!O178,1)</f>
        <v>15.1</v>
      </c>
      <c r="E178" s="3">
        <f>ROUND(Data!AA178,1)</f>
        <v>-1.3</v>
      </c>
      <c r="F178" s="3">
        <f>Data!BN178</f>
        <v>33.5</v>
      </c>
      <c r="G178" s="3">
        <f>Data!N178</f>
        <v>1</v>
      </c>
      <c r="H178" s="21">
        <f>Data!BE178</f>
        <v>0</v>
      </c>
      <c r="I178" s="13">
        <f t="shared" si="30"/>
        <v>0</v>
      </c>
      <c r="J178" s="3">
        <f>Data!BR178</f>
        <v>0</v>
      </c>
      <c r="K178" s="35">
        <f t="shared" si="40"/>
        <v>1</v>
      </c>
      <c r="M178" s="22">
        <f t="shared" si="42"/>
        <v>226.19999999999993</v>
      </c>
      <c r="N178" s="22">
        <f t="shared" si="42"/>
        <v>503.40000000000003</v>
      </c>
    </row>
    <row r="179" spans="1:14" x14ac:dyDescent="0.2">
      <c r="A179" s="14">
        <f t="shared" si="34"/>
        <v>38890</v>
      </c>
      <c r="B179" s="1">
        <v>173</v>
      </c>
      <c r="C179" s="16">
        <f>ROUND(Data!BI179,2)</f>
        <v>22.89</v>
      </c>
      <c r="D179" s="3">
        <f>ROUND(Data!O179,1)</f>
        <v>16.2</v>
      </c>
      <c r="E179" s="3">
        <f>ROUND(Data!AA179,1)</f>
        <v>0.6</v>
      </c>
      <c r="F179" s="3">
        <f>Data!BN179</f>
        <v>32</v>
      </c>
      <c r="G179" s="3">
        <f>Data!N179</f>
        <v>0</v>
      </c>
      <c r="H179" s="21">
        <f>Data!BE179</f>
        <v>0</v>
      </c>
      <c r="I179" s="13">
        <f t="shared" si="30"/>
        <v>0</v>
      </c>
      <c r="J179" s="3">
        <f>Data!BR179</f>
        <v>0.2</v>
      </c>
      <c r="K179" s="35">
        <f t="shared" si="40"/>
        <v>0</v>
      </c>
      <c r="M179" s="22">
        <f t="shared" si="42"/>
        <v>226.39999999999992</v>
      </c>
      <c r="N179" s="22">
        <f t="shared" si="42"/>
        <v>503.40000000000003</v>
      </c>
    </row>
    <row r="180" spans="1:14" x14ac:dyDescent="0.2">
      <c r="A180" s="14">
        <f t="shared" si="34"/>
        <v>38891</v>
      </c>
      <c r="B180" s="1">
        <v>174</v>
      </c>
      <c r="C180" s="16">
        <f>ROUND(Data!BI180,2)</f>
        <v>32.89</v>
      </c>
      <c r="D180" s="3">
        <f>ROUND(Data!O180,1)</f>
        <v>17.2</v>
      </c>
      <c r="E180" s="3">
        <f>ROUND(Data!AA180,1)</f>
        <v>-0.3</v>
      </c>
      <c r="F180" s="3">
        <f>Data!BN180</f>
        <v>25.8</v>
      </c>
      <c r="G180" s="3">
        <f>Data!N180</f>
        <v>0</v>
      </c>
      <c r="H180" s="21">
        <f>Data!BE180</f>
        <v>0</v>
      </c>
      <c r="I180" s="13">
        <f t="shared" si="30"/>
        <v>0</v>
      </c>
      <c r="J180" s="3">
        <f>Data!BR180</f>
        <v>0</v>
      </c>
      <c r="K180" s="35">
        <f t="shared" si="40"/>
        <v>0</v>
      </c>
      <c r="M180" s="22">
        <f t="shared" si="42"/>
        <v>226.39999999999992</v>
      </c>
      <c r="N180" s="22">
        <f t="shared" si="42"/>
        <v>503.40000000000003</v>
      </c>
    </row>
    <row r="181" spans="1:14" x14ac:dyDescent="0.2">
      <c r="A181" s="14">
        <f t="shared" si="34"/>
        <v>38892</v>
      </c>
      <c r="B181" s="1">
        <v>175</v>
      </c>
      <c r="C181" s="16">
        <f>ROUND(Data!BI181,2)</f>
        <v>32.56</v>
      </c>
      <c r="D181" s="3">
        <f>ROUND(Data!O181,1)</f>
        <v>20.9</v>
      </c>
      <c r="E181" s="3">
        <f>ROUND(Data!AA181,1)</f>
        <v>0.5</v>
      </c>
      <c r="F181" s="3">
        <f>Data!BN181</f>
        <v>18.899999999999999</v>
      </c>
      <c r="G181" s="3">
        <f>Data!N181</f>
        <v>0</v>
      </c>
      <c r="H181" s="21">
        <f>Data!BE181</f>
        <v>0</v>
      </c>
      <c r="I181" s="13">
        <f t="shared" si="30"/>
        <v>0</v>
      </c>
      <c r="J181" s="3">
        <f>Data!BR181</f>
        <v>0</v>
      </c>
      <c r="K181" s="35">
        <f t="shared" si="40"/>
        <v>0</v>
      </c>
      <c r="M181" s="22">
        <f t="shared" si="42"/>
        <v>226.39999999999992</v>
      </c>
      <c r="N181" s="22">
        <f t="shared" si="42"/>
        <v>503.40000000000003</v>
      </c>
    </row>
    <row r="182" spans="1:14" x14ac:dyDescent="0.2">
      <c r="A182" s="14">
        <f t="shared" si="34"/>
        <v>38893</v>
      </c>
      <c r="B182" s="1">
        <v>176</v>
      </c>
      <c r="C182" s="16">
        <f>ROUND(Data!BI182,2)</f>
        <v>32.880000000000003</v>
      </c>
      <c r="D182" s="3">
        <f>ROUND(Data!O182,1)</f>
        <v>24.8</v>
      </c>
      <c r="E182" s="3">
        <f>ROUND(Data!AA182,1)</f>
        <v>3</v>
      </c>
      <c r="F182" s="3">
        <f>Data!BN182</f>
        <v>9</v>
      </c>
      <c r="G182" s="3">
        <f>Data!N182</f>
        <v>0</v>
      </c>
      <c r="H182" s="21">
        <f>Data!BE182</f>
        <v>0</v>
      </c>
      <c r="I182" s="13">
        <f t="shared" si="30"/>
        <v>0</v>
      </c>
      <c r="J182" s="3">
        <f>Data!BR182</f>
        <v>0</v>
      </c>
      <c r="K182" s="35">
        <f t="shared" si="40"/>
        <v>0</v>
      </c>
      <c r="M182" s="22">
        <f t="shared" si="42"/>
        <v>226.39999999999992</v>
      </c>
      <c r="N182" s="22">
        <f t="shared" si="42"/>
        <v>503.40000000000003</v>
      </c>
    </row>
    <row r="183" spans="1:14" x14ac:dyDescent="0.2">
      <c r="A183" s="14">
        <f t="shared" si="34"/>
        <v>38894</v>
      </c>
      <c r="B183" s="1">
        <v>177</v>
      </c>
      <c r="C183" s="16">
        <f>ROUND(Data!BI183,2)</f>
        <v>32.68</v>
      </c>
      <c r="D183" s="3">
        <f>ROUND(Data!O183,1)</f>
        <v>26.4</v>
      </c>
      <c r="E183" s="3">
        <f>ROUND(Data!AA183,1)</f>
        <v>5</v>
      </c>
      <c r="F183" s="3">
        <f>Data!BN183</f>
        <v>18.600000000000001</v>
      </c>
      <c r="G183" s="3">
        <f>Data!N183</f>
        <v>0</v>
      </c>
      <c r="H183" s="21">
        <f>Data!BE183</f>
        <v>0</v>
      </c>
      <c r="I183" s="13">
        <f t="shared" si="30"/>
        <v>0</v>
      </c>
      <c r="J183" s="3">
        <f>Data!BR183</f>
        <v>0</v>
      </c>
      <c r="K183" s="35">
        <f t="shared" si="40"/>
        <v>0</v>
      </c>
      <c r="M183" s="22">
        <f t="shared" si="42"/>
        <v>226.39999999999992</v>
      </c>
      <c r="N183" s="22">
        <f t="shared" si="42"/>
        <v>503.40000000000003</v>
      </c>
    </row>
    <row r="184" spans="1:14" x14ac:dyDescent="0.2">
      <c r="A184" s="14">
        <f t="shared" si="34"/>
        <v>38895</v>
      </c>
      <c r="B184" s="1">
        <v>178</v>
      </c>
      <c r="C184" s="16">
        <f>ROUND(Data!BI184,2)</f>
        <v>30.82</v>
      </c>
      <c r="D184" s="3">
        <f>ROUND(Data!O184,1)</f>
        <v>26.5</v>
      </c>
      <c r="E184" s="3">
        <f>ROUND(Data!AA184,1)</f>
        <v>7</v>
      </c>
      <c r="F184" s="3">
        <f>Data!BN184</f>
        <v>16</v>
      </c>
      <c r="G184" s="3">
        <f>Data!N184</f>
        <v>0</v>
      </c>
      <c r="H184" s="21">
        <f>Data!BE184</f>
        <v>0</v>
      </c>
      <c r="I184" s="13">
        <f t="shared" si="30"/>
        <v>0</v>
      </c>
      <c r="J184" s="3">
        <f>Data!BR184</f>
        <v>0</v>
      </c>
      <c r="K184" s="35">
        <f t="shared" si="40"/>
        <v>0</v>
      </c>
      <c r="M184" s="22">
        <f t="shared" si="42"/>
        <v>226.39999999999992</v>
      </c>
      <c r="N184" s="22">
        <f t="shared" si="42"/>
        <v>503.40000000000003</v>
      </c>
    </row>
    <row r="185" spans="1:14" x14ac:dyDescent="0.2">
      <c r="A185" s="14">
        <f t="shared" si="34"/>
        <v>38896</v>
      </c>
      <c r="B185" s="1">
        <v>179</v>
      </c>
      <c r="C185" s="16">
        <f>ROUND(Data!BI185,2)</f>
        <v>32.840000000000003</v>
      </c>
      <c r="D185" s="3">
        <f>ROUND(Data!O185,1)</f>
        <v>22.1</v>
      </c>
      <c r="E185" s="3">
        <f>ROUND(Data!AA185,1)</f>
        <v>4.9000000000000004</v>
      </c>
      <c r="F185" s="3">
        <f>Data!BN185</f>
        <v>10.6</v>
      </c>
      <c r="G185" s="3">
        <f>Data!N185</f>
        <v>0</v>
      </c>
      <c r="H185" s="21">
        <f>Data!BE185</f>
        <v>0</v>
      </c>
      <c r="I185" s="13">
        <f t="shared" si="30"/>
        <v>0</v>
      </c>
      <c r="J185" s="3">
        <f>Data!BR185</f>
        <v>0</v>
      </c>
      <c r="K185" s="35">
        <f t="shared" si="40"/>
        <v>0</v>
      </c>
      <c r="M185" s="22">
        <f t="shared" ref="M185:N200" si="43">J185+M184</f>
        <v>226.39999999999992</v>
      </c>
      <c r="N185" s="22">
        <f t="shared" si="43"/>
        <v>503.40000000000003</v>
      </c>
    </row>
    <row r="186" spans="1:14" x14ac:dyDescent="0.2">
      <c r="A186" s="14">
        <f t="shared" si="34"/>
        <v>38897</v>
      </c>
      <c r="B186" s="1">
        <v>180</v>
      </c>
      <c r="C186" s="16">
        <f>ROUND(Data!BI186,2)</f>
        <v>32.54</v>
      </c>
      <c r="D186" s="3">
        <f>ROUND(Data!O186,1)</f>
        <v>20.399999999999999</v>
      </c>
      <c r="E186" s="3">
        <f>ROUND(Data!AA186,1)</f>
        <v>1.8</v>
      </c>
      <c r="F186" s="3">
        <f>Data!BN186</f>
        <v>27.2</v>
      </c>
      <c r="G186" s="3">
        <f>Data!N186</f>
        <v>0</v>
      </c>
      <c r="H186" s="21">
        <f>Data!BE186</f>
        <v>0</v>
      </c>
      <c r="I186" s="13">
        <f t="shared" si="30"/>
        <v>0</v>
      </c>
      <c r="J186" s="3">
        <f>Data!BR186</f>
        <v>0</v>
      </c>
      <c r="K186" s="35">
        <f t="shared" si="40"/>
        <v>0</v>
      </c>
      <c r="M186" s="22">
        <f t="shared" si="43"/>
        <v>226.39999999999992</v>
      </c>
      <c r="N186" s="22">
        <f t="shared" si="43"/>
        <v>503.40000000000003</v>
      </c>
    </row>
    <row r="187" spans="1:14" x14ac:dyDescent="0.2">
      <c r="A187" s="14">
        <f t="shared" si="34"/>
        <v>38898</v>
      </c>
      <c r="B187" s="1">
        <v>181</v>
      </c>
      <c r="C187" s="16">
        <f>ROUND(Data!BI187,2)</f>
        <v>29.81</v>
      </c>
      <c r="D187" s="3">
        <f>ROUND(Data!O187,1)</f>
        <v>22.2</v>
      </c>
      <c r="E187" s="3">
        <f>ROUND(Data!AA187,1)</f>
        <v>6.4</v>
      </c>
      <c r="F187" s="3">
        <f>Data!BN187</f>
        <v>22.4</v>
      </c>
      <c r="G187" s="3">
        <f>Data!N187</f>
        <v>0</v>
      </c>
      <c r="H187" s="21">
        <f>Data!BE187</f>
        <v>0</v>
      </c>
      <c r="I187" s="13">
        <f t="shared" si="30"/>
        <v>0</v>
      </c>
      <c r="J187" s="3">
        <f>Data!BR187</f>
        <v>0</v>
      </c>
      <c r="K187" s="35">
        <f t="shared" si="40"/>
        <v>0</v>
      </c>
      <c r="M187" s="22">
        <f t="shared" si="43"/>
        <v>226.39999999999992</v>
      </c>
      <c r="N187" s="22">
        <f t="shared" si="43"/>
        <v>503.40000000000003</v>
      </c>
    </row>
    <row r="188" spans="1:14" x14ac:dyDescent="0.2">
      <c r="A188" s="14">
        <f t="shared" si="34"/>
        <v>38899</v>
      </c>
      <c r="B188" s="1">
        <v>182</v>
      </c>
      <c r="C188" s="16">
        <f>ROUND(Data!BI188,2)</f>
        <v>32.700000000000003</v>
      </c>
      <c r="D188" s="3">
        <f>ROUND(Data!O188,1)</f>
        <v>23.5</v>
      </c>
      <c r="E188" s="3">
        <f>ROUND(Data!AA188,1)</f>
        <v>3.7</v>
      </c>
      <c r="F188" s="3">
        <f>Data!BN188</f>
        <v>14.5</v>
      </c>
      <c r="G188" s="3">
        <f>Data!N188</f>
        <v>0</v>
      </c>
      <c r="H188" s="21">
        <f>Data!BE188</f>
        <v>0</v>
      </c>
      <c r="I188" s="13">
        <f t="shared" si="30"/>
        <v>0</v>
      </c>
      <c r="J188" s="3">
        <f>Data!BR188</f>
        <v>0</v>
      </c>
      <c r="K188" s="35">
        <f t="shared" si="40"/>
        <v>0</v>
      </c>
      <c r="M188" s="22">
        <f t="shared" si="43"/>
        <v>226.39999999999992</v>
      </c>
      <c r="N188" s="22">
        <f t="shared" si="43"/>
        <v>503.40000000000003</v>
      </c>
    </row>
    <row r="189" spans="1:14" x14ac:dyDescent="0.2">
      <c r="A189" s="14">
        <f t="shared" si="34"/>
        <v>38900</v>
      </c>
      <c r="B189" s="1">
        <v>183</v>
      </c>
      <c r="C189" s="16">
        <f>ROUND(Data!BI189,2)</f>
        <v>27.63</v>
      </c>
      <c r="D189" s="3">
        <f>ROUND(Data!O189,1)</f>
        <v>25.4</v>
      </c>
      <c r="E189" s="3">
        <f>ROUND(Data!AA189,1)</f>
        <v>4.2</v>
      </c>
      <c r="F189" s="3">
        <f>Data!BN189</f>
        <v>14.2</v>
      </c>
      <c r="G189" s="3">
        <f>Data!N189</f>
        <v>0</v>
      </c>
      <c r="H189" s="21">
        <f>Data!BE189</f>
        <v>0</v>
      </c>
      <c r="I189" s="13">
        <f t="shared" si="30"/>
        <v>0</v>
      </c>
      <c r="J189" s="3">
        <f>Data!BR189</f>
        <v>0</v>
      </c>
      <c r="K189" s="35">
        <f t="shared" si="40"/>
        <v>0</v>
      </c>
      <c r="M189" s="22">
        <f t="shared" si="43"/>
        <v>226.39999999999992</v>
      </c>
      <c r="N189" s="22">
        <f t="shared" si="43"/>
        <v>503.40000000000003</v>
      </c>
    </row>
    <row r="190" spans="1:14" x14ac:dyDescent="0.2">
      <c r="A190" s="14">
        <f t="shared" si="34"/>
        <v>38901</v>
      </c>
      <c r="B190" s="1">
        <v>184</v>
      </c>
      <c r="C190" s="16">
        <f>ROUND(Data!BI190,2)</f>
        <v>29.42</v>
      </c>
      <c r="D190" s="3">
        <f>ROUND(Data!O190,1)</f>
        <v>26.7</v>
      </c>
      <c r="E190" s="3">
        <f>ROUND(Data!AA190,1)</f>
        <v>6.6</v>
      </c>
      <c r="F190" s="3">
        <f>Data!BN190</f>
        <v>19.2</v>
      </c>
      <c r="G190" s="3">
        <f>Data!N190</f>
        <v>0</v>
      </c>
      <c r="H190" s="21">
        <f>Data!BE190</f>
        <v>0</v>
      </c>
      <c r="I190" s="13">
        <f t="shared" si="30"/>
        <v>0</v>
      </c>
      <c r="J190" s="3">
        <f>Data!BR190</f>
        <v>0</v>
      </c>
      <c r="K190" s="35">
        <f t="shared" si="40"/>
        <v>0</v>
      </c>
      <c r="M190" s="22">
        <f t="shared" si="43"/>
        <v>226.39999999999992</v>
      </c>
      <c r="N190" s="22">
        <f t="shared" si="43"/>
        <v>503.40000000000003</v>
      </c>
    </row>
    <row r="191" spans="1:14" x14ac:dyDescent="0.2">
      <c r="A191" s="14">
        <f t="shared" si="34"/>
        <v>38902</v>
      </c>
      <c r="B191" s="1">
        <v>185</v>
      </c>
      <c r="C191" s="16">
        <f>ROUND(Data!BI191,2)</f>
        <v>18.600000000000001</v>
      </c>
      <c r="D191" s="3">
        <f>ROUND(Data!O191,1)</f>
        <v>24.9</v>
      </c>
      <c r="E191" s="3">
        <f>ROUND(Data!AA191,1)</f>
        <v>6.1</v>
      </c>
      <c r="F191" s="3">
        <f>Data!BN191</f>
        <v>21.8</v>
      </c>
      <c r="G191" s="3">
        <f>Data!N191</f>
        <v>0</v>
      </c>
      <c r="H191" s="21">
        <f>Data!BE191</f>
        <v>0</v>
      </c>
      <c r="I191" s="13">
        <f t="shared" si="30"/>
        <v>0</v>
      </c>
      <c r="J191" s="3">
        <f>Data!BR191</f>
        <v>0</v>
      </c>
      <c r="K191" s="35">
        <f t="shared" si="40"/>
        <v>0</v>
      </c>
      <c r="M191" s="22">
        <f t="shared" si="43"/>
        <v>226.39999999999992</v>
      </c>
      <c r="N191" s="22">
        <f t="shared" si="43"/>
        <v>503.40000000000003</v>
      </c>
    </row>
    <row r="192" spans="1:14" x14ac:dyDescent="0.2">
      <c r="A192" s="14">
        <f t="shared" si="34"/>
        <v>38903</v>
      </c>
      <c r="B192" s="1">
        <v>186</v>
      </c>
      <c r="C192" s="16">
        <f>ROUND(Data!BI192,2)</f>
        <v>25.91</v>
      </c>
      <c r="D192" s="3">
        <f>ROUND(Data!O192,1)</f>
        <v>25.2</v>
      </c>
      <c r="E192" s="3">
        <f>ROUND(Data!AA192,1)</f>
        <v>6.5</v>
      </c>
      <c r="F192" s="3">
        <f>Data!BN192</f>
        <v>19.899999999999999</v>
      </c>
      <c r="G192" s="3">
        <f>Data!N192</f>
        <v>19</v>
      </c>
      <c r="H192" s="21">
        <f>Data!BE192</f>
        <v>0</v>
      </c>
      <c r="I192" s="13">
        <f t="shared" si="30"/>
        <v>0</v>
      </c>
      <c r="J192" s="3">
        <f>Data!BR192</f>
        <v>9.6</v>
      </c>
      <c r="K192" s="35">
        <f t="shared" si="40"/>
        <v>19</v>
      </c>
      <c r="M192" s="22">
        <f t="shared" si="43"/>
        <v>235.99999999999991</v>
      </c>
      <c r="N192" s="22">
        <f t="shared" si="43"/>
        <v>522.40000000000009</v>
      </c>
    </row>
    <row r="193" spans="1:14" x14ac:dyDescent="0.2">
      <c r="A193" s="14">
        <f t="shared" si="34"/>
        <v>38904</v>
      </c>
      <c r="B193" s="1">
        <v>187</v>
      </c>
      <c r="C193" s="16">
        <f>ROUND(Data!BI193,2)</f>
        <v>19.68</v>
      </c>
      <c r="D193" s="3">
        <f>ROUND(Data!O193,1)</f>
        <v>19.100000000000001</v>
      </c>
      <c r="E193" s="3">
        <f>ROUND(Data!AA193,1)</f>
        <v>4.9000000000000004</v>
      </c>
      <c r="F193" s="3">
        <f>Data!BN193</f>
        <v>37.5</v>
      </c>
      <c r="G193" s="3">
        <f>Data!N193</f>
        <v>0</v>
      </c>
      <c r="H193" s="21">
        <f>Data!BE193</f>
        <v>0</v>
      </c>
      <c r="I193" s="13">
        <f t="shared" si="30"/>
        <v>0</v>
      </c>
      <c r="J193" s="3">
        <f>Data!BR193</f>
        <v>0.2</v>
      </c>
      <c r="K193" s="35">
        <f t="shared" si="40"/>
        <v>0</v>
      </c>
      <c r="M193" s="22">
        <f t="shared" si="43"/>
        <v>236.1999999999999</v>
      </c>
      <c r="N193" s="22">
        <f t="shared" si="43"/>
        <v>522.40000000000009</v>
      </c>
    </row>
    <row r="194" spans="1:14" x14ac:dyDescent="0.2">
      <c r="A194" s="14">
        <f t="shared" si="34"/>
        <v>38905</v>
      </c>
      <c r="B194" s="1">
        <v>188</v>
      </c>
      <c r="C194" s="16">
        <f>ROUND(Data!BI194,2)</f>
        <v>23.77</v>
      </c>
      <c r="D194" s="3">
        <f>ROUND(Data!O194,1)</f>
        <v>16.7</v>
      </c>
      <c r="E194" s="3">
        <f>ROUND(Data!AA194,1)</f>
        <v>3.8</v>
      </c>
      <c r="F194" s="3">
        <f>Data!BN194</f>
        <v>34.9</v>
      </c>
      <c r="G194" s="3">
        <f>Data!N194</f>
        <v>0</v>
      </c>
      <c r="H194" s="21">
        <f>Data!BE194</f>
        <v>0</v>
      </c>
      <c r="I194" s="13">
        <f t="shared" si="30"/>
        <v>0</v>
      </c>
      <c r="J194" s="3">
        <f>Data!BR194</f>
        <v>0</v>
      </c>
      <c r="K194" s="35">
        <f t="shared" si="40"/>
        <v>0</v>
      </c>
      <c r="M194" s="22">
        <f t="shared" si="43"/>
        <v>236.1999999999999</v>
      </c>
      <c r="N194" s="22">
        <f t="shared" si="43"/>
        <v>522.40000000000009</v>
      </c>
    </row>
    <row r="195" spans="1:14" x14ac:dyDescent="0.2">
      <c r="A195" s="14">
        <f t="shared" si="34"/>
        <v>38906</v>
      </c>
      <c r="B195" s="1">
        <v>189</v>
      </c>
      <c r="C195" s="16">
        <f>ROUND(Data!BI195,2)</f>
        <v>31.55</v>
      </c>
      <c r="D195" s="3">
        <f>ROUND(Data!O195,1)</f>
        <v>22.9</v>
      </c>
      <c r="E195" s="3">
        <f>ROUND(Data!AA195,1)</f>
        <v>3.1</v>
      </c>
      <c r="F195" s="3">
        <f>Data!BN195</f>
        <v>31.4</v>
      </c>
      <c r="G195" s="3">
        <f>Data!N195</f>
        <v>0</v>
      </c>
      <c r="H195" s="21">
        <f>Data!BE195</f>
        <v>0</v>
      </c>
      <c r="I195" s="13">
        <f t="shared" si="30"/>
        <v>0</v>
      </c>
      <c r="J195" s="3">
        <f>Data!BR195</f>
        <v>0</v>
      </c>
      <c r="K195" s="35">
        <f t="shared" si="40"/>
        <v>0</v>
      </c>
      <c r="M195" s="22">
        <f t="shared" si="43"/>
        <v>236.1999999999999</v>
      </c>
      <c r="N195" s="22">
        <f t="shared" si="43"/>
        <v>522.40000000000009</v>
      </c>
    </row>
    <row r="196" spans="1:14" x14ac:dyDescent="0.2">
      <c r="A196" s="14">
        <f t="shared" si="34"/>
        <v>38907</v>
      </c>
      <c r="B196" s="1">
        <v>190</v>
      </c>
      <c r="C196" s="16">
        <f>ROUND(Data!BI196,2)</f>
        <v>16.66</v>
      </c>
      <c r="D196" s="3">
        <f>ROUND(Data!O196,1)</f>
        <v>20.6</v>
      </c>
      <c r="E196" s="3">
        <f>ROUND(Data!AA196,1)</f>
        <v>10.3</v>
      </c>
      <c r="F196" s="3">
        <f>Data!BN196</f>
        <v>46.5</v>
      </c>
      <c r="G196" s="3">
        <f>Data!N196</f>
        <v>3</v>
      </c>
      <c r="H196" s="21">
        <f>Data!BE196</f>
        <v>0</v>
      </c>
      <c r="I196" s="13">
        <f t="shared" si="30"/>
        <v>0</v>
      </c>
      <c r="J196" s="3">
        <f>Data!BR196</f>
        <v>0.8</v>
      </c>
      <c r="K196" s="35">
        <f t="shared" si="40"/>
        <v>3</v>
      </c>
      <c r="M196" s="22">
        <f t="shared" si="43"/>
        <v>236.99999999999991</v>
      </c>
      <c r="N196" s="22">
        <f t="shared" si="43"/>
        <v>525.40000000000009</v>
      </c>
    </row>
    <row r="197" spans="1:14" x14ac:dyDescent="0.2">
      <c r="A197" s="14">
        <f t="shared" si="34"/>
        <v>38908</v>
      </c>
      <c r="B197" s="1">
        <v>191</v>
      </c>
      <c r="C197" s="16">
        <f>ROUND(Data!BI197,2)</f>
        <v>24.18</v>
      </c>
      <c r="D197" s="3">
        <f>ROUND(Data!O197,1)</f>
        <v>18.600000000000001</v>
      </c>
      <c r="E197" s="3">
        <f>ROUND(Data!AA197,1)</f>
        <v>5</v>
      </c>
      <c r="F197" s="3">
        <f>Data!BN197</f>
        <v>26.2</v>
      </c>
      <c r="G197" s="3">
        <f>Data!N197</f>
        <v>3</v>
      </c>
      <c r="H197" s="21">
        <f>Data!BE197</f>
        <v>0</v>
      </c>
      <c r="I197" s="13">
        <f t="shared" si="30"/>
        <v>0</v>
      </c>
      <c r="J197" s="3">
        <f>Data!BR197</f>
        <v>1</v>
      </c>
      <c r="K197" s="35">
        <f t="shared" si="40"/>
        <v>3</v>
      </c>
      <c r="M197" s="22">
        <f t="shared" si="43"/>
        <v>237.99999999999991</v>
      </c>
      <c r="N197" s="22">
        <f t="shared" si="43"/>
        <v>528.40000000000009</v>
      </c>
    </row>
    <row r="198" spans="1:14" x14ac:dyDescent="0.2">
      <c r="A198" s="14">
        <f t="shared" si="34"/>
        <v>38909</v>
      </c>
      <c r="B198" s="1">
        <v>192</v>
      </c>
      <c r="C198" s="16">
        <f>ROUND(Data!BI198,2)</f>
        <v>16.88</v>
      </c>
      <c r="D198" s="3">
        <f>ROUND(Data!O198,1)</f>
        <v>16.100000000000001</v>
      </c>
      <c r="E198" s="3">
        <f>ROUND(Data!AA198,1)</f>
        <v>2.4</v>
      </c>
      <c r="F198" s="3">
        <f>Data!BN198</f>
        <v>30.7</v>
      </c>
      <c r="G198" s="3">
        <f>Data!N198</f>
        <v>1</v>
      </c>
      <c r="H198" s="21">
        <f>Data!BE198</f>
        <v>0</v>
      </c>
      <c r="I198" s="13">
        <f t="shared" si="30"/>
        <v>0</v>
      </c>
      <c r="J198" s="3">
        <f>Data!BR198</f>
        <v>0</v>
      </c>
      <c r="K198" s="35">
        <f t="shared" si="40"/>
        <v>1</v>
      </c>
      <c r="M198" s="22">
        <f t="shared" si="43"/>
        <v>237.99999999999991</v>
      </c>
      <c r="N198" s="22">
        <f t="shared" si="43"/>
        <v>529.40000000000009</v>
      </c>
    </row>
    <row r="199" spans="1:14" x14ac:dyDescent="0.2">
      <c r="A199" s="14">
        <f t="shared" si="34"/>
        <v>38910</v>
      </c>
      <c r="B199" s="1">
        <v>193</v>
      </c>
      <c r="C199" s="16">
        <f>ROUND(Data!BI199,2)</f>
        <v>12.84</v>
      </c>
      <c r="D199" s="3">
        <f>ROUND(Data!O199,1)</f>
        <v>14.3</v>
      </c>
      <c r="E199" s="3">
        <f>ROUND(Data!AA199,1)</f>
        <v>6.5</v>
      </c>
      <c r="F199" s="3">
        <f>Data!BN199</f>
        <v>60.8</v>
      </c>
      <c r="G199" s="3">
        <f>Data!N199</f>
        <v>1</v>
      </c>
      <c r="H199" s="21">
        <f>Data!BE199</f>
        <v>0</v>
      </c>
      <c r="I199" s="13">
        <f t="shared" si="30"/>
        <v>0</v>
      </c>
      <c r="J199" s="3">
        <f>Data!BR199</f>
        <v>1</v>
      </c>
      <c r="K199" s="35">
        <f t="shared" si="40"/>
        <v>1</v>
      </c>
      <c r="M199" s="22">
        <f t="shared" si="43"/>
        <v>238.99999999999991</v>
      </c>
      <c r="N199" s="22">
        <f t="shared" si="43"/>
        <v>530.40000000000009</v>
      </c>
    </row>
    <row r="200" spans="1:14" x14ac:dyDescent="0.2">
      <c r="A200" s="14">
        <f t="shared" si="34"/>
        <v>38911</v>
      </c>
      <c r="B200" s="1">
        <v>194</v>
      </c>
      <c r="C200" s="16">
        <f>ROUND(Data!BI200,2)</f>
        <v>13.12</v>
      </c>
      <c r="D200" s="3">
        <f>ROUND(Data!O200,1)</f>
        <v>14.4</v>
      </c>
      <c r="E200" s="3">
        <f>ROUND(Data!AA200,1)</f>
        <v>5.4</v>
      </c>
      <c r="F200" s="3">
        <f>Data!BN200</f>
        <v>48.4</v>
      </c>
      <c r="G200" s="3">
        <f>Data!N200</f>
        <v>1</v>
      </c>
      <c r="H200" s="21">
        <f>Data!BE200</f>
        <v>0</v>
      </c>
      <c r="I200" s="13">
        <f t="shared" ref="I200:I263" si="44">IF(H200&gt;H199,ROUND((H200-H199)*I$1,1),0)</f>
        <v>0</v>
      </c>
      <c r="J200" s="3">
        <f>Data!BR200</f>
        <v>0</v>
      </c>
      <c r="K200" s="35">
        <f t="shared" si="40"/>
        <v>1</v>
      </c>
      <c r="M200" s="22">
        <f t="shared" si="43"/>
        <v>238.99999999999991</v>
      </c>
      <c r="N200" s="22">
        <f t="shared" si="43"/>
        <v>531.40000000000009</v>
      </c>
    </row>
    <row r="201" spans="1:14" x14ac:dyDescent="0.2">
      <c r="A201" s="14">
        <f t="shared" ref="A201:A264" si="45">A200+1</f>
        <v>38912</v>
      </c>
      <c r="B201" s="1">
        <v>195</v>
      </c>
      <c r="C201" s="16">
        <f>ROUND(Data!BI201,2)</f>
        <v>17.07</v>
      </c>
      <c r="D201" s="3">
        <f>ROUND(Data!O201,1)</f>
        <v>16.899999999999999</v>
      </c>
      <c r="E201" s="3">
        <f>ROUND(Data!AA201,1)</f>
        <v>6</v>
      </c>
      <c r="F201" s="3">
        <f>Data!BN201</f>
        <v>41.2</v>
      </c>
      <c r="G201" s="3">
        <f>Data!N201</f>
        <v>0</v>
      </c>
      <c r="H201" s="21">
        <f>Data!BE201</f>
        <v>0</v>
      </c>
      <c r="I201" s="13">
        <f t="shared" si="44"/>
        <v>0</v>
      </c>
      <c r="J201" s="3">
        <f>Data!BR201</f>
        <v>0</v>
      </c>
      <c r="K201" s="35">
        <f t="shared" si="40"/>
        <v>0</v>
      </c>
      <c r="M201" s="22">
        <f t="shared" ref="M201:N216" si="46">J201+M200</f>
        <v>238.99999999999991</v>
      </c>
      <c r="N201" s="22">
        <f t="shared" si="46"/>
        <v>531.40000000000009</v>
      </c>
    </row>
    <row r="202" spans="1:14" x14ac:dyDescent="0.2">
      <c r="A202" s="14">
        <f t="shared" si="45"/>
        <v>38913</v>
      </c>
      <c r="B202" s="1">
        <v>196</v>
      </c>
      <c r="C202" s="16">
        <f>ROUND(Data!BI202,2)</f>
        <v>25.28</v>
      </c>
      <c r="D202" s="3">
        <f>ROUND(Data!O202,1)</f>
        <v>17.899999999999999</v>
      </c>
      <c r="E202" s="3">
        <f>ROUND(Data!AA202,1)</f>
        <v>2.4</v>
      </c>
      <c r="F202" s="3">
        <f>Data!BN202</f>
        <v>28.3</v>
      </c>
      <c r="G202" s="3">
        <f>Data!N202</f>
        <v>0</v>
      </c>
      <c r="H202" s="21">
        <f>Data!BE202</f>
        <v>0</v>
      </c>
      <c r="I202" s="13">
        <f t="shared" si="44"/>
        <v>0</v>
      </c>
      <c r="J202" s="3">
        <f>Data!BR202</f>
        <v>0</v>
      </c>
      <c r="K202" s="35">
        <f t="shared" si="40"/>
        <v>0</v>
      </c>
      <c r="M202" s="22">
        <f t="shared" si="46"/>
        <v>238.99999999999991</v>
      </c>
      <c r="N202" s="22">
        <f t="shared" si="46"/>
        <v>531.40000000000009</v>
      </c>
    </row>
    <row r="203" spans="1:14" x14ac:dyDescent="0.2">
      <c r="A203" s="14">
        <f t="shared" si="45"/>
        <v>38914</v>
      </c>
      <c r="B203" s="1">
        <v>197</v>
      </c>
      <c r="C203" s="16">
        <f>ROUND(Data!BI203,2)</f>
        <v>31.59</v>
      </c>
      <c r="D203" s="3">
        <f>ROUND(Data!O203,1)</f>
        <v>19.5</v>
      </c>
      <c r="E203" s="3">
        <f>ROUND(Data!AA203,1)</f>
        <v>0.7</v>
      </c>
      <c r="F203" s="3">
        <f>Data!BN203</f>
        <v>25.4</v>
      </c>
      <c r="G203" s="3">
        <f>Data!N203</f>
        <v>0</v>
      </c>
      <c r="H203" s="21">
        <f>Data!BE203</f>
        <v>0</v>
      </c>
      <c r="I203" s="13">
        <f t="shared" si="44"/>
        <v>0</v>
      </c>
      <c r="J203" s="3">
        <f>Data!BR203</f>
        <v>0</v>
      </c>
      <c r="K203" s="35">
        <f t="shared" si="40"/>
        <v>0</v>
      </c>
      <c r="M203" s="22">
        <f t="shared" si="46"/>
        <v>238.99999999999991</v>
      </c>
      <c r="N203" s="22">
        <f t="shared" si="46"/>
        <v>531.40000000000009</v>
      </c>
    </row>
    <row r="204" spans="1:14" x14ac:dyDescent="0.2">
      <c r="A204" s="14">
        <f t="shared" si="45"/>
        <v>38915</v>
      </c>
      <c r="B204" s="1">
        <v>198</v>
      </c>
      <c r="C204" s="16">
        <f>ROUND(Data!BI204,2)</f>
        <v>30.24</v>
      </c>
      <c r="D204" s="3">
        <f>ROUND(Data!O204,1)</f>
        <v>19.399999999999999</v>
      </c>
      <c r="E204" s="3">
        <f>ROUND(Data!AA204,1)</f>
        <v>1.2</v>
      </c>
      <c r="F204" s="3">
        <f>Data!BN204</f>
        <v>24.6</v>
      </c>
      <c r="G204" s="3">
        <f>Data!N204</f>
        <v>0</v>
      </c>
      <c r="H204" s="21">
        <f>Data!BE204</f>
        <v>0</v>
      </c>
      <c r="I204" s="13">
        <f t="shared" si="44"/>
        <v>0</v>
      </c>
      <c r="J204" s="3">
        <f>Data!BR204</f>
        <v>0</v>
      </c>
      <c r="K204" s="35">
        <f t="shared" si="40"/>
        <v>0</v>
      </c>
      <c r="M204" s="22">
        <f t="shared" si="46"/>
        <v>238.99999999999991</v>
      </c>
      <c r="N204" s="22">
        <f t="shared" si="46"/>
        <v>531.40000000000009</v>
      </c>
    </row>
    <row r="205" spans="1:14" x14ac:dyDescent="0.2">
      <c r="A205" s="14">
        <f t="shared" si="45"/>
        <v>38916</v>
      </c>
      <c r="B205" s="1">
        <v>199</v>
      </c>
      <c r="C205" s="16">
        <f>ROUND(Data!BI205,2)</f>
        <v>28.26</v>
      </c>
      <c r="D205" s="3">
        <f>ROUND(Data!O205,1)</f>
        <v>16.600000000000001</v>
      </c>
      <c r="E205" s="3">
        <f>ROUND(Data!AA205,1)</f>
        <v>0.9</v>
      </c>
      <c r="F205" s="3">
        <f>Data!BN205</f>
        <v>29.8</v>
      </c>
      <c r="G205" s="3">
        <f>Data!N205</f>
        <v>0</v>
      </c>
      <c r="H205" s="21">
        <f>Data!BE205</f>
        <v>0</v>
      </c>
      <c r="I205" s="13">
        <f t="shared" si="44"/>
        <v>0</v>
      </c>
      <c r="J205" s="3">
        <f>Data!BR205</f>
        <v>0</v>
      </c>
      <c r="K205" s="35">
        <f t="shared" si="40"/>
        <v>0</v>
      </c>
      <c r="M205" s="22">
        <f t="shared" si="46"/>
        <v>238.99999999999991</v>
      </c>
      <c r="N205" s="22">
        <f t="shared" si="46"/>
        <v>531.40000000000009</v>
      </c>
    </row>
    <row r="206" spans="1:14" x14ac:dyDescent="0.2">
      <c r="A206" s="14">
        <f t="shared" si="45"/>
        <v>38917</v>
      </c>
      <c r="B206" s="1">
        <v>200</v>
      </c>
      <c r="C206" s="16">
        <f>ROUND(Data!BI206,2)</f>
        <v>18.27</v>
      </c>
      <c r="D206" s="3">
        <f>ROUND(Data!O206,1)</f>
        <v>18.5</v>
      </c>
      <c r="E206" s="3">
        <f>ROUND(Data!AA206,1)</f>
        <v>-0.3</v>
      </c>
      <c r="F206" s="3">
        <f>Data!BN206</f>
        <v>27.8</v>
      </c>
      <c r="G206" s="3">
        <f>Data!N206</f>
        <v>0</v>
      </c>
      <c r="H206" s="21">
        <f>Data!BE206</f>
        <v>0</v>
      </c>
      <c r="I206" s="13">
        <f t="shared" si="44"/>
        <v>0</v>
      </c>
      <c r="J206" s="3">
        <f>Data!BR206</f>
        <v>0</v>
      </c>
      <c r="K206" s="35">
        <f t="shared" si="40"/>
        <v>0</v>
      </c>
      <c r="M206" s="22">
        <f t="shared" si="46"/>
        <v>238.99999999999991</v>
      </c>
      <c r="N206" s="22">
        <f t="shared" si="46"/>
        <v>531.40000000000009</v>
      </c>
    </row>
    <row r="207" spans="1:14" x14ac:dyDescent="0.2">
      <c r="A207" s="14">
        <f t="shared" si="45"/>
        <v>38918</v>
      </c>
      <c r="B207" s="1">
        <v>201</v>
      </c>
      <c r="C207" s="16">
        <f>ROUND(Data!BI207,2)</f>
        <v>30.25</v>
      </c>
      <c r="D207" s="3">
        <f>ROUND(Data!O207,1)</f>
        <v>22.8</v>
      </c>
      <c r="E207" s="3">
        <f>ROUND(Data!AA207,1)</f>
        <v>2.1</v>
      </c>
      <c r="F207" s="3">
        <f>Data!BN207</f>
        <v>29.8</v>
      </c>
      <c r="G207" s="3">
        <f>Data!N207</f>
        <v>0</v>
      </c>
      <c r="H207" s="21">
        <f>Data!BE207</f>
        <v>0</v>
      </c>
      <c r="I207" s="13">
        <f t="shared" si="44"/>
        <v>0</v>
      </c>
      <c r="J207" s="3">
        <f>Data!BR207</f>
        <v>0</v>
      </c>
      <c r="K207" s="35">
        <f t="shared" si="40"/>
        <v>0</v>
      </c>
      <c r="M207" s="22">
        <f t="shared" si="46"/>
        <v>238.99999999999991</v>
      </c>
      <c r="N207" s="22">
        <f t="shared" si="46"/>
        <v>531.40000000000009</v>
      </c>
    </row>
    <row r="208" spans="1:14" x14ac:dyDescent="0.2">
      <c r="A208" s="14">
        <f t="shared" si="45"/>
        <v>38919</v>
      </c>
      <c r="B208" s="1">
        <v>202</v>
      </c>
      <c r="C208" s="16">
        <f>ROUND(Data!BI208,2)</f>
        <v>30.38</v>
      </c>
      <c r="D208" s="3">
        <f>ROUND(Data!O208,1)</f>
        <v>28.7</v>
      </c>
      <c r="E208" s="3">
        <f>ROUND(Data!AA208,1)</f>
        <v>5.6</v>
      </c>
      <c r="F208" s="3">
        <f>Data!BN208</f>
        <v>25</v>
      </c>
      <c r="G208" s="3">
        <f>Data!N208</f>
        <v>0</v>
      </c>
      <c r="H208" s="21">
        <f>Data!BE208</f>
        <v>0</v>
      </c>
      <c r="I208" s="13">
        <f t="shared" si="44"/>
        <v>0</v>
      </c>
      <c r="J208" s="3">
        <f>Data!BR208</f>
        <v>0</v>
      </c>
      <c r="K208" s="35">
        <f t="shared" si="40"/>
        <v>0</v>
      </c>
      <c r="M208" s="22">
        <f t="shared" si="46"/>
        <v>238.99999999999991</v>
      </c>
      <c r="N208" s="22">
        <f t="shared" si="46"/>
        <v>531.40000000000009</v>
      </c>
    </row>
    <row r="209" spans="1:14" x14ac:dyDescent="0.2">
      <c r="A209" s="14">
        <f t="shared" si="45"/>
        <v>38920</v>
      </c>
      <c r="B209" s="1">
        <v>203</v>
      </c>
      <c r="C209" s="16">
        <f>ROUND(Data!BI209,2)</f>
        <v>23.79</v>
      </c>
      <c r="D209" s="3">
        <f>ROUND(Data!O209,1)</f>
        <v>29.3</v>
      </c>
      <c r="E209" s="3">
        <f>ROUND(Data!AA209,1)</f>
        <v>9</v>
      </c>
      <c r="F209" s="3">
        <f>Data!BN209</f>
        <v>15.7</v>
      </c>
      <c r="G209" s="3">
        <f>Data!N209</f>
        <v>0</v>
      </c>
      <c r="H209" s="21">
        <f>Data!BE209</f>
        <v>0</v>
      </c>
      <c r="I209" s="13">
        <f t="shared" si="44"/>
        <v>0</v>
      </c>
      <c r="J209" s="3">
        <f>Data!BR209</f>
        <v>0</v>
      </c>
      <c r="K209" s="35">
        <f t="shared" si="40"/>
        <v>0</v>
      </c>
      <c r="M209" s="22">
        <f t="shared" si="46"/>
        <v>238.99999999999991</v>
      </c>
      <c r="N209" s="22">
        <f t="shared" si="46"/>
        <v>531.40000000000009</v>
      </c>
    </row>
    <row r="210" spans="1:14" x14ac:dyDescent="0.2">
      <c r="A210" s="14">
        <f t="shared" si="45"/>
        <v>38921</v>
      </c>
      <c r="B210" s="1">
        <v>204</v>
      </c>
      <c r="C210" s="16">
        <f>ROUND(Data!BI210,2)</f>
        <v>29.56</v>
      </c>
      <c r="D210" s="3">
        <f>ROUND(Data!O210,1)</f>
        <v>29.1</v>
      </c>
      <c r="E210" s="3">
        <f>ROUND(Data!AA210,1)</f>
        <v>8.4</v>
      </c>
      <c r="F210" s="3">
        <f>Data!BN210</f>
        <v>22.6</v>
      </c>
      <c r="G210" s="3">
        <f>Data!N210</f>
        <v>12</v>
      </c>
      <c r="H210" s="21">
        <f>Data!BE210</f>
        <v>0</v>
      </c>
      <c r="I210" s="13">
        <f t="shared" si="44"/>
        <v>0</v>
      </c>
      <c r="J210" s="3">
        <f>Data!BR210</f>
        <v>7.8</v>
      </c>
      <c r="K210" s="35">
        <f t="shared" ref="K210:K212" si="47">G210</f>
        <v>12</v>
      </c>
      <c r="M210" s="22">
        <f t="shared" si="46"/>
        <v>246.79999999999993</v>
      </c>
      <c r="N210" s="22">
        <f t="shared" si="46"/>
        <v>543.40000000000009</v>
      </c>
    </row>
    <row r="211" spans="1:14" x14ac:dyDescent="0.2">
      <c r="A211" s="14">
        <f t="shared" si="45"/>
        <v>38922</v>
      </c>
      <c r="B211" s="1">
        <v>205</v>
      </c>
      <c r="C211" s="16">
        <f>ROUND(Data!BI211,2)</f>
        <v>29.39</v>
      </c>
      <c r="D211" s="3">
        <f>ROUND(Data!O211,1)</f>
        <v>24.7</v>
      </c>
      <c r="E211" s="3">
        <f>ROUND(Data!AA211,1)</f>
        <v>8.4</v>
      </c>
      <c r="F211" s="3">
        <f>Data!BN211</f>
        <v>34</v>
      </c>
      <c r="G211" s="3">
        <f>Data!N211</f>
        <v>0</v>
      </c>
      <c r="H211" s="21">
        <f>Data!BE211</f>
        <v>0</v>
      </c>
      <c r="I211" s="13">
        <f t="shared" si="44"/>
        <v>0</v>
      </c>
      <c r="J211" s="3">
        <f>Data!BR211</f>
        <v>0</v>
      </c>
      <c r="K211" s="35">
        <f t="shared" si="47"/>
        <v>0</v>
      </c>
      <c r="M211" s="22">
        <f t="shared" si="46"/>
        <v>246.79999999999993</v>
      </c>
      <c r="N211" s="22">
        <f t="shared" si="46"/>
        <v>543.40000000000009</v>
      </c>
    </row>
    <row r="212" spans="1:14" x14ac:dyDescent="0.2">
      <c r="A212" s="14">
        <f t="shared" si="45"/>
        <v>38923</v>
      </c>
      <c r="B212" s="1">
        <v>206</v>
      </c>
      <c r="C212" s="16">
        <f>ROUND(Data!BI212,2)</f>
        <v>25.39</v>
      </c>
      <c r="D212" s="3">
        <f>ROUND(Data!O212,1)</f>
        <v>24.3</v>
      </c>
      <c r="E212" s="3">
        <f>ROUND(Data!AA212,1)</f>
        <v>8.1</v>
      </c>
      <c r="F212" s="3">
        <f>Data!BN212</f>
        <v>26.9</v>
      </c>
      <c r="G212" s="3">
        <f>Data!N212</f>
        <v>0</v>
      </c>
      <c r="H212" s="21">
        <f>Data!BE212</f>
        <v>0</v>
      </c>
      <c r="I212" s="13">
        <f t="shared" si="44"/>
        <v>0</v>
      </c>
      <c r="J212" s="3">
        <f>Data!BR212</f>
        <v>0</v>
      </c>
      <c r="K212" s="35">
        <f t="shared" si="47"/>
        <v>0</v>
      </c>
      <c r="M212" s="22">
        <f t="shared" si="46"/>
        <v>246.79999999999993</v>
      </c>
      <c r="N212" s="22">
        <f t="shared" si="46"/>
        <v>543.40000000000009</v>
      </c>
    </row>
    <row r="213" spans="1:14" x14ac:dyDescent="0.2">
      <c r="A213" s="14">
        <f t="shared" si="45"/>
        <v>38924</v>
      </c>
      <c r="B213" s="1">
        <v>207</v>
      </c>
      <c r="C213" s="16">
        <f>ROUND(Data!BI213,2)</f>
        <v>27.26</v>
      </c>
      <c r="D213" s="3">
        <f>ROUND(Data!O213,1)</f>
        <v>25.6</v>
      </c>
      <c r="E213" s="3">
        <f>ROUND(Data!AA213,1)</f>
        <v>6.7</v>
      </c>
      <c r="F213" s="3">
        <f>Data!BN213</f>
        <v>25.9</v>
      </c>
      <c r="G213" s="3">
        <f>Data!N213</f>
        <v>0</v>
      </c>
      <c r="H213" s="21">
        <f>Data!BE213</f>
        <v>0</v>
      </c>
      <c r="I213" s="13">
        <f t="shared" si="44"/>
        <v>0</v>
      </c>
      <c r="J213" s="3">
        <f>Data!BR213</f>
        <v>0</v>
      </c>
      <c r="K213" s="35">
        <f t="shared" ref="K213:K276" si="48">G213</f>
        <v>0</v>
      </c>
      <c r="M213" s="22">
        <f t="shared" si="46"/>
        <v>246.79999999999993</v>
      </c>
      <c r="N213" s="22">
        <f t="shared" si="46"/>
        <v>543.40000000000009</v>
      </c>
    </row>
    <row r="214" spans="1:14" x14ac:dyDescent="0.2">
      <c r="A214" s="14">
        <f t="shared" si="45"/>
        <v>38925</v>
      </c>
      <c r="B214" s="1">
        <v>208</v>
      </c>
      <c r="C214" s="16">
        <f>ROUND(Data!BI214,2)</f>
        <v>28.07</v>
      </c>
      <c r="D214" s="3">
        <f>ROUND(Data!O214,1)</f>
        <v>24.3</v>
      </c>
      <c r="E214" s="3">
        <f>ROUND(Data!AA214,1)</f>
        <v>7.8</v>
      </c>
      <c r="F214" s="3">
        <f>Data!BN214</f>
        <v>28.9</v>
      </c>
      <c r="G214" s="3">
        <f>Data!N214</f>
        <v>0</v>
      </c>
      <c r="H214" s="21">
        <f>Data!BE214</f>
        <v>0</v>
      </c>
      <c r="I214" s="13">
        <f t="shared" si="44"/>
        <v>0</v>
      </c>
      <c r="J214" s="3">
        <f>Data!BR214</f>
        <v>0</v>
      </c>
      <c r="K214" s="35">
        <f t="shared" si="48"/>
        <v>0</v>
      </c>
      <c r="M214" s="22">
        <f t="shared" si="46"/>
        <v>246.79999999999993</v>
      </c>
      <c r="N214" s="22">
        <f t="shared" si="46"/>
        <v>543.40000000000009</v>
      </c>
    </row>
    <row r="215" spans="1:14" x14ac:dyDescent="0.2">
      <c r="A215" s="14">
        <f t="shared" si="45"/>
        <v>38926</v>
      </c>
      <c r="B215" s="1">
        <v>209</v>
      </c>
      <c r="C215" s="16">
        <f>ROUND(Data!BI215,2)</f>
        <v>23.45</v>
      </c>
      <c r="D215" s="3">
        <f>ROUND(Data!O215,1)</f>
        <v>21.5</v>
      </c>
      <c r="E215" s="3">
        <f>ROUND(Data!AA215,1)</f>
        <v>5.3</v>
      </c>
      <c r="F215" s="3">
        <f>Data!BN215</f>
        <v>35.799999999999997</v>
      </c>
      <c r="G215" s="3">
        <f>Data!N215</f>
        <v>0</v>
      </c>
      <c r="H215" s="21">
        <f>Data!BE215</f>
        <v>0</v>
      </c>
      <c r="I215" s="13">
        <f t="shared" si="44"/>
        <v>0</v>
      </c>
      <c r="J215" s="3">
        <f>Data!BR215</f>
        <v>0</v>
      </c>
      <c r="K215" s="35">
        <f t="shared" si="48"/>
        <v>0</v>
      </c>
      <c r="M215" s="22">
        <f t="shared" si="46"/>
        <v>246.79999999999993</v>
      </c>
      <c r="N215" s="22">
        <f t="shared" si="46"/>
        <v>543.40000000000009</v>
      </c>
    </row>
    <row r="216" spans="1:14" x14ac:dyDescent="0.2">
      <c r="A216" s="14">
        <f t="shared" si="45"/>
        <v>38927</v>
      </c>
      <c r="B216" s="1">
        <v>210</v>
      </c>
      <c r="C216" s="16">
        <f>ROUND(Data!BI216,2)</f>
        <v>29.24</v>
      </c>
      <c r="D216" s="3">
        <f>ROUND(Data!O216,1)</f>
        <v>18.100000000000001</v>
      </c>
      <c r="E216" s="3">
        <f>ROUND(Data!AA216,1)</f>
        <v>2.2000000000000002</v>
      </c>
      <c r="F216" s="3">
        <f>Data!BN216</f>
        <v>20.9</v>
      </c>
      <c r="G216" s="3">
        <f>Data!N216</f>
        <v>0</v>
      </c>
      <c r="H216" s="21">
        <f>Data!BE216</f>
        <v>0</v>
      </c>
      <c r="I216" s="13">
        <f t="shared" si="44"/>
        <v>0</v>
      </c>
      <c r="J216" s="3">
        <f>Data!BR216</f>
        <v>0</v>
      </c>
      <c r="K216" s="35">
        <f t="shared" si="48"/>
        <v>0</v>
      </c>
      <c r="M216" s="22">
        <f t="shared" si="46"/>
        <v>246.79999999999993</v>
      </c>
      <c r="N216" s="22">
        <f t="shared" si="46"/>
        <v>543.40000000000009</v>
      </c>
    </row>
    <row r="217" spans="1:14" x14ac:dyDescent="0.2">
      <c r="A217" s="14">
        <f t="shared" si="45"/>
        <v>38928</v>
      </c>
      <c r="B217" s="1">
        <v>211</v>
      </c>
      <c r="C217" s="16">
        <f>ROUND(Data!BI217,2)</f>
        <v>12.6</v>
      </c>
      <c r="D217" s="3">
        <f>ROUND(Data!O217,1)</f>
        <v>9.8000000000000007</v>
      </c>
      <c r="E217" s="3">
        <f>ROUND(Data!AA217,1)</f>
        <v>0.3</v>
      </c>
      <c r="F217" s="3">
        <f>Data!BN217</f>
        <v>50.5</v>
      </c>
      <c r="G217" s="3">
        <f>Data!N217</f>
        <v>10</v>
      </c>
      <c r="H217" s="21">
        <f>Data!BE217</f>
        <v>0</v>
      </c>
      <c r="I217" s="13">
        <f t="shared" si="44"/>
        <v>0</v>
      </c>
      <c r="J217" s="3">
        <f>Data!BR217</f>
        <v>4.8</v>
      </c>
      <c r="K217" s="35">
        <f t="shared" si="48"/>
        <v>10</v>
      </c>
      <c r="M217" s="22">
        <f t="shared" ref="M217:N232" si="49">J217+M216</f>
        <v>251.59999999999994</v>
      </c>
      <c r="N217" s="22">
        <f t="shared" si="49"/>
        <v>553.40000000000009</v>
      </c>
    </row>
    <row r="218" spans="1:14" x14ac:dyDescent="0.2">
      <c r="A218" s="14">
        <f t="shared" si="45"/>
        <v>38929</v>
      </c>
      <c r="B218" s="1">
        <v>212</v>
      </c>
      <c r="C218" s="16">
        <f>ROUND(Data!BI218,2)</f>
        <v>16.68</v>
      </c>
      <c r="D218" s="3">
        <f>ROUND(Data!O218,1)</f>
        <v>13.6</v>
      </c>
      <c r="E218" s="3">
        <f>ROUND(Data!AA218,1)</f>
        <v>0.5</v>
      </c>
      <c r="F218" s="3">
        <f>Data!BN218</f>
        <v>48.3</v>
      </c>
      <c r="G218" s="3">
        <f>Data!N218</f>
        <v>0</v>
      </c>
      <c r="H218" s="21">
        <f>Data!BE218</f>
        <v>0</v>
      </c>
      <c r="I218" s="13">
        <f t="shared" si="44"/>
        <v>0</v>
      </c>
      <c r="J218" s="3">
        <f>Data!BR218</f>
        <v>0</v>
      </c>
      <c r="K218" s="35">
        <f t="shared" si="48"/>
        <v>0</v>
      </c>
      <c r="M218" s="22">
        <f t="shared" si="49"/>
        <v>251.59999999999994</v>
      </c>
      <c r="N218" s="22">
        <f t="shared" si="49"/>
        <v>553.40000000000009</v>
      </c>
    </row>
    <row r="219" spans="1:14" x14ac:dyDescent="0.2">
      <c r="A219" s="14">
        <f t="shared" si="45"/>
        <v>38930</v>
      </c>
      <c r="B219" s="1">
        <v>213</v>
      </c>
      <c r="C219" s="16">
        <f>ROUND(Data!BI219,2)</f>
        <v>23.71</v>
      </c>
      <c r="D219" s="3">
        <f>ROUND(Data!O219,1)</f>
        <v>16.2</v>
      </c>
      <c r="E219" s="3">
        <f>ROUND(Data!AA219,1)</f>
        <v>0.6</v>
      </c>
      <c r="F219" s="3">
        <f>Data!BN219</f>
        <v>39.1</v>
      </c>
      <c r="G219" s="3">
        <f>Data!N219</f>
        <v>0</v>
      </c>
      <c r="H219" s="21">
        <f>Data!BE219</f>
        <v>0</v>
      </c>
      <c r="I219" s="13">
        <f t="shared" si="44"/>
        <v>0</v>
      </c>
      <c r="J219" s="3">
        <f>Data!BR219</f>
        <v>0</v>
      </c>
      <c r="K219" s="35">
        <f t="shared" si="48"/>
        <v>0</v>
      </c>
      <c r="M219" s="22">
        <f t="shared" si="49"/>
        <v>251.59999999999994</v>
      </c>
      <c r="N219" s="22">
        <f t="shared" si="49"/>
        <v>553.40000000000009</v>
      </c>
    </row>
    <row r="220" spans="1:14" x14ac:dyDescent="0.2">
      <c r="A220" s="14">
        <f t="shared" si="45"/>
        <v>38931</v>
      </c>
      <c r="B220" s="1">
        <v>214</v>
      </c>
      <c r="C220" s="16">
        <f>ROUND(Data!BI220,2)</f>
        <v>24.37</v>
      </c>
      <c r="D220" s="3">
        <f>ROUND(Data!O220,1)</f>
        <v>15.6</v>
      </c>
      <c r="E220" s="3">
        <f>ROUND(Data!AA220,1)</f>
        <v>1.8</v>
      </c>
      <c r="F220" s="3">
        <f>Data!BN220</f>
        <v>43</v>
      </c>
      <c r="G220" s="3">
        <f>Data!N220</f>
        <v>0</v>
      </c>
      <c r="H220" s="21">
        <f>Data!BE220</f>
        <v>0</v>
      </c>
      <c r="I220" s="13">
        <f t="shared" si="44"/>
        <v>0</v>
      </c>
      <c r="J220" s="3">
        <f>Data!BR220</f>
        <v>0</v>
      </c>
      <c r="K220" s="35">
        <f t="shared" si="48"/>
        <v>0</v>
      </c>
      <c r="M220" s="22">
        <f t="shared" si="49"/>
        <v>251.59999999999994</v>
      </c>
      <c r="N220" s="22">
        <f t="shared" si="49"/>
        <v>553.40000000000009</v>
      </c>
    </row>
    <row r="221" spans="1:14" x14ac:dyDescent="0.2">
      <c r="A221" s="14">
        <f t="shared" si="45"/>
        <v>38932</v>
      </c>
      <c r="B221" s="1">
        <v>215</v>
      </c>
      <c r="C221" s="16">
        <f>ROUND(Data!BI221,2)</f>
        <v>21.05</v>
      </c>
      <c r="D221" s="3">
        <f>ROUND(Data!O221,1)</f>
        <v>18.100000000000001</v>
      </c>
      <c r="E221" s="3">
        <f>ROUND(Data!AA221,1)</f>
        <v>0.2</v>
      </c>
      <c r="F221" s="3">
        <f>Data!BN221</f>
        <v>32.1</v>
      </c>
      <c r="G221" s="3">
        <f>Data!N221</f>
        <v>0</v>
      </c>
      <c r="H221" s="21">
        <f>Data!BE221</f>
        <v>0</v>
      </c>
      <c r="I221" s="13">
        <f t="shared" si="44"/>
        <v>0</v>
      </c>
      <c r="J221" s="3">
        <f>Data!BR221</f>
        <v>0</v>
      </c>
      <c r="K221" s="35">
        <f t="shared" si="48"/>
        <v>0</v>
      </c>
      <c r="M221" s="22">
        <f t="shared" si="49"/>
        <v>251.59999999999994</v>
      </c>
      <c r="N221" s="22">
        <f t="shared" si="49"/>
        <v>553.40000000000009</v>
      </c>
    </row>
    <row r="222" spans="1:14" x14ac:dyDescent="0.2">
      <c r="A222" s="14">
        <f t="shared" si="45"/>
        <v>38933</v>
      </c>
      <c r="B222" s="1">
        <v>216</v>
      </c>
      <c r="C222" s="16">
        <f>ROUND(Data!BI222,2)</f>
        <v>16.59</v>
      </c>
      <c r="D222" s="3">
        <f>ROUND(Data!O222,1)</f>
        <v>12.8</v>
      </c>
      <c r="E222" s="3">
        <f>ROUND(Data!AA222,1)</f>
        <v>-1.1000000000000001</v>
      </c>
      <c r="F222" s="3">
        <f>Data!BN222</f>
        <v>42.6</v>
      </c>
      <c r="G222" s="3">
        <f>Data!N222</f>
        <v>0</v>
      </c>
      <c r="H222" s="21">
        <f>Data!BE222</f>
        <v>0</v>
      </c>
      <c r="I222" s="13">
        <f t="shared" si="44"/>
        <v>0</v>
      </c>
      <c r="J222" s="3">
        <f>Data!BR222</f>
        <v>0</v>
      </c>
      <c r="K222" s="35">
        <f t="shared" si="48"/>
        <v>0</v>
      </c>
      <c r="M222" s="22">
        <f t="shared" si="49"/>
        <v>251.59999999999994</v>
      </c>
      <c r="N222" s="22">
        <f t="shared" si="49"/>
        <v>553.40000000000009</v>
      </c>
    </row>
    <row r="223" spans="1:14" x14ac:dyDescent="0.2">
      <c r="A223" s="14">
        <f t="shared" si="45"/>
        <v>38934</v>
      </c>
      <c r="B223" s="1">
        <v>217</v>
      </c>
      <c r="C223" s="16">
        <f>ROUND(Data!BI223,2)</f>
        <v>27.58</v>
      </c>
      <c r="D223" s="3">
        <f>ROUND(Data!O223,1)</f>
        <v>19</v>
      </c>
      <c r="E223" s="3">
        <f>ROUND(Data!AA223,1)</f>
        <v>-2.9</v>
      </c>
      <c r="F223" s="3">
        <f>Data!BN223</f>
        <v>18.8</v>
      </c>
      <c r="G223" s="3">
        <f>Data!N223</f>
        <v>0</v>
      </c>
      <c r="H223" s="21">
        <f>Data!BE223</f>
        <v>0</v>
      </c>
      <c r="I223" s="13">
        <f t="shared" si="44"/>
        <v>0</v>
      </c>
      <c r="J223" s="3">
        <f>Data!BR223</f>
        <v>0</v>
      </c>
      <c r="K223" s="35">
        <f t="shared" si="48"/>
        <v>0</v>
      </c>
      <c r="M223" s="22">
        <f t="shared" si="49"/>
        <v>251.59999999999994</v>
      </c>
      <c r="N223" s="22">
        <f t="shared" si="49"/>
        <v>553.40000000000009</v>
      </c>
    </row>
    <row r="224" spans="1:14" x14ac:dyDescent="0.2">
      <c r="A224" s="14">
        <f t="shared" si="45"/>
        <v>38935</v>
      </c>
      <c r="B224" s="1">
        <v>218</v>
      </c>
      <c r="C224" s="16">
        <f>ROUND(Data!BI224,2)</f>
        <v>26.43</v>
      </c>
      <c r="D224" s="3">
        <f>ROUND(Data!O224,1)</f>
        <v>22.6</v>
      </c>
      <c r="E224" s="3">
        <f>ROUND(Data!AA224,1)</f>
        <v>0.9</v>
      </c>
      <c r="F224" s="3">
        <f>Data!BN224</f>
        <v>23.4</v>
      </c>
      <c r="G224" s="3">
        <f>Data!N224</f>
        <v>0</v>
      </c>
      <c r="H224" s="21">
        <f>Data!BE224</f>
        <v>0</v>
      </c>
      <c r="I224" s="13">
        <f t="shared" si="44"/>
        <v>0</v>
      </c>
      <c r="J224" s="3">
        <f>Data!BR224</f>
        <v>0</v>
      </c>
      <c r="K224" s="35">
        <f t="shared" si="48"/>
        <v>0</v>
      </c>
      <c r="M224" s="22">
        <f t="shared" si="49"/>
        <v>251.59999999999994</v>
      </c>
      <c r="N224" s="22">
        <f t="shared" si="49"/>
        <v>553.40000000000009</v>
      </c>
    </row>
    <row r="225" spans="1:14" x14ac:dyDescent="0.2">
      <c r="A225" s="14">
        <f t="shared" si="45"/>
        <v>38936</v>
      </c>
      <c r="B225" s="1">
        <v>219</v>
      </c>
      <c r="C225" s="16">
        <f>ROUND(Data!BI225,2)</f>
        <v>27.42</v>
      </c>
      <c r="D225" s="3">
        <f>ROUND(Data!O225,1)</f>
        <v>24.7</v>
      </c>
      <c r="E225" s="3">
        <f>ROUND(Data!AA225,1)</f>
        <v>2.9</v>
      </c>
      <c r="F225" s="3">
        <f>Data!BN225</f>
        <v>18.600000000000001</v>
      </c>
      <c r="G225" s="3">
        <f>Data!N225</f>
        <v>0</v>
      </c>
      <c r="H225" s="21">
        <f>Data!BE225</f>
        <v>0</v>
      </c>
      <c r="I225" s="13">
        <f t="shared" si="44"/>
        <v>0</v>
      </c>
      <c r="J225" s="3">
        <f>Data!BR225</f>
        <v>0</v>
      </c>
      <c r="K225" s="35">
        <f t="shared" si="48"/>
        <v>0</v>
      </c>
      <c r="M225" s="22">
        <f t="shared" si="49"/>
        <v>251.59999999999994</v>
      </c>
      <c r="N225" s="22">
        <f t="shared" si="49"/>
        <v>553.40000000000009</v>
      </c>
    </row>
    <row r="226" spans="1:14" x14ac:dyDescent="0.2">
      <c r="A226" s="14">
        <f t="shared" si="45"/>
        <v>38937</v>
      </c>
      <c r="B226" s="1">
        <v>220</v>
      </c>
      <c r="C226" s="16">
        <f>ROUND(Data!BI226,2)</f>
        <v>21.48</v>
      </c>
      <c r="D226" s="3">
        <f>ROUND(Data!O226,1)</f>
        <v>22.7</v>
      </c>
      <c r="E226" s="3">
        <f>ROUND(Data!AA226,1)</f>
        <v>3.3</v>
      </c>
      <c r="F226" s="3">
        <f>Data!BN226</f>
        <v>21.3</v>
      </c>
      <c r="G226" s="3">
        <f>Data!N226</f>
        <v>0</v>
      </c>
      <c r="H226" s="21">
        <f>Data!BE226</f>
        <v>0</v>
      </c>
      <c r="I226" s="13">
        <f t="shared" si="44"/>
        <v>0</v>
      </c>
      <c r="J226" s="3">
        <f>Data!BR226</f>
        <v>0</v>
      </c>
      <c r="K226" s="35">
        <f t="shared" si="48"/>
        <v>0</v>
      </c>
      <c r="M226" s="22">
        <f t="shared" si="49"/>
        <v>251.59999999999994</v>
      </c>
      <c r="N226" s="22">
        <f t="shared" si="49"/>
        <v>553.40000000000009</v>
      </c>
    </row>
    <row r="227" spans="1:14" x14ac:dyDescent="0.2">
      <c r="A227" s="14">
        <f t="shared" si="45"/>
        <v>38938</v>
      </c>
      <c r="B227" s="1">
        <v>221</v>
      </c>
      <c r="C227" s="16">
        <f>ROUND(Data!BI227,2)</f>
        <v>11.42</v>
      </c>
      <c r="D227" s="3">
        <f>ROUND(Data!O227,1)</f>
        <v>17.7</v>
      </c>
      <c r="E227" s="3">
        <f>ROUND(Data!AA227,1)</f>
        <v>4.8</v>
      </c>
      <c r="F227" s="3">
        <f>Data!BN227</f>
        <v>43.3</v>
      </c>
      <c r="G227" s="3">
        <f>Data!N227</f>
        <v>0</v>
      </c>
      <c r="H227" s="21">
        <f>Data!BE227</f>
        <v>0</v>
      </c>
      <c r="I227" s="13">
        <f t="shared" si="44"/>
        <v>0</v>
      </c>
      <c r="J227" s="3">
        <f>Data!BR227</f>
        <v>0.6</v>
      </c>
      <c r="K227" s="35">
        <f t="shared" si="48"/>
        <v>0</v>
      </c>
      <c r="M227" s="22">
        <f t="shared" si="49"/>
        <v>252.19999999999993</v>
      </c>
      <c r="N227" s="22">
        <f t="shared" si="49"/>
        <v>553.40000000000009</v>
      </c>
    </row>
    <row r="228" spans="1:14" x14ac:dyDescent="0.2">
      <c r="A228" s="14">
        <f t="shared" si="45"/>
        <v>38939</v>
      </c>
      <c r="B228" s="1">
        <v>222</v>
      </c>
      <c r="C228" s="16">
        <f>ROUND(Data!BI228,2)</f>
        <v>11.01</v>
      </c>
      <c r="D228" s="3">
        <f>ROUND(Data!O228,1)</f>
        <v>16.3</v>
      </c>
      <c r="E228" s="3">
        <f>ROUND(Data!AA228,1)</f>
        <v>5.5</v>
      </c>
      <c r="F228" s="3">
        <f>Data!BN228</f>
        <v>61.3</v>
      </c>
      <c r="G228" s="3">
        <f>Data!N228</f>
        <v>31</v>
      </c>
      <c r="H228" s="21">
        <f>Data!BE228</f>
        <v>0</v>
      </c>
      <c r="I228" s="13">
        <f t="shared" si="44"/>
        <v>0</v>
      </c>
      <c r="J228" s="3">
        <f>Data!BR228</f>
        <v>15.4</v>
      </c>
      <c r="K228" s="35">
        <f t="shared" si="48"/>
        <v>31</v>
      </c>
      <c r="M228" s="22">
        <f t="shared" si="49"/>
        <v>267.59999999999991</v>
      </c>
      <c r="N228" s="22">
        <f t="shared" si="49"/>
        <v>584.40000000000009</v>
      </c>
    </row>
    <row r="229" spans="1:14" x14ac:dyDescent="0.2">
      <c r="A229" s="14">
        <f t="shared" si="45"/>
        <v>38940</v>
      </c>
      <c r="B229" s="1">
        <v>223</v>
      </c>
      <c r="C229" s="16">
        <f>ROUND(Data!BI229,2)</f>
        <v>8</v>
      </c>
      <c r="D229" s="3">
        <f>ROUND(Data!O229,1)</f>
        <v>13</v>
      </c>
      <c r="E229" s="3">
        <f>ROUND(Data!AA229,1)</f>
        <v>0.8</v>
      </c>
      <c r="F229" s="3">
        <f>Data!BN229</f>
        <v>61</v>
      </c>
      <c r="G229" s="3">
        <f>Data!N229</f>
        <v>9</v>
      </c>
      <c r="H229" s="21">
        <f>Data!BE229</f>
        <v>0</v>
      </c>
      <c r="I229" s="13">
        <f t="shared" si="44"/>
        <v>0</v>
      </c>
      <c r="J229" s="3">
        <f>Data!BR229</f>
        <v>8</v>
      </c>
      <c r="K229" s="35">
        <f t="shared" si="48"/>
        <v>9</v>
      </c>
      <c r="M229" s="22">
        <f t="shared" si="49"/>
        <v>275.59999999999991</v>
      </c>
      <c r="N229" s="22">
        <f t="shared" si="49"/>
        <v>593.40000000000009</v>
      </c>
    </row>
    <row r="230" spans="1:14" x14ac:dyDescent="0.2">
      <c r="A230" s="14">
        <f t="shared" si="45"/>
        <v>38941</v>
      </c>
      <c r="B230" s="1">
        <v>224</v>
      </c>
      <c r="C230" s="16">
        <f>ROUND(Data!BI230,2)</f>
        <v>22.94</v>
      </c>
      <c r="D230" s="3">
        <f>ROUND(Data!O230,1)</f>
        <v>16</v>
      </c>
      <c r="E230" s="3">
        <f>ROUND(Data!AA230,1)</f>
        <v>-0.3</v>
      </c>
      <c r="F230" s="3">
        <f>Data!BN230</f>
        <v>34.4</v>
      </c>
      <c r="G230" s="3">
        <f>Data!N230</f>
        <v>0</v>
      </c>
      <c r="H230" s="21">
        <f>Data!BE230</f>
        <v>0</v>
      </c>
      <c r="I230" s="13">
        <f t="shared" si="44"/>
        <v>0</v>
      </c>
      <c r="J230" s="3">
        <f>Data!BR230</f>
        <v>0</v>
      </c>
      <c r="K230" s="35">
        <f t="shared" si="48"/>
        <v>0</v>
      </c>
      <c r="M230" s="22">
        <f t="shared" si="49"/>
        <v>275.59999999999991</v>
      </c>
      <c r="N230" s="22">
        <f t="shared" si="49"/>
        <v>593.40000000000009</v>
      </c>
    </row>
    <row r="231" spans="1:14" x14ac:dyDescent="0.2">
      <c r="A231" s="14">
        <f t="shared" si="45"/>
        <v>38942</v>
      </c>
      <c r="B231" s="1">
        <v>225</v>
      </c>
      <c r="C231" s="16">
        <f>ROUND(Data!BI231,2)</f>
        <v>26.34</v>
      </c>
      <c r="D231" s="3">
        <f>ROUND(Data!O231,1)</f>
        <v>19.399999999999999</v>
      </c>
      <c r="E231" s="3">
        <f>ROUND(Data!AA231,1)</f>
        <v>3.4</v>
      </c>
      <c r="F231" s="3">
        <f>Data!BN231</f>
        <v>25.8</v>
      </c>
      <c r="G231" s="3">
        <f>Data!N231</f>
        <v>0</v>
      </c>
      <c r="H231" s="21">
        <f>Data!BE231</f>
        <v>0</v>
      </c>
      <c r="I231" s="13">
        <f t="shared" si="44"/>
        <v>0</v>
      </c>
      <c r="J231" s="3">
        <f>Data!BR231</f>
        <v>0</v>
      </c>
      <c r="K231" s="35">
        <f t="shared" si="48"/>
        <v>0</v>
      </c>
      <c r="M231" s="22">
        <f t="shared" si="49"/>
        <v>275.59999999999991</v>
      </c>
      <c r="N231" s="22">
        <f t="shared" si="49"/>
        <v>593.40000000000009</v>
      </c>
    </row>
    <row r="232" spans="1:14" x14ac:dyDescent="0.2">
      <c r="A232" s="14">
        <f t="shared" si="45"/>
        <v>38943</v>
      </c>
      <c r="B232" s="1">
        <v>226</v>
      </c>
      <c r="C232" s="16">
        <f>ROUND(Data!BI232,2)</f>
        <v>23.92</v>
      </c>
      <c r="D232" s="3">
        <f>ROUND(Data!O232,1)</f>
        <v>21.8</v>
      </c>
      <c r="E232" s="3">
        <f>ROUND(Data!AA232,1)</f>
        <v>1.7</v>
      </c>
      <c r="F232" s="3">
        <f>Data!BN232</f>
        <v>24.5</v>
      </c>
      <c r="G232" s="3">
        <f>Data!N232</f>
        <v>0</v>
      </c>
      <c r="H232" s="21">
        <f>Data!BE232</f>
        <v>0</v>
      </c>
      <c r="I232" s="13">
        <f t="shared" si="44"/>
        <v>0</v>
      </c>
      <c r="J232" s="3">
        <f>Data!BR232</f>
        <v>0</v>
      </c>
      <c r="K232" s="35">
        <f t="shared" si="48"/>
        <v>0</v>
      </c>
      <c r="M232" s="22">
        <f t="shared" si="49"/>
        <v>275.59999999999991</v>
      </c>
      <c r="N232" s="22">
        <f t="shared" si="49"/>
        <v>593.40000000000009</v>
      </c>
    </row>
    <row r="233" spans="1:14" x14ac:dyDescent="0.2">
      <c r="A233" s="14">
        <f t="shared" si="45"/>
        <v>38944</v>
      </c>
      <c r="B233" s="1">
        <v>227</v>
      </c>
      <c r="C233" s="16">
        <f>ROUND(Data!BI233,2)</f>
        <v>25.56</v>
      </c>
      <c r="D233" s="3">
        <f>ROUND(Data!O233,1)</f>
        <v>17.2</v>
      </c>
      <c r="E233" s="3">
        <f>ROUND(Data!AA233,1)</f>
        <v>1.2</v>
      </c>
      <c r="F233" s="3">
        <f>Data!BN233</f>
        <v>27.1</v>
      </c>
      <c r="G233" s="3">
        <f>Data!N233</f>
        <v>0</v>
      </c>
      <c r="H233" s="21">
        <f>Data!BE233</f>
        <v>0</v>
      </c>
      <c r="I233" s="13">
        <f t="shared" si="44"/>
        <v>0</v>
      </c>
      <c r="J233" s="3">
        <f>Data!BR233</f>
        <v>0</v>
      </c>
      <c r="K233" s="35">
        <f t="shared" si="48"/>
        <v>0</v>
      </c>
      <c r="M233" s="22">
        <f t="shared" ref="M233:N248" si="50">J233+M232</f>
        <v>275.59999999999991</v>
      </c>
      <c r="N233" s="22">
        <f t="shared" si="50"/>
        <v>593.40000000000009</v>
      </c>
    </row>
    <row r="234" spans="1:14" x14ac:dyDescent="0.2">
      <c r="A234" s="14">
        <f t="shared" si="45"/>
        <v>38945</v>
      </c>
      <c r="B234" s="1">
        <v>228</v>
      </c>
      <c r="C234" s="16">
        <f>ROUND(Data!BI234,2)</f>
        <v>26.47</v>
      </c>
      <c r="D234" s="3">
        <f>ROUND(Data!O234,1)</f>
        <v>18.7</v>
      </c>
      <c r="E234" s="3">
        <f>ROUND(Data!AA234,1)</f>
        <v>0.7</v>
      </c>
      <c r="F234" s="3">
        <f>Data!BN234</f>
        <v>26.4</v>
      </c>
      <c r="G234" s="3">
        <f>Data!N234</f>
        <v>0</v>
      </c>
      <c r="H234" s="21">
        <f>Data!BE234</f>
        <v>0</v>
      </c>
      <c r="I234" s="13">
        <f t="shared" si="44"/>
        <v>0</v>
      </c>
      <c r="J234" s="3">
        <f>Data!BR234</f>
        <v>0</v>
      </c>
      <c r="K234" s="35">
        <f t="shared" si="48"/>
        <v>0</v>
      </c>
      <c r="M234" s="22">
        <f t="shared" si="50"/>
        <v>275.59999999999991</v>
      </c>
      <c r="N234" s="22">
        <f t="shared" si="50"/>
        <v>593.40000000000009</v>
      </c>
    </row>
    <row r="235" spans="1:14" x14ac:dyDescent="0.2">
      <c r="A235" s="14">
        <f t="shared" si="45"/>
        <v>38946</v>
      </c>
      <c r="B235" s="1">
        <v>229</v>
      </c>
      <c r="C235" s="16">
        <f>ROUND(Data!BI235,2)</f>
        <v>26.13</v>
      </c>
      <c r="D235" s="3">
        <f>ROUND(Data!O235,1)</f>
        <v>21.1</v>
      </c>
      <c r="E235" s="3">
        <f>ROUND(Data!AA235,1)</f>
        <v>-0.5</v>
      </c>
      <c r="F235" s="3">
        <f>Data!BN235</f>
        <v>24.1</v>
      </c>
      <c r="G235" s="3">
        <f>Data!N235</f>
        <v>0</v>
      </c>
      <c r="H235" s="21">
        <f>Data!BE235</f>
        <v>0</v>
      </c>
      <c r="I235" s="13">
        <f t="shared" si="44"/>
        <v>0</v>
      </c>
      <c r="J235" s="3">
        <f>Data!BR235</f>
        <v>0</v>
      </c>
      <c r="K235" s="35">
        <f t="shared" si="48"/>
        <v>0</v>
      </c>
      <c r="M235" s="22">
        <f t="shared" si="50"/>
        <v>275.59999999999991</v>
      </c>
      <c r="N235" s="22">
        <f t="shared" si="50"/>
        <v>593.40000000000009</v>
      </c>
    </row>
    <row r="236" spans="1:14" x14ac:dyDescent="0.2">
      <c r="A236" s="14">
        <f t="shared" si="45"/>
        <v>38947</v>
      </c>
      <c r="B236" s="1">
        <v>230</v>
      </c>
      <c r="C236" s="16">
        <f>ROUND(Data!BI236,2)</f>
        <v>23.89</v>
      </c>
      <c r="D236" s="3">
        <f>ROUND(Data!O236,1)</f>
        <v>22</v>
      </c>
      <c r="E236" s="3">
        <f>ROUND(Data!AA236,1)</f>
        <v>2</v>
      </c>
      <c r="F236" s="3">
        <f>Data!BN236</f>
        <v>20.399999999999999</v>
      </c>
      <c r="G236" s="3">
        <f>Data!N236</f>
        <v>0</v>
      </c>
      <c r="H236" s="21">
        <f>Data!BE236</f>
        <v>0</v>
      </c>
      <c r="I236" s="13">
        <f t="shared" si="44"/>
        <v>0</v>
      </c>
      <c r="J236" s="3">
        <f>Data!BR236</f>
        <v>0</v>
      </c>
      <c r="K236" s="35">
        <f t="shared" si="48"/>
        <v>0</v>
      </c>
      <c r="M236" s="22">
        <f t="shared" si="50"/>
        <v>275.59999999999991</v>
      </c>
      <c r="N236" s="22">
        <f t="shared" si="50"/>
        <v>593.40000000000009</v>
      </c>
    </row>
    <row r="237" spans="1:14" x14ac:dyDescent="0.2">
      <c r="A237" s="14">
        <f t="shared" si="45"/>
        <v>38948</v>
      </c>
      <c r="B237" s="1">
        <v>231</v>
      </c>
      <c r="C237" s="16">
        <f>ROUND(Data!BI237,2)</f>
        <v>25.82</v>
      </c>
      <c r="D237" s="3">
        <f>ROUND(Data!O237,1)</f>
        <v>21.9</v>
      </c>
      <c r="E237" s="3">
        <f>ROUND(Data!AA237,1)</f>
        <v>0.9</v>
      </c>
      <c r="F237" s="3">
        <f>Data!BN237</f>
        <v>21.2</v>
      </c>
      <c r="G237" s="3">
        <f>Data!N237</f>
        <v>0</v>
      </c>
      <c r="H237" s="21">
        <f>Data!BE237</f>
        <v>0</v>
      </c>
      <c r="I237" s="13">
        <f t="shared" si="44"/>
        <v>0</v>
      </c>
      <c r="J237" s="3">
        <f>Data!BR237</f>
        <v>0</v>
      </c>
      <c r="K237" s="35">
        <f t="shared" si="48"/>
        <v>0</v>
      </c>
      <c r="M237" s="22">
        <f t="shared" si="50"/>
        <v>275.59999999999991</v>
      </c>
      <c r="N237" s="22">
        <f t="shared" si="50"/>
        <v>593.40000000000009</v>
      </c>
    </row>
    <row r="238" spans="1:14" x14ac:dyDescent="0.2">
      <c r="A238" s="14">
        <f t="shared" si="45"/>
        <v>38949</v>
      </c>
      <c r="B238" s="1">
        <v>232</v>
      </c>
      <c r="C238" s="16">
        <f>ROUND(Data!BI238,2)</f>
        <v>24.32</v>
      </c>
      <c r="D238" s="3">
        <f>ROUND(Data!O238,1)</f>
        <v>23.1</v>
      </c>
      <c r="E238" s="3">
        <f>ROUND(Data!AA238,1)</f>
        <v>1.2</v>
      </c>
      <c r="F238" s="3">
        <f>Data!BN238</f>
        <v>14</v>
      </c>
      <c r="G238" s="3">
        <f>Data!N238</f>
        <v>0</v>
      </c>
      <c r="H238" s="21">
        <f>Data!BE238</f>
        <v>0</v>
      </c>
      <c r="I238" s="13">
        <f t="shared" si="44"/>
        <v>0</v>
      </c>
      <c r="J238" s="3">
        <f>Data!BR238</f>
        <v>0</v>
      </c>
      <c r="K238" s="35">
        <f t="shared" si="48"/>
        <v>0</v>
      </c>
      <c r="M238" s="22">
        <f t="shared" si="50"/>
        <v>275.59999999999991</v>
      </c>
      <c r="N238" s="22">
        <f t="shared" si="50"/>
        <v>593.40000000000009</v>
      </c>
    </row>
    <row r="239" spans="1:14" x14ac:dyDescent="0.2">
      <c r="A239" s="14">
        <f t="shared" si="45"/>
        <v>38950</v>
      </c>
      <c r="B239" s="1">
        <v>233</v>
      </c>
      <c r="C239" s="16">
        <f>ROUND(Data!BI239,2)</f>
        <v>24.09</v>
      </c>
      <c r="D239" s="3">
        <f>ROUND(Data!O239,1)</f>
        <v>26.2</v>
      </c>
      <c r="E239" s="3">
        <f>ROUND(Data!AA239,1)</f>
        <v>2.9</v>
      </c>
      <c r="F239" s="3">
        <f>Data!BN239</f>
        <v>6.3</v>
      </c>
      <c r="G239" s="3">
        <f>Data!N239</f>
        <v>0</v>
      </c>
      <c r="H239" s="21">
        <f>Data!BE239</f>
        <v>0</v>
      </c>
      <c r="I239" s="13">
        <f t="shared" si="44"/>
        <v>0</v>
      </c>
      <c r="J239" s="3">
        <f>Data!BR239</f>
        <v>0</v>
      </c>
      <c r="K239" s="35">
        <f t="shared" si="48"/>
        <v>0</v>
      </c>
      <c r="M239" s="22">
        <f t="shared" si="50"/>
        <v>275.59999999999991</v>
      </c>
      <c r="N239" s="22">
        <f t="shared" si="50"/>
        <v>593.40000000000009</v>
      </c>
    </row>
    <row r="240" spans="1:14" x14ac:dyDescent="0.2">
      <c r="A240" s="14">
        <f t="shared" si="45"/>
        <v>38951</v>
      </c>
      <c r="B240" s="1">
        <v>234</v>
      </c>
      <c r="C240" s="16">
        <f>ROUND(Data!BI240,2)</f>
        <v>8.32</v>
      </c>
      <c r="D240" s="3">
        <f>ROUND(Data!O240,1)</f>
        <v>19.100000000000001</v>
      </c>
      <c r="E240" s="3">
        <f>ROUND(Data!AA240,1)</f>
        <v>5.2</v>
      </c>
      <c r="F240" s="3">
        <f>Data!BN240</f>
        <v>32.200000000000003</v>
      </c>
      <c r="G240" s="3">
        <f>Data!N240</f>
        <v>0</v>
      </c>
      <c r="H240" s="21">
        <f>Data!BE240</f>
        <v>0</v>
      </c>
      <c r="I240" s="13">
        <f t="shared" si="44"/>
        <v>0</v>
      </c>
      <c r="J240" s="3">
        <f>Data!BR240</f>
        <v>0.6</v>
      </c>
      <c r="K240" s="35">
        <f t="shared" si="48"/>
        <v>0</v>
      </c>
      <c r="M240" s="22">
        <f t="shared" si="50"/>
        <v>276.19999999999993</v>
      </c>
      <c r="N240" s="22">
        <f t="shared" si="50"/>
        <v>593.40000000000009</v>
      </c>
    </row>
    <row r="241" spans="1:14" x14ac:dyDescent="0.2">
      <c r="A241" s="14">
        <f t="shared" si="45"/>
        <v>38952</v>
      </c>
      <c r="B241" s="1">
        <v>235</v>
      </c>
      <c r="C241" s="16">
        <f>ROUND(Data!BI241,2)</f>
        <v>14.3</v>
      </c>
      <c r="D241" s="3">
        <f>ROUND(Data!O241,1)</f>
        <v>15.3</v>
      </c>
      <c r="E241" s="3">
        <f>ROUND(Data!AA241,1)</f>
        <v>2</v>
      </c>
      <c r="F241" s="3">
        <f>Data!BN241</f>
        <v>53.5</v>
      </c>
      <c r="G241" s="3">
        <f>Data!N241</f>
        <v>5</v>
      </c>
      <c r="H241" s="21">
        <f>Data!BE241</f>
        <v>0</v>
      </c>
      <c r="I241" s="13">
        <f t="shared" si="44"/>
        <v>0</v>
      </c>
      <c r="J241" s="3">
        <f>Data!BR241</f>
        <v>2.4</v>
      </c>
      <c r="K241" s="35">
        <f t="shared" si="48"/>
        <v>5</v>
      </c>
      <c r="M241" s="22">
        <f t="shared" si="50"/>
        <v>278.59999999999991</v>
      </c>
      <c r="N241" s="22">
        <f t="shared" si="50"/>
        <v>598.40000000000009</v>
      </c>
    </row>
    <row r="242" spans="1:14" x14ac:dyDescent="0.2">
      <c r="A242" s="14">
        <f t="shared" si="45"/>
        <v>38953</v>
      </c>
      <c r="B242" s="1">
        <v>236</v>
      </c>
      <c r="C242" s="16">
        <f>ROUND(Data!BI242,2)</f>
        <v>13.89</v>
      </c>
      <c r="D242" s="3">
        <f>ROUND(Data!O242,1)</f>
        <v>15.3</v>
      </c>
      <c r="E242" s="3">
        <f>ROUND(Data!AA242,1)</f>
        <v>-0.2</v>
      </c>
      <c r="F242" s="3">
        <f>Data!BN242</f>
        <v>47.3</v>
      </c>
      <c r="G242" s="3">
        <f>Data!N242</f>
        <v>0</v>
      </c>
      <c r="H242" s="21">
        <f>Data!BE242</f>
        <v>0</v>
      </c>
      <c r="I242" s="13">
        <f t="shared" si="44"/>
        <v>0</v>
      </c>
      <c r="J242" s="3">
        <f>Data!BR242</f>
        <v>2.2000000000000002</v>
      </c>
      <c r="K242" s="35">
        <f t="shared" si="48"/>
        <v>0</v>
      </c>
      <c r="M242" s="22">
        <f t="shared" si="50"/>
        <v>280.7999999999999</v>
      </c>
      <c r="N242" s="22">
        <f t="shared" si="50"/>
        <v>598.40000000000009</v>
      </c>
    </row>
    <row r="243" spans="1:14" x14ac:dyDescent="0.2">
      <c r="A243" s="14">
        <f t="shared" si="45"/>
        <v>38954</v>
      </c>
      <c r="B243" s="1">
        <v>237</v>
      </c>
      <c r="C243" s="16">
        <f>ROUND(Data!BI243,2)</f>
        <v>24.45</v>
      </c>
      <c r="D243" s="3">
        <f>ROUND(Data!O243,1)</f>
        <v>18</v>
      </c>
      <c r="E243" s="3">
        <f>ROUND(Data!AA243,1)</f>
        <v>-1</v>
      </c>
      <c r="F243" s="3">
        <f>Data!BN243</f>
        <v>30.3</v>
      </c>
      <c r="G243" s="3">
        <f>Data!N243</f>
        <v>0</v>
      </c>
      <c r="H243" s="21">
        <f>Data!BE243</f>
        <v>0</v>
      </c>
      <c r="I243" s="13">
        <f t="shared" si="44"/>
        <v>0</v>
      </c>
      <c r="J243" s="3">
        <f>Data!BR243</f>
        <v>0.2</v>
      </c>
      <c r="K243" s="35">
        <f t="shared" si="48"/>
        <v>0</v>
      </c>
      <c r="M243" s="22">
        <f t="shared" si="50"/>
        <v>280.99999999999989</v>
      </c>
      <c r="N243" s="22">
        <f t="shared" si="50"/>
        <v>598.40000000000009</v>
      </c>
    </row>
    <row r="244" spans="1:14" x14ac:dyDescent="0.2">
      <c r="A244" s="14">
        <f t="shared" si="45"/>
        <v>38955</v>
      </c>
      <c r="B244" s="1">
        <v>238</v>
      </c>
      <c r="C244" s="16">
        <f>ROUND(Data!BI244,2)</f>
        <v>23.81</v>
      </c>
      <c r="D244" s="3">
        <f>ROUND(Data!O244,1)</f>
        <v>21.6</v>
      </c>
      <c r="E244" s="3">
        <f>ROUND(Data!AA244,1)</f>
        <v>1.1000000000000001</v>
      </c>
      <c r="F244" s="3">
        <f>Data!BN244</f>
        <v>20.5</v>
      </c>
      <c r="G244" s="3">
        <f>Data!N244</f>
        <v>0</v>
      </c>
      <c r="H244" s="21">
        <f>Data!BE244</f>
        <v>0</v>
      </c>
      <c r="I244" s="13">
        <f t="shared" si="44"/>
        <v>0</v>
      </c>
      <c r="J244" s="3">
        <f>Data!BR244</f>
        <v>0</v>
      </c>
      <c r="K244" s="35">
        <f t="shared" si="48"/>
        <v>0</v>
      </c>
      <c r="M244" s="22">
        <f t="shared" si="50"/>
        <v>280.99999999999989</v>
      </c>
      <c r="N244" s="22">
        <f t="shared" si="50"/>
        <v>598.40000000000009</v>
      </c>
    </row>
    <row r="245" spans="1:14" x14ac:dyDescent="0.2">
      <c r="A245" s="14">
        <f t="shared" si="45"/>
        <v>38956</v>
      </c>
      <c r="B245" s="1">
        <v>239</v>
      </c>
      <c r="C245" s="16">
        <f>ROUND(Data!BI245,2)</f>
        <v>22.64</v>
      </c>
      <c r="D245" s="3">
        <f>ROUND(Data!O245,1)</f>
        <v>23.4</v>
      </c>
      <c r="E245" s="3">
        <f>ROUND(Data!AA245,1)</f>
        <v>2</v>
      </c>
      <c r="F245" s="3">
        <f>Data!BN245</f>
        <v>20.7</v>
      </c>
      <c r="G245" s="3">
        <f>Data!N245</f>
        <v>0</v>
      </c>
      <c r="H245" s="21">
        <f>Data!BE245</f>
        <v>0</v>
      </c>
      <c r="I245" s="13">
        <f t="shared" si="44"/>
        <v>0</v>
      </c>
      <c r="J245" s="3">
        <f>Data!BR245</f>
        <v>0</v>
      </c>
      <c r="K245" s="35">
        <f t="shared" si="48"/>
        <v>0</v>
      </c>
      <c r="M245" s="22">
        <f t="shared" si="50"/>
        <v>280.99999999999989</v>
      </c>
      <c r="N245" s="22">
        <f t="shared" si="50"/>
        <v>598.40000000000009</v>
      </c>
    </row>
    <row r="246" spans="1:14" x14ac:dyDescent="0.2">
      <c r="A246" s="14">
        <f t="shared" si="45"/>
        <v>38957</v>
      </c>
      <c r="B246" s="1">
        <v>240</v>
      </c>
      <c r="C246" s="16">
        <f>ROUND(Data!BI246,2)</f>
        <v>22.56</v>
      </c>
      <c r="D246" s="3">
        <f>ROUND(Data!O246,1)</f>
        <v>24.9</v>
      </c>
      <c r="E246" s="3">
        <f>ROUND(Data!AA246,1)</f>
        <v>2.8</v>
      </c>
      <c r="F246" s="3">
        <f>Data!BN246</f>
        <v>16.8</v>
      </c>
      <c r="G246" s="3">
        <f>Data!N246</f>
        <v>0</v>
      </c>
      <c r="H246" s="21">
        <f>Data!BE246</f>
        <v>0</v>
      </c>
      <c r="I246" s="13">
        <f t="shared" si="44"/>
        <v>0</v>
      </c>
      <c r="J246" s="3">
        <f>Data!BR246</f>
        <v>0</v>
      </c>
      <c r="K246" s="35">
        <f t="shared" si="48"/>
        <v>0</v>
      </c>
      <c r="M246" s="22">
        <f t="shared" si="50"/>
        <v>280.99999999999989</v>
      </c>
      <c r="N246" s="22">
        <f t="shared" si="50"/>
        <v>598.40000000000009</v>
      </c>
    </row>
    <row r="247" spans="1:14" x14ac:dyDescent="0.2">
      <c r="A247" s="14">
        <f t="shared" si="45"/>
        <v>38958</v>
      </c>
      <c r="B247" s="1">
        <v>241</v>
      </c>
      <c r="C247" s="16">
        <f>ROUND(Data!BI247,2)</f>
        <v>13.91</v>
      </c>
      <c r="D247" s="3">
        <f>ROUND(Data!O247,1)</f>
        <v>16.7</v>
      </c>
      <c r="E247" s="3">
        <f>ROUND(Data!AA247,1)</f>
        <v>4.3</v>
      </c>
      <c r="F247" s="3">
        <f>Data!BN247</f>
        <v>33.1</v>
      </c>
      <c r="G247" s="3">
        <f>Data!N247</f>
        <v>0</v>
      </c>
      <c r="H247" s="21">
        <f>Data!BE247</f>
        <v>0</v>
      </c>
      <c r="I247" s="13">
        <f t="shared" si="44"/>
        <v>0</v>
      </c>
      <c r="J247" s="3">
        <f>Data!BR247</f>
        <v>0</v>
      </c>
      <c r="K247" s="35">
        <f t="shared" si="48"/>
        <v>0</v>
      </c>
      <c r="M247" s="22">
        <f t="shared" si="50"/>
        <v>280.99999999999989</v>
      </c>
      <c r="N247" s="22">
        <f t="shared" si="50"/>
        <v>598.40000000000009</v>
      </c>
    </row>
    <row r="248" spans="1:14" x14ac:dyDescent="0.2">
      <c r="A248" s="14">
        <f t="shared" si="45"/>
        <v>38959</v>
      </c>
      <c r="B248" s="1">
        <v>242</v>
      </c>
      <c r="C248" s="16">
        <f>ROUND(Data!BI248,2)</f>
        <v>5.46</v>
      </c>
      <c r="D248" s="3">
        <f>ROUND(Data!O248,1)</f>
        <v>8.5</v>
      </c>
      <c r="E248" s="3">
        <f>ROUND(Data!AA248,1)</f>
        <v>-0.6</v>
      </c>
      <c r="F248" s="3">
        <f>Data!BN248</f>
        <v>69.3</v>
      </c>
      <c r="G248" s="3">
        <f>Data!N248</f>
        <v>9</v>
      </c>
      <c r="H248" s="21">
        <f>Data!BE248</f>
        <v>0</v>
      </c>
      <c r="I248" s="13">
        <f t="shared" si="44"/>
        <v>0</v>
      </c>
      <c r="J248" s="3">
        <f>Data!BR248</f>
        <v>13.6</v>
      </c>
      <c r="K248" s="35">
        <f t="shared" si="48"/>
        <v>9</v>
      </c>
      <c r="M248" s="22">
        <f t="shared" si="50"/>
        <v>294.59999999999991</v>
      </c>
      <c r="N248" s="22">
        <f t="shared" si="50"/>
        <v>607.40000000000009</v>
      </c>
    </row>
    <row r="249" spans="1:14" x14ac:dyDescent="0.2">
      <c r="A249" s="14">
        <f t="shared" si="45"/>
        <v>38960</v>
      </c>
      <c r="B249" s="1">
        <v>243</v>
      </c>
      <c r="C249" s="16">
        <f>ROUND(Data!BI249,2)</f>
        <v>20.350000000000001</v>
      </c>
      <c r="D249" s="3">
        <f>ROUND(Data!O249,1)</f>
        <v>12.8</v>
      </c>
      <c r="E249" s="3">
        <f>ROUND(Data!AA249,1)</f>
        <v>-2.2000000000000002</v>
      </c>
      <c r="F249" s="3">
        <f>Data!BN249</f>
        <v>32.1</v>
      </c>
      <c r="G249" s="3">
        <f>Data!N249</f>
        <v>0</v>
      </c>
      <c r="H249" s="21">
        <f>Data!BE249</f>
        <v>0</v>
      </c>
      <c r="I249" s="13">
        <f t="shared" si="44"/>
        <v>0</v>
      </c>
      <c r="J249" s="3">
        <f>Data!BR249</f>
        <v>0.2</v>
      </c>
      <c r="K249" s="35">
        <f t="shared" si="48"/>
        <v>0</v>
      </c>
      <c r="M249" s="22">
        <f t="shared" ref="M249:N264" si="51">J249+M248</f>
        <v>294.7999999999999</v>
      </c>
      <c r="N249" s="22">
        <f t="shared" si="51"/>
        <v>607.40000000000009</v>
      </c>
    </row>
    <row r="250" spans="1:14" x14ac:dyDescent="0.2">
      <c r="A250" s="14">
        <f t="shared" si="45"/>
        <v>38961</v>
      </c>
      <c r="B250" s="1">
        <v>244</v>
      </c>
      <c r="C250" s="16">
        <f>ROUND(Data!BI250,2)</f>
        <v>22.56</v>
      </c>
      <c r="D250" s="3">
        <f>ROUND(Data!O250,1)</f>
        <v>17.3</v>
      </c>
      <c r="E250" s="3">
        <f>ROUND(Data!AA250,1)</f>
        <v>-2.4</v>
      </c>
      <c r="F250" s="3">
        <f>Data!BN250</f>
        <v>30.8</v>
      </c>
      <c r="G250" s="3">
        <f>Data!N250</f>
        <v>0</v>
      </c>
      <c r="H250" s="21">
        <f>Data!BE250</f>
        <v>0</v>
      </c>
      <c r="I250" s="13">
        <f t="shared" si="44"/>
        <v>0</v>
      </c>
      <c r="J250" s="3">
        <f>Data!BR250</f>
        <v>0</v>
      </c>
      <c r="K250" s="35">
        <f t="shared" si="48"/>
        <v>0</v>
      </c>
      <c r="M250" s="22">
        <f t="shared" si="51"/>
        <v>294.7999999999999</v>
      </c>
      <c r="N250" s="22">
        <f t="shared" si="51"/>
        <v>607.40000000000009</v>
      </c>
    </row>
    <row r="251" spans="1:14" x14ac:dyDescent="0.2">
      <c r="A251" s="14">
        <f t="shared" si="45"/>
        <v>38962</v>
      </c>
      <c r="B251" s="1">
        <v>245</v>
      </c>
      <c r="C251" s="16">
        <f>ROUND(Data!BI251,2)</f>
        <v>22.78</v>
      </c>
      <c r="D251" s="3">
        <f>ROUND(Data!O251,1)</f>
        <v>23.3</v>
      </c>
      <c r="E251" s="3">
        <f>ROUND(Data!AA251,1)</f>
        <v>2</v>
      </c>
      <c r="F251" s="3">
        <f>Data!BN251</f>
        <v>12.8</v>
      </c>
      <c r="G251" s="3">
        <f>Data!N251</f>
        <v>0</v>
      </c>
      <c r="H251" s="21">
        <f>Data!BE251</f>
        <v>0</v>
      </c>
      <c r="I251" s="13">
        <f t="shared" si="44"/>
        <v>0</v>
      </c>
      <c r="J251" s="3">
        <f>Data!BR251</f>
        <v>0</v>
      </c>
      <c r="K251" s="35">
        <f t="shared" si="48"/>
        <v>0</v>
      </c>
      <c r="M251" s="22">
        <f t="shared" si="51"/>
        <v>294.7999999999999</v>
      </c>
      <c r="N251" s="22">
        <f t="shared" si="51"/>
        <v>607.40000000000009</v>
      </c>
    </row>
    <row r="252" spans="1:14" x14ac:dyDescent="0.2">
      <c r="A252" s="14">
        <f t="shared" si="45"/>
        <v>38963</v>
      </c>
      <c r="B252" s="1">
        <v>246</v>
      </c>
      <c r="C252" s="16">
        <f>ROUND(Data!BI252,2)</f>
        <v>20.69</v>
      </c>
      <c r="D252" s="3">
        <f>ROUND(Data!O252,1)</f>
        <v>25.9</v>
      </c>
      <c r="E252" s="3">
        <f>ROUND(Data!AA252,1)</f>
        <v>1.8</v>
      </c>
      <c r="F252" s="3">
        <f>Data!BN252</f>
        <v>14.2</v>
      </c>
      <c r="G252" s="3">
        <f>Data!N252</f>
        <v>0</v>
      </c>
      <c r="H252" s="21">
        <f>Data!BE252</f>
        <v>0</v>
      </c>
      <c r="I252" s="13">
        <f t="shared" si="44"/>
        <v>0</v>
      </c>
      <c r="J252" s="3">
        <f>Data!BR252</f>
        <v>0</v>
      </c>
      <c r="K252" s="35">
        <f t="shared" si="48"/>
        <v>0</v>
      </c>
      <c r="M252" s="22">
        <f t="shared" si="51"/>
        <v>294.7999999999999</v>
      </c>
      <c r="N252" s="22">
        <f t="shared" si="51"/>
        <v>607.40000000000009</v>
      </c>
    </row>
    <row r="253" spans="1:14" x14ac:dyDescent="0.2">
      <c r="A253" s="14">
        <f t="shared" si="45"/>
        <v>38964</v>
      </c>
      <c r="B253" s="1">
        <v>247</v>
      </c>
      <c r="C253" s="16">
        <f>ROUND(Data!BI253,2)</f>
        <v>16.79</v>
      </c>
      <c r="D253" s="3">
        <f>ROUND(Data!O253,1)</f>
        <v>26.2</v>
      </c>
      <c r="E253" s="3">
        <f>ROUND(Data!AA253,1)</f>
        <v>4.8</v>
      </c>
      <c r="F253" s="3">
        <f>Data!BN253</f>
        <v>12.8</v>
      </c>
      <c r="G253" s="3">
        <f>Data!N253</f>
        <v>0</v>
      </c>
      <c r="H253" s="21">
        <f>Data!BE253</f>
        <v>0</v>
      </c>
      <c r="I253" s="13">
        <f t="shared" si="44"/>
        <v>0</v>
      </c>
      <c r="J253" s="3">
        <f>Data!BR253</f>
        <v>0</v>
      </c>
      <c r="K253" s="35">
        <f t="shared" si="48"/>
        <v>0</v>
      </c>
      <c r="M253" s="22">
        <f t="shared" si="51"/>
        <v>294.7999999999999</v>
      </c>
      <c r="N253" s="22">
        <f t="shared" si="51"/>
        <v>607.40000000000009</v>
      </c>
    </row>
    <row r="254" spans="1:14" x14ac:dyDescent="0.2">
      <c r="A254" s="14">
        <f t="shared" si="45"/>
        <v>38965</v>
      </c>
      <c r="B254" s="1">
        <v>248</v>
      </c>
      <c r="C254" s="16">
        <f>ROUND(Data!BI254,2)</f>
        <v>16.46</v>
      </c>
      <c r="D254" s="3">
        <f>ROUND(Data!O254,1)</f>
        <v>24</v>
      </c>
      <c r="E254" s="3">
        <f>ROUND(Data!AA254,1)</f>
        <v>3.8</v>
      </c>
      <c r="F254" s="3">
        <f>Data!BN254</f>
        <v>20.2</v>
      </c>
      <c r="G254" s="3">
        <f>Data!N254</f>
        <v>0</v>
      </c>
      <c r="H254" s="21">
        <f>Data!BE254</f>
        <v>0</v>
      </c>
      <c r="I254" s="13">
        <f t="shared" si="44"/>
        <v>0</v>
      </c>
      <c r="J254" s="3">
        <f>Data!BR254</f>
        <v>0</v>
      </c>
      <c r="K254" s="35">
        <f t="shared" si="48"/>
        <v>0</v>
      </c>
      <c r="M254" s="22">
        <f t="shared" si="51"/>
        <v>294.7999999999999</v>
      </c>
      <c r="N254" s="22">
        <f t="shared" si="51"/>
        <v>607.40000000000009</v>
      </c>
    </row>
    <row r="255" spans="1:14" x14ac:dyDescent="0.2">
      <c r="A255" s="14">
        <f t="shared" si="45"/>
        <v>38966</v>
      </c>
      <c r="B255" s="1">
        <v>249</v>
      </c>
      <c r="C255" s="16">
        <f>ROUND(Data!BI255,2)</f>
        <v>16.61</v>
      </c>
      <c r="D255" s="3">
        <f>ROUND(Data!O255,1)</f>
        <v>24</v>
      </c>
      <c r="E255" s="3">
        <f>ROUND(Data!AA255,1)</f>
        <v>3</v>
      </c>
      <c r="F255" s="3">
        <f>Data!BN255</f>
        <v>18.7</v>
      </c>
      <c r="G255" s="3">
        <f>Data!N255</f>
        <v>0</v>
      </c>
      <c r="H255" s="21">
        <f>Data!BE255</f>
        <v>0</v>
      </c>
      <c r="I255" s="13">
        <f t="shared" si="44"/>
        <v>0</v>
      </c>
      <c r="J255" s="3">
        <f>Data!BR255</f>
        <v>0</v>
      </c>
      <c r="K255" s="35">
        <f t="shared" si="48"/>
        <v>0</v>
      </c>
      <c r="M255" s="22">
        <f t="shared" si="51"/>
        <v>294.7999999999999</v>
      </c>
      <c r="N255" s="22">
        <f t="shared" si="51"/>
        <v>607.40000000000009</v>
      </c>
    </row>
    <row r="256" spans="1:14" x14ac:dyDescent="0.2">
      <c r="A256" s="14">
        <f t="shared" si="45"/>
        <v>38967</v>
      </c>
      <c r="B256" s="1">
        <v>250</v>
      </c>
      <c r="C256" s="16">
        <f>ROUND(Data!BI256,2)</f>
        <v>17.829999999999998</v>
      </c>
      <c r="D256" s="3">
        <f>ROUND(Data!O256,1)</f>
        <v>24.1</v>
      </c>
      <c r="E256" s="3">
        <f>ROUND(Data!AA256,1)</f>
        <v>2.7</v>
      </c>
      <c r="F256" s="3">
        <f>Data!BN256</f>
        <v>16.2</v>
      </c>
      <c r="G256" s="3">
        <f>Data!N256</f>
        <v>0</v>
      </c>
      <c r="H256" s="21">
        <f>Data!BE256</f>
        <v>0</v>
      </c>
      <c r="I256" s="13">
        <f t="shared" si="44"/>
        <v>0</v>
      </c>
      <c r="J256" s="3">
        <f>Data!BR256</f>
        <v>0</v>
      </c>
      <c r="K256" s="35">
        <f t="shared" si="48"/>
        <v>0</v>
      </c>
      <c r="M256" s="22">
        <f t="shared" si="51"/>
        <v>294.7999999999999</v>
      </c>
      <c r="N256" s="22">
        <f t="shared" si="51"/>
        <v>607.40000000000009</v>
      </c>
    </row>
    <row r="257" spans="1:21" x14ac:dyDescent="0.2">
      <c r="A257" s="14">
        <f t="shared" si="45"/>
        <v>38968</v>
      </c>
      <c r="B257" s="1">
        <v>251</v>
      </c>
      <c r="C257" s="16">
        <f>ROUND(Data!BI257,2)</f>
        <v>18.850000000000001</v>
      </c>
      <c r="D257" s="3">
        <f>ROUND(Data!O257,1)</f>
        <v>24.5</v>
      </c>
      <c r="E257" s="3">
        <f>ROUND(Data!AA257,1)</f>
        <v>4.3</v>
      </c>
      <c r="F257" s="3">
        <f>Data!BN257</f>
        <v>19.5</v>
      </c>
      <c r="G257" s="3">
        <f>Data!N257</f>
        <v>0</v>
      </c>
      <c r="H257" s="21">
        <f>Data!BE257</f>
        <v>0</v>
      </c>
      <c r="I257" s="13">
        <f t="shared" si="44"/>
        <v>0</v>
      </c>
      <c r="J257" s="3">
        <f>Data!BR257</f>
        <v>0</v>
      </c>
      <c r="K257" s="35">
        <f t="shared" si="48"/>
        <v>0</v>
      </c>
      <c r="M257" s="22">
        <f t="shared" si="51"/>
        <v>294.7999999999999</v>
      </c>
      <c r="N257" s="22">
        <f t="shared" si="51"/>
        <v>607.40000000000009</v>
      </c>
    </row>
    <row r="258" spans="1:21" x14ac:dyDescent="0.2">
      <c r="A258" s="14">
        <f t="shared" si="45"/>
        <v>38969</v>
      </c>
      <c r="B258" s="1">
        <v>252</v>
      </c>
      <c r="C258" s="16">
        <f>ROUND(Data!BI258,2)</f>
        <v>7.62</v>
      </c>
      <c r="D258" s="3">
        <f>ROUND(Data!O258,1)</f>
        <v>16.7</v>
      </c>
      <c r="E258" s="3">
        <f>ROUND(Data!AA258,1)</f>
        <v>4.4000000000000004</v>
      </c>
      <c r="F258" s="3">
        <f>Data!BN258</f>
        <v>54.4</v>
      </c>
      <c r="G258" s="3">
        <f>Data!N258</f>
        <v>24</v>
      </c>
      <c r="H258" s="21">
        <f>Data!BE258</f>
        <v>0</v>
      </c>
      <c r="I258" s="13">
        <f t="shared" si="44"/>
        <v>0</v>
      </c>
      <c r="J258" s="3">
        <f>Data!BR258</f>
        <v>12.6</v>
      </c>
      <c r="K258" s="35">
        <f t="shared" si="48"/>
        <v>24</v>
      </c>
      <c r="M258" s="22">
        <f t="shared" si="51"/>
        <v>307.39999999999992</v>
      </c>
      <c r="N258" s="22">
        <f t="shared" si="51"/>
        <v>631.40000000000009</v>
      </c>
    </row>
    <row r="259" spans="1:21" x14ac:dyDescent="0.2">
      <c r="A259" s="14">
        <f t="shared" si="45"/>
        <v>38970</v>
      </c>
      <c r="B259" s="1">
        <v>253</v>
      </c>
      <c r="C259" s="16">
        <f>ROUND(Data!BI259,2)</f>
        <v>15.93</v>
      </c>
      <c r="D259" s="3">
        <f>ROUND(Data!O259,1)</f>
        <v>15.7</v>
      </c>
      <c r="E259" s="3">
        <f>ROUND(Data!AA259,1)</f>
        <v>4.4000000000000004</v>
      </c>
      <c r="F259" s="3">
        <f>Data!BN259</f>
        <v>61.6</v>
      </c>
      <c r="G259" s="3">
        <f>Data!N259</f>
        <v>1</v>
      </c>
      <c r="H259" s="21">
        <f>Data!BE259</f>
        <v>0</v>
      </c>
      <c r="I259" s="13">
        <f t="shared" si="44"/>
        <v>0</v>
      </c>
      <c r="J259" s="3">
        <f>Data!BR259</f>
        <v>0.2</v>
      </c>
      <c r="K259" s="35">
        <f t="shared" si="48"/>
        <v>1</v>
      </c>
      <c r="M259" s="22">
        <f t="shared" si="51"/>
        <v>307.59999999999991</v>
      </c>
      <c r="N259" s="22">
        <f t="shared" si="51"/>
        <v>632.40000000000009</v>
      </c>
    </row>
    <row r="260" spans="1:21" x14ac:dyDescent="0.2">
      <c r="A260" s="14">
        <f t="shared" si="45"/>
        <v>38971</v>
      </c>
      <c r="B260" s="1">
        <v>254</v>
      </c>
      <c r="C260" s="16">
        <f>ROUND(Data!BI260,2)</f>
        <v>18.03</v>
      </c>
      <c r="D260" s="3">
        <f>ROUND(Data!O260,1)</f>
        <v>18.899999999999999</v>
      </c>
      <c r="E260" s="3">
        <f>ROUND(Data!AA260,1)</f>
        <v>1.1000000000000001</v>
      </c>
      <c r="F260" s="3">
        <f>Data!BN260</f>
        <v>36.6</v>
      </c>
      <c r="G260" s="3">
        <f>Data!N260</f>
        <v>0</v>
      </c>
      <c r="H260" s="21">
        <f>Data!BE260</f>
        <v>0</v>
      </c>
      <c r="I260" s="13">
        <f t="shared" si="44"/>
        <v>0</v>
      </c>
      <c r="J260" s="3">
        <f>Data!BR260</f>
        <v>0</v>
      </c>
      <c r="K260" s="35">
        <f t="shared" si="48"/>
        <v>0</v>
      </c>
      <c r="M260" s="22">
        <f t="shared" si="51"/>
        <v>307.59999999999991</v>
      </c>
      <c r="N260" s="22">
        <f t="shared" si="51"/>
        <v>632.40000000000009</v>
      </c>
    </row>
    <row r="261" spans="1:21" x14ac:dyDescent="0.2">
      <c r="A261" s="14">
        <f t="shared" si="45"/>
        <v>38972</v>
      </c>
      <c r="B261" s="1">
        <v>255</v>
      </c>
      <c r="C261" s="16">
        <f>ROUND(Data!BI261,2)</f>
        <v>17.7</v>
      </c>
      <c r="D261" s="3">
        <f>ROUND(Data!O261,1)</f>
        <v>18.3</v>
      </c>
      <c r="E261" s="3">
        <f>ROUND(Data!AA261,1)</f>
        <v>2.2000000000000002</v>
      </c>
      <c r="F261" s="3">
        <f>Data!BN261</f>
        <v>29.8</v>
      </c>
      <c r="G261" s="3">
        <f>Data!N261</f>
        <v>0</v>
      </c>
      <c r="H261" s="21">
        <f>Data!BE261</f>
        <v>0</v>
      </c>
      <c r="I261" s="13">
        <f t="shared" si="44"/>
        <v>0</v>
      </c>
      <c r="J261" s="3">
        <f>Data!BR261</f>
        <v>0.2</v>
      </c>
      <c r="K261" s="35">
        <f t="shared" si="48"/>
        <v>0</v>
      </c>
      <c r="M261" s="22">
        <f t="shared" si="51"/>
        <v>307.7999999999999</v>
      </c>
      <c r="N261" s="22">
        <f t="shared" si="51"/>
        <v>632.40000000000009</v>
      </c>
    </row>
    <row r="262" spans="1:21" x14ac:dyDescent="0.2">
      <c r="A262" s="14">
        <f t="shared" si="45"/>
        <v>38973</v>
      </c>
      <c r="B262" s="1">
        <v>256</v>
      </c>
      <c r="C262" s="16">
        <f>ROUND(Data!BI262,2)</f>
        <v>10.71</v>
      </c>
      <c r="D262" s="3">
        <f>ROUND(Data!O262,1)</f>
        <v>10.7</v>
      </c>
      <c r="E262" s="3">
        <f>ROUND(Data!AA262,1)</f>
        <v>2.1</v>
      </c>
      <c r="F262" s="3">
        <f>Data!BN262</f>
        <v>62</v>
      </c>
      <c r="G262" s="3">
        <f>Data!N262</f>
        <v>18</v>
      </c>
      <c r="H262" s="21">
        <f>Data!BE262</f>
        <v>0</v>
      </c>
      <c r="I262" s="13">
        <f t="shared" si="44"/>
        <v>0</v>
      </c>
      <c r="J262" s="3">
        <f>Data!BR262</f>
        <v>23.2</v>
      </c>
      <c r="K262" s="35">
        <f t="shared" si="48"/>
        <v>18</v>
      </c>
      <c r="M262" s="22">
        <f t="shared" si="51"/>
        <v>330.99999999999989</v>
      </c>
      <c r="N262" s="22">
        <f t="shared" si="51"/>
        <v>650.40000000000009</v>
      </c>
      <c r="P262" s="38"/>
      <c r="Q262" s="38"/>
      <c r="R262" s="38"/>
      <c r="S262" s="38"/>
      <c r="T262" s="38"/>
      <c r="U262" s="38"/>
    </row>
    <row r="263" spans="1:21" x14ac:dyDescent="0.2">
      <c r="A263" s="14">
        <f t="shared" si="45"/>
        <v>38974</v>
      </c>
      <c r="B263" s="1">
        <v>257</v>
      </c>
      <c r="C263" s="16">
        <f>ROUND(Data!BI263,2)</f>
        <v>4.05</v>
      </c>
      <c r="D263" s="3">
        <f>ROUND(Data!O263,1)</f>
        <v>3.5</v>
      </c>
      <c r="E263" s="3">
        <f>ROUND(Data!AA263,1)</f>
        <v>-0.1</v>
      </c>
      <c r="F263" s="3">
        <f>Data!BN263</f>
        <v>92</v>
      </c>
      <c r="G263" s="3">
        <f>Data!N263</f>
        <v>24</v>
      </c>
      <c r="H263" s="21">
        <f>Data!BE263</f>
        <v>0</v>
      </c>
      <c r="I263" s="13">
        <f t="shared" si="44"/>
        <v>0</v>
      </c>
      <c r="J263" s="3">
        <f>Data!BR263</f>
        <v>33.200000000000003</v>
      </c>
      <c r="K263" s="35">
        <f t="shared" si="48"/>
        <v>24</v>
      </c>
      <c r="M263" s="22">
        <f t="shared" si="51"/>
        <v>364.19999999999987</v>
      </c>
      <c r="N263" s="22">
        <f t="shared" si="51"/>
        <v>674.40000000000009</v>
      </c>
      <c r="P263" s="38"/>
      <c r="Q263" s="38"/>
      <c r="R263" s="38"/>
      <c r="S263" s="38"/>
      <c r="T263" s="38"/>
      <c r="U263" s="38"/>
    </row>
    <row r="264" spans="1:21" x14ac:dyDescent="0.2">
      <c r="A264" s="14">
        <f t="shared" si="45"/>
        <v>38975</v>
      </c>
      <c r="B264" s="1">
        <v>258</v>
      </c>
      <c r="C264" s="16">
        <f>ROUND(Data!BI264,2)</f>
        <v>12.87</v>
      </c>
      <c r="D264" s="3">
        <f>ROUND(Data!O264,1)</f>
        <v>6.7</v>
      </c>
      <c r="E264" s="3">
        <f>ROUND(Data!AA264,1)</f>
        <v>-1.6</v>
      </c>
      <c r="F264" s="3">
        <f>Data!BN264</f>
        <v>62.1</v>
      </c>
      <c r="G264" s="3">
        <f>Data!N264</f>
        <v>5</v>
      </c>
      <c r="H264" s="21">
        <f>Data!BE264</f>
        <v>0</v>
      </c>
      <c r="I264" s="13">
        <f t="shared" ref="I264:I327" si="52">IF(H264&gt;H263,ROUND((H264-H263)*I$1,1),0)</f>
        <v>0</v>
      </c>
      <c r="J264" s="3">
        <f>Data!BR264</f>
        <v>0.2</v>
      </c>
      <c r="K264" s="35">
        <f t="shared" si="48"/>
        <v>5</v>
      </c>
      <c r="M264" s="22">
        <f t="shared" si="51"/>
        <v>364.39999999999986</v>
      </c>
      <c r="N264" s="22">
        <f t="shared" si="51"/>
        <v>679.40000000000009</v>
      </c>
      <c r="P264" s="38"/>
      <c r="Q264" s="38"/>
      <c r="R264" s="38"/>
      <c r="S264" s="38"/>
      <c r="T264" s="38"/>
      <c r="U264" s="38"/>
    </row>
    <row r="265" spans="1:21" x14ac:dyDescent="0.2">
      <c r="A265" s="14">
        <f t="shared" ref="A265:A328" si="53">A264+1</f>
        <v>38976</v>
      </c>
      <c r="B265" s="1">
        <v>259</v>
      </c>
      <c r="C265" s="16">
        <f>ROUND(Data!BI265,2)</f>
        <v>7.56</v>
      </c>
      <c r="D265" s="3">
        <f>ROUND(Data!O265,1)</f>
        <v>6.1</v>
      </c>
      <c r="E265" s="3">
        <f>ROUND(Data!AA265,1)</f>
        <v>-2.6</v>
      </c>
      <c r="F265" s="3">
        <f>Data!BN265</f>
        <v>60.9</v>
      </c>
      <c r="G265" s="3">
        <f>Data!N265</f>
        <v>0</v>
      </c>
      <c r="H265" s="21">
        <f>Data!BE265</f>
        <v>0</v>
      </c>
      <c r="I265" s="13">
        <f t="shared" si="52"/>
        <v>0</v>
      </c>
      <c r="J265" s="3">
        <f>Data!BR265</f>
        <v>0</v>
      </c>
      <c r="K265" s="35">
        <f t="shared" si="48"/>
        <v>0</v>
      </c>
      <c r="M265" s="22">
        <f t="shared" ref="M265:N280" si="54">J265+M264</f>
        <v>364.39999999999986</v>
      </c>
      <c r="N265" s="22">
        <f t="shared" si="54"/>
        <v>679.40000000000009</v>
      </c>
      <c r="P265" s="38"/>
      <c r="Q265" s="38"/>
      <c r="R265" s="38"/>
      <c r="S265" s="38"/>
      <c r="T265" s="38"/>
      <c r="U265" s="38"/>
    </row>
    <row r="266" spans="1:21" x14ac:dyDescent="0.2">
      <c r="A266" s="14">
        <f t="shared" si="53"/>
        <v>38977</v>
      </c>
      <c r="B266" s="1">
        <v>260</v>
      </c>
      <c r="C266" s="16">
        <f>ROUND(Data!BI266,2)</f>
        <v>17.190000000000001</v>
      </c>
      <c r="D266" s="3">
        <f>ROUND(Data!O266,1)</f>
        <v>10.8</v>
      </c>
      <c r="E266" s="3">
        <f>ROUND(Data!AA266,1)</f>
        <v>-4.5</v>
      </c>
      <c r="F266" s="3">
        <f>Data!BN266</f>
        <v>31.2</v>
      </c>
      <c r="G266" s="3">
        <f>Data!N266</f>
        <v>0</v>
      </c>
      <c r="H266" s="21">
        <f>Data!BE266</f>
        <v>0</v>
      </c>
      <c r="I266" s="13">
        <f t="shared" si="52"/>
        <v>0</v>
      </c>
      <c r="J266" s="3">
        <f>Data!BR266</f>
        <v>0.2</v>
      </c>
      <c r="K266" s="35">
        <f t="shared" si="48"/>
        <v>0</v>
      </c>
      <c r="M266" s="22">
        <f t="shared" si="54"/>
        <v>364.59999999999985</v>
      </c>
      <c r="N266" s="22">
        <f t="shared" si="54"/>
        <v>679.40000000000009</v>
      </c>
      <c r="P266" s="38"/>
      <c r="Q266" s="38"/>
      <c r="R266" s="38"/>
      <c r="S266" s="38"/>
      <c r="T266" s="38"/>
      <c r="U266" s="38"/>
    </row>
    <row r="267" spans="1:21" x14ac:dyDescent="0.2">
      <c r="A267" s="14">
        <f t="shared" si="53"/>
        <v>38978</v>
      </c>
      <c r="B267" s="1">
        <v>261</v>
      </c>
      <c r="C267" s="16">
        <f>ROUND(Data!BI267,2)</f>
        <v>4.42</v>
      </c>
      <c r="D267" s="3">
        <f>ROUND(Data!O267,1)</f>
        <v>8.1</v>
      </c>
      <c r="E267" s="3">
        <f>ROUND(Data!AA267,1)</f>
        <v>3.2</v>
      </c>
      <c r="F267" s="3">
        <f>Data!BN267</f>
        <v>62.3</v>
      </c>
      <c r="G267" s="3">
        <f>Data!N267</f>
        <v>1</v>
      </c>
      <c r="H267" s="21">
        <f>Data!BE267</f>
        <v>0</v>
      </c>
      <c r="I267" s="13">
        <f t="shared" si="52"/>
        <v>0</v>
      </c>
      <c r="J267" s="3">
        <f>Data!BR267</f>
        <v>2.2000000000000002</v>
      </c>
      <c r="K267" s="35">
        <f t="shared" si="48"/>
        <v>1</v>
      </c>
      <c r="M267" s="22">
        <f t="shared" si="54"/>
        <v>366.79999999999984</v>
      </c>
      <c r="N267" s="22">
        <f t="shared" si="54"/>
        <v>680.40000000000009</v>
      </c>
      <c r="P267" s="39"/>
      <c r="Q267" s="39"/>
      <c r="R267" s="40"/>
      <c r="S267" s="41"/>
      <c r="T267" s="41"/>
      <c r="U267" s="38"/>
    </row>
    <row r="268" spans="1:21" x14ac:dyDescent="0.2">
      <c r="A268" s="14">
        <f t="shared" si="53"/>
        <v>38979</v>
      </c>
      <c r="B268" s="1">
        <v>262</v>
      </c>
      <c r="C268" s="16">
        <f>ROUND(Data!BI268,2)</f>
        <v>10.54</v>
      </c>
      <c r="D268" s="3">
        <f>ROUND(Data!O268,1)</f>
        <v>10.4</v>
      </c>
      <c r="E268" s="3">
        <f>ROUND(Data!AA268,1)</f>
        <v>-1.5</v>
      </c>
      <c r="F268" s="3">
        <f>Data!BN268</f>
        <v>68.400000000000006</v>
      </c>
      <c r="G268" s="3">
        <f>Data!N268</f>
        <v>1</v>
      </c>
      <c r="H268" s="21">
        <f>Data!BE268</f>
        <v>0</v>
      </c>
      <c r="I268" s="13">
        <f t="shared" si="52"/>
        <v>0</v>
      </c>
      <c r="J268" s="3">
        <f>Data!BR268</f>
        <v>1.8</v>
      </c>
      <c r="K268" s="35">
        <f t="shared" si="48"/>
        <v>1</v>
      </c>
      <c r="M268" s="22">
        <f t="shared" si="54"/>
        <v>368.59999999999985</v>
      </c>
      <c r="N268" s="22">
        <f t="shared" si="54"/>
        <v>681.40000000000009</v>
      </c>
      <c r="P268" s="39"/>
      <c r="Q268" s="39"/>
      <c r="R268" s="40"/>
      <c r="S268" s="41"/>
      <c r="T268" s="41"/>
      <c r="U268" s="38"/>
    </row>
    <row r="269" spans="1:21" x14ac:dyDescent="0.2">
      <c r="A269" s="14">
        <f t="shared" si="53"/>
        <v>38980</v>
      </c>
      <c r="B269" s="1">
        <v>263</v>
      </c>
      <c r="C269" s="16">
        <f>ROUND(Data!BI269,2)</f>
        <v>2.2999999999999998</v>
      </c>
      <c r="D269" s="3">
        <f>ROUND(Data!O269,1)</f>
        <v>4.5999999999999996</v>
      </c>
      <c r="E269" s="3">
        <f>ROUND(Data!AA269,1)</f>
        <v>-1.5</v>
      </c>
      <c r="F269" s="3">
        <f>Data!BN269</f>
        <v>83.9</v>
      </c>
      <c r="G269" s="3">
        <f>Data!N269</f>
        <v>17</v>
      </c>
      <c r="H269" s="21">
        <f>Data!BE269</f>
        <v>0</v>
      </c>
      <c r="I269" s="13">
        <f t="shared" si="52"/>
        <v>0</v>
      </c>
      <c r="J269" s="3">
        <f>Data!BR269</f>
        <v>18.399999999999999</v>
      </c>
      <c r="K269" s="35">
        <f t="shared" si="48"/>
        <v>17</v>
      </c>
      <c r="M269" s="22">
        <f t="shared" si="54"/>
        <v>386.99999999999983</v>
      </c>
      <c r="N269" s="22">
        <f t="shared" si="54"/>
        <v>698.40000000000009</v>
      </c>
      <c r="P269" s="39"/>
      <c r="Q269" s="39"/>
      <c r="R269" s="40"/>
      <c r="S269" s="41"/>
      <c r="T269" s="41"/>
      <c r="U269" s="38"/>
    </row>
    <row r="270" spans="1:21" x14ac:dyDescent="0.2">
      <c r="A270" s="14">
        <f t="shared" si="53"/>
        <v>38981</v>
      </c>
      <c r="B270" s="1">
        <v>264</v>
      </c>
      <c r="C270" s="16">
        <f>ROUND(Data!BI270,2)</f>
        <v>3.48</v>
      </c>
      <c r="D270" s="3">
        <f>ROUND(Data!O270,1)</f>
        <v>3.5</v>
      </c>
      <c r="E270" s="3">
        <f>ROUND(Data!AA270,1)</f>
        <v>0.7</v>
      </c>
      <c r="F270" s="3">
        <f>Data!BN270</f>
        <v>96.3</v>
      </c>
      <c r="G270" s="3">
        <f>Data!N270</f>
        <v>4</v>
      </c>
      <c r="H270" s="21">
        <f>Data!BE270</f>
        <v>0</v>
      </c>
      <c r="I270" s="13">
        <f t="shared" si="52"/>
        <v>0</v>
      </c>
      <c r="J270" s="3">
        <f>Data!BR270</f>
        <v>3.4</v>
      </c>
      <c r="K270" s="35">
        <f t="shared" si="48"/>
        <v>4</v>
      </c>
      <c r="M270" s="22">
        <f t="shared" si="54"/>
        <v>390.39999999999981</v>
      </c>
      <c r="N270" s="22">
        <f t="shared" si="54"/>
        <v>702.40000000000009</v>
      </c>
      <c r="P270" s="39"/>
      <c r="Q270" s="39"/>
      <c r="R270" s="40"/>
      <c r="S270" s="41"/>
      <c r="T270" s="41"/>
      <c r="U270" s="38"/>
    </row>
    <row r="271" spans="1:21" x14ac:dyDescent="0.2">
      <c r="A271" s="14">
        <f t="shared" si="53"/>
        <v>38982</v>
      </c>
      <c r="B271" s="1">
        <v>265</v>
      </c>
      <c r="C271" s="16">
        <f>ROUND(Data!BI271,2)</f>
        <v>6.47</v>
      </c>
      <c r="D271" s="3">
        <f>ROUND(Data!O271,1)</f>
        <v>6.5</v>
      </c>
      <c r="E271" s="3">
        <f>ROUND(Data!AA271,1)</f>
        <v>0.2</v>
      </c>
      <c r="F271" s="3">
        <f>Data!BN271</f>
        <v>72.599999999999994</v>
      </c>
      <c r="G271" s="3">
        <f>Data!N271</f>
        <v>0</v>
      </c>
      <c r="H271" s="21">
        <f>Data!BE271</f>
        <v>0</v>
      </c>
      <c r="I271" s="13">
        <f t="shared" si="52"/>
        <v>0</v>
      </c>
      <c r="J271" s="3">
        <f>Data!BR271</f>
        <v>0</v>
      </c>
      <c r="K271" s="35">
        <f t="shared" si="48"/>
        <v>0</v>
      </c>
      <c r="M271" s="22">
        <f t="shared" si="54"/>
        <v>390.39999999999981</v>
      </c>
      <c r="N271" s="22">
        <f t="shared" si="54"/>
        <v>702.40000000000009</v>
      </c>
      <c r="P271" s="39"/>
      <c r="Q271" s="39"/>
      <c r="R271" s="40"/>
      <c r="S271" s="41"/>
      <c r="T271" s="41"/>
      <c r="U271" s="38"/>
    </row>
    <row r="272" spans="1:21" x14ac:dyDescent="0.2">
      <c r="A272" s="14">
        <f t="shared" si="53"/>
        <v>38983</v>
      </c>
      <c r="B272" s="1">
        <v>266</v>
      </c>
      <c r="C272" s="16">
        <f>ROUND(Data!BI272,2)</f>
        <v>7.2</v>
      </c>
      <c r="D272" s="3">
        <f>ROUND(Data!O272,1)</f>
        <v>8.8000000000000007</v>
      </c>
      <c r="E272" s="3">
        <f>ROUND(Data!AA272,1)</f>
        <v>-0.7</v>
      </c>
      <c r="F272" s="3">
        <f>Data!BN272</f>
        <v>75.099999999999994</v>
      </c>
      <c r="G272" s="3">
        <f>Data!N272</f>
        <v>0</v>
      </c>
      <c r="H272" s="21">
        <f>Data!BE272</f>
        <v>0</v>
      </c>
      <c r="I272" s="13">
        <f t="shared" si="52"/>
        <v>0</v>
      </c>
      <c r="J272" s="3">
        <f>Data!BR272</f>
        <v>0</v>
      </c>
      <c r="K272" s="35">
        <f t="shared" si="48"/>
        <v>0</v>
      </c>
      <c r="M272" s="22">
        <f t="shared" si="54"/>
        <v>390.39999999999981</v>
      </c>
      <c r="N272" s="22">
        <f t="shared" si="54"/>
        <v>702.40000000000009</v>
      </c>
      <c r="P272" s="39"/>
      <c r="Q272" s="39"/>
      <c r="R272" s="40"/>
      <c r="S272" s="41"/>
      <c r="T272" s="41"/>
      <c r="U272" s="38"/>
    </row>
    <row r="273" spans="1:21" x14ac:dyDescent="0.2">
      <c r="A273" s="14">
        <f t="shared" si="53"/>
        <v>38984</v>
      </c>
      <c r="B273" s="1">
        <v>267</v>
      </c>
      <c r="C273" s="16">
        <f>ROUND(Data!BI273,2)</f>
        <v>17.66</v>
      </c>
      <c r="D273" s="3">
        <f>ROUND(Data!O273,1)</f>
        <v>17</v>
      </c>
      <c r="E273" s="3">
        <f>ROUND(Data!AA273,1)</f>
        <v>-1.9</v>
      </c>
      <c r="F273" s="3">
        <f>Data!BN273</f>
        <v>38.700000000000003</v>
      </c>
      <c r="G273" s="3">
        <f>Data!N273</f>
        <v>0</v>
      </c>
      <c r="H273" s="21">
        <f>Data!BE273</f>
        <v>0</v>
      </c>
      <c r="I273" s="13">
        <f t="shared" si="52"/>
        <v>0</v>
      </c>
      <c r="J273" s="3">
        <f>Data!BR273</f>
        <v>0</v>
      </c>
      <c r="K273" s="35">
        <f t="shared" si="48"/>
        <v>0</v>
      </c>
      <c r="M273" s="22">
        <f t="shared" si="54"/>
        <v>390.39999999999981</v>
      </c>
      <c r="N273" s="22">
        <f t="shared" si="54"/>
        <v>702.40000000000009</v>
      </c>
      <c r="P273" s="39"/>
      <c r="Q273" s="39"/>
      <c r="R273" s="40"/>
      <c r="S273" s="41"/>
      <c r="T273" s="41"/>
      <c r="U273" s="38"/>
    </row>
    <row r="274" spans="1:21" x14ac:dyDescent="0.2">
      <c r="A274" s="14">
        <f t="shared" si="53"/>
        <v>38985</v>
      </c>
      <c r="B274" s="1">
        <v>268</v>
      </c>
      <c r="C274" s="16">
        <f>ROUND(Data!BI274,2)</f>
        <v>16.78</v>
      </c>
      <c r="D274" s="3">
        <f>ROUND(Data!O274,1)</f>
        <v>17.3</v>
      </c>
      <c r="E274" s="3">
        <f>ROUND(Data!AA274,1)</f>
        <v>-1.1000000000000001</v>
      </c>
      <c r="F274" s="3">
        <f>Data!BN274</f>
        <v>28.6</v>
      </c>
      <c r="G274" s="3">
        <f>Data!N274</f>
        <v>0</v>
      </c>
      <c r="H274" s="21">
        <f>Data!BE274</f>
        <v>0</v>
      </c>
      <c r="I274" s="13">
        <f t="shared" si="52"/>
        <v>0</v>
      </c>
      <c r="J274" s="3">
        <f>Data!BR274</f>
        <v>0</v>
      </c>
      <c r="K274" s="35">
        <f t="shared" si="48"/>
        <v>0</v>
      </c>
      <c r="M274" s="22">
        <f t="shared" si="54"/>
        <v>390.39999999999981</v>
      </c>
      <c r="N274" s="22">
        <f t="shared" si="54"/>
        <v>702.40000000000009</v>
      </c>
      <c r="P274" s="39"/>
      <c r="Q274" s="39"/>
      <c r="R274" s="40"/>
      <c r="S274" s="41"/>
      <c r="T274" s="41"/>
      <c r="U274" s="38"/>
    </row>
    <row r="275" spans="1:21" x14ac:dyDescent="0.2">
      <c r="A275" s="14">
        <f t="shared" si="53"/>
        <v>38986</v>
      </c>
      <c r="B275" s="1">
        <v>269</v>
      </c>
      <c r="C275" s="16">
        <f>ROUND(Data!BI275,2)</f>
        <v>10.86</v>
      </c>
      <c r="D275" s="3">
        <f>ROUND(Data!O275,1)</f>
        <v>13.8</v>
      </c>
      <c r="E275" s="3">
        <f>ROUND(Data!AA275,1)</f>
        <v>0.9</v>
      </c>
      <c r="F275" s="3">
        <f>Data!BN275</f>
        <v>59.5</v>
      </c>
      <c r="G275" s="3">
        <f>Data!N275</f>
        <v>0</v>
      </c>
      <c r="H275" s="21">
        <f>Data!BE275</f>
        <v>0</v>
      </c>
      <c r="I275" s="13">
        <f t="shared" si="52"/>
        <v>0</v>
      </c>
      <c r="J275" s="3">
        <f>Data!BR275</f>
        <v>0</v>
      </c>
      <c r="K275" s="35">
        <f t="shared" si="48"/>
        <v>0</v>
      </c>
      <c r="M275" s="22">
        <f t="shared" si="54"/>
        <v>390.39999999999981</v>
      </c>
      <c r="N275" s="22">
        <f t="shared" si="54"/>
        <v>702.40000000000009</v>
      </c>
      <c r="P275" s="39"/>
      <c r="Q275" s="39"/>
      <c r="R275" s="40"/>
      <c r="S275" s="41"/>
      <c r="T275" s="41"/>
      <c r="U275" s="38"/>
    </row>
    <row r="276" spans="1:21" x14ac:dyDescent="0.2">
      <c r="A276" s="14">
        <f t="shared" si="53"/>
        <v>38987</v>
      </c>
      <c r="B276" s="1">
        <v>270</v>
      </c>
      <c r="C276" s="16">
        <f>ROUND(Data!BI276,2)</f>
        <v>16.61</v>
      </c>
      <c r="D276" s="3">
        <f>ROUND(Data!O276,1)</f>
        <v>17.3</v>
      </c>
      <c r="E276" s="3">
        <f>ROUND(Data!AA276,1)</f>
        <v>-0.9</v>
      </c>
      <c r="F276" s="3">
        <f>Data!BN276</f>
        <v>51.8</v>
      </c>
      <c r="G276" s="3">
        <f>Data!N276</f>
        <v>0</v>
      </c>
      <c r="H276" s="21">
        <f>Data!BE276</f>
        <v>0</v>
      </c>
      <c r="I276" s="13">
        <f t="shared" si="52"/>
        <v>0</v>
      </c>
      <c r="J276" s="3">
        <f>Data!BR276</f>
        <v>0</v>
      </c>
      <c r="K276" s="35">
        <f t="shared" si="48"/>
        <v>0</v>
      </c>
      <c r="M276" s="22">
        <f t="shared" si="54"/>
        <v>390.39999999999981</v>
      </c>
      <c r="N276" s="22">
        <f t="shared" si="54"/>
        <v>702.40000000000009</v>
      </c>
      <c r="P276" s="39"/>
      <c r="Q276" s="39"/>
      <c r="R276" s="40"/>
      <c r="S276" s="41"/>
      <c r="T276" s="41"/>
      <c r="U276" s="38"/>
    </row>
    <row r="277" spans="1:21" x14ac:dyDescent="0.2">
      <c r="A277" s="14">
        <f t="shared" si="53"/>
        <v>38988</v>
      </c>
      <c r="B277" s="1">
        <v>271</v>
      </c>
      <c r="C277" s="16">
        <f>ROUND(Data!BI277,2)</f>
        <v>15.25</v>
      </c>
      <c r="D277" s="3">
        <f>ROUND(Data!O277,1)</f>
        <v>17.2</v>
      </c>
      <c r="E277" s="3">
        <f>ROUND(Data!AA277,1)</f>
        <v>1.2</v>
      </c>
      <c r="F277" s="3">
        <f>Data!BN277</f>
        <v>44.6</v>
      </c>
      <c r="G277" s="3">
        <f>Data!N277</f>
        <v>0</v>
      </c>
      <c r="H277" s="21">
        <f>Data!BE277</f>
        <v>0</v>
      </c>
      <c r="I277" s="13">
        <f t="shared" si="52"/>
        <v>0</v>
      </c>
      <c r="J277" s="3">
        <f>Data!BR277</f>
        <v>0</v>
      </c>
      <c r="K277" s="35">
        <f t="shared" ref="K277:K306" si="55">G277</f>
        <v>0</v>
      </c>
      <c r="M277" s="22">
        <f t="shared" si="54"/>
        <v>390.39999999999981</v>
      </c>
      <c r="N277" s="22">
        <f t="shared" si="54"/>
        <v>702.40000000000009</v>
      </c>
      <c r="P277" s="39"/>
      <c r="Q277" s="39"/>
      <c r="R277" s="40"/>
      <c r="S277" s="41"/>
      <c r="T277" s="41"/>
      <c r="U277" s="38"/>
    </row>
    <row r="278" spans="1:21" x14ac:dyDescent="0.2">
      <c r="A278" s="14">
        <f t="shared" si="53"/>
        <v>38989</v>
      </c>
      <c r="B278" s="1">
        <v>272</v>
      </c>
      <c r="C278" s="16">
        <f>ROUND(Data!BI278,2)</f>
        <v>15.62</v>
      </c>
      <c r="D278" s="3">
        <f>ROUND(Data!O278,1)</f>
        <v>19.100000000000001</v>
      </c>
      <c r="E278" s="3">
        <f>ROUND(Data!AA278,1)</f>
        <v>1.3</v>
      </c>
      <c r="F278" s="3">
        <f>Data!BN278</f>
        <v>38.299999999999997</v>
      </c>
      <c r="G278" s="3">
        <f>Data!N278</f>
        <v>0</v>
      </c>
      <c r="H278" s="21">
        <f>Data!BE278</f>
        <v>0</v>
      </c>
      <c r="I278" s="13">
        <f t="shared" si="52"/>
        <v>0</v>
      </c>
      <c r="J278" s="3">
        <f>Data!BR278</f>
        <v>0</v>
      </c>
      <c r="K278" s="35">
        <f t="shared" si="55"/>
        <v>0</v>
      </c>
      <c r="M278" s="22">
        <f t="shared" si="54"/>
        <v>390.39999999999981</v>
      </c>
      <c r="N278" s="22">
        <f t="shared" si="54"/>
        <v>702.40000000000009</v>
      </c>
      <c r="P278" s="39"/>
      <c r="Q278" s="39"/>
      <c r="R278" s="40"/>
      <c r="S278" s="41"/>
      <c r="T278" s="41"/>
      <c r="U278" s="38"/>
    </row>
    <row r="279" spans="1:21" x14ac:dyDescent="0.2">
      <c r="A279" s="14">
        <f t="shared" si="53"/>
        <v>38990</v>
      </c>
      <c r="B279" s="1">
        <v>273</v>
      </c>
      <c r="C279" s="16">
        <f>ROUND(Data!BI279,2)</f>
        <v>16.2</v>
      </c>
      <c r="D279" s="3">
        <f>ROUND(Data!O279,1)</f>
        <v>14.6</v>
      </c>
      <c r="E279" s="3">
        <f>ROUND(Data!AA279,1)</f>
        <v>-1</v>
      </c>
      <c r="F279" s="3">
        <f>Data!BN279</f>
        <v>30.5</v>
      </c>
      <c r="G279" s="3">
        <f>Data!N279</f>
        <v>0</v>
      </c>
      <c r="H279" s="21">
        <f>Data!BE279</f>
        <v>0</v>
      </c>
      <c r="I279" s="13">
        <f t="shared" si="52"/>
        <v>0</v>
      </c>
      <c r="J279" s="3">
        <f>Data!BR279</f>
        <v>0</v>
      </c>
      <c r="K279" s="35">
        <f t="shared" si="55"/>
        <v>0</v>
      </c>
      <c r="M279" s="22">
        <f t="shared" si="54"/>
        <v>390.39999999999981</v>
      </c>
      <c r="N279" s="22">
        <f t="shared" si="54"/>
        <v>702.40000000000009</v>
      </c>
      <c r="P279" s="39"/>
      <c r="Q279" s="39"/>
      <c r="R279" s="40"/>
      <c r="S279" s="41"/>
      <c r="T279" s="41"/>
      <c r="U279" s="38"/>
    </row>
    <row r="280" spans="1:21" x14ac:dyDescent="0.2">
      <c r="A280" s="14">
        <f t="shared" si="53"/>
        <v>38991</v>
      </c>
      <c r="B280" s="1">
        <v>274</v>
      </c>
      <c r="C280" s="16">
        <f>ROUND(Data!BI280,2)</f>
        <v>13.38</v>
      </c>
      <c r="D280" s="3">
        <f>ROUND(Data!O280,1)</f>
        <v>8.1999999999999993</v>
      </c>
      <c r="E280" s="3">
        <f>ROUND(Data!AA280,1)</f>
        <v>-4.2</v>
      </c>
      <c r="F280" s="3">
        <f>Data!BN280</f>
        <v>38.299999999999997</v>
      </c>
      <c r="G280" s="3">
        <f>Data!N280</f>
        <v>0</v>
      </c>
      <c r="H280" s="21">
        <f>Data!BE280</f>
        <v>0</v>
      </c>
      <c r="I280" s="13">
        <f t="shared" si="52"/>
        <v>0</v>
      </c>
      <c r="J280" s="3">
        <f>Data!BR280</f>
        <v>0</v>
      </c>
      <c r="K280" s="35">
        <f t="shared" si="55"/>
        <v>0</v>
      </c>
      <c r="M280" s="22">
        <f t="shared" si="54"/>
        <v>390.39999999999981</v>
      </c>
      <c r="N280" s="22">
        <f t="shared" si="54"/>
        <v>702.40000000000009</v>
      </c>
      <c r="P280" s="39"/>
      <c r="Q280" s="39"/>
      <c r="R280" s="40"/>
      <c r="S280" s="41"/>
      <c r="T280" s="41"/>
      <c r="U280" s="38"/>
    </row>
    <row r="281" spans="1:21" x14ac:dyDescent="0.2">
      <c r="A281" s="14">
        <f t="shared" si="53"/>
        <v>38992</v>
      </c>
      <c r="B281" s="1">
        <v>275</v>
      </c>
      <c r="C281" s="16">
        <f>ROUND(Data!BI281,2)</f>
        <v>13.87</v>
      </c>
      <c r="D281" s="3">
        <f>ROUND(Data!O281,1)</f>
        <v>9.4</v>
      </c>
      <c r="E281" s="3">
        <f>ROUND(Data!AA281,1)</f>
        <v>-4.5</v>
      </c>
      <c r="F281" s="3">
        <f>Data!BN281</f>
        <v>28</v>
      </c>
      <c r="G281" s="3">
        <f>Data!N281</f>
        <v>0</v>
      </c>
      <c r="H281" s="21">
        <f>Data!BE281</f>
        <v>0</v>
      </c>
      <c r="I281" s="13">
        <f t="shared" si="52"/>
        <v>0</v>
      </c>
      <c r="J281" s="3">
        <f>Data!BR281</f>
        <v>0</v>
      </c>
      <c r="K281" s="35">
        <f t="shared" si="55"/>
        <v>0</v>
      </c>
      <c r="M281" s="22">
        <f t="shared" ref="M281:N296" si="56">J281+M280</f>
        <v>390.39999999999981</v>
      </c>
      <c r="N281" s="22">
        <f t="shared" si="56"/>
        <v>702.40000000000009</v>
      </c>
      <c r="P281" s="39"/>
      <c r="Q281" s="39"/>
      <c r="R281" s="40"/>
      <c r="S281" s="41"/>
      <c r="T281" s="41"/>
      <c r="U281" s="38"/>
    </row>
    <row r="282" spans="1:21" x14ac:dyDescent="0.2">
      <c r="A282" s="14">
        <f t="shared" si="53"/>
        <v>38993</v>
      </c>
      <c r="B282" s="1">
        <v>276</v>
      </c>
      <c r="C282" s="16">
        <f>ROUND(Data!BI282,2)</f>
        <v>8.8800000000000008</v>
      </c>
      <c r="D282" s="3">
        <f>ROUND(Data!O282,1)</f>
        <v>8.1</v>
      </c>
      <c r="E282" s="3">
        <f>ROUND(Data!AA282,1)</f>
        <v>-5</v>
      </c>
      <c r="F282" s="3">
        <f>Data!BN282</f>
        <v>39.700000000000003</v>
      </c>
      <c r="G282" s="3">
        <f>Data!N282</f>
        <v>0</v>
      </c>
      <c r="H282" s="21">
        <f>Data!BE282</f>
        <v>0</v>
      </c>
      <c r="I282" s="13">
        <f t="shared" si="52"/>
        <v>0</v>
      </c>
      <c r="J282" s="3">
        <f>Data!BR282</f>
        <v>0</v>
      </c>
      <c r="K282" s="35">
        <f t="shared" si="55"/>
        <v>0</v>
      </c>
      <c r="M282" s="22">
        <f t="shared" si="56"/>
        <v>390.39999999999981</v>
      </c>
      <c r="N282" s="22">
        <f t="shared" si="56"/>
        <v>702.40000000000009</v>
      </c>
      <c r="P282" s="39"/>
      <c r="Q282" s="39"/>
      <c r="R282" s="40"/>
      <c r="S282" s="41"/>
      <c r="T282" s="41"/>
      <c r="U282" s="38"/>
    </row>
    <row r="283" spans="1:21" x14ac:dyDescent="0.2">
      <c r="A283" s="14">
        <f t="shared" si="53"/>
        <v>38994</v>
      </c>
      <c r="B283" s="1">
        <v>277</v>
      </c>
      <c r="C283" s="16">
        <f>ROUND(Data!BI283,2)</f>
        <v>15.27</v>
      </c>
      <c r="D283" s="3">
        <f>ROUND(Data!O283,1)</f>
        <v>12.9</v>
      </c>
      <c r="E283" s="3">
        <f>ROUND(Data!AA283,1)</f>
        <v>-4.3</v>
      </c>
      <c r="F283" s="3">
        <f>Data!BN283</f>
        <v>37.1</v>
      </c>
      <c r="G283" s="3">
        <f>Data!N283</f>
        <v>0</v>
      </c>
      <c r="H283" s="21">
        <f>Data!BE283</f>
        <v>0</v>
      </c>
      <c r="I283" s="13">
        <f t="shared" si="52"/>
        <v>0</v>
      </c>
      <c r="J283" s="3">
        <f>Data!BR283</f>
        <v>0</v>
      </c>
      <c r="K283" s="35">
        <f t="shared" si="55"/>
        <v>0</v>
      </c>
      <c r="M283" s="22">
        <f t="shared" si="56"/>
        <v>390.39999999999981</v>
      </c>
      <c r="N283" s="22">
        <f t="shared" si="56"/>
        <v>702.40000000000009</v>
      </c>
      <c r="P283" s="39"/>
      <c r="Q283" s="39"/>
      <c r="R283" s="40"/>
      <c r="S283" s="41"/>
      <c r="T283" s="41"/>
      <c r="U283" s="38"/>
    </row>
    <row r="284" spans="1:21" x14ac:dyDescent="0.2">
      <c r="A284" s="14">
        <f t="shared" si="53"/>
        <v>38995</v>
      </c>
      <c r="B284" s="1">
        <v>278</v>
      </c>
      <c r="C284" s="16">
        <f>ROUND(Data!BI284,2)</f>
        <v>7.68</v>
      </c>
      <c r="D284" s="3">
        <f>ROUND(Data!O284,1)</f>
        <v>13.4</v>
      </c>
      <c r="E284" s="3">
        <f>ROUND(Data!AA284,1)</f>
        <v>-3.1</v>
      </c>
      <c r="F284" s="3">
        <f>Data!BN284</f>
        <v>45.7</v>
      </c>
      <c r="G284" s="3">
        <f>Data!N284</f>
        <v>0</v>
      </c>
      <c r="H284" s="21">
        <f>Data!BE284</f>
        <v>0</v>
      </c>
      <c r="I284" s="13">
        <f t="shared" si="52"/>
        <v>0</v>
      </c>
      <c r="J284" s="3">
        <f>Data!BR284</f>
        <v>0</v>
      </c>
      <c r="K284" s="35">
        <f t="shared" si="55"/>
        <v>0</v>
      </c>
      <c r="M284" s="22">
        <f t="shared" si="56"/>
        <v>390.39999999999981</v>
      </c>
      <c r="N284" s="22">
        <f t="shared" si="56"/>
        <v>702.40000000000009</v>
      </c>
      <c r="P284" s="39"/>
      <c r="Q284" s="39"/>
      <c r="R284" s="40"/>
      <c r="S284" s="41"/>
      <c r="T284" s="41"/>
      <c r="U284" s="38"/>
    </row>
    <row r="285" spans="1:21" x14ac:dyDescent="0.2">
      <c r="A285" s="14">
        <f t="shared" si="53"/>
        <v>38996</v>
      </c>
      <c r="B285" s="1">
        <v>279</v>
      </c>
      <c r="C285" s="16">
        <f>ROUND(Data!BI285,2)</f>
        <v>8.5299999999999994</v>
      </c>
      <c r="D285" s="3">
        <f>ROUND(Data!O285,1)</f>
        <v>8.1999999999999993</v>
      </c>
      <c r="E285" s="3">
        <f>ROUND(Data!AA285,1)</f>
        <v>-2</v>
      </c>
      <c r="F285" s="3">
        <f>Data!BN285</f>
        <v>61.8</v>
      </c>
      <c r="G285" s="3">
        <f>Data!N285</f>
        <v>0</v>
      </c>
      <c r="H285" s="21">
        <f>Data!BE285</f>
        <v>0</v>
      </c>
      <c r="I285" s="13">
        <f t="shared" si="52"/>
        <v>0</v>
      </c>
      <c r="J285" s="3">
        <f>Data!BR285</f>
        <v>3</v>
      </c>
      <c r="K285" s="35">
        <f t="shared" si="55"/>
        <v>0</v>
      </c>
      <c r="M285" s="22">
        <f t="shared" si="56"/>
        <v>393.39999999999981</v>
      </c>
      <c r="N285" s="22">
        <f t="shared" si="56"/>
        <v>702.40000000000009</v>
      </c>
      <c r="P285" s="39"/>
      <c r="Q285" s="39"/>
      <c r="R285" s="40"/>
      <c r="S285" s="41"/>
      <c r="T285" s="41"/>
      <c r="U285" s="38"/>
    </row>
    <row r="286" spans="1:21" x14ac:dyDescent="0.2">
      <c r="A286" s="14">
        <f t="shared" si="53"/>
        <v>38997</v>
      </c>
      <c r="B286" s="1">
        <v>280</v>
      </c>
      <c r="C286" s="16">
        <f>ROUND(Data!BI286,2)</f>
        <v>14.46</v>
      </c>
      <c r="D286" s="3">
        <f>ROUND(Data!O286,1)</f>
        <v>5.8</v>
      </c>
      <c r="E286" s="3">
        <f>ROUND(Data!AA286,1)</f>
        <v>-6.1</v>
      </c>
      <c r="F286" s="3">
        <f>Data!BN286</f>
        <v>35.799999999999997</v>
      </c>
      <c r="G286" s="3">
        <f>Data!N286</f>
        <v>0</v>
      </c>
      <c r="H286" s="21">
        <f>Data!BE286</f>
        <v>0</v>
      </c>
      <c r="I286" s="13">
        <f t="shared" si="52"/>
        <v>0</v>
      </c>
      <c r="J286" s="3">
        <f>Data!BR286</f>
        <v>0</v>
      </c>
      <c r="K286" s="35">
        <f t="shared" si="55"/>
        <v>0</v>
      </c>
      <c r="M286" s="22">
        <f t="shared" si="56"/>
        <v>393.39999999999981</v>
      </c>
      <c r="N286" s="22">
        <f t="shared" si="56"/>
        <v>702.40000000000009</v>
      </c>
      <c r="P286" s="39"/>
      <c r="Q286" s="39"/>
      <c r="R286" s="40"/>
      <c r="S286" s="41"/>
      <c r="T286" s="41"/>
      <c r="U286" s="38"/>
    </row>
    <row r="287" spans="1:21" x14ac:dyDescent="0.2">
      <c r="A287" s="14">
        <f t="shared" si="53"/>
        <v>38998</v>
      </c>
      <c r="B287" s="1">
        <v>281</v>
      </c>
      <c r="C287" s="16">
        <f>ROUND(Data!BI287,2)</f>
        <v>13.47</v>
      </c>
      <c r="D287" s="3">
        <f>ROUND(Data!O287,1)</f>
        <v>8</v>
      </c>
      <c r="E287" s="3">
        <f>ROUND(Data!AA287,1)</f>
        <v>-6.6</v>
      </c>
      <c r="F287" s="3">
        <f>Data!BN287</f>
        <v>28.7</v>
      </c>
      <c r="G287" s="3">
        <f>Data!N287</f>
        <v>0</v>
      </c>
      <c r="H287" s="21">
        <f>Data!BE287</f>
        <v>0</v>
      </c>
      <c r="I287" s="13">
        <f t="shared" si="52"/>
        <v>0</v>
      </c>
      <c r="J287" s="3">
        <f>Data!BR287</f>
        <v>0</v>
      </c>
      <c r="K287" s="35">
        <f t="shared" si="55"/>
        <v>0</v>
      </c>
      <c r="M287" s="22">
        <f t="shared" si="56"/>
        <v>393.39999999999981</v>
      </c>
      <c r="N287" s="22">
        <f t="shared" si="56"/>
        <v>702.40000000000009</v>
      </c>
      <c r="P287" s="39"/>
      <c r="Q287" s="39"/>
      <c r="R287" s="40"/>
      <c r="S287" s="41"/>
      <c r="T287" s="41"/>
      <c r="U287" s="38"/>
    </row>
    <row r="288" spans="1:21" x14ac:dyDescent="0.2">
      <c r="A288" s="14">
        <f t="shared" si="53"/>
        <v>38999</v>
      </c>
      <c r="B288" s="1">
        <v>282</v>
      </c>
      <c r="C288" s="16">
        <f>ROUND(Data!BI288,2)</f>
        <v>14.29</v>
      </c>
      <c r="D288" s="3">
        <f>ROUND(Data!O288,1)</f>
        <v>9.1999999999999993</v>
      </c>
      <c r="E288" s="3">
        <f>ROUND(Data!AA288,1)</f>
        <v>-8.4</v>
      </c>
      <c r="F288" s="3">
        <f>Data!BN288</f>
        <v>20.8</v>
      </c>
      <c r="G288" s="3">
        <f>Data!N288</f>
        <v>0</v>
      </c>
      <c r="H288" s="21">
        <f>Data!BE288</f>
        <v>0</v>
      </c>
      <c r="I288" s="13">
        <f t="shared" si="52"/>
        <v>0</v>
      </c>
      <c r="J288" s="3">
        <f>Data!BR288</f>
        <v>0</v>
      </c>
      <c r="K288" s="35">
        <f t="shared" si="55"/>
        <v>0</v>
      </c>
      <c r="M288" s="22">
        <f t="shared" si="56"/>
        <v>393.39999999999981</v>
      </c>
      <c r="N288" s="22">
        <f t="shared" si="56"/>
        <v>702.40000000000009</v>
      </c>
      <c r="P288" s="39"/>
      <c r="Q288" s="39"/>
      <c r="R288" s="40"/>
      <c r="S288" s="41"/>
      <c r="T288" s="41"/>
      <c r="U288" s="38"/>
    </row>
    <row r="289" spans="1:21" x14ac:dyDescent="0.2">
      <c r="A289" s="14">
        <f t="shared" si="53"/>
        <v>39000</v>
      </c>
      <c r="B289" s="1">
        <v>283</v>
      </c>
      <c r="C289" s="16">
        <f>ROUND(Data!BI289,2)</f>
        <v>12.61</v>
      </c>
      <c r="D289" s="3">
        <f>ROUND(Data!O289,1)</f>
        <v>10.5</v>
      </c>
      <c r="E289" s="3">
        <f>ROUND(Data!AA289,1)</f>
        <v>-5.4</v>
      </c>
      <c r="F289" s="3">
        <f>Data!BN289</f>
        <v>35.9</v>
      </c>
      <c r="G289" s="3">
        <f>Data!N289</f>
        <v>0</v>
      </c>
      <c r="H289" s="21">
        <f>Data!BE289</f>
        <v>0</v>
      </c>
      <c r="I289" s="13">
        <f t="shared" si="52"/>
        <v>0</v>
      </c>
      <c r="J289" s="3">
        <f>Data!BR289</f>
        <v>0</v>
      </c>
      <c r="K289" s="35">
        <f t="shared" si="55"/>
        <v>0</v>
      </c>
      <c r="M289" s="22">
        <f t="shared" si="56"/>
        <v>393.39999999999981</v>
      </c>
      <c r="N289" s="22">
        <f t="shared" si="56"/>
        <v>702.40000000000009</v>
      </c>
      <c r="P289" s="39"/>
      <c r="Q289" s="39"/>
      <c r="R289" s="40"/>
      <c r="S289" s="41"/>
      <c r="T289" s="41"/>
      <c r="U289" s="38"/>
    </row>
    <row r="290" spans="1:21" x14ac:dyDescent="0.2">
      <c r="A290" s="14">
        <f t="shared" si="53"/>
        <v>39001</v>
      </c>
      <c r="B290" s="1">
        <v>284</v>
      </c>
      <c r="C290" s="16">
        <f>ROUND(Data!BI290,2)</f>
        <v>13.82</v>
      </c>
      <c r="D290" s="3">
        <f>ROUND(Data!O290,1)</f>
        <v>13.7</v>
      </c>
      <c r="E290" s="3">
        <f>ROUND(Data!AA290,1)</f>
        <v>-5</v>
      </c>
      <c r="F290" s="3">
        <f>Data!BN290</f>
        <v>35</v>
      </c>
      <c r="G290" s="3">
        <f>Data!N290</f>
        <v>0</v>
      </c>
      <c r="H290" s="21">
        <f>Data!BE290</f>
        <v>0</v>
      </c>
      <c r="I290" s="13">
        <f t="shared" si="52"/>
        <v>0</v>
      </c>
      <c r="J290" s="3">
        <f>Data!BR290</f>
        <v>0</v>
      </c>
      <c r="K290" s="35">
        <f t="shared" si="55"/>
        <v>0</v>
      </c>
      <c r="M290" s="22">
        <f t="shared" si="56"/>
        <v>393.39999999999981</v>
      </c>
      <c r="N290" s="22">
        <f t="shared" si="56"/>
        <v>702.40000000000009</v>
      </c>
      <c r="P290" s="39"/>
      <c r="Q290" s="39"/>
      <c r="R290" s="40"/>
      <c r="S290" s="41"/>
      <c r="T290" s="41"/>
      <c r="U290" s="38"/>
    </row>
    <row r="291" spans="1:21" x14ac:dyDescent="0.2">
      <c r="A291" s="14">
        <f t="shared" si="53"/>
        <v>39002</v>
      </c>
      <c r="B291" s="1">
        <v>285</v>
      </c>
      <c r="C291" s="16">
        <f>ROUND(Data!BI291,2)</f>
        <v>13.49</v>
      </c>
      <c r="D291" s="3">
        <f>ROUND(Data!O291,1)</f>
        <v>14.9</v>
      </c>
      <c r="E291" s="3">
        <f>ROUND(Data!AA291,1)</f>
        <v>-3.5</v>
      </c>
      <c r="F291" s="3">
        <f>Data!BN291</f>
        <v>33.6</v>
      </c>
      <c r="G291" s="3">
        <f>Data!N291</f>
        <v>0</v>
      </c>
      <c r="H291" s="21">
        <f>Data!BE291</f>
        <v>0</v>
      </c>
      <c r="I291" s="13">
        <f t="shared" si="52"/>
        <v>0</v>
      </c>
      <c r="J291" s="3">
        <f>Data!BR291</f>
        <v>0</v>
      </c>
      <c r="K291" s="35">
        <f t="shared" si="55"/>
        <v>0</v>
      </c>
      <c r="M291" s="22">
        <f t="shared" si="56"/>
        <v>393.39999999999981</v>
      </c>
      <c r="N291" s="22">
        <f t="shared" si="56"/>
        <v>702.40000000000009</v>
      </c>
      <c r="P291" s="39"/>
      <c r="Q291" s="39"/>
      <c r="R291" s="40"/>
      <c r="S291" s="41"/>
      <c r="T291" s="41"/>
      <c r="U291" s="38"/>
    </row>
    <row r="292" spans="1:21" x14ac:dyDescent="0.2">
      <c r="A292" s="14">
        <f t="shared" si="53"/>
        <v>39003</v>
      </c>
      <c r="B292" s="1">
        <v>286</v>
      </c>
      <c r="C292" s="16">
        <f>ROUND(Data!BI292,2)</f>
        <v>11.66</v>
      </c>
      <c r="D292" s="3">
        <f>ROUND(Data!O292,1)</f>
        <v>13.9</v>
      </c>
      <c r="E292" s="3">
        <f>ROUND(Data!AA292,1)</f>
        <v>-2.2999999999999998</v>
      </c>
      <c r="F292" s="3">
        <f>Data!BN292</f>
        <v>43.1</v>
      </c>
      <c r="G292" s="3">
        <f>Data!N292</f>
        <v>0</v>
      </c>
      <c r="H292" s="21">
        <f>Data!BE292</f>
        <v>0</v>
      </c>
      <c r="I292" s="13">
        <f t="shared" si="52"/>
        <v>0</v>
      </c>
      <c r="J292" s="3">
        <f>Data!BR292</f>
        <v>0</v>
      </c>
      <c r="K292" s="35">
        <f t="shared" si="55"/>
        <v>0</v>
      </c>
      <c r="M292" s="22">
        <f t="shared" si="56"/>
        <v>393.39999999999981</v>
      </c>
      <c r="N292" s="22">
        <f t="shared" si="56"/>
        <v>702.40000000000009</v>
      </c>
      <c r="P292" s="38"/>
      <c r="Q292" s="38"/>
      <c r="R292" s="38"/>
      <c r="S292" s="38"/>
      <c r="T292" s="38"/>
      <c r="U292" s="38"/>
    </row>
    <row r="293" spans="1:21" x14ac:dyDescent="0.2">
      <c r="A293" s="14">
        <f t="shared" si="53"/>
        <v>39004</v>
      </c>
      <c r="B293" s="1">
        <v>287</v>
      </c>
      <c r="C293" s="16">
        <f>ROUND(Data!BI293,2)</f>
        <v>7.23</v>
      </c>
      <c r="D293" s="3">
        <f>ROUND(Data!O293,1)</f>
        <v>12.4</v>
      </c>
      <c r="E293" s="3">
        <f>ROUND(Data!AA293,1)</f>
        <v>-3.3</v>
      </c>
      <c r="F293" s="3">
        <f>Data!BN293</f>
        <v>40.1</v>
      </c>
      <c r="G293" s="3">
        <f>Data!N293</f>
        <v>5</v>
      </c>
      <c r="H293" s="21">
        <f>Data!BE293</f>
        <v>0</v>
      </c>
      <c r="I293" s="13">
        <f t="shared" si="52"/>
        <v>0</v>
      </c>
      <c r="J293" s="3">
        <f>Data!BR293</f>
        <v>3.8</v>
      </c>
      <c r="K293" s="35">
        <f t="shared" si="55"/>
        <v>5</v>
      </c>
      <c r="M293" s="22">
        <f t="shared" si="56"/>
        <v>397.19999999999982</v>
      </c>
      <c r="N293" s="22">
        <f t="shared" si="56"/>
        <v>707.40000000000009</v>
      </c>
      <c r="P293" s="38"/>
      <c r="Q293" s="38"/>
      <c r="R293" s="38"/>
      <c r="S293" s="38"/>
      <c r="T293" s="38"/>
      <c r="U293" s="38"/>
    </row>
    <row r="294" spans="1:21" x14ac:dyDescent="0.2">
      <c r="A294" s="14">
        <f t="shared" si="53"/>
        <v>39005</v>
      </c>
      <c r="B294" s="1">
        <v>288</v>
      </c>
      <c r="C294" s="16">
        <f>ROUND(Data!BI294,2)</f>
        <v>3.08</v>
      </c>
      <c r="D294" s="3">
        <f>ROUND(Data!O294,1)</f>
        <v>4.5999999999999996</v>
      </c>
      <c r="E294" s="3">
        <f>ROUND(Data!AA294,1)</f>
        <v>-1</v>
      </c>
      <c r="F294" s="3">
        <f>Data!BN294</f>
        <v>93.1</v>
      </c>
      <c r="G294" s="3">
        <f>Data!N294</f>
        <v>7</v>
      </c>
      <c r="H294" s="21">
        <f>Data!BE294</f>
        <v>0</v>
      </c>
      <c r="I294" s="13">
        <f t="shared" si="52"/>
        <v>0</v>
      </c>
      <c r="J294" s="3">
        <f>Data!BR294</f>
        <v>9.1999999999999993</v>
      </c>
      <c r="K294" s="35">
        <f t="shared" si="55"/>
        <v>7</v>
      </c>
      <c r="M294" s="22">
        <f t="shared" si="56"/>
        <v>406.39999999999981</v>
      </c>
      <c r="N294" s="22">
        <f t="shared" si="56"/>
        <v>714.40000000000009</v>
      </c>
      <c r="P294" s="38"/>
      <c r="Q294" s="38"/>
      <c r="R294" s="38"/>
      <c r="S294" s="38"/>
      <c r="T294" s="38"/>
      <c r="U294" s="38"/>
    </row>
    <row r="295" spans="1:21" x14ac:dyDescent="0.2">
      <c r="A295" s="14">
        <f t="shared" si="53"/>
        <v>39006</v>
      </c>
      <c r="B295" s="1">
        <v>289</v>
      </c>
      <c r="C295" s="16">
        <f>ROUND(Data!BI295,2)</f>
        <v>3.05</v>
      </c>
      <c r="D295" s="3">
        <f>ROUND(Data!O295,1)</f>
        <v>3.9</v>
      </c>
      <c r="E295" s="3">
        <f>ROUND(Data!AA295,1)</f>
        <v>-2.5</v>
      </c>
      <c r="F295" s="3">
        <f>Data!BN295</f>
        <v>93.6</v>
      </c>
      <c r="G295" s="3">
        <f>Data!N295</f>
        <v>2</v>
      </c>
      <c r="H295" s="21">
        <f>Data!BE295</f>
        <v>0</v>
      </c>
      <c r="I295" s="13">
        <f t="shared" si="52"/>
        <v>0</v>
      </c>
      <c r="J295" s="3">
        <f>Data!BR295</f>
        <v>0</v>
      </c>
      <c r="K295" s="35">
        <f t="shared" si="55"/>
        <v>2</v>
      </c>
      <c r="M295" s="22">
        <f t="shared" si="56"/>
        <v>406.39999999999981</v>
      </c>
      <c r="N295" s="22">
        <f t="shared" si="56"/>
        <v>716.40000000000009</v>
      </c>
      <c r="P295" s="38"/>
      <c r="Q295" s="38"/>
      <c r="R295" s="38"/>
      <c r="S295" s="38"/>
      <c r="T295" s="38"/>
      <c r="U295" s="38"/>
    </row>
    <row r="296" spans="1:21" x14ac:dyDescent="0.2">
      <c r="A296" s="14">
        <f t="shared" si="53"/>
        <v>39007</v>
      </c>
      <c r="B296" s="1">
        <v>290</v>
      </c>
      <c r="C296" s="16">
        <f>ROUND(Data!BI296,2)</f>
        <v>3.23</v>
      </c>
      <c r="D296" s="3">
        <f>ROUND(Data!O296,1)</f>
        <v>-0.7</v>
      </c>
      <c r="E296" s="3">
        <f>ROUND(Data!AA296,1)</f>
        <v>-3</v>
      </c>
      <c r="F296" s="3">
        <f>Data!BN296</f>
        <v>79.7</v>
      </c>
      <c r="G296" s="3">
        <f>Data!N296</f>
        <v>0</v>
      </c>
      <c r="H296" s="21">
        <f>Data!BE296</f>
        <v>0</v>
      </c>
      <c r="I296" s="13">
        <f t="shared" si="52"/>
        <v>0</v>
      </c>
      <c r="J296" s="3">
        <f>Data!BR296</f>
        <v>0</v>
      </c>
      <c r="K296" s="35">
        <f t="shared" si="55"/>
        <v>0</v>
      </c>
      <c r="M296" s="22">
        <f t="shared" si="56"/>
        <v>406.39999999999981</v>
      </c>
      <c r="N296" s="22">
        <f t="shared" si="56"/>
        <v>716.40000000000009</v>
      </c>
      <c r="P296" s="39"/>
      <c r="Q296" s="39"/>
      <c r="R296" s="40"/>
      <c r="S296" s="41"/>
      <c r="T296" s="41"/>
      <c r="U296" s="38"/>
    </row>
    <row r="297" spans="1:21" x14ac:dyDescent="0.2">
      <c r="A297" s="14">
        <f t="shared" si="53"/>
        <v>39008</v>
      </c>
      <c r="B297" s="1">
        <v>291</v>
      </c>
      <c r="C297" s="16">
        <f>ROUND(Data!BI297,2)</f>
        <v>1.52</v>
      </c>
      <c r="D297" s="3">
        <f>ROUND(Data!O297,1)</f>
        <v>3.2</v>
      </c>
      <c r="E297" s="3">
        <f>ROUND(Data!AA297,1)</f>
        <v>-2.7</v>
      </c>
      <c r="F297" s="3">
        <f>Data!BN297</f>
        <v>96.5</v>
      </c>
      <c r="G297" s="3">
        <f>Data!N297</f>
        <v>1</v>
      </c>
      <c r="H297" s="21">
        <f>Data!BE297</f>
        <v>0</v>
      </c>
      <c r="I297" s="13">
        <f t="shared" si="52"/>
        <v>0</v>
      </c>
      <c r="J297" s="3">
        <f>Data!BR297</f>
        <v>1.2</v>
      </c>
      <c r="K297" s="35">
        <f t="shared" si="55"/>
        <v>1</v>
      </c>
      <c r="M297" s="22">
        <f t="shared" ref="M297:N312" si="57">J297+M296</f>
        <v>407.5999999999998</v>
      </c>
      <c r="N297" s="22">
        <f t="shared" si="57"/>
        <v>717.40000000000009</v>
      </c>
      <c r="P297" s="39"/>
      <c r="Q297" s="39"/>
      <c r="R297" s="40"/>
      <c r="S297" s="41"/>
      <c r="T297" s="41"/>
      <c r="U297" s="38"/>
    </row>
    <row r="298" spans="1:21" x14ac:dyDescent="0.2">
      <c r="A298" s="14">
        <f t="shared" si="53"/>
        <v>39009</v>
      </c>
      <c r="B298" s="1">
        <v>292</v>
      </c>
      <c r="C298" s="16">
        <f>ROUND(Data!BI298,2)</f>
        <v>2.3199999999999998</v>
      </c>
      <c r="D298" s="3">
        <f>ROUND(Data!O298,1)</f>
        <v>5</v>
      </c>
      <c r="E298" s="3">
        <f>ROUND(Data!AA298,1)</f>
        <v>-0.7</v>
      </c>
      <c r="F298" s="3">
        <f>Data!BN298</f>
        <v>80.099999999999994</v>
      </c>
      <c r="G298" s="3">
        <f>Data!N298</f>
        <v>2</v>
      </c>
      <c r="H298" s="21">
        <f>Data!BE298</f>
        <v>0</v>
      </c>
      <c r="I298" s="13">
        <f t="shared" si="52"/>
        <v>0</v>
      </c>
      <c r="J298" s="3">
        <f>Data!BR298</f>
        <v>5.8</v>
      </c>
      <c r="K298" s="35">
        <f t="shared" si="55"/>
        <v>2</v>
      </c>
      <c r="M298" s="22">
        <f t="shared" si="57"/>
        <v>413.39999999999981</v>
      </c>
      <c r="N298" s="22">
        <f t="shared" si="57"/>
        <v>719.40000000000009</v>
      </c>
      <c r="P298" s="39"/>
      <c r="Q298" s="39"/>
      <c r="R298" s="40"/>
      <c r="S298" s="41"/>
      <c r="T298" s="41"/>
      <c r="U298" s="38"/>
    </row>
    <row r="299" spans="1:21" x14ac:dyDescent="0.2">
      <c r="A299" s="14">
        <f t="shared" si="53"/>
        <v>39010</v>
      </c>
      <c r="B299" s="1">
        <v>293</v>
      </c>
      <c r="C299" s="16">
        <f>ROUND(Data!BI299,2)</f>
        <v>6.28</v>
      </c>
      <c r="D299" s="3">
        <f>ROUND(Data!O299,1)</f>
        <v>5.2</v>
      </c>
      <c r="E299" s="3">
        <f>ROUND(Data!AA299,1)</f>
        <v>-4.8</v>
      </c>
      <c r="F299" s="3">
        <f>Data!BN299</f>
        <v>62.4</v>
      </c>
      <c r="G299" s="3">
        <f>Data!N299</f>
        <v>0</v>
      </c>
      <c r="H299" s="21">
        <f>Data!BE299</f>
        <v>0</v>
      </c>
      <c r="I299" s="13">
        <f t="shared" si="52"/>
        <v>0</v>
      </c>
      <c r="J299" s="3">
        <f>Data!BR299</f>
        <v>0.2</v>
      </c>
      <c r="K299" s="35">
        <f t="shared" si="55"/>
        <v>0</v>
      </c>
      <c r="M299" s="22">
        <f t="shared" si="57"/>
        <v>413.5999999999998</v>
      </c>
      <c r="N299" s="22">
        <f t="shared" si="57"/>
        <v>719.40000000000009</v>
      </c>
      <c r="P299" s="39"/>
      <c r="Q299" s="39"/>
      <c r="R299" s="40"/>
      <c r="S299" s="41"/>
      <c r="T299" s="41"/>
      <c r="U299" s="38"/>
    </row>
    <row r="300" spans="1:21" x14ac:dyDescent="0.2">
      <c r="A300" s="14">
        <f t="shared" si="53"/>
        <v>39011</v>
      </c>
      <c r="B300" s="1">
        <v>294</v>
      </c>
      <c r="C300" s="16">
        <f>ROUND(Data!BI300,2)</f>
        <v>11.13</v>
      </c>
      <c r="D300" s="3">
        <f>ROUND(Data!O300,1)</f>
        <v>6.6</v>
      </c>
      <c r="E300" s="3">
        <f>ROUND(Data!AA300,1)</f>
        <v>-6.7</v>
      </c>
      <c r="F300" s="3">
        <f>Data!BN300</f>
        <v>56.1</v>
      </c>
      <c r="G300" s="3">
        <f>Data!N300</f>
        <v>0</v>
      </c>
      <c r="H300" s="21">
        <f>Data!BE300</f>
        <v>0</v>
      </c>
      <c r="I300" s="13">
        <f t="shared" si="52"/>
        <v>0</v>
      </c>
      <c r="J300" s="3">
        <f>Data!BR300</f>
        <v>0.2</v>
      </c>
      <c r="K300" s="35">
        <f t="shared" si="55"/>
        <v>0</v>
      </c>
      <c r="M300" s="22">
        <f t="shared" si="57"/>
        <v>413.79999999999978</v>
      </c>
      <c r="N300" s="22">
        <f t="shared" si="57"/>
        <v>719.40000000000009</v>
      </c>
      <c r="P300" s="39"/>
      <c r="Q300" s="39"/>
      <c r="R300" s="40"/>
      <c r="S300" s="41"/>
      <c r="T300" s="41"/>
      <c r="U300" s="38"/>
    </row>
    <row r="301" spans="1:21" x14ac:dyDescent="0.2">
      <c r="A301" s="14">
        <f t="shared" si="53"/>
        <v>39012</v>
      </c>
      <c r="B301" s="1">
        <v>295</v>
      </c>
      <c r="C301" s="16">
        <f>ROUND(Data!BI301,2)</f>
        <v>10.37</v>
      </c>
      <c r="D301" s="3">
        <f>ROUND(Data!O301,1)</f>
        <v>9.8000000000000007</v>
      </c>
      <c r="E301" s="3">
        <f>ROUND(Data!AA301,1)</f>
        <v>-6.3</v>
      </c>
      <c r="F301" s="3">
        <f>Data!BN301</f>
        <v>24.3</v>
      </c>
      <c r="G301" s="3">
        <f>Data!N301</f>
        <v>0</v>
      </c>
      <c r="H301" s="21">
        <f>Data!BE301</f>
        <v>0</v>
      </c>
      <c r="I301" s="13">
        <f t="shared" si="52"/>
        <v>0</v>
      </c>
      <c r="J301" s="3">
        <f>Data!BR301</f>
        <v>0</v>
      </c>
      <c r="K301" s="35">
        <f t="shared" si="55"/>
        <v>0</v>
      </c>
      <c r="M301" s="22">
        <f t="shared" si="57"/>
        <v>413.79999999999978</v>
      </c>
      <c r="N301" s="22">
        <f t="shared" si="57"/>
        <v>719.40000000000009</v>
      </c>
      <c r="P301" s="39"/>
      <c r="Q301" s="39"/>
      <c r="R301" s="40"/>
      <c r="S301" s="41"/>
      <c r="T301" s="41"/>
      <c r="U301" s="38"/>
    </row>
    <row r="302" spans="1:21" x14ac:dyDescent="0.2">
      <c r="A302" s="14">
        <f t="shared" si="53"/>
        <v>39013</v>
      </c>
      <c r="B302" s="1">
        <v>296</v>
      </c>
      <c r="C302" s="16">
        <f>ROUND(Data!BI302,2)</f>
        <v>9.07</v>
      </c>
      <c r="D302" s="3">
        <f>ROUND(Data!O302,1)</f>
        <v>6.7</v>
      </c>
      <c r="E302" s="3">
        <f>ROUND(Data!AA302,1)</f>
        <v>-4.5</v>
      </c>
      <c r="F302" s="3">
        <f>Data!BN302</f>
        <v>48.1</v>
      </c>
      <c r="G302" s="3">
        <f>Data!N302</f>
        <v>0</v>
      </c>
      <c r="H302" s="21">
        <f>Data!BE302</f>
        <v>0</v>
      </c>
      <c r="I302" s="13">
        <f t="shared" si="52"/>
        <v>0</v>
      </c>
      <c r="J302" s="3">
        <f>Data!BR302</f>
        <v>0</v>
      </c>
      <c r="K302" s="35">
        <f t="shared" si="55"/>
        <v>0</v>
      </c>
      <c r="M302" s="22">
        <f t="shared" si="57"/>
        <v>413.79999999999978</v>
      </c>
      <c r="N302" s="22">
        <f t="shared" si="57"/>
        <v>719.40000000000009</v>
      </c>
      <c r="P302" s="39"/>
      <c r="Q302" s="39"/>
      <c r="R302" s="40"/>
      <c r="S302" s="41"/>
      <c r="T302" s="41"/>
      <c r="U302" s="38"/>
    </row>
    <row r="303" spans="1:21" x14ac:dyDescent="0.2">
      <c r="A303" s="14">
        <f t="shared" si="53"/>
        <v>39014</v>
      </c>
      <c r="B303" s="1">
        <v>297</v>
      </c>
      <c r="C303" s="16">
        <f>ROUND(Data!BI303,2)</f>
        <v>2.99</v>
      </c>
      <c r="D303" s="3">
        <f>ROUND(Data!O303,1)</f>
        <v>3.3</v>
      </c>
      <c r="E303" s="3">
        <f>ROUND(Data!AA303,1)</f>
        <v>-2.7</v>
      </c>
      <c r="F303" s="3">
        <f>Data!BN303</f>
        <v>60.2</v>
      </c>
      <c r="G303" s="3">
        <f>Data!N303</f>
        <v>0</v>
      </c>
      <c r="H303" s="21">
        <f>Data!BE303</f>
        <v>0</v>
      </c>
      <c r="I303" s="13">
        <f t="shared" si="52"/>
        <v>0</v>
      </c>
      <c r="J303" s="3">
        <f>Data!BR303</f>
        <v>2</v>
      </c>
      <c r="K303" s="35">
        <f t="shared" si="55"/>
        <v>0</v>
      </c>
      <c r="M303" s="22">
        <f t="shared" si="57"/>
        <v>415.79999999999978</v>
      </c>
      <c r="N303" s="22">
        <f t="shared" si="57"/>
        <v>719.40000000000009</v>
      </c>
      <c r="P303" s="39"/>
      <c r="Q303" s="39"/>
      <c r="R303" s="40"/>
      <c r="S303" s="41"/>
      <c r="T303" s="41"/>
      <c r="U303" s="38"/>
    </row>
    <row r="304" spans="1:21" x14ac:dyDescent="0.2">
      <c r="A304" s="14">
        <f t="shared" si="53"/>
        <v>39015</v>
      </c>
      <c r="B304" s="1">
        <v>298</v>
      </c>
      <c r="C304" s="16">
        <f>ROUND(Data!BI304,2)</f>
        <v>5.28</v>
      </c>
      <c r="D304" s="3">
        <f>ROUND(Data!O304,1)</f>
        <v>1.4</v>
      </c>
      <c r="E304" s="3">
        <f>ROUND(Data!AA304,1)</f>
        <v>-6.7</v>
      </c>
      <c r="F304" s="3">
        <f>Data!BN304</f>
        <v>62</v>
      </c>
      <c r="G304" s="3">
        <f>Data!N304</f>
        <v>1</v>
      </c>
      <c r="H304" s="21">
        <f>Data!BE304</f>
        <v>0</v>
      </c>
      <c r="I304" s="13">
        <f t="shared" si="52"/>
        <v>0</v>
      </c>
      <c r="J304" s="3">
        <f>Data!BR304</f>
        <v>0.2</v>
      </c>
      <c r="K304" s="35">
        <f t="shared" si="55"/>
        <v>1</v>
      </c>
      <c r="M304" s="22">
        <f t="shared" si="57"/>
        <v>415.99999999999977</v>
      </c>
      <c r="N304" s="22">
        <f t="shared" si="57"/>
        <v>720.40000000000009</v>
      </c>
      <c r="P304" s="24"/>
      <c r="Q304" s="24"/>
      <c r="R304" s="21"/>
      <c r="S304" s="22"/>
      <c r="T304" s="22"/>
    </row>
    <row r="305" spans="1:20" x14ac:dyDescent="0.2">
      <c r="A305" s="14">
        <f t="shared" si="53"/>
        <v>39016</v>
      </c>
      <c r="B305" s="1">
        <v>299</v>
      </c>
      <c r="C305" s="16">
        <f>ROUND(Data!BI305,2)</f>
        <v>1.08</v>
      </c>
      <c r="D305" s="3">
        <f>ROUND(Data!O305,1)</f>
        <v>3.1</v>
      </c>
      <c r="E305" s="3">
        <f>ROUND(Data!AA305,1)</f>
        <v>-0.3</v>
      </c>
      <c r="F305" s="3">
        <f>Data!BN305</f>
        <v>74.8</v>
      </c>
      <c r="G305" s="3">
        <f>Data!N305</f>
        <v>1</v>
      </c>
      <c r="H305" s="21">
        <f>Data!BE305</f>
        <v>0</v>
      </c>
      <c r="I305" s="13">
        <f t="shared" si="52"/>
        <v>0</v>
      </c>
      <c r="J305" s="3">
        <f>Data!BR305</f>
        <v>4</v>
      </c>
      <c r="K305" s="35">
        <f t="shared" si="55"/>
        <v>1</v>
      </c>
      <c r="M305" s="22">
        <f t="shared" si="57"/>
        <v>419.99999999999977</v>
      </c>
      <c r="N305" s="22">
        <f t="shared" si="57"/>
        <v>721.40000000000009</v>
      </c>
      <c r="P305" s="24"/>
      <c r="Q305" s="24"/>
      <c r="R305" s="21"/>
      <c r="S305" s="22"/>
      <c r="T305" s="22"/>
    </row>
    <row r="306" spans="1:20" x14ac:dyDescent="0.2">
      <c r="A306" s="14">
        <f t="shared" si="53"/>
        <v>39017</v>
      </c>
      <c r="B306" s="1">
        <v>300</v>
      </c>
      <c r="C306" s="16">
        <f>ROUND(Data!BI306,2)</f>
        <v>4.5199999999999996</v>
      </c>
      <c r="D306" s="3">
        <f>ROUND(Data!O306,1)</f>
        <v>7.1</v>
      </c>
      <c r="E306" s="3">
        <f>ROUND(Data!AA306,1)</f>
        <v>2.4</v>
      </c>
      <c r="F306" s="3">
        <f>Data!BN306</f>
        <v>71.099999999999994</v>
      </c>
      <c r="G306" s="3">
        <f>Data!N306</f>
        <v>2</v>
      </c>
      <c r="H306" s="21">
        <f>Data!BE306</f>
        <v>0</v>
      </c>
      <c r="I306" s="13">
        <f t="shared" si="52"/>
        <v>0</v>
      </c>
      <c r="J306" s="3">
        <f>Data!BR306</f>
        <v>1.8</v>
      </c>
      <c r="K306" s="35">
        <f t="shared" si="55"/>
        <v>2</v>
      </c>
      <c r="M306" s="22">
        <f t="shared" si="57"/>
        <v>421.79999999999978</v>
      </c>
      <c r="N306" s="22">
        <f t="shared" si="57"/>
        <v>723.40000000000009</v>
      </c>
      <c r="P306" s="34">
        <v>1</v>
      </c>
      <c r="Q306" s="24"/>
      <c r="R306" s="21">
        <f t="shared" ref="R306:R307" si="58">Q306*H306</f>
        <v>0</v>
      </c>
      <c r="S306" s="22"/>
      <c r="T306" s="22"/>
    </row>
    <row r="307" spans="1:20" x14ac:dyDescent="0.2">
      <c r="A307" s="14">
        <f t="shared" si="53"/>
        <v>39018</v>
      </c>
      <c r="B307" s="1">
        <v>301</v>
      </c>
      <c r="C307" s="16">
        <f>ROUND(Data!BI307,2)</f>
        <v>3.58</v>
      </c>
      <c r="D307" s="3">
        <f>ROUND(Data!O307,1)</f>
        <v>5</v>
      </c>
      <c r="E307" s="3">
        <f>ROUND(Data!AA307,1)</f>
        <v>1.4</v>
      </c>
      <c r="F307" s="3">
        <f>Data!BN307</f>
        <v>68.2</v>
      </c>
      <c r="G307" s="3">
        <f>Data!N307</f>
        <v>0</v>
      </c>
      <c r="H307" s="21">
        <f>Data!BE307</f>
        <v>60</v>
      </c>
      <c r="I307" s="13">
        <f t="shared" si="52"/>
        <v>7.8</v>
      </c>
      <c r="J307" s="3">
        <f>Data!BR307</f>
        <v>0.8</v>
      </c>
      <c r="K307" s="32">
        <f t="shared" ref="K307:K331" si="59">I307</f>
        <v>7.8</v>
      </c>
      <c r="M307" s="22">
        <f t="shared" si="57"/>
        <v>422.5999999999998</v>
      </c>
      <c r="N307" s="22">
        <f t="shared" si="57"/>
        <v>731.2</v>
      </c>
      <c r="P307" s="24">
        <f t="shared" ref="P307:P370" si="60">(R306+K307)/H307</f>
        <v>0.13</v>
      </c>
      <c r="Q307" s="24">
        <f t="shared" ref="Q307" si="61">IF(P307&gt;Q$1,Q$1,P307)</f>
        <v>0.13</v>
      </c>
      <c r="R307" s="21">
        <f t="shared" si="58"/>
        <v>7.8000000000000007</v>
      </c>
      <c r="S307" s="22">
        <f t="shared" ref="S307" si="62">R307-R306</f>
        <v>7.8000000000000007</v>
      </c>
      <c r="T307" s="22">
        <f t="shared" ref="T307" si="63">K307-S307</f>
        <v>0</v>
      </c>
    </row>
    <row r="308" spans="1:20" x14ac:dyDescent="0.2">
      <c r="A308" s="14">
        <f t="shared" si="53"/>
        <v>39019</v>
      </c>
      <c r="B308" s="1">
        <v>302</v>
      </c>
      <c r="C308" s="16">
        <f>ROUND(Data!BI308,2)</f>
        <v>0.68</v>
      </c>
      <c r="D308" s="3">
        <f>ROUND(Data!O308,1)</f>
        <v>1.4</v>
      </c>
      <c r="E308" s="3">
        <f>ROUND(Data!AA308,1)</f>
        <v>-11.2</v>
      </c>
      <c r="F308" s="3">
        <f>Data!BN308</f>
        <v>91.7</v>
      </c>
      <c r="G308" s="3">
        <f>Data!N308</f>
        <v>0</v>
      </c>
      <c r="H308" s="21">
        <f>Data!BE308</f>
        <v>115</v>
      </c>
      <c r="I308" s="13">
        <f t="shared" si="52"/>
        <v>7.2</v>
      </c>
      <c r="J308" s="3">
        <f>Data!BR308</f>
        <v>1.4</v>
      </c>
      <c r="K308" s="32">
        <f t="shared" si="59"/>
        <v>7.2</v>
      </c>
      <c r="M308" s="22">
        <f t="shared" si="57"/>
        <v>423.99999999999977</v>
      </c>
      <c r="N308" s="22">
        <f t="shared" si="57"/>
        <v>738.40000000000009</v>
      </c>
      <c r="P308" s="24">
        <f t="shared" si="60"/>
        <v>0.13043478260869565</v>
      </c>
      <c r="Q308" s="24">
        <f t="shared" ref="Q308:Q360" si="64">IF(P308&gt;Q$1,Q$1,P308)</f>
        <v>0.13043478260869565</v>
      </c>
      <c r="R308" s="21">
        <f t="shared" ref="R308:R359" si="65">Q308*H308</f>
        <v>15</v>
      </c>
      <c r="S308" s="22">
        <f t="shared" ref="S308:S360" si="66">R308-R307</f>
        <v>7.1999999999999993</v>
      </c>
      <c r="T308" s="22">
        <f t="shared" ref="T308:T360" si="67">K308-S308</f>
        <v>0</v>
      </c>
    </row>
    <row r="309" spans="1:20" x14ac:dyDescent="0.2">
      <c r="A309" s="14">
        <f t="shared" si="53"/>
        <v>39020</v>
      </c>
      <c r="B309" s="1">
        <v>303</v>
      </c>
      <c r="C309" s="16">
        <f>ROUND(Data!BI309,2)</f>
        <v>3.5</v>
      </c>
      <c r="D309" s="3">
        <f>ROUND(Data!O309,1)</f>
        <v>-7.4</v>
      </c>
      <c r="E309" s="3">
        <f>ROUND(Data!AA309,1)</f>
        <v>-18.100000000000001</v>
      </c>
      <c r="F309" s="3">
        <f>Data!BN309</f>
        <v>77.599999999999994</v>
      </c>
      <c r="G309" s="3">
        <f>Data!N309</f>
        <v>0</v>
      </c>
      <c r="H309" s="21">
        <f>Data!BE309</f>
        <v>90</v>
      </c>
      <c r="I309" s="13">
        <f t="shared" si="52"/>
        <v>0</v>
      </c>
      <c r="J309" s="3">
        <f>Data!BR309</f>
        <v>3.2</v>
      </c>
      <c r="K309" s="32">
        <f t="shared" si="59"/>
        <v>0</v>
      </c>
      <c r="M309" s="22">
        <f t="shared" si="57"/>
        <v>427.19999999999976</v>
      </c>
      <c r="N309" s="22">
        <f t="shared" si="57"/>
        <v>738.40000000000009</v>
      </c>
      <c r="P309" s="24">
        <f t="shared" si="60"/>
        <v>0.16666666666666666</v>
      </c>
      <c r="Q309" s="24">
        <f t="shared" si="64"/>
        <v>0.16666666666666666</v>
      </c>
      <c r="R309" s="21">
        <f t="shared" si="65"/>
        <v>15</v>
      </c>
      <c r="S309" s="22">
        <f t="shared" si="66"/>
        <v>0</v>
      </c>
      <c r="T309" s="22">
        <f t="shared" si="67"/>
        <v>0</v>
      </c>
    </row>
    <row r="310" spans="1:20" x14ac:dyDescent="0.2">
      <c r="A310" s="14">
        <f t="shared" si="53"/>
        <v>39021</v>
      </c>
      <c r="B310" s="1">
        <v>304</v>
      </c>
      <c r="C310" s="16">
        <f>ROUND(Data!BI310,2)</f>
        <v>3.25</v>
      </c>
      <c r="D310" s="3">
        <f>ROUND(Data!O310,1)</f>
        <v>-7.3</v>
      </c>
      <c r="E310" s="3">
        <f>ROUND(Data!AA310,1)</f>
        <v>-17.7</v>
      </c>
      <c r="F310" s="3">
        <f>Data!BN310</f>
        <v>66.8</v>
      </c>
      <c r="G310" s="3">
        <f>Data!N310</f>
        <v>0</v>
      </c>
      <c r="H310" s="21">
        <f>Data!BE310</f>
        <v>88</v>
      </c>
      <c r="I310" s="13">
        <f t="shared" si="52"/>
        <v>0</v>
      </c>
      <c r="J310" s="3">
        <f>Data!BR310</f>
        <v>0.2</v>
      </c>
      <c r="K310" s="32">
        <f t="shared" si="59"/>
        <v>0</v>
      </c>
      <c r="M310" s="22">
        <f t="shared" si="57"/>
        <v>427.39999999999975</v>
      </c>
      <c r="N310" s="22">
        <f t="shared" si="57"/>
        <v>738.40000000000009</v>
      </c>
      <c r="P310" s="24">
        <f t="shared" si="60"/>
        <v>0.17045454545454544</v>
      </c>
      <c r="Q310" s="24">
        <f t="shared" si="64"/>
        <v>0.17045454545454544</v>
      </c>
      <c r="R310" s="21">
        <f t="shared" si="65"/>
        <v>14.999999999999998</v>
      </c>
      <c r="S310" s="22">
        <f t="shared" si="66"/>
        <v>0</v>
      </c>
      <c r="T310" s="22">
        <f t="shared" si="67"/>
        <v>0</v>
      </c>
    </row>
    <row r="311" spans="1:20" x14ac:dyDescent="0.2">
      <c r="A311" s="14">
        <f t="shared" si="53"/>
        <v>39022</v>
      </c>
      <c r="B311" s="1">
        <v>305</v>
      </c>
      <c r="C311" s="16">
        <f>ROUND(Data!BI311,2)</f>
        <v>7.33</v>
      </c>
      <c r="D311" s="3">
        <f>ROUND(Data!O311,1)</f>
        <v>-1.5</v>
      </c>
      <c r="E311" s="3">
        <f>ROUND(Data!AA311,1)</f>
        <v>-18.899999999999999</v>
      </c>
      <c r="F311" s="3">
        <f>Data!BN311</f>
        <v>58.7</v>
      </c>
      <c r="G311" s="3">
        <f>Data!N311</f>
        <v>0</v>
      </c>
      <c r="H311" s="21">
        <f>Data!BE311</f>
        <v>90</v>
      </c>
      <c r="I311" s="13">
        <f t="shared" si="52"/>
        <v>0.3</v>
      </c>
      <c r="J311" s="3">
        <f>Data!BR311</f>
        <v>1.8</v>
      </c>
      <c r="K311" s="32">
        <f t="shared" si="59"/>
        <v>0.3</v>
      </c>
      <c r="M311" s="22">
        <f t="shared" si="57"/>
        <v>429.19999999999976</v>
      </c>
      <c r="N311" s="22">
        <f t="shared" si="57"/>
        <v>738.7</v>
      </c>
      <c r="P311" s="24">
        <f t="shared" si="60"/>
        <v>0.16999999999999998</v>
      </c>
      <c r="Q311" s="24">
        <f t="shared" si="64"/>
        <v>0.16999999999999998</v>
      </c>
      <c r="R311" s="21">
        <f t="shared" si="65"/>
        <v>15.299999999999999</v>
      </c>
      <c r="S311" s="22">
        <f t="shared" si="66"/>
        <v>0.30000000000000071</v>
      </c>
      <c r="T311" s="22">
        <f t="shared" si="67"/>
        <v>-7.2164496600635175E-16</v>
      </c>
    </row>
    <row r="312" spans="1:20" x14ac:dyDescent="0.2">
      <c r="A312" s="14">
        <f t="shared" si="53"/>
        <v>39023</v>
      </c>
      <c r="B312" s="1">
        <v>306</v>
      </c>
      <c r="C312" s="16">
        <f>ROUND(Data!BI312,2)</f>
        <v>2.46</v>
      </c>
      <c r="D312" s="3">
        <f>ROUND(Data!O312,1)</f>
        <v>-1.4</v>
      </c>
      <c r="E312" s="3">
        <f>ROUND(Data!AA312,1)</f>
        <v>-10.199999999999999</v>
      </c>
      <c r="F312" s="3">
        <f>Data!BN312</f>
        <v>42.8</v>
      </c>
      <c r="G312" s="3">
        <f>Data!N312</f>
        <v>0</v>
      </c>
      <c r="H312" s="21">
        <f>Data!BE312</f>
        <v>154</v>
      </c>
      <c r="I312" s="13">
        <f t="shared" si="52"/>
        <v>8.3000000000000007</v>
      </c>
      <c r="J312" s="3">
        <f>Data!BR312</f>
        <v>0</v>
      </c>
      <c r="K312" s="32">
        <f t="shared" si="59"/>
        <v>8.3000000000000007</v>
      </c>
      <c r="M312" s="22">
        <f t="shared" si="57"/>
        <v>429.19999999999976</v>
      </c>
      <c r="N312" s="22">
        <f t="shared" si="57"/>
        <v>747</v>
      </c>
      <c r="P312" s="24">
        <f t="shared" si="60"/>
        <v>0.15324675324675324</v>
      </c>
      <c r="Q312" s="24">
        <f t="shared" si="64"/>
        <v>0.15324675324675324</v>
      </c>
      <c r="R312" s="21">
        <f t="shared" si="65"/>
        <v>23.599999999999998</v>
      </c>
      <c r="S312" s="22">
        <f t="shared" si="66"/>
        <v>8.2999999999999989</v>
      </c>
      <c r="T312" s="22">
        <f t="shared" si="67"/>
        <v>0</v>
      </c>
    </row>
    <row r="313" spans="1:20" x14ac:dyDescent="0.2">
      <c r="A313" s="14">
        <f t="shared" si="53"/>
        <v>39024</v>
      </c>
      <c r="B313" s="1">
        <v>307</v>
      </c>
      <c r="C313" s="16">
        <f>ROUND(Data!BI313,2)</f>
        <v>0.23</v>
      </c>
      <c r="D313" s="3">
        <f>ROUND(Data!O313,1)</f>
        <v>1.5</v>
      </c>
      <c r="E313" s="3">
        <f>ROUND(Data!AA313,1)</f>
        <v>-4.0999999999999996</v>
      </c>
      <c r="F313" s="3">
        <f>Data!BN313</f>
        <v>92.8</v>
      </c>
      <c r="G313" s="3">
        <f>Data!N313</f>
        <v>0</v>
      </c>
      <c r="H313" s="21">
        <f>Data!BE313</f>
        <v>245</v>
      </c>
      <c r="I313" s="13">
        <f t="shared" si="52"/>
        <v>11.8</v>
      </c>
      <c r="J313" s="3">
        <f>Data!BR313</f>
        <v>0</v>
      </c>
      <c r="K313" s="33">
        <f t="shared" ref="K313:K320" si="68">ROUND(J313*L$3,1)</f>
        <v>0</v>
      </c>
      <c r="M313" s="22">
        <f t="shared" ref="M313:N328" si="69">J313+M312</f>
        <v>429.19999999999976</v>
      </c>
      <c r="N313" s="22">
        <f t="shared" si="69"/>
        <v>747</v>
      </c>
      <c r="P313" s="24">
        <f t="shared" si="60"/>
        <v>9.6326530612244887E-2</v>
      </c>
      <c r="Q313" s="24">
        <f t="shared" si="64"/>
        <v>9.6326530612244887E-2</v>
      </c>
      <c r="R313" s="21">
        <f t="shared" si="65"/>
        <v>23.599999999999998</v>
      </c>
      <c r="S313" s="22">
        <f t="shared" si="66"/>
        <v>0</v>
      </c>
      <c r="T313" s="22">
        <f t="shared" si="67"/>
        <v>0</v>
      </c>
    </row>
    <row r="314" spans="1:20" x14ac:dyDescent="0.2">
      <c r="A314" s="14">
        <f t="shared" si="53"/>
        <v>39025</v>
      </c>
      <c r="B314" s="1">
        <v>308</v>
      </c>
      <c r="C314" s="16">
        <f>ROUND(Data!BI314,2)</f>
        <v>0.84</v>
      </c>
      <c r="D314" s="3">
        <f>ROUND(Data!O314,1)</f>
        <v>3.3</v>
      </c>
      <c r="E314" s="3">
        <f>ROUND(Data!AA314,1)</f>
        <v>-0.1</v>
      </c>
      <c r="F314" s="3">
        <f>Data!BN314</f>
        <v>81.2</v>
      </c>
      <c r="G314" s="3">
        <f>Data!N314</f>
        <v>4</v>
      </c>
      <c r="H314" s="21">
        <f>Data!BE314</f>
        <v>170</v>
      </c>
      <c r="I314" s="13">
        <f t="shared" si="52"/>
        <v>0</v>
      </c>
      <c r="J314" s="3">
        <f>Data!BR314</f>
        <v>35.6</v>
      </c>
      <c r="K314" s="33">
        <f t="shared" si="68"/>
        <v>37.4</v>
      </c>
      <c r="M314" s="22">
        <f t="shared" si="69"/>
        <v>464.79999999999978</v>
      </c>
      <c r="N314" s="22">
        <f t="shared" si="69"/>
        <v>784.4</v>
      </c>
      <c r="P314" s="24">
        <f t="shared" si="60"/>
        <v>0.35882352941176471</v>
      </c>
      <c r="Q314" s="24">
        <f t="shared" si="64"/>
        <v>0.35882352941176471</v>
      </c>
      <c r="R314" s="21">
        <f t="shared" si="65"/>
        <v>61</v>
      </c>
      <c r="S314" s="22">
        <f t="shared" si="66"/>
        <v>37.400000000000006</v>
      </c>
      <c r="T314" s="22">
        <f t="shared" si="67"/>
        <v>0</v>
      </c>
    </row>
    <row r="315" spans="1:20" x14ac:dyDescent="0.2">
      <c r="A315" s="14">
        <f t="shared" si="53"/>
        <v>39026</v>
      </c>
      <c r="B315" s="1">
        <v>309</v>
      </c>
      <c r="C315" s="16">
        <f>ROUND(Data!BI315,2)</f>
        <v>3.15</v>
      </c>
      <c r="D315" s="3">
        <f>ROUND(Data!O315,1)</f>
        <v>4.3</v>
      </c>
      <c r="E315" s="3">
        <f>ROUND(Data!AA315,1)</f>
        <v>0</v>
      </c>
      <c r="F315" s="3">
        <f>Data!BN315</f>
        <v>70.8</v>
      </c>
      <c r="G315" s="3">
        <f>Data!N315</f>
        <v>0</v>
      </c>
      <c r="H315" s="21">
        <f>Data!BE315</f>
        <v>100</v>
      </c>
      <c r="I315" s="13">
        <f t="shared" si="52"/>
        <v>0</v>
      </c>
      <c r="J315" s="3">
        <f>Data!BR315</f>
        <v>7.8</v>
      </c>
      <c r="K315" s="33">
        <f t="shared" si="68"/>
        <v>8.1999999999999993</v>
      </c>
      <c r="M315" s="22">
        <f t="shared" si="69"/>
        <v>472.5999999999998</v>
      </c>
      <c r="N315" s="22">
        <f t="shared" si="69"/>
        <v>792.6</v>
      </c>
      <c r="P315" s="24">
        <f t="shared" si="60"/>
        <v>0.69200000000000006</v>
      </c>
      <c r="Q315" s="24">
        <f t="shared" si="64"/>
        <v>0.4</v>
      </c>
      <c r="R315" s="21">
        <f t="shared" si="65"/>
        <v>40</v>
      </c>
      <c r="S315" s="22">
        <f t="shared" si="66"/>
        <v>-21</v>
      </c>
      <c r="T315" s="22">
        <f t="shared" si="67"/>
        <v>29.2</v>
      </c>
    </row>
    <row r="316" spans="1:20" x14ac:dyDescent="0.2">
      <c r="A316" s="14">
        <f t="shared" si="53"/>
        <v>39027</v>
      </c>
      <c r="B316" s="1">
        <v>310</v>
      </c>
      <c r="C316" s="16">
        <f>ROUND(Data!BI316,2)</f>
        <v>0.83</v>
      </c>
      <c r="D316" s="3">
        <f>ROUND(Data!O316,1)</f>
        <v>8.8000000000000007</v>
      </c>
      <c r="E316" s="3">
        <f>ROUND(Data!AA316,1)</f>
        <v>0.1</v>
      </c>
      <c r="F316" s="3">
        <f>Data!BN316</f>
        <v>74.099999999999994</v>
      </c>
      <c r="G316" s="3">
        <f>Data!N316</f>
        <v>4</v>
      </c>
      <c r="H316" s="21">
        <f>Data!BE316</f>
        <v>85</v>
      </c>
      <c r="I316" s="13">
        <f t="shared" si="52"/>
        <v>0</v>
      </c>
      <c r="J316" s="3">
        <f>Data!BR316</f>
        <v>11.2</v>
      </c>
      <c r="K316" s="33">
        <f t="shared" si="68"/>
        <v>11.8</v>
      </c>
      <c r="M316" s="22">
        <f t="shared" si="69"/>
        <v>483.79999999999978</v>
      </c>
      <c r="N316" s="22">
        <f t="shared" si="69"/>
        <v>804.4</v>
      </c>
      <c r="P316" s="24">
        <f t="shared" si="60"/>
        <v>0.60941176470588232</v>
      </c>
      <c r="Q316" s="24">
        <f t="shared" si="64"/>
        <v>0.4</v>
      </c>
      <c r="R316" s="21">
        <f t="shared" si="65"/>
        <v>34</v>
      </c>
      <c r="S316" s="22">
        <f t="shared" si="66"/>
        <v>-6</v>
      </c>
      <c r="T316" s="22">
        <f t="shared" si="67"/>
        <v>17.8</v>
      </c>
    </row>
    <row r="317" spans="1:20" x14ac:dyDescent="0.2">
      <c r="A317" s="14">
        <f t="shared" si="53"/>
        <v>39028</v>
      </c>
      <c r="B317" s="1">
        <v>311</v>
      </c>
      <c r="C317" s="16">
        <f>ROUND(Data!BI317,2)</f>
        <v>1.69</v>
      </c>
      <c r="D317" s="3">
        <f>ROUND(Data!O317,1)</f>
        <v>6.8</v>
      </c>
      <c r="E317" s="3">
        <f>ROUND(Data!AA317,1)</f>
        <v>-0.5</v>
      </c>
      <c r="F317" s="3">
        <f>Data!BN317</f>
        <v>70.8</v>
      </c>
      <c r="G317" s="3">
        <f>Data!N317</f>
        <v>0</v>
      </c>
      <c r="H317" s="21">
        <f>Data!BE317</f>
        <v>58</v>
      </c>
      <c r="I317" s="13">
        <f t="shared" si="52"/>
        <v>0</v>
      </c>
      <c r="J317" s="3">
        <f>Data!BR317</f>
        <v>2.2000000000000002</v>
      </c>
      <c r="K317" s="33">
        <f t="shared" si="68"/>
        <v>2.2999999999999998</v>
      </c>
      <c r="M317" s="22">
        <f t="shared" si="69"/>
        <v>485.99999999999977</v>
      </c>
      <c r="N317" s="22">
        <f t="shared" si="69"/>
        <v>806.69999999999993</v>
      </c>
      <c r="P317" s="24">
        <f t="shared" si="60"/>
        <v>0.62586206896551722</v>
      </c>
      <c r="Q317" s="24">
        <f t="shared" si="64"/>
        <v>0.4</v>
      </c>
      <c r="R317" s="21">
        <f t="shared" si="65"/>
        <v>23.200000000000003</v>
      </c>
      <c r="S317" s="22">
        <f t="shared" si="66"/>
        <v>-10.799999999999997</v>
      </c>
      <c r="T317" s="22">
        <f t="shared" si="67"/>
        <v>13.099999999999998</v>
      </c>
    </row>
    <row r="318" spans="1:20" x14ac:dyDescent="0.2">
      <c r="A318" s="14">
        <f t="shared" si="53"/>
        <v>39029</v>
      </c>
      <c r="B318" s="1">
        <v>312</v>
      </c>
      <c r="C318" s="16">
        <f>ROUND(Data!BI318,2)</f>
        <v>1.92</v>
      </c>
      <c r="D318" s="3">
        <f>ROUND(Data!O318,1)</f>
        <v>-0.5</v>
      </c>
      <c r="E318" s="3">
        <f>ROUND(Data!AA318,1)</f>
        <v>-6.5</v>
      </c>
      <c r="F318" s="3">
        <f>Data!BN318</f>
        <v>73.400000000000006</v>
      </c>
      <c r="G318" s="3">
        <f>Data!N318</f>
        <v>0</v>
      </c>
      <c r="H318" s="21">
        <f>Data!BE318</f>
        <v>58</v>
      </c>
      <c r="I318" s="13">
        <f t="shared" si="52"/>
        <v>0</v>
      </c>
      <c r="J318" s="3">
        <f>Data!BR318</f>
        <v>0</v>
      </c>
      <c r="K318" s="33">
        <f t="shared" si="68"/>
        <v>0</v>
      </c>
      <c r="M318" s="22">
        <f t="shared" si="69"/>
        <v>485.99999999999977</v>
      </c>
      <c r="N318" s="22">
        <f t="shared" si="69"/>
        <v>806.69999999999993</v>
      </c>
      <c r="P318" s="24">
        <f t="shared" si="60"/>
        <v>0.4</v>
      </c>
      <c r="Q318" s="24">
        <f t="shared" si="64"/>
        <v>0.4</v>
      </c>
      <c r="R318" s="21">
        <f t="shared" si="65"/>
        <v>23.200000000000003</v>
      </c>
      <c r="S318" s="22">
        <f t="shared" si="66"/>
        <v>0</v>
      </c>
      <c r="T318" s="22">
        <f t="shared" si="67"/>
        <v>0</v>
      </c>
    </row>
    <row r="319" spans="1:20" x14ac:dyDescent="0.2">
      <c r="A319" s="14">
        <f t="shared" si="53"/>
        <v>39030</v>
      </c>
      <c r="B319" s="1">
        <v>313</v>
      </c>
      <c r="C319" s="16">
        <f>ROUND(Data!BI319,2)</f>
        <v>1.32</v>
      </c>
      <c r="D319" s="3">
        <f>ROUND(Data!O319,1)</f>
        <v>-2.7</v>
      </c>
      <c r="E319" s="3">
        <f>ROUND(Data!AA319,1)</f>
        <v>-10</v>
      </c>
      <c r="F319" s="3">
        <f>Data!BN319</f>
        <v>78.099999999999994</v>
      </c>
      <c r="G319" s="3">
        <f>Data!N319</f>
        <v>0</v>
      </c>
      <c r="H319" s="21">
        <f>Data!BE319</f>
        <v>87</v>
      </c>
      <c r="I319" s="13">
        <f t="shared" si="52"/>
        <v>3.8</v>
      </c>
      <c r="J319" s="3">
        <f>Data!BR319</f>
        <v>1.8</v>
      </c>
      <c r="K319" s="33">
        <f t="shared" si="68"/>
        <v>1.9</v>
      </c>
      <c r="M319" s="22">
        <f t="shared" si="69"/>
        <v>487.79999999999978</v>
      </c>
      <c r="N319" s="22">
        <f t="shared" si="69"/>
        <v>808.59999999999991</v>
      </c>
      <c r="P319" s="24">
        <f t="shared" si="60"/>
        <v>0.28850574712643678</v>
      </c>
      <c r="Q319" s="24">
        <f t="shared" si="64"/>
        <v>0.28850574712643678</v>
      </c>
      <c r="R319" s="21">
        <f t="shared" si="65"/>
        <v>25.1</v>
      </c>
      <c r="S319" s="22">
        <f t="shared" si="66"/>
        <v>1.8999999999999986</v>
      </c>
      <c r="T319" s="22">
        <f t="shared" si="67"/>
        <v>0</v>
      </c>
    </row>
    <row r="320" spans="1:20" x14ac:dyDescent="0.2">
      <c r="A320" s="14">
        <f t="shared" si="53"/>
        <v>39031</v>
      </c>
      <c r="B320" s="1">
        <v>314</v>
      </c>
      <c r="C320" s="16">
        <f>ROUND(Data!BI320,2)</f>
        <v>0.4</v>
      </c>
      <c r="D320" s="3">
        <f>ROUND(Data!O320,1)</f>
        <v>-3.1</v>
      </c>
      <c r="E320" s="3">
        <f>ROUND(Data!AA320,1)</f>
        <v>-4.9000000000000004</v>
      </c>
      <c r="F320" s="3">
        <f>Data!BN320</f>
        <v>76.2</v>
      </c>
      <c r="G320" s="3">
        <f>Data!N320</f>
        <v>0</v>
      </c>
      <c r="H320" s="21">
        <f>Data!BE320</f>
        <v>150</v>
      </c>
      <c r="I320" s="13">
        <f t="shared" si="52"/>
        <v>8.1999999999999993</v>
      </c>
      <c r="J320" s="3">
        <f>Data!BR320</f>
        <v>0</v>
      </c>
      <c r="K320" s="33">
        <f t="shared" si="68"/>
        <v>0</v>
      </c>
      <c r="M320" s="22">
        <f t="shared" si="69"/>
        <v>487.79999999999978</v>
      </c>
      <c r="N320" s="22">
        <f t="shared" si="69"/>
        <v>808.59999999999991</v>
      </c>
      <c r="P320" s="24">
        <f t="shared" si="60"/>
        <v>0.16733333333333333</v>
      </c>
      <c r="Q320" s="24">
        <f t="shared" si="64"/>
        <v>0.16733333333333333</v>
      </c>
      <c r="R320" s="21">
        <f t="shared" si="65"/>
        <v>25.1</v>
      </c>
      <c r="S320" s="22">
        <f t="shared" si="66"/>
        <v>0</v>
      </c>
      <c r="T320" s="22">
        <f t="shared" si="67"/>
        <v>0</v>
      </c>
    </row>
    <row r="321" spans="1:20" x14ac:dyDescent="0.2">
      <c r="A321" s="14">
        <f t="shared" si="53"/>
        <v>39032</v>
      </c>
      <c r="B321" s="1">
        <v>315</v>
      </c>
      <c r="C321" s="16">
        <f>ROUND(Data!BI321,2)</f>
        <v>0.78</v>
      </c>
      <c r="D321" s="3">
        <f>ROUND(Data!O321,1)</f>
        <v>-3</v>
      </c>
      <c r="E321" s="3">
        <f>ROUND(Data!AA321,1)</f>
        <v>-4.5999999999999996</v>
      </c>
      <c r="F321" s="3">
        <f>Data!BN321</f>
        <v>87.7</v>
      </c>
      <c r="G321" s="3">
        <f>Data!N321</f>
        <v>0</v>
      </c>
      <c r="H321" s="21">
        <f>Data!BE321</f>
        <v>247</v>
      </c>
      <c r="I321" s="13">
        <f t="shared" si="52"/>
        <v>12.6</v>
      </c>
      <c r="J321" s="3">
        <f>Data!BR321</f>
        <v>2.6</v>
      </c>
      <c r="K321" s="32">
        <f t="shared" si="59"/>
        <v>12.6</v>
      </c>
      <c r="M321" s="22">
        <f t="shared" si="69"/>
        <v>490.39999999999981</v>
      </c>
      <c r="N321" s="22">
        <f t="shared" si="69"/>
        <v>821.19999999999993</v>
      </c>
      <c r="P321" s="24">
        <f t="shared" si="60"/>
        <v>0.15263157894736842</v>
      </c>
      <c r="Q321" s="24">
        <f t="shared" si="64"/>
        <v>0.15263157894736842</v>
      </c>
      <c r="R321" s="21">
        <f t="shared" si="65"/>
        <v>37.700000000000003</v>
      </c>
      <c r="S321" s="22">
        <f t="shared" si="66"/>
        <v>12.600000000000001</v>
      </c>
      <c r="T321" s="22">
        <f t="shared" si="67"/>
        <v>0</v>
      </c>
    </row>
    <row r="322" spans="1:20" x14ac:dyDescent="0.2">
      <c r="A322" s="14">
        <f t="shared" si="53"/>
        <v>39033</v>
      </c>
      <c r="B322" s="1">
        <v>316</v>
      </c>
      <c r="C322" s="16">
        <f>ROUND(Data!BI322,2)</f>
        <v>0.49</v>
      </c>
      <c r="D322" s="3">
        <f>ROUND(Data!O322,1)</f>
        <v>-1.9</v>
      </c>
      <c r="E322" s="3">
        <f>ROUND(Data!AA322,1)</f>
        <v>-4.4000000000000004</v>
      </c>
      <c r="F322" s="3">
        <f>Data!BN322</f>
        <v>81.8</v>
      </c>
      <c r="G322" s="3">
        <f>Data!N322</f>
        <v>0</v>
      </c>
      <c r="H322" s="21">
        <f>Data!BE322</f>
        <v>300</v>
      </c>
      <c r="I322" s="13">
        <f t="shared" si="52"/>
        <v>6.9</v>
      </c>
      <c r="J322" s="3">
        <f>Data!BR322</f>
        <v>0</v>
      </c>
      <c r="K322" s="32">
        <f t="shared" si="59"/>
        <v>6.9</v>
      </c>
      <c r="M322" s="22">
        <f t="shared" si="69"/>
        <v>490.39999999999981</v>
      </c>
      <c r="N322" s="22">
        <f t="shared" si="69"/>
        <v>828.09999999999991</v>
      </c>
      <c r="P322" s="24">
        <f t="shared" si="60"/>
        <v>0.14866666666666667</v>
      </c>
      <c r="Q322" s="24">
        <f t="shared" si="64"/>
        <v>0.14866666666666667</v>
      </c>
      <c r="R322" s="21">
        <f t="shared" si="65"/>
        <v>44.6</v>
      </c>
      <c r="S322" s="22">
        <f t="shared" si="66"/>
        <v>6.8999999999999986</v>
      </c>
      <c r="T322" s="22">
        <f t="shared" si="67"/>
        <v>0</v>
      </c>
    </row>
    <row r="323" spans="1:20" x14ac:dyDescent="0.2">
      <c r="A323" s="14">
        <f t="shared" si="53"/>
        <v>39034</v>
      </c>
      <c r="B323" s="1">
        <v>317</v>
      </c>
      <c r="C323" s="16">
        <f>ROUND(Data!BI323,2)</f>
        <v>1.72</v>
      </c>
      <c r="D323" s="3">
        <f>ROUND(Data!O323,1)</f>
        <v>-3.1</v>
      </c>
      <c r="E323" s="3">
        <f>ROUND(Data!AA323,1)</f>
        <v>-6</v>
      </c>
      <c r="F323" s="3">
        <f>Data!BN323</f>
        <v>95.3</v>
      </c>
      <c r="G323" s="3">
        <f>Data!N323</f>
        <v>0</v>
      </c>
      <c r="H323" s="21">
        <f>Data!BE323</f>
        <v>350</v>
      </c>
      <c r="I323" s="13">
        <f t="shared" si="52"/>
        <v>6.5</v>
      </c>
      <c r="J323" s="3">
        <f>Data!BR323</f>
        <v>0.4</v>
      </c>
      <c r="K323" s="32">
        <f t="shared" si="59"/>
        <v>6.5</v>
      </c>
      <c r="M323" s="22">
        <f t="shared" si="69"/>
        <v>490.79999999999978</v>
      </c>
      <c r="N323" s="22">
        <f t="shared" si="69"/>
        <v>834.59999999999991</v>
      </c>
      <c r="P323" s="24">
        <f t="shared" si="60"/>
        <v>0.14599999999999999</v>
      </c>
      <c r="Q323" s="24">
        <f t="shared" si="64"/>
        <v>0.14599999999999999</v>
      </c>
      <c r="R323" s="21">
        <f t="shared" si="65"/>
        <v>51.099999999999994</v>
      </c>
      <c r="S323" s="22">
        <f t="shared" si="66"/>
        <v>6.4999999999999929</v>
      </c>
      <c r="T323" s="22">
        <f t="shared" si="67"/>
        <v>7.1054273576010019E-15</v>
      </c>
    </row>
    <row r="324" spans="1:20" x14ac:dyDescent="0.2">
      <c r="A324" s="14">
        <f t="shared" si="53"/>
        <v>39035</v>
      </c>
      <c r="B324" s="1">
        <v>318</v>
      </c>
      <c r="C324" s="16">
        <f>ROUND(Data!BI324,2)</f>
        <v>1.81</v>
      </c>
      <c r="D324" s="3">
        <f>ROUND(Data!O324,1)</f>
        <v>-3.4</v>
      </c>
      <c r="E324" s="3">
        <f>ROUND(Data!AA324,1)</f>
        <v>-12.4</v>
      </c>
      <c r="F324" s="3">
        <f>Data!BN324</f>
        <v>73.5</v>
      </c>
      <c r="G324" s="3">
        <f>Data!N324</f>
        <v>0</v>
      </c>
      <c r="H324" s="21">
        <f>Data!BE324</f>
        <v>414</v>
      </c>
      <c r="I324" s="13">
        <f t="shared" si="52"/>
        <v>8.3000000000000007</v>
      </c>
      <c r="J324" s="3">
        <f>Data!BR324</f>
        <v>0.4</v>
      </c>
      <c r="K324" s="32">
        <f t="shared" si="59"/>
        <v>8.3000000000000007</v>
      </c>
      <c r="M324" s="22">
        <f t="shared" si="69"/>
        <v>491.19999999999976</v>
      </c>
      <c r="N324" s="22">
        <f t="shared" si="69"/>
        <v>842.89999999999986</v>
      </c>
      <c r="P324" s="24">
        <f t="shared" si="60"/>
        <v>0.14347826086956519</v>
      </c>
      <c r="Q324" s="24">
        <f t="shared" si="64"/>
        <v>0.14347826086956519</v>
      </c>
      <c r="R324" s="21">
        <f t="shared" si="65"/>
        <v>59.399999999999991</v>
      </c>
      <c r="S324" s="22">
        <f t="shared" si="66"/>
        <v>8.2999999999999972</v>
      </c>
      <c r="T324" s="22">
        <f t="shared" si="67"/>
        <v>0</v>
      </c>
    </row>
    <row r="325" spans="1:20" x14ac:dyDescent="0.2">
      <c r="A325" s="14">
        <f t="shared" si="53"/>
        <v>39036</v>
      </c>
      <c r="B325" s="1">
        <v>319</v>
      </c>
      <c r="C325" s="16">
        <f>ROUND(Data!BI325,2)</f>
        <v>1.39</v>
      </c>
      <c r="D325" s="3">
        <f>ROUND(Data!O325,1)</f>
        <v>1.6</v>
      </c>
      <c r="E325" s="3">
        <f>ROUND(Data!AA325,1)</f>
        <v>-4.8</v>
      </c>
      <c r="F325" s="3">
        <f>Data!BN325</f>
        <v>75.7</v>
      </c>
      <c r="G325" s="3">
        <f>Data!N325</f>
        <v>0</v>
      </c>
      <c r="H325" s="21">
        <f>Data!BE325</f>
        <v>455</v>
      </c>
      <c r="I325" s="13">
        <f t="shared" si="52"/>
        <v>5.3</v>
      </c>
      <c r="J325" s="3">
        <f>Data!BR325</f>
        <v>10.6</v>
      </c>
      <c r="K325" s="32">
        <f t="shared" si="59"/>
        <v>5.3</v>
      </c>
      <c r="M325" s="22">
        <f t="shared" si="69"/>
        <v>501.79999999999978</v>
      </c>
      <c r="N325" s="22">
        <f t="shared" si="69"/>
        <v>848.19999999999982</v>
      </c>
      <c r="P325" s="24">
        <f t="shared" si="60"/>
        <v>0.14219780219780218</v>
      </c>
      <c r="Q325" s="24">
        <f t="shared" si="64"/>
        <v>0.14219780219780218</v>
      </c>
      <c r="R325" s="21">
        <f t="shared" si="65"/>
        <v>64.699999999999989</v>
      </c>
      <c r="S325" s="22">
        <f t="shared" si="66"/>
        <v>5.2999999999999972</v>
      </c>
      <c r="T325" s="22">
        <f t="shared" si="67"/>
        <v>0</v>
      </c>
    </row>
    <row r="326" spans="1:20" x14ac:dyDescent="0.2">
      <c r="A326" s="14">
        <f t="shared" si="53"/>
        <v>39037</v>
      </c>
      <c r="B326" s="1">
        <v>320</v>
      </c>
      <c r="C326" s="16">
        <f>ROUND(Data!BI326,2)</f>
        <v>5.6</v>
      </c>
      <c r="D326" s="3">
        <f>ROUND(Data!O326,1)</f>
        <v>1</v>
      </c>
      <c r="E326" s="3">
        <f>ROUND(Data!AA326,1)</f>
        <v>-6.9</v>
      </c>
      <c r="F326" s="3">
        <f>Data!BN326</f>
        <v>60.8</v>
      </c>
      <c r="G326" s="3">
        <f>Data!N326</f>
        <v>0</v>
      </c>
      <c r="H326" s="21">
        <f>Data!BE326</f>
        <v>430</v>
      </c>
      <c r="I326" s="13">
        <f t="shared" si="52"/>
        <v>0</v>
      </c>
      <c r="J326" s="3">
        <f>Data!BR326</f>
        <v>5.2</v>
      </c>
      <c r="K326" s="32">
        <f t="shared" si="59"/>
        <v>0</v>
      </c>
      <c r="M326" s="22">
        <f t="shared" si="69"/>
        <v>506.99999999999977</v>
      </c>
      <c r="N326" s="22">
        <f t="shared" si="69"/>
        <v>848.19999999999982</v>
      </c>
      <c r="P326" s="24">
        <f t="shared" si="60"/>
        <v>0.15046511627906975</v>
      </c>
      <c r="Q326" s="24">
        <f t="shared" si="64"/>
        <v>0.15046511627906975</v>
      </c>
      <c r="R326" s="21">
        <f t="shared" si="65"/>
        <v>64.699999999999989</v>
      </c>
      <c r="S326" s="22">
        <f t="shared" si="66"/>
        <v>0</v>
      </c>
      <c r="T326" s="22">
        <f t="shared" si="67"/>
        <v>0</v>
      </c>
    </row>
    <row r="327" spans="1:20" x14ac:dyDescent="0.2">
      <c r="A327" s="14">
        <f t="shared" si="53"/>
        <v>39038</v>
      </c>
      <c r="B327" s="1">
        <v>321</v>
      </c>
      <c r="C327" s="16">
        <f>ROUND(Data!BI327,2)</f>
        <v>2.79</v>
      </c>
      <c r="D327" s="3">
        <f>ROUND(Data!O327,1)</f>
        <v>-1.3</v>
      </c>
      <c r="E327" s="3">
        <f>ROUND(Data!AA327,1)</f>
        <v>-6.7</v>
      </c>
      <c r="F327" s="3">
        <f>Data!BN327</f>
        <v>64.3</v>
      </c>
      <c r="G327" s="3">
        <f>Data!N327</f>
        <v>0</v>
      </c>
      <c r="H327" s="21">
        <f>Data!BE327</f>
        <v>404</v>
      </c>
      <c r="I327" s="13">
        <f t="shared" si="52"/>
        <v>0</v>
      </c>
      <c r="J327" s="3">
        <f>Data!BR327</f>
        <v>0.4</v>
      </c>
      <c r="K327" s="32">
        <f t="shared" si="59"/>
        <v>0</v>
      </c>
      <c r="M327" s="22">
        <f t="shared" si="69"/>
        <v>507.39999999999975</v>
      </c>
      <c r="N327" s="22">
        <f t="shared" si="69"/>
        <v>848.19999999999982</v>
      </c>
      <c r="P327" s="24">
        <f t="shared" si="60"/>
        <v>0.16014851485148512</v>
      </c>
      <c r="Q327" s="24">
        <f t="shared" si="64"/>
        <v>0.16014851485148512</v>
      </c>
      <c r="R327" s="21">
        <f t="shared" si="65"/>
        <v>64.699999999999989</v>
      </c>
      <c r="S327" s="22">
        <f t="shared" si="66"/>
        <v>0</v>
      </c>
      <c r="T327" s="22">
        <f t="shared" si="67"/>
        <v>0</v>
      </c>
    </row>
    <row r="328" spans="1:20" x14ac:dyDescent="0.2">
      <c r="A328" s="14">
        <f t="shared" si="53"/>
        <v>39039</v>
      </c>
      <c r="B328" s="1">
        <v>322</v>
      </c>
      <c r="C328" s="16">
        <f>ROUND(Data!BI328,2)</f>
        <v>3.11</v>
      </c>
      <c r="D328" s="3">
        <f>ROUND(Data!O328,1)</f>
        <v>0.3</v>
      </c>
      <c r="E328" s="3">
        <f>ROUND(Data!AA328,1)</f>
        <v>-4.8</v>
      </c>
      <c r="F328" s="3">
        <f>Data!BN328</f>
        <v>60.8</v>
      </c>
      <c r="G328" s="3">
        <f>Data!N328</f>
        <v>0</v>
      </c>
      <c r="H328" s="21">
        <f>Data!BE328</f>
        <v>398</v>
      </c>
      <c r="I328" s="13">
        <f t="shared" ref="I328:I371" si="70">IF(H328&gt;H327,ROUND((H328-H327)*I$1,1),0)</f>
        <v>0</v>
      </c>
      <c r="J328" s="3">
        <f>Data!BR328</f>
        <v>0.8</v>
      </c>
      <c r="K328" s="32">
        <f t="shared" si="59"/>
        <v>0</v>
      </c>
      <c r="M328" s="22">
        <f t="shared" si="69"/>
        <v>508.19999999999976</v>
      </c>
      <c r="N328" s="22">
        <f t="shared" si="69"/>
        <v>848.19999999999982</v>
      </c>
      <c r="P328" s="24">
        <f t="shared" si="60"/>
        <v>0.16256281407035172</v>
      </c>
      <c r="Q328" s="24">
        <f t="shared" si="64"/>
        <v>0.16256281407035172</v>
      </c>
      <c r="R328" s="21">
        <f t="shared" si="65"/>
        <v>64.699999999999989</v>
      </c>
      <c r="S328" s="22">
        <f t="shared" si="66"/>
        <v>0</v>
      </c>
      <c r="T328" s="22">
        <f t="shared" si="67"/>
        <v>0</v>
      </c>
    </row>
    <row r="329" spans="1:20" x14ac:dyDescent="0.2">
      <c r="A329" s="14">
        <f t="shared" ref="A329:A371" si="71">A328+1</f>
        <v>39040</v>
      </c>
      <c r="B329" s="1">
        <v>323</v>
      </c>
      <c r="C329" s="16">
        <f>ROUND(Data!BI329,2)</f>
        <v>1.39</v>
      </c>
      <c r="D329" s="3">
        <f>ROUND(Data!O329,1)</f>
        <v>3.7</v>
      </c>
      <c r="E329" s="3">
        <f>ROUND(Data!AA329,1)</f>
        <v>-4.0999999999999996</v>
      </c>
      <c r="F329" s="3">
        <f>Data!BN329</f>
        <v>54.7</v>
      </c>
      <c r="G329" s="3">
        <f>Data!N329</f>
        <v>1</v>
      </c>
      <c r="H329" s="21">
        <f>Data!BE329</f>
        <v>359</v>
      </c>
      <c r="I329" s="13">
        <f t="shared" si="70"/>
        <v>0</v>
      </c>
      <c r="J329" s="3">
        <f>Data!BR329</f>
        <v>7.6</v>
      </c>
      <c r="K329" s="33">
        <f t="shared" ref="K329" si="72">ROUND(J329*L$3,1)</f>
        <v>8</v>
      </c>
      <c r="M329" s="22">
        <f t="shared" ref="M329:N344" si="73">J329+M328</f>
        <v>515.79999999999973</v>
      </c>
      <c r="N329" s="22">
        <f t="shared" si="73"/>
        <v>856.19999999999982</v>
      </c>
      <c r="P329" s="24">
        <f t="shared" si="60"/>
        <v>0.2025069637883008</v>
      </c>
      <c r="Q329" s="24">
        <f t="shared" si="64"/>
        <v>0.2025069637883008</v>
      </c>
      <c r="R329" s="21">
        <f t="shared" si="65"/>
        <v>72.699999999999989</v>
      </c>
      <c r="S329" s="22">
        <f t="shared" si="66"/>
        <v>8</v>
      </c>
      <c r="T329" s="22">
        <f t="shared" si="67"/>
        <v>0</v>
      </c>
    </row>
    <row r="330" spans="1:20" x14ac:dyDescent="0.2">
      <c r="A330" s="14">
        <f t="shared" si="71"/>
        <v>39041</v>
      </c>
      <c r="B330" s="1">
        <v>324</v>
      </c>
      <c r="C330" s="16">
        <f>ROUND(Data!BI330,2)</f>
        <v>5.3</v>
      </c>
      <c r="D330" s="3">
        <f>ROUND(Data!O330,1)</f>
        <v>1.5</v>
      </c>
      <c r="E330" s="3">
        <f>ROUND(Data!AA330,1)</f>
        <v>-8.1999999999999993</v>
      </c>
      <c r="F330" s="3">
        <f>Data!BN330</f>
        <v>56.4</v>
      </c>
      <c r="G330" s="3">
        <f>Data!N330</f>
        <v>0</v>
      </c>
      <c r="H330" s="21">
        <f>Data!BE330</f>
        <v>329</v>
      </c>
      <c r="I330" s="13">
        <f t="shared" si="70"/>
        <v>0</v>
      </c>
      <c r="J330" s="3">
        <f>Data!BR330</f>
        <v>0</v>
      </c>
      <c r="K330" s="32">
        <f t="shared" si="59"/>
        <v>0</v>
      </c>
      <c r="M330" s="22">
        <f t="shared" si="73"/>
        <v>515.79999999999973</v>
      </c>
      <c r="N330" s="22">
        <f t="shared" si="73"/>
        <v>856.19999999999982</v>
      </c>
      <c r="P330" s="24">
        <f t="shared" si="60"/>
        <v>0.22097264437689967</v>
      </c>
      <c r="Q330" s="24">
        <f t="shared" si="64"/>
        <v>0.22097264437689967</v>
      </c>
      <c r="R330" s="21">
        <f t="shared" si="65"/>
        <v>72.699999999999989</v>
      </c>
      <c r="S330" s="22">
        <f t="shared" si="66"/>
        <v>0</v>
      </c>
      <c r="T330" s="22">
        <f t="shared" si="67"/>
        <v>0</v>
      </c>
    </row>
    <row r="331" spans="1:20" x14ac:dyDescent="0.2">
      <c r="A331" s="14">
        <f t="shared" si="71"/>
        <v>39042</v>
      </c>
      <c r="B331" s="1">
        <v>325</v>
      </c>
      <c r="C331" s="16">
        <f>ROUND(Data!BI331,2)</f>
        <v>0.86</v>
      </c>
      <c r="D331" s="3">
        <f>ROUND(Data!O331,1)</f>
        <v>0.1</v>
      </c>
      <c r="E331" s="3">
        <f>ROUND(Data!AA331,1)</f>
        <v>-3.4</v>
      </c>
      <c r="F331" s="3">
        <f>Data!BN331</f>
        <v>70.5</v>
      </c>
      <c r="G331" s="3">
        <f>Data!N331</f>
        <v>0</v>
      </c>
      <c r="H331" s="21">
        <f>Data!BE331</f>
        <v>448</v>
      </c>
      <c r="I331" s="13">
        <f t="shared" si="70"/>
        <v>15.5</v>
      </c>
      <c r="J331" s="3">
        <f>Data!BR331</f>
        <v>2</v>
      </c>
      <c r="K331" s="32">
        <f t="shared" si="59"/>
        <v>15.5</v>
      </c>
      <c r="M331" s="22">
        <f t="shared" si="73"/>
        <v>517.79999999999973</v>
      </c>
      <c r="N331" s="22">
        <f t="shared" si="73"/>
        <v>871.69999999999982</v>
      </c>
      <c r="P331" s="24">
        <f t="shared" si="60"/>
        <v>0.19687499999999997</v>
      </c>
      <c r="Q331" s="24">
        <f t="shared" si="64"/>
        <v>0.19687499999999997</v>
      </c>
      <c r="R331" s="21">
        <f t="shared" si="65"/>
        <v>88.199999999999989</v>
      </c>
      <c r="S331" s="22">
        <f t="shared" si="66"/>
        <v>15.5</v>
      </c>
      <c r="T331" s="22">
        <f t="shared" si="67"/>
        <v>0</v>
      </c>
    </row>
    <row r="332" spans="1:20" x14ac:dyDescent="0.2">
      <c r="A332" s="14">
        <f t="shared" si="71"/>
        <v>39043</v>
      </c>
      <c r="B332" s="1">
        <v>326</v>
      </c>
      <c r="C332" s="16">
        <f>ROUND(Data!BI332,2)</f>
        <v>2.64</v>
      </c>
      <c r="D332" s="3">
        <f>ROUND(Data!O332,1)</f>
        <v>-1.6</v>
      </c>
      <c r="E332" s="3">
        <f>ROUND(Data!AA332,1)</f>
        <v>-5.2</v>
      </c>
      <c r="F332" s="3">
        <f>Data!BN332</f>
        <v>69.2</v>
      </c>
      <c r="G332" s="3">
        <f>Data!N332</f>
        <v>0</v>
      </c>
      <c r="H332" s="21">
        <f>Data!BE332</f>
        <v>399</v>
      </c>
      <c r="I332" s="13">
        <f t="shared" si="70"/>
        <v>0</v>
      </c>
      <c r="J332" s="3">
        <f>Data!BR332</f>
        <v>0</v>
      </c>
      <c r="K332" s="32">
        <f t="shared" ref="K332:K367" si="74">I332</f>
        <v>0</v>
      </c>
      <c r="M332" s="22">
        <f t="shared" si="73"/>
        <v>517.79999999999973</v>
      </c>
      <c r="N332" s="22">
        <f t="shared" si="73"/>
        <v>871.69999999999982</v>
      </c>
      <c r="P332" s="24">
        <f t="shared" si="60"/>
        <v>0.22105263157894733</v>
      </c>
      <c r="Q332" s="24">
        <f t="shared" si="64"/>
        <v>0.22105263157894733</v>
      </c>
      <c r="R332" s="21">
        <f t="shared" si="65"/>
        <v>88.199999999999989</v>
      </c>
      <c r="S332" s="22">
        <f t="shared" si="66"/>
        <v>0</v>
      </c>
      <c r="T332" s="22">
        <f t="shared" si="67"/>
        <v>0</v>
      </c>
    </row>
    <row r="333" spans="1:20" x14ac:dyDescent="0.2">
      <c r="A333" s="14">
        <f t="shared" si="71"/>
        <v>39044</v>
      </c>
      <c r="B333" s="1">
        <v>327</v>
      </c>
      <c r="C333" s="16">
        <f>ROUND(Data!BI333,2)</f>
        <v>0.6</v>
      </c>
      <c r="D333" s="3">
        <f>ROUND(Data!O333,1)</f>
        <v>-3.9</v>
      </c>
      <c r="E333" s="3">
        <f>ROUND(Data!AA333,1)</f>
        <v>-6.8</v>
      </c>
      <c r="F333" s="3">
        <f>Data!BN333</f>
        <v>95.2</v>
      </c>
      <c r="G333" s="3">
        <f>Data!N333</f>
        <v>0</v>
      </c>
      <c r="H333" s="21">
        <f>Data!BE333</f>
        <v>553</v>
      </c>
      <c r="I333" s="13">
        <f t="shared" si="70"/>
        <v>20</v>
      </c>
      <c r="J333" s="3">
        <f>Data!BR333</f>
        <v>0</v>
      </c>
      <c r="K333" s="32">
        <f t="shared" si="74"/>
        <v>20</v>
      </c>
      <c r="M333" s="22">
        <f t="shared" si="73"/>
        <v>517.79999999999973</v>
      </c>
      <c r="N333" s="22">
        <f t="shared" si="73"/>
        <v>891.69999999999982</v>
      </c>
      <c r="P333" s="24">
        <f t="shared" si="60"/>
        <v>0.19566003616636526</v>
      </c>
      <c r="Q333" s="24">
        <f t="shared" si="64"/>
        <v>0.19566003616636526</v>
      </c>
      <c r="R333" s="21">
        <f t="shared" si="65"/>
        <v>108.19999999999999</v>
      </c>
      <c r="S333" s="22">
        <f t="shared" si="66"/>
        <v>20</v>
      </c>
      <c r="T333" s="22">
        <f t="shared" si="67"/>
        <v>0</v>
      </c>
    </row>
    <row r="334" spans="1:20" x14ac:dyDescent="0.2">
      <c r="A334" s="14">
        <f t="shared" si="71"/>
        <v>39045</v>
      </c>
      <c r="B334" s="1">
        <v>328</v>
      </c>
      <c r="C334" s="16">
        <f>ROUND(Data!BI334,2)</f>
        <v>0.83</v>
      </c>
      <c r="D334" s="3">
        <f>ROUND(Data!O334,1)</f>
        <v>-5.7</v>
      </c>
      <c r="E334" s="3">
        <f>ROUND(Data!AA334,1)</f>
        <v>-16.2</v>
      </c>
      <c r="F334" s="3">
        <f>Data!BN334</f>
        <v>90.3</v>
      </c>
      <c r="G334" s="3">
        <f>Data!N334</f>
        <v>0</v>
      </c>
      <c r="H334" s="21">
        <f>Data!BE334</f>
        <v>539</v>
      </c>
      <c r="I334" s="13">
        <f t="shared" si="70"/>
        <v>0</v>
      </c>
      <c r="J334" s="3">
        <f>Data!BR334</f>
        <v>0.8</v>
      </c>
      <c r="K334" s="32">
        <f t="shared" si="74"/>
        <v>0</v>
      </c>
      <c r="M334" s="22">
        <f t="shared" si="73"/>
        <v>518.59999999999968</v>
      </c>
      <c r="N334" s="22">
        <f t="shared" si="73"/>
        <v>891.69999999999982</v>
      </c>
      <c r="P334" s="24">
        <f t="shared" si="60"/>
        <v>0.20074211502782929</v>
      </c>
      <c r="Q334" s="24">
        <f t="shared" si="64"/>
        <v>0.20074211502782929</v>
      </c>
      <c r="R334" s="21">
        <f t="shared" si="65"/>
        <v>108.19999999999999</v>
      </c>
      <c r="S334" s="22">
        <f t="shared" si="66"/>
        <v>0</v>
      </c>
      <c r="T334" s="22">
        <f t="shared" si="67"/>
        <v>0</v>
      </c>
    </row>
    <row r="335" spans="1:20" x14ac:dyDescent="0.2">
      <c r="A335" s="14">
        <f t="shared" si="71"/>
        <v>39046</v>
      </c>
      <c r="B335" s="1">
        <v>329</v>
      </c>
      <c r="C335" s="16">
        <f>ROUND(Data!BI335,2)</f>
        <v>0.98</v>
      </c>
      <c r="D335" s="3">
        <f>ROUND(Data!O335,1)</f>
        <v>-9.1999999999999993</v>
      </c>
      <c r="E335" s="3">
        <f>ROUND(Data!AA335,1)</f>
        <v>-18.5</v>
      </c>
      <c r="F335" s="3">
        <f>Data!BN335</f>
        <v>88</v>
      </c>
      <c r="G335" s="3">
        <f>Data!N335</f>
        <v>0</v>
      </c>
      <c r="H335" s="21">
        <f>Data!BE335</f>
        <v>550</v>
      </c>
      <c r="I335" s="13">
        <f t="shared" si="70"/>
        <v>1.4</v>
      </c>
      <c r="J335" s="3">
        <f>Data!BR335</f>
        <v>0.6</v>
      </c>
      <c r="K335" s="32">
        <f t="shared" si="74"/>
        <v>1.4</v>
      </c>
      <c r="M335" s="22">
        <f t="shared" si="73"/>
        <v>519.1999999999997</v>
      </c>
      <c r="N335" s="22">
        <f t="shared" si="73"/>
        <v>893.0999999999998</v>
      </c>
      <c r="P335" s="24">
        <f t="shared" si="60"/>
        <v>0.19927272727272727</v>
      </c>
      <c r="Q335" s="24">
        <f t="shared" si="64"/>
        <v>0.19927272727272727</v>
      </c>
      <c r="R335" s="21">
        <f t="shared" si="65"/>
        <v>109.6</v>
      </c>
      <c r="S335" s="22">
        <f t="shared" si="66"/>
        <v>1.4000000000000057</v>
      </c>
      <c r="T335" s="22">
        <f t="shared" si="67"/>
        <v>-5.773159728050814E-15</v>
      </c>
    </row>
    <row r="336" spans="1:20" x14ac:dyDescent="0.2">
      <c r="A336" s="14">
        <f t="shared" si="71"/>
        <v>39047</v>
      </c>
      <c r="B336" s="1">
        <v>330</v>
      </c>
      <c r="C336" s="16">
        <f>ROUND(Data!BI336,2)</f>
        <v>0.52</v>
      </c>
      <c r="D336" s="3">
        <f>ROUND(Data!O336,1)</f>
        <v>-7.6</v>
      </c>
      <c r="E336" s="3">
        <f>ROUND(Data!AA336,1)</f>
        <v>-16.8</v>
      </c>
      <c r="F336" s="3">
        <f>Data!BN336</f>
        <v>89.1</v>
      </c>
      <c r="G336" s="3">
        <f>Data!N336</f>
        <v>0</v>
      </c>
      <c r="H336" s="21">
        <f>Data!BE336</f>
        <v>570</v>
      </c>
      <c r="I336" s="13">
        <f t="shared" si="70"/>
        <v>2.6</v>
      </c>
      <c r="J336" s="3">
        <f>Data!BR336</f>
        <v>0</v>
      </c>
      <c r="K336" s="32">
        <f t="shared" si="74"/>
        <v>2.6</v>
      </c>
      <c r="M336" s="22">
        <f t="shared" si="73"/>
        <v>519.1999999999997</v>
      </c>
      <c r="N336" s="22">
        <f t="shared" si="73"/>
        <v>895.69999999999982</v>
      </c>
      <c r="P336" s="24">
        <f t="shared" si="60"/>
        <v>0.19684210526315787</v>
      </c>
      <c r="Q336" s="24">
        <f t="shared" si="64"/>
        <v>0.19684210526315787</v>
      </c>
      <c r="R336" s="21">
        <f t="shared" si="65"/>
        <v>112.19999999999999</v>
      </c>
      <c r="S336" s="22">
        <f t="shared" si="66"/>
        <v>2.5999999999999943</v>
      </c>
      <c r="T336" s="22">
        <f t="shared" si="67"/>
        <v>5.773159728050814E-15</v>
      </c>
    </row>
    <row r="337" spans="1:20" x14ac:dyDescent="0.2">
      <c r="A337" s="14">
        <f t="shared" si="71"/>
        <v>39048</v>
      </c>
      <c r="B337" s="1">
        <v>331</v>
      </c>
      <c r="C337" s="16">
        <f>ROUND(Data!BI337,2)</f>
        <v>0.66</v>
      </c>
      <c r="D337" s="3">
        <f>ROUND(Data!O337,1)</f>
        <v>-16.8</v>
      </c>
      <c r="E337" s="3">
        <f>ROUND(Data!AA337,1)</f>
        <v>-25.2</v>
      </c>
      <c r="F337" s="3">
        <f>Data!BN337</f>
        <v>81.2</v>
      </c>
      <c r="G337" s="3">
        <f>Data!N337</f>
        <v>0</v>
      </c>
      <c r="H337" s="21">
        <f>Data!BE337</f>
        <v>590</v>
      </c>
      <c r="I337" s="13">
        <f t="shared" si="70"/>
        <v>2.6</v>
      </c>
      <c r="J337" s="3">
        <f>Data!BR337</f>
        <v>0</v>
      </c>
      <c r="K337" s="32">
        <f t="shared" si="74"/>
        <v>2.6</v>
      </c>
      <c r="M337" s="22">
        <f t="shared" si="73"/>
        <v>519.1999999999997</v>
      </c>
      <c r="N337" s="22">
        <f t="shared" si="73"/>
        <v>898.29999999999984</v>
      </c>
      <c r="P337" s="24">
        <f t="shared" si="60"/>
        <v>0.19457627118644064</v>
      </c>
      <c r="Q337" s="24">
        <f t="shared" si="64"/>
        <v>0.19457627118644064</v>
      </c>
      <c r="R337" s="21">
        <f t="shared" si="65"/>
        <v>114.79999999999997</v>
      </c>
      <c r="S337" s="22">
        <f t="shared" si="66"/>
        <v>2.5999999999999801</v>
      </c>
      <c r="T337" s="22">
        <f t="shared" si="67"/>
        <v>1.9984014443252818E-14</v>
      </c>
    </row>
    <row r="338" spans="1:20" x14ac:dyDescent="0.2">
      <c r="A338" s="14">
        <f t="shared" si="71"/>
        <v>39049</v>
      </c>
      <c r="B338" s="1">
        <v>332</v>
      </c>
      <c r="C338" s="16">
        <f>ROUND(Data!BI338,2)</f>
        <v>1.71</v>
      </c>
      <c r="D338" s="3">
        <f>ROUND(Data!O338,1)</f>
        <v>-21.6</v>
      </c>
      <c r="E338" s="3">
        <f>ROUND(Data!AA338,1)</f>
        <v>-33</v>
      </c>
      <c r="F338" s="3">
        <f>Data!BN338</f>
        <v>74</v>
      </c>
      <c r="G338" s="3">
        <f>Data!N338</f>
        <v>0</v>
      </c>
      <c r="H338" s="21">
        <f>Data!BE338</f>
        <v>600</v>
      </c>
      <c r="I338" s="13">
        <f t="shared" si="70"/>
        <v>1.3</v>
      </c>
      <c r="J338" s="3">
        <f>Data!BR338</f>
        <v>0</v>
      </c>
      <c r="K338" s="32">
        <f t="shared" si="74"/>
        <v>1.3</v>
      </c>
      <c r="M338" s="22">
        <f t="shared" si="73"/>
        <v>519.1999999999997</v>
      </c>
      <c r="N338" s="22">
        <f t="shared" si="73"/>
        <v>899.5999999999998</v>
      </c>
      <c r="P338" s="24">
        <f t="shared" si="60"/>
        <v>0.19349999999999995</v>
      </c>
      <c r="Q338" s="24">
        <f t="shared" si="64"/>
        <v>0.19349999999999995</v>
      </c>
      <c r="R338" s="21">
        <f t="shared" si="65"/>
        <v>116.09999999999997</v>
      </c>
      <c r="S338" s="22">
        <f t="shared" si="66"/>
        <v>1.2999999999999972</v>
      </c>
      <c r="T338" s="22">
        <f t="shared" si="67"/>
        <v>2.886579864025407E-15</v>
      </c>
    </row>
    <row r="339" spans="1:20" x14ac:dyDescent="0.2">
      <c r="A339" s="14">
        <f t="shared" si="71"/>
        <v>39050</v>
      </c>
      <c r="B339" s="1">
        <v>333</v>
      </c>
      <c r="C339" s="16">
        <f>ROUND(Data!BI339,2)</f>
        <v>0.81</v>
      </c>
      <c r="D339" s="3">
        <f>ROUND(Data!O339,1)</f>
        <v>-14</v>
      </c>
      <c r="E339" s="3">
        <f>ROUND(Data!AA339,1)</f>
        <v>-35.299999999999997</v>
      </c>
      <c r="F339" s="3">
        <f>Data!BN339</f>
        <v>71.400000000000006</v>
      </c>
      <c r="G339" s="3">
        <f>Data!N339</f>
        <v>0</v>
      </c>
      <c r="H339" s="21">
        <f>Data!BE339</f>
        <v>650</v>
      </c>
      <c r="I339" s="13">
        <f t="shared" si="70"/>
        <v>6.5</v>
      </c>
      <c r="J339" s="3">
        <f>Data!BR339</f>
        <v>0</v>
      </c>
      <c r="K339" s="32">
        <f t="shared" si="74"/>
        <v>6.5</v>
      </c>
      <c r="M339" s="22">
        <f t="shared" si="73"/>
        <v>519.1999999999997</v>
      </c>
      <c r="N339" s="22">
        <f t="shared" si="73"/>
        <v>906.0999999999998</v>
      </c>
      <c r="P339" s="24">
        <f t="shared" si="60"/>
        <v>0.18861538461538457</v>
      </c>
      <c r="Q339" s="24">
        <f t="shared" si="64"/>
        <v>0.18861538461538457</v>
      </c>
      <c r="R339" s="21">
        <f t="shared" si="65"/>
        <v>122.59999999999997</v>
      </c>
      <c r="S339" s="22">
        <f t="shared" si="66"/>
        <v>6.5</v>
      </c>
      <c r="T339" s="22">
        <f t="shared" si="67"/>
        <v>0</v>
      </c>
    </row>
    <row r="340" spans="1:20" x14ac:dyDescent="0.2">
      <c r="A340" s="14">
        <f t="shared" si="71"/>
        <v>39051</v>
      </c>
      <c r="B340" s="1">
        <v>334</v>
      </c>
      <c r="C340" s="16">
        <f>ROUND(Data!BI340,2)</f>
        <v>0.47</v>
      </c>
      <c r="D340" s="3">
        <f>ROUND(Data!O340,1)</f>
        <v>-8.4</v>
      </c>
      <c r="E340" s="3">
        <f>ROUND(Data!AA340,1)</f>
        <v>-18</v>
      </c>
      <c r="F340" s="3">
        <f>Data!BN340</f>
        <v>87.9</v>
      </c>
      <c r="G340" s="3">
        <f>Data!N340</f>
        <v>0</v>
      </c>
      <c r="H340" s="21">
        <f>Data!BE340</f>
        <v>700</v>
      </c>
      <c r="I340" s="13">
        <f t="shared" si="70"/>
        <v>6.5</v>
      </c>
      <c r="J340" s="3">
        <f>Data!BR340</f>
        <v>0</v>
      </c>
      <c r="K340" s="32">
        <f t="shared" si="74"/>
        <v>6.5</v>
      </c>
      <c r="M340" s="22">
        <f t="shared" si="73"/>
        <v>519.1999999999997</v>
      </c>
      <c r="N340" s="22">
        <f t="shared" si="73"/>
        <v>912.5999999999998</v>
      </c>
      <c r="P340" s="24">
        <f t="shared" si="60"/>
        <v>0.18442857142857139</v>
      </c>
      <c r="Q340" s="24">
        <f t="shared" si="64"/>
        <v>0.18442857142857139</v>
      </c>
      <c r="R340" s="21">
        <f t="shared" si="65"/>
        <v>129.09999999999997</v>
      </c>
      <c r="S340" s="22">
        <f t="shared" si="66"/>
        <v>6.5</v>
      </c>
      <c r="T340" s="22">
        <f t="shared" si="67"/>
        <v>0</v>
      </c>
    </row>
    <row r="341" spans="1:20" x14ac:dyDescent="0.2">
      <c r="A341" s="14">
        <f t="shared" si="71"/>
        <v>39052</v>
      </c>
      <c r="B341" s="1">
        <v>335</v>
      </c>
      <c r="C341" s="16">
        <f>ROUND(Data!BI341,2)</f>
        <v>0.28999999999999998</v>
      </c>
      <c r="D341" s="3">
        <f>ROUND(Data!O341,1)</f>
        <v>-8.4</v>
      </c>
      <c r="E341" s="3">
        <f>ROUND(Data!AA341,1)</f>
        <v>-13.7</v>
      </c>
      <c r="F341" s="3">
        <f>Data!BN341</f>
        <v>92</v>
      </c>
      <c r="G341" s="3">
        <f>Data!N341</f>
        <v>0</v>
      </c>
      <c r="H341" s="21">
        <f>Data!BE341</f>
        <v>713</v>
      </c>
      <c r="I341" s="13">
        <f t="shared" si="70"/>
        <v>1.7</v>
      </c>
      <c r="J341" s="3">
        <f>Data!BR341</f>
        <v>0</v>
      </c>
      <c r="K341" s="32">
        <f t="shared" si="74"/>
        <v>1.7</v>
      </c>
      <c r="M341" s="22">
        <f t="shared" si="73"/>
        <v>519.1999999999997</v>
      </c>
      <c r="N341" s="22">
        <f t="shared" si="73"/>
        <v>914.29999999999984</v>
      </c>
      <c r="P341" s="24">
        <f t="shared" si="60"/>
        <v>0.18345021037868156</v>
      </c>
      <c r="Q341" s="24">
        <f t="shared" si="64"/>
        <v>0.18345021037868156</v>
      </c>
      <c r="R341" s="21">
        <f t="shared" si="65"/>
        <v>130.79999999999995</v>
      </c>
      <c r="S341" s="22">
        <f t="shared" si="66"/>
        <v>1.6999999999999886</v>
      </c>
      <c r="T341" s="22">
        <f t="shared" si="67"/>
        <v>1.1324274851176597E-14</v>
      </c>
    </row>
    <row r="342" spans="1:20" x14ac:dyDescent="0.2">
      <c r="A342" s="14">
        <f t="shared" si="71"/>
        <v>39053</v>
      </c>
      <c r="B342" s="1">
        <v>336</v>
      </c>
      <c r="C342" s="16">
        <f>ROUND(Data!BI342,2)</f>
        <v>1.54</v>
      </c>
      <c r="D342" s="3">
        <f>ROUND(Data!O342,1)</f>
        <v>-6.2</v>
      </c>
      <c r="E342" s="3">
        <f>ROUND(Data!AA342,1)</f>
        <v>-20.100000000000001</v>
      </c>
      <c r="F342" s="3">
        <f>Data!BN342</f>
        <v>84.7</v>
      </c>
      <c r="G342" s="3">
        <f>Data!N342</f>
        <v>0</v>
      </c>
      <c r="H342" s="21">
        <f>Data!BE342</f>
        <v>711</v>
      </c>
      <c r="I342" s="13">
        <f t="shared" si="70"/>
        <v>0</v>
      </c>
      <c r="J342" s="3">
        <f>Data!BR342</f>
        <v>0</v>
      </c>
      <c r="K342" s="32">
        <f t="shared" si="74"/>
        <v>0</v>
      </c>
      <c r="M342" s="22">
        <f t="shared" si="73"/>
        <v>519.1999999999997</v>
      </c>
      <c r="N342" s="22">
        <f t="shared" si="73"/>
        <v>914.29999999999984</v>
      </c>
      <c r="P342" s="24">
        <f t="shared" si="60"/>
        <v>0.18396624472573833</v>
      </c>
      <c r="Q342" s="24">
        <f t="shared" si="64"/>
        <v>0.18396624472573833</v>
      </c>
      <c r="R342" s="21">
        <f t="shared" si="65"/>
        <v>130.79999999999995</v>
      </c>
      <c r="S342" s="22">
        <f t="shared" si="66"/>
        <v>0</v>
      </c>
      <c r="T342" s="22">
        <f t="shared" si="67"/>
        <v>0</v>
      </c>
    </row>
    <row r="343" spans="1:20" x14ac:dyDescent="0.2">
      <c r="A343" s="14">
        <f t="shared" si="71"/>
        <v>39054</v>
      </c>
      <c r="B343" s="1">
        <v>337</v>
      </c>
      <c r="C343" s="16">
        <f>ROUND(Data!BI343,2)</f>
        <v>0.28000000000000003</v>
      </c>
      <c r="D343" s="3">
        <f>ROUND(Data!O343,1)</f>
        <v>-6.9</v>
      </c>
      <c r="E343" s="3">
        <f>ROUND(Data!AA343,1)</f>
        <v>-10</v>
      </c>
      <c r="F343" s="3">
        <f>Data!BN343</f>
        <v>94.1</v>
      </c>
      <c r="G343" s="3">
        <f>Data!N343</f>
        <v>0</v>
      </c>
      <c r="H343" s="21">
        <f>Data!BE343</f>
        <v>734</v>
      </c>
      <c r="I343" s="13">
        <f t="shared" si="70"/>
        <v>3</v>
      </c>
      <c r="J343" s="3">
        <f>Data!BR343</f>
        <v>0</v>
      </c>
      <c r="K343" s="32">
        <f t="shared" si="74"/>
        <v>3</v>
      </c>
      <c r="M343" s="22">
        <f t="shared" si="73"/>
        <v>519.1999999999997</v>
      </c>
      <c r="N343" s="22">
        <f t="shared" si="73"/>
        <v>917.29999999999984</v>
      </c>
      <c r="P343" s="24">
        <f t="shared" si="60"/>
        <v>0.1822888283378746</v>
      </c>
      <c r="Q343" s="24">
        <f t="shared" si="64"/>
        <v>0.1822888283378746</v>
      </c>
      <c r="R343" s="21">
        <f t="shared" si="65"/>
        <v>133.79999999999995</v>
      </c>
      <c r="S343" s="22">
        <f t="shared" si="66"/>
        <v>3</v>
      </c>
      <c r="T343" s="22">
        <f t="shared" si="67"/>
        <v>0</v>
      </c>
    </row>
    <row r="344" spans="1:20" x14ac:dyDescent="0.2">
      <c r="A344" s="14">
        <f t="shared" si="71"/>
        <v>39055</v>
      </c>
      <c r="B344" s="1">
        <v>338</v>
      </c>
      <c r="C344" s="16">
        <f>ROUND(Data!BI344,2)</f>
        <v>0.17</v>
      </c>
      <c r="D344" s="3">
        <f>ROUND(Data!O344,1)</f>
        <v>-4.4000000000000004</v>
      </c>
      <c r="E344" s="3">
        <f>ROUND(Data!AA344,1)</f>
        <v>-8.3000000000000007</v>
      </c>
      <c r="F344" s="3">
        <f>Data!BN344</f>
        <v>94.9</v>
      </c>
      <c r="G344" s="3">
        <f>Data!N344</f>
        <v>0</v>
      </c>
      <c r="H344" s="21">
        <f>Data!BE344</f>
        <v>719</v>
      </c>
      <c r="I344" s="13">
        <f t="shared" si="70"/>
        <v>0</v>
      </c>
      <c r="J344" s="3">
        <f>Data!BR344</f>
        <v>0</v>
      </c>
      <c r="K344" s="32">
        <f t="shared" si="74"/>
        <v>0</v>
      </c>
      <c r="M344" s="22">
        <f t="shared" si="73"/>
        <v>519.1999999999997</v>
      </c>
      <c r="N344" s="22">
        <f t="shared" si="73"/>
        <v>917.29999999999984</v>
      </c>
      <c r="P344" s="24">
        <f t="shared" si="60"/>
        <v>0.18609179415855348</v>
      </c>
      <c r="Q344" s="24">
        <f t="shared" si="64"/>
        <v>0.18609179415855348</v>
      </c>
      <c r="R344" s="21">
        <f t="shared" si="65"/>
        <v>133.79999999999995</v>
      </c>
      <c r="S344" s="22">
        <f t="shared" si="66"/>
        <v>0</v>
      </c>
      <c r="T344" s="22">
        <f t="shared" si="67"/>
        <v>0</v>
      </c>
    </row>
    <row r="345" spans="1:20" x14ac:dyDescent="0.2">
      <c r="A345" s="14">
        <f t="shared" si="71"/>
        <v>39056</v>
      </c>
      <c r="B345" s="1">
        <v>339</v>
      </c>
      <c r="C345" s="16">
        <f>ROUND(Data!BI345,2)</f>
        <v>2.33</v>
      </c>
      <c r="D345" s="3">
        <f>ROUND(Data!O345,1)</f>
        <v>-0.7</v>
      </c>
      <c r="E345" s="3">
        <f>ROUND(Data!AA345,1)</f>
        <v>-7.9</v>
      </c>
      <c r="F345" s="3">
        <f>Data!BN345</f>
        <v>94.9</v>
      </c>
      <c r="G345" s="3">
        <f>Data!N345</f>
        <v>0</v>
      </c>
      <c r="H345" s="21">
        <f>Data!BE345</f>
        <v>765</v>
      </c>
      <c r="I345" s="13">
        <f t="shared" si="70"/>
        <v>6</v>
      </c>
      <c r="J345" s="3">
        <f>Data!BR345</f>
        <v>0</v>
      </c>
      <c r="K345" s="32">
        <f t="shared" si="74"/>
        <v>6</v>
      </c>
      <c r="M345" s="22">
        <f t="shared" ref="M345:N360" si="75">J345+M344</f>
        <v>519.1999999999997</v>
      </c>
      <c r="N345" s="22">
        <f t="shared" si="75"/>
        <v>923.29999999999984</v>
      </c>
      <c r="P345" s="24">
        <f t="shared" si="60"/>
        <v>0.18274509803921563</v>
      </c>
      <c r="Q345" s="24">
        <f t="shared" si="64"/>
        <v>0.18274509803921563</v>
      </c>
      <c r="R345" s="21">
        <f t="shared" si="65"/>
        <v>139.79999999999995</v>
      </c>
      <c r="S345" s="22">
        <f t="shared" si="66"/>
        <v>6</v>
      </c>
      <c r="T345" s="22">
        <f t="shared" si="67"/>
        <v>0</v>
      </c>
    </row>
    <row r="346" spans="1:20" x14ac:dyDescent="0.2">
      <c r="A346" s="14">
        <f t="shared" si="71"/>
        <v>39057</v>
      </c>
      <c r="B346" s="1">
        <v>340</v>
      </c>
      <c r="C346" s="16">
        <f>ROUND(Data!BI346,2)</f>
        <v>2.13</v>
      </c>
      <c r="D346" s="3">
        <f>ROUND(Data!O346,1)</f>
        <v>0.7</v>
      </c>
      <c r="E346" s="3">
        <f>ROUND(Data!AA346,1)</f>
        <v>-7.4</v>
      </c>
      <c r="F346" s="3">
        <f>Data!BN346</f>
        <v>96.5</v>
      </c>
      <c r="G346" s="3">
        <f>Data!N346</f>
        <v>0</v>
      </c>
      <c r="H346" s="21">
        <f>Data!BE346</f>
        <v>750</v>
      </c>
      <c r="I346" s="13">
        <f t="shared" si="70"/>
        <v>0</v>
      </c>
      <c r="J346" s="3">
        <f>Data!BR346</f>
        <v>0.4</v>
      </c>
      <c r="K346" s="32">
        <f t="shared" si="74"/>
        <v>0</v>
      </c>
      <c r="M346" s="22">
        <f t="shared" si="75"/>
        <v>519.59999999999968</v>
      </c>
      <c r="N346" s="22">
        <f t="shared" si="75"/>
        <v>923.29999999999984</v>
      </c>
      <c r="P346" s="24">
        <f t="shared" si="60"/>
        <v>0.18639999999999993</v>
      </c>
      <c r="Q346" s="24">
        <f t="shared" si="64"/>
        <v>0.18639999999999993</v>
      </c>
      <c r="R346" s="21">
        <f t="shared" si="65"/>
        <v>139.79999999999995</v>
      </c>
      <c r="S346" s="22">
        <f t="shared" si="66"/>
        <v>0</v>
      </c>
      <c r="T346" s="22">
        <f t="shared" si="67"/>
        <v>0</v>
      </c>
    </row>
    <row r="347" spans="1:20" x14ac:dyDescent="0.2">
      <c r="A347" s="14">
        <f t="shared" si="71"/>
        <v>39058</v>
      </c>
      <c r="B347" s="1">
        <v>341</v>
      </c>
      <c r="C347" s="16">
        <f>ROUND(Data!BI347,2)</f>
        <v>1.57</v>
      </c>
      <c r="D347" s="3">
        <f>ROUND(Data!O347,1)</f>
        <v>-0.8</v>
      </c>
      <c r="E347" s="3">
        <f>ROUND(Data!AA347,1)</f>
        <v>-7.8</v>
      </c>
      <c r="F347" s="3">
        <f>Data!BN347</f>
        <v>97.4</v>
      </c>
      <c r="G347" s="3">
        <f>Data!N347</f>
        <v>0</v>
      </c>
      <c r="H347" s="21">
        <f>Data!BE347</f>
        <v>712</v>
      </c>
      <c r="I347" s="13">
        <f t="shared" si="70"/>
        <v>0</v>
      </c>
      <c r="J347" s="3">
        <f>Data!BR347</f>
        <v>0</v>
      </c>
      <c r="K347" s="32">
        <f t="shared" si="74"/>
        <v>0</v>
      </c>
      <c r="M347" s="22">
        <f t="shared" si="75"/>
        <v>519.59999999999968</v>
      </c>
      <c r="N347" s="22">
        <f t="shared" si="75"/>
        <v>923.29999999999984</v>
      </c>
      <c r="P347" s="24">
        <f t="shared" si="60"/>
        <v>0.19634831460674151</v>
      </c>
      <c r="Q347" s="24">
        <f t="shared" si="64"/>
        <v>0.19634831460674151</v>
      </c>
      <c r="R347" s="21">
        <f t="shared" si="65"/>
        <v>139.79999999999995</v>
      </c>
      <c r="S347" s="22">
        <f t="shared" si="66"/>
        <v>0</v>
      </c>
      <c r="T347" s="22">
        <f t="shared" si="67"/>
        <v>0</v>
      </c>
    </row>
    <row r="348" spans="1:20" x14ac:dyDescent="0.2">
      <c r="A348" s="14">
        <f t="shared" si="71"/>
        <v>39059</v>
      </c>
      <c r="B348" s="1">
        <v>342</v>
      </c>
      <c r="C348" s="16">
        <f>ROUND(Data!BI348,2)</f>
        <v>0.68</v>
      </c>
      <c r="D348" s="3">
        <f>ROUND(Data!O348,1)</f>
        <v>0</v>
      </c>
      <c r="E348" s="3">
        <f>ROUND(Data!AA348,1)</f>
        <v>-2.9</v>
      </c>
      <c r="F348" s="3">
        <f>Data!BN348</f>
        <v>93.3</v>
      </c>
      <c r="G348" s="3">
        <f>Data!N348</f>
        <v>0</v>
      </c>
      <c r="H348" s="21">
        <f>Data!BE348</f>
        <v>720</v>
      </c>
      <c r="I348" s="13">
        <f t="shared" si="70"/>
        <v>1</v>
      </c>
      <c r="J348" s="3">
        <f>Data!BR348</f>
        <v>0</v>
      </c>
      <c r="K348" s="32">
        <f t="shared" si="74"/>
        <v>1</v>
      </c>
      <c r="M348" s="22">
        <f t="shared" si="75"/>
        <v>519.59999999999968</v>
      </c>
      <c r="N348" s="22">
        <f t="shared" si="75"/>
        <v>924.29999999999984</v>
      </c>
      <c r="P348" s="24">
        <f t="shared" si="60"/>
        <v>0.19555555555555548</v>
      </c>
      <c r="Q348" s="24">
        <f t="shared" si="64"/>
        <v>0.19555555555555548</v>
      </c>
      <c r="R348" s="21">
        <f t="shared" si="65"/>
        <v>140.79999999999995</v>
      </c>
      <c r="S348" s="22">
        <f t="shared" si="66"/>
        <v>1</v>
      </c>
      <c r="T348" s="22">
        <f t="shared" si="67"/>
        <v>0</v>
      </c>
    </row>
    <row r="349" spans="1:20" x14ac:dyDescent="0.2">
      <c r="A349" s="14">
        <f t="shared" si="71"/>
        <v>39060</v>
      </c>
      <c r="B349" s="1">
        <v>343</v>
      </c>
      <c r="C349" s="16">
        <f>ROUND(Data!BI349,2)</f>
        <v>1.83</v>
      </c>
      <c r="D349" s="3">
        <f>ROUND(Data!O349,1)</f>
        <v>2.9</v>
      </c>
      <c r="E349" s="3">
        <f>ROUND(Data!AA349,1)</f>
        <v>-3.4</v>
      </c>
      <c r="F349" s="3">
        <f>Data!BN349</f>
        <v>59.6</v>
      </c>
      <c r="G349" s="3">
        <f>Data!N349</f>
        <v>0</v>
      </c>
      <c r="H349" s="21">
        <f>Data!BE349</f>
        <v>740</v>
      </c>
      <c r="I349" s="13">
        <f t="shared" si="70"/>
        <v>2.6</v>
      </c>
      <c r="J349" s="3">
        <f>Data!BR349</f>
        <v>1.2</v>
      </c>
      <c r="K349" s="32">
        <f t="shared" si="74"/>
        <v>2.6</v>
      </c>
      <c r="M349" s="22">
        <f t="shared" si="75"/>
        <v>520.79999999999973</v>
      </c>
      <c r="N349" s="22">
        <f t="shared" si="75"/>
        <v>926.89999999999986</v>
      </c>
      <c r="P349" s="24">
        <f t="shared" si="60"/>
        <v>0.19378378378378372</v>
      </c>
      <c r="Q349" s="24">
        <f t="shared" si="64"/>
        <v>0.19378378378378372</v>
      </c>
      <c r="R349" s="21">
        <f t="shared" si="65"/>
        <v>143.39999999999995</v>
      </c>
      <c r="S349" s="22">
        <f t="shared" si="66"/>
        <v>2.5999999999999943</v>
      </c>
      <c r="T349" s="22">
        <f t="shared" si="67"/>
        <v>5.773159728050814E-15</v>
      </c>
    </row>
    <row r="350" spans="1:20" x14ac:dyDescent="0.2">
      <c r="A350" s="14">
        <f t="shared" si="71"/>
        <v>39061</v>
      </c>
      <c r="B350" s="1">
        <v>344</v>
      </c>
      <c r="C350" s="16">
        <f>ROUND(Data!BI350,2)</f>
        <v>2.85</v>
      </c>
      <c r="D350" s="3">
        <f>ROUND(Data!O350,1)</f>
        <v>2.6</v>
      </c>
      <c r="E350" s="3">
        <f>ROUND(Data!AA350,1)</f>
        <v>-3.4</v>
      </c>
      <c r="F350" s="3">
        <f>Data!BN350</f>
        <v>74.400000000000006</v>
      </c>
      <c r="G350" s="3">
        <f>Data!N350</f>
        <v>0</v>
      </c>
      <c r="H350" s="21">
        <f>Data!BE350</f>
        <v>750</v>
      </c>
      <c r="I350" s="13">
        <f t="shared" si="70"/>
        <v>1.3</v>
      </c>
      <c r="J350" s="3">
        <f>Data!BR350</f>
        <v>1.4</v>
      </c>
      <c r="K350" s="32">
        <f t="shared" si="74"/>
        <v>1.3</v>
      </c>
      <c r="M350" s="22">
        <f t="shared" si="75"/>
        <v>522.1999999999997</v>
      </c>
      <c r="N350" s="22">
        <f t="shared" si="75"/>
        <v>928.19999999999982</v>
      </c>
      <c r="P350" s="24">
        <f t="shared" si="60"/>
        <v>0.19293333333333329</v>
      </c>
      <c r="Q350" s="24">
        <f t="shared" si="64"/>
        <v>0.19293333333333329</v>
      </c>
      <c r="R350" s="21">
        <f t="shared" si="65"/>
        <v>144.69999999999996</v>
      </c>
      <c r="S350" s="22">
        <f t="shared" si="66"/>
        <v>1.3000000000000114</v>
      </c>
      <c r="T350" s="22">
        <f t="shared" si="67"/>
        <v>-1.1324274851176597E-14</v>
      </c>
    </row>
    <row r="351" spans="1:20" x14ac:dyDescent="0.2">
      <c r="A351" s="14">
        <f t="shared" si="71"/>
        <v>39062</v>
      </c>
      <c r="B351" s="1">
        <v>345</v>
      </c>
      <c r="C351" s="16">
        <f>ROUND(Data!BI351,2)</f>
        <v>0.32</v>
      </c>
      <c r="D351" s="3">
        <f>ROUND(Data!O351,1)</f>
        <v>-0.3</v>
      </c>
      <c r="E351" s="3">
        <f>ROUND(Data!AA351,1)</f>
        <v>-1.8</v>
      </c>
      <c r="F351" s="3">
        <f>Data!BN351</f>
        <v>77.599999999999994</v>
      </c>
      <c r="G351" s="3">
        <f>Data!N351</f>
        <v>0</v>
      </c>
      <c r="H351" s="21">
        <f>Data!BE351</f>
        <v>774</v>
      </c>
      <c r="I351" s="13">
        <f t="shared" si="70"/>
        <v>3.1</v>
      </c>
      <c r="J351" s="3">
        <f>Data!BR351</f>
        <v>0.8</v>
      </c>
      <c r="K351" s="32">
        <f t="shared" si="74"/>
        <v>3.1</v>
      </c>
      <c r="M351" s="22">
        <f t="shared" si="75"/>
        <v>522.99999999999966</v>
      </c>
      <c r="N351" s="22">
        <f t="shared" si="75"/>
        <v>931.29999999999984</v>
      </c>
      <c r="P351" s="24">
        <f t="shared" si="60"/>
        <v>0.19095607235142112</v>
      </c>
      <c r="Q351" s="24">
        <f t="shared" si="64"/>
        <v>0.19095607235142112</v>
      </c>
      <c r="R351" s="21">
        <f t="shared" si="65"/>
        <v>147.79999999999995</v>
      </c>
      <c r="S351" s="22">
        <f t="shared" si="66"/>
        <v>3.0999999999999943</v>
      </c>
      <c r="T351" s="22">
        <f t="shared" si="67"/>
        <v>5.773159728050814E-15</v>
      </c>
    </row>
    <row r="352" spans="1:20" x14ac:dyDescent="0.2">
      <c r="A352" s="14">
        <f t="shared" si="71"/>
        <v>39063</v>
      </c>
      <c r="B352" s="1">
        <v>346</v>
      </c>
      <c r="C352" s="16">
        <f>ROUND(Data!BI352,2)</f>
        <v>4.12</v>
      </c>
      <c r="D352" s="3">
        <f>ROUND(Data!O352,1)</f>
        <v>-1</v>
      </c>
      <c r="E352" s="3">
        <f>ROUND(Data!AA352,1)</f>
        <v>-6.3</v>
      </c>
      <c r="F352" s="3">
        <f>Data!BN352</f>
        <v>75.3</v>
      </c>
      <c r="G352" s="3">
        <f>Data!N352</f>
        <v>0</v>
      </c>
      <c r="H352" s="21">
        <f>Data!BE352</f>
        <v>794</v>
      </c>
      <c r="I352" s="13">
        <f t="shared" si="70"/>
        <v>2.6</v>
      </c>
      <c r="J352" s="3">
        <f>Data!BR352</f>
        <v>2.4</v>
      </c>
      <c r="K352" s="32">
        <f t="shared" si="74"/>
        <v>2.6</v>
      </c>
      <c r="M352" s="22">
        <f t="shared" si="75"/>
        <v>525.39999999999964</v>
      </c>
      <c r="N352" s="22">
        <f t="shared" si="75"/>
        <v>933.89999999999986</v>
      </c>
      <c r="P352" s="24">
        <f t="shared" si="60"/>
        <v>0.18942065491183874</v>
      </c>
      <c r="Q352" s="24">
        <f t="shared" si="64"/>
        <v>0.18942065491183874</v>
      </c>
      <c r="R352" s="21">
        <f t="shared" si="65"/>
        <v>150.39999999999995</v>
      </c>
      <c r="S352" s="22">
        <f t="shared" si="66"/>
        <v>2.5999999999999943</v>
      </c>
      <c r="T352" s="22">
        <f t="shared" si="67"/>
        <v>5.773159728050814E-15</v>
      </c>
    </row>
    <row r="353" spans="1:20" x14ac:dyDescent="0.2">
      <c r="A353" s="14">
        <f t="shared" si="71"/>
        <v>39064</v>
      </c>
      <c r="B353" s="1">
        <v>347</v>
      </c>
      <c r="C353" s="16">
        <f>ROUND(Data!BI353,2)</f>
        <v>2.11</v>
      </c>
      <c r="D353" s="3">
        <f>ROUND(Data!O353,1)</f>
        <v>0.5</v>
      </c>
      <c r="E353" s="3">
        <f>ROUND(Data!AA353,1)</f>
        <v>-5</v>
      </c>
      <c r="F353" s="3">
        <f>Data!BN353</f>
        <v>70.3</v>
      </c>
      <c r="G353" s="3">
        <f>Data!N353</f>
        <v>0</v>
      </c>
      <c r="H353" s="21">
        <f>Data!BE353</f>
        <v>810</v>
      </c>
      <c r="I353" s="13">
        <f t="shared" si="70"/>
        <v>2.1</v>
      </c>
      <c r="J353" s="3">
        <f>Data!BR353</f>
        <v>1.4</v>
      </c>
      <c r="K353" s="32">
        <f t="shared" si="74"/>
        <v>2.1</v>
      </c>
      <c r="M353" s="22">
        <f t="shared" si="75"/>
        <v>526.79999999999961</v>
      </c>
      <c r="N353" s="22">
        <f t="shared" si="75"/>
        <v>935.99999999999989</v>
      </c>
      <c r="P353" s="24">
        <f t="shared" si="60"/>
        <v>0.18827160493827153</v>
      </c>
      <c r="Q353" s="24">
        <f t="shared" si="64"/>
        <v>0.18827160493827153</v>
      </c>
      <c r="R353" s="21">
        <f t="shared" si="65"/>
        <v>152.49999999999994</v>
      </c>
      <c r="S353" s="22">
        <f t="shared" si="66"/>
        <v>2.0999999999999943</v>
      </c>
      <c r="T353" s="22">
        <f t="shared" si="67"/>
        <v>5.773159728050814E-15</v>
      </c>
    </row>
    <row r="354" spans="1:20" x14ac:dyDescent="0.2">
      <c r="A354" s="14">
        <f t="shared" si="71"/>
        <v>39065</v>
      </c>
      <c r="B354" s="1">
        <v>348</v>
      </c>
      <c r="C354" s="16">
        <f>ROUND(Data!BI354,2)</f>
        <v>1.74</v>
      </c>
      <c r="D354" s="3">
        <f>ROUND(Data!O354,1)</f>
        <v>-1.8</v>
      </c>
      <c r="E354" s="3">
        <f>ROUND(Data!AA354,1)</f>
        <v>-11.2</v>
      </c>
      <c r="F354" s="3">
        <f>Data!BN354</f>
        <v>63.3</v>
      </c>
      <c r="G354" s="3">
        <f>Data!N354</f>
        <v>0</v>
      </c>
      <c r="H354" s="21">
        <f>Data!BE354</f>
        <v>867</v>
      </c>
      <c r="I354" s="13">
        <f t="shared" si="70"/>
        <v>7.4</v>
      </c>
      <c r="J354" s="3">
        <f>Data!BR354</f>
        <v>0</v>
      </c>
      <c r="K354" s="32">
        <f t="shared" si="74"/>
        <v>7.4</v>
      </c>
      <c r="M354" s="22">
        <f t="shared" si="75"/>
        <v>526.79999999999961</v>
      </c>
      <c r="N354" s="22">
        <f t="shared" si="75"/>
        <v>943.39999999999986</v>
      </c>
      <c r="P354" s="24">
        <f t="shared" si="60"/>
        <v>0.18442906574394458</v>
      </c>
      <c r="Q354" s="24">
        <f t="shared" si="64"/>
        <v>0.18442906574394458</v>
      </c>
      <c r="R354" s="21">
        <f t="shared" si="65"/>
        <v>159.89999999999995</v>
      </c>
      <c r="S354" s="22">
        <f t="shared" si="66"/>
        <v>7.4000000000000057</v>
      </c>
      <c r="T354" s="22">
        <f t="shared" si="67"/>
        <v>0</v>
      </c>
    </row>
    <row r="355" spans="1:20" x14ac:dyDescent="0.2">
      <c r="A355" s="14">
        <f t="shared" si="71"/>
        <v>39066</v>
      </c>
      <c r="B355" s="1">
        <v>349</v>
      </c>
      <c r="C355" s="16">
        <f>ROUND(Data!BI355,2)</f>
        <v>0.4</v>
      </c>
      <c r="D355" s="3">
        <f>ROUND(Data!O355,1)</f>
        <v>-1.3</v>
      </c>
      <c r="E355" s="3">
        <f>ROUND(Data!AA355,1)</f>
        <v>-16.7</v>
      </c>
      <c r="F355" s="3">
        <f>Data!BN355</f>
        <v>90.1</v>
      </c>
      <c r="G355" s="3">
        <f>Data!N355</f>
        <v>0</v>
      </c>
      <c r="H355" s="21">
        <f>Data!BE355</f>
        <v>936</v>
      </c>
      <c r="I355" s="13">
        <f t="shared" si="70"/>
        <v>9</v>
      </c>
      <c r="J355" s="3">
        <f>Data!BR355</f>
        <v>0</v>
      </c>
      <c r="K355" s="32">
        <f t="shared" si="74"/>
        <v>9</v>
      </c>
      <c r="M355" s="22">
        <f t="shared" si="75"/>
        <v>526.79999999999961</v>
      </c>
      <c r="N355" s="22">
        <f t="shared" si="75"/>
        <v>952.39999999999986</v>
      </c>
      <c r="P355" s="24">
        <f t="shared" si="60"/>
        <v>0.18044871794871789</v>
      </c>
      <c r="Q355" s="24">
        <f t="shared" si="64"/>
        <v>0.18044871794871789</v>
      </c>
      <c r="R355" s="21">
        <f t="shared" si="65"/>
        <v>168.89999999999995</v>
      </c>
      <c r="S355" s="22">
        <f t="shared" si="66"/>
        <v>9</v>
      </c>
      <c r="T355" s="22">
        <f t="shared" si="67"/>
        <v>0</v>
      </c>
    </row>
    <row r="356" spans="1:20" x14ac:dyDescent="0.2">
      <c r="A356" s="14">
        <f t="shared" si="71"/>
        <v>39067</v>
      </c>
      <c r="B356" s="1">
        <v>350</v>
      </c>
      <c r="C356" s="16">
        <f>ROUND(Data!BI356,2)</f>
        <v>2.86</v>
      </c>
      <c r="D356" s="3">
        <f>ROUND(Data!O356,1)</f>
        <v>-9.1</v>
      </c>
      <c r="E356" s="3">
        <f>ROUND(Data!AA356,1)</f>
        <v>-23.5</v>
      </c>
      <c r="F356" s="3">
        <f>Data!BN356</f>
        <v>82.8</v>
      </c>
      <c r="G356" s="3">
        <f>Data!N356</f>
        <v>0</v>
      </c>
      <c r="H356" s="21">
        <f>Data!BE356</f>
        <v>899</v>
      </c>
      <c r="I356" s="13">
        <f t="shared" si="70"/>
        <v>0</v>
      </c>
      <c r="J356" s="3">
        <f>Data!BR356</f>
        <v>0</v>
      </c>
      <c r="K356" s="32">
        <f t="shared" si="74"/>
        <v>0</v>
      </c>
      <c r="M356" s="22">
        <f t="shared" si="75"/>
        <v>526.79999999999961</v>
      </c>
      <c r="N356" s="22">
        <f t="shared" si="75"/>
        <v>952.39999999999986</v>
      </c>
      <c r="P356" s="24">
        <f t="shared" si="60"/>
        <v>0.18787541713014455</v>
      </c>
      <c r="Q356" s="24">
        <f t="shared" si="64"/>
        <v>0.18787541713014455</v>
      </c>
      <c r="R356" s="21">
        <f t="shared" si="65"/>
        <v>168.89999999999995</v>
      </c>
      <c r="S356" s="22">
        <f t="shared" si="66"/>
        <v>0</v>
      </c>
      <c r="T356" s="22">
        <f t="shared" si="67"/>
        <v>0</v>
      </c>
    </row>
    <row r="357" spans="1:20" x14ac:dyDescent="0.2">
      <c r="A357" s="14">
        <f t="shared" si="71"/>
        <v>39068</v>
      </c>
      <c r="B357" s="1">
        <v>351</v>
      </c>
      <c r="C357" s="16">
        <f>ROUND(Data!BI357,2)</f>
        <v>1.61</v>
      </c>
      <c r="D357" s="3">
        <f>ROUND(Data!O357,1)</f>
        <v>-7.3</v>
      </c>
      <c r="E357" s="3">
        <f>ROUND(Data!AA357,1)</f>
        <v>-17.2</v>
      </c>
      <c r="F357" s="3">
        <f>Data!BN357</f>
        <v>85.8</v>
      </c>
      <c r="G357" s="3">
        <f>Data!N357</f>
        <v>0</v>
      </c>
      <c r="H357" s="21">
        <f>Data!BE357</f>
        <v>845</v>
      </c>
      <c r="I357" s="13">
        <f t="shared" si="70"/>
        <v>0</v>
      </c>
      <c r="J357" s="3">
        <f>Data!BR357</f>
        <v>0.2</v>
      </c>
      <c r="K357" s="32">
        <f t="shared" si="74"/>
        <v>0</v>
      </c>
      <c r="M357" s="22">
        <f t="shared" si="75"/>
        <v>526.99999999999966</v>
      </c>
      <c r="N357" s="22">
        <f t="shared" si="75"/>
        <v>952.39999999999986</v>
      </c>
      <c r="P357" s="24">
        <f t="shared" si="60"/>
        <v>0.19988165680473366</v>
      </c>
      <c r="Q357" s="24">
        <f t="shared" si="64"/>
        <v>0.19988165680473366</v>
      </c>
      <c r="R357" s="21">
        <f t="shared" si="65"/>
        <v>168.89999999999995</v>
      </c>
      <c r="S357" s="22">
        <f t="shared" si="66"/>
        <v>0</v>
      </c>
      <c r="T357" s="22">
        <f t="shared" si="67"/>
        <v>0</v>
      </c>
    </row>
    <row r="358" spans="1:20" x14ac:dyDescent="0.2">
      <c r="A358" s="14">
        <f t="shared" si="71"/>
        <v>39069</v>
      </c>
      <c r="B358" s="1">
        <v>352</v>
      </c>
      <c r="C358" s="16">
        <f>ROUND(Data!BI358,2)</f>
        <v>0.41</v>
      </c>
      <c r="D358" s="3">
        <f>ROUND(Data!O358,1)</f>
        <v>-5.8</v>
      </c>
      <c r="E358" s="3">
        <f>ROUND(Data!AA358,1)</f>
        <v>-13.8</v>
      </c>
      <c r="F358" s="3">
        <f>Data!BN358</f>
        <v>87.7</v>
      </c>
      <c r="G358" s="3">
        <f>Data!N358</f>
        <v>0</v>
      </c>
      <c r="H358" s="21">
        <f>Data!BE358</f>
        <v>864</v>
      </c>
      <c r="I358" s="13">
        <f t="shared" si="70"/>
        <v>2.5</v>
      </c>
      <c r="J358" s="3">
        <f>Data!BR358</f>
        <v>0</v>
      </c>
      <c r="K358" s="32">
        <f t="shared" si="74"/>
        <v>2.5</v>
      </c>
      <c r="M358" s="22">
        <f t="shared" si="75"/>
        <v>526.99999999999966</v>
      </c>
      <c r="N358" s="22">
        <f t="shared" si="75"/>
        <v>954.89999999999986</v>
      </c>
      <c r="P358" s="24">
        <f t="shared" si="60"/>
        <v>0.19837962962962957</v>
      </c>
      <c r="Q358" s="24">
        <f t="shared" si="64"/>
        <v>0.19837962962962957</v>
      </c>
      <c r="R358" s="21">
        <f t="shared" si="65"/>
        <v>171.39999999999995</v>
      </c>
      <c r="S358" s="22">
        <f t="shared" si="66"/>
        <v>2.5</v>
      </c>
      <c r="T358" s="22">
        <f t="shared" si="67"/>
        <v>0</v>
      </c>
    </row>
    <row r="359" spans="1:20" x14ac:dyDescent="0.2">
      <c r="A359" s="14">
        <f t="shared" si="71"/>
        <v>39070</v>
      </c>
      <c r="B359" s="1">
        <v>353</v>
      </c>
      <c r="C359" s="16">
        <f>ROUND(Data!BI359,2)</f>
        <v>0.98</v>
      </c>
      <c r="D359" s="3">
        <f>ROUND(Data!O359,1)</f>
        <v>-2.1</v>
      </c>
      <c r="E359" s="3">
        <f>ROUND(Data!AA359,1)</f>
        <v>-7.8</v>
      </c>
      <c r="F359" s="3">
        <f>Data!BN359</f>
        <v>85</v>
      </c>
      <c r="G359" s="3">
        <f>Data!N359</f>
        <v>0</v>
      </c>
      <c r="H359" s="21">
        <f>Data!BE359</f>
        <v>843</v>
      </c>
      <c r="I359" s="13">
        <f t="shared" si="70"/>
        <v>0</v>
      </c>
      <c r="J359" s="3">
        <f>Data!BR359</f>
        <v>0</v>
      </c>
      <c r="K359" s="32">
        <f t="shared" si="74"/>
        <v>0</v>
      </c>
      <c r="M359" s="22">
        <f t="shared" si="75"/>
        <v>526.99999999999966</v>
      </c>
      <c r="N359" s="22">
        <f t="shared" si="75"/>
        <v>954.89999999999986</v>
      </c>
      <c r="P359" s="24">
        <f t="shared" si="60"/>
        <v>0.20332147093712924</v>
      </c>
      <c r="Q359" s="24">
        <f t="shared" si="64"/>
        <v>0.20332147093712924</v>
      </c>
      <c r="R359" s="21">
        <f t="shared" si="65"/>
        <v>171.39999999999995</v>
      </c>
      <c r="S359" s="22">
        <f t="shared" si="66"/>
        <v>0</v>
      </c>
      <c r="T359" s="22">
        <f t="shared" si="67"/>
        <v>0</v>
      </c>
    </row>
    <row r="360" spans="1:20" x14ac:dyDescent="0.2">
      <c r="A360" s="14">
        <f t="shared" si="71"/>
        <v>39071</v>
      </c>
      <c r="B360" s="1">
        <v>354</v>
      </c>
      <c r="C360" s="16">
        <f>ROUND(Data!BI360,2)</f>
        <v>0.81</v>
      </c>
      <c r="D360" s="3">
        <f>ROUND(Data!O360,1)</f>
        <v>-0.8</v>
      </c>
      <c r="E360" s="3">
        <f>ROUND(Data!AA360,1)</f>
        <v>-5.6</v>
      </c>
      <c r="F360" s="3">
        <f>Data!BN360</f>
        <v>54.8</v>
      </c>
      <c r="G360" s="3">
        <f>Data!N360</f>
        <v>0</v>
      </c>
      <c r="H360" s="21">
        <f>Data!BE360</f>
        <v>819</v>
      </c>
      <c r="I360" s="13">
        <f t="shared" si="70"/>
        <v>0</v>
      </c>
      <c r="J360" s="3">
        <f>Data!BR360</f>
        <v>0</v>
      </c>
      <c r="K360" s="32">
        <f t="shared" si="74"/>
        <v>0</v>
      </c>
      <c r="M360" s="22">
        <f t="shared" si="75"/>
        <v>526.99999999999966</v>
      </c>
      <c r="N360" s="22">
        <f t="shared" si="75"/>
        <v>954.89999999999986</v>
      </c>
      <c r="P360" s="24">
        <f t="shared" si="60"/>
        <v>0.20927960927960923</v>
      </c>
      <c r="Q360" s="24">
        <f t="shared" si="64"/>
        <v>0.20927960927960923</v>
      </c>
      <c r="R360" s="21">
        <f t="shared" ref="R360:R371" si="76">Q360*H360</f>
        <v>171.39999999999995</v>
      </c>
      <c r="S360" s="22">
        <f t="shared" si="66"/>
        <v>0</v>
      </c>
      <c r="T360" s="22">
        <f t="shared" si="67"/>
        <v>0</v>
      </c>
    </row>
    <row r="361" spans="1:20" x14ac:dyDescent="0.2">
      <c r="A361" s="14">
        <f t="shared" si="71"/>
        <v>39072</v>
      </c>
      <c r="B361" s="1">
        <v>355</v>
      </c>
      <c r="C361" s="16">
        <f>ROUND(Data!BI361,2)</f>
        <v>2.7</v>
      </c>
      <c r="D361" s="3">
        <f>ROUND(Data!O361,1)</f>
        <v>-1.1000000000000001</v>
      </c>
      <c r="E361" s="3">
        <f>ROUND(Data!AA361,1)</f>
        <v>-6.2</v>
      </c>
      <c r="F361" s="3">
        <f>Data!BN361</f>
        <v>63.2</v>
      </c>
      <c r="G361" s="3">
        <f>Data!N361</f>
        <v>0</v>
      </c>
      <c r="H361" s="21">
        <f>Data!BE361</f>
        <v>832</v>
      </c>
      <c r="I361" s="13">
        <f t="shared" si="70"/>
        <v>1.7</v>
      </c>
      <c r="J361" s="3">
        <f>Data!BR361</f>
        <v>0</v>
      </c>
      <c r="K361" s="32">
        <f t="shared" si="74"/>
        <v>1.7</v>
      </c>
      <c r="M361" s="22">
        <f t="shared" ref="M361:N371" si="77">J361+M360</f>
        <v>526.99999999999966</v>
      </c>
      <c r="N361" s="22">
        <f t="shared" si="77"/>
        <v>956.59999999999991</v>
      </c>
      <c r="P361" s="24">
        <f t="shared" si="60"/>
        <v>0.20805288461538454</v>
      </c>
      <c r="Q361" s="24">
        <f t="shared" ref="Q361:Q371" si="78">IF(P361&gt;Q$1,Q$1,P361)</f>
        <v>0.20805288461538454</v>
      </c>
      <c r="R361" s="21">
        <f t="shared" si="76"/>
        <v>173.09999999999994</v>
      </c>
      <c r="S361" s="22">
        <f t="shared" ref="S361:S371" si="79">R361-R360</f>
        <v>1.6999999999999886</v>
      </c>
      <c r="T361" s="22">
        <f t="shared" ref="T361:T371" si="80">K361-S361</f>
        <v>1.1324274851176597E-14</v>
      </c>
    </row>
    <row r="362" spans="1:20" x14ac:dyDescent="0.2">
      <c r="A362" s="14">
        <f t="shared" si="71"/>
        <v>39073</v>
      </c>
      <c r="B362" s="1">
        <v>356</v>
      </c>
      <c r="C362" s="16">
        <f>ROUND(Data!BI362,2)</f>
        <v>2.04</v>
      </c>
      <c r="D362" s="3">
        <f>ROUND(Data!O362,1)</f>
        <v>-2.9</v>
      </c>
      <c r="E362" s="3">
        <f>ROUND(Data!AA362,1)</f>
        <v>-7.9</v>
      </c>
      <c r="F362" s="3">
        <f>Data!BN362</f>
        <v>59.3</v>
      </c>
      <c r="G362" s="3">
        <f>Data!N362</f>
        <v>0</v>
      </c>
      <c r="H362" s="21">
        <f>Data!BE362</f>
        <v>806</v>
      </c>
      <c r="I362" s="13">
        <f t="shared" si="70"/>
        <v>0</v>
      </c>
      <c r="J362" s="3">
        <f>Data!BR362</f>
        <v>0.6</v>
      </c>
      <c r="K362" s="32">
        <f t="shared" si="74"/>
        <v>0</v>
      </c>
      <c r="M362" s="22">
        <f t="shared" si="77"/>
        <v>527.59999999999968</v>
      </c>
      <c r="N362" s="22">
        <f t="shared" si="77"/>
        <v>956.59999999999991</v>
      </c>
      <c r="P362" s="24">
        <f t="shared" si="60"/>
        <v>0.21476426799007436</v>
      </c>
      <c r="Q362" s="24">
        <f t="shared" si="78"/>
        <v>0.21476426799007436</v>
      </c>
      <c r="R362" s="21">
        <f t="shared" si="76"/>
        <v>173.09999999999994</v>
      </c>
      <c r="S362" s="22">
        <f t="shared" si="79"/>
        <v>0</v>
      </c>
      <c r="T362" s="22">
        <f t="shared" si="80"/>
        <v>0</v>
      </c>
    </row>
    <row r="363" spans="1:20" x14ac:dyDescent="0.2">
      <c r="A363" s="14">
        <f t="shared" si="71"/>
        <v>39074</v>
      </c>
      <c r="B363" s="1">
        <v>357</v>
      </c>
      <c r="C363" s="16">
        <f>ROUND(Data!BI363,2)</f>
        <v>0.48</v>
      </c>
      <c r="D363" s="3">
        <f>ROUND(Data!O363,1)</f>
        <v>-5</v>
      </c>
      <c r="E363" s="3">
        <f>ROUND(Data!AA363,1)</f>
        <v>-14.2</v>
      </c>
      <c r="F363" s="3">
        <f>Data!BN363</f>
        <v>62.3</v>
      </c>
      <c r="G363" s="3">
        <f>Data!N363</f>
        <v>0</v>
      </c>
      <c r="H363" s="21">
        <f>Data!BE363</f>
        <v>876</v>
      </c>
      <c r="I363" s="13">
        <f t="shared" si="70"/>
        <v>9.1</v>
      </c>
      <c r="J363" s="3">
        <f>Data!BR363</f>
        <v>0</v>
      </c>
      <c r="K363" s="32">
        <f t="shared" si="74"/>
        <v>9.1</v>
      </c>
      <c r="M363" s="22">
        <f t="shared" si="77"/>
        <v>527.59999999999968</v>
      </c>
      <c r="N363" s="22">
        <f t="shared" si="77"/>
        <v>965.69999999999993</v>
      </c>
      <c r="P363" s="24">
        <f t="shared" si="60"/>
        <v>0.20799086757990859</v>
      </c>
      <c r="Q363" s="24">
        <f t="shared" si="78"/>
        <v>0.20799086757990859</v>
      </c>
      <c r="R363" s="21">
        <f t="shared" si="76"/>
        <v>182.19999999999993</v>
      </c>
      <c r="S363" s="22">
        <f t="shared" si="79"/>
        <v>9.0999999999999943</v>
      </c>
      <c r="T363" s="22">
        <f t="shared" si="80"/>
        <v>0</v>
      </c>
    </row>
    <row r="364" spans="1:20" x14ac:dyDescent="0.2">
      <c r="A364" s="14">
        <f t="shared" si="71"/>
        <v>39075</v>
      </c>
      <c r="B364" s="1">
        <v>358</v>
      </c>
      <c r="C364" s="16">
        <f>ROUND(Data!BI364,2)</f>
        <v>0.45</v>
      </c>
      <c r="D364" s="3">
        <f>ROUND(Data!O364,1)</f>
        <v>-4</v>
      </c>
      <c r="E364" s="3">
        <f>ROUND(Data!AA364,1)</f>
        <v>-20.100000000000001</v>
      </c>
      <c r="F364" s="3">
        <f>Data!BN364</f>
        <v>55.9</v>
      </c>
      <c r="G364" s="3">
        <f>Data!N364</f>
        <v>0</v>
      </c>
      <c r="H364" s="21">
        <f>Data!BE364</f>
        <v>903</v>
      </c>
      <c r="I364" s="13">
        <f t="shared" si="70"/>
        <v>3.5</v>
      </c>
      <c r="J364" s="3">
        <f>Data!BR364</f>
        <v>0</v>
      </c>
      <c r="K364" s="32">
        <f t="shared" si="74"/>
        <v>3.5</v>
      </c>
      <c r="M364" s="22">
        <f t="shared" si="77"/>
        <v>527.59999999999968</v>
      </c>
      <c r="N364" s="22">
        <f t="shared" si="77"/>
        <v>969.19999999999993</v>
      </c>
      <c r="P364" s="24">
        <f t="shared" si="60"/>
        <v>0.20564784053156138</v>
      </c>
      <c r="Q364" s="24">
        <f t="shared" si="78"/>
        <v>0.20564784053156138</v>
      </c>
      <c r="R364" s="21">
        <f t="shared" si="76"/>
        <v>185.69999999999993</v>
      </c>
      <c r="S364" s="22">
        <f t="shared" si="79"/>
        <v>3.5</v>
      </c>
      <c r="T364" s="22">
        <f t="shared" si="80"/>
        <v>0</v>
      </c>
    </row>
    <row r="365" spans="1:20" x14ac:dyDescent="0.2">
      <c r="A365" s="14">
        <f t="shared" si="71"/>
        <v>39076</v>
      </c>
      <c r="B365" s="1">
        <v>359</v>
      </c>
      <c r="C365" s="16">
        <f>ROUND(Data!BI365,2)</f>
        <v>3.27</v>
      </c>
      <c r="D365" s="3">
        <f>ROUND(Data!O365,1)</f>
        <v>-1.9</v>
      </c>
      <c r="E365" s="3">
        <f>ROUND(Data!AA365,1)</f>
        <v>-9</v>
      </c>
      <c r="F365" s="3">
        <f>Data!BN365</f>
        <v>63</v>
      </c>
      <c r="G365" s="3">
        <f>Data!N365</f>
        <v>0</v>
      </c>
      <c r="H365" s="21">
        <f>Data!BE365</f>
        <v>879</v>
      </c>
      <c r="I365" s="13">
        <f t="shared" si="70"/>
        <v>0</v>
      </c>
      <c r="J365" s="3">
        <f>Data!BR365</f>
        <v>5.2</v>
      </c>
      <c r="K365" s="32">
        <f t="shared" si="74"/>
        <v>0</v>
      </c>
      <c r="M365" s="22">
        <f t="shared" si="77"/>
        <v>532.79999999999973</v>
      </c>
      <c r="N365" s="22">
        <f t="shared" si="77"/>
        <v>969.19999999999993</v>
      </c>
      <c r="P365" s="24">
        <f t="shared" si="60"/>
        <v>0.2112627986348122</v>
      </c>
      <c r="Q365" s="24">
        <f t="shared" si="78"/>
        <v>0.2112627986348122</v>
      </c>
      <c r="R365" s="21">
        <f t="shared" si="76"/>
        <v>185.69999999999993</v>
      </c>
      <c r="S365" s="22">
        <f t="shared" si="79"/>
        <v>0</v>
      </c>
      <c r="T365" s="22">
        <f t="shared" si="80"/>
        <v>0</v>
      </c>
    </row>
    <row r="366" spans="1:20" x14ac:dyDescent="0.2">
      <c r="A366" s="14">
        <f t="shared" si="71"/>
        <v>39077</v>
      </c>
      <c r="B366" s="1">
        <v>360</v>
      </c>
      <c r="C366" s="16">
        <f>ROUND(Data!BI366,2)</f>
        <v>2.2200000000000002</v>
      </c>
      <c r="D366" s="3">
        <f>ROUND(Data!O366,1)</f>
        <v>-3</v>
      </c>
      <c r="E366" s="3">
        <f>ROUND(Data!AA366,1)</f>
        <v>-8.4</v>
      </c>
      <c r="F366" s="3">
        <f>Data!BN366</f>
        <v>64.5</v>
      </c>
      <c r="G366" s="3">
        <f>Data!N366</f>
        <v>0</v>
      </c>
      <c r="H366" s="21">
        <f>Data!BE366</f>
        <v>829</v>
      </c>
      <c r="I366" s="13">
        <f t="shared" si="70"/>
        <v>0</v>
      </c>
      <c r="J366" s="3">
        <f>Data!BR366</f>
        <v>0</v>
      </c>
      <c r="K366" s="32">
        <f t="shared" si="74"/>
        <v>0</v>
      </c>
      <c r="M366" s="22">
        <f t="shared" si="77"/>
        <v>532.79999999999973</v>
      </c>
      <c r="N366" s="22">
        <f t="shared" si="77"/>
        <v>969.19999999999993</v>
      </c>
      <c r="P366" s="24">
        <f t="shared" si="60"/>
        <v>0.22400482509047037</v>
      </c>
      <c r="Q366" s="24">
        <f t="shared" si="78"/>
        <v>0.22400482509047037</v>
      </c>
      <c r="R366" s="21">
        <f t="shared" si="76"/>
        <v>185.69999999999993</v>
      </c>
      <c r="S366" s="22">
        <f t="shared" si="79"/>
        <v>0</v>
      </c>
      <c r="T366" s="22">
        <f t="shared" si="80"/>
        <v>0</v>
      </c>
    </row>
    <row r="367" spans="1:20" x14ac:dyDescent="0.2">
      <c r="A367" s="14">
        <f t="shared" si="71"/>
        <v>39078</v>
      </c>
      <c r="B367" s="1">
        <v>361</v>
      </c>
      <c r="C367" s="16">
        <f>ROUND(Data!BI367,2)</f>
        <v>0.71</v>
      </c>
      <c r="D367" s="3">
        <f>ROUND(Data!O367,1)</f>
        <v>-5.2</v>
      </c>
      <c r="E367" s="3">
        <f>ROUND(Data!AA367,1)</f>
        <v>-11.8</v>
      </c>
      <c r="F367" s="3">
        <f>Data!BN367</f>
        <v>92.8</v>
      </c>
      <c r="G367" s="3">
        <f>Data!N367</f>
        <v>0</v>
      </c>
      <c r="H367" s="21">
        <f>Data!BE367</f>
        <v>870</v>
      </c>
      <c r="I367" s="13">
        <f t="shared" si="70"/>
        <v>5.3</v>
      </c>
      <c r="J367" s="3">
        <f>Data!BR367</f>
        <v>0</v>
      </c>
      <c r="K367" s="32">
        <f t="shared" si="74"/>
        <v>5.3</v>
      </c>
      <c r="M367" s="22">
        <f t="shared" si="77"/>
        <v>532.79999999999973</v>
      </c>
      <c r="N367" s="22">
        <f t="shared" si="77"/>
        <v>974.49999999999989</v>
      </c>
      <c r="P367" s="24">
        <f t="shared" si="60"/>
        <v>0.21954022988505742</v>
      </c>
      <c r="Q367" s="24">
        <f t="shared" si="78"/>
        <v>0.21954022988505742</v>
      </c>
      <c r="R367" s="21">
        <f t="shared" si="76"/>
        <v>190.99999999999994</v>
      </c>
      <c r="S367" s="22">
        <f t="shared" si="79"/>
        <v>5.3000000000000114</v>
      </c>
      <c r="T367" s="22">
        <f t="shared" si="80"/>
        <v>-1.1546319456101628E-14</v>
      </c>
    </row>
    <row r="368" spans="1:20" x14ac:dyDescent="0.2">
      <c r="A368" s="14">
        <f t="shared" si="71"/>
        <v>39079</v>
      </c>
      <c r="B368" s="1">
        <v>362</v>
      </c>
      <c r="C368" s="16">
        <f>ROUND(Data!BI368,2)</f>
        <v>4.2</v>
      </c>
      <c r="D368" s="3">
        <f>ROUND(Data!O368,1)</f>
        <v>-7.5</v>
      </c>
      <c r="E368" s="3">
        <f>ROUND(Data!AA368,1)</f>
        <v>-20</v>
      </c>
      <c r="F368" s="3">
        <f>Data!BN368</f>
        <v>83.4</v>
      </c>
      <c r="G368" s="3">
        <f>Data!N368</f>
        <v>0</v>
      </c>
      <c r="H368" s="21">
        <f>Data!BE368</f>
        <v>903</v>
      </c>
      <c r="I368" s="13">
        <f t="shared" si="70"/>
        <v>4.3</v>
      </c>
      <c r="J368" s="3">
        <f>Data!BR368</f>
        <v>0.6</v>
      </c>
      <c r="K368" s="32">
        <f>I368</f>
        <v>4.3</v>
      </c>
      <c r="M368" s="22">
        <f t="shared" si="77"/>
        <v>533.39999999999975</v>
      </c>
      <c r="N368" s="22">
        <f t="shared" si="77"/>
        <v>978.79999999999984</v>
      </c>
      <c r="P368" s="24">
        <f t="shared" si="60"/>
        <v>0.21627906976744182</v>
      </c>
      <c r="Q368" s="24">
        <f t="shared" si="78"/>
        <v>0.21627906976744182</v>
      </c>
      <c r="R368" s="21">
        <f t="shared" si="76"/>
        <v>195.29999999999995</v>
      </c>
      <c r="S368" s="22">
        <f t="shared" si="79"/>
        <v>4.3000000000000114</v>
      </c>
      <c r="T368" s="22">
        <f t="shared" si="80"/>
        <v>-1.1546319456101628E-14</v>
      </c>
    </row>
    <row r="369" spans="1:20" x14ac:dyDescent="0.2">
      <c r="A369" s="14">
        <f t="shared" si="71"/>
        <v>39080</v>
      </c>
      <c r="B369" s="1">
        <v>363</v>
      </c>
      <c r="C369" s="16">
        <f>ROUND(Data!BI369,2)</f>
        <v>2.4300000000000002</v>
      </c>
      <c r="D369" s="3">
        <f>ROUND(Data!O369,1)</f>
        <v>-3.2</v>
      </c>
      <c r="E369" s="3">
        <f>ROUND(Data!AA369,1)</f>
        <v>-15.9</v>
      </c>
      <c r="F369" s="3">
        <f>Data!BN369</f>
        <v>41.6</v>
      </c>
      <c r="G369" s="3">
        <f>Data!N369</f>
        <v>0</v>
      </c>
      <c r="H369" s="21">
        <f>Data!BE369</f>
        <v>908</v>
      </c>
      <c r="I369" s="13">
        <f t="shared" si="70"/>
        <v>0.7</v>
      </c>
      <c r="J369" s="3">
        <f>Data!BR369</f>
        <v>0</v>
      </c>
      <c r="K369" s="32">
        <f>I369</f>
        <v>0.7</v>
      </c>
      <c r="M369" s="22">
        <f t="shared" si="77"/>
        <v>533.39999999999975</v>
      </c>
      <c r="N369" s="22">
        <f t="shared" si="77"/>
        <v>979.49999999999989</v>
      </c>
      <c r="P369" s="24">
        <f t="shared" si="60"/>
        <v>0.21585903083700433</v>
      </c>
      <c r="Q369" s="24">
        <f t="shared" si="78"/>
        <v>0.21585903083700433</v>
      </c>
      <c r="R369" s="21">
        <f t="shared" si="76"/>
        <v>195.99999999999994</v>
      </c>
      <c r="S369" s="22">
        <f t="shared" si="79"/>
        <v>0.69999999999998863</v>
      </c>
      <c r="T369" s="22">
        <f t="shared" si="80"/>
        <v>1.1324274851176597E-14</v>
      </c>
    </row>
    <row r="370" spans="1:20" x14ac:dyDescent="0.2">
      <c r="A370" s="14">
        <f t="shared" si="71"/>
        <v>39081</v>
      </c>
      <c r="B370" s="1">
        <v>364</v>
      </c>
      <c r="C370" s="16">
        <f>ROUND(Data!BI370,2)</f>
        <v>3.96</v>
      </c>
      <c r="D370" s="3">
        <f>ROUND(Data!O370,1)</f>
        <v>-2.9</v>
      </c>
      <c r="E370" s="3">
        <f>ROUND(Data!AA370,1)</f>
        <v>-15.7</v>
      </c>
      <c r="F370" s="3">
        <f>Data!BN370</f>
        <v>60.4</v>
      </c>
      <c r="G370" s="3">
        <f>Data!N370</f>
        <v>0</v>
      </c>
      <c r="H370" s="21">
        <f>Data!BE370</f>
        <v>886</v>
      </c>
      <c r="I370" s="13">
        <f t="shared" si="70"/>
        <v>0</v>
      </c>
      <c r="J370" s="3">
        <f>Data!BR370</f>
        <v>2.2000000000000002</v>
      </c>
      <c r="K370" s="32">
        <f>I370</f>
        <v>0</v>
      </c>
      <c r="M370" s="22">
        <f t="shared" si="77"/>
        <v>535.5999999999998</v>
      </c>
      <c r="N370" s="22">
        <f t="shared" si="77"/>
        <v>979.49999999999989</v>
      </c>
      <c r="P370" s="24">
        <f t="shared" si="60"/>
        <v>0.2212189616252821</v>
      </c>
      <c r="Q370" s="24">
        <f t="shared" si="78"/>
        <v>0.2212189616252821</v>
      </c>
      <c r="R370" s="21">
        <f t="shared" si="76"/>
        <v>195.99999999999994</v>
      </c>
      <c r="S370" s="22">
        <f t="shared" si="79"/>
        <v>0</v>
      </c>
      <c r="T370" s="22">
        <f t="shared" si="80"/>
        <v>0</v>
      </c>
    </row>
    <row r="371" spans="1:20" x14ac:dyDescent="0.2">
      <c r="A371" s="14">
        <f t="shared" si="71"/>
        <v>39082</v>
      </c>
      <c r="B371" s="1">
        <v>365</v>
      </c>
      <c r="C371" s="16">
        <f>ROUND(Data!BI371,2)</f>
        <v>1.53</v>
      </c>
      <c r="D371" s="3">
        <f>ROUND(Data!O371,1)</f>
        <v>-3.7</v>
      </c>
      <c r="E371" s="3">
        <f>ROUND(Data!AA371,1)</f>
        <v>-14.1</v>
      </c>
      <c r="F371" s="3">
        <f>Data!BN371</f>
        <v>77.599999999999994</v>
      </c>
      <c r="G371" s="3">
        <f>Data!N371</f>
        <v>0</v>
      </c>
      <c r="H371" s="21">
        <f>Data!BE371</f>
        <v>862</v>
      </c>
      <c r="I371" s="13">
        <f t="shared" si="70"/>
        <v>0</v>
      </c>
      <c r="J371" s="3">
        <f>Data!BR371</f>
        <v>0</v>
      </c>
      <c r="K371" s="32">
        <f>I371</f>
        <v>0</v>
      </c>
      <c r="M371" s="22">
        <f t="shared" si="77"/>
        <v>535.5999999999998</v>
      </c>
      <c r="N371" s="22">
        <f t="shared" si="77"/>
        <v>979.49999999999989</v>
      </c>
      <c r="P371" s="24">
        <f t="shared" ref="P371" si="81">(R370+K371)/H371</f>
        <v>0.22737819025522035</v>
      </c>
      <c r="Q371" s="24">
        <f t="shared" si="78"/>
        <v>0.22737819025522035</v>
      </c>
      <c r="R371" s="21">
        <f t="shared" si="76"/>
        <v>195.99999999999994</v>
      </c>
      <c r="S371" s="22">
        <f t="shared" si="79"/>
        <v>0</v>
      </c>
      <c r="T371" s="22">
        <f t="shared" si="80"/>
        <v>0</v>
      </c>
    </row>
    <row r="372" spans="1:20" x14ac:dyDescent="0.2">
      <c r="D372" s="45" t="s">
        <v>113</v>
      </c>
      <c r="M372" s="22"/>
      <c r="N372" s="22"/>
    </row>
    <row r="374" spans="1:20" x14ac:dyDescent="0.2">
      <c r="A374" s="3" t="s">
        <v>111</v>
      </c>
    </row>
    <row r="375" spans="1:20" x14ac:dyDescent="0.2">
      <c r="A375" s="3" t="s">
        <v>80</v>
      </c>
      <c r="K375" s="36">
        <f>SUM(K7:K37)</f>
        <v>138.69999999999999</v>
      </c>
    </row>
    <row r="376" spans="1:20" x14ac:dyDescent="0.2">
      <c r="A376" s="3" t="s">
        <v>81</v>
      </c>
      <c r="K376" s="36">
        <f>SUM(K38:K65)</f>
        <v>51.300000000000004</v>
      </c>
    </row>
    <row r="377" spans="1:20" x14ac:dyDescent="0.2">
      <c r="A377" s="3" t="s">
        <v>82</v>
      </c>
      <c r="K377" s="36">
        <f>SUM(K66:K96)</f>
        <v>68.400000000000006</v>
      </c>
    </row>
    <row r="378" spans="1:20" x14ac:dyDescent="0.2">
      <c r="A378" s="3" t="s">
        <v>83</v>
      </c>
      <c r="K378" s="36">
        <f>SUM(K97:K126)</f>
        <v>59.20000000000001</v>
      </c>
    </row>
    <row r="379" spans="1:20" x14ac:dyDescent="0.2">
      <c r="A379" s="3" t="s">
        <v>84</v>
      </c>
      <c r="K379" s="43">
        <f>SUM(K127:K157)</f>
        <v>82.8</v>
      </c>
    </row>
    <row r="380" spans="1:20" x14ac:dyDescent="0.2">
      <c r="A380" s="3" t="s">
        <v>85</v>
      </c>
      <c r="K380" s="43">
        <f>SUM(K158:K187)</f>
        <v>103</v>
      </c>
    </row>
    <row r="381" spans="1:20" x14ac:dyDescent="0.2">
      <c r="A381" s="3" t="s">
        <v>86</v>
      </c>
      <c r="K381" s="43">
        <f>SUM(K188:K218)</f>
        <v>50</v>
      </c>
    </row>
    <row r="382" spans="1:20" x14ac:dyDescent="0.2">
      <c r="A382" s="3" t="s">
        <v>87</v>
      </c>
      <c r="K382" s="43">
        <f>SUM(K219:K249)</f>
        <v>54</v>
      </c>
    </row>
    <row r="383" spans="1:20" x14ac:dyDescent="0.2">
      <c r="A383" s="3" t="s">
        <v>88</v>
      </c>
      <c r="K383" s="43">
        <f>SUM(K250:K279)</f>
        <v>95</v>
      </c>
    </row>
    <row r="384" spans="1:20" x14ac:dyDescent="0.2">
      <c r="A384" s="3" t="s">
        <v>89</v>
      </c>
      <c r="K384" s="37">
        <f>SUM(K280:K310)</f>
        <v>36</v>
      </c>
    </row>
    <row r="385" spans="1:14" x14ac:dyDescent="0.2">
      <c r="A385" s="3" t="s">
        <v>90</v>
      </c>
      <c r="K385" s="36">
        <f>SUM(K311:K340)</f>
        <v>174.20000000000002</v>
      </c>
      <c r="M385" s="3"/>
      <c r="N385" s="3"/>
    </row>
    <row r="386" spans="1:14" x14ac:dyDescent="0.2">
      <c r="A386" s="3" t="s">
        <v>91</v>
      </c>
      <c r="K386" s="36">
        <f>SUM(K341:K371)</f>
        <v>66.900000000000006</v>
      </c>
      <c r="M386" s="3"/>
      <c r="N386" s="3"/>
    </row>
    <row r="387" spans="1:14" x14ac:dyDescent="0.2">
      <c r="K387" s="13"/>
      <c r="M387" s="3"/>
      <c r="N387" s="3"/>
    </row>
    <row r="388" spans="1:14" x14ac:dyDescent="0.2">
      <c r="K388" s="13">
        <f>SUM(K375:K386)</f>
        <v>979.5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99"/>
  <sheetViews>
    <sheetView tabSelected="1" workbookViewId="0">
      <pane xSplit="2" ySplit="5" topLeftCell="BT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55" width="6.7109375" style="1" customWidth="1"/>
    <col min="56" max="56" width="20.7109375" style="1" customWidth="1"/>
    <col min="57" max="63" width="6.7109375" style="2" customWidth="1"/>
    <col min="64" max="104" width="6.7109375" style="1" customWidth="1"/>
    <col min="105" max="16384" width="9.140625" style="1"/>
  </cols>
  <sheetData>
    <row r="1" spans="1:104" x14ac:dyDescent="0.2">
      <c r="A1" s="1" t="s">
        <v>52</v>
      </c>
      <c r="E1" s="1" t="s">
        <v>59</v>
      </c>
      <c r="M1" s="1" t="s">
        <v>25</v>
      </c>
      <c r="BE1" s="1">
        <v>3496</v>
      </c>
      <c r="BG1" s="3"/>
      <c r="BH1" s="3">
        <f>2.02</f>
        <v>2.02</v>
      </c>
      <c r="BI1" s="2" t="s">
        <v>53</v>
      </c>
      <c r="BL1" s="1" t="s">
        <v>58</v>
      </c>
      <c r="BM1" s="1">
        <v>1.59</v>
      </c>
    </row>
    <row r="2" spans="1:104" x14ac:dyDescent="0.2">
      <c r="A2" s="3" t="s">
        <v>192</v>
      </c>
      <c r="E2" s="1" t="s">
        <v>51</v>
      </c>
      <c r="J2" s="1" t="s">
        <v>24</v>
      </c>
      <c r="BE2" s="6">
        <v>3510</v>
      </c>
      <c r="BG2" s="3"/>
      <c r="BH2" s="3"/>
      <c r="BI2" s="7">
        <v>0.98</v>
      </c>
      <c r="BJ2" s="7">
        <v>1.1000000000000001</v>
      </c>
      <c r="BL2" s="1">
        <v>111</v>
      </c>
      <c r="BM2" s="1">
        <v>-76.7</v>
      </c>
      <c r="BT2" s="3" t="s">
        <v>159</v>
      </c>
    </row>
    <row r="3" spans="1:104" x14ac:dyDescent="0.2">
      <c r="C3" s="4" t="s">
        <v>38</v>
      </c>
      <c r="D3" s="4" t="s">
        <v>38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40</v>
      </c>
      <c r="N3" s="4" t="s">
        <v>38</v>
      </c>
      <c r="O3" s="4" t="s">
        <v>42</v>
      </c>
      <c r="P3" s="4" t="s">
        <v>43</v>
      </c>
      <c r="Q3" s="4" t="s">
        <v>42</v>
      </c>
      <c r="R3" s="4" t="s">
        <v>43</v>
      </c>
      <c r="S3" s="4" t="s">
        <v>42</v>
      </c>
      <c r="T3" s="4" t="s">
        <v>42</v>
      </c>
      <c r="U3" s="4" t="s">
        <v>42</v>
      </c>
      <c r="V3" s="4" t="s">
        <v>42</v>
      </c>
      <c r="W3" s="4" t="s">
        <v>42</v>
      </c>
      <c r="X3" s="4" t="s">
        <v>42</v>
      </c>
      <c r="Y3" s="4" t="s">
        <v>42</v>
      </c>
      <c r="Z3" s="4" t="s">
        <v>43</v>
      </c>
      <c r="AA3" s="4" t="s">
        <v>45</v>
      </c>
      <c r="AB3" s="4" t="s">
        <v>43</v>
      </c>
      <c r="AC3" s="4" t="s">
        <v>45</v>
      </c>
      <c r="AD3" s="4" t="s">
        <v>43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8" t="s">
        <v>0</v>
      </c>
      <c r="BI3" s="2" t="s">
        <v>54</v>
      </c>
      <c r="BL3" s="1">
        <v>99</v>
      </c>
      <c r="BM3" s="1">
        <v>0.88</v>
      </c>
      <c r="BP3" s="1" t="s">
        <v>112</v>
      </c>
      <c r="BU3" s="50"/>
      <c r="BV3" s="50"/>
      <c r="BW3" s="50"/>
      <c r="BX3" s="50"/>
      <c r="BY3" s="50"/>
      <c r="BZ3" s="50"/>
      <c r="CA3" s="50"/>
      <c r="CB3" s="50"/>
      <c r="CC3" s="50"/>
      <c r="CT3" s="1" t="s">
        <v>160</v>
      </c>
      <c r="CV3"/>
      <c r="CW3"/>
      <c r="CX3"/>
      <c r="CY3"/>
      <c r="CZ3"/>
    </row>
    <row r="4" spans="1:104" x14ac:dyDescent="0.2">
      <c r="C4" s="4" t="s">
        <v>39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46</v>
      </c>
      <c r="K4" s="4" t="s">
        <v>47</v>
      </c>
      <c r="L4" s="4" t="s">
        <v>48</v>
      </c>
      <c r="M4" s="4" t="s">
        <v>36</v>
      </c>
      <c r="N4" s="4" t="s">
        <v>41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4</v>
      </c>
      <c r="T4" s="4" t="s">
        <v>5</v>
      </c>
      <c r="U4" s="4" t="s">
        <v>6</v>
      </c>
      <c r="V4" s="4" t="s">
        <v>46</v>
      </c>
      <c r="W4" s="4" t="s">
        <v>47</v>
      </c>
      <c r="X4" s="4" t="s">
        <v>48</v>
      </c>
      <c r="Y4" s="4" t="s">
        <v>36</v>
      </c>
      <c r="Z4" s="4" t="s">
        <v>44</v>
      </c>
      <c r="AA4" s="4" t="s">
        <v>2</v>
      </c>
      <c r="AB4" s="4" t="s">
        <v>2</v>
      </c>
      <c r="AC4" s="4" t="s">
        <v>3</v>
      </c>
      <c r="AD4" s="4" t="s">
        <v>3</v>
      </c>
      <c r="AE4" s="4" t="s">
        <v>4</v>
      </c>
      <c r="AF4" s="4" t="s">
        <v>5</v>
      </c>
      <c r="AG4" s="4" t="s">
        <v>6</v>
      </c>
      <c r="AH4" s="4" t="s">
        <v>46</v>
      </c>
      <c r="AI4" s="4" t="s">
        <v>47</v>
      </c>
      <c r="AJ4" s="4" t="s">
        <v>48</v>
      </c>
      <c r="AS4" s="4" t="s">
        <v>21</v>
      </c>
      <c r="AT4" s="4" t="s">
        <v>21</v>
      </c>
      <c r="AV4" s="4" t="s">
        <v>32</v>
      </c>
      <c r="AW4" s="1" t="s">
        <v>33</v>
      </c>
      <c r="AX4" s="4" t="s">
        <v>32</v>
      </c>
      <c r="AY4" s="1" t="s">
        <v>33</v>
      </c>
      <c r="AZ4" s="4" t="s">
        <v>32</v>
      </c>
      <c r="BA4" s="1" t="s">
        <v>33</v>
      </c>
      <c r="BB4" s="4" t="s">
        <v>7</v>
      </c>
      <c r="BC4" s="1" t="s">
        <v>31</v>
      </c>
      <c r="BD4" s="1" t="s">
        <v>35</v>
      </c>
      <c r="BE4" s="2" t="s">
        <v>34</v>
      </c>
      <c r="BG4" s="3" t="s">
        <v>49</v>
      </c>
      <c r="BH4" s="3" t="s">
        <v>50</v>
      </c>
      <c r="BI4" s="2" t="s">
        <v>39</v>
      </c>
      <c r="BJ4" s="2" t="s">
        <v>1</v>
      </c>
      <c r="BM4" s="9">
        <v>-7</v>
      </c>
      <c r="BO4" s="4" t="s">
        <v>145</v>
      </c>
      <c r="BP4" s="4" t="s">
        <v>190</v>
      </c>
      <c r="BR4" s="1" t="s">
        <v>62</v>
      </c>
      <c r="BT4" s="4" t="s">
        <v>39</v>
      </c>
      <c r="BU4" s="3" t="s">
        <v>1</v>
      </c>
      <c r="BV4" s="9" t="s">
        <v>161</v>
      </c>
      <c r="BW4" s="9" t="s">
        <v>162</v>
      </c>
      <c r="BX4" s="9" t="s">
        <v>163</v>
      </c>
      <c r="BY4" s="9" t="s">
        <v>164</v>
      </c>
      <c r="BZ4" s="9" t="s">
        <v>165</v>
      </c>
      <c r="CA4" s="9" t="s">
        <v>166</v>
      </c>
      <c r="CB4" s="9" t="s">
        <v>167</v>
      </c>
      <c r="CC4" s="9" t="s">
        <v>168</v>
      </c>
      <c r="CD4" s="3" t="s">
        <v>169</v>
      </c>
      <c r="CE4" s="9" t="s">
        <v>170</v>
      </c>
      <c r="CF4" s="9" t="s">
        <v>171</v>
      </c>
      <c r="CG4" s="9" t="s">
        <v>172</v>
      </c>
      <c r="CH4" s="9" t="s">
        <v>173</v>
      </c>
      <c r="CI4" s="9" t="s">
        <v>174</v>
      </c>
      <c r="CJ4" s="9" t="s">
        <v>175</v>
      </c>
      <c r="CK4" s="3" t="s">
        <v>176</v>
      </c>
      <c r="CL4" s="3" t="s">
        <v>177</v>
      </c>
      <c r="CM4" s="9" t="s">
        <v>178</v>
      </c>
      <c r="CN4" s="9" t="s">
        <v>179</v>
      </c>
      <c r="CO4" s="9" t="s">
        <v>180</v>
      </c>
      <c r="CP4" s="9" t="s">
        <v>181</v>
      </c>
      <c r="CQ4" s="9" t="s">
        <v>182</v>
      </c>
      <c r="CR4" s="9" t="s">
        <v>183</v>
      </c>
      <c r="CS4" s="3" t="s">
        <v>184</v>
      </c>
      <c r="CT4" s="3" t="s">
        <v>103</v>
      </c>
      <c r="CU4" s="1" t="s">
        <v>95</v>
      </c>
      <c r="CV4" s="4" t="s">
        <v>36</v>
      </c>
      <c r="CW4" s="4" t="s">
        <v>71</v>
      </c>
      <c r="CX4" s="9" t="s">
        <v>145</v>
      </c>
      <c r="CY4" s="9" t="s">
        <v>185</v>
      </c>
      <c r="CZ4" s="1" t="s">
        <v>186</v>
      </c>
    </row>
    <row r="5" spans="1:104" x14ac:dyDescent="0.2">
      <c r="A5" s="5" t="s">
        <v>17</v>
      </c>
      <c r="B5" s="4" t="s">
        <v>114</v>
      </c>
      <c r="C5" s="10" t="s">
        <v>26</v>
      </c>
      <c r="D5" s="10" t="s">
        <v>27</v>
      </c>
      <c r="E5" s="10" t="s">
        <v>28</v>
      </c>
      <c r="F5" s="11" t="s">
        <v>29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28</v>
      </c>
      <c r="L5" s="11" t="s">
        <v>28</v>
      </c>
      <c r="M5" s="10" t="s">
        <v>18</v>
      </c>
      <c r="N5" s="10" t="s">
        <v>20</v>
      </c>
      <c r="O5" s="10" t="s">
        <v>28</v>
      </c>
      <c r="P5" s="11" t="s">
        <v>37</v>
      </c>
      <c r="Q5" s="11" t="s">
        <v>29</v>
      </c>
      <c r="R5" s="11" t="s">
        <v>37</v>
      </c>
      <c r="S5" s="10" t="s">
        <v>28</v>
      </c>
      <c r="T5" s="10" t="s">
        <v>28</v>
      </c>
      <c r="U5" s="10" t="s">
        <v>28</v>
      </c>
      <c r="V5" s="11" t="s">
        <v>28</v>
      </c>
      <c r="W5" s="11" t="s">
        <v>28</v>
      </c>
      <c r="X5" s="11" t="s">
        <v>28</v>
      </c>
      <c r="Y5" s="11" t="s">
        <v>18</v>
      </c>
      <c r="Z5" s="11" t="s">
        <v>37</v>
      </c>
      <c r="AA5" s="11" t="s">
        <v>28</v>
      </c>
      <c r="AB5" s="11" t="s">
        <v>37</v>
      </c>
      <c r="AC5" s="11" t="s">
        <v>29</v>
      </c>
      <c r="AD5" s="11" t="s">
        <v>37</v>
      </c>
      <c r="AE5" s="11" t="s">
        <v>28</v>
      </c>
      <c r="AF5" s="11" t="s">
        <v>28</v>
      </c>
      <c r="AG5" s="11" t="s">
        <v>28</v>
      </c>
      <c r="AH5" s="11" t="s">
        <v>28</v>
      </c>
      <c r="AI5" s="11" t="s">
        <v>28</v>
      </c>
      <c r="AJ5" s="11" t="s">
        <v>28</v>
      </c>
      <c r="AK5" s="4" t="s">
        <v>8</v>
      </c>
      <c r="AL5" s="4" t="s">
        <v>9</v>
      </c>
      <c r="AM5" s="4" t="s">
        <v>10</v>
      </c>
      <c r="AN5" s="4" t="s">
        <v>11</v>
      </c>
      <c r="AO5" s="4" t="s">
        <v>12</v>
      </c>
      <c r="AP5" s="4" t="s">
        <v>13</v>
      </c>
      <c r="AQ5" s="4" t="s">
        <v>14</v>
      </c>
      <c r="AR5" s="4" t="s">
        <v>15</v>
      </c>
      <c r="AS5" s="4" t="s">
        <v>23</v>
      </c>
      <c r="AT5" s="4" t="s">
        <v>22</v>
      </c>
      <c r="AU5" s="1" t="s">
        <v>30</v>
      </c>
      <c r="AV5" s="4" t="s">
        <v>30</v>
      </c>
      <c r="AW5" s="5" t="s">
        <v>30</v>
      </c>
      <c r="AX5" s="5" t="s">
        <v>23</v>
      </c>
      <c r="AY5" s="5" t="s">
        <v>23</v>
      </c>
      <c r="AZ5" s="5" t="s">
        <v>22</v>
      </c>
      <c r="BA5" s="5" t="s">
        <v>22</v>
      </c>
      <c r="BB5" s="4" t="s">
        <v>16</v>
      </c>
      <c r="BG5" s="11" t="s">
        <v>26</v>
      </c>
      <c r="BH5" s="3" t="s">
        <v>27</v>
      </c>
      <c r="BL5" s="1" t="s">
        <v>56</v>
      </c>
      <c r="BM5" s="1" t="s">
        <v>55</v>
      </c>
      <c r="BN5" s="1" t="s">
        <v>57</v>
      </c>
      <c r="BO5" s="12" t="s">
        <v>19</v>
      </c>
      <c r="BP5" s="12" t="s">
        <v>19</v>
      </c>
      <c r="BT5" s="10" t="s">
        <v>26</v>
      </c>
      <c r="BU5" s="3" t="s">
        <v>27</v>
      </c>
      <c r="BV5" s="10" t="s">
        <v>28</v>
      </c>
      <c r="BW5" s="10" t="s">
        <v>28</v>
      </c>
      <c r="BX5" s="10" t="s">
        <v>28</v>
      </c>
      <c r="BY5" s="10" t="s">
        <v>28</v>
      </c>
      <c r="BZ5" s="10" t="s">
        <v>28</v>
      </c>
      <c r="CA5" s="10" t="s">
        <v>28</v>
      </c>
      <c r="CB5" s="10" t="s">
        <v>28</v>
      </c>
      <c r="CC5" s="11" t="s">
        <v>29</v>
      </c>
      <c r="CD5" s="10" t="s">
        <v>28</v>
      </c>
      <c r="CE5" s="10" t="s">
        <v>28</v>
      </c>
      <c r="CF5" s="10" t="s">
        <v>28</v>
      </c>
      <c r="CG5" s="10" t="s">
        <v>28</v>
      </c>
      <c r="CH5" s="10" t="s">
        <v>28</v>
      </c>
      <c r="CI5" s="10" t="s">
        <v>28</v>
      </c>
      <c r="CJ5" s="10" t="s">
        <v>28</v>
      </c>
      <c r="CK5" s="11" t="s">
        <v>29</v>
      </c>
      <c r="CL5" s="10" t="s">
        <v>28</v>
      </c>
      <c r="CM5" s="10" t="s">
        <v>28</v>
      </c>
      <c r="CN5" s="10" t="s">
        <v>28</v>
      </c>
      <c r="CO5" s="10" t="s">
        <v>28</v>
      </c>
      <c r="CP5" s="10" t="s">
        <v>28</v>
      </c>
      <c r="CQ5" s="10" t="s">
        <v>28</v>
      </c>
      <c r="CR5" s="10" t="s">
        <v>28</v>
      </c>
      <c r="CS5" s="11" t="s">
        <v>29</v>
      </c>
      <c r="CT5" s="1" t="s">
        <v>20</v>
      </c>
      <c r="CU5" s="1" t="s">
        <v>187</v>
      </c>
      <c r="CV5" s="1" t="s">
        <v>18</v>
      </c>
      <c r="CW5" s="1" t="s">
        <v>18</v>
      </c>
      <c r="CX5" s="1" t="s">
        <v>19</v>
      </c>
      <c r="CY5" s="1" t="s">
        <v>19</v>
      </c>
      <c r="CZ5" s="1" t="s">
        <v>188</v>
      </c>
    </row>
    <row r="6" spans="1:104" x14ac:dyDescent="0.2">
      <c r="BE6" s="2">
        <v>583</v>
      </c>
      <c r="BG6" s="3"/>
      <c r="BH6" s="3"/>
      <c r="BO6" s="49"/>
      <c r="BP6" s="49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4">
        <v>38718</v>
      </c>
      <c r="B7" s="1">
        <v>1</v>
      </c>
      <c r="C7" s="3">
        <v>1.4870000000000001</v>
      </c>
      <c r="D7" s="3">
        <v>3.1720000000000002</v>
      </c>
      <c r="E7" s="3">
        <v>-2.786</v>
      </c>
      <c r="F7" s="3">
        <v>101.6</v>
      </c>
      <c r="G7" s="3">
        <v>-3.4910000000000001</v>
      </c>
      <c r="H7" s="3">
        <v>-3.7749999999999999</v>
      </c>
      <c r="I7" s="3">
        <v>-5.0999999999999997E-2</v>
      </c>
      <c r="J7" s="3">
        <v>-0.44900000000000001</v>
      </c>
      <c r="K7" s="3">
        <v>-0.158</v>
      </c>
      <c r="L7" s="3">
        <v>0.80600000000000005</v>
      </c>
      <c r="M7" s="3">
        <v>1.615</v>
      </c>
      <c r="N7" s="3">
        <v>0</v>
      </c>
      <c r="O7" s="3">
        <v>-0.22900000000000001</v>
      </c>
      <c r="P7" s="3">
        <v>1151</v>
      </c>
      <c r="Q7" s="3">
        <v>110.5</v>
      </c>
      <c r="R7" s="3">
        <v>326</v>
      </c>
      <c r="S7" s="3">
        <v>0.39700000000000002</v>
      </c>
      <c r="T7" s="3">
        <v>0.36899999999999999</v>
      </c>
      <c r="U7" s="3">
        <v>0.24399999999999999</v>
      </c>
      <c r="V7" s="3">
        <v>-0.252</v>
      </c>
      <c r="W7" s="3">
        <v>9.7000000000000003E-2</v>
      </c>
      <c r="X7" s="3">
        <v>1.054</v>
      </c>
      <c r="Y7" s="3">
        <v>4.6500000000000004</v>
      </c>
      <c r="Z7" s="3">
        <v>2212</v>
      </c>
      <c r="AA7" s="3">
        <v>-8.49</v>
      </c>
      <c r="AB7" s="3">
        <v>813</v>
      </c>
      <c r="AC7" s="3">
        <v>89.6</v>
      </c>
      <c r="AD7" s="3">
        <v>1629</v>
      </c>
      <c r="AE7" s="3">
        <v>-10.26</v>
      </c>
      <c r="AF7" s="3">
        <v>-11.66</v>
      </c>
      <c r="AG7" s="3">
        <v>-0.27600000000000002</v>
      </c>
      <c r="AH7" s="3">
        <v>-0.70099999999999996</v>
      </c>
      <c r="AI7" s="3">
        <v>-0.38300000000000001</v>
      </c>
      <c r="AJ7" s="3">
        <v>0.58699999999999997</v>
      </c>
      <c r="AK7" s="3">
        <v>0.17399999999999999</v>
      </c>
      <c r="AL7" s="3">
        <v>0.27900000000000003</v>
      </c>
      <c r="AM7" s="3">
        <v>0.21</v>
      </c>
      <c r="AN7" s="3">
        <v>0.10199999999999999</v>
      </c>
      <c r="AO7" s="3">
        <v>7.1999999999999995E-2</v>
      </c>
      <c r="AP7" s="3">
        <v>4.9000000000000002E-2</v>
      </c>
      <c r="AQ7" s="3">
        <v>3.5999999999999997E-2</v>
      </c>
      <c r="AR7" s="3">
        <v>7.8E-2</v>
      </c>
      <c r="AS7" s="3">
        <v>2911</v>
      </c>
      <c r="AT7" s="3">
        <v>2901</v>
      </c>
      <c r="AU7" s="3">
        <v>2905</v>
      </c>
      <c r="AV7" s="3">
        <v>-4.5430000000000001</v>
      </c>
      <c r="AW7" s="3">
        <v>-4.5990000000000002</v>
      </c>
      <c r="AX7" s="3">
        <v>-1.911</v>
      </c>
      <c r="AY7" s="3">
        <v>-1.853</v>
      </c>
      <c r="AZ7" s="3">
        <v>-10.36</v>
      </c>
      <c r="BA7" s="3">
        <v>-10.7</v>
      </c>
      <c r="BB7" s="3">
        <v>13.03</v>
      </c>
      <c r="BC7" s="3">
        <v>2876</v>
      </c>
      <c r="BE7" s="6">
        <f t="shared" ref="BE7:BE16" si="0">BE$2-AU7</f>
        <v>605</v>
      </c>
      <c r="BG7" s="16">
        <v>4.59</v>
      </c>
      <c r="BH7" s="16">
        <f t="shared" ref="BH7:BH70" si="1">BG7*$BH$1</f>
        <v>9.2717999999999989</v>
      </c>
      <c r="BI7" s="17">
        <f t="shared" ref="BI7:BI45" si="2">ROUND(C7*BI$2,2)</f>
        <v>1.46</v>
      </c>
      <c r="BJ7" s="17">
        <f t="shared" ref="BJ7:BJ45" si="3">ROUND(D7*BJ$2,2)</f>
        <v>3.49</v>
      </c>
      <c r="BL7" s="1">
        <f t="shared" ref="BL7:BL70" si="4">ROUND(IF(Q7&gt;BL$2,100,IF(Q7&gt;BL$3,BM$1*Q7+BM$2, Q7*BM$3+BM$4)),1)</f>
        <v>99</v>
      </c>
      <c r="BM7" s="1">
        <f t="shared" ref="BM7:BM70" si="5">ROUND(IF(F7&gt;BL$2,100, IF(F7&gt;BL$3,BM$1*F7+BM$2, F7*BM$3+BM$4)),1)</f>
        <v>84.8</v>
      </c>
      <c r="BN7" s="1">
        <f t="shared" ref="BN7:BN70" si="6">ROUND(IF(AC7&gt;BL$2,100,IF(AC7&gt;BL$3,BM$1*AC7+BM$2, AC7*BM$3+BM$4)),1)</f>
        <v>71.8</v>
      </c>
      <c r="BO7" s="49">
        <f>ROUND((0.6105*(EXP((17.273*O7)/(O7+237.3))))*BN7/100,3)</f>
        <v>0.43099999999999999</v>
      </c>
      <c r="BP7" s="49">
        <f>ROUND((100-BN7)*BO7/BN7,3)</f>
        <v>0.16900000000000001</v>
      </c>
      <c r="BT7" s="16">
        <f t="shared" ref="BT7:BT70" si="7">BI7</f>
        <v>1.46</v>
      </c>
      <c r="BU7" s="16">
        <f t="shared" ref="BU7:BU70" si="8">BJ7</f>
        <v>3.49</v>
      </c>
      <c r="BV7" s="3">
        <f t="shared" ref="BV7:BV70" si="9">ROUND(E7,1)</f>
        <v>-2.8</v>
      </c>
      <c r="BW7" s="3">
        <f t="shared" ref="BW7:CB22" si="10">ROUND(G7,1)</f>
        <v>-3.5</v>
      </c>
      <c r="BX7" s="3">
        <f t="shared" si="10"/>
        <v>-3.8</v>
      </c>
      <c r="BY7" s="3">
        <f t="shared" si="10"/>
        <v>-0.1</v>
      </c>
      <c r="BZ7" s="3">
        <f t="shared" si="10"/>
        <v>-0.4</v>
      </c>
      <c r="CA7" s="3">
        <f t="shared" si="10"/>
        <v>-0.2</v>
      </c>
      <c r="CB7" s="3">
        <f t="shared" si="10"/>
        <v>0.8</v>
      </c>
      <c r="CC7" s="22">
        <f t="shared" ref="CC7:CC70" si="11">ROUND(BM7,1)</f>
        <v>84.8</v>
      </c>
      <c r="CD7" s="1">
        <f>ROUND(O7,1)</f>
        <v>-0.2</v>
      </c>
      <c r="CE7" s="1">
        <f>ROUND(S7,1)</f>
        <v>0.4</v>
      </c>
      <c r="CF7" s="1">
        <f t="shared" ref="CF7:CJ7" si="12">ROUND(T7,1)</f>
        <v>0.4</v>
      </c>
      <c r="CG7" s="1">
        <f t="shared" si="12"/>
        <v>0.2</v>
      </c>
      <c r="CH7" s="1">
        <f t="shared" si="12"/>
        <v>-0.3</v>
      </c>
      <c r="CI7" s="1">
        <f t="shared" si="12"/>
        <v>0.1</v>
      </c>
      <c r="CJ7" s="1">
        <f t="shared" si="12"/>
        <v>1.1000000000000001</v>
      </c>
      <c r="CK7" s="2">
        <f t="shared" ref="CK7:CK70" si="13">ROUND(BL7,1)</f>
        <v>99</v>
      </c>
      <c r="CL7" s="1">
        <f>ROUND(AA7,1)</f>
        <v>-8.5</v>
      </c>
      <c r="CM7" s="1">
        <f>ROUND(AE7,1)</f>
        <v>-10.3</v>
      </c>
      <c r="CN7" s="1">
        <f t="shared" ref="CN7:CR7" si="14">ROUND(AF7,1)</f>
        <v>-11.7</v>
      </c>
      <c r="CO7" s="1">
        <f t="shared" si="14"/>
        <v>-0.3</v>
      </c>
      <c r="CP7" s="1">
        <f t="shared" si="14"/>
        <v>-0.7</v>
      </c>
      <c r="CQ7" s="1">
        <f t="shared" si="14"/>
        <v>-0.4</v>
      </c>
      <c r="CR7" s="1">
        <f t="shared" si="14"/>
        <v>0.6</v>
      </c>
      <c r="CS7" s="2">
        <f>ROUND(BN7,1)</f>
        <v>71.8</v>
      </c>
      <c r="CT7" s="6">
        <f>BE7</f>
        <v>605</v>
      </c>
      <c r="CU7" s="1">
        <f>PPTest!K7</f>
        <v>2.9</v>
      </c>
      <c r="CV7" s="3">
        <f>ROUND(M7,2)</f>
        <v>1.62</v>
      </c>
      <c r="CW7" s="3">
        <f>ROUND(Y7,2)</f>
        <v>4.6500000000000004</v>
      </c>
      <c r="CX7" s="24">
        <f>BO7</f>
        <v>0.43099999999999999</v>
      </c>
      <c r="CY7" s="24">
        <f>BP7</f>
        <v>0.16900000000000001</v>
      </c>
      <c r="CZ7" s="16">
        <f>BB7</f>
        <v>13.03</v>
      </c>
    </row>
    <row r="8" spans="1:104" x14ac:dyDescent="0.2">
      <c r="A8" s="14">
        <f>A7+1</f>
        <v>38719</v>
      </c>
      <c r="B8" s="1">
        <v>2</v>
      </c>
      <c r="C8" s="3">
        <v>3.2389999999999999</v>
      </c>
      <c r="D8" s="3">
        <v>6.016</v>
      </c>
      <c r="E8" s="3">
        <v>-1.613</v>
      </c>
      <c r="F8" s="3">
        <v>97.1</v>
      </c>
      <c r="G8" s="3">
        <v>-2.173</v>
      </c>
      <c r="H8" s="3">
        <v>-2.3570000000000002</v>
      </c>
      <c r="I8" s="3">
        <v>-4.9000000000000002E-2</v>
      </c>
      <c r="J8" s="3">
        <v>-0.439</v>
      </c>
      <c r="K8" s="3">
        <v>-0.17199999999999999</v>
      </c>
      <c r="L8" s="3">
        <v>0.80200000000000005</v>
      </c>
      <c r="M8" s="3">
        <v>1.3149999999999999</v>
      </c>
      <c r="N8" s="3">
        <v>0</v>
      </c>
      <c r="O8" s="3">
        <v>1.079</v>
      </c>
      <c r="P8" s="3">
        <v>1217</v>
      </c>
      <c r="Q8" s="3">
        <v>110</v>
      </c>
      <c r="R8" s="3">
        <v>2254</v>
      </c>
      <c r="S8" s="3">
        <v>3.0659999999999998</v>
      </c>
      <c r="T8" s="3">
        <v>3.5270000000000001</v>
      </c>
      <c r="U8" s="3">
        <v>0.23</v>
      </c>
      <c r="V8" s="3">
        <v>-0.17799999999999999</v>
      </c>
      <c r="W8" s="3">
        <v>7.0999999999999994E-2</v>
      </c>
      <c r="X8" s="3">
        <v>1.0489999999999999</v>
      </c>
      <c r="Y8" s="3">
        <v>4.6500000000000004</v>
      </c>
      <c r="Z8" s="3">
        <v>229</v>
      </c>
      <c r="AA8" s="3">
        <v>-3.8639999999999999</v>
      </c>
      <c r="AB8" s="3">
        <v>845</v>
      </c>
      <c r="AC8" s="3">
        <v>77.400000000000006</v>
      </c>
      <c r="AD8" s="3">
        <v>1216</v>
      </c>
      <c r="AE8" s="3">
        <v>-5.8</v>
      </c>
      <c r="AF8" s="3">
        <v>-6.7110000000000003</v>
      </c>
      <c r="AG8" s="3">
        <v>-0.28499999999999998</v>
      </c>
      <c r="AH8" s="3">
        <v>-0.69899999999999995</v>
      </c>
      <c r="AI8" s="3">
        <v>-0.39100000000000001</v>
      </c>
      <c r="AJ8" s="3">
        <v>0.58399999999999996</v>
      </c>
      <c r="AK8" s="3">
        <v>0.14000000000000001</v>
      </c>
      <c r="AL8" s="3">
        <v>0.27200000000000002</v>
      </c>
      <c r="AM8" s="3">
        <v>0.19700000000000001</v>
      </c>
      <c r="AN8" s="3">
        <v>9.7000000000000003E-2</v>
      </c>
      <c r="AO8" s="3">
        <v>8.6999999999999994E-2</v>
      </c>
      <c r="AP8" s="3">
        <v>9.4E-2</v>
      </c>
      <c r="AQ8" s="3">
        <v>5.2999999999999999E-2</v>
      </c>
      <c r="AR8" s="3">
        <v>0.06</v>
      </c>
      <c r="AS8" s="3">
        <v>2929</v>
      </c>
      <c r="AT8" s="3">
        <v>2920</v>
      </c>
      <c r="AU8" s="3">
        <v>2924</v>
      </c>
      <c r="AV8" s="3">
        <v>-2.9569999999999999</v>
      </c>
      <c r="AW8" s="3">
        <v>-3.0259999999999998</v>
      </c>
      <c r="AX8" s="3">
        <v>-0.30399999999999999</v>
      </c>
      <c r="AY8" s="3">
        <v>0.28000000000000003</v>
      </c>
      <c r="AZ8" s="3">
        <v>-5.5659999999999998</v>
      </c>
      <c r="BA8" s="3">
        <v>-5.9119999999999999</v>
      </c>
      <c r="BB8" s="3">
        <v>13.01</v>
      </c>
      <c r="BC8" s="3">
        <v>2876</v>
      </c>
      <c r="BE8" s="6">
        <f t="shared" si="0"/>
        <v>586</v>
      </c>
      <c r="BG8" s="16">
        <v>4.63</v>
      </c>
      <c r="BH8" s="16">
        <f t="shared" si="1"/>
        <v>9.3526000000000007</v>
      </c>
      <c r="BI8" s="17">
        <f t="shared" si="2"/>
        <v>3.17</v>
      </c>
      <c r="BJ8" s="17">
        <f t="shared" si="3"/>
        <v>6.62</v>
      </c>
      <c r="BL8" s="1">
        <f t="shared" si="4"/>
        <v>98.2</v>
      </c>
      <c r="BM8" s="1">
        <f t="shared" si="5"/>
        <v>78.400000000000006</v>
      </c>
      <c r="BN8" s="1">
        <f t="shared" si="6"/>
        <v>61.1</v>
      </c>
      <c r="BO8" s="49">
        <f t="shared" ref="BO8:BO71" si="15">ROUND((0.6105*(EXP((17.273*O8)/(O8+237.3))))*BN8/100,3)</f>
        <v>0.40300000000000002</v>
      </c>
      <c r="BP8" s="49">
        <f t="shared" ref="BP8:BP71" si="16">ROUND((100-BN8)*BO8/BN8,3)</f>
        <v>0.25700000000000001</v>
      </c>
      <c r="BT8" s="16">
        <f t="shared" si="7"/>
        <v>3.17</v>
      </c>
      <c r="BU8" s="16">
        <f t="shared" si="8"/>
        <v>6.62</v>
      </c>
      <c r="BV8" s="3">
        <f t="shared" si="9"/>
        <v>-1.6</v>
      </c>
      <c r="BW8" s="3">
        <f t="shared" si="10"/>
        <v>-2.2000000000000002</v>
      </c>
      <c r="BX8" s="3">
        <f t="shared" si="10"/>
        <v>-2.4</v>
      </c>
      <c r="BY8" s="3">
        <f t="shared" si="10"/>
        <v>0</v>
      </c>
      <c r="BZ8" s="3">
        <f t="shared" si="10"/>
        <v>-0.4</v>
      </c>
      <c r="CA8" s="3">
        <f t="shared" si="10"/>
        <v>-0.2</v>
      </c>
      <c r="CB8" s="3">
        <f t="shared" si="10"/>
        <v>0.8</v>
      </c>
      <c r="CC8" s="22">
        <f t="shared" si="11"/>
        <v>78.400000000000006</v>
      </c>
      <c r="CD8" s="1">
        <f t="shared" ref="CD8:CD71" si="17">ROUND(O8,1)</f>
        <v>1.1000000000000001</v>
      </c>
      <c r="CE8" s="1">
        <f t="shared" ref="CE8:CE71" si="18">ROUND(S8,1)</f>
        <v>3.1</v>
      </c>
      <c r="CF8" s="1">
        <f t="shared" ref="CF8:CF71" si="19">ROUND(T8,1)</f>
        <v>3.5</v>
      </c>
      <c r="CG8" s="1">
        <f t="shared" ref="CG8:CG71" si="20">ROUND(U8,1)</f>
        <v>0.2</v>
      </c>
      <c r="CH8" s="1">
        <f t="shared" ref="CH8:CH71" si="21">ROUND(V8,1)</f>
        <v>-0.2</v>
      </c>
      <c r="CI8" s="1">
        <f t="shared" ref="CI8:CI71" si="22">ROUND(W8,1)</f>
        <v>0.1</v>
      </c>
      <c r="CJ8" s="1">
        <f t="shared" ref="CJ8:CJ71" si="23">ROUND(X8,1)</f>
        <v>1</v>
      </c>
      <c r="CK8" s="2">
        <f t="shared" si="13"/>
        <v>98.2</v>
      </c>
      <c r="CL8" s="1">
        <f t="shared" ref="CL8:CL71" si="24">ROUND(AA8,1)</f>
        <v>-3.9</v>
      </c>
      <c r="CM8" s="1">
        <f t="shared" ref="CM8:CM71" si="25">ROUND(AE8,1)</f>
        <v>-5.8</v>
      </c>
      <c r="CN8" s="1">
        <f t="shared" ref="CN8:CN71" si="26">ROUND(AF8,1)</f>
        <v>-6.7</v>
      </c>
      <c r="CO8" s="1">
        <f t="shared" ref="CO8:CO71" si="27">ROUND(AG8,1)</f>
        <v>-0.3</v>
      </c>
      <c r="CP8" s="1">
        <f t="shared" ref="CP8:CP71" si="28">ROUND(AH8,1)</f>
        <v>-0.7</v>
      </c>
      <c r="CQ8" s="1">
        <f t="shared" ref="CQ8:CQ71" si="29">ROUND(AI8,1)</f>
        <v>-0.4</v>
      </c>
      <c r="CR8" s="1">
        <f t="shared" ref="CR8:CR71" si="30">ROUND(AJ8,1)</f>
        <v>0.6</v>
      </c>
      <c r="CS8" s="2">
        <f t="shared" ref="CS8:CS71" si="31">ROUND(BN8,1)</f>
        <v>61.1</v>
      </c>
      <c r="CT8" s="6">
        <f t="shared" ref="CT8:CT71" si="32">BE8</f>
        <v>586</v>
      </c>
      <c r="CU8" s="1">
        <f>PPTest!K8</f>
        <v>0</v>
      </c>
      <c r="CV8" s="3">
        <f t="shared" ref="CV8:CV71" si="33">ROUND(M8,2)</f>
        <v>1.32</v>
      </c>
      <c r="CW8" s="3">
        <f t="shared" ref="CW8:CW71" si="34">ROUND(Y8,2)</f>
        <v>4.6500000000000004</v>
      </c>
      <c r="CX8" s="24">
        <f t="shared" ref="CX8:CY71" si="35">BO8</f>
        <v>0.40300000000000002</v>
      </c>
      <c r="CY8" s="24">
        <f t="shared" si="35"/>
        <v>0.25700000000000001</v>
      </c>
      <c r="CZ8" s="16">
        <f t="shared" ref="CZ8:CZ71" si="36">BB8</f>
        <v>13.01</v>
      </c>
    </row>
    <row r="9" spans="1:104" x14ac:dyDescent="0.2">
      <c r="A9" s="14">
        <f t="shared" ref="A9:A72" si="37">A8+1</f>
        <v>38720</v>
      </c>
      <c r="B9" s="1">
        <v>3</v>
      </c>
      <c r="C9" s="3">
        <v>1.853</v>
      </c>
      <c r="D9" s="3">
        <v>2.3039999999999998</v>
      </c>
      <c r="E9" s="3">
        <v>-3.32</v>
      </c>
      <c r="F9" s="3">
        <v>103.8</v>
      </c>
      <c r="G9" s="3">
        <v>-3.726</v>
      </c>
      <c r="H9" s="3">
        <v>-3.7989999999999999</v>
      </c>
      <c r="I9" s="3">
        <v>-5.1999999999999998E-2</v>
      </c>
      <c r="J9" s="3">
        <v>-0.47799999999999998</v>
      </c>
      <c r="K9" s="3">
        <v>-0.20100000000000001</v>
      </c>
      <c r="L9" s="3">
        <v>0.77400000000000002</v>
      </c>
      <c r="M9" s="3">
        <v>1.204</v>
      </c>
      <c r="N9" s="3">
        <v>0</v>
      </c>
      <c r="O9" s="3">
        <v>-1.052</v>
      </c>
      <c r="P9" s="3">
        <v>1249</v>
      </c>
      <c r="Q9" s="3">
        <v>111</v>
      </c>
      <c r="R9" s="3">
        <v>416</v>
      </c>
      <c r="S9" s="3">
        <v>0.09</v>
      </c>
      <c r="T9" s="3">
        <v>0.28399999999999997</v>
      </c>
      <c r="U9" s="3">
        <v>7.0999999999999994E-2</v>
      </c>
      <c r="V9" s="3">
        <v>-0.35899999999999999</v>
      </c>
      <c r="W9" s="3">
        <v>-8.7999999999999995E-2</v>
      </c>
      <c r="X9" s="3">
        <v>0.876</v>
      </c>
      <c r="Y9" s="3">
        <v>3.1869999999999998</v>
      </c>
      <c r="Z9" s="3">
        <v>1849</v>
      </c>
      <c r="AA9" s="3">
        <v>-5.4459999999999997</v>
      </c>
      <c r="AB9" s="3">
        <v>1658</v>
      </c>
      <c r="AC9" s="3">
        <v>79.3</v>
      </c>
      <c r="AD9" s="3">
        <v>1320</v>
      </c>
      <c r="AE9" s="3">
        <v>-7</v>
      </c>
      <c r="AF9" s="3">
        <v>-7.76</v>
      </c>
      <c r="AG9" s="3">
        <v>-0.436</v>
      </c>
      <c r="AH9" s="3">
        <v>-0.86799999999999999</v>
      </c>
      <c r="AI9" s="3">
        <v>-0.55000000000000004</v>
      </c>
      <c r="AJ9" s="3">
        <v>0.42599999999999999</v>
      </c>
      <c r="AK9" s="3">
        <v>8.3000000000000004E-2</v>
      </c>
      <c r="AL9" s="3">
        <v>0.104</v>
      </c>
      <c r="AM9" s="3">
        <v>0.115</v>
      </c>
      <c r="AN9" s="3">
        <v>7.3999999999999996E-2</v>
      </c>
      <c r="AO9" s="3">
        <v>0.14699999999999999</v>
      </c>
      <c r="AP9" s="3">
        <v>0.26100000000000001</v>
      </c>
      <c r="AQ9" s="3">
        <v>0.122</v>
      </c>
      <c r="AR9" s="3">
        <v>9.4E-2</v>
      </c>
      <c r="AS9" s="3">
        <v>2836</v>
      </c>
      <c r="AT9" s="3">
        <v>2835</v>
      </c>
      <c r="AU9" s="3">
        <v>2835</v>
      </c>
      <c r="AV9" s="3">
        <v>-3.9140000000000001</v>
      </c>
      <c r="AW9" s="3">
        <v>-3.9769999999999999</v>
      </c>
      <c r="AX9" s="3">
        <v>-1.911</v>
      </c>
      <c r="AY9" s="3">
        <v>-1.64</v>
      </c>
      <c r="AZ9" s="3">
        <v>-6.3890000000000002</v>
      </c>
      <c r="BA9" s="3">
        <v>-6.7229999999999999</v>
      </c>
      <c r="BB9" s="3">
        <v>13.11</v>
      </c>
      <c r="BC9" s="3">
        <v>2876</v>
      </c>
      <c r="BE9" s="6">
        <f t="shared" si="0"/>
        <v>675</v>
      </c>
      <c r="BG9" s="16">
        <v>4.67</v>
      </c>
      <c r="BH9" s="16">
        <f t="shared" si="1"/>
        <v>9.4334000000000007</v>
      </c>
      <c r="BI9" s="17">
        <f t="shared" si="2"/>
        <v>1.82</v>
      </c>
      <c r="BJ9" s="17">
        <f t="shared" si="3"/>
        <v>2.5299999999999998</v>
      </c>
      <c r="BL9" s="1">
        <f t="shared" si="4"/>
        <v>99.8</v>
      </c>
      <c r="BM9" s="1">
        <f t="shared" si="5"/>
        <v>88.3</v>
      </c>
      <c r="BN9" s="1">
        <f t="shared" si="6"/>
        <v>62.8</v>
      </c>
      <c r="BO9" s="49">
        <f t="shared" si="15"/>
        <v>0.35499999999999998</v>
      </c>
      <c r="BP9" s="49">
        <f t="shared" si="16"/>
        <v>0.21</v>
      </c>
      <c r="BT9" s="16">
        <f t="shared" si="7"/>
        <v>1.82</v>
      </c>
      <c r="BU9" s="16">
        <f t="shared" si="8"/>
        <v>2.5299999999999998</v>
      </c>
      <c r="BV9" s="3">
        <f t="shared" si="9"/>
        <v>-3.3</v>
      </c>
      <c r="BW9" s="3">
        <f t="shared" si="10"/>
        <v>-3.7</v>
      </c>
      <c r="BX9" s="3">
        <f t="shared" si="10"/>
        <v>-3.8</v>
      </c>
      <c r="BY9" s="3">
        <f t="shared" si="10"/>
        <v>-0.1</v>
      </c>
      <c r="BZ9" s="3">
        <f t="shared" si="10"/>
        <v>-0.5</v>
      </c>
      <c r="CA9" s="3">
        <f t="shared" si="10"/>
        <v>-0.2</v>
      </c>
      <c r="CB9" s="3">
        <f t="shared" si="10"/>
        <v>0.8</v>
      </c>
      <c r="CC9" s="22">
        <f t="shared" si="11"/>
        <v>88.3</v>
      </c>
      <c r="CD9" s="1">
        <f t="shared" si="17"/>
        <v>-1.1000000000000001</v>
      </c>
      <c r="CE9" s="1">
        <f t="shared" si="18"/>
        <v>0.1</v>
      </c>
      <c r="CF9" s="1">
        <f t="shared" si="19"/>
        <v>0.3</v>
      </c>
      <c r="CG9" s="1">
        <f t="shared" si="20"/>
        <v>0.1</v>
      </c>
      <c r="CH9" s="1">
        <f t="shared" si="21"/>
        <v>-0.4</v>
      </c>
      <c r="CI9" s="1">
        <f t="shared" si="22"/>
        <v>-0.1</v>
      </c>
      <c r="CJ9" s="1">
        <f t="shared" si="23"/>
        <v>0.9</v>
      </c>
      <c r="CK9" s="2">
        <f t="shared" si="13"/>
        <v>99.8</v>
      </c>
      <c r="CL9" s="1">
        <f t="shared" si="24"/>
        <v>-5.4</v>
      </c>
      <c r="CM9" s="1">
        <f t="shared" si="25"/>
        <v>-7</v>
      </c>
      <c r="CN9" s="1">
        <f t="shared" si="26"/>
        <v>-7.8</v>
      </c>
      <c r="CO9" s="1">
        <f t="shared" si="27"/>
        <v>-0.4</v>
      </c>
      <c r="CP9" s="1">
        <f t="shared" si="28"/>
        <v>-0.9</v>
      </c>
      <c r="CQ9" s="1">
        <f t="shared" si="29"/>
        <v>-0.6</v>
      </c>
      <c r="CR9" s="1">
        <f t="shared" si="30"/>
        <v>0.4</v>
      </c>
      <c r="CS9" s="2">
        <f t="shared" si="31"/>
        <v>62.8</v>
      </c>
      <c r="CT9" s="6">
        <f t="shared" si="32"/>
        <v>675</v>
      </c>
      <c r="CU9" s="1">
        <f>PPTest!K9</f>
        <v>11.6</v>
      </c>
      <c r="CV9" s="3">
        <f t="shared" si="33"/>
        <v>1.2</v>
      </c>
      <c r="CW9" s="3">
        <f t="shared" si="34"/>
        <v>3.19</v>
      </c>
      <c r="CX9" s="24">
        <f t="shared" si="35"/>
        <v>0.35499999999999998</v>
      </c>
      <c r="CY9" s="24">
        <f t="shared" si="35"/>
        <v>0.21</v>
      </c>
      <c r="CZ9" s="16">
        <f t="shared" si="36"/>
        <v>13.11</v>
      </c>
    </row>
    <row r="10" spans="1:104" x14ac:dyDescent="0.2">
      <c r="A10" s="14">
        <f t="shared" si="37"/>
        <v>38721</v>
      </c>
      <c r="B10" s="1">
        <v>4</v>
      </c>
      <c r="C10" s="3">
        <v>2.7839999999999998</v>
      </c>
      <c r="D10" s="3">
        <v>3.3420000000000001</v>
      </c>
      <c r="E10" s="3">
        <v>-2.952</v>
      </c>
      <c r="F10" s="3">
        <v>99.2</v>
      </c>
      <c r="G10" s="3">
        <v>-3.5390000000000001</v>
      </c>
      <c r="H10" s="3">
        <v>-3.74</v>
      </c>
      <c r="I10" s="3">
        <v>-4.7E-2</v>
      </c>
      <c r="J10" s="3">
        <v>-0.52900000000000003</v>
      </c>
      <c r="K10" s="3">
        <v>-0.20699999999999999</v>
      </c>
      <c r="L10" s="3">
        <v>0.77700000000000002</v>
      </c>
      <c r="M10" s="3">
        <v>1.429</v>
      </c>
      <c r="N10" s="3">
        <v>0</v>
      </c>
      <c r="O10" s="3">
        <v>0.34699999999999998</v>
      </c>
      <c r="P10" s="3">
        <v>1326</v>
      </c>
      <c r="Q10" s="3">
        <v>110.6</v>
      </c>
      <c r="R10" s="3">
        <v>506</v>
      </c>
      <c r="S10" s="3">
        <v>1.591</v>
      </c>
      <c r="T10" s="3">
        <v>1.4830000000000001</v>
      </c>
      <c r="U10" s="3">
        <v>0.19</v>
      </c>
      <c r="V10" s="3">
        <v>-0.32200000000000001</v>
      </c>
      <c r="W10" s="3">
        <v>1.9E-2</v>
      </c>
      <c r="X10" s="3">
        <v>0.995</v>
      </c>
      <c r="Y10" s="3">
        <v>4.53</v>
      </c>
      <c r="Z10" s="3">
        <v>2240</v>
      </c>
      <c r="AA10" s="3">
        <v>-5.8630000000000004</v>
      </c>
      <c r="AB10" s="3">
        <v>559</v>
      </c>
      <c r="AC10" s="3">
        <v>82.5</v>
      </c>
      <c r="AD10" s="3">
        <v>1251</v>
      </c>
      <c r="AE10" s="3">
        <v>-8.25</v>
      </c>
      <c r="AF10" s="3">
        <v>-9.32</v>
      </c>
      <c r="AG10" s="3">
        <v>-0.38600000000000001</v>
      </c>
      <c r="AH10" s="3">
        <v>-0.85</v>
      </c>
      <c r="AI10" s="3">
        <v>-0.52200000000000002</v>
      </c>
      <c r="AJ10" s="3">
        <v>0.46500000000000002</v>
      </c>
      <c r="AK10" s="3">
        <v>0.104</v>
      </c>
      <c r="AL10" s="3">
        <v>0.105</v>
      </c>
      <c r="AM10" s="3">
        <v>0.111</v>
      </c>
      <c r="AN10" s="3">
        <v>9.7000000000000003E-2</v>
      </c>
      <c r="AO10" s="3">
        <v>0.21199999999999999</v>
      </c>
      <c r="AP10" s="3">
        <v>0.21199999999999999</v>
      </c>
      <c r="AQ10" s="3">
        <v>9.2999999999999999E-2</v>
      </c>
      <c r="AR10" s="3">
        <v>6.6000000000000003E-2</v>
      </c>
      <c r="AS10" s="3">
        <v>2854</v>
      </c>
      <c r="AT10" s="3">
        <v>2844</v>
      </c>
      <c r="AU10" s="3">
        <v>2849</v>
      </c>
      <c r="AV10" s="3">
        <v>-4.4050000000000002</v>
      </c>
      <c r="AW10" s="3">
        <v>-4.4550000000000001</v>
      </c>
      <c r="AX10" s="3">
        <v>-1.292</v>
      </c>
      <c r="AY10" s="3">
        <v>-0.92500000000000004</v>
      </c>
      <c r="AZ10" s="3">
        <v>-7.07</v>
      </c>
      <c r="BA10" s="3">
        <v>-7.48</v>
      </c>
      <c r="BB10" s="3">
        <v>13.1</v>
      </c>
      <c r="BC10" s="3">
        <v>2876</v>
      </c>
      <c r="BE10" s="6">
        <f t="shared" si="0"/>
        <v>661</v>
      </c>
      <c r="BG10" s="16">
        <v>4.72</v>
      </c>
      <c r="BH10" s="16">
        <f t="shared" si="1"/>
        <v>9.5343999999999998</v>
      </c>
      <c r="BI10" s="17">
        <f t="shared" si="2"/>
        <v>2.73</v>
      </c>
      <c r="BJ10" s="17">
        <f t="shared" si="3"/>
        <v>3.68</v>
      </c>
      <c r="BL10" s="1">
        <f t="shared" si="4"/>
        <v>99.2</v>
      </c>
      <c r="BM10" s="1">
        <f t="shared" si="5"/>
        <v>81</v>
      </c>
      <c r="BN10" s="1">
        <f t="shared" si="6"/>
        <v>65.599999999999994</v>
      </c>
      <c r="BO10" s="49">
        <f t="shared" si="15"/>
        <v>0.41099999999999998</v>
      </c>
      <c r="BP10" s="49">
        <f t="shared" si="16"/>
        <v>0.216</v>
      </c>
      <c r="BT10" s="16">
        <f t="shared" si="7"/>
        <v>2.73</v>
      </c>
      <c r="BU10" s="16">
        <f t="shared" si="8"/>
        <v>3.68</v>
      </c>
      <c r="BV10" s="3">
        <f t="shared" si="9"/>
        <v>-3</v>
      </c>
      <c r="BW10" s="3">
        <f t="shared" si="10"/>
        <v>-3.5</v>
      </c>
      <c r="BX10" s="3">
        <f t="shared" si="10"/>
        <v>-3.7</v>
      </c>
      <c r="BY10" s="3">
        <f t="shared" si="10"/>
        <v>0</v>
      </c>
      <c r="BZ10" s="3">
        <f t="shared" si="10"/>
        <v>-0.5</v>
      </c>
      <c r="CA10" s="3">
        <f t="shared" si="10"/>
        <v>-0.2</v>
      </c>
      <c r="CB10" s="3">
        <f t="shared" si="10"/>
        <v>0.8</v>
      </c>
      <c r="CC10" s="22">
        <f t="shared" si="11"/>
        <v>81</v>
      </c>
      <c r="CD10" s="1">
        <f t="shared" si="17"/>
        <v>0.3</v>
      </c>
      <c r="CE10" s="1">
        <f t="shared" si="18"/>
        <v>1.6</v>
      </c>
      <c r="CF10" s="1">
        <f t="shared" si="19"/>
        <v>1.5</v>
      </c>
      <c r="CG10" s="1">
        <f t="shared" si="20"/>
        <v>0.2</v>
      </c>
      <c r="CH10" s="1">
        <f t="shared" si="21"/>
        <v>-0.3</v>
      </c>
      <c r="CI10" s="1">
        <f t="shared" si="22"/>
        <v>0</v>
      </c>
      <c r="CJ10" s="1">
        <f t="shared" si="23"/>
        <v>1</v>
      </c>
      <c r="CK10" s="2">
        <f t="shared" si="13"/>
        <v>99.2</v>
      </c>
      <c r="CL10" s="1">
        <f t="shared" si="24"/>
        <v>-5.9</v>
      </c>
      <c r="CM10" s="1">
        <f t="shared" si="25"/>
        <v>-8.3000000000000007</v>
      </c>
      <c r="CN10" s="1">
        <f t="shared" si="26"/>
        <v>-9.3000000000000007</v>
      </c>
      <c r="CO10" s="1">
        <f t="shared" si="27"/>
        <v>-0.4</v>
      </c>
      <c r="CP10" s="1">
        <f t="shared" si="28"/>
        <v>-0.9</v>
      </c>
      <c r="CQ10" s="1">
        <f t="shared" si="29"/>
        <v>-0.5</v>
      </c>
      <c r="CR10" s="1">
        <f t="shared" si="30"/>
        <v>0.5</v>
      </c>
      <c r="CS10" s="2">
        <f t="shared" si="31"/>
        <v>65.599999999999994</v>
      </c>
      <c r="CT10" s="6">
        <f t="shared" si="32"/>
        <v>661</v>
      </c>
      <c r="CU10" s="1">
        <f>PPTest!K10</f>
        <v>0</v>
      </c>
      <c r="CV10" s="3">
        <f t="shared" si="33"/>
        <v>1.43</v>
      </c>
      <c r="CW10" s="3">
        <f t="shared" si="34"/>
        <v>4.53</v>
      </c>
      <c r="CX10" s="24">
        <f t="shared" si="35"/>
        <v>0.41099999999999998</v>
      </c>
      <c r="CY10" s="24">
        <f t="shared" si="35"/>
        <v>0.216</v>
      </c>
      <c r="CZ10" s="16">
        <f t="shared" si="36"/>
        <v>13.1</v>
      </c>
    </row>
    <row r="11" spans="1:104" x14ac:dyDescent="0.2">
      <c r="A11" s="14">
        <f t="shared" si="37"/>
        <v>38722</v>
      </c>
      <c r="B11" s="1">
        <v>5</v>
      </c>
      <c r="C11" s="3">
        <v>0.65500000000000003</v>
      </c>
      <c r="D11" s="3">
        <v>1.2190000000000001</v>
      </c>
      <c r="E11" s="3">
        <v>-0.77100000000000002</v>
      </c>
      <c r="F11" s="3">
        <v>99.1</v>
      </c>
      <c r="G11" s="3">
        <v>-1.2350000000000001</v>
      </c>
      <c r="H11" s="3">
        <v>-1.3220000000000001</v>
      </c>
      <c r="I11" s="3">
        <v>-1.4E-2</v>
      </c>
      <c r="J11" s="3">
        <v>-0.42699999999999999</v>
      </c>
      <c r="K11" s="3">
        <v>-0.16300000000000001</v>
      </c>
      <c r="L11" s="3">
        <v>0.82299999999999995</v>
      </c>
      <c r="M11" s="3">
        <v>1.827</v>
      </c>
      <c r="N11" s="3">
        <v>0</v>
      </c>
      <c r="O11" s="3">
        <v>1.3340000000000001</v>
      </c>
      <c r="P11" s="3">
        <v>1447</v>
      </c>
      <c r="Q11" s="3">
        <v>110.5</v>
      </c>
      <c r="R11" s="3">
        <v>2344</v>
      </c>
      <c r="S11" s="3">
        <v>1.0169999999999999</v>
      </c>
      <c r="T11" s="3">
        <v>0.98899999999999999</v>
      </c>
      <c r="U11" s="3">
        <v>7.6999999999999999E-2</v>
      </c>
      <c r="V11" s="3">
        <v>-0.33100000000000002</v>
      </c>
      <c r="W11" s="3">
        <v>-9.2999999999999999E-2</v>
      </c>
      <c r="X11" s="3">
        <v>0.88200000000000001</v>
      </c>
      <c r="Y11" s="3">
        <v>5.4880000000000004</v>
      </c>
      <c r="Z11" s="3">
        <v>807</v>
      </c>
      <c r="AA11" s="3">
        <v>-2.931</v>
      </c>
      <c r="AB11" s="3">
        <v>10</v>
      </c>
      <c r="AC11" s="3">
        <v>84.1</v>
      </c>
      <c r="AD11" s="3">
        <v>635</v>
      </c>
      <c r="AE11" s="3">
        <v>-3.468</v>
      </c>
      <c r="AF11" s="3">
        <v>-3.5470000000000002</v>
      </c>
      <c r="AG11" s="3">
        <v>-0.14099999999999999</v>
      </c>
      <c r="AH11" s="3">
        <v>-0.52300000000000002</v>
      </c>
      <c r="AI11" s="3">
        <v>-0.214</v>
      </c>
      <c r="AJ11" s="3">
        <v>0.76900000000000002</v>
      </c>
      <c r="AK11" s="3">
        <v>0.16500000000000001</v>
      </c>
      <c r="AL11" s="3">
        <v>0.128</v>
      </c>
      <c r="AM11" s="3">
        <v>8.3000000000000004E-2</v>
      </c>
      <c r="AN11" s="3">
        <v>4.8000000000000001E-2</v>
      </c>
      <c r="AO11" s="3">
        <v>9.5000000000000001E-2</v>
      </c>
      <c r="AP11" s="3">
        <v>0.184</v>
      </c>
      <c r="AQ11" s="3">
        <v>0.152</v>
      </c>
      <c r="AR11" s="3">
        <v>0.14399999999999999</v>
      </c>
      <c r="AS11" s="3">
        <v>2870</v>
      </c>
      <c r="AT11" s="3">
        <v>2862</v>
      </c>
      <c r="AU11" s="3">
        <v>2866</v>
      </c>
      <c r="AV11" s="3">
        <v>-1.68</v>
      </c>
      <c r="AW11" s="3">
        <v>-1.69</v>
      </c>
      <c r="AX11" s="3">
        <v>-0.24299999999999999</v>
      </c>
      <c r="AY11" s="3">
        <v>-0.17599999999999999</v>
      </c>
      <c r="AZ11" s="3">
        <v>-3.4390000000000001</v>
      </c>
      <c r="BA11" s="3">
        <v>-3.51</v>
      </c>
      <c r="BB11" s="3">
        <v>12.7</v>
      </c>
      <c r="BC11" s="3">
        <v>2876</v>
      </c>
      <c r="BE11" s="6">
        <f t="shared" si="0"/>
        <v>644</v>
      </c>
      <c r="BG11" s="16">
        <v>4.76</v>
      </c>
      <c r="BH11" s="16">
        <f t="shared" si="1"/>
        <v>9.6151999999999997</v>
      </c>
      <c r="BI11" s="17">
        <f t="shared" si="2"/>
        <v>0.64</v>
      </c>
      <c r="BJ11" s="17">
        <f t="shared" si="3"/>
        <v>1.34</v>
      </c>
      <c r="BL11" s="1">
        <f t="shared" si="4"/>
        <v>99</v>
      </c>
      <c r="BM11" s="1">
        <f t="shared" si="5"/>
        <v>80.900000000000006</v>
      </c>
      <c r="BN11" s="1">
        <f t="shared" si="6"/>
        <v>67</v>
      </c>
      <c r="BO11" s="49">
        <f t="shared" si="15"/>
        <v>0.45100000000000001</v>
      </c>
      <c r="BP11" s="49">
        <f t="shared" si="16"/>
        <v>0.222</v>
      </c>
      <c r="BT11" s="16">
        <f t="shared" si="7"/>
        <v>0.64</v>
      </c>
      <c r="BU11" s="16">
        <f t="shared" si="8"/>
        <v>1.34</v>
      </c>
      <c r="BV11" s="3">
        <f t="shared" si="9"/>
        <v>-0.8</v>
      </c>
      <c r="BW11" s="3">
        <f t="shared" si="10"/>
        <v>-1.2</v>
      </c>
      <c r="BX11" s="3">
        <f t="shared" si="10"/>
        <v>-1.3</v>
      </c>
      <c r="BY11" s="3">
        <f t="shared" si="10"/>
        <v>0</v>
      </c>
      <c r="BZ11" s="3">
        <f t="shared" si="10"/>
        <v>-0.4</v>
      </c>
      <c r="CA11" s="3">
        <f t="shared" si="10"/>
        <v>-0.2</v>
      </c>
      <c r="CB11" s="3">
        <f t="shared" si="10"/>
        <v>0.8</v>
      </c>
      <c r="CC11" s="22">
        <f t="shared" si="11"/>
        <v>80.900000000000006</v>
      </c>
      <c r="CD11" s="1">
        <f t="shared" si="17"/>
        <v>1.3</v>
      </c>
      <c r="CE11" s="1">
        <f t="shared" si="18"/>
        <v>1</v>
      </c>
      <c r="CF11" s="1">
        <f t="shared" si="19"/>
        <v>1</v>
      </c>
      <c r="CG11" s="1">
        <f t="shared" si="20"/>
        <v>0.1</v>
      </c>
      <c r="CH11" s="1">
        <f t="shared" si="21"/>
        <v>-0.3</v>
      </c>
      <c r="CI11" s="1">
        <f t="shared" si="22"/>
        <v>-0.1</v>
      </c>
      <c r="CJ11" s="1">
        <f t="shared" si="23"/>
        <v>0.9</v>
      </c>
      <c r="CK11" s="2">
        <f t="shared" si="13"/>
        <v>99</v>
      </c>
      <c r="CL11" s="1">
        <f t="shared" si="24"/>
        <v>-2.9</v>
      </c>
      <c r="CM11" s="1">
        <f t="shared" si="25"/>
        <v>-3.5</v>
      </c>
      <c r="CN11" s="1">
        <f t="shared" si="26"/>
        <v>-3.5</v>
      </c>
      <c r="CO11" s="1">
        <f t="shared" si="27"/>
        <v>-0.1</v>
      </c>
      <c r="CP11" s="1">
        <f t="shared" si="28"/>
        <v>-0.5</v>
      </c>
      <c r="CQ11" s="1">
        <f t="shared" si="29"/>
        <v>-0.2</v>
      </c>
      <c r="CR11" s="1">
        <f t="shared" si="30"/>
        <v>0.8</v>
      </c>
      <c r="CS11" s="2">
        <f t="shared" si="31"/>
        <v>67</v>
      </c>
      <c r="CT11" s="6">
        <f t="shared" si="32"/>
        <v>644</v>
      </c>
      <c r="CU11" s="1">
        <f>PPTest!K11</f>
        <v>0</v>
      </c>
      <c r="CV11" s="3">
        <f t="shared" si="33"/>
        <v>1.83</v>
      </c>
      <c r="CW11" s="3">
        <f t="shared" si="34"/>
        <v>5.49</v>
      </c>
      <c r="CX11" s="24">
        <f t="shared" si="35"/>
        <v>0.45100000000000001</v>
      </c>
      <c r="CY11" s="24">
        <f t="shared" si="35"/>
        <v>0.222</v>
      </c>
      <c r="CZ11" s="16">
        <f t="shared" si="36"/>
        <v>12.7</v>
      </c>
    </row>
    <row r="12" spans="1:104" x14ac:dyDescent="0.2">
      <c r="A12" s="14">
        <f t="shared" si="37"/>
        <v>38723</v>
      </c>
      <c r="B12" s="1">
        <v>6</v>
      </c>
      <c r="C12" s="3">
        <v>1.552</v>
      </c>
      <c r="D12" s="3">
        <v>2.8140000000000001</v>
      </c>
      <c r="E12" s="3">
        <v>0.36499999999999999</v>
      </c>
      <c r="F12" s="3">
        <v>108.5</v>
      </c>
      <c r="G12" s="3">
        <v>-4.2000000000000003E-2</v>
      </c>
      <c r="H12" s="3">
        <v>-9.1999999999999998E-2</v>
      </c>
      <c r="I12" s="3">
        <v>0.09</v>
      </c>
      <c r="J12" s="3">
        <v>-0.29499999999999998</v>
      </c>
      <c r="K12" s="3">
        <v>-0.11600000000000001</v>
      </c>
      <c r="L12" s="3">
        <v>0.84199999999999997</v>
      </c>
      <c r="M12" s="3">
        <v>1.3919999999999999</v>
      </c>
      <c r="N12" s="3">
        <v>0</v>
      </c>
      <c r="O12" s="3">
        <v>1.87</v>
      </c>
      <c r="P12" s="3">
        <v>1105</v>
      </c>
      <c r="Q12" s="3">
        <v>111</v>
      </c>
      <c r="R12" s="3">
        <v>324</v>
      </c>
      <c r="S12" s="3">
        <v>2.1440000000000001</v>
      </c>
      <c r="T12" s="3">
        <v>2.2450000000000001</v>
      </c>
      <c r="U12" s="3">
        <v>0.16700000000000001</v>
      </c>
      <c r="V12" s="3">
        <v>-0.20599999999999999</v>
      </c>
      <c r="W12" s="3">
        <v>-3.1E-2</v>
      </c>
      <c r="X12" s="3">
        <v>0.93300000000000005</v>
      </c>
      <c r="Y12" s="3">
        <v>4.2770000000000001</v>
      </c>
      <c r="Z12" s="3">
        <v>1627</v>
      </c>
      <c r="AA12" s="3">
        <v>-1.7809999999999999</v>
      </c>
      <c r="AB12" s="3">
        <v>315</v>
      </c>
      <c r="AC12" s="3">
        <v>104.3</v>
      </c>
      <c r="AD12" s="3">
        <v>1638</v>
      </c>
      <c r="AE12" s="3">
        <v>-2.2410000000000001</v>
      </c>
      <c r="AF12" s="3">
        <v>-2.218</v>
      </c>
      <c r="AG12" s="3">
        <v>-1.4E-2</v>
      </c>
      <c r="AH12" s="3">
        <v>-0.40600000000000003</v>
      </c>
      <c r="AI12" s="3">
        <v>-0.19600000000000001</v>
      </c>
      <c r="AJ12" s="3">
        <v>0.77900000000000003</v>
      </c>
      <c r="AK12" s="3">
        <v>5.5E-2</v>
      </c>
      <c r="AL12" s="3">
        <v>6.9000000000000006E-2</v>
      </c>
      <c r="AM12" s="3">
        <v>4.3999999999999997E-2</v>
      </c>
      <c r="AN12" s="3">
        <v>6.2E-2</v>
      </c>
      <c r="AO12" s="3">
        <v>0.17499999999999999</v>
      </c>
      <c r="AP12" s="3">
        <v>0.29199999999999998</v>
      </c>
      <c r="AQ12" s="3">
        <v>0.222</v>
      </c>
      <c r="AR12" s="3">
        <v>8.2000000000000003E-2</v>
      </c>
      <c r="AS12" s="3">
        <v>2868</v>
      </c>
      <c r="AT12" s="3">
        <v>2862</v>
      </c>
      <c r="AU12" s="3">
        <v>2865</v>
      </c>
      <c r="AV12" s="3">
        <v>-0.214</v>
      </c>
      <c r="AW12" s="3">
        <v>-0.23100000000000001</v>
      </c>
      <c r="AX12" s="3">
        <v>1.0740000000000001</v>
      </c>
      <c r="AY12" s="3">
        <v>1.1719999999999999</v>
      </c>
      <c r="AZ12" s="3">
        <v>-1.6419999999999999</v>
      </c>
      <c r="BA12" s="3">
        <v>-1.5569999999999999</v>
      </c>
      <c r="BB12" s="3">
        <v>12.8</v>
      </c>
      <c r="BC12" s="3">
        <v>2876</v>
      </c>
      <c r="BE12" s="6">
        <f t="shared" si="0"/>
        <v>645</v>
      </c>
      <c r="BG12" s="16">
        <v>4.82</v>
      </c>
      <c r="BH12" s="16">
        <f t="shared" si="1"/>
        <v>9.7364000000000015</v>
      </c>
      <c r="BI12" s="17">
        <f t="shared" si="2"/>
        <v>1.52</v>
      </c>
      <c r="BJ12" s="17">
        <f t="shared" si="3"/>
        <v>3.1</v>
      </c>
      <c r="BL12" s="1">
        <f t="shared" si="4"/>
        <v>99.8</v>
      </c>
      <c r="BM12" s="1">
        <f t="shared" si="5"/>
        <v>95.8</v>
      </c>
      <c r="BN12" s="1">
        <f t="shared" si="6"/>
        <v>89.1</v>
      </c>
      <c r="BO12" s="49">
        <f t="shared" si="15"/>
        <v>0.623</v>
      </c>
      <c r="BP12" s="49">
        <f t="shared" si="16"/>
        <v>7.5999999999999998E-2</v>
      </c>
      <c r="BT12" s="16">
        <f t="shared" si="7"/>
        <v>1.52</v>
      </c>
      <c r="BU12" s="16">
        <f t="shared" si="8"/>
        <v>3.1</v>
      </c>
      <c r="BV12" s="3">
        <f t="shared" si="9"/>
        <v>0.4</v>
      </c>
      <c r="BW12" s="3">
        <f t="shared" si="10"/>
        <v>0</v>
      </c>
      <c r="BX12" s="3">
        <f t="shared" si="10"/>
        <v>-0.1</v>
      </c>
      <c r="BY12" s="3">
        <f t="shared" si="10"/>
        <v>0.1</v>
      </c>
      <c r="BZ12" s="3">
        <f t="shared" si="10"/>
        <v>-0.3</v>
      </c>
      <c r="CA12" s="3">
        <f t="shared" si="10"/>
        <v>-0.1</v>
      </c>
      <c r="CB12" s="3">
        <f t="shared" si="10"/>
        <v>0.8</v>
      </c>
      <c r="CC12" s="22">
        <f t="shared" si="11"/>
        <v>95.8</v>
      </c>
      <c r="CD12" s="1">
        <f t="shared" si="17"/>
        <v>1.9</v>
      </c>
      <c r="CE12" s="1">
        <f t="shared" si="18"/>
        <v>2.1</v>
      </c>
      <c r="CF12" s="1">
        <f t="shared" si="19"/>
        <v>2.2000000000000002</v>
      </c>
      <c r="CG12" s="1">
        <f t="shared" si="20"/>
        <v>0.2</v>
      </c>
      <c r="CH12" s="1">
        <f t="shared" si="21"/>
        <v>-0.2</v>
      </c>
      <c r="CI12" s="1">
        <f t="shared" si="22"/>
        <v>0</v>
      </c>
      <c r="CJ12" s="1">
        <f t="shared" si="23"/>
        <v>0.9</v>
      </c>
      <c r="CK12" s="2">
        <f t="shared" si="13"/>
        <v>99.8</v>
      </c>
      <c r="CL12" s="1">
        <f t="shared" si="24"/>
        <v>-1.8</v>
      </c>
      <c r="CM12" s="1">
        <f t="shared" si="25"/>
        <v>-2.2000000000000002</v>
      </c>
      <c r="CN12" s="1">
        <f t="shared" si="26"/>
        <v>-2.2000000000000002</v>
      </c>
      <c r="CO12" s="1">
        <f t="shared" si="27"/>
        <v>0</v>
      </c>
      <c r="CP12" s="1">
        <f t="shared" si="28"/>
        <v>-0.4</v>
      </c>
      <c r="CQ12" s="1">
        <f t="shared" si="29"/>
        <v>-0.2</v>
      </c>
      <c r="CR12" s="1">
        <f t="shared" si="30"/>
        <v>0.8</v>
      </c>
      <c r="CS12" s="2">
        <f t="shared" si="31"/>
        <v>89.1</v>
      </c>
      <c r="CT12" s="6">
        <f t="shared" si="32"/>
        <v>645</v>
      </c>
      <c r="CU12" s="1">
        <f>PPTest!K12</f>
        <v>0.1</v>
      </c>
      <c r="CV12" s="3">
        <f t="shared" si="33"/>
        <v>1.39</v>
      </c>
      <c r="CW12" s="3">
        <f t="shared" si="34"/>
        <v>4.28</v>
      </c>
      <c r="CX12" s="24">
        <f t="shared" si="35"/>
        <v>0.623</v>
      </c>
      <c r="CY12" s="24">
        <f t="shared" si="35"/>
        <v>7.5999999999999998E-2</v>
      </c>
      <c r="CZ12" s="16">
        <f t="shared" si="36"/>
        <v>12.8</v>
      </c>
    </row>
    <row r="13" spans="1:104" x14ac:dyDescent="0.2">
      <c r="A13" s="14">
        <f t="shared" si="37"/>
        <v>38724</v>
      </c>
      <c r="B13" s="1">
        <v>7</v>
      </c>
      <c r="C13" s="3">
        <v>2.2949999999999999</v>
      </c>
      <c r="D13" s="3">
        <v>3.38</v>
      </c>
      <c r="E13" s="3">
        <v>-2.5880000000000001</v>
      </c>
      <c r="F13" s="3">
        <v>110.1</v>
      </c>
      <c r="G13" s="3">
        <v>-3.2469999999999999</v>
      </c>
      <c r="H13" s="3">
        <v>-3.427</v>
      </c>
      <c r="I13" s="3">
        <v>6.6000000000000003E-2</v>
      </c>
      <c r="J13" s="3">
        <v>-0.372</v>
      </c>
      <c r="K13" s="3">
        <v>-0.17</v>
      </c>
      <c r="L13" s="3">
        <v>0.78400000000000003</v>
      </c>
      <c r="M13" s="3">
        <v>0.747</v>
      </c>
      <c r="N13" s="3">
        <v>0</v>
      </c>
      <c r="O13" s="3">
        <v>-5.6000000000000001E-2</v>
      </c>
      <c r="P13" s="3">
        <v>2</v>
      </c>
      <c r="Q13" s="3">
        <v>111.2</v>
      </c>
      <c r="R13" s="3">
        <v>702</v>
      </c>
      <c r="S13" s="3">
        <v>-0.49</v>
      </c>
      <c r="T13" s="3">
        <v>-0.45600000000000002</v>
      </c>
      <c r="U13" s="3">
        <v>0.34</v>
      </c>
      <c r="V13" s="3">
        <v>-0.13200000000000001</v>
      </c>
      <c r="W13" s="3">
        <v>6.7000000000000004E-2</v>
      </c>
      <c r="X13" s="3">
        <v>1.02</v>
      </c>
      <c r="Y13" s="3">
        <v>2.3220000000000001</v>
      </c>
      <c r="Z13" s="3">
        <v>1513</v>
      </c>
      <c r="AA13" s="3">
        <v>-6.5279999999999996</v>
      </c>
      <c r="AB13" s="3">
        <v>901</v>
      </c>
      <c r="AC13" s="3">
        <v>105.5</v>
      </c>
      <c r="AD13" s="3">
        <v>957</v>
      </c>
      <c r="AE13" s="3">
        <v>-8.66</v>
      </c>
      <c r="AF13" s="3">
        <v>-10.199999999999999</v>
      </c>
      <c r="AG13" s="3">
        <v>-0.23100000000000001</v>
      </c>
      <c r="AH13" s="3">
        <v>-0.67400000000000004</v>
      </c>
      <c r="AI13" s="3">
        <v>-0.436</v>
      </c>
      <c r="AJ13" s="3">
        <v>0.52900000000000003</v>
      </c>
      <c r="AK13" s="3">
        <v>7.0999999999999994E-2</v>
      </c>
      <c r="AL13" s="3">
        <v>0.30299999999999999</v>
      </c>
      <c r="AM13" s="3">
        <v>0.25600000000000001</v>
      </c>
      <c r="AN13" s="3">
        <v>5.8000000000000003E-2</v>
      </c>
      <c r="AO13" s="3">
        <v>0.13700000000000001</v>
      </c>
      <c r="AP13" s="3">
        <v>0.114</v>
      </c>
      <c r="AQ13" s="3">
        <v>0.04</v>
      </c>
      <c r="AR13" s="3">
        <v>0.02</v>
      </c>
      <c r="AS13" s="3">
        <v>2844</v>
      </c>
      <c r="AT13" s="3">
        <v>2841</v>
      </c>
      <c r="AU13" s="3">
        <v>2843</v>
      </c>
      <c r="AV13" s="3">
        <v>-3.38</v>
      </c>
      <c r="AW13" s="3">
        <v>-3.4980000000000002</v>
      </c>
      <c r="AX13" s="3">
        <v>-0.32500000000000001</v>
      </c>
      <c r="AY13" s="3">
        <v>-0.45500000000000002</v>
      </c>
      <c r="AZ13" s="3">
        <v>-8.5299999999999994</v>
      </c>
      <c r="BA13" s="3">
        <v>-9</v>
      </c>
      <c r="BB13" s="3">
        <v>13.02</v>
      </c>
      <c r="BC13" s="3">
        <v>2876</v>
      </c>
      <c r="BE13" s="6">
        <f t="shared" si="0"/>
        <v>667</v>
      </c>
      <c r="BG13" s="16">
        <v>4.87</v>
      </c>
      <c r="BH13" s="16">
        <f t="shared" si="1"/>
        <v>9.8374000000000006</v>
      </c>
      <c r="BI13" s="17">
        <f t="shared" si="2"/>
        <v>2.25</v>
      </c>
      <c r="BJ13" s="17">
        <f t="shared" si="3"/>
        <v>3.72</v>
      </c>
      <c r="BL13" s="1">
        <f t="shared" si="4"/>
        <v>100</v>
      </c>
      <c r="BM13" s="1">
        <f t="shared" si="5"/>
        <v>98.4</v>
      </c>
      <c r="BN13" s="1">
        <f t="shared" si="6"/>
        <v>91</v>
      </c>
      <c r="BO13" s="49">
        <f t="shared" si="15"/>
        <v>0.55300000000000005</v>
      </c>
      <c r="BP13" s="49">
        <f t="shared" si="16"/>
        <v>5.5E-2</v>
      </c>
      <c r="BT13" s="16">
        <f t="shared" si="7"/>
        <v>2.25</v>
      </c>
      <c r="BU13" s="16">
        <f t="shared" si="8"/>
        <v>3.72</v>
      </c>
      <c r="BV13" s="3">
        <f t="shared" si="9"/>
        <v>-2.6</v>
      </c>
      <c r="BW13" s="3">
        <f t="shared" si="10"/>
        <v>-3.2</v>
      </c>
      <c r="BX13" s="3">
        <f t="shared" si="10"/>
        <v>-3.4</v>
      </c>
      <c r="BY13" s="3">
        <f t="shared" si="10"/>
        <v>0.1</v>
      </c>
      <c r="BZ13" s="3">
        <f t="shared" si="10"/>
        <v>-0.4</v>
      </c>
      <c r="CA13" s="3">
        <f t="shared" si="10"/>
        <v>-0.2</v>
      </c>
      <c r="CB13" s="3">
        <f t="shared" si="10"/>
        <v>0.8</v>
      </c>
      <c r="CC13" s="22">
        <f t="shared" si="11"/>
        <v>98.4</v>
      </c>
      <c r="CD13" s="1">
        <f t="shared" si="17"/>
        <v>-0.1</v>
      </c>
      <c r="CE13" s="1">
        <f t="shared" si="18"/>
        <v>-0.5</v>
      </c>
      <c r="CF13" s="1">
        <f t="shared" si="19"/>
        <v>-0.5</v>
      </c>
      <c r="CG13" s="1">
        <f t="shared" si="20"/>
        <v>0.3</v>
      </c>
      <c r="CH13" s="1">
        <f t="shared" si="21"/>
        <v>-0.1</v>
      </c>
      <c r="CI13" s="1">
        <f t="shared" si="22"/>
        <v>0.1</v>
      </c>
      <c r="CJ13" s="1">
        <f t="shared" si="23"/>
        <v>1</v>
      </c>
      <c r="CK13" s="2">
        <f t="shared" si="13"/>
        <v>100</v>
      </c>
      <c r="CL13" s="1">
        <f t="shared" si="24"/>
        <v>-6.5</v>
      </c>
      <c r="CM13" s="1">
        <f t="shared" si="25"/>
        <v>-8.6999999999999993</v>
      </c>
      <c r="CN13" s="1">
        <f t="shared" si="26"/>
        <v>-10.199999999999999</v>
      </c>
      <c r="CO13" s="1">
        <f t="shared" si="27"/>
        <v>-0.2</v>
      </c>
      <c r="CP13" s="1">
        <f t="shared" si="28"/>
        <v>-0.7</v>
      </c>
      <c r="CQ13" s="1">
        <f t="shared" si="29"/>
        <v>-0.4</v>
      </c>
      <c r="CR13" s="1">
        <f t="shared" si="30"/>
        <v>0.5</v>
      </c>
      <c r="CS13" s="2">
        <f t="shared" si="31"/>
        <v>91</v>
      </c>
      <c r="CT13" s="6">
        <f t="shared" si="32"/>
        <v>667</v>
      </c>
      <c r="CU13" s="1">
        <f>PPTest!K13</f>
        <v>2.9</v>
      </c>
      <c r="CV13" s="3">
        <f t="shared" si="33"/>
        <v>0.75</v>
      </c>
      <c r="CW13" s="3">
        <f t="shared" si="34"/>
        <v>2.3199999999999998</v>
      </c>
      <c r="CX13" s="24">
        <f t="shared" si="35"/>
        <v>0.55300000000000005</v>
      </c>
      <c r="CY13" s="24">
        <f t="shared" si="35"/>
        <v>5.5E-2</v>
      </c>
      <c r="CZ13" s="16">
        <f t="shared" si="36"/>
        <v>13.02</v>
      </c>
    </row>
    <row r="14" spans="1:104" x14ac:dyDescent="0.2">
      <c r="A14" s="14">
        <f t="shared" si="37"/>
        <v>38725</v>
      </c>
      <c r="B14" s="1">
        <v>8</v>
      </c>
      <c r="C14" s="3">
        <v>0.56399999999999995</v>
      </c>
      <c r="D14" s="3">
        <v>0.98699999999999999</v>
      </c>
      <c r="E14" s="3">
        <v>-3.0710000000000002</v>
      </c>
      <c r="F14" s="3">
        <v>105.8</v>
      </c>
      <c r="G14" s="3">
        <v>-3.4889999999999999</v>
      </c>
      <c r="H14" s="3">
        <v>-3.512</v>
      </c>
      <c r="I14" s="3">
        <v>0.13100000000000001</v>
      </c>
      <c r="J14" s="3">
        <v>-0.43</v>
      </c>
      <c r="K14" s="3">
        <v>-0.16800000000000001</v>
      </c>
      <c r="L14" s="3">
        <v>0.79400000000000004</v>
      </c>
      <c r="M14" s="3">
        <v>1.387</v>
      </c>
      <c r="N14" s="3">
        <v>0</v>
      </c>
      <c r="O14" s="3">
        <v>-1.036</v>
      </c>
      <c r="P14" s="3">
        <v>1340</v>
      </c>
      <c r="Q14" s="3">
        <v>111.1</v>
      </c>
      <c r="R14" s="3">
        <v>7</v>
      </c>
      <c r="S14" s="3">
        <v>0.08</v>
      </c>
      <c r="T14" s="3">
        <v>0.48799999999999999</v>
      </c>
      <c r="U14" s="3">
        <v>0.26500000000000001</v>
      </c>
      <c r="V14" s="3">
        <v>-0.27</v>
      </c>
      <c r="W14" s="3">
        <v>-4.2999999999999997E-2</v>
      </c>
      <c r="X14" s="3">
        <v>0.92100000000000004</v>
      </c>
      <c r="Y14" s="3">
        <v>4.9960000000000004</v>
      </c>
      <c r="Z14" s="3">
        <v>2249</v>
      </c>
      <c r="AA14" s="3">
        <v>-4.3440000000000003</v>
      </c>
      <c r="AB14" s="3">
        <v>1741</v>
      </c>
      <c r="AC14" s="3">
        <v>94.8</v>
      </c>
      <c r="AD14" s="3">
        <v>1341</v>
      </c>
      <c r="AE14" s="3">
        <v>-5.7480000000000002</v>
      </c>
      <c r="AF14" s="3">
        <v>-6.5439999999999996</v>
      </c>
      <c r="AG14" s="3">
        <v>-5.8000000000000003E-2</v>
      </c>
      <c r="AH14" s="3">
        <v>-0.6</v>
      </c>
      <c r="AI14" s="3">
        <v>-0.32200000000000001</v>
      </c>
      <c r="AJ14" s="3">
        <v>0.64300000000000002</v>
      </c>
      <c r="AK14" s="3">
        <v>2.1999999999999999E-2</v>
      </c>
      <c r="AL14" s="3">
        <v>2.5999999999999999E-2</v>
      </c>
      <c r="AM14" s="3">
        <v>5.8000000000000003E-2</v>
      </c>
      <c r="AN14" s="3">
        <v>6.4000000000000001E-2</v>
      </c>
      <c r="AO14" s="3">
        <v>0.24</v>
      </c>
      <c r="AP14" s="3">
        <v>0.42199999999999999</v>
      </c>
      <c r="AQ14" s="3">
        <v>0.14499999999999999</v>
      </c>
      <c r="AR14" s="3">
        <v>2.4E-2</v>
      </c>
      <c r="AS14" s="3">
        <v>2831</v>
      </c>
      <c r="AT14" s="3">
        <v>2830</v>
      </c>
      <c r="AU14" s="3">
        <v>2830</v>
      </c>
      <c r="AV14" s="3">
        <v>-3.512</v>
      </c>
      <c r="AW14" s="3">
        <v>-3.5840000000000001</v>
      </c>
      <c r="AX14" s="3">
        <v>-1.6830000000000001</v>
      </c>
      <c r="AY14" s="3">
        <v>-1.417</v>
      </c>
      <c r="AZ14" s="3">
        <v>-5.524</v>
      </c>
      <c r="BA14" s="3">
        <v>-5.73</v>
      </c>
      <c r="BB14" s="3">
        <v>13.01</v>
      </c>
      <c r="BC14" s="3">
        <v>2876</v>
      </c>
      <c r="BE14" s="6">
        <f t="shared" si="0"/>
        <v>680</v>
      </c>
      <c r="BG14" s="16">
        <v>4.93</v>
      </c>
      <c r="BH14" s="16">
        <f t="shared" si="1"/>
        <v>9.9585999999999988</v>
      </c>
      <c r="BI14" s="17">
        <f t="shared" si="2"/>
        <v>0.55000000000000004</v>
      </c>
      <c r="BJ14" s="17">
        <f t="shared" si="3"/>
        <v>1.0900000000000001</v>
      </c>
      <c r="BL14" s="1">
        <f t="shared" si="4"/>
        <v>100</v>
      </c>
      <c r="BM14" s="1">
        <f t="shared" si="5"/>
        <v>91.5</v>
      </c>
      <c r="BN14" s="1">
        <f t="shared" si="6"/>
        <v>76.400000000000006</v>
      </c>
      <c r="BO14" s="49">
        <f t="shared" si="15"/>
        <v>0.432</v>
      </c>
      <c r="BP14" s="49">
        <f t="shared" si="16"/>
        <v>0.13300000000000001</v>
      </c>
      <c r="BT14" s="16">
        <f t="shared" si="7"/>
        <v>0.55000000000000004</v>
      </c>
      <c r="BU14" s="16">
        <f t="shared" si="8"/>
        <v>1.0900000000000001</v>
      </c>
      <c r="BV14" s="3">
        <f t="shared" si="9"/>
        <v>-3.1</v>
      </c>
      <c r="BW14" s="3">
        <f t="shared" si="10"/>
        <v>-3.5</v>
      </c>
      <c r="BX14" s="3">
        <f t="shared" si="10"/>
        <v>-3.5</v>
      </c>
      <c r="BY14" s="3">
        <f t="shared" si="10"/>
        <v>0.1</v>
      </c>
      <c r="BZ14" s="3">
        <f t="shared" si="10"/>
        <v>-0.4</v>
      </c>
      <c r="CA14" s="3">
        <f t="shared" si="10"/>
        <v>-0.2</v>
      </c>
      <c r="CB14" s="3">
        <f t="shared" si="10"/>
        <v>0.8</v>
      </c>
      <c r="CC14" s="22">
        <f t="shared" si="11"/>
        <v>91.5</v>
      </c>
      <c r="CD14" s="1">
        <f t="shared" si="17"/>
        <v>-1</v>
      </c>
      <c r="CE14" s="1">
        <f t="shared" si="18"/>
        <v>0.1</v>
      </c>
      <c r="CF14" s="1">
        <f t="shared" si="19"/>
        <v>0.5</v>
      </c>
      <c r="CG14" s="1">
        <f t="shared" si="20"/>
        <v>0.3</v>
      </c>
      <c r="CH14" s="1">
        <f t="shared" si="21"/>
        <v>-0.3</v>
      </c>
      <c r="CI14" s="1">
        <f t="shared" si="22"/>
        <v>0</v>
      </c>
      <c r="CJ14" s="1">
        <f t="shared" si="23"/>
        <v>0.9</v>
      </c>
      <c r="CK14" s="2">
        <f t="shared" si="13"/>
        <v>100</v>
      </c>
      <c r="CL14" s="1">
        <f t="shared" si="24"/>
        <v>-4.3</v>
      </c>
      <c r="CM14" s="1">
        <f t="shared" si="25"/>
        <v>-5.7</v>
      </c>
      <c r="CN14" s="1">
        <f t="shared" si="26"/>
        <v>-6.5</v>
      </c>
      <c r="CO14" s="1">
        <f t="shared" si="27"/>
        <v>-0.1</v>
      </c>
      <c r="CP14" s="1">
        <f t="shared" si="28"/>
        <v>-0.6</v>
      </c>
      <c r="CQ14" s="1">
        <f t="shared" si="29"/>
        <v>-0.3</v>
      </c>
      <c r="CR14" s="1">
        <f t="shared" si="30"/>
        <v>0.6</v>
      </c>
      <c r="CS14" s="2">
        <f t="shared" si="31"/>
        <v>76.400000000000006</v>
      </c>
      <c r="CT14" s="6">
        <f t="shared" si="32"/>
        <v>680</v>
      </c>
      <c r="CU14" s="1">
        <f>PPTest!K14</f>
        <v>1.7</v>
      </c>
      <c r="CV14" s="3">
        <f t="shared" si="33"/>
        <v>1.39</v>
      </c>
      <c r="CW14" s="3">
        <f t="shared" si="34"/>
        <v>5</v>
      </c>
      <c r="CX14" s="24">
        <f t="shared" si="35"/>
        <v>0.432</v>
      </c>
      <c r="CY14" s="24">
        <f t="shared" si="35"/>
        <v>0.13300000000000001</v>
      </c>
      <c r="CZ14" s="16">
        <f t="shared" si="36"/>
        <v>13.01</v>
      </c>
    </row>
    <row r="15" spans="1:104" x14ac:dyDescent="0.2">
      <c r="A15" s="14">
        <f t="shared" si="37"/>
        <v>38726</v>
      </c>
      <c r="B15" s="1">
        <v>9</v>
      </c>
      <c r="C15" s="3">
        <v>0.156</v>
      </c>
      <c r="D15" s="3">
        <v>0.25800000000000001</v>
      </c>
      <c r="E15" s="3">
        <v>-2.6150000000000002</v>
      </c>
      <c r="F15" s="3">
        <v>107.3</v>
      </c>
      <c r="G15" s="3">
        <v>-3.0289999999999999</v>
      </c>
      <c r="H15" s="3">
        <v>-3.0760000000000001</v>
      </c>
      <c r="I15" s="3">
        <v>9.7000000000000003E-2</v>
      </c>
      <c r="J15" s="3">
        <v>-0.46899999999999997</v>
      </c>
      <c r="K15" s="3">
        <v>-0.17399999999999999</v>
      </c>
      <c r="L15" s="3">
        <v>0.80100000000000005</v>
      </c>
      <c r="M15" s="3">
        <v>1.484</v>
      </c>
      <c r="N15" s="3">
        <v>0</v>
      </c>
      <c r="O15" s="3">
        <v>-1.45</v>
      </c>
      <c r="P15" s="3">
        <v>906</v>
      </c>
      <c r="Q15" s="3">
        <v>111.1</v>
      </c>
      <c r="R15" s="3">
        <v>2055</v>
      </c>
      <c r="S15" s="3">
        <v>-1.623</v>
      </c>
      <c r="T15" s="3">
        <v>-1.6339999999999999</v>
      </c>
      <c r="U15" s="3">
        <v>0.17</v>
      </c>
      <c r="V15" s="3">
        <v>-0.39800000000000002</v>
      </c>
      <c r="W15" s="3">
        <v>-0.11700000000000001</v>
      </c>
      <c r="X15" s="3">
        <v>0.85899999999999999</v>
      </c>
      <c r="Y15" s="3">
        <v>5.4080000000000004</v>
      </c>
      <c r="Z15" s="3">
        <v>442</v>
      </c>
      <c r="AA15" s="3">
        <v>-3.77</v>
      </c>
      <c r="AB15" s="3">
        <v>39</v>
      </c>
      <c r="AC15" s="3">
        <v>99.5</v>
      </c>
      <c r="AD15" s="3">
        <v>9</v>
      </c>
      <c r="AE15" s="3">
        <v>-4.3550000000000004</v>
      </c>
      <c r="AF15" s="3">
        <v>-4.875</v>
      </c>
      <c r="AG15" s="3">
        <v>-3.1E-2</v>
      </c>
      <c r="AH15" s="3">
        <v>-0.58399999999999996</v>
      </c>
      <c r="AI15" s="3">
        <v>-0.3</v>
      </c>
      <c r="AJ15" s="3">
        <v>0.68700000000000006</v>
      </c>
      <c r="AK15" s="3">
        <v>6.0999999999999999E-2</v>
      </c>
      <c r="AL15" s="3">
        <v>3.9E-2</v>
      </c>
      <c r="AM15" s="3">
        <v>6.5000000000000002E-2</v>
      </c>
      <c r="AN15" s="3">
        <v>6.2E-2</v>
      </c>
      <c r="AO15" s="3">
        <v>0.17399999999999999</v>
      </c>
      <c r="AP15" s="3">
        <v>0.23799999999999999</v>
      </c>
      <c r="AQ15" s="3">
        <v>0.23699999999999999</v>
      </c>
      <c r="AR15" s="3">
        <v>0.124</v>
      </c>
      <c r="AS15" s="3">
        <v>2726</v>
      </c>
      <c r="AT15" s="3">
        <v>2710</v>
      </c>
      <c r="AU15" s="3">
        <v>2717</v>
      </c>
      <c r="AV15" s="3">
        <v>-3.242</v>
      </c>
      <c r="AW15" s="3">
        <v>-3.2730000000000001</v>
      </c>
      <c r="AX15" s="3">
        <v>-2.3250000000000002</v>
      </c>
      <c r="AY15" s="3">
        <v>-2.355</v>
      </c>
      <c r="AZ15" s="3">
        <v>-4.2249999999999996</v>
      </c>
      <c r="BA15" s="3">
        <v>-4.2290000000000001</v>
      </c>
      <c r="BB15" s="3">
        <v>12.65</v>
      </c>
      <c r="BC15" s="3">
        <v>2876</v>
      </c>
      <c r="BE15" s="6">
        <f t="shared" si="0"/>
        <v>793</v>
      </c>
      <c r="BG15" s="16">
        <v>4.99</v>
      </c>
      <c r="BH15" s="16">
        <f t="shared" si="1"/>
        <v>10.079800000000001</v>
      </c>
      <c r="BI15" s="17">
        <f t="shared" si="2"/>
        <v>0.15</v>
      </c>
      <c r="BJ15" s="17">
        <f t="shared" si="3"/>
        <v>0.28000000000000003</v>
      </c>
      <c r="BL15" s="1">
        <f t="shared" si="4"/>
        <v>100</v>
      </c>
      <c r="BM15" s="1">
        <f t="shared" si="5"/>
        <v>93.9</v>
      </c>
      <c r="BN15" s="1">
        <f t="shared" si="6"/>
        <v>81.5</v>
      </c>
      <c r="BO15" s="49">
        <f t="shared" si="15"/>
        <v>0.44700000000000001</v>
      </c>
      <c r="BP15" s="49">
        <f t="shared" si="16"/>
        <v>0.10100000000000001</v>
      </c>
      <c r="BT15" s="16">
        <f t="shared" si="7"/>
        <v>0.15</v>
      </c>
      <c r="BU15" s="16">
        <f t="shared" si="8"/>
        <v>0.28000000000000003</v>
      </c>
      <c r="BV15" s="3">
        <f t="shared" si="9"/>
        <v>-2.6</v>
      </c>
      <c r="BW15" s="3">
        <f t="shared" si="10"/>
        <v>-3</v>
      </c>
      <c r="BX15" s="3">
        <f t="shared" si="10"/>
        <v>-3.1</v>
      </c>
      <c r="BY15" s="3">
        <f t="shared" si="10"/>
        <v>0.1</v>
      </c>
      <c r="BZ15" s="3">
        <f t="shared" si="10"/>
        <v>-0.5</v>
      </c>
      <c r="CA15" s="3">
        <f t="shared" si="10"/>
        <v>-0.2</v>
      </c>
      <c r="CB15" s="3">
        <f t="shared" si="10"/>
        <v>0.8</v>
      </c>
      <c r="CC15" s="22">
        <f t="shared" si="11"/>
        <v>93.9</v>
      </c>
      <c r="CD15" s="1">
        <f t="shared" si="17"/>
        <v>-1.5</v>
      </c>
      <c r="CE15" s="1">
        <f t="shared" si="18"/>
        <v>-1.6</v>
      </c>
      <c r="CF15" s="1">
        <f t="shared" si="19"/>
        <v>-1.6</v>
      </c>
      <c r="CG15" s="1">
        <f t="shared" si="20"/>
        <v>0.2</v>
      </c>
      <c r="CH15" s="1">
        <f t="shared" si="21"/>
        <v>-0.4</v>
      </c>
      <c r="CI15" s="1">
        <f t="shared" si="22"/>
        <v>-0.1</v>
      </c>
      <c r="CJ15" s="1">
        <f t="shared" si="23"/>
        <v>0.9</v>
      </c>
      <c r="CK15" s="2">
        <f t="shared" si="13"/>
        <v>100</v>
      </c>
      <c r="CL15" s="1">
        <f t="shared" si="24"/>
        <v>-3.8</v>
      </c>
      <c r="CM15" s="1">
        <f t="shared" si="25"/>
        <v>-4.4000000000000004</v>
      </c>
      <c r="CN15" s="1">
        <f t="shared" si="26"/>
        <v>-4.9000000000000004</v>
      </c>
      <c r="CO15" s="1">
        <f t="shared" si="27"/>
        <v>0</v>
      </c>
      <c r="CP15" s="1">
        <f t="shared" si="28"/>
        <v>-0.6</v>
      </c>
      <c r="CQ15" s="1">
        <f t="shared" si="29"/>
        <v>-0.3</v>
      </c>
      <c r="CR15" s="1">
        <f t="shared" si="30"/>
        <v>0.7</v>
      </c>
      <c r="CS15" s="2">
        <f t="shared" si="31"/>
        <v>81.5</v>
      </c>
      <c r="CT15" s="6">
        <f t="shared" si="32"/>
        <v>793</v>
      </c>
      <c r="CU15" s="1">
        <f>PPTest!K15</f>
        <v>14.7</v>
      </c>
      <c r="CV15" s="3">
        <f t="shared" si="33"/>
        <v>1.48</v>
      </c>
      <c r="CW15" s="3">
        <f t="shared" si="34"/>
        <v>5.41</v>
      </c>
      <c r="CX15" s="24">
        <f t="shared" si="35"/>
        <v>0.44700000000000001</v>
      </c>
      <c r="CY15" s="24">
        <f t="shared" si="35"/>
        <v>0.10100000000000001</v>
      </c>
      <c r="CZ15" s="16">
        <f t="shared" si="36"/>
        <v>12.65</v>
      </c>
    </row>
    <row r="16" spans="1:104" x14ac:dyDescent="0.2">
      <c r="A16" s="14">
        <f t="shared" si="37"/>
        <v>38727</v>
      </c>
      <c r="B16" s="1">
        <v>10</v>
      </c>
      <c r="C16" s="3">
        <v>0.20100000000000001</v>
      </c>
      <c r="D16" s="3">
        <v>0.39600000000000002</v>
      </c>
      <c r="E16" s="3">
        <v>-1.8879999999999999</v>
      </c>
      <c r="F16" s="3">
        <v>108.5</v>
      </c>
      <c r="G16" s="3">
        <v>-2.3050000000000002</v>
      </c>
      <c r="H16" s="3">
        <v>-2.4220000000000002</v>
      </c>
      <c r="I16" s="3">
        <v>0.13100000000000001</v>
      </c>
      <c r="J16" s="3">
        <v>-0.40300000000000002</v>
      </c>
      <c r="K16" s="3">
        <v>-0.16900000000000001</v>
      </c>
      <c r="L16" s="3">
        <v>0.80200000000000005</v>
      </c>
      <c r="M16" s="3">
        <v>1.6140000000000001</v>
      </c>
      <c r="N16" s="3">
        <v>0</v>
      </c>
      <c r="O16" s="3">
        <v>-7.1999999999999995E-2</v>
      </c>
      <c r="P16" s="3">
        <v>1017</v>
      </c>
      <c r="Q16" s="3">
        <v>111</v>
      </c>
      <c r="R16" s="3">
        <v>538</v>
      </c>
      <c r="S16" s="3">
        <v>-7.3999999999999996E-2</v>
      </c>
      <c r="T16" s="3">
        <v>-0.29199999999999998</v>
      </c>
      <c r="U16" s="3">
        <v>0.22</v>
      </c>
      <c r="V16" s="3">
        <v>-0.315</v>
      </c>
      <c r="W16" s="3">
        <v>-9.8000000000000004E-2</v>
      </c>
      <c r="X16" s="3">
        <v>0.876</v>
      </c>
      <c r="Y16" s="3">
        <v>6.1130000000000004</v>
      </c>
      <c r="Z16" s="3">
        <v>1205</v>
      </c>
      <c r="AA16" s="3">
        <v>-4.2480000000000002</v>
      </c>
      <c r="AB16" s="3">
        <v>2316</v>
      </c>
      <c r="AC16" s="3">
        <v>99.9</v>
      </c>
      <c r="AD16" s="3">
        <v>1707</v>
      </c>
      <c r="AE16" s="3">
        <v>-4.99</v>
      </c>
      <c r="AF16" s="3">
        <v>-5.3810000000000002</v>
      </c>
      <c r="AG16" s="3">
        <v>2.1000000000000001E-2</v>
      </c>
      <c r="AH16" s="3">
        <v>-0.50900000000000001</v>
      </c>
      <c r="AI16" s="3">
        <v>-0.28199999999999997</v>
      </c>
      <c r="AJ16" s="3">
        <v>0.68700000000000006</v>
      </c>
      <c r="AK16" s="3">
        <v>0.219</v>
      </c>
      <c r="AL16" s="3">
        <v>0.10199999999999999</v>
      </c>
      <c r="AM16" s="3">
        <v>6.7000000000000004E-2</v>
      </c>
      <c r="AN16" s="3">
        <v>4.7E-2</v>
      </c>
      <c r="AO16" s="3">
        <v>0.17799999999999999</v>
      </c>
      <c r="AP16" s="3">
        <v>0.23899999999999999</v>
      </c>
      <c r="AQ16" s="3">
        <v>0.10199999999999999</v>
      </c>
      <c r="AR16" s="3">
        <v>4.5999999999999999E-2</v>
      </c>
      <c r="AS16" s="3">
        <v>2632</v>
      </c>
      <c r="AT16" s="3">
        <v>2631</v>
      </c>
      <c r="AU16" s="3">
        <v>2631</v>
      </c>
      <c r="AV16" s="3">
        <v>-2.36</v>
      </c>
      <c r="AW16" s="3">
        <v>-2.46</v>
      </c>
      <c r="AX16" s="3">
        <v>-0.84199999999999997</v>
      </c>
      <c r="AY16" s="3">
        <v>-0.81599999999999995</v>
      </c>
      <c r="AZ16" s="3">
        <v>-4.601</v>
      </c>
      <c r="BA16" s="3">
        <v>-4.7489999999999997</v>
      </c>
      <c r="BB16" s="3">
        <v>12.59</v>
      </c>
      <c r="BC16" s="3">
        <v>2876</v>
      </c>
      <c r="BE16" s="6">
        <f t="shared" si="0"/>
        <v>879</v>
      </c>
      <c r="BG16" s="16">
        <v>5.0599999999999996</v>
      </c>
      <c r="BH16" s="16">
        <f t="shared" si="1"/>
        <v>10.2212</v>
      </c>
      <c r="BI16" s="17">
        <f t="shared" si="2"/>
        <v>0.2</v>
      </c>
      <c r="BJ16" s="17">
        <f t="shared" si="3"/>
        <v>0.44</v>
      </c>
      <c r="BL16" s="1">
        <f t="shared" si="4"/>
        <v>99.8</v>
      </c>
      <c r="BM16" s="1">
        <f t="shared" si="5"/>
        <v>95.8</v>
      </c>
      <c r="BN16" s="1">
        <f t="shared" si="6"/>
        <v>82.1</v>
      </c>
      <c r="BO16" s="49">
        <f t="shared" si="15"/>
        <v>0.499</v>
      </c>
      <c r="BP16" s="49">
        <f t="shared" si="16"/>
        <v>0.109</v>
      </c>
      <c r="BT16" s="16">
        <f t="shared" si="7"/>
        <v>0.2</v>
      </c>
      <c r="BU16" s="16">
        <f t="shared" si="8"/>
        <v>0.44</v>
      </c>
      <c r="BV16" s="3">
        <f t="shared" si="9"/>
        <v>-1.9</v>
      </c>
      <c r="BW16" s="3">
        <f t="shared" si="10"/>
        <v>-2.2999999999999998</v>
      </c>
      <c r="BX16" s="3">
        <f t="shared" si="10"/>
        <v>-2.4</v>
      </c>
      <c r="BY16" s="3">
        <f t="shared" si="10"/>
        <v>0.1</v>
      </c>
      <c r="BZ16" s="3">
        <f t="shared" si="10"/>
        <v>-0.4</v>
      </c>
      <c r="CA16" s="3">
        <f t="shared" si="10"/>
        <v>-0.2</v>
      </c>
      <c r="CB16" s="3">
        <f t="shared" si="10"/>
        <v>0.8</v>
      </c>
      <c r="CC16" s="22">
        <f t="shared" si="11"/>
        <v>95.8</v>
      </c>
      <c r="CD16" s="1">
        <f t="shared" si="17"/>
        <v>-0.1</v>
      </c>
      <c r="CE16" s="1">
        <f t="shared" si="18"/>
        <v>-0.1</v>
      </c>
      <c r="CF16" s="1">
        <f t="shared" si="19"/>
        <v>-0.3</v>
      </c>
      <c r="CG16" s="1">
        <f t="shared" si="20"/>
        <v>0.2</v>
      </c>
      <c r="CH16" s="1">
        <f t="shared" si="21"/>
        <v>-0.3</v>
      </c>
      <c r="CI16" s="1">
        <f t="shared" si="22"/>
        <v>-0.1</v>
      </c>
      <c r="CJ16" s="1">
        <f t="shared" si="23"/>
        <v>0.9</v>
      </c>
      <c r="CK16" s="2">
        <f t="shared" si="13"/>
        <v>99.8</v>
      </c>
      <c r="CL16" s="1">
        <f t="shared" si="24"/>
        <v>-4.2</v>
      </c>
      <c r="CM16" s="1">
        <f t="shared" si="25"/>
        <v>-5</v>
      </c>
      <c r="CN16" s="1">
        <f t="shared" si="26"/>
        <v>-5.4</v>
      </c>
      <c r="CO16" s="1">
        <f t="shared" si="27"/>
        <v>0</v>
      </c>
      <c r="CP16" s="1">
        <f t="shared" si="28"/>
        <v>-0.5</v>
      </c>
      <c r="CQ16" s="1">
        <f t="shared" si="29"/>
        <v>-0.3</v>
      </c>
      <c r="CR16" s="1">
        <f t="shared" si="30"/>
        <v>0.7</v>
      </c>
      <c r="CS16" s="2">
        <f t="shared" si="31"/>
        <v>82.1</v>
      </c>
      <c r="CT16" s="6">
        <f t="shared" si="32"/>
        <v>879</v>
      </c>
      <c r="CU16" s="1">
        <f>PPTest!K16</f>
        <v>11.2</v>
      </c>
      <c r="CV16" s="3">
        <f t="shared" si="33"/>
        <v>1.61</v>
      </c>
      <c r="CW16" s="3">
        <f t="shared" si="34"/>
        <v>6.11</v>
      </c>
      <c r="CX16" s="24">
        <f t="shared" si="35"/>
        <v>0.499</v>
      </c>
      <c r="CY16" s="24">
        <f t="shared" si="35"/>
        <v>0.109</v>
      </c>
      <c r="CZ16" s="16">
        <f t="shared" si="36"/>
        <v>12.59</v>
      </c>
    </row>
    <row r="17" spans="1:104" x14ac:dyDescent="0.2">
      <c r="A17" s="14">
        <f t="shared" si="37"/>
        <v>38728</v>
      </c>
      <c r="B17" s="1">
        <v>11</v>
      </c>
      <c r="C17" s="3">
        <v>0.57199999999999995</v>
      </c>
      <c r="D17" s="3">
        <v>0.91600000000000004</v>
      </c>
      <c r="E17" s="3">
        <v>-3.181</v>
      </c>
      <c r="F17" s="3">
        <v>108</v>
      </c>
      <c r="G17" s="3">
        <v>-3.508</v>
      </c>
      <c r="H17" s="3">
        <v>-3.5430000000000001</v>
      </c>
      <c r="I17" s="3">
        <v>0.14699999999999999</v>
      </c>
      <c r="J17" s="3">
        <v>-0.42599999999999999</v>
      </c>
      <c r="K17" s="3">
        <v>-0.16700000000000001</v>
      </c>
      <c r="L17" s="3">
        <v>0.79900000000000004</v>
      </c>
      <c r="M17" s="3">
        <v>1.956</v>
      </c>
      <c r="N17" s="3">
        <v>0</v>
      </c>
      <c r="O17" s="3">
        <v>-1.7310000000000001</v>
      </c>
      <c r="P17" s="3">
        <v>1220</v>
      </c>
      <c r="Q17" s="3">
        <v>111.1</v>
      </c>
      <c r="R17" s="3">
        <v>549</v>
      </c>
      <c r="S17" s="3">
        <v>-0.85899999999999999</v>
      </c>
      <c r="T17" s="3">
        <v>-0.72099999999999997</v>
      </c>
      <c r="U17" s="3">
        <v>0.21</v>
      </c>
      <c r="V17" s="3">
        <v>-0.36299999999999999</v>
      </c>
      <c r="W17" s="3">
        <v>-0.105</v>
      </c>
      <c r="X17" s="3">
        <v>0.84799999999999998</v>
      </c>
      <c r="Y17" s="3">
        <v>5.0890000000000004</v>
      </c>
      <c r="Z17" s="3">
        <v>1235</v>
      </c>
      <c r="AA17" s="3">
        <v>-3.9860000000000002</v>
      </c>
      <c r="AB17" s="3">
        <v>454</v>
      </c>
      <c r="AC17" s="3">
        <v>99.1</v>
      </c>
      <c r="AD17" s="3">
        <v>1222</v>
      </c>
      <c r="AE17" s="3">
        <v>-4.4800000000000004</v>
      </c>
      <c r="AF17" s="3">
        <v>-4.7640000000000002</v>
      </c>
      <c r="AG17" s="3">
        <v>9.1999999999999998E-2</v>
      </c>
      <c r="AH17" s="3">
        <v>-0.48399999999999999</v>
      </c>
      <c r="AI17" s="3">
        <v>-0.21099999999999999</v>
      </c>
      <c r="AJ17" s="3">
        <v>0.75600000000000001</v>
      </c>
      <c r="AK17" s="3">
        <v>2.8000000000000001E-2</v>
      </c>
      <c r="AL17" s="3">
        <v>0.11700000000000001</v>
      </c>
      <c r="AM17" s="3">
        <v>5.0999999999999997E-2</v>
      </c>
      <c r="AN17" s="3">
        <v>1.2999999999999999E-2</v>
      </c>
      <c r="AO17" s="3">
        <v>0.22800000000000001</v>
      </c>
      <c r="AP17" s="3">
        <v>0.45900000000000002</v>
      </c>
      <c r="AQ17" s="3">
        <v>9.1999999999999998E-2</v>
      </c>
      <c r="AR17" s="3">
        <v>0.01</v>
      </c>
      <c r="AS17" s="3">
        <v>6999</v>
      </c>
      <c r="AT17" s="3">
        <v>6999</v>
      </c>
      <c r="AU17" s="3">
        <v>6999</v>
      </c>
      <c r="AV17" s="3">
        <v>-3.3839999999999999</v>
      </c>
      <c r="AW17" s="3">
        <v>-3.444</v>
      </c>
      <c r="AX17" s="3">
        <v>-2.5110000000000001</v>
      </c>
      <c r="AY17" s="3">
        <v>-2.4940000000000002</v>
      </c>
      <c r="AZ17" s="3">
        <v>-4.601</v>
      </c>
      <c r="BA17" s="3">
        <v>-4.681</v>
      </c>
      <c r="BB17" s="3">
        <v>12.93</v>
      </c>
      <c r="BC17" s="3">
        <v>2876</v>
      </c>
      <c r="BE17" s="18">
        <v>920</v>
      </c>
      <c r="BG17" s="16">
        <v>5.13</v>
      </c>
      <c r="BH17" s="16">
        <f t="shared" si="1"/>
        <v>10.3626</v>
      </c>
      <c r="BI17" s="17">
        <f t="shared" si="2"/>
        <v>0.56000000000000005</v>
      </c>
      <c r="BJ17" s="17">
        <f t="shared" si="3"/>
        <v>1.01</v>
      </c>
      <c r="BL17" s="1">
        <f t="shared" si="4"/>
        <v>100</v>
      </c>
      <c r="BM17" s="1">
        <f t="shared" si="5"/>
        <v>95</v>
      </c>
      <c r="BN17" s="1">
        <f t="shared" si="6"/>
        <v>80.900000000000006</v>
      </c>
      <c r="BO17" s="49">
        <f t="shared" si="15"/>
        <v>0.435</v>
      </c>
      <c r="BP17" s="49">
        <f t="shared" si="16"/>
        <v>0.10299999999999999</v>
      </c>
      <c r="BT17" s="16">
        <f t="shared" si="7"/>
        <v>0.56000000000000005</v>
      </c>
      <c r="BU17" s="16">
        <f t="shared" si="8"/>
        <v>1.01</v>
      </c>
      <c r="BV17" s="3">
        <f t="shared" si="9"/>
        <v>-3.2</v>
      </c>
      <c r="BW17" s="3">
        <f t="shared" si="10"/>
        <v>-3.5</v>
      </c>
      <c r="BX17" s="3">
        <f t="shared" si="10"/>
        <v>-3.5</v>
      </c>
      <c r="BY17" s="3">
        <f t="shared" si="10"/>
        <v>0.1</v>
      </c>
      <c r="BZ17" s="3">
        <f t="shared" si="10"/>
        <v>-0.4</v>
      </c>
      <c r="CA17" s="3">
        <f t="shared" si="10"/>
        <v>-0.2</v>
      </c>
      <c r="CB17" s="3">
        <f t="shared" si="10"/>
        <v>0.8</v>
      </c>
      <c r="CC17" s="22">
        <f t="shared" si="11"/>
        <v>95</v>
      </c>
      <c r="CD17" s="1">
        <f t="shared" si="17"/>
        <v>-1.7</v>
      </c>
      <c r="CE17" s="1">
        <f t="shared" si="18"/>
        <v>-0.9</v>
      </c>
      <c r="CF17" s="1">
        <f t="shared" si="19"/>
        <v>-0.7</v>
      </c>
      <c r="CG17" s="1">
        <f t="shared" si="20"/>
        <v>0.2</v>
      </c>
      <c r="CH17" s="1">
        <f t="shared" si="21"/>
        <v>-0.4</v>
      </c>
      <c r="CI17" s="1">
        <f t="shared" si="22"/>
        <v>-0.1</v>
      </c>
      <c r="CJ17" s="1">
        <f t="shared" si="23"/>
        <v>0.8</v>
      </c>
      <c r="CK17" s="2">
        <f t="shared" si="13"/>
        <v>100</v>
      </c>
      <c r="CL17" s="1">
        <f t="shared" si="24"/>
        <v>-4</v>
      </c>
      <c r="CM17" s="1">
        <f t="shared" si="25"/>
        <v>-4.5</v>
      </c>
      <c r="CN17" s="1">
        <f t="shared" si="26"/>
        <v>-4.8</v>
      </c>
      <c r="CO17" s="1">
        <f t="shared" si="27"/>
        <v>0.1</v>
      </c>
      <c r="CP17" s="1">
        <f t="shared" si="28"/>
        <v>-0.5</v>
      </c>
      <c r="CQ17" s="1">
        <f t="shared" si="29"/>
        <v>-0.2</v>
      </c>
      <c r="CR17" s="1">
        <f t="shared" si="30"/>
        <v>0.8</v>
      </c>
      <c r="CS17" s="2">
        <f t="shared" si="31"/>
        <v>80.900000000000006</v>
      </c>
      <c r="CT17" s="6">
        <f t="shared" si="32"/>
        <v>920</v>
      </c>
      <c r="CU17" s="1">
        <f>PPTest!K17</f>
        <v>5.3</v>
      </c>
      <c r="CV17" s="3">
        <f t="shared" si="33"/>
        <v>1.96</v>
      </c>
      <c r="CW17" s="3">
        <f t="shared" si="34"/>
        <v>5.09</v>
      </c>
      <c r="CX17" s="24">
        <f t="shared" si="35"/>
        <v>0.435</v>
      </c>
      <c r="CY17" s="24">
        <f t="shared" si="35"/>
        <v>0.10299999999999999</v>
      </c>
      <c r="CZ17" s="16">
        <f t="shared" si="36"/>
        <v>12.93</v>
      </c>
    </row>
    <row r="18" spans="1:104" x14ac:dyDescent="0.2">
      <c r="A18" s="14">
        <f t="shared" si="37"/>
        <v>38729</v>
      </c>
      <c r="B18" s="1">
        <v>12</v>
      </c>
      <c r="C18" s="3">
        <v>0.53400000000000003</v>
      </c>
      <c r="D18" s="3">
        <v>0.88</v>
      </c>
      <c r="E18" s="3">
        <v>-3.847</v>
      </c>
      <c r="F18" s="3">
        <v>108.3</v>
      </c>
      <c r="G18" s="3">
        <v>-3.9729999999999999</v>
      </c>
      <c r="H18" s="3">
        <v>-4.0609999999999999</v>
      </c>
      <c r="I18" s="3">
        <v>0.14199999999999999</v>
      </c>
      <c r="J18" s="3">
        <v>-0.47199999999999998</v>
      </c>
      <c r="K18" s="3">
        <v>-0.186</v>
      </c>
      <c r="L18" s="3">
        <v>0.78700000000000003</v>
      </c>
      <c r="M18" s="3">
        <v>0.48699999999999999</v>
      </c>
      <c r="N18" s="3">
        <v>0</v>
      </c>
      <c r="O18" s="3">
        <v>-2.7810000000000001</v>
      </c>
      <c r="P18" s="3">
        <v>1103</v>
      </c>
      <c r="Q18" s="3">
        <v>110.4</v>
      </c>
      <c r="R18" s="3">
        <v>426</v>
      </c>
      <c r="S18" s="3">
        <v>-2.173</v>
      </c>
      <c r="T18" s="3">
        <v>-2.5459999999999998</v>
      </c>
      <c r="U18" s="3">
        <v>0.21299999999999999</v>
      </c>
      <c r="V18" s="3">
        <v>-0.41699999999999998</v>
      </c>
      <c r="W18" s="3">
        <v>-0.13700000000000001</v>
      </c>
      <c r="X18" s="3">
        <v>0.83699999999999997</v>
      </c>
      <c r="Y18" s="3">
        <v>2.508</v>
      </c>
      <c r="Z18" s="3">
        <v>12</v>
      </c>
      <c r="AA18" s="3">
        <v>-4.2409999999999997</v>
      </c>
      <c r="AB18" s="3">
        <v>1855</v>
      </c>
      <c r="AC18" s="3">
        <v>101.6</v>
      </c>
      <c r="AD18" s="3">
        <v>1432</v>
      </c>
      <c r="AE18" s="3">
        <v>-4.7149999999999999</v>
      </c>
      <c r="AF18" s="3">
        <v>-5.093</v>
      </c>
      <c r="AG18" s="3">
        <v>6.5000000000000002E-2</v>
      </c>
      <c r="AH18" s="3">
        <v>-0.53200000000000003</v>
      </c>
      <c r="AI18" s="3">
        <v>-0.245</v>
      </c>
      <c r="AJ18" s="3">
        <v>0.73199999999999998</v>
      </c>
      <c r="AK18" s="3">
        <v>7.1999999999999995E-2</v>
      </c>
      <c r="AL18" s="3">
        <v>7.2999999999999995E-2</v>
      </c>
      <c r="AM18" s="3">
        <v>7.1999999999999995E-2</v>
      </c>
      <c r="AN18" s="3">
        <v>5.7000000000000002E-2</v>
      </c>
      <c r="AO18" s="3">
        <v>0.20699999999999999</v>
      </c>
      <c r="AP18" s="3">
        <v>0.30399999999999999</v>
      </c>
      <c r="AQ18" s="3">
        <v>0.125</v>
      </c>
      <c r="AR18" s="3">
        <v>9.0999999999999998E-2</v>
      </c>
      <c r="AS18" s="3">
        <v>6999</v>
      </c>
      <c r="AT18" s="3">
        <v>2519</v>
      </c>
      <c r="AU18" s="19">
        <f>AT18</f>
        <v>2519</v>
      </c>
      <c r="AV18" s="3">
        <v>-3.7549999999999999</v>
      </c>
      <c r="AW18" s="3">
        <v>-3.8610000000000002</v>
      </c>
      <c r="AX18" s="3">
        <v>-3.0470000000000002</v>
      </c>
      <c r="AY18" s="3">
        <v>-3.052</v>
      </c>
      <c r="AZ18" s="3">
        <v>-4.2050000000000001</v>
      </c>
      <c r="BA18" s="3">
        <v>-4.2949999999999999</v>
      </c>
      <c r="BB18" s="3">
        <v>12.9</v>
      </c>
      <c r="BC18" s="3">
        <v>2876</v>
      </c>
      <c r="BE18" s="6">
        <f t="shared" ref="BE18:BE44" si="38">BE$2-AU18</f>
        <v>991</v>
      </c>
      <c r="BG18" s="16">
        <v>5.2</v>
      </c>
      <c r="BH18" s="16">
        <f t="shared" si="1"/>
        <v>10.504000000000001</v>
      </c>
      <c r="BI18" s="17">
        <f t="shared" si="2"/>
        <v>0.52</v>
      </c>
      <c r="BJ18" s="17">
        <f t="shared" si="3"/>
        <v>0.97</v>
      </c>
      <c r="BL18" s="1">
        <f t="shared" si="4"/>
        <v>98.8</v>
      </c>
      <c r="BM18" s="1">
        <f t="shared" si="5"/>
        <v>95.5</v>
      </c>
      <c r="BN18" s="1">
        <f t="shared" si="6"/>
        <v>84.8</v>
      </c>
      <c r="BO18" s="49">
        <f t="shared" si="15"/>
        <v>0.42199999999999999</v>
      </c>
      <c r="BP18" s="49">
        <f t="shared" si="16"/>
        <v>7.5999999999999998E-2</v>
      </c>
      <c r="BT18" s="16">
        <f t="shared" si="7"/>
        <v>0.52</v>
      </c>
      <c r="BU18" s="16">
        <f t="shared" si="8"/>
        <v>0.97</v>
      </c>
      <c r="BV18" s="3">
        <f t="shared" si="9"/>
        <v>-3.8</v>
      </c>
      <c r="BW18" s="3">
        <f t="shared" si="10"/>
        <v>-4</v>
      </c>
      <c r="BX18" s="3">
        <f t="shared" si="10"/>
        <v>-4.0999999999999996</v>
      </c>
      <c r="BY18" s="3">
        <f t="shared" si="10"/>
        <v>0.1</v>
      </c>
      <c r="BZ18" s="3">
        <f t="shared" si="10"/>
        <v>-0.5</v>
      </c>
      <c r="CA18" s="3">
        <f t="shared" si="10"/>
        <v>-0.2</v>
      </c>
      <c r="CB18" s="3">
        <f t="shared" si="10"/>
        <v>0.8</v>
      </c>
      <c r="CC18" s="22">
        <f t="shared" si="11"/>
        <v>95.5</v>
      </c>
      <c r="CD18" s="1">
        <f t="shared" si="17"/>
        <v>-2.8</v>
      </c>
      <c r="CE18" s="1">
        <f t="shared" si="18"/>
        <v>-2.2000000000000002</v>
      </c>
      <c r="CF18" s="1">
        <f t="shared" si="19"/>
        <v>-2.5</v>
      </c>
      <c r="CG18" s="1">
        <f t="shared" si="20"/>
        <v>0.2</v>
      </c>
      <c r="CH18" s="1">
        <f t="shared" si="21"/>
        <v>-0.4</v>
      </c>
      <c r="CI18" s="1">
        <f t="shared" si="22"/>
        <v>-0.1</v>
      </c>
      <c r="CJ18" s="1">
        <f t="shared" si="23"/>
        <v>0.8</v>
      </c>
      <c r="CK18" s="2">
        <f t="shared" si="13"/>
        <v>98.8</v>
      </c>
      <c r="CL18" s="1">
        <f t="shared" si="24"/>
        <v>-4.2</v>
      </c>
      <c r="CM18" s="1">
        <f t="shared" si="25"/>
        <v>-4.7</v>
      </c>
      <c r="CN18" s="1">
        <f t="shared" si="26"/>
        <v>-5.0999999999999996</v>
      </c>
      <c r="CO18" s="1">
        <f t="shared" si="27"/>
        <v>0.1</v>
      </c>
      <c r="CP18" s="1">
        <f t="shared" si="28"/>
        <v>-0.5</v>
      </c>
      <c r="CQ18" s="1">
        <f t="shared" si="29"/>
        <v>-0.2</v>
      </c>
      <c r="CR18" s="1">
        <f t="shared" si="30"/>
        <v>0.7</v>
      </c>
      <c r="CS18" s="2">
        <f t="shared" si="31"/>
        <v>84.8</v>
      </c>
      <c r="CT18" s="6">
        <f t="shared" si="32"/>
        <v>991</v>
      </c>
      <c r="CU18" s="1">
        <f>PPTest!K18</f>
        <v>9.1999999999999993</v>
      </c>
      <c r="CV18" s="3">
        <f t="shared" si="33"/>
        <v>0.49</v>
      </c>
      <c r="CW18" s="3">
        <f t="shared" si="34"/>
        <v>2.5099999999999998</v>
      </c>
      <c r="CX18" s="24">
        <f t="shared" si="35"/>
        <v>0.42199999999999999</v>
      </c>
      <c r="CY18" s="24">
        <f t="shared" si="35"/>
        <v>7.5999999999999998E-2</v>
      </c>
      <c r="CZ18" s="16">
        <f t="shared" si="36"/>
        <v>12.9</v>
      </c>
    </row>
    <row r="19" spans="1:104" x14ac:dyDescent="0.2">
      <c r="A19" s="14">
        <f t="shared" si="37"/>
        <v>38730</v>
      </c>
      <c r="B19" s="1">
        <v>13</v>
      </c>
      <c r="C19" s="3">
        <v>0.63900000000000001</v>
      </c>
      <c r="D19" s="3">
        <v>1.054</v>
      </c>
      <c r="E19" s="3">
        <v>-1.579</v>
      </c>
      <c r="F19" s="3">
        <v>109.3</v>
      </c>
      <c r="G19" s="3">
        <v>-1.702</v>
      </c>
      <c r="H19" s="3">
        <v>-1.7989999999999999</v>
      </c>
      <c r="I19" s="3">
        <v>0.17399999999999999</v>
      </c>
      <c r="J19" s="3">
        <v>-0.40899999999999997</v>
      </c>
      <c r="K19" s="3">
        <v>-0.158</v>
      </c>
      <c r="L19" s="3">
        <v>0.81299999999999994</v>
      </c>
      <c r="M19" s="3">
        <v>0.89900000000000002</v>
      </c>
      <c r="N19" s="3">
        <v>0</v>
      </c>
      <c r="O19" s="3">
        <v>0.41899999999999998</v>
      </c>
      <c r="P19" s="3">
        <v>1339</v>
      </c>
      <c r="Q19" s="3">
        <v>111</v>
      </c>
      <c r="R19" s="3">
        <v>2208</v>
      </c>
      <c r="S19" s="3">
        <v>0.64800000000000002</v>
      </c>
      <c r="T19" s="3">
        <v>0.67100000000000004</v>
      </c>
      <c r="U19" s="3">
        <v>0.23400000000000001</v>
      </c>
      <c r="V19" s="3">
        <v>-0.34399999999999997</v>
      </c>
      <c r="W19" s="3">
        <v>-9.7000000000000003E-2</v>
      </c>
      <c r="X19" s="3">
        <v>0.86899999999999999</v>
      </c>
      <c r="Y19" s="3">
        <v>3.6520000000000001</v>
      </c>
      <c r="Z19" s="3">
        <v>1353</v>
      </c>
      <c r="AA19" s="3">
        <v>-3.6389999999999998</v>
      </c>
      <c r="AB19" s="3">
        <v>1</v>
      </c>
      <c r="AC19" s="3">
        <v>103.3</v>
      </c>
      <c r="AD19" s="3">
        <v>1338</v>
      </c>
      <c r="AE19" s="3">
        <v>-3.7810000000000001</v>
      </c>
      <c r="AF19" s="3">
        <v>-3.7930000000000001</v>
      </c>
      <c r="AG19" s="3">
        <v>4.2000000000000003E-2</v>
      </c>
      <c r="AH19" s="3">
        <v>-0.51</v>
      </c>
      <c r="AI19" s="3">
        <v>-0.20499999999999999</v>
      </c>
      <c r="AJ19" s="3">
        <v>0.77400000000000002</v>
      </c>
      <c r="AK19" s="3">
        <v>0.08</v>
      </c>
      <c r="AL19" s="3">
        <v>5.1999999999999998E-2</v>
      </c>
      <c r="AM19" s="3">
        <v>5.2999999999999999E-2</v>
      </c>
      <c r="AN19" s="3">
        <v>6.5000000000000002E-2</v>
      </c>
      <c r="AO19" s="3">
        <v>0.16</v>
      </c>
      <c r="AP19" s="3">
        <v>0.27100000000000002</v>
      </c>
      <c r="AQ19" s="3">
        <v>0.19700000000000001</v>
      </c>
      <c r="AR19" s="3">
        <v>0.122</v>
      </c>
      <c r="AS19" s="3">
        <v>2583</v>
      </c>
      <c r="AT19" s="3">
        <v>2580</v>
      </c>
      <c r="AU19" s="3">
        <v>2581</v>
      </c>
      <c r="AV19" s="3">
        <v>-2.089</v>
      </c>
      <c r="AW19" s="3">
        <v>-2.0739999999999998</v>
      </c>
      <c r="AX19" s="3">
        <v>-0.71799999999999997</v>
      </c>
      <c r="AY19" s="3">
        <v>-0.68600000000000005</v>
      </c>
      <c r="AZ19" s="3">
        <v>-4.0590000000000002</v>
      </c>
      <c r="BA19" s="3">
        <v>-4.0789999999999997</v>
      </c>
      <c r="BB19" s="3">
        <v>12.93</v>
      </c>
      <c r="BC19" s="3">
        <v>2876</v>
      </c>
      <c r="BE19" s="6">
        <f t="shared" si="38"/>
        <v>929</v>
      </c>
      <c r="BG19" s="16">
        <v>5.27</v>
      </c>
      <c r="BH19" s="16">
        <f t="shared" si="1"/>
        <v>10.645399999999999</v>
      </c>
      <c r="BI19" s="17">
        <f t="shared" si="2"/>
        <v>0.63</v>
      </c>
      <c r="BJ19" s="17">
        <f t="shared" si="3"/>
        <v>1.1599999999999999</v>
      </c>
      <c r="BL19" s="1">
        <f t="shared" si="4"/>
        <v>99.8</v>
      </c>
      <c r="BM19" s="1">
        <f t="shared" si="5"/>
        <v>97.1</v>
      </c>
      <c r="BN19" s="1">
        <f t="shared" si="6"/>
        <v>87.5</v>
      </c>
      <c r="BO19" s="49">
        <f t="shared" si="15"/>
        <v>0.55100000000000005</v>
      </c>
      <c r="BP19" s="49">
        <f t="shared" si="16"/>
        <v>7.9000000000000001E-2</v>
      </c>
      <c r="BT19" s="16">
        <f t="shared" si="7"/>
        <v>0.63</v>
      </c>
      <c r="BU19" s="16">
        <f t="shared" si="8"/>
        <v>1.1599999999999999</v>
      </c>
      <c r="BV19" s="3">
        <f t="shared" si="9"/>
        <v>-1.6</v>
      </c>
      <c r="BW19" s="3">
        <f t="shared" si="10"/>
        <v>-1.7</v>
      </c>
      <c r="BX19" s="3">
        <f t="shared" si="10"/>
        <v>-1.8</v>
      </c>
      <c r="BY19" s="3">
        <f t="shared" si="10"/>
        <v>0.2</v>
      </c>
      <c r="BZ19" s="3">
        <f t="shared" si="10"/>
        <v>-0.4</v>
      </c>
      <c r="CA19" s="3">
        <f t="shared" si="10"/>
        <v>-0.2</v>
      </c>
      <c r="CB19" s="3">
        <f t="shared" si="10"/>
        <v>0.8</v>
      </c>
      <c r="CC19" s="22">
        <f t="shared" si="11"/>
        <v>97.1</v>
      </c>
      <c r="CD19" s="1">
        <f t="shared" si="17"/>
        <v>0.4</v>
      </c>
      <c r="CE19" s="1">
        <f t="shared" si="18"/>
        <v>0.6</v>
      </c>
      <c r="CF19" s="1">
        <f t="shared" si="19"/>
        <v>0.7</v>
      </c>
      <c r="CG19" s="1">
        <f t="shared" si="20"/>
        <v>0.2</v>
      </c>
      <c r="CH19" s="1">
        <f t="shared" si="21"/>
        <v>-0.3</v>
      </c>
      <c r="CI19" s="1">
        <f t="shared" si="22"/>
        <v>-0.1</v>
      </c>
      <c r="CJ19" s="1">
        <f t="shared" si="23"/>
        <v>0.9</v>
      </c>
      <c r="CK19" s="2">
        <f t="shared" si="13"/>
        <v>99.8</v>
      </c>
      <c r="CL19" s="1">
        <f t="shared" si="24"/>
        <v>-3.6</v>
      </c>
      <c r="CM19" s="1">
        <f t="shared" si="25"/>
        <v>-3.8</v>
      </c>
      <c r="CN19" s="1">
        <f t="shared" si="26"/>
        <v>-3.8</v>
      </c>
      <c r="CO19" s="1">
        <f t="shared" si="27"/>
        <v>0</v>
      </c>
      <c r="CP19" s="1">
        <f t="shared" si="28"/>
        <v>-0.5</v>
      </c>
      <c r="CQ19" s="1">
        <f t="shared" si="29"/>
        <v>-0.2</v>
      </c>
      <c r="CR19" s="1">
        <f t="shared" si="30"/>
        <v>0.8</v>
      </c>
      <c r="CS19" s="2">
        <f t="shared" si="31"/>
        <v>87.5</v>
      </c>
      <c r="CT19" s="6">
        <f t="shared" si="32"/>
        <v>929</v>
      </c>
      <c r="CU19" s="1">
        <f>PPTest!K19</f>
        <v>0</v>
      </c>
      <c r="CV19" s="3">
        <f t="shared" si="33"/>
        <v>0.9</v>
      </c>
      <c r="CW19" s="3">
        <f t="shared" si="34"/>
        <v>3.65</v>
      </c>
      <c r="CX19" s="24">
        <f t="shared" si="35"/>
        <v>0.55100000000000005</v>
      </c>
      <c r="CY19" s="24">
        <f t="shared" si="35"/>
        <v>7.9000000000000001E-2</v>
      </c>
      <c r="CZ19" s="16">
        <f t="shared" si="36"/>
        <v>12.93</v>
      </c>
    </row>
    <row r="20" spans="1:104" x14ac:dyDescent="0.2">
      <c r="A20" s="14">
        <f t="shared" si="37"/>
        <v>38731</v>
      </c>
      <c r="B20" s="1">
        <v>14</v>
      </c>
      <c r="C20" s="3">
        <v>1.044</v>
      </c>
      <c r="D20" s="3">
        <v>1.381</v>
      </c>
      <c r="E20" s="3">
        <v>-2.7770000000000001</v>
      </c>
      <c r="F20" s="3">
        <v>110</v>
      </c>
      <c r="G20" s="3">
        <v>-3.2490000000000001</v>
      </c>
      <c r="H20" s="3">
        <v>-3.444</v>
      </c>
      <c r="I20" s="3">
        <v>0.18</v>
      </c>
      <c r="J20" s="3">
        <v>-0.39500000000000002</v>
      </c>
      <c r="K20" s="3">
        <v>-0.16900000000000001</v>
      </c>
      <c r="L20" s="3">
        <v>0.78500000000000003</v>
      </c>
      <c r="M20" s="3">
        <v>0.93100000000000005</v>
      </c>
      <c r="N20" s="3">
        <v>0</v>
      </c>
      <c r="O20" s="3">
        <v>-1.371</v>
      </c>
      <c r="P20" s="3">
        <v>135</v>
      </c>
      <c r="Q20" s="3">
        <v>111.2</v>
      </c>
      <c r="R20" s="3">
        <v>2327</v>
      </c>
      <c r="S20" s="3">
        <v>-1.169</v>
      </c>
      <c r="T20" s="3">
        <v>-1.202</v>
      </c>
      <c r="U20" s="3">
        <v>0.27400000000000002</v>
      </c>
      <c r="V20" s="3">
        <v>-0.32500000000000001</v>
      </c>
      <c r="W20" s="3">
        <v>-8.8999999999999996E-2</v>
      </c>
      <c r="X20" s="3">
        <v>0.85199999999999998</v>
      </c>
      <c r="Y20" s="3">
        <v>3.2669999999999999</v>
      </c>
      <c r="Z20" s="3">
        <v>149</v>
      </c>
      <c r="AA20" s="3">
        <v>-4.5140000000000002</v>
      </c>
      <c r="AB20" s="3">
        <v>828</v>
      </c>
      <c r="AC20" s="3">
        <v>105.3</v>
      </c>
      <c r="AD20" s="3">
        <v>1154</v>
      </c>
      <c r="AE20" s="3">
        <v>-6.1829999999999998</v>
      </c>
      <c r="AF20" s="3">
        <v>-7.54</v>
      </c>
      <c r="AG20" s="3">
        <v>5.8000000000000003E-2</v>
      </c>
      <c r="AH20" s="3">
        <v>-0.505</v>
      </c>
      <c r="AI20" s="3">
        <v>-0.27200000000000002</v>
      </c>
      <c r="AJ20" s="3">
        <v>0.68200000000000005</v>
      </c>
      <c r="AK20" s="3">
        <v>4.9000000000000002E-2</v>
      </c>
      <c r="AL20" s="3">
        <v>0.10199999999999999</v>
      </c>
      <c r="AM20" s="3">
        <v>8.3000000000000004E-2</v>
      </c>
      <c r="AN20" s="3">
        <v>0.05</v>
      </c>
      <c r="AO20" s="3">
        <v>0.222</v>
      </c>
      <c r="AP20" s="3">
        <v>0.35799999999999998</v>
      </c>
      <c r="AQ20" s="3">
        <v>0.107</v>
      </c>
      <c r="AR20" s="3">
        <v>2.8000000000000001E-2</v>
      </c>
      <c r="AS20" s="3">
        <v>2615</v>
      </c>
      <c r="AT20" s="3">
        <v>2614</v>
      </c>
      <c r="AU20" s="3">
        <v>2614</v>
      </c>
      <c r="AV20" s="3">
        <v>-2.69</v>
      </c>
      <c r="AW20" s="3">
        <v>-2.81</v>
      </c>
      <c r="AX20" s="3">
        <v>-1.58</v>
      </c>
      <c r="AY20" s="3">
        <v>-1.641</v>
      </c>
      <c r="AZ20" s="3">
        <v>-4.1840000000000002</v>
      </c>
      <c r="BA20" s="3">
        <v>-4.4080000000000004</v>
      </c>
      <c r="BB20" s="3">
        <v>13.01</v>
      </c>
      <c r="BC20" s="3">
        <v>2876</v>
      </c>
      <c r="BE20" s="6">
        <f t="shared" si="38"/>
        <v>896</v>
      </c>
      <c r="BG20" s="16">
        <v>5.36</v>
      </c>
      <c r="BH20" s="16">
        <f t="shared" si="1"/>
        <v>10.827200000000001</v>
      </c>
      <c r="BI20" s="17">
        <f t="shared" si="2"/>
        <v>1.02</v>
      </c>
      <c r="BJ20" s="17">
        <f t="shared" si="3"/>
        <v>1.52</v>
      </c>
      <c r="BL20" s="1">
        <f t="shared" si="4"/>
        <v>100</v>
      </c>
      <c r="BM20" s="1">
        <f t="shared" si="5"/>
        <v>98.2</v>
      </c>
      <c r="BN20" s="1">
        <f t="shared" si="6"/>
        <v>90.7</v>
      </c>
      <c r="BO20" s="49">
        <f t="shared" si="15"/>
        <v>0.501</v>
      </c>
      <c r="BP20" s="49">
        <f t="shared" si="16"/>
        <v>5.0999999999999997E-2</v>
      </c>
      <c r="BT20" s="16">
        <f t="shared" si="7"/>
        <v>1.02</v>
      </c>
      <c r="BU20" s="16">
        <f t="shared" si="8"/>
        <v>1.52</v>
      </c>
      <c r="BV20" s="3">
        <f t="shared" si="9"/>
        <v>-2.8</v>
      </c>
      <c r="BW20" s="3">
        <f t="shared" si="10"/>
        <v>-3.2</v>
      </c>
      <c r="BX20" s="3">
        <f t="shared" si="10"/>
        <v>-3.4</v>
      </c>
      <c r="BY20" s="3">
        <f t="shared" si="10"/>
        <v>0.2</v>
      </c>
      <c r="BZ20" s="3">
        <f t="shared" si="10"/>
        <v>-0.4</v>
      </c>
      <c r="CA20" s="3">
        <f t="shared" si="10"/>
        <v>-0.2</v>
      </c>
      <c r="CB20" s="3">
        <f t="shared" si="10"/>
        <v>0.8</v>
      </c>
      <c r="CC20" s="22">
        <f t="shared" si="11"/>
        <v>98.2</v>
      </c>
      <c r="CD20" s="1">
        <f t="shared" si="17"/>
        <v>-1.4</v>
      </c>
      <c r="CE20" s="1">
        <f t="shared" si="18"/>
        <v>-1.2</v>
      </c>
      <c r="CF20" s="1">
        <f t="shared" si="19"/>
        <v>-1.2</v>
      </c>
      <c r="CG20" s="1">
        <f t="shared" si="20"/>
        <v>0.3</v>
      </c>
      <c r="CH20" s="1">
        <f t="shared" si="21"/>
        <v>-0.3</v>
      </c>
      <c r="CI20" s="1">
        <f t="shared" si="22"/>
        <v>-0.1</v>
      </c>
      <c r="CJ20" s="1">
        <f t="shared" si="23"/>
        <v>0.9</v>
      </c>
      <c r="CK20" s="2">
        <f t="shared" si="13"/>
        <v>100</v>
      </c>
      <c r="CL20" s="1">
        <f t="shared" si="24"/>
        <v>-4.5</v>
      </c>
      <c r="CM20" s="1">
        <f t="shared" si="25"/>
        <v>-6.2</v>
      </c>
      <c r="CN20" s="1">
        <f t="shared" si="26"/>
        <v>-7.5</v>
      </c>
      <c r="CO20" s="1">
        <f t="shared" si="27"/>
        <v>0.1</v>
      </c>
      <c r="CP20" s="1">
        <f t="shared" si="28"/>
        <v>-0.5</v>
      </c>
      <c r="CQ20" s="1">
        <f t="shared" si="29"/>
        <v>-0.3</v>
      </c>
      <c r="CR20" s="1">
        <f t="shared" si="30"/>
        <v>0.7</v>
      </c>
      <c r="CS20" s="2">
        <f t="shared" si="31"/>
        <v>90.7</v>
      </c>
      <c r="CT20" s="6">
        <f t="shared" si="32"/>
        <v>896</v>
      </c>
      <c r="CU20" s="1">
        <f>PPTest!K20</f>
        <v>0</v>
      </c>
      <c r="CV20" s="3">
        <f t="shared" si="33"/>
        <v>0.93</v>
      </c>
      <c r="CW20" s="3">
        <f t="shared" si="34"/>
        <v>3.27</v>
      </c>
      <c r="CX20" s="24">
        <f t="shared" si="35"/>
        <v>0.501</v>
      </c>
      <c r="CY20" s="24">
        <f t="shared" si="35"/>
        <v>5.0999999999999997E-2</v>
      </c>
      <c r="CZ20" s="16">
        <f t="shared" si="36"/>
        <v>13.01</v>
      </c>
    </row>
    <row r="21" spans="1:104" x14ac:dyDescent="0.2">
      <c r="A21" s="14">
        <f t="shared" si="37"/>
        <v>38732</v>
      </c>
      <c r="B21" s="1">
        <v>15</v>
      </c>
      <c r="C21" s="3">
        <v>0.77900000000000003</v>
      </c>
      <c r="D21" s="3">
        <v>1.079</v>
      </c>
      <c r="E21" s="3">
        <v>-7.21</v>
      </c>
      <c r="F21" s="3">
        <v>109</v>
      </c>
      <c r="G21" s="3">
        <v>-7.76</v>
      </c>
      <c r="H21" s="3">
        <v>-7.94</v>
      </c>
      <c r="I21" s="3">
        <v>0.105</v>
      </c>
      <c r="J21" s="3">
        <v>-0.56299999999999994</v>
      </c>
      <c r="K21" s="3">
        <v>-0.223</v>
      </c>
      <c r="L21" s="3">
        <v>0.74</v>
      </c>
      <c r="M21" s="3">
        <v>1.657</v>
      </c>
      <c r="N21" s="3">
        <v>0</v>
      </c>
      <c r="O21" s="3">
        <v>-4.1369999999999996</v>
      </c>
      <c r="P21" s="3">
        <v>1</v>
      </c>
      <c r="Q21" s="3">
        <v>110.6</v>
      </c>
      <c r="R21" s="3">
        <v>34</v>
      </c>
      <c r="S21" s="3">
        <v>-4.51</v>
      </c>
      <c r="T21" s="3">
        <v>-4.3840000000000003</v>
      </c>
      <c r="U21" s="3">
        <v>0.17899999999999999</v>
      </c>
      <c r="V21" s="3">
        <v>-0.40799999999999997</v>
      </c>
      <c r="W21" s="3">
        <v>-0.156</v>
      </c>
      <c r="X21" s="3">
        <v>0.80300000000000005</v>
      </c>
      <c r="Y21" s="3">
        <v>3.4790000000000001</v>
      </c>
      <c r="Z21" s="3">
        <v>1251</v>
      </c>
      <c r="AA21" s="3">
        <v>-14</v>
      </c>
      <c r="AB21" s="3">
        <v>2359</v>
      </c>
      <c r="AC21" s="3">
        <v>106.4</v>
      </c>
      <c r="AD21" s="3">
        <v>2354</v>
      </c>
      <c r="AE21" s="3">
        <v>-16.09</v>
      </c>
      <c r="AF21" s="3">
        <v>-17.329999999999998</v>
      </c>
      <c r="AG21" s="3">
        <v>-0.122</v>
      </c>
      <c r="AH21" s="3">
        <v>-0.90700000000000003</v>
      </c>
      <c r="AI21" s="3">
        <v>-0.42899999999999999</v>
      </c>
      <c r="AJ21" s="3">
        <v>0.56999999999999995</v>
      </c>
      <c r="AK21" s="3">
        <v>1.7000000000000001E-2</v>
      </c>
      <c r="AL21" s="3">
        <v>0.17299999999999999</v>
      </c>
      <c r="AM21" s="3">
        <v>0.10100000000000001</v>
      </c>
      <c r="AN21" s="3">
        <v>7.0000000000000001E-3</v>
      </c>
      <c r="AO21" s="3">
        <v>0.16300000000000001</v>
      </c>
      <c r="AP21" s="3">
        <v>0.435</v>
      </c>
      <c r="AQ21" s="3">
        <v>9.7000000000000003E-2</v>
      </c>
      <c r="AR21" s="3">
        <v>7.0000000000000001E-3</v>
      </c>
      <c r="AS21" s="3">
        <v>6999</v>
      </c>
      <c r="AT21" s="3">
        <v>2574</v>
      </c>
      <c r="AU21" s="19">
        <f>AT21</f>
        <v>2574</v>
      </c>
      <c r="AV21" s="3">
        <v>-5.7060000000000004</v>
      </c>
      <c r="AW21" s="3">
        <v>-5.9509999999999996</v>
      </c>
      <c r="AX21" s="3">
        <v>-3.4809999999999999</v>
      </c>
      <c r="AY21" s="3">
        <v>-3.6309999999999998</v>
      </c>
      <c r="AZ21" s="3">
        <v>-9.14</v>
      </c>
      <c r="BA21" s="3">
        <v>-10.11</v>
      </c>
      <c r="BB21" s="3">
        <v>12.97</v>
      </c>
      <c r="BC21" s="3">
        <v>2876</v>
      </c>
      <c r="BE21" s="6">
        <f t="shared" si="38"/>
        <v>936</v>
      </c>
      <c r="BG21" s="16">
        <v>5.44</v>
      </c>
      <c r="BH21" s="16">
        <f t="shared" si="1"/>
        <v>10.988800000000001</v>
      </c>
      <c r="BI21" s="17">
        <f t="shared" si="2"/>
        <v>0.76</v>
      </c>
      <c r="BJ21" s="17">
        <f t="shared" si="3"/>
        <v>1.19</v>
      </c>
      <c r="BL21" s="1">
        <f t="shared" si="4"/>
        <v>99.2</v>
      </c>
      <c r="BM21" s="1">
        <f t="shared" si="5"/>
        <v>96.6</v>
      </c>
      <c r="BN21" s="1">
        <f t="shared" si="6"/>
        <v>92.5</v>
      </c>
      <c r="BO21" s="49">
        <f t="shared" si="15"/>
        <v>0.41599999999999998</v>
      </c>
      <c r="BP21" s="49">
        <f t="shared" si="16"/>
        <v>3.4000000000000002E-2</v>
      </c>
      <c r="BT21" s="16">
        <f t="shared" si="7"/>
        <v>0.76</v>
      </c>
      <c r="BU21" s="16">
        <f t="shared" si="8"/>
        <v>1.19</v>
      </c>
      <c r="BV21" s="3">
        <f t="shared" si="9"/>
        <v>-7.2</v>
      </c>
      <c r="BW21" s="3">
        <f t="shared" si="10"/>
        <v>-7.8</v>
      </c>
      <c r="BX21" s="3">
        <f t="shared" si="10"/>
        <v>-7.9</v>
      </c>
      <c r="BY21" s="3">
        <f t="shared" si="10"/>
        <v>0.1</v>
      </c>
      <c r="BZ21" s="3">
        <f t="shared" si="10"/>
        <v>-0.6</v>
      </c>
      <c r="CA21" s="3">
        <f t="shared" si="10"/>
        <v>-0.2</v>
      </c>
      <c r="CB21" s="3">
        <f t="shared" si="10"/>
        <v>0.7</v>
      </c>
      <c r="CC21" s="22">
        <f t="shared" si="11"/>
        <v>96.6</v>
      </c>
      <c r="CD21" s="1">
        <f t="shared" si="17"/>
        <v>-4.0999999999999996</v>
      </c>
      <c r="CE21" s="1">
        <f t="shared" si="18"/>
        <v>-4.5</v>
      </c>
      <c r="CF21" s="1">
        <f t="shared" si="19"/>
        <v>-4.4000000000000004</v>
      </c>
      <c r="CG21" s="1">
        <f t="shared" si="20"/>
        <v>0.2</v>
      </c>
      <c r="CH21" s="1">
        <f t="shared" si="21"/>
        <v>-0.4</v>
      </c>
      <c r="CI21" s="1">
        <f t="shared" si="22"/>
        <v>-0.2</v>
      </c>
      <c r="CJ21" s="1">
        <f t="shared" si="23"/>
        <v>0.8</v>
      </c>
      <c r="CK21" s="2">
        <f t="shared" si="13"/>
        <v>99.2</v>
      </c>
      <c r="CL21" s="1">
        <f t="shared" si="24"/>
        <v>-14</v>
      </c>
      <c r="CM21" s="1">
        <f t="shared" si="25"/>
        <v>-16.100000000000001</v>
      </c>
      <c r="CN21" s="1">
        <f t="shared" si="26"/>
        <v>-17.3</v>
      </c>
      <c r="CO21" s="1">
        <f t="shared" si="27"/>
        <v>-0.1</v>
      </c>
      <c r="CP21" s="1">
        <f t="shared" si="28"/>
        <v>-0.9</v>
      </c>
      <c r="CQ21" s="1">
        <f t="shared" si="29"/>
        <v>-0.4</v>
      </c>
      <c r="CR21" s="1">
        <f t="shared" si="30"/>
        <v>0.6</v>
      </c>
      <c r="CS21" s="2">
        <f t="shared" si="31"/>
        <v>92.5</v>
      </c>
      <c r="CT21" s="6">
        <f t="shared" si="32"/>
        <v>936</v>
      </c>
      <c r="CU21" s="1">
        <f>PPTest!K21</f>
        <v>5.2</v>
      </c>
      <c r="CV21" s="3">
        <f t="shared" si="33"/>
        <v>1.66</v>
      </c>
      <c r="CW21" s="3">
        <f t="shared" si="34"/>
        <v>3.48</v>
      </c>
      <c r="CX21" s="24">
        <f t="shared" si="35"/>
        <v>0.41599999999999998</v>
      </c>
      <c r="CY21" s="24">
        <f t="shared" si="35"/>
        <v>3.4000000000000002E-2</v>
      </c>
      <c r="CZ21" s="16">
        <f t="shared" si="36"/>
        <v>12.97</v>
      </c>
    </row>
    <row r="22" spans="1:104" x14ac:dyDescent="0.2">
      <c r="A22" s="14">
        <f t="shared" si="37"/>
        <v>38733</v>
      </c>
      <c r="B22" s="1">
        <v>16</v>
      </c>
      <c r="C22" s="3">
        <v>0.90900000000000003</v>
      </c>
      <c r="D22" s="3">
        <v>1.2969999999999999</v>
      </c>
      <c r="E22" s="3">
        <v>-6.8680000000000003</v>
      </c>
      <c r="F22" s="3">
        <v>108.2</v>
      </c>
      <c r="G22" s="3">
        <v>-6.8949999999999996</v>
      </c>
      <c r="H22" s="3">
        <v>-6.9880000000000004</v>
      </c>
      <c r="I22" s="3">
        <v>8.7999999999999995E-2</v>
      </c>
      <c r="J22" s="3">
        <v>-0.69499999999999995</v>
      </c>
      <c r="K22" s="3">
        <v>-0.23200000000000001</v>
      </c>
      <c r="L22" s="3">
        <v>0.77</v>
      </c>
      <c r="M22" s="3">
        <v>1.478</v>
      </c>
      <c r="N22" s="3">
        <v>0</v>
      </c>
      <c r="O22" s="3">
        <v>-4.6159999999999997</v>
      </c>
      <c r="P22" s="3">
        <v>2359</v>
      </c>
      <c r="Q22" s="3">
        <v>109.4</v>
      </c>
      <c r="R22" s="3">
        <v>216</v>
      </c>
      <c r="S22" s="3">
        <v>-4.1379999999999999</v>
      </c>
      <c r="T22" s="3">
        <v>-4.1379999999999999</v>
      </c>
      <c r="U22" s="3">
        <v>0.187</v>
      </c>
      <c r="V22" s="3">
        <v>-0.63300000000000001</v>
      </c>
      <c r="W22" s="3">
        <v>-0.13700000000000001</v>
      </c>
      <c r="X22" s="3">
        <v>0.83499999999999996</v>
      </c>
      <c r="Y22" s="3">
        <v>4.53</v>
      </c>
      <c r="Z22" s="3">
        <v>2248</v>
      </c>
      <c r="AA22" s="3">
        <v>-14.09</v>
      </c>
      <c r="AB22" s="3">
        <v>5</v>
      </c>
      <c r="AC22" s="3">
        <v>105.9</v>
      </c>
      <c r="AD22" s="3">
        <v>1718</v>
      </c>
      <c r="AE22" s="3">
        <v>-15.9</v>
      </c>
      <c r="AF22" s="3">
        <v>-16.43</v>
      </c>
      <c r="AG22" s="3">
        <v>-0.124</v>
      </c>
      <c r="AH22" s="3">
        <v>-0.88500000000000001</v>
      </c>
      <c r="AI22" s="3">
        <v>-0.40699999999999997</v>
      </c>
      <c r="AJ22" s="3">
        <v>0.58099999999999996</v>
      </c>
      <c r="AK22" s="3">
        <v>6.5000000000000002E-2</v>
      </c>
      <c r="AL22" s="3">
        <v>8.3000000000000004E-2</v>
      </c>
      <c r="AM22" s="3">
        <v>9.9000000000000005E-2</v>
      </c>
      <c r="AN22" s="3">
        <v>0.11600000000000001</v>
      </c>
      <c r="AO22" s="3">
        <v>0.20399999999999999</v>
      </c>
      <c r="AP22" s="3">
        <v>0.19900000000000001</v>
      </c>
      <c r="AQ22" s="3">
        <v>0.14699999999999999</v>
      </c>
      <c r="AR22" s="3">
        <v>8.6999999999999994E-2</v>
      </c>
      <c r="AS22" s="3">
        <v>2541</v>
      </c>
      <c r="AT22" s="3">
        <v>2539</v>
      </c>
      <c r="AU22" s="3">
        <v>2539</v>
      </c>
      <c r="AV22" s="3">
        <v>-6.6059999999999999</v>
      </c>
      <c r="AW22" s="3">
        <v>-6.6639999999999997</v>
      </c>
      <c r="AX22" s="3">
        <v>-4.8940000000000001</v>
      </c>
      <c r="AY22" s="3">
        <v>-4.944</v>
      </c>
      <c r="AZ22" s="3">
        <v>-10.29</v>
      </c>
      <c r="BA22" s="3">
        <v>-10.73</v>
      </c>
      <c r="BB22" s="3">
        <v>13.03</v>
      </c>
      <c r="BC22" s="3">
        <v>2876</v>
      </c>
      <c r="BE22" s="6">
        <f t="shared" si="38"/>
        <v>971</v>
      </c>
      <c r="BG22" s="16">
        <v>5.53</v>
      </c>
      <c r="BH22" s="16">
        <f t="shared" si="1"/>
        <v>11.1706</v>
      </c>
      <c r="BI22" s="17">
        <f t="shared" si="2"/>
        <v>0.89</v>
      </c>
      <c r="BJ22" s="17">
        <f t="shared" si="3"/>
        <v>1.43</v>
      </c>
      <c r="BL22" s="1">
        <f t="shared" si="4"/>
        <v>97.2</v>
      </c>
      <c r="BM22" s="1">
        <f t="shared" si="5"/>
        <v>95.3</v>
      </c>
      <c r="BN22" s="1">
        <f t="shared" si="6"/>
        <v>91.7</v>
      </c>
      <c r="BO22" s="49">
        <f t="shared" si="15"/>
        <v>0.39700000000000002</v>
      </c>
      <c r="BP22" s="49">
        <f t="shared" si="16"/>
        <v>3.5999999999999997E-2</v>
      </c>
      <c r="BT22" s="16">
        <f t="shared" si="7"/>
        <v>0.89</v>
      </c>
      <c r="BU22" s="16">
        <f t="shared" si="8"/>
        <v>1.43</v>
      </c>
      <c r="BV22" s="3">
        <f t="shared" si="9"/>
        <v>-6.9</v>
      </c>
      <c r="BW22" s="3">
        <f t="shared" si="10"/>
        <v>-6.9</v>
      </c>
      <c r="BX22" s="3">
        <f t="shared" si="10"/>
        <v>-7</v>
      </c>
      <c r="BY22" s="3">
        <f t="shared" si="10"/>
        <v>0.1</v>
      </c>
      <c r="BZ22" s="3">
        <f t="shared" si="10"/>
        <v>-0.7</v>
      </c>
      <c r="CA22" s="3">
        <f t="shared" si="10"/>
        <v>-0.2</v>
      </c>
      <c r="CB22" s="3">
        <f t="shared" si="10"/>
        <v>0.8</v>
      </c>
      <c r="CC22" s="22">
        <f t="shared" si="11"/>
        <v>95.3</v>
      </c>
      <c r="CD22" s="1">
        <f t="shared" si="17"/>
        <v>-4.5999999999999996</v>
      </c>
      <c r="CE22" s="1">
        <f t="shared" si="18"/>
        <v>-4.0999999999999996</v>
      </c>
      <c r="CF22" s="1">
        <f t="shared" si="19"/>
        <v>-4.0999999999999996</v>
      </c>
      <c r="CG22" s="1">
        <f t="shared" si="20"/>
        <v>0.2</v>
      </c>
      <c r="CH22" s="1">
        <f t="shared" si="21"/>
        <v>-0.6</v>
      </c>
      <c r="CI22" s="1">
        <f t="shared" si="22"/>
        <v>-0.1</v>
      </c>
      <c r="CJ22" s="1">
        <f t="shared" si="23"/>
        <v>0.8</v>
      </c>
      <c r="CK22" s="2">
        <f t="shared" si="13"/>
        <v>97.2</v>
      </c>
      <c r="CL22" s="1">
        <f t="shared" si="24"/>
        <v>-14.1</v>
      </c>
      <c r="CM22" s="1">
        <f t="shared" si="25"/>
        <v>-15.9</v>
      </c>
      <c r="CN22" s="1">
        <f t="shared" si="26"/>
        <v>-16.399999999999999</v>
      </c>
      <c r="CO22" s="1">
        <f t="shared" si="27"/>
        <v>-0.1</v>
      </c>
      <c r="CP22" s="1">
        <f t="shared" si="28"/>
        <v>-0.9</v>
      </c>
      <c r="CQ22" s="1">
        <f t="shared" si="29"/>
        <v>-0.4</v>
      </c>
      <c r="CR22" s="1">
        <f t="shared" si="30"/>
        <v>0.6</v>
      </c>
      <c r="CS22" s="2">
        <f t="shared" si="31"/>
        <v>91.7</v>
      </c>
      <c r="CT22" s="6">
        <f t="shared" si="32"/>
        <v>971</v>
      </c>
      <c r="CU22" s="1">
        <f>PPTest!K22</f>
        <v>4.5999999999999996</v>
      </c>
      <c r="CV22" s="3">
        <f t="shared" si="33"/>
        <v>1.48</v>
      </c>
      <c r="CW22" s="3">
        <f t="shared" si="34"/>
        <v>4.53</v>
      </c>
      <c r="CX22" s="24">
        <f t="shared" si="35"/>
        <v>0.39700000000000002</v>
      </c>
      <c r="CY22" s="24">
        <f t="shared" si="35"/>
        <v>3.5999999999999997E-2</v>
      </c>
      <c r="CZ22" s="16">
        <f t="shared" si="36"/>
        <v>13.03</v>
      </c>
    </row>
    <row r="23" spans="1:104" x14ac:dyDescent="0.2">
      <c r="A23" s="14">
        <f t="shared" si="37"/>
        <v>38734</v>
      </c>
      <c r="B23" s="1">
        <v>17</v>
      </c>
      <c r="C23" s="3">
        <v>3.7559999999999998</v>
      </c>
      <c r="D23" s="3">
        <v>5.1749999999999998</v>
      </c>
      <c r="E23" s="3">
        <v>-2.73</v>
      </c>
      <c r="F23" s="3">
        <v>98.6</v>
      </c>
      <c r="G23" s="3">
        <v>-3.0470000000000002</v>
      </c>
      <c r="H23" s="3">
        <v>-3.1459999999999999</v>
      </c>
      <c r="I23" s="3">
        <v>0.09</v>
      </c>
      <c r="J23" s="3">
        <v>-0.58199999999999996</v>
      </c>
      <c r="K23" s="3">
        <v>-0.23499999999999999</v>
      </c>
      <c r="L23" s="3">
        <v>0.77500000000000002</v>
      </c>
      <c r="M23" s="3">
        <v>2.1019999999999999</v>
      </c>
      <c r="N23" s="3">
        <v>0</v>
      </c>
      <c r="O23" s="3">
        <v>1.1639999999999999</v>
      </c>
      <c r="P23" s="3">
        <v>1340</v>
      </c>
      <c r="Q23" s="3">
        <v>109.6</v>
      </c>
      <c r="R23" s="3">
        <v>331</v>
      </c>
      <c r="S23" s="3">
        <v>2.1240000000000001</v>
      </c>
      <c r="T23" s="3">
        <v>1.931</v>
      </c>
      <c r="U23" s="3">
        <v>0.23200000000000001</v>
      </c>
      <c r="V23" s="3">
        <v>-0.44900000000000001</v>
      </c>
      <c r="W23" s="3">
        <v>-0.13200000000000001</v>
      </c>
      <c r="X23" s="3">
        <v>0.86699999999999999</v>
      </c>
      <c r="Y23" s="3">
        <v>5.2220000000000004</v>
      </c>
      <c r="Z23" s="3">
        <v>435</v>
      </c>
      <c r="AA23" s="3">
        <v>-4.9950000000000001</v>
      </c>
      <c r="AB23" s="3">
        <v>42</v>
      </c>
      <c r="AC23" s="3">
        <v>71.3</v>
      </c>
      <c r="AD23" s="3">
        <v>1334</v>
      </c>
      <c r="AE23" s="3">
        <v>-5.282</v>
      </c>
      <c r="AF23" s="3">
        <v>-5.4909999999999997</v>
      </c>
      <c r="AG23" s="3">
        <v>-5.5E-2</v>
      </c>
      <c r="AH23" s="3">
        <v>-0.68300000000000005</v>
      </c>
      <c r="AI23" s="3">
        <v>-0.28100000000000003</v>
      </c>
      <c r="AJ23" s="3">
        <v>0.72899999999999998</v>
      </c>
      <c r="AK23" s="3">
        <v>1.4999999999999999E-2</v>
      </c>
      <c r="AL23" s="3">
        <v>1.2E-2</v>
      </c>
      <c r="AM23" s="3">
        <v>3.3000000000000002E-2</v>
      </c>
      <c r="AN23" s="3">
        <v>7.1999999999999995E-2</v>
      </c>
      <c r="AO23" s="3">
        <v>0.28399999999999997</v>
      </c>
      <c r="AP23" s="3">
        <v>0.40799999999999997</v>
      </c>
      <c r="AQ23" s="3">
        <v>0.14599999999999999</v>
      </c>
      <c r="AR23" s="3">
        <v>2.9000000000000001E-2</v>
      </c>
      <c r="AS23" s="3">
        <v>2581</v>
      </c>
      <c r="AT23" s="3">
        <v>2580</v>
      </c>
      <c r="AU23" s="3">
        <v>2581</v>
      </c>
      <c r="AV23" s="3">
        <v>-3.532</v>
      </c>
      <c r="AW23" s="3">
        <v>-3.5449999999999999</v>
      </c>
      <c r="AX23" s="3">
        <v>-1.766</v>
      </c>
      <c r="AY23" s="3">
        <v>-1.5089999999999999</v>
      </c>
      <c r="AZ23" s="3">
        <v>-4.8940000000000001</v>
      </c>
      <c r="BA23" s="3">
        <v>-4.9649999999999999</v>
      </c>
      <c r="BB23" s="3">
        <v>13.08</v>
      </c>
      <c r="BC23" s="3">
        <v>2876</v>
      </c>
      <c r="BE23" s="6">
        <f t="shared" si="38"/>
        <v>929</v>
      </c>
      <c r="BG23" s="16">
        <v>5.63</v>
      </c>
      <c r="BH23" s="16">
        <f t="shared" si="1"/>
        <v>11.3726</v>
      </c>
      <c r="BI23" s="17">
        <f t="shared" si="2"/>
        <v>3.68</v>
      </c>
      <c r="BJ23" s="17">
        <f t="shared" si="3"/>
        <v>5.69</v>
      </c>
      <c r="BL23" s="1">
        <f t="shared" si="4"/>
        <v>97.6</v>
      </c>
      <c r="BM23" s="1">
        <f t="shared" si="5"/>
        <v>79.8</v>
      </c>
      <c r="BN23" s="1">
        <f t="shared" si="6"/>
        <v>55.7</v>
      </c>
      <c r="BO23" s="49">
        <f t="shared" si="15"/>
        <v>0.37</v>
      </c>
      <c r="BP23" s="49">
        <f t="shared" si="16"/>
        <v>0.29399999999999998</v>
      </c>
      <c r="BT23" s="16">
        <f t="shared" si="7"/>
        <v>3.68</v>
      </c>
      <c r="BU23" s="16">
        <f t="shared" si="8"/>
        <v>5.69</v>
      </c>
      <c r="BV23" s="3">
        <f t="shared" si="9"/>
        <v>-2.7</v>
      </c>
      <c r="BW23" s="3">
        <f t="shared" ref="BW23:CB65" si="39">ROUND(G23,1)</f>
        <v>-3</v>
      </c>
      <c r="BX23" s="3">
        <f t="shared" si="39"/>
        <v>-3.1</v>
      </c>
      <c r="BY23" s="3">
        <f t="shared" si="39"/>
        <v>0.1</v>
      </c>
      <c r="BZ23" s="3">
        <f t="shared" si="39"/>
        <v>-0.6</v>
      </c>
      <c r="CA23" s="3">
        <f t="shared" si="39"/>
        <v>-0.2</v>
      </c>
      <c r="CB23" s="3">
        <f t="shared" si="39"/>
        <v>0.8</v>
      </c>
      <c r="CC23" s="22">
        <f t="shared" si="11"/>
        <v>79.8</v>
      </c>
      <c r="CD23" s="1">
        <f t="shared" si="17"/>
        <v>1.2</v>
      </c>
      <c r="CE23" s="1">
        <f t="shared" si="18"/>
        <v>2.1</v>
      </c>
      <c r="CF23" s="1">
        <f t="shared" si="19"/>
        <v>1.9</v>
      </c>
      <c r="CG23" s="1">
        <f t="shared" si="20"/>
        <v>0.2</v>
      </c>
      <c r="CH23" s="1">
        <f t="shared" si="21"/>
        <v>-0.4</v>
      </c>
      <c r="CI23" s="1">
        <f t="shared" si="22"/>
        <v>-0.1</v>
      </c>
      <c r="CJ23" s="1">
        <f t="shared" si="23"/>
        <v>0.9</v>
      </c>
      <c r="CK23" s="2">
        <f t="shared" si="13"/>
        <v>97.6</v>
      </c>
      <c r="CL23" s="1">
        <f t="shared" si="24"/>
        <v>-5</v>
      </c>
      <c r="CM23" s="1">
        <f t="shared" si="25"/>
        <v>-5.3</v>
      </c>
      <c r="CN23" s="1">
        <f t="shared" si="26"/>
        <v>-5.5</v>
      </c>
      <c r="CO23" s="1">
        <f t="shared" si="27"/>
        <v>-0.1</v>
      </c>
      <c r="CP23" s="1">
        <f t="shared" si="28"/>
        <v>-0.7</v>
      </c>
      <c r="CQ23" s="1">
        <f t="shared" si="29"/>
        <v>-0.3</v>
      </c>
      <c r="CR23" s="1">
        <f t="shared" si="30"/>
        <v>0.7</v>
      </c>
      <c r="CS23" s="2">
        <f t="shared" si="31"/>
        <v>55.7</v>
      </c>
      <c r="CT23" s="6">
        <f t="shared" si="32"/>
        <v>929</v>
      </c>
      <c r="CU23" s="1">
        <f>PPTest!K23</f>
        <v>0</v>
      </c>
      <c r="CV23" s="3">
        <f t="shared" si="33"/>
        <v>2.1</v>
      </c>
      <c r="CW23" s="3">
        <f t="shared" si="34"/>
        <v>5.22</v>
      </c>
      <c r="CX23" s="24">
        <f t="shared" si="35"/>
        <v>0.37</v>
      </c>
      <c r="CY23" s="24">
        <f t="shared" si="35"/>
        <v>0.29399999999999998</v>
      </c>
      <c r="CZ23" s="16">
        <f t="shared" si="36"/>
        <v>13.08</v>
      </c>
    </row>
    <row r="24" spans="1:104" x14ac:dyDescent="0.2">
      <c r="A24" s="14">
        <f t="shared" si="37"/>
        <v>38735</v>
      </c>
      <c r="B24" s="1">
        <v>18</v>
      </c>
      <c r="C24" s="3">
        <v>0.96299999999999997</v>
      </c>
      <c r="D24" s="3">
        <v>1.4810000000000001</v>
      </c>
      <c r="E24" s="3">
        <v>-6.5609999999999999</v>
      </c>
      <c r="F24" s="3">
        <v>108.5</v>
      </c>
      <c r="G24" s="3">
        <v>-7.41</v>
      </c>
      <c r="H24" s="3">
        <v>-7.87</v>
      </c>
      <c r="I24" s="3">
        <v>3.7999999999999999E-2</v>
      </c>
      <c r="J24" s="3">
        <v>-0.63900000000000001</v>
      </c>
      <c r="K24" s="3">
        <v>-0.28699999999999998</v>
      </c>
      <c r="L24" s="3">
        <v>0.70699999999999996</v>
      </c>
      <c r="M24" s="3">
        <v>1.3640000000000001</v>
      </c>
      <c r="N24" s="3">
        <v>0</v>
      </c>
      <c r="O24" s="3">
        <v>-3.173</v>
      </c>
      <c r="P24" s="3">
        <v>1127</v>
      </c>
      <c r="Q24" s="3">
        <v>110.6</v>
      </c>
      <c r="R24" s="3">
        <v>927</v>
      </c>
      <c r="S24" s="3">
        <v>-2.911</v>
      </c>
      <c r="T24" s="3">
        <v>-2.972</v>
      </c>
      <c r="U24" s="3">
        <v>0.16200000000000001</v>
      </c>
      <c r="V24" s="3">
        <v>-0.47299999999999998</v>
      </c>
      <c r="W24" s="3">
        <v>-0.189</v>
      </c>
      <c r="X24" s="3">
        <v>0.80100000000000005</v>
      </c>
      <c r="Y24" s="3">
        <v>3.2530000000000001</v>
      </c>
      <c r="Z24" s="3">
        <v>1533</v>
      </c>
      <c r="AA24" s="3">
        <v>-15.72</v>
      </c>
      <c r="AB24" s="3">
        <v>2345</v>
      </c>
      <c r="AC24" s="3">
        <v>104.1</v>
      </c>
      <c r="AD24" s="3">
        <v>1548</v>
      </c>
      <c r="AE24" s="3">
        <v>-17.329999999999998</v>
      </c>
      <c r="AF24" s="3">
        <v>-18.57</v>
      </c>
      <c r="AG24" s="3">
        <v>-0.24199999999999999</v>
      </c>
      <c r="AH24" s="3">
        <v>-0.96499999999999997</v>
      </c>
      <c r="AI24" s="3">
        <v>-0.54900000000000004</v>
      </c>
      <c r="AJ24" s="3">
        <v>0.44</v>
      </c>
      <c r="AK24" s="3">
        <v>8.0000000000000002E-3</v>
      </c>
      <c r="AL24" s="3">
        <v>0.218</v>
      </c>
      <c r="AM24" s="3">
        <v>8.1000000000000003E-2</v>
      </c>
      <c r="AN24" s="3">
        <v>5.0000000000000001E-3</v>
      </c>
      <c r="AO24" s="3">
        <v>0.125</v>
      </c>
      <c r="AP24" s="3">
        <v>0.42399999999999999</v>
      </c>
      <c r="AQ24" s="3">
        <v>0.13100000000000001</v>
      </c>
      <c r="AR24" s="3">
        <v>8.0000000000000002E-3</v>
      </c>
      <c r="AS24" s="3">
        <v>2632</v>
      </c>
      <c r="AT24" s="3">
        <v>2627</v>
      </c>
      <c r="AU24" s="3">
        <v>2630</v>
      </c>
      <c r="AV24" s="3">
        <v>-5.32</v>
      </c>
      <c r="AW24" s="3">
        <v>-5.6980000000000004</v>
      </c>
      <c r="AX24" s="3">
        <v>-3.2320000000000002</v>
      </c>
      <c r="AY24" s="3">
        <v>-3.294</v>
      </c>
      <c r="AZ24" s="3">
        <v>-13.13</v>
      </c>
      <c r="BA24" s="3">
        <v>-13.71</v>
      </c>
      <c r="BB24" s="3">
        <v>12.93</v>
      </c>
      <c r="BC24" s="3">
        <v>2876</v>
      </c>
      <c r="BE24" s="6">
        <f t="shared" si="38"/>
        <v>880</v>
      </c>
      <c r="BG24" s="16">
        <v>5.72</v>
      </c>
      <c r="BH24" s="16">
        <f t="shared" si="1"/>
        <v>11.554399999999999</v>
      </c>
      <c r="BI24" s="17">
        <f t="shared" si="2"/>
        <v>0.94</v>
      </c>
      <c r="BJ24" s="17">
        <f t="shared" si="3"/>
        <v>1.63</v>
      </c>
      <c r="BL24" s="1">
        <f t="shared" si="4"/>
        <v>99.2</v>
      </c>
      <c r="BM24" s="1">
        <f t="shared" si="5"/>
        <v>95.8</v>
      </c>
      <c r="BN24" s="1">
        <f t="shared" si="6"/>
        <v>88.8</v>
      </c>
      <c r="BO24" s="49">
        <f t="shared" si="15"/>
        <v>0.42899999999999999</v>
      </c>
      <c r="BP24" s="49">
        <f t="shared" si="16"/>
        <v>5.3999999999999999E-2</v>
      </c>
      <c r="BT24" s="16">
        <f t="shared" si="7"/>
        <v>0.94</v>
      </c>
      <c r="BU24" s="16">
        <f t="shared" si="8"/>
        <v>1.63</v>
      </c>
      <c r="BV24" s="3">
        <f t="shared" si="9"/>
        <v>-6.6</v>
      </c>
      <c r="BW24" s="3">
        <f t="shared" si="39"/>
        <v>-7.4</v>
      </c>
      <c r="BX24" s="3">
        <f t="shared" si="39"/>
        <v>-7.9</v>
      </c>
      <c r="BY24" s="3">
        <f t="shared" si="39"/>
        <v>0</v>
      </c>
      <c r="BZ24" s="3">
        <f t="shared" si="39"/>
        <v>-0.6</v>
      </c>
      <c r="CA24" s="3">
        <f t="shared" si="39"/>
        <v>-0.3</v>
      </c>
      <c r="CB24" s="3">
        <f t="shared" si="39"/>
        <v>0.7</v>
      </c>
      <c r="CC24" s="22">
        <f t="shared" si="11"/>
        <v>95.8</v>
      </c>
      <c r="CD24" s="1">
        <f t="shared" si="17"/>
        <v>-3.2</v>
      </c>
      <c r="CE24" s="1">
        <f t="shared" si="18"/>
        <v>-2.9</v>
      </c>
      <c r="CF24" s="1">
        <f t="shared" si="19"/>
        <v>-3</v>
      </c>
      <c r="CG24" s="1">
        <f t="shared" si="20"/>
        <v>0.2</v>
      </c>
      <c r="CH24" s="1">
        <f t="shared" si="21"/>
        <v>-0.5</v>
      </c>
      <c r="CI24" s="1">
        <f t="shared" si="22"/>
        <v>-0.2</v>
      </c>
      <c r="CJ24" s="1">
        <f t="shared" si="23"/>
        <v>0.8</v>
      </c>
      <c r="CK24" s="2">
        <f t="shared" si="13"/>
        <v>99.2</v>
      </c>
      <c r="CL24" s="1">
        <f t="shared" si="24"/>
        <v>-15.7</v>
      </c>
      <c r="CM24" s="1">
        <f t="shared" si="25"/>
        <v>-17.3</v>
      </c>
      <c r="CN24" s="1">
        <f t="shared" si="26"/>
        <v>-18.600000000000001</v>
      </c>
      <c r="CO24" s="1">
        <f t="shared" si="27"/>
        <v>-0.2</v>
      </c>
      <c r="CP24" s="1">
        <f t="shared" si="28"/>
        <v>-1</v>
      </c>
      <c r="CQ24" s="1">
        <f t="shared" si="29"/>
        <v>-0.5</v>
      </c>
      <c r="CR24" s="1">
        <f t="shared" si="30"/>
        <v>0.4</v>
      </c>
      <c r="CS24" s="2">
        <f t="shared" si="31"/>
        <v>88.8</v>
      </c>
      <c r="CT24" s="6">
        <f t="shared" si="32"/>
        <v>880</v>
      </c>
      <c r="CU24" s="1">
        <f>PPTest!K24</f>
        <v>0</v>
      </c>
      <c r="CV24" s="3">
        <f t="shared" si="33"/>
        <v>1.36</v>
      </c>
      <c r="CW24" s="3">
        <f t="shared" si="34"/>
        <v>3.25</v>
      </c>
      <c r="CX24" s="24">
        <f t="shared" si="35"/>
        <v>0.42899999999999999</v>
      </c>
      <c r="CY24" s="24">
        <f t="shared" si="35"/>
        <v>5.3999999999999999E-2</v>
      </c>
      <c r="CZ24" s="16">
        <f t="shared" si="36"/>
        <v>12.93</v>
      </c>
    </row>
    <row r="25" spans="1:104" x14ac:dyDescent="0.2">
      <c r="A25" s="14">
        <f t="shared" si="37"/>
        <v>38736</v>
      </c>
      <c r="B25" s="1">
        <v>19</v>
      </c>
      <c r="C25" s="3">
        <v>1.0129999999999999</v>
      </c>
      <c r="D25" s="3">
        <v>2.3410000000000002</v>
      </c>
      <c r="E25" s="3">
        <v>-8.8699999999999992</v>
      </c>
      <c r="F25" s="3">
        <v>105.8</v>
      </c>
      <c r="G25" s="3">
        <v>-9.4499999999999993</v>
      </c>
      <c r="H25" s="3">
        <v>-9.66</v>
      </c>
      <c r="I25" s="3">
        <v>2.1999999999999999E-2</v>
      </c>
      <c r="J25" s="3">
        <v>-0.88400000000000001</v>
      </c>
      <c r="K25" s="3">
        <v>-0.29799999999999999</v>
      </c>
      <c r="L25" s="3">
        <v>0.75700000000000001</v>
      </c>
      <c r="M25" s="3">
        <v>0.88100000000000001</v>
      </c>
      <c r="N25" s="3">
        <v>0</v>
      </c>
      <c r="O25" s="3">
        <v>-4.532</v>
      </c>
      <c r="P25" s="3">
        <v>1151</v>
      </c>
      <c r="Q25" s="3">
        <v>109.9</v>
      </c>
      <c r="R25" s="3">
        <v>954</v>
      </c>
      <c r="S25" s="3">
        <v>-5.0049999999999999</v>
      </c>
      <c r="T25" s="3">
        <v>-5.1079999999999997</v>
      </c>
      <c r="U25" s="3">
        <v>0.16</v>
      </c>
      <c r="V25" s="3">
        <v>-0.75700000000000001</v>
      </c>
      <c r="W25" s="3">
        <v>-0.20200000000000001</v>
      </c>
      <c r="X25" s="3">
        <v>0.85299999999999998</v>
      </c>
      <c r="Y25" s="3">
        <v>3.2130000000000001</v>
      </c>
      <c r="Z25" s="3">
        <v>1733</v>
      </c>
      <c r="AA25" s="3">
        <v>-15.73</v>
      </c>
      <c r="AB25" s="3">
        <v>217</v>
      </c>
      <c r="AC25" s="3">
        <v>97.4</v>
      </c>
      <c r="AD25" s="3">
        <v>1225</v>
      </c>
      <c r="AE25" s="3">
        <v>-17.5</v>
      </c>
      <c r="AF25" s="3">
        <v>-18.239999999999998</v>
      </c>
      <c r="AG25" s="3">
        <v>-0.128</v>
      </c>
      <c r="AH25" s="3">
        <v>-1.0640000000000001</v>
      </c>
      <c r="AI25" s="3">
        <v>-0.38100000000000001</v>
      </c>
      <c r="AJ25" s="3">
        <v>0.65300000000000002</v>
      </c>
      <c r="AK25" s="3">
        <v>3.5999999999999997E-2</v>
      </c>
      <c r="AL25" s="3">
        <v>0.40600000000000003</v>
      </c>
      <c r="AM25" s="3">
        <v>0.108</v>
      </c>
      <c r="AN25" s="3">
        <v>2.4E-2</v>
      </c>
      <c r="AO25" s="3">
        <v>0.11899999999999999</v>
      </c>
      <c r="AP25" s="3">
        <v>0.221</v>
      </c>
      <c r="AQ25" s="3">
        <v>7.1999999999999995E-2</v>
      </c>
      <c r="AR25" s="3">
        <v>1.4999999999999999E-2</v>
      </c>
      <c r="AS25" s="3">
        <v>2635</v>
      </c>
      <c r="AT25" s="3">
        <v>2626</v>
      </c>
      <c r="AU25" s="3">
        <v>2630</v>
      </c>
      <c r="AV25" s="3">
        <v>-8.92</v>
      </c>
      <c r="AW25" s="3">
        <v>-9</v>
      </c>
      <c r="AX25" s="3">
        <v>-5.8819999999999997</v>
      </c>
      <c r="AY25" s="3">
        <v>-5.9660000000000002</v>
      </c>
      <c r="AZ25" s="3">
        <v>-13.47</v>
      </c>
      <c r="BA25" s="3">
        <v>-13.98</v>
      </c>
      <c r="BB25" s="3">
        <v>13.07</v>
      </c>
      <c r="BC25" s="3">
        <v>2876</v>
      </c>
      <c r="BE25" s="6">
        <f t="shared" si="38"/>
        <v>880</v>
      </c>
      <c r="BG25" s="16">
        <v>5.82</v>
      </c>
      <c r="BH25" s="16">
        <f t="shared" si="1"/>
        <v>11.756400000000001</v>
      </c>
      <c r="BI25" s="17">
        <f t="shared" si="2"/>
        <v>0.99</v>
      </c>
      <c r="BJ25" s="17">
        <f t="shared" si="3"/>
        <v>2.58</v>
      </c>
      <c r="BL25" s="1">
        <f t="shared" si="4"/>
        <v>98</v>
      </c>
      <c r="BM25" s="1">
        <f t="shared" si="5"/>
        <v>91.5</v>
      </c>
      <c r="BN25" s="1">
        <f t="shared" si="6"/>
        <v>78.7</v>
      </c>
      <c r="BO25" s="49">
        <f t="shared" si="15"/>
        <v>0.34300000000000003</v>
      </c>
      <c r="BP25" s="49">
        <f t="shared" si="16"/>
        <v>9.2999999999999999E-2</v>
      </c>
      <c r="BT25" s="16">
        <f t="shared" si="7"/>
        <v>0.99</v>
      </c>
      <c r="BU25" s="16">
        <f t="shared" si="8"/>
        <v>2.58</v>
      </c>
      <c r="BV25" s="3">
        <f t="shared" si="9"/>
        <v>-8.9</v>
      </c>
      <c r="BW25" s="3">
        <f t="shared" si="39"/>
        <v>-9.5</v>
      </c>
      <c r="BX25" s="3">
        <f t="shared" si="39"/>
        <v>-9.6999999999999993</v>
      </c>
      <c r="BY25" s="3">
        <f t="shared" si="39"/>
        <v>0</v>
      </c>
      <c r="BZ25" s="3">
        <f t="shared" si="39"/>
        <v>-0.9</v>
      </c>
      <c r="CA25" s="3">
        <f t="shared" si="39"/>
        <v>-0.3</v>
      </c>
      <c r="CB25" s="3">
        <f t="shared" si="39"/>
        <v>0.8</v>
      </c>
      <c r="CC25" s="22">
        <f t="shared" si="11"/>
        <v>91.5</v>
      </c>
      <c r="CD25" s="1">
        <f t="shared" si="17"/>
        <v>-4.5</v>
      </c>
      <c r="CE25" s="1">
        <f t="shared" si="18"/>
        <v>-5</v>
      </c>
      <c r="CF25" s="1">
        <f t="shared" si="19"/>
        <v>-5.0999999999999996</v>
      </c>
      <c r="CG25" s="1">
        <f t="shared" si="20"/>
        <v>0.2</v>
      </c>
      <c r="CH25" s="1">
        <f t="shared" si="21"/>
        <v>-0.8</v>
      </c>
      <c r="CI25" s="1">
        <f t="shared" si="22"/>
        <v>-0.2</v>
      </c>
      <c r="CJ25" s="1">
        <f t="shared" si="23"/>
        <v>0.9</v>
      </c>
      <c r="CK25" s="2">
        <f t="shared" si="13"/>
        <v>98</v>
      </c>
      <c r="CL25" s="1">
        <f t="shared" si="24"/>
        <v>-15.7</v>
      </c>
      <c r="CM25" s="1">
        <f t="shared" si="25"/>
        <v>-17.5</v>
      </c>
      <c r="CN25" s="1">
        <f t="shared" si="26"/>
        <v>-18.2</v>
      </c>
      <c r="CO25" s="1">
        <f t="shared" si="27"/>
        <v>-0.1</v>
      </c>
      <c r="CP25" s="1">
        <f t="shared" si="28"/>
        <v>-1.1000000000000001</v>
      </c>
      <c r="CQ25" s="1">
        <f t="shared" si="29"/>
        <v>-0.4</v>
      </c>
      <c r="CR25" s="1">
        <f t="shared" si="30"/>
        <v>0.7</v>
      </c>
      <c r="CS25" s="2">
        <f t="shared" si="31"/>
        <v>78.7</v>
      </c>
      <c r="CT25" s="6">
        <f t="shared" si="32"/>
        <v>880</v>
      </c>
      <c r="CU25" s="1">
        <f>PPTest!K25</f>
        <v>0</v>
      </c>
      <c r="CV25" s="3">
        <f t="shared" si="33"/>
        <v>0.88</v>
      </c>
      <c r="CW25" s="3">
        <f t="shared" si="34"/>
        <v>3.21</v>
      </c>
      <c r="CX25" s="24">
        <f t="shared" si="35"/>
        <v>0.34300000000000003</v>
      </c>
      <c r="CY25" s="24">
        <f t="shared" si="35"/>
        <v>9.2999999999999999E-2</v>
      </c>
      <c r="CZ25" s="16">
        <f t="shared" si="36"/>
        <v>13.07</v>
      </c>
    </row>
    <row r="26" spans="1:104" x14ac:dyDescent="0.2">
      <c r="A26" s="14">
        <f t="shared" si="37"/>
        <v>38737</v>
      </c>
      <c r="B26" s="1">
        <v>20</v>
      </c>
      <c r="C26" s="3">
        <v>0.32800000000000001</v>
      </c>
      <c r="D26" s="3">
        <v>0.64700000000000002</v>
      </c>
      <c r="E26" s="3">
        <v>-6.1050000000000004</v>
      </c>
      <c r="F26" s="3">
        <v>108.8</v>
      </c>
      <c r="G26" s="3">
        <v>-6.4480000000000004</v>
      </c>
      <c r="H26" s="3">
        <v>-6.4550000000000001</v>
      </c>
      <c r="I26" s="3">
        <v>-2E-3</v>
      </c>
      <c r="J26" s="3">
        <v>-0.73599999999999999</v>
      </c>
      <c r="K26" s="3">
        <v>-0.317</v>
      </c>
      <c r="L26" s="3">
        <v>0.746</v>
      </c>
      <c r="M26" s="3">
        <v>1.2330000000000001</v>
      </c>
      <c r="N26" s="3">
        <v>0</v>
      </c>
      <c r="O26" s="3">
        <v>-4.9729999999999999</v>
      </c>
      <c r="P26" s="3">
        <v>1247</v>
      </c>
      <c r="Q26" s="3">
        <v>110.6</v>
      </c>
      <c r="R26" s="3">
        <v>1404</v>
      </c>
      <c r="S26" s="3">
        <v>-4.9610000000000003</v>
      </c>
      <c r="T26" s="3">
        <v>-4.9379999999999997</v>
      </c>
      <c r="U26" s="3">
        <v>6.3E-2</v>
      </c>
      <c r="V26" s="3">
        <v>-0.67700000000000005</v>
      </c>
      <c r="W26" s="3">
        <v>-0.28000000000000003</v>
      </c>
      <c r="X26" s="3">
        <v>0.78700000000000003</v>
      </c>
      <c r="Y26" s="3">
        <v>3.04</v>
      </c>
      <c r="Z26" s="3">
        <v>2122</v>
      </c>
      <c r="AA26" s="3">
        <v>-7.11</v>
      </c>
      <c r="AB26" s="3">
        <v>0</v>
      </c>
      <c r="AC26" s="3">
        <v>102.9</v>
      </c>
      <c r="AD26" s="3">
        <v>641</v>
      </c>
      <c r="AE26" s="3">
        <v>-7.51</v>
      </c>
      <c r="AF26" s="3">
        <v>-7.47</v>
      </c>
      <c r="AG26" s="3">
        <v>-0.08</v>
      </c>
      <c r="AH26" s="3">
        <v>-0.81799999999999995</v>
      </c>
      <c r="AI26" s="3">
        <v>-0.35699999999999998</v>
      </c>
      <c r="AJ26" s="3">
        <v>0.69299999999999995</v>
      </c>
      <c r="AK26" s="3">
        <v>9.2999999999999999E-2</v>
      </c>
      <c r="AL26" s="3">
        <v>0.128</v>
      </c>
      <c r="AM26" s="3">
        <v>9.1999999999999998E-2</v>
      </c>
      <c r="AN26" s="3">
        <v>2.3E-2</v>
      </c>
      <c r="AO26" s="3">
        <v>0.159</v>
      </c>
      <c r="AP26" s="3">
        <v>0.35499999999999998</v>
      </c>
      <c r="AQ26" s="3">
        <v>0.10299999999999999</v>
      </c>
      <c r="AR26" s="3">
        <v>4.7E-2</v>
      </c>
      <c r="AS26" s="3">
        <v>2558</v>
      </c>
      <c r="AT26" s="3">
        <v>2557</v>
      </c>
      <c r="AU26" s="3">
        <v>2557</v>
      </c>
      <c r="AV26" s="3">
        <v>-5.3449999999999998</v>
      </c>
      <c r="AW26" s="3">
        <v>-5.4880000000000004</v>
      </c>
      <c r="AX26" s="3">
        <v>-4.7679999999999998</v>
      </c>
      <c r="AY26" s="3">
        <v>-4.8600000000000003</v>
      </c>
      <c r="AZ26" s="3">
        <v>-6.05</v>
      </c>
      <c r="BA26" s="3">
        <v>-6.2329999999999997</v>
      </c>
      <c r="BB26" s="3">
        <v>12.84</v>
      </c>
      <c r="BC26" s="3">
        <v>2876</v>
      </c>
      <c r="BE26" s="6">
        <f t="shared" si="38"/>
        <v>953</v>
      </c>
      <c r="BG26" s="16">
        <v>5.92</v>
      </c>
      <c r="BH26" s="16">
        <f t="shared" si="1"/>
        <v>11.958399999999999</v>
      </c>
      <c r="BI26" s="17">
        <f t="shared" si="2"/>
        <v>0.32</v>
      </c>
      <c r="BJ26" s="17">
        <f t="shared" si="3"/>
        <v>0.71</v>
      </c>
      <c r="BL26" s="1">
        <f t="shared" si="4"/>
        <v>99.2</v>
      </c>
      <c r="BM26" s="1">
        <f t="shared" si="5"/>
        <v>96.3</v>
      </c>
      <c r="BN26" s="1">
        <f t="shared" si="6"/>
        <v>86.9</v>
      </c>
      <c r="BO26" s="49">
        <f t="shared" si="15"/>
        <v>0.36699999999999999</v>
      </c>
      <c r="BP26" s="49">
        <f t="shared" si="16"/>
        <v>5.5E-2</v>
      </c>
      <c r="BT26" s="16">
        <f t="shared" si="7"/>
        <v>0.32</v>
      </c>
      <c r="BU26" s="16">
        <f t="shared" si="8"/>
        <v>0.71</v>
      </c>
      <c r="BV26" s="3">
        <f t="shared" si="9"/>
        <v>-6.1</v>
      </c>
      <c r="BW26" s="3">
        <f t="shared" si="39"/>
        <v>-6.4</v>
      </c>
      <c r="BX26" s="3">
        <f t="shared" si="39"/>
        <v>-6.5</v>
      </c>
      <c r="BY26" s="3">
        <f t="shared" si="39"/>
        <v>0</v>
      </c>
      <c r="BZ26" s="3">
        <f t="shared" si="39"/>
        <v>-0.7</v>
      </c>
      <c r="CA26" s="3">
        <f t="shared" si="39"/>
        <v>-0.3</v>
      </c>
      <c r="CB26" s="3">
        <f t="shared" si="39"/>
        <v>0.7</v>
      </c>
      <c r="CC26" s="22">
        <f t="shared" si="11"/>
        <v>96.3</v>
      </c>
      <c r="CD26" s="1">
        <f t="shared" si="17"/>
        <v>-5</v>
      </c>
      <c r="CE26" s="1">
        <f t="shared" si="18"/>
        <v>-5</v>
      </c>
      <c r="CF26" s="1">
        <f t="shared" si="19"/>
        <v>-4.9000000000000004</v>
      </c>
      <c r="CG26" s="1">
        <f t="shared" si="20"/>
        <v>0.1</v>
      </c>
      <c r="CH26" s="1">
        <f t="shared" si="21"/>
        <v>-0.7</v>
      </c>
      <c r="CI26" s="1">
        <f t="shared" si="22"/>
        <v>-0.3</v>
      </c>
      <c r="CJ26" s="1">
        <f t="shared" si="23"/>
        <v>0.8</v>
      </c>
      <c r="CK26" s="2">
        <f t="shared" si="13"/>
        <v>99.2</v>
      </c>
      <c r="CL26" s="1">
        <f t="shared" si="24"/>
        <v>-7.1</v>
      </c>
      <c r="CM26" s="1">
        <f t="shared" si="25"/>
        <v>-7.5</v>
      </c>
      <c r="CN26" s="1">
        <f t="shared" si="26"/>
        <v>-7.5</v>
      </c>
      <c r="CO26" s="1">
        <f t="shared" si="27"/>
        <v>-0.1</v>
      </c>
      <c r="CP26" s="1">
        <f t="shared" si="28"/>
        <v>-0.8</v>
      </c>
      <c r="CQ26" s="1">
        <f t="shared" si="29"/>
        <v>-0.4</v>
      </c>
      <c r="CR26" s="1">
        <f t="shared" si="30"/>
        <v>0.7</v>
      </c>
      <c r="CS26" s="2">
        <f t="shared" si="31"/>
        <v>86.9</v>
      </c>
      <c r="CT26" s="6">
        <f t="shared" si="32"/>
        <v>953</v>
      </c>
      <c r="CU26" s="1">
        <f>PPTest!K26</f>
        <v>9.5</v>
      </c>
      <c r="CV26" s="3">
        <f t="shared" si="33"/>
        <v>1.23</v>
      </c>
      <c r="CW26" s="3">
        <f t="shared" si="34"/>
        <v>3.04</v>
      </c>
      <c r="CX26" s="24">
        <f t="shared" si="35"/>
        <v>0.36699999999999999</v>
      </c>
      <c r="CY26" s="24">
        <f t="shared" si="35"/>
        <v>5.5E-2</v>
      </c>
      <c r="CZ26" s="16">
        <f t="shared" si="36"/>
        <v>12.84</v>
      </c>
    </row>
    <row r="27" spans="1:104" x14ac:dyDescent="0.2">
      <c r="A27" s="14">
        <f t="shared" si="37"/>
        <v>38738</v>
      </c>
      <c r="B27" s="1">
        <v>21</v>
      </c>
      <c r="C27" s="3">
        <v>1.5249999999999999</v>
      </c>
      <c r="D27" s="3">
        <v>2.8079999999999998</v>
      </c>
      <c r="E27" s="3">
        <v>-8.5399999999999991</v>
      </c>
      <c r="F27" s="3">
        <v>107.1</v>
      </c>
      <c r="G27" s="3">
        <v>-9.17</v>
      </c>
      <c r="H27" s="3">
        <v>-9.44</v>
      </c>
      <c r="I27" s="3">
        <v>-2.9000000000000001E-2</v>
      </c>
      <c r="J27" s="3">
        <v>-0.81299999999999994</v>
      </c>
      <c r="K27" s="3">
        <v>-0.33400000000000002</v>
      </c>
      <c r="L27" s="3">
        <v>0.73299999999999998</v>
      </c>
      <c r="M27" s="3">
        <v>1.117</v>
      </c>
      <c r="N27" s="3">
        <v>0</v>
      </c>
      <c r="O27" s="3">
        <v>-3.5179999999999998</v>
      </c>
      <c r="P27" s="3">
        <v>1303</v>
      </c>
      <c r="Q27" s="3">
        <v>109.4</v>
      </c>
      <c r="R27" s="3">
        <v>925</v>
      </c>
      <c r="S27" s="3">
        <v>-2.5590000000000002</v>
      </c>
      <c r="T27" s="3">
        <v>-1.5029999999999999</v>
      </c>
      <c r="U27" s="3">
        <v>8.3000000000000004E-2</v>
      </c>
      <c r="V27" s="3">
        <v>-0.65300000000000002</v>
      </c>
      <c r="W27" s="3">
        <v>-0.25</v>
      </c>
      <c r="X27" s="3">
        <v>0.81299999999999994</v>
      </c>
      <c r="Y27" s="3">
        <v>2.4820000000000002</v>
      </c>
      <c r="Z27" s="3">
        <v>228</v>
      </c>
      <c r="AA27" s="3">
        <v>-15.4</v>
      </c>
      <c r="AB27" s="3">
        <v>2010</v>
      </c>
      <c r="AC27" s="3">
        <v>96.3</v>
      </c>
      <c r="AD27" s="3">
        <v>1502</v>
      </c>
      <c r="AE27" s="3">
        <v>-16.89</v>
      </c>
      <c r="AF27" s="3">
        <v>-18.34</v>
      </c>
      <c r="AG27" s="3">
        <v>-0.254</v>
      </c>
      <c r="AH27" s="3">
        <v>-1.0780000000000001</v>
      </c>
      <c r="AI27" s="3">
        <v>-0.52700000000000002</v>
      </c>
      <c r="AJ27" s="3">
        <v>0.55200000000000005</v>
      </c>
      <c r="AK27" s="3">
        <v>6.3E-2</v>
      </c>
      <c r="AL27" s="3">
        <v>0.26400000000000001</v>
      </c>
      <c r="AM27" s="3">
        <v>0.219</v>
      </c>
      <c r="AN27" s="3">
        <v>0.03</v>
      </c>
      <c r="AO27" s="3">
        <v>0.13</v>
      </c>
      <c r="AP27" s="3">
        <v>0.20300000000000001</v>
      </c>
      <c r="AQ27" s="3">
        <v>6.7000000000000004E-2</v>
      </c>
      <c r="AR27" s="3">
        <v>2.4E-2</v>
      </c>
      <c r="AS27" s="3">
        <v>2593</v>
      </c>
      <c r="AT27" s="3">
        <v>2590</v>
      </c>
      <c r="AU27" s="3">
        <v>2592</v>
      </c>
      <c r="AV27" s="3">
        <v>-6.1840000000000002</v>
      </c>
      <c r="AW27" s="3">
        <v>-6.4169999999999998</v>
      </c>
      <c r="AX27" s="3">
        <v>-3.8940000000000001</v>
      </c>
      <c r="AY27" s="3">
        <v>-3.742</v>
      </c>
      <c r="AZ27" s="3">
        <v>-9.09</v>
      </c>
      <c r="BA27" s="3">
        <v>-9.6199999999999992</v>
      </c>
      <c r="BB27" s="3">
        <v>13.13</v>
      </c>
      <c r="BC27" s="3">
        <v>2876</v>
      </c>
      <c r="BE27" s="6">
        <f t="shared" si="38"/>
        <v>918</v>
      </c>
      <c r="BG27" s="16">
        <v>6.02</v>
      </c>
      <c r="BH27" s="16">
        <f t="shared" si="1"/>
        <v>12.160399999999999</v>
      </c>
      <c r="BI27" s="17">
        <f t="shared" si="2"/>
        <v>1.49</v>
      </c>
      <c r="BJ27" s="17">
        <f t="shared" si="3"/>
        <v>3.09</v>
      </c>
      <c r="BL27" s="1">
        <f t="shared" si="4"/>
        <v>97.2</v>
      </c>
      <c r="BM27" s="1">
        <f t="shared" si="5"/>
        <v>93.6</v>
      </c>
      <c r="BN27" s="1">
        <f t="shared" si="6"/>
        <v>77.7</v>
      </c>
      <c r="BO27" s="49">
        <f t="shared" si="15"/>
        <v>0.36599999999999999</v>
      </c>
      <c r="BP27" s="49">
        <f t="shared" si="16"/>
        <v>0.105</v>
      </c>
      <c r="BT27" s="16">
        <f t="shared" si="7"/>
        <v>1.49</v>
      </c>
      <c r="BU27" s="16">
        <f t="shared" si="8"/>
        <v>3.09</v>
      </c>
      <c r="BV27" s="3">
        <f t="shared" si="9"/>
        <v>-8.5</v>
      </c>
      <c r="BW27" s="3">
        <f t="shared" si="39"/>
        <v>-9.1999999999999993</v>
      </c>
      <c r="BX27" s="3">
        <f t="shared" si="39"/>
        <v>-9.4</v>
      </c>
      <c r="BY27" s="3">
        <f t="shared" si="39"/>
        <v>0</v>
      </c>
      <c r="BZ27" s="3">
        <f t="shared" si="39"/>
        <v>-0.8</v>
      </c>
      <c r="CA27" s="3">
        <f t="shared" si="39"/>
        <v>-0.3</v>
      </c>
      <c r="CB27" s="3">
        <f t="shared" si="39"/>
        <v>0.7</v>
      </c>
      <c r="CC27" s="22">
        <f t="shared" si="11"/>
        <v>93.6</v>
      </c>
      <c r="CD27" s="1">
        <f t="shared" si="17"/>
        <v>-3.5</v>
      </c>
      <c r="CE27" s="1">
        <f t="shared" si="18"/>
        <v>-2.6</v>
      </c>
      <c r="CF27" s="1">
        <f t="shared" si="19"/>
        <v>-1.5</v>
      </c>
      <c r="CG27" s="1">
        <f t="shared" si="20"/>
        <v>0.1</v>
      </c>
      <c r="CH27" s="1">
        <f t="shared" si="21"/>
        <v>-0.7</v>
      </c>
      <c r="CI27" s="1">
        <f t="shared" si="22"/>
        <v>-0.3</v>
      </c>
      <c r="CJ27" s="1">
        <f t="shared" si="23"/>
        <v>0.8</v>
      </c>
      <c r="CK27" s="2">
        <f t="shared" si="13"/>
        <v>97.2</v>
      </c>
      <c r="CL27" s="1">
        <f t="shared" si="24"/>
        <v>-15.4</v>
      </c>
      <c r="CM27" s="1">
        <f t="shared" si="25"/>
        <v>-16.899999999999999</v>
      </c>
      <c r="CN27" s="1">
        <f t="shared" si="26"/>
        <v>-18.3</v>
      </c>
      <c r="CO27" s="1">
        <f t="shared" si="27"/>
        <v>-0.3</v>
      </c>
      <c r="CP27" s="1">
        <f t="shared" si="28"/>
        <v>-1.1000000000000001</v>
      </c>
      <c r="CQ27" s="1">
        <f t="shared" si="29"/>
        <v>-0.5</v>
      </c>
      <c r="CR27" s="1">
        <f t="shared" si="30"/>
        <v>0.6</v>
      </c>
      <c r="CS27" s="2">
        <f t="shared" si="31"/>
        <v>77.7</v>
      </c>
      <c r="CT27" s="6">
        <f t="shared" si="32"/>
        <v>918</v>
      </c>
      <c r="CU27" s="1">
        <f>PPTest!K27</f>
        <v>0</v>
      </c>
      <c r="CV27" s="3">
        <f t="shared" si="33"/>
        <v>1.1200000000000001</v>
      </c>
      <c r="CW27" s="3">
        <f t="shared" si="34"/>
        <v>2.48</v>
      </c>
      <c r="CX27" s="24">
        <f t="shared" si="35"/>
        <v>0.36599999999999999</v>
      </c>
      <c r="CY27" s="24">
        <f t="shared" si="35"/>
        <v>0.105</v>
      </c>
      <c r="CZ27" s="16">
        <f t="shared" si="36"/>
        <v>13.13</v>
      </c>
    </row>
    <row r="28" spans="1:104" x14ac:dyDescent="0.2">
      <c r="A28" s="14">
        <f t="shared" si="37"/>
        <v>38739</v>
      </c>
      <c r="B28" s="1">
        <v>22</v>
      </c>
      <c r="C28" s="3">
        <v>0.49199999999999999</v>
      </c>
      <c r="D28" s="3">
        <v>0.94</v>
      </c>
      <c r="E28" s="3">
        <v>-3.702</v>
      </c>
      <c r="F28" s="3">
        <v>107.7</v>
      </c>
      <c r="G28" s="3">
        <v>-4.0259999999999998</v>
      </c>
      <c r="H28" s="3">
        <v>-4.1029999999999998</v>
      </c>
      <c r="I28" s="3">
        <v>3.0000000000000001E-3</v>
      </c>
      <c r="J28" s="3">
        <v>-0.74299999999999999</v>
      </c>
      <c r="K28" s="3">
        <v>-0.32600000000000001</v>
      </c>
      <c r="L28" s="3">
        <v>0.75900000000000001</v>
      </c>
      <c r="M28" s="3">
        <v>1.8129999999999999</v>
      </c>
      <c r="N28" s="3">
        <v>0</v>
      </c>
      <c r="O28" s="3">
        <v>-1.665</v>
      </c>
      <c r="P28" s="3">
        <v>2240</v>
      </c>
      <c r="Q28" s="3">
        <v>109.9</v>
      </c>
      <c r="R28" s="3">
        <v>11</v>
      </c>
      <c r="S28" s="3">
        <v>-1.59</v>
      </c>
      <c r="T28" s="3">
        <v>-1.7270000000000001</v>
      </c>
      <c r="U28" s="3">
        <v>5.0999999999999997E-2</v>
      </c>
      <c r="V28" s="3">
        <v>-0.57799999999999996</v>
      </c>
      <c r="W28" s="3">
        <v>-0.26700000000000002</v>
      </c>
      <c r="X28" s="3">
        <v>0.80700000000000005</v>
      </c>
      <c r="Y28" s="3">
        <v>5.9930000000000003</v>
      </c>
      <c r="Z28" s="3">
        <v>2129</v>
      </c>
      <c r="AA28" s="3">
        <v>-8.74</v>
      </c>
      <c r="AB28" s="3">
        <v>1</v>
      </c>
      <c r="AC28" s="3">
        <v>103.2</v>
      </c>
      <c r="AD28" s="3">
        <v>1415</v>
      </c>
      <c r="AE28" s="3">
        <v>-9.14</v>
      </c>
      <c r="AF28" s="3">
        <v>-9.1199999999999992</v>
      </c>
      <c r="AG28" s="3">
        <v>-6.7000000000000004E-2</v>
      </c>
      <c r="AH28" s="3">
        <v>-0.95299999999999996</v>
      </c>
      <c r="AI28" s="3">
        <v>-0.38500000000000001</v>
      </c>
      <c r="AJ28" s="3">
        <v>0.72299999999999998</v>
      </c>
      <c r="AK28" s="3">
        <v>2.5999999999999999E-2</v>
      </c>
      <c r="AL28" s="3">
        <v>4.2999999999999997E-2</v>
      </c>
      <c r="AM28" s="3">
        <v>4.2999999999999997E-2</v>
      </c>
      <c r="AN28" s="3">
        <v>5.7000000000000002E-2</v>
      </c>
      <c r="AO28" s="3">
        <v>0.29699999999999999</v>
      </c>
      <c r="AP28" s="3">
        <v>0.39800000000000002</v>
      </c>
      <c r="AQ28" s="3">
        <v>0.10299999999999999</v>
      </c>
      <c r="AR28" s="3">
        <v>3.3000000000000002E-2</v>
      </c>
      <c r="AS28" s="3">
        <v>2560</v>
      </c>
      <c r="AT28" s="3">
        <v>2556</v>
      </c>
      <c r="AU28" s="3">
        <v>2558</v>
      </c>
      <c r="AV28" s="3">
        <v>-4.5060000000000002</v>
      </c>
      <c r="AW28" s="3">
        <v>-4.4969999999999999</v>
      </c>
      <c r="AX28" s="3">
        <v>-2.718</v>
      </c>
      <c r="AY28" s="3">
        <v>-2.754</v>
      </c>
      <c r="AZ28" s="3">
        <v>-8.16</v>
      </c>
      <c r="BA28" s="3">
        <v>-8.25</v>
      </c>
      <c r="BB28" s="3">
        <v>13.01</v>
      </c>
      <c r="BC28" s="3">
        <v>2876</v>
      </c>
      <c r="BE28" s="6">
        <f t="shared" si="38"/>
        <v>952</v>
      </c>
      <c r="BG28" s="16">
        <v>6.13</v>
      </c>
      <c r="BH28" s="16">
        <f t="shared" si="1"/>
        <v>12.3826</v>
      </c>
      <c r="BI28" s="17">
        <f t="shared" si="2"/>
        <v>0.48</v>
      </c>
      <c r="BJ28" s="17">
        <f t="shared" si="3"/>
        <v>1.03</v>
      </c>
      <c r="BL28" s="1">
        <f t="shared" si="4"/>
        <v>98</v>
      </c>
      <c r="BM28" s="1">
        <f t="shared" si="5"/>
        <v>94.5</v>
      </c>
      <c r="BN28" s="1">
        <f t="shared" si="6"/>
        <v>87.4</v>
      </c>
      <c r="BO28" s="49">
        <f t="shared" si="15"/>
        <v>0.47199999999999998</v>
      </c>
      <c r="BP28" s="49">
        <f t="shared" si="16"/>
        <v>6.8000000000000005E-2</v>
      </c>
      <c r="BT28" s="16">
        <f t="shared" si="7"/>
        <v>0.48</v>
      </c>
      <c r="BU28" s="16">
        <f t="shared" si="8"/>
        <v>1.03</v>
      </c>
      <c r="BV28" s="3">
        <f t="shared" si="9"/>
        <v>-3.7</v>
      </c>
      <c r="BW28" s="3">
        <f t="shared" si="39"/>
        <v>-4</v>
      </c>
      <c r="BX28" s="3">
        <f t="shared" si="39"/>
        <v>-4.0999999999999996</v>
      </c>
      <c r="BY28" s="3">
        <f t="shared" si="39"/>
        <v>0</v>
      </c>
      <c r="BZ28" s="3">
        <f t="shared" si="39"/>
        <v>-0.7</v>
      </c>
      <c r="CA28" s="3">
        <f t="shared" si="39"/>
        <v>-0.3</v>
      </c>
      <c r="CB28" s="3">
        <f t="shared" si="39"/>
        <v>0.8</v>
      </c>
      <c r="CC28" s="22">
        <f t="shared" si="11"/>
        <v>94.5</v>
      </c>
      <c r="CD28" s="1">
        <f t="shared" si="17"/>
        <v>-1.7</v>
      </c>
      <c r="CE28" s="1">
        <f t="shared" si="18"/>
        <v>-1.6</v>
      </c>
      <c r="CF28" s="1">
        <f t="shared" si="19"/>
        <v>-1.7</v>
      </c>
      <c r="CG28" s="1">
        <f t="shared" si="20"/>
        <v>0.1</v>
      </c>
      <c r="CH28" s="1">
        <f t="shared" si="21"/>
        <v>-0.6</v>
      </c>
      <c r="CI28" s="1">
        <f t="shared" si="22"/>
        <v>-0.3</v>
      </c>
      <c r="CJ28" s="1">
        <f t="shared" si="23"/>
        <v>0.8</v>
      </c>
      <c r="CK28" s="2">
        <f t="shared" si="13"/>
        <v>98</v>
      </c>
      <c r="CL28" s="1">
        <f t="shared" si="24"/>
        <v>-8.6999999999999993</v>
      </c>
      <c r="CM28" s="1">
        <f t="shared" si="25"/>
        <v>-9.1</v>
      </c>
      <c r="CN28" s="1">
        <f t="shared" si="26"/>
        <v>-9.1</v>
      </c>
      <c r="CO28" s="1">
        <f t="shared" si="27"/>
        <v>-0.1</v>
      </c>
      <c r="CP28" s="1">
        <f t="shared" si="28"/>
        <v>-1</v>
      </c>
      <c r="CQ28" s="1">
        <f t="shared" si="29"/>
        <v>-0.4</v>
      </c>
      <c r="CR28" s="1">
        <f t="shared" si="30"/>
        <v>0.7</v>
      </c>
      <c r="CS28" s="2">
        <f t="shared" si="31"/>
        <v>87.4</v>
      </c>
      <c r="CT28" s="6">
        <f t="shared" si="32"/>
        <v>952</v>
      </c>
      <c r="CU28" s="1">
        <f>PPTest!K28</f>
        <v>4.4000000000000004</v>
      </c>
      <c r="CV28" s="3">
        <f t="shared" si="33"/>
        <v>1.81</v>
      </c>
      <c r="CW28" s="3">
        <f t="shared" si="34"/>
        <v>5.99</v>
      </c>
      <c r="CX28" s="24">
        <f t="shared" si="35"/>
        <v>0.47199999999999998</v>
      </c>
      <c r="CY28" s="24">
        <f t="shared" si="35"/>
        <v>6.8000000000000005E-2</v>
      </c>
      <c r="CZ28" s="16">
        <f t="shared" si="36"/>
        <v>13.01</v>
      </c>
    </row>
    <row r="29" spans="1:104" x14ac:dyDescent="0.2">
      <c r="A29" s="14">
        <f t="shared" si="37"/>
        <v>38740</v>
      </c>
      <c r="B29" s="1">
        <v>23</v>
      </c>
      <c r="C29" s="3">
        <v>1.7769999999999999</v>
      </c>
      <c r="D29" s="3">
        <v>3.8380000000000001</v>
      </c>
      <c r="E29" s="3">
        <v>-1.7000000000000001E-2</v>
      </c>
      <c r="F29" s="3">
        <v>101.4</v>
      </c>
      <c r="G29" s="3">
        <v>-0.54800000000000004</v>
      </c>
      <c r="H29" s="3">
        <v>-0.75800000000000001</v>
      </c>
      <c r="I29" s="3">
        <v>6.5000000000000002E-2</v>
      </c>
      <c r="J29" s="3">
        <v>-0.48299999999999998</v>
      </c>
      <c r="K29" s="3">
        <v>-0.23899999999999999</v>
      </c>
      <c r="L29" s="3">
        <v>0.77500000000000002</v>
      </c>
      <c r="M29" s="3">
        <v>2.5710000000000002</v>
      </c>
      <c r="N29" s="3">
        <v>0</v>
      </c>
      <c r="O29" s="3">
        <v>2.2450000000000001</v>
      </c>
      <c r="P29" s="3">
        <v>1300</v>
      </c>
      <c r="Q29" s="3">
        <v>109.4</v>
      </c>
      <c r="R29" s="3">
        <v>2357</v>
      </c>
      <c r="S29" s="3">
        <v>3.74</v>
      </c>
      <c r="T29" s="3">
        <v>4.444</v>
      </c>
      <c r="U29" s="3">
        <v>0.14699999999999999</v>
      </c>
      <c r="V29" s="3">
        <v>-0.375</v>
      </c>
      <c r="W29" s="3">
        <v>-0.17399999999999999</v>
      </c>
      <c r="X29" s="3">
        <v>0.82899999999999996</v>
      </c>
      <c r="Y29" s="3">
        <v>5.1150000000000002</v>
      </c>
      <c r="Z29" s="3">
        <v>28</v>
      </c>
      <c r="AA29" s="3">
        <v>-3.3359999999999999</v>
      </c>
      <c r="AB29" s="3">
        <v>2358</v>
      </c>
      <c r="AC29" s="3">
        <v>92.8</v>
      </c>
      <c r="AD29" s="3">
        <v>1300</v>
      </c>
      <c r="AE29" s="3">
        <v>-4.7939999999999996</v>
      </c>
      <c r="AF29" s="3">
        <v>-7.11</v>
      </c>
      <c r="AG29" s="3">
        <v>-3.2000000000000001E-2</v>
      </c>
      <c r="AH29" s="3">
        <v>-0.63</v>
      </c>
      <c r="AI29" s="3">
        <v>-0.35799999999999998</v>
      </c>
      <c r="AJ29" s="3">
        <v>0.64900000000000002</v>
      </c>
      <c r="AK29" s="3">
        <v>1.0999999999999999E-2</v>
      </c>
      <c r="AL29" s="3">
        <v>2.3E-2</v>
      </c>
      <c r="AM29" s="3">
        <v>2.8000000000000001E-2</v>
      </c>
      <c r="AN29" s="3">
        <v>3.1E-2</v>
      </c>
      <c r="AO29" s="3">
        <v>0.34300000000000003</v>
      </c>
      <c r="AP29" s="3">
        <v>0.48599999999999999</v>
      </c>
      <c r="AQ29" s="3">
        <v>7.0000000000000007E-2</v>
      </c>
      <c r="AR29" s="3">
        <v>8.0000000000000002E-3</v>
      </c>
      <c r="AS29" s="3">
        <v>2590</v>
      </c>
      <c r="AT29" s="3">
        <v>2587</v>
      </c>
      <c r="AU29" s="3">
        <v>2588</v>
      </c>
      <c r="AV29" s="3">
        <v>-1.484</v>
      </c>
      <c r="AW29" s="3">
        <v>-1.4690000000000001</v>
      </c>
      <c r="AX29" s="3">
        <v>-0.28399999999999997</v>
      </c>
      <c r="AY29" s="3">
        <v>-0.23300000000000001</v>
      </c>
      <c r="AZ29" s="3">
        <v>-2.718</v>
      </c>
      <c r="BA29" s="3">
        <v>-2.7549999999999999</v>
      </c>
      <c r="BB29" s="3">
        <v>13.09</v>
      </c>
      <c r="BC29" s="3">
        <v>2876</v>
      </c>
      <c r="BE29" s="6">
        <f t="shared" si="38"/>
        <v>922</v>
      </c>
      <c r="BG29" s="16">
        <v>6.25</v>
      </c>
      <c r="BH29" s="16">
        <f t="shared" si="1"/>
        <v>12.625</v>
      </c>
      <c r="BI29" s="17">
        <f t="shared" si="2"/>
        <v>1.74</v>
      </c>
      <c r="BJ29" s="17">
        <f t="shared" si="3"/>
        <v>4.22</v>
      </c>
      <c r="BL29" s="1">
        <f t="shared" si="4"/>
        <v>97.2</v>
      </c>
      <c r="BM29" s="1">
        <f t="shared" si="5"/>
        <v>84.5</v>
      </c>
      <c r="BN29" s="1">
        <f t="shared" si="6"/>
        <v>74.7</v>
      </c>
      <c r="BO29" s="49">
        <f t="shared" si="15"/>
        <v>0.53600000000000003</v>
      </c>
      <c r="BP29" s="49">
        <f t="shared" si="16"/>
        <v>0.182</v>
      </c>
      <c r="BT29" s="16">
        <f t="shared" si="7"/>
        <v>1.74</v>
      </c>
      <c r="BU29" s="16">
        <f t="shared" si="8"/>
        <v>4.22</v>
      </c>
      <c r="BV29" s="3">
        <f t="shared" si="9"/>
        <v>0</v>
      </c>
      <c r="BW29" s="3">
        <f t="shared" si="39"/>
        <v>-0.5</v>
      </c>
      <c r="BX29" s="3">
        <f t="shared" si="39"/>
        <v>-0.8</v>
      </c>
      <c r="BY29" s="3">
        <f t="shared" si="39"/>
        <v>0.1</v>
      </c>
      <c r="BZ29" s="3">
        <f t="shared" si="39"/>
        <v>-0.5</v>
      </c>
      <c r="CA29" s="3">
        <f t="shared" si="39"/>
        <v>-0.2</v>
      </c>
      <c r="CB29" s="3">
        <f t="shared" si="39"/>
        <v>0.8</v>
      </c>
      <c r="CC29" s="22">
        <f t="shared" si="11"/>
        <v>84.5</v>
      </c>
      <c r="CD29" s="1">
        <f t="shared" si="17"/>
        <v>2.2000000000000002</v>
      </c>
      <c r="CE29" s="1">
        <f t="shared" si="18"/>
        <v>3.7</v>
      </c>
      <c r="CF29" s="1">
        <f t="shared" si="19"/>
        <v>4.4000000000000004</v>
      </c>
      <c r="CG29" s="1">
        <f t="shared" si="20"/>
        <v>0.1</v>
      </c>
      <c r="CH29" s="1">
        <f t="shared" si="21"/>
        <v>-0.4</v>
      </c>
      <c r="CI29" s="1">
        <f t="shared" si="22"/>
        <v>-0.2</v>
      </c>
      <c r="CJ29" s="1">
        <f t="shared" si="23"/>
        <v>0.8</v>
      </c>
      <c r="CK29" s="2">
        <f t="shared" si="13"/>
        <v>97.2</v>
      </c>
      <c r="CL29" s="1">
        <f t="shared" si="24"/>
        <v>-3.3</v>
      </c>
      <c r="CM29" s="1">
        <f t="shared" si="25"/>
        <v>-4.8</v>
      </c>
      <c r="CN29" s="1">
        <f t="shared" si="26"/>
        <v>-7.1</v>
      </c>
      <c r="CO29" s="1">
        <f t="shared" si="27"/>
        <v>0</v>
      </c>
      <c r="CP29" s="1">
        <f t="shared" si="28"/>
        <v>-0.6</v>
      </c>
      <c r="CQ29" s="1">
        <f t="shared" si="29"/>
        <v>-0.4</v>
      </c>
      <c r="CR29" s="1">
        <f t="shared" si="30"/>
        <v>0.6</v>
      </c>
      <c r="CS29" s="2">
        <f t="shared" si="31"/>
        <v>74.7</v>
      </c>
      <c r="CT29" s="6">
        <f t="shared" si="32"/>
        <v>922</v>
      </c>
      <c r="CU29" s="1">
        <f>PPTest!K29</f>
        <v>0</v>
      </c>
      <c r="CV29" s="3">
        <f t="shared" si="33"/>
        <v>2.57</v>
      </c>
      <c r="CW29" s="3">
        <f t="shared" si="34"/>
        <v>5.12</v>
      </c>
      <c r="CX29" s="24">
        <f t="shared" si="35"/>
        <v>0.53600000000000003</v>
      </c>
      <c r="CY29" s="24">
        <f t="shared" si="35"/>
        <v>0.182</v>
      </c>
      <c r="CZ29" s="16">
        <f t="shared" si="36"/>
        <v>13.09</v>
      </c>
    </row>
    <row r="30" spans="1:104" x14ac:dyDescent="0.2">
      <c r="A30" s="14">
        <f t="shared" si="37"/>
        <v>38741</v>
      </c>
      <c r="B30" s="1">
        <v>24</v>
      </c>
      <c r="C30" s="3">
        <v>3.5649999999999999</v>
      </c>
      <c r="D30" s="3">
        <v>6.351</v>
      </c>
      <c r="E30" s="3">
        <v>-1.28</v>
      </c>
      <c r="F30" s="3">
        <v>104.7</v>
      </c>
      <c r="G30" s="3">
        <v>-2.1800000000000002</v>
      </c>
      <c r="H30" s="3">
        <v>-2.75</v>
      </c>
      <c r="I30" s="3">
        <v>0.124</v>
      </c>
      <c r="J30" s="3">
        <v>-0.46200000000000002</v>
      </c>
      <c r="K30" s="3">
        <v>-0.23300000000000001</v>
      </c>
      <c r="L30" s="3">
        <v>0.752</v>
      </c>
      <c r="M30" s="3">
        <v>1.369</v>
      </c>
      <c r="N30" s="3">
        <v>0</v>
      </c>
      <c r="O30" s="3">
        <v>4.3680000000000003</v>
      </c>
      <c r="P30" s="3">
        <v>1355</v>
      </c>
      <c r="Q30" s="3">
        <v>111.2</v>
      </c>
      <c r="R30" s="3">
        <v>749</v>
      </c>
      <c r="S30" s="3">
        <v>4.8239999999999998</v>
      </c>
      <c r="T30" s="3">
        <v>4.1879999999999997</v>
      </c>
      <c r="U30" s="3">
        <v>0.249</v>
      </c>
      <c r="V30" s="3">
        <v>-0.36199999999999999</v>
      </c>
      <c r="W30" s="3">
        <v>-0.13700000000000001</v>
      </c>
      <c r="X30" s="3">
        <v>0.85</v>
      </c>
      <c r="Y30" s="3">
        <v>3.8119999999999998</v>
      </c>
      <c r="Z30" s="3">
        <v>2320</v>
      </c>
      <c r="AA30" s="3">
        <v>-5.0880000000000001</v>
      </c>
      <c r="AB30" s="3">
        <v>207</v>
      </c>
      <c r="AC30" s="3">
        <v>84.9</v>
      </c>
      <c r="AD30" s="3">
        <v>2359</v>
      </c>
      <c r="AE30" s="3">
        <v>-6.3520000000000003</v>
      </c>
      <c r="AF30" s="3">
        <v>-8.0500000000000007</v>
      </c>
      <c r="AG30" s="3">
        <v>-1.2999999999999999E-2</v>
      </c>
      <c r="AH30" s="3">
        <v>-0.57699999999999996</v>
      </c>
      <c r="AI30" s="3">
        <v>-0.34899999999999998</v>
      </c>
      <c r="AJ30" s="3">
        <v>0.66</v>
      </c>
      <c r="AK30" s="3">
        <v>0.129</v>
      </c>
      <c r="AL30" s="3">
        <v>0.36299999999999999</v>
      </c>
      <c r="AM30" s="3">
        <v>0.21199999999999999</v>
      </c>
      <c r="AN30" s="3">
        <v>7.0999999999999994E-2</v>
      </c>
      <c r="AO30" s="3">
        <v>7.3999999999999996E-2</v>
      </c>
      <c r="AP30" s="3">
        <v>5.3999999999999999E-2</v>
      </c>
      <c r="AQ30" s="3">
        <v>3.4000000000000002E-2</v>
      </c>
      <c r="AR30" s="3">
        <v>6.3E-2</v>
      </c>
      <c r="AS30" s="3">
        <v>2607</v>
      </c>
      <c r="AT30" s="3">
        <v>2602</v>
      </c>
      <c r="AU30" s="3">
        <v>2604</v>
      </c>
      <c r="AV30" s="3">
        <v>-2.71</v>
      </c>
      <c r="AW30" s="3">
        <v>-2.8450000000000002</v>
      </c>
      <c r="AX30" s="3">
        <v>-0.53200000000000003</v>
      </c>
      <c r="AY30" s="3">
        <v>-0.44400000000000001</v>
      </c>
      <c r="AZ30" s="3">
        <v>-4.165</v>
      </c>
      <c r="BA30" s="3">
        <v>-4.4269999999999996</v>
      </c>
      <c r="BB30" s="3">
        <v>13.1</v>
      </c>
      <c r="BC30" s="3">
        <v>2876</v>
      </c>
      <c r="BE30" s="6">
        <f t="shared" si="38"/>
        <v>906</v>
      </c>
      <c r="BG30" s="16">
        <v>6.36</v>
      </c>
      <c r="BH30" s="16">
        <f t="shared" si="1"/>
        <v>12.847200000000001</v>
      </c>
      <c r="BI30" s="17">
        <f t="shared" si="2"/>
        <v>3.49</v>
      </c>
      <c r="BJ30" s="17">
        <f t="shared" si="3"/>
        <v>6.99</v>
      </c>
      <c r="BL30" s="1">
        <f t="shared" si="4"/>
        <v>100</v>
      </c>
      <c r="BM30" s="1">
        <f t="shared" si="5"/>
        <v>89.8</v>
      </c>
      <c r="BN30" s="1">
        <f t="shared" si="6"/>
        <v>67.7</v>
      </c>
      <c r="BO30" s="49">
        <f t="shared" si="15"/>
        <v>0.56499999999999995</v>
      </c>
      <c r="BP30" s="49">
        <f t="shared" si="16"/>
        <v>0.27</v>
      </c>
      <c r="BT30" s="16">
        <f t="shared" si="7"/>
        <v>3.49</v>
      </c>
      <c r="BU30" s="16">
        <f t="shared" si="8"/>
        <v>6.99</v>
      </c>
      <c r="BV30" s="3">
        <f t="shared" si="9"/>
        <v>-1.3</v>
      </c>
      <c r="BW30" s="3">
        <f t="shared" si="39"/>
        <v>-2.2000000000000002</v>
      </c>
      <c r="BX30" s="3">
        <f t="shared" si="39"/>
        <v>-2.8</v>
      </c>
      <c r="BY30" s="3">
        <f t="shared" si="39"/>
        <v>0.1</v>
      </c>
      <c r="BZ30" s="3">
        <f t="shared" si="39"/>
        <v>-0.5</v>
      </c>
      <c r="CA30" s="3">
        <f t="shared" si="39"/>
        <v>-0.2</v>
      </c>
      <c r="CB30" s="3">
        <f t="shared" si="39"/>
        <v>0.8</v>
      </c>
      <c r="CC30" s="22">
        <f t="shared" si="11"/>
        <v>89.8</v>
      </c>
      <c r="CD30" s="1">
        <f t="shared" si="17"/>
        <v>4.4000000000000004</v>
      </c>
      <c r="CE30" s="1">
        <f t="shared" si="18"/>
        <v>4.8</v>
      </c>
      <c r="CF30" s="1">
        <f t="shared" si="19"/>
        <v>4.2</v>
      </c>
      <c r="CG30" s="1">
        <f t="shared" si="20"/>
        <v>0.2</v>
      </c>
      <c r="CH30" s="1">
        <f t="shared" si="21"/>
        <v>-0.4</v>
      </c>
      <c r="CI30" s="1">
        <f t="shared" si="22"/>
        <v>-0.1</v>
      </c>
      <c r="CJ30" s="1">
        <f t="shared" si="23"/>
        <v>0.9</v>
      </c>
      <c r="CK30" s="2">
        <f t="shared" si="13"/>
        <v>100</v>
      </c>
      <c r="CL30" s="1">
        <f t="shared" si="24"/>
        <v>-5.0999999999999996</v>
      </c>
      <c r="CM30" s="1">
        <f t="shared" si="25"/>
        <v>-6.4</v>
      </c>
      <c r="CN30" s="1">
        <f t="shared" si="26"/>
        <v>-8.1</v>
      </c>
      <c r="CO30" s="1">
        <f t="shared" si="27"/>
        <v>0</v>
      </c>
      <c r="CP30" s="1">
        <f t="shared" si="28"/>
        <v>-0.6</v>
      </c>
      <c r="CQ30" s="1">
        <f t="shared" si="29"/>
        <v>-0.3</v>
      </c>
      <c r="CR30" s="1">
        <f t="shared" si="30"/>
        <v>0.7</v>
      </c>
      <c r="CS30" s="2">
        <f t="shared" si="31"/>
        <v>67.7</v>
      </c>
      <c r="CT30" s="6">
        <f t="shared" si="32"/>
        <v>906</v>
      </c>
      <c r="CU30" s="1">
        <f>PPTest!K30</f>
        <v>0</v>
      </c>
      <c r="CV30" s="3">
        <f t="shared" si="33"/>
        <v>1.37</v>
      </c>
      <c r="CW30" s="3">
        <f t="shared" si="34"/>
        <v>3.81</v>
      </c>
      <c r="CX30" s="24">
        <f t="shared" si="35"/>
        <v>0.56499999999999995</v>
      </c>
      <c r="CY30" s="24">
        <f t="shared" si="35"/>
        <v>0.27</v>
      </c>
      <c r="CZ30" s="16">
        <f t="shared" si="36"/>
        <v>13.1</v>
      </c>
    </row>
    <row r="31" spans="1:104" x14ac:dyDescent="0.2">
      <c r="A31" s="14">
        <f t="shared" si="37"/>
        <v>38742</v>
      </c>
      <c r="B31" s="1">
        <v>25</v>
      </c>
      <c r="C31" s="3">
        <v>7.4</v>
      </c>
      <c r="D31" s="3">
        <v>12.72</v>
      </c>
      <c r="E31" s="3">
        <v>-0.97499999999999998</v>
      </c>
      <c r="F31" s="3">
        <v>96.7</v>
      </c>
      <c r="G31" s="3">
        <v>-1.97</v>
      </c>
      <c r="H31" s="3">
        <v>-2.6030000000000002</v>
      </c>
      <c r="I31" s="3">
        <v>0.13500000000000001</v>
      </c>
      <c r="J31" s="3">
        <v>-0.49399999999999999</v>
      </c>
      <c r="K31" s="3">
        <v>-0.22700000000000001</v>
      </c>
      <c r="L31" s="3">
        <v>0.754</v>
      </c>
      <c r="M31" s="3">
        <v>1.5660000000000001</v>
      </c>
      <c r="N31" s="3">
        <v>1</v>
      </c>
      <c r="O31" s="3">
        <v>4.1059999999999999</v>
      </c>
      <c r="P31" s="3">
        <v>1343</v>
      </c>
      <c r="Q31" s="3">
        <v>111.4</v>
      </c>
      <c r="R31" s="3">
        <v>738</v>
      </c>
      <c r="S31" s="3">
        <v>6.0190000000000001</v>
      </c>
      <c r="T31" s="3">
        <v>5.35</v>
      </c>
      <c r="U31" s="3">
        <v>0.29799999999999999</v>
      </c>
      <c r="V31" s="3">
        <v>-0.36599999999999999</v>
      </c>
      <c r="W31" s="3">
        <v>-8.5000000000000006E-2</v>
      </c>
      <c r="X31" s="3">
        <v>0.89100000000000001</v>
      </c>
      <c r="Y31" s="3">
        <v>4.9960000000000004</v>
      </c>
      <c r="Z31" s="3">
        <v>1231</v>
      </c>
      <c r="AA31" s="3">
        <v>-7.17</v>
      </c>
      <c r="AB31" s="3">
        <v>728</v>
      </c>
      <c r="AC31" s="3">
        <v>71.599999999999994</v>
      </c>
      <c r="AD31" s="3">
        <v>1343</v>
      </c>
      <c r="AE31" s="3">
        <v>-10.3</v>
      </c>
      <c r="AF31" s="3">
        <v>-11.74</v>
      </c>
      <c r="AG31" s="3">
        <v>-5.0999999999999997E-2</v>
      </c>
      <c r="AH31" s="3">
        <v>-0.67900000000000005</v>
      </c>
      <c r="AI31" s="3">
        <v>-0.39900000000000002</v>
      </c>
      <c r="AJ31" s="3">
        <v>0.58699999999999997</v>
      </c>
      <c r="AK31" s="3">
        <v>7.8E-2</v>
      </c>
      <c r="AL31" s="3">
        <v>0.125</v>
      </c>
      <c r="AM31" s="3">
        <v>0.111</v>
      </c>
      <c r="AN31" s="3">
        <v>0.10299999999999999</v>
      </c>
      <c r="AO31" s="3">
        <v>0.13500000000000001</v>
      </c>
      <c r="AP31" s="3">
        <v>0.16500000000000001</v>
      </c>
      <c r="AQ31" s="3">
        <v>0.154</v>
      </c>
      <c r="AR31" s="3">
        <v>0.128</v>
      </c>
      <c r="AS31" s="3">
        <v>2638</v>
      </c>
      <c r="AT31" s="3">
        <v>2635</v>
      </c>
      <c r="AU31" s="3">
        <v>2637</v>
      </c>
      <c r="AV31" s="3">
        <v>-3.2149999999999999</v>
      </c>
      <c r="AW31" s="3">
        <v>-3.2629999999999999</v>
      </c>
      <c r="AX31" s="3">
        <v>-0.32500000000000001</v>
      </c>
      <c r="AY31" s="3">
        <v>-8.4000000000000005E-2</v>
      </c>
      <c r="AZ31" s="3">
        <v>-7.73</v>
      </c>
      <c r="BA31" s="3">
        <v>-8.1199999999999992</v>
      </c>
      <c r="BB31" s="3">
        <v>13.13</v>
      </c>
      <c r="BC31" s="3">
        <v>2876</v>
      </c>
      <c r="BE31" s="6">
        <f t="shared" si="38"/>
        <v>873</v>
      </c>
      <c r="BG31" s="16">
        <v>6.48</v>
      </c>
      <c r="BH31" s="16">
        <f t="shared" si="1"/>
        <v>13.089600000000001</v>
      </c>
      <c r="BI31" s="17">
        <f t="shared" si="2"/>
        <v>7.25</v>
      </c>
      <c r="BJ31" s="17">
        <f t="shared" si="3"/>
        <v>13.99</v>
      </c>
      <c r="BL31" s="1">
        <f t="shared" si="4"/>
        <v>100</v>
      </c>
      <c r="BM31" s="1">
        <f t="shared" si="5"/>
        <v>78.099999999999994</v>
      </c>
      <c r="BN31" s="1">
        <f t="shared" si="6"/>
        <v>56</v>
      </c>
      <c r="BO31" s="49">
        <f t="shared" si="15"/>
        <v>0.45900000000000002</v>
      </c>
      <c r="BP31" s="49">
        <f t="shared" si="16"/>
        <v>0.36099999999999999</v>
      </c>
      <c r="BT31" s="16">
        <f t="shared" si="7"/>
        <v>7.25</v>
      </c>
      <c r="BU31" s="16">
        <f t="shared" si="8"/>
        <v>13.99</v>
      </c>
      <c r="BV31" s="3">
        <f t="shared" si="9"/>
        <v>-1</v>
      </c>
      <c r="BW31" s="3">
        <f t="shared" si="39"/>
        <v>-2</v>
      </c>
      <c r="BX31" s="3">
        <f t="shared" si="39"/>
        <v>-2.6</v>
      </c>
      <c r="BY31" s="3">
        <f t="shared" si="39"/>
        <v>0.1</v>
      </c>
      <c r="BZ31" s="3">
        <f t="shared" si="39"/>
        <v>-0.5</v>
      </c>
      <c r="CA31" s="3">
        <f t="shared" si="39"/>
        <v>-0.2</v>
      </c>
      <c r="CB31" s="3">
        <f t="shared" si="39"/>
        <v>0.8</v>
      </c>
      <c r="CC31" s="22">
        <f t="shared" si="11"/>
        <v>78.099999999999994</v>
      </c>
      <c r="CD31" s="1">
        <f t="shared" si="17"/>
        <v>4.0999999999999996</v>
      </c>
      <c r="CE31" s="1">
        <f t="shared" si="18"/>
        <v>6</v>
      </c>
      <c r="CF31" s="1">
        <f t="shared" si="19"/>
        <v>5.4</v>
      </c>
      <c r="CG31" s="1">
        <f t="shared" si="20"/>
        <v>0.3</v>
      </c>
      <c r="CH31" s="1">
        <f t="shared" si="21"/>
        <v>-0.4</v>
      </c>
      <c r="CI31" s="1">
        <f t="shared" si="22"/>
        <v>-0.1</v>
      </c>
      <c r="CJ31" s="1">
        <f t="shared" si="23"/>
        <v>0.9</v>
      </c>
      <c r="CK31" s="2">
        <f t="shared" si="13"/>
        <v>100</v>
      </c>
      <c r="CL31" s="1">
        <f t="shared" si="24"/>
        <v>-7.2</v>
      </c>
      <c r="CM31" s="1">
        <f t="shared" si="25"/>
        <v>-10.3</v>
      </c>
      <c r="CN31" s="1">
        <f t="shared" si="26"/>
        <v>-11.7</v>
      </c>
      <c r="CO31" s="1">
        <f t="shared" si="27"/>
        <v>-0.1</v>
      </c>
      <c r="CP31" s="1">
        <f t="shared" si="28"/>
        <v>-0.7</v>
      </c>
      <c r="CQ31" s="1">
        <f t="shared" si="29"/>
        <v>-0.4</v>
      </c>
      <c r="CR31" s="1">
        <f t="shared" si="30"/>
        <v>0.6</v>
      </c>
      <c r="CS31" s="2">
        <f t="shared" si="31"/>
        <v>56</v>
      </c>
      <c r="CT31" s="6">
        <f t="shared" si="32"/>
        <v>873</v>
      </c>
      <c r="CU31" s="1">
        <f>PPTest!K31</f>
        <v>0</v>
      </c>
      <c r="CV31" s="3">
        <f t="shared" si="33"/>
        <v>1.57</v>
      </c>
      <c r="CW31" s="3">
        <f t="shared" si="34"/>
        <v>5</v>
      </c>
      <c r="CX31" s="24">
        <f t="shared" si="35"/>
        <v>0.45900000000000002</v>
      </c>
      <c r="CY31" s="24">
        <f t="shared" si="35"/>
        <v>0.36099999999999999</v>
      </c>
      <c r="CZ31" s="16">
        <f t="shared" si="36"/>
        <v>13.13</v>
      </c>
    </row>
    <row r="32" spans="1:104" x14ac:dyDescent="0.2">
      <c r="A32" s="14">
        <f t="shared" si="37"/>
        <v>38743</v>
      </c>
      <c r="B32" s="1">
        <v>26</v>
      </c>
      <c r="C32" s="3">
        <v>3.6779999999999999</v>
      </c>
      <c r="D32" s="3">
        <v>6.5620000000000003</v>
      </c>
      <c r="E32" s="3">
        <v>-3.6059999999999999</v>
      </c>
      <c r="F32" s="3">
        <v>96.7</v>
      </c>
      <c r="G32" s="3">
        <v>-4.0540000000000003</v>
      </c>
      <c r="H32" s="3">
        <v>-4.149</v>
      </c>
      <c r="I32" s="3">
        <v>0.10100000000000001</v>
      </c>
      <c r="J32" s="3">
        <v>-0.52</v>
      </c>
      <c r="K32" s="3">
        <v>-0.245</v>
      </c>
      <c r="L32" s="3">
        <v>0.73399999999999999</v>
      </c>
      <c r="M32" s="3">
        <v>2.0169999999999999</v>
      </c>
      <c r="N32" s="3">
        <v>0</v>
      </c>
      <c r="O32" s="3">
        <v>-0.84499999999999997</v>
      </c>
      <c r="P32" s="3">
        <v>1125</v>
      </c>
      <c r="Q32" s="3">
        <v>109.3</v>
      </c>
      <c r="R32" s="3">
        <v>3</v>
      </c>
      <c r="S32" s="3">
        <v>0.88400000000000001</v>
      </c>
      <c r="T32" s="3">
        <v>0.82799999999999996</v>
      </c>
      <c r="U32" s="3">
        <v>0.193</v>
      </c>
      <c r="V32" s="3">
        <v>-0.437</v>
      </c>
      <c r="W32" s="3">
        <v>-0.16400000000000001</v>
      </c>
      <c r="X32" s="3">
        <v>0.81100000000000005</v>
      </c>
      <c r="Y32" s="3">
        <v>5.2880000000000003</v>
      </c>
      <c r="Z32" s="3">
        <v>842</v>
      </c>
      <c r="AA32" s="3">
        <v>-5.3220000000000001</v>
      </c>
      <c r="AB32" s="3">
        <v>2034</v>
      </c>
      <c r="AC32" s="3">
        <v>78.3</v>
      </c>
      <c r="AD32" s="3">
        <v>1141</v>
      </c>
      <c r="AE32" s="3">
        <v>-7.05</v>
      </c>
      <c r="AF32" s="3">
        <v>-8.4</v>
      </c>
      <c r="AG32" s="3">
        <v>-2.4E-2</v>
      </c>
      <c r="AH32" s="3">
        <v>-0.63700000000000001</v>
      </c>
      <c r="AI32" s="3">
        <v>-0.32700000000000001</v>
      </c>
      <c r="AJ32" s="3">
        <v>0.66</v>
      </c>
      <c r="AK32" s="3">
        <v>1.9E-2</v>
      </c>
      <c r="AL32" s="3">
        <v>2.1000000000000001E-2</v>
      </c>
      <c r="AM32" s="3">
        <v>3.5999999999999997E-2</v>
      </c>
      <c r="AN32" s="3">
        <v>6.2E-2</v>
      </c>
      <c r="AO32" s="3">
        <v>0.249</v>
      </c>
      <c r="AP32" s="3">
        <v>0.38700000000000001</v>
      </c>
      <c r="AQ32" s="3">
        <v>0.17100000000000001</v>
      </c>
      <c r="AR32" s="3">
        <v>5.6000000000000001E-2</v>
      </c>
      <c r="AS32" s="3">
        <v>6999</v>
      </c>
      <c r="AT32" s="3">
        <v>2655</v>
      </c>
      <c r="AU32" s="19">
        <f>AT32</f>
        <v>2655</v>
      </c>
      <c r="AV32" s="3">
        <v>-3.8740000000000001</v>
      </c>
      <c r="AW32" s="3">
        <v>-4.0359999999999996</v>
      </c>
      <c r="AX32" s="3">
        <v>-2.1379999999999999</v>
      </c>
      <c r="AY32" s="3">
        <v>-2.3460000000000001</v>
      </c>
      <c r="AZ32" s="3">
        <v>-5.1459999999999999</v>
      </c>
      <c r="BA32" s="3">
        <v>-5.4279999999999999</v>
      </c>
      <c r="BB32" s="3">
        <v>13.06</v>
      </c>
      <c r="BC32" s="3">
        <v>2876</v>
      </c>
      <c r="BE32" s="6">
        <f t="shared" si="38"/>
        <v>855</v>
      </c>
      <c r="BG32" s="16">
        <v>6.61</v>
      </c>
      <c r="BH32" s="16">
        <f t="shared" si="1"/>
        <v>13.352200000000002</v>
      </c>
      <c r="BI32" s="17">
        <f t="shared" si="2"/>
        <v>3.6</v>
      </c>
      <c r="BJ32" s="17">
        <f t="shared" si="3"/>
        <v>7.22</v>
      </c>
      <c r="BL32" s="1">
        <f t="shared" si="4"/>
        <v>97.1</v>
      </c>
      <c r="BM32" s="1">
        <f t="shared" si="5"/>
        <v>78.099999999999994</v>
      </c>
      <c r="BN32" s="1">
        <f t="shared" si="6"/>
        <v>61.9</v>
      </c>
      <c r="BO32" s="49">
        <f t="shared" si="15"/>
        <v>0.35499999999999998</v>
      </c>
      <c r="BP32" s="49">
        <f t="shared" si="16"/>
        <v>0.219</v>
      </c>
      <c r="BT32" s="16">
        <f t="shared" si="7"/>
        <v>3.6</v>
      </c>
      <c r="BU32" s="16">
        <f t="shared" si="8"/>
        <v>7.22</v>
      </c>
      <c r="BV32" s="3">
        <f t="shared" si="9"/>
        <v>-3.6</v>
      </c>
      <c r="BW32" s="3">
        <f t="shared" si="39"/>
        <v>-4.0999999999999996</v>
      </c>
      <c r="BX32" s="3">
        <f t="shared" si="39"/>
        <v>-4.0999999999999996</v>
      </c>
      <c r="BY32" s="3">
        <f t="shared" si="39"/>
        <v>0.1</v>
      </c>
      <c r="BZ32" s="3">
        <f t="shared" si="39"/>
        <v>-0.5</v>
      </c>
      <c r="CA32" s="3">
        <f t="shared" si="39"/>
        <v>-0.2</v>
      </c>
      <c r="CB32" s="3">
        <f t="shared" si="39"/>
        <v>0.7</v>
      </c>
      <c r="CC32" s="22">
        <f t="shared" si="11"/>
        <v>78.099999999999994</v>
      </c>
      <c r="CD32" s="1">
        <f t="shared" si="17"/>
        <v>-0.8</v>
      </c>
      <c r="CE32" s="1">
        <f t="shared" si="18"/>
        <v>0.9</v>
      </c>
      <c r="CF32" s="1">
        <f t="shared" si="19"/>
        <v>0.8</v>
      </c>
      <c r="CG32" s="1">
        <f t="shared" si="20"/>
        <v>0.2</v>
      </c>
      <c r="CH32" s="1">
        <f t="shared" si="21"/>
        <v>-0.4</v>
      </c>
      <c r="CI32" s="1">
        <f t="shared" si="22"/>
        <v>-0.2</v>
      </c>
      <c r="CJ32" s="1">
        <f t="shared" si="23"/>
        <v>0.8</v>
      </c>
      <c r="CK32" s="2">
        <f t="shared" si="13"/>
        <v>97.1</v>
      </c>
      <c r="CL32" s="1">
        <f t="shared" si="24"/>
        <v>-5.3</v>
      </c>
      <c r="CM32" s="1">
        <f t="shared" si="25"/>
        <v>-7.1</v>
      </c>
      <c r="CN32" s="1">
        <f t="shared" si="26"/>
        <v>-8.4</v>
      </c>
      <c r="CO32" s="1">
        <f t="shared" si="27"/>
        <v>0</v>
      </c>
      <c r="CP32" s="1">
        <f t="shared" si="28"/>
        <v>-0.6</v>
      </c>
      <c r="CQ32" s="1">
        <f t="shared" si="29"/>
        <v>-0.3</v>
      </c>
      <c r="CR32" s="1">
        <f t="shared" si="30"/>
        <v>0.7</v>
      </c>
      <c r="CS32" s="2">
        <f t="shared" si="31"/>
        <v>61.9</v>
      </c>
      <c r="CT32" s="6">
        <f t="shared" si="32"/>
        <v>855</v>
      </c>
      <c r="CU32" s="1">
        <f>PPTest!K32</f>
        <v>0</v>
      </c>
      <c r="CV32" s="3">
        <f t="shared" si="33"/>
        <v>2.02</v>
      </c>
      <c r="CW32" s="3">
        <f t="shared" si="34"/>
        <v>5.29</v>
      </c>
      <c r="CX32" s="24">
        <f t="shared" si="35"/>
        <v>0.35499999999999998</v>
      </c>
      <c r="CY32" s="24">
        <f t="shared" si="35"/>
        <v>0.219</v>
      </c>
      <c r="CZ32" s="16">
        <f t="shared" si="36"/>
        <v>13.06</v>
      </c>
    </row>
    <row r="33" spans="1:104" x14ac:dyDescent="0.2">
      <c r="A33" s="14">
        <f t="shared" si="37"/>
        <v>38744</v>
      </c>
      <c r="B33" s="1">
        <v>27</v>
      </c>
      <c r="C33" s="3">
        <v>3.7509999999999999</v>
      </c>
      <c r="D33" s="3">
        <v>6.431</v>
      </c>
      <c r="E33" s="3">
        <v>-4.9640000000000004</v>
      </c>
      <c r="F33" s="3">
        <v>98.7</v>
      </c>
      <c r="G33" s="3">
        <v>-5.5069999999999997</v>
      </c>
      <c r="H33" s="3">
        <v>-5.73</v>
      </c>
      <c r="I33" s="3">
        <v>8.8999999999999996E-2</v>
      </c>
      <c r="J33" s="3">
        <v>-0.625</v>
      </c>
      <c r="K33" s="3">
        <v>-0.27500000000000002</v>
      </c>
      <c r="L33" s="3">
        <v>0.72399999999999998</v>
      </c>
      <c r="M33" s="3">
        <v>1.538</v>
      </c>
      <c r="N33" s="3">
        <v>0</v>
      </c>
      <c r="O33" s="3">
        <v>-1.5620000000000001</v>
      </c>
      <c r="P33" s="3">
        <v>1259</v>
      </c>
      <c r="Q33" s="3">
        <v>108.4</v>
      </c>
      <c r="R33" s="3">
        <v>132</v>
      </c>
      <c r="S33" s="3">
        <v>6.2E-2</v>
      </c>
      <c r="T33" s="3">
        <v>6.2E-2</v>
      </c>
      <c r="U33" s="3">
        <v>0.16900000000000001</v>
      </c>
      <c r="V33" s="3">
        <v>-0.53100000000000003</v>
      </c>
      <c r="W33" s="3">
        <v>-0.191</v>
      </c>
      <c r="X33" s="3">
        <v>0.79900000000000004</v>
      </c>
      <c r="Y33" s="3">
        <v>3.9449999999999998</v>
      </c>
      <c r="Z33" s="3">
        <v>2349</v>
      </c>
      <c r="AA33" s="3">
        <v>-8.4499999999999993</v>
      </c>
      <c r="AB33" s="3">
        <v>1755</v>
      </c>
      <c r="AC33" s="3">
        <v>77.900000000000006</v>
      </c>
      <c r="AD33" s="3">
        <v>1304</v>
      </c>
      <c r="AE33" s="3">
        <v>-10.79</v>
      </c>
      <c r="AF33" s="3">
        <v>-12.49</v>
      </c>
      <c r="AG33" s="3">
        <v>-0.17699999999999999</v>
      </c>
      <c r="AH33" s="3">
        <v>-0.88100000000000001</v>
      </c>
      <c r="AI33" s="3">
        <v>-0.52300000000000002</v>
      </c>
      <c r="AJ33" s="3">
        <v>0.49299999999999999</v>
      </c>
      <c r="AK33" s="3">
        <v>3.4000000000000002E-2</v>
      </c>
      <c r="AL33" s="3">
        <v>5.2999999999999999E-2</v>
      </c>
      <c r="AM33" s="3">
        <v>0.122</v>
      </c>
      <c r="AN33" s="3">
        <v>0.13</v>
      </c>
      <c r="AO33" s="3">
        <v>0.245</v>
      </c>
      <c r="AP33" s="3">
        <v>0.27400000000000002</v>
      </c>
      <c r="AQ33" s="3">
        <v>0.10100000000000001</v>
      </c>
      <c r="AR33" s="3">
        <v>4.1000000000000002E-2</v>
      </c>
      <c r="AS33" s="3">
        <v>2618</v>
      </c>
      <c r="AT33" s="3">
        <v>2615</v>
      </c>
      <c r="AU33" s="3">
        <v>2616</v>
      </c>
      <c r="AV33" s="3">
        <v>-5.0960000000000001</v>
      </c>
      <c r="AW33" s="3">
        <v>-5.2489999999999997</v>
      </c>
      <c r="AX33" s="3">
        <v>-3.5640000000000001</v>
      </c>
      <c r="AY33" s="3">
        <v>-3.4609999999999999</v>
      </c>
      <c r="AZ33" s="3">
        <v>-6.8949999999999996</v>
      </c>
      <c r="BA33" s="3">
        <v>-7.27</v>
      </c>
      <c r="BB33" s="3">
        <v>13.1</v>
      </c>
      <c r="BC33" s="3">
        <v>2876</v>
      </c>
      <c r="BE33" s="6">
        <f t="shared" si="38"/>
        <v>894</v>
      </c>
      <c r="BG33" s="16">
        <v>6.74</v>
      </c>
      <c r="BH33" s="16">
        <f t="shared" si="1"/>
        <v>13.614800000000001</v>
      </c>
      <c r="BI33" s="17">
        <f t="shared" si="2"/>
        <v>3.68</v>
      </c>
      <c r="BJ33" s="17">
        <f t="shared" si="3"/>
        <v>7.07</v>
      </c>
      <c r="BL33" s="1">
        <f t="shared" si="4"/>
        <v>95.7</v>
      </c>
      <c r="BM33" s="1">
        <f t="shared" si="5"/>
        <v>79.900000000000006</v>
      </c>
      <c r="BN33" s="1">
        <f t="shared" si="6"/>
        <v>61.6</v>
      </c>
      <c r="BO33" s="49">
        <f t="shared" si="15"/>
        <v>0.33500000000000002</v>
      </c>
      <c r="BP33" s="49">
        <f t="shared" si="16"/>
        <v>0.20899999999999999</v>
      </c>
      <c r="BT33" s="16">
        <f t="shared" si="7"/>
        <v>3.68</v>
      </c>
      <c r="BU33" s="16">
        <f t="shared" si="8"/>
        <v>7.07</v>
      </c>
      <c r="BV33" s="3">
        <f t="shared" si="9"/>
        <v>-5</v>
      </c>
      <c r="BW33" s="3">
        <f t="shared" si="39"/>
        <v>-5.5</v>
      </c>
      <c r="BX33" s="3">
        <f t="shared" si="39"/>
        <v>-5.7</v>
      </c>
      <c r="BY33" s="3">
        <f t="shared" si="39"/>
        <v>0.1</v>
      </c>
      <c r="BZ33" s="3">
        <f t="shared" si="39"/>
        <v>-0.6</v>
      </c>
      <c r="CA33" s="3">
        <f t="shared" si="39"/>
        <v>-0.3</v>
      </c>
      <c r="CB33" s="3">
        <f t="shared" si="39"/>
        <v>0.7</v>
      </c>
      <c r="CC33" s="22">
        <f t="shared" si="11"/>
        <v>79.900000000000006</v>
      </c>
      <c r="CD33" s="1">
        <f t="shared" si="17"/>
        <v>-1.6</v>
      </c>
      <c r="CE33" s="1">
        <f t="shared" si="18"/>
        <v>0.1</v>
      </c>
      <c r="CF33" s="1">
        <f t="shared" si="19"/>
        <v>0.1</v>
      </c>
      <c r="CG33" s="1">
        <f t="shared" si="20"/>
        <v>0.2</v>
      </c>
      <c r="CH33" s="1">
        <f t="shared" si="21"/>
        <v>-0.5</v>
      </c>
      <c r="CI33" s="1">
        <f t="shared" si="22"/>
        <v>-0.2</v>
      </c>
      <c r="CJ33" s="1">
        <f t="shared" si="23"/>
        <v>0.8</v>
      </c>
      <c r="CK33" s="2">
        <f t="shared" si="13"/>
        <v>95.7</v>
      </c>
      <c r="CL33" s="1">
        <f t="shared" si="24"/>
        <v>-8.5</v>
      </c>
      <c r="CM33" s="1">
        <f t="shared" si="25"/>
        <v>-10.8</v>
      </c>
      <c r="CN33" s="1">
        <f t="shared" si="26"/>
        <v>-12.5</v>
      </c>
      <c r="CO33" s="1">
        <f t="shared" si="27"/>
        <v>-0.2</v>
      </c>
      <c r="CP33" s="1">
        <f t="shared" si="28"/>
        <v>-0.9</v>
      </c>
      <c r="CQ33" s="1">
        <f t="shared" si="29"/>
        <v>-0.5</v>
      </c>
      <c r="CR33" s="1">
        <f t="shared" si="30"/>
        <v>0.5</v>
      </c>
      <c r="CS33" s="2">
        <f t="shared" si="31"/>
        <v>61.6</v>
      </c>
      <c r="CT33" s="6">
        <f t="shared" si="32"/>
        <v>894</v>
      </c>
      <c r="CU33" s="1">
        <f>PPTest!K33</f>
        <v>5.0999999999999996</v>
      </c>
      <c r="CV33" s="3">
        <f t="shared" si="33"/>
        <v>1.54</v>
      </c>
      <c r="CW33" s="3">
        <f t="shared" si="34"/>
        <v>3.95</v>
      </c>
      <c r="CX33" s="24">
        <f t="shared" si="35"/>
        <v>0.33500000000000002</v>
      </c>
      <c r="CY33" s="24">
        <f t="shared" si="35"/>
        <v>0.20899999999999999</v>
      </c>
      <c r="CZ33" s="16">
        <f t="shared" si="36"/>
        <v>13.1</v>
      </c>
    </row>
    <row r="34" spans="1:104" x14ac:dyDescent="0.2">
      <c r="A34" s="14">
        <f t="shared" si="37"/>
        <v>38745</v>
      </c>
      <c r="B34" s="1">
        <v>28</v>
      </c>
      <c r="C34" s="3">
        <v>1.679</v>
      </c>
      <c r="D34" s="3">
        <v>2.8719999999999999</v>
      </c>
      <c r="E34" s="3">
        <v>-5.0179999999999998</v>
      </c>
      <c r="F34" s="3">
        <v>106.7</v>
      </c>
      <c r="G34" s="3">
        <v>-5.2110000000000003</v>
      </c>
      <c r="H34" s="3">
        <v>-5.3339999999999996</v>
      </c>
      <c r="I34" s="3">
        <v>3.6999999999999998E-2</v>
      </c>
      <c r="J34" s="3">
        <v>-0.66300000000000003</v>
      </c>
      <c r="K34" s="3">
        <v>-0.3</v>
      </c>
      <c r="L34" s="3">
        <v>0.73099999999999998</v>
      </c>
      <c r="M34" s="3">
        <v>2.1589999999999998</v>
      </c>
      <c r="N34" s="3">
        <v>0</v>
      </c>
      <c r="O34" s="3">
        <v>-2.7149999999999999</v>
      </c>
      <c r="P34" s="3">
        <v>1255</v>
      </c>
      <c r="Q34" s="3">
        <v>109.8</v>
      </c>
      <c r="R34" s="3">
        <v>912</v>
      </c>
      <c r="S34" s="3">
        <v>0.623</v>
      </c>
      <c r="T34" s="3">
        <v>6.8000000000000005E-2</v>
      </c>
      <c r="U34" s="3">
        <v>0.11</v>
      </c>
      <c r="V34" s="3">
        <v>-0.60199999999999998</v>
      </c>
      <c r="W34" s="3">
        <v>-0.253</v>
      </c>
      <c r="X34" s="3">
        <v>0.77500000000000002</v>
      </c>
      <c r="Y34" s="3">
        <v>6.8310000000000004</v>
      </c>
      <c r="Z34" s="3">
        <v>1434</v>
      </c>
      <c r="AA34" s="3">
        <v>-5.931</v>
      </c>
      <c r="AB34" s="3">
        <v>453</v>
      </c>
      <c r="AC34" s="3">
        <v>98.9</v>
      </c>
      <c r="AD34" s="3">
        <v>19</v>
      </c>
      <c r="AE34" s="3">
        <v>-7.2</v>
      </c>
      <c r="AF34" s="3">
        <v>-8.11</v>
      </c>
      <c r="AG34" s="3">
        <v>-9.6000000000000002E-2</v>
      </c>
      <c r="AH34" s="3">
        <v>-0.72199999999999998</v>
      </c>
      <c r="AI34" s="3">
        <v>-0.36799999999999999</v>
      </c>
      <c r="AJ34" s="3">
        <v>0.66800000000000004</v>
      </c>
      <c r="AK34" s="3">
        <v>0.13200000000000001</v>
      </c>
      <c r="AL34" s="3">
        <v>0.124</v>
      </c>
      <c r="AM34" s="3">
        <v>9.9000000000000005E-2</v>
      </c>
      <c r="AN34" s="3">
        <v>5.6000000000000001E-2</v>
      </c>
      <c r="AO34" s="3">
        <v>0.17699999999999999</v>
      </c>
      <c r="AP34" s="3">
        <v>0.248</v>
      </c>
      <c r="AQ34" s="3">
        <v>8.6999999999999994E-2</v>
      </c>
      <c r="AR34" s="3">
        <v>7.5999999999999998E-2</v>
      </c>
      <c r="AS34" s="3">
        <v>2475</v>
      </c>
      <c r="AT34" s="3">
        <v>2473</v>
      </c>
      <c r="AU34" s="3">
        <v>2473</v>
      </c>
      <c r="AV34" s="3">
        <v>-4.2880000000000003</v>
      </c>
      <c r="AW34" s="3">
        <v>-4.4660000000000002</v>
      </c>
      <c r="AX34" s="3">
        <v>-3.294</v>
      </c>
      <c r="AY34" s="3">
        <v>-3.34</v>
      </c>
      <c r="AZ34" s="3">
        <v>-5.65</v>
      </c>
      <c r="BA34" s="3">
        <v>-5.74</v>
      </c>
      <c r="BB34" s="3">
        <v>13.05</v>
      </c>
      <c r="BC34" s="3">
        <v>2876</v>
      </c>
      <c r="BE34" s="6">
        <f t="shared" si="38"/>
        <v>1037</v>
      </c>
      <c r="BG34" s="16">
        <v>6.87</v>
      </c>
      <c r="BH34" s="16">
        <f t="shared" si="1"/>
        <v>13.8774</v>
      </c>
      <c r="BI34" s="17">
        <f t="shared" si="2"/>
        <v>1.65</v>
      </c>
      <c r="BJ34" s="17">
        <f t="shared" si="3"/>
        <v>3.16</v>
      </c>
      <c r="BL34" s="1">
        <f t="shared" si="4"/>
        <v>97.9</v>
      </c>
      <c r="BM34" s="1">
        <f t="shared" si="5"/>
        <v>93</v>
      </c>
      <c r="BN34" s="1">
        <f t="shared" si="6"/>
        <v>80</v>
      </c>
      <c r="BO34" s="49">
        <f t="shared" si="15"/>
        <v>0.4</v>
      </c>
      <c r="BP34" s="49">
        <f t="shared" si="16"/>
        <v>0.1</v>
      </c>
      <c r="BT34" s="16">
        <f t="shared" si="7"/>
        <v>1.65</v>
      </c>
      <c r="BU34" s="16">
        <f t="shared" si="8"/>
        <v>3.16</v>
      </c>
      <c r="BV34" s="3">
        <f t="shared" si="9"/>
        <v>-5</v>
      </c>
      <c r="BW34" s="3">
        <f t="shared" si="39"/>
        <v>-5.2</v>
      </c>
      <c r="BX34" s="3">
        <f t="shared" si="39"/>
        <v>-5.3</v>
      </c>
      <c r="BY34" s="3">
        <f t="shared" si="39"/>
        <v>0</v>
      </c>
      <c r="BZ34" s="3">
        <f t="shared" si="39"/>
        <v>-0.7</v>
      </c>
      <c r="CA34" s="3">
        <f t="shared" si="39"/>
        <v>-0.3</v>
      </c>
      <c r="CB34" s="3">
        <f t="shared" si="39"/>
        <v>0.7</v>
      </c>
      <c r="CC34" s="22">
        <f t="shared" si="11"/>
        <v>93</v>
      </c>
      <c r="CD34" s="1">
        <f t="shared" si="17"/>
        <v>-2.7</v>
      </c>
      <c r="CE34" s="1">
        <f t="shared" si="18"/>
        <v>0.6</v>
      </c>
      <c r="CF34" s="1">
        <f t="shared" si="19"/>
        <v>0.1</v>
      </c>
      <c r="CG34" s="1">
        <f t="shared" si="20"/>
        <v>0.1</v>
      </c>
      <c r="CH34" s="1">
        <f t="shared" si="21"/>
        <v>-0.6</v>
      </c>
      <c r="CI34" s="1">
        <f t="shared" si="22"/>
        <v>-0.3</v>
      </c>
      <c r="CJ34" s="1">
        <f t="shared" si="23"/>
        <v>0.8</v>
      </c>
      <c r="CK34" s="2">
        <f t="shared" si="13"/>
        <v>97.9</v>
      </c>
      <c r="CL34" s="1">
        <f t="shared" si="24"/>
        <v>-5.9</v>
      </c>
      <c r="CM34" s="1">
        <f t="shared" si="25"/>
        <v>-7.2</v>
      </c>
      <c r="CN34" s="1">
        <f t="shared" si="26"/>
        <v>-8.1</v>
      </c>
      <c r="CO34" s="1">
        <f t="shared" si="27"/>
        <v>-0.1</v>
      </c>
      <c r="CP34" s="1">
        <f t="shared" si="28"/>
        <v>-0.7</v>
      </c>
      <c r="CQ34" s="1">
        <f t="shared" si="29"/>
        <v>-0.4</v>
      </c>
      <c r="CR34" s="1">
        <f t="shared" si="30"/>
        <v>0.7</v>
      </c>
      <c r="CS34" s="2">
        <f t="shared" si="31"/>
        <v>80</v>
      </c>
      <c r="CT34" s="6">
        <f t="shared" si="32"/>
        <v>1037</v>
      </c>
      <c r="CU34" s="1">
        <f>PPTest!K34</f>
        <v>18.600000000000001</v>
      </c>
      <c r="CV34" s="3">
        <f t="shared" si="33"/>
        <v>2.16</v>
      </c>
      <c r="CW34" s="3">
        <f t="shared" si="34"/>
        <v>6.83</v>
      </c>
      <c r="CX34" s="24">
        <f t="shared" si="35"/>
        <v>0.4</v>
      </c>
      <c r="CY34" s="24">
        <f t="shared" si="35"/>
        <v>0.1</v>
      </c>
      <c r="CZ34" s="16">
        <f t="shared" si="36"/>
        <v>13.05</v>
      </c>
    </row>
    <row r="35" spans="1:104" x14ac:dyDescent="0.2">
      <c r="A35" s="14">
        <f t="shared" si="37"/>
        <v>38746</v>
      </c>
      <c r="B35" s="1">
        <v>29</v>
      </c>
      <c r="C35" s="3">
        <v>2.5569999999999999</v>
      </c>
      <c r="D35" s="3">
        <v>4.99</v>
      </c>
      <c r="E35" s="3">
        <v>-5.9020000000000001</v>
      </c>
      <c r="F35" s="3">
        <v>104.2</v>
      </c>
      <c r="G35" s="3">
        <v>-6.3739999999999997</v>
      </c>
      <c r="H35" s="3">
        <v>-6.665</v>
      </c>
      <c r="I35" s="3">
        <v>2.5999999999999999E-2</v>
      </c>
      <c r="J35" s="3">
        <v>-0.72499999999999998</v>
      </c>
      <c r="K35" s="3">
        <v>-0.32300000000000001</v>
      </c>
      <c r="L35" s="3">
        <v>0.73</v>
      </c>
      <c r="M35" s="3">
        <v>1.7210000000000001</v>
      </c>
      <c r="N35" s="3">
        <v>0</v>
      </c>
      <c r="O35" s="3">
        <v>-3.7130000000000001</v>
      </c>
      <c r="P35" s="3">
        <v>1405</v>
      </c>
      <c r="Q35" s="3">
        <v>110</v>
      </c>
      <c r="R35" s="3">
        <v>2344</v>
      </c>
      <c r="S35" s="3">
        <v>-3.5590000000000002</v>
      </c>
      <c r="T35" s="3">
        <v>-3.7</v>
      </c>
      <c r="U35" s="3">
        <v>0.107</v>
      </c>
      <c r="V35" s="3">
        <v>-0.64400000000000002</v>
      </c>
      <c r="W35" s="3">
        <v>-0.26200000000000001</v>
      </c>
      <c r="X35" s="3">
        <v>0.79</v>
      </c>
      <c r="Y35" s="3">
        <v>5.6470000000000002</v>
      </c>
      <c r="Z35" s="3">
        <v>2320</v>
      </c>
      <c r="AA35" s="3">
        <v>-12.46</v>
      </c>
      <c r="AB35" s="3">
        <v>707</v>
      </c>
      <c r="AC35" s="3">
        <v>87.5</v>
      </c>
      <c r="AD35" s="3">
        <v>1411</v>
      </c>
      <c r="AE35" s="3">
        <v>-14.25</v>
      </c>
      <c r="AF35" s="3">
        <v>-17.190000000000001</v>
      </c>
      <c r="AG35" s="3">
        <v>-0.14299999999999999</v>
      </c>
      <c r="AH35" s="3">
        <v>-0.85099999999999998</v>
      </c>
      <c r="AI35" s="3">
        <v>-0.435</v>
      </c>
      <c r="AJ35" s="3">
        <v>0.60899999999999999</v>
      </c>
      <c r="AK35" s="3">
        <v>0.16</v>
      </c>
      <c r="AL35" s="3">
        <v>0.215</v>
      </c>
      <c r="AM35" s="3">
        <v>0.122</v>
      </c>
      <c r="AN35" s="3">
        <v>5.2999999999999999E-2</v>
      </c>
      <c r="AO35" s="3">
        <v>0.13200000000000001</v>
      </c>
      <c r="AP35" s="3">
        <v>0.17</v>
      </c>
      <c r="AQ35" s="3">
        <v>0.08</v>
      </c>
      <c r="AR35" s="3">
        <v>6.9000000000000006E-2</v>
      </c>
      <c r="AS35" s="3">
        <v>2376</v>
      </c>
      <c r="AT35" s="3">
        <v>2373</v>
      </c>
      <c r="AU35" s="3">
        <v>2375</v>
      </c>
      <c r="AV35" s="3">
        <v>-4.7930000000000001</v>
      </c>
      <c r="AW35" s="3">
        <v>-4.9470000000000001</v>
      </c>
      <c r="AX35" s="3">
        <v>-2.944</v>
      </c>
      <c r="AY35" s="3">
        <v>-3.0720000000000001</v>
      </c>
      <c r="AZ35" s="3">
        <v>-7.26</v>
      </c>
      <c r="BA35" s="3">
        <v>-7.58</v>
      </c>
      <c r="BB35" s="3">
        <v>13.05</v>
      </c>
      <c r="BC35" s="3">
        <v>2876</v>
      </c>
      <c r="BE35" s="6">
        <f t="shared" si="38"/>
        <v>1135</v>
      </c>
      <c r="BG35" s="16">
        <v>7</v>
      </c>
      <c r="BH35" s="16">
        <f t="shared" si="1"/>
        <v>14.14</v>
      </c>
      <c r="BI35" s="17">
        <f t="shared" si="2"/>
        <v>2.5099999999999998</v>
      </c>
      <c r="BJ35" s="17">
        <f t="shared" si="3"/>
        <v>5.49</v>
      </c>
      <c r="BL35" s="1">
        <f t="shared" si="4"/>
        <v>98.2</v>
      </c>
      <c r="BM35" s="1">
        <f t="shared" si="5"/>
        <v>89</v>
      </c>
      <c r="BN35" s="1">
        <f t="shared" si="6"/>
        <v>70</v>
      </c>
      <c r="BO35" s="49">
        <f t="shared" si="15"/>
        <v>0.32500000000000001</v>
      </c>
      <c r="BP35" s="49">
        <f t="shared" si="16"/>
        <v>0.13900000000000001</v>
      </c>
      <c r="BT35" s="16">
        <f t="shared" si="7"/>
        <v>2.5099999999999998</v>
      </c>
      <c r="BU35" s="16">
        <f t="shared" si="8"/>
        <v>5.49</v>
      </c>
      <c r="BV35" s="3">
        <f t="shared" si="9"/>
        <v>-5.9</v>
      </c>
      <c r="BW35" s="3">
        <f t="shared" si="39"/>
        <v>-6.4</v>
      </c>
      <c r="BX35" s="3">
        <f t="shared" si="39"/>
        <v>-6.7</v>
      </c>
      <c r="BY35" s="3">
        <f t="shared" si="39"/>
        <v>0</v>
      </c>
      <c r="BZ35" s="3">
        <f t="shared" si="39"/>
        <v>-0.7</v>
      </c>
      <c r="CA35" s="3">
        <f t="shared" si="39"/>
        <v>-0.3</v>
      </c>
      <c r="CB35" s="3">
        <f t="shared" si="39"/>
        <v>0.7</v>
      </c>
      <c r="CC35" s="22">
        <f t="shared" si="11"/>
        <v>89</v>
      </c>
      <c r="CD35" s="1">
        <f t="shared" si="17"/>
        <v>-3.7</v>
      </c>
      <c r="CE35" s="1">
        <f t="shared" si="18"/>
        <v>-3.6</v>
      </c>
      <c r="CF35" s="1">
        <f t="shared" si="19"/>
        <v>-3.7</v>
      </c>
      <c r="CG35" s="1">
        <f t="shared" si="20"/>
        <v>0.1</v>
      </c>
      <c r="CH35" s="1">
        <f t="shared" si="21"/>
        <v>-0.6</v>
      </c>
      <c r="CI35" s="1">
        <f t="shared" si="22"/>
        <v>-0.3</v>
      </c>
      <c r="CJ35" s="1">
        <f t="shared" si="23"/>
        <v>0.8</v>
      </c>
      <c r="CK35" s="2">
        <f t="shared" si="13"/>
        <v>98.2</v>
      </c>
      <c r="CL35" s="1">
        <f t="shared" si="24"/>
        <v>-12.5</v>
      </c>
      <c r="CM35" s="1">
        <f t="shared" si="25"/>
        <v>-14.3</v>
      </c>
      <c r="CN35" s="1">
        <f t="shared" si="26"/>
        <v>-17.2</v>
      </c>
      <c r="CO35" s="1">
        <f t="shared" si="27"/>
        <v>-0.1</v>
      </c>
      <c r="CP35" s="1">
        <f t="shared" si="28"/>
        <v>-0.9</v>
      </c>
      <c r="CQ35" s="1">
        <f t="shared" si="29"/>
        <v>-0.4</v>
      </c>
      <c r="CR35" s="1">
        <f t="shared" si="30"/>
        <v>0.6</v>
      </c>
      <c r="CS35" s="2">
        <f t="shared" si="31"/>
        <v>70</v>
      </c>
      <c r="CT35" s="6">
        <f t="shared" si="32"/>
        <v>1135</v>
      </c>
      <c r="CU35" s="1">
        <f>PPTest!K35</f>
        <v>12.7</v>
      </c>
      <c r="CV35" s="3">
        <f t="shared" si="33"/>
        <v>1.72</v>
      </c>
      <c r="CW35" s="3">
        <f t="shared" si="34"/>
        <v>5.65</v>
      </c>
      <c r="CX35" s="24">
        <f t="shared" si="35"/>
        <v>0.32500000000000001</v>
      </c>
      <c r="CY35" s="24">
        <f t="shared" si="35"/>
        <v>0.13900000000000001</v>
      </c>
      <c r="CZ35" s="16">
        <f t="shared" si="36"/>
        <v>13.05</v>
      </c>
    </row>
    <row r="36" spans="1:104" x14ac:dyDescent="0.2">
      <c r="A36" s="14">
        <f t="shared" si="37"/>
        <v>38747</v>
      </c>
      <c r="B36" s="1">
        <v>30</v>
      </c>
      <c r="C36" s="3">
        <v>0.40899999999999997</v>
      </c>
      <c r="D36" s="3">
        <v>0.749</v>
      </c>
      <c r="E36" s="3">
        <v>-2.9239999999999999</v>
      </c>
      <c r="F36" s="3">
        <v>109.6</v>
      </c>
      <c r="G36" s="3">
        <v>-3.2109999999999999</v>
      </c>
      <c r="H36" s="3">
        <v>-3.3540000000000001</v>
      </c>
      <c r="I36" s="3">
        <v>5.6000000000000001E-2</v>
      </c>
      <c r="J36" s="3">
        <v>-0.57599999999999996</v>
      </c>
      <c r="K36" s="3">
        <v>-0.28299999999999997</v>
      </c>
      <c r="L36" s="3">
        <v>0.75</v>
      </c>
      <c r="M36" s="3">
        <v>2.16</v>
      </c>
      <c r="N36" s="3">
        <v>0</v>
      </c>
      <c r="O36" s="3">
        <v>-1.044</v>
      </c>
      <c r="P36" s="3">
        <v>1038</v>
      </c>
      <c r="Q36" s="3">
        <v>111</v>
      </c>
      <c r="R36" s="3">
        <v>849</v>
      </c>
      <c r="S36" s="3">
        <v>-1.08</v>
      </c>
      <c r="T36" s="3">
        <v>-0.93400000000000005</v>
      </c>
      <c r="U36" s="3">
        <v>0.109</v>
      </c>
      <c r="V36" s="3">
        <v>-0.47499999999999998</v>
      </c>
      <c r="W36" s="3">
        <v>-0.23200000000000001</v>
      </c>
      <c r="X36" s="3">
        <v>0.78100000000000003</v>
      </c>
      <c r="Y36" s="3">
        <v>6.5919999999999996</v>
      </c>
      <c r="Z36" s="3">
        <v>11</v>
      </c>
      <c r="AA36" s="3">
        <v>-7.39</v>
      </c>
      <c r="AB36" s="3">
        <v>0</v>
      </c>
      <c r="AC36" s="3">
        <v>103.7</v>
      </c>
      <c r="AD36" s="3">
        <v>2307</v>
      </c>
      <c r="AE36" s="3">
        <v>-9.1199999999999992</v>
      </c>
      <c r="AF36" s="3">
        <v>-10.74</v>
      </c>
      <c r="AG36" s="3">
        <v>-0.16</v>
      </c>
      <c r="AH36" s="3">
        <v>-0.70299999999999996</v>
      </c>
      <c r="AI36" s="3">
        <v>-0.34399999999999997</v>
      </c>
      <c r="AJ36" s="3">
        <v>0.71099999999999997</v>
      </c>
      <c r="AK36" s="3">
        <v>2.5000000000000001E-2</v>
      </c>
      <c r="AL36" s="3">
        <v>2.8000000000000001E-2</v>
      </c>
      <c r="AM36" s="3">
        <v>0.02</v>
      </c>
      <c r="AN36" s="3">
        <v>4.2000000000000003E-2</v>
      </c>
      <c r="AO36" s="3">
        <v>0.21299999999999999</v>
      </c>
      <c r="AP36" s="3">
        <v>0.41899999999999998</v>
      </c>
      <c r="AQ36" s="3">
        <v>0.21</v>
      </c>
      <c r="AR36" s="3">
        <v>4.2000000000000003E-2</v>
      </c>
      <c r="AS36" s="3">
        <v>2396</v>
      </c>
      <c r="AT36" s="3">
        <v>2390</v>
      </c>
      <c r="AU36" s="3">
        <v>2392</v>
      </c>
      <c r="AV36" s="3">
        <v>-2.3220000000000001</v>
      </c>
      <c r="AW36" s="3">
        <v>-2.4209999999999998</v>
      </c>
      <c r="AX36" s="3">
        <v>-1.8280000000000001</v>
      </c>
      <c r="AY36" s="3">
        <v>-1.919</v>
      </c>
      <c r="AZ36" s="3">
        <v>-2.9449999999999998</v>
      </c>
      <c r="BA36" s="3">
        <v>-3.081</v>
      </c>
      <c r="BB36" s="3">
        <v>12.87</v>
      </c>
      <c r="BC36" s="3">
        <v>2876</v>
      </c>
      <c r="BE36" s="6">
        <f t="shared" si="38"/>
        <v>1118</v>
      </c>
      <c r="BG36" s="16">
        <v>7.14</v>
      </c>
      <c r="BH36" s="16">
        <f t="shared" si="1"/>
        <v>14.422799999999999</v>
      </c>
      <c r="BI36" s="17">
        <f t="shared" si="2"/>
        <v>0.4</v>
      </c>
      <c r="BJ36" s="17">
        <f t="shared" si="3"/>
        <v>0.82</v>
      </c>
      <c r="BL36" s="1">
        <f t="shared" si="4"/>
        <v>99.8</v>
      </c>
      <c r="BM36" s="1">
        <f t="shared" si="5"/>
        <v>97.6</v>
      </c>
      <c r="BN36" s="1">
        <f t="shared" si="6"/>
        <v>88.2</v>
      </c>
      <c r="BO36" s="49">
        <f t="shared" si="15"/>
        <v>0.499</v>
      </c>
      <c r="BP36" s="49">
        <f t="shared" si="16"/>
        <v>6.7000000000000004E-2</v>
      </c>
      <c r="BT36" s="16">
        <f t="shared" si="7"/>
        <v>0.4</v>
      </c>
      <c r="BU36" s="16">
        <f t="shared" si="8"/>
        <v>0.82</v>
      </c>
      <c r="BV36" s="3">
        <f t="shared" si="9"/>
        <v>-2.9</v>
      </c>
      <c r="BW36" s="3">
        <f t="shared" si="39"/>
        <v>-3.2</v>
      </c>
      <c r="BX36" s="3">
        <f t="shared" si="39"/>
        <v>-3.4</v>
      </c>
      <c r="BY36" s="3">
        <f t="shared" si="39"/>
        <v>0.1</v>
      </c>
      <c r="BZ36" s="3">
        <f t="shared" si="39"/>
        <v>-0.6</v>
      </c>
      <c r="CA36" s="3">
        <f t="shared" si="39"/>
        <v>-0.3</v>
      </c>
      <c r="CB36" s="3">
        <f t="shared" si="39"/>
        <v>0.8</v>
      </c>
      <c r="CC36" s="22">
        <f t="shared" si="11"/>
        <v>97.6</v>
      </c>
      <c r="CD36" s="1">
        <f t="shared" si="17"/>
        <v>-1</v>
      </c>
      <c r="CE36" s="1">
        <f t="shared" si="18"/>
        <v>-1.1000000000000001</v>
      </c>
      <c r="CF36" s="1">
        <f t="shared" si="19"/>
        <v>-0.9</v>
      </c>
      <c r="CG36" s="1">
        <f t="shared" si="20"/>
        <v>0.1</v>
      </c>
      <c r="CH36" s="1">
        <f t="shared" si="21"/>
        <v>-0.5</v>
      </c>
      <c r="CI36" s="1">
        <f t="shared" si="22"/>
        <v>-0.2</v>
      </c>
      <c r="CJ36" s="1">
        <f t="shared" si="23"/>
        <v>0.8</v>
      </c>
      <c r="CK36" s="2">
        <f t="shared" si="13"/>
        <v>99.8</v>
      </c>
      <c r="CL36" s="1">
        <f t="shared" si="24"/>
        <v>-7.4</v>
      </c>
      <c r="CM36" s="1">
        <f t="shared" si="25"/>
        <v>-9.1</v>
      </c>
      <c r="CN36" s="1">
        <f t="shared" si="26"/>
        <v>-10.7</v>
      </c>
      <c r="CO36" s="1">
        <f t="shared" si="27"/>
        <v>-0.2</v>
      </c>
      <c r="CP36" s="1">
        <f t="shared" si="28"/>
        <v>-0.7</v>
      </c>
      <c r="CQ36" s="1">
        <f t="shared" si="29"/>
        <v>-0.3</v>
      </c>
      <c r="CR36" s="1">
        <f t="shared" si="30"/>
        <v>0.7</v>
      </c>
      <c r="CS36" s="2">
        <f t="shared" si="31"/>
        <v>88.2</v>
      </c>
      <c r="CT36" s="6">
        <f t="shared" si="32"/>
        <v>1118</v>
      </c>
      <c r="CU36" s="1">
        <f>PPTest!K36</f>
        <v>0</v>
      </c>
      <c r="CV36" s="3">
        <f t="shared" si="33"/>
        <v>2.16</v>
      </c>
      <c r="CW36" s="3">
        <f t="shared" si="34"/>
        <v>6.59</v>
      </c>
      <c r="CX36" s="24">
        <f t="shared" si="35"/>
        <v>0.499</v>
      </c>
      <c r="CY36" s="24">
        <f t="shared" si="35"/>
        <v>6.7000000000000004E-2</v>
      </c>
      <c r="CZ36" s="16">
        <f t="shared" si="36"/>
        <v>12.87</v>
      </c>
    </row>
    <row r="37" spans="1:104" x14ac:dyDescent="0.2">
      <c r="A37" s="14">
        <f t="shared" si="37"/>
        <v>38748</v>
      </c>
      <c r="B37" s="1">
        <v>31</v>
      </c>
      <c r="C37" s="3">
        <v>0.66400000000000003</v>
      </c>
      <c r="D37" s="3">
        <v>1.21</v>
      </c>
      <c r="E37" s="3">
        <v>-4.6870000000000003</v>
      </c>
      <c r="F37" s="3">
        <v>104.7</v>
      </c>
      <c r="G37" s="3">
        <v>-4.8979999999999997</v>
      </c>
      <c r="H37" s="3">
        <v>-5.0309999999999997</v>
      </c>
      <c r="I37" s="3">
        <v>8.1000000000000003E-2</v>
      </c>
      <c r="J37" s="3">
        <v>-0.53200000000000003</v>
      </c>
      <c r="K37" s="3">
        <v>-0.245</v>
      </c>
      <c r="L37" s="3">
        <v>0.755</v>
      </c>
      <c r="M37" s="3">
        <v>2.1589999999999998</v>
      </c>
      <c r="N37" s="3">
        <v>0</v>
      </c>
      <c r="O37" s="3">
        <v>-3.617</v>
      </c>
      <c r="P37" s="3">
        <v>1116</v>
      </c>
      <c r="Q37" s="3">
        <v>110.1</v>
      </c>
      <c r="R37" s="3">
        <v>2344</v>
      </c>
      <c r="S37" s="3">
        <v>-3.2879999999999998</v>
      </c>
      <c r="T37" s="3">
        <v>-3.3559999999999999</v>
      </c>
      <c r="U37" s="3">
        <v>0.13100000000000001</v>
      </c>
      <c r="V37" s="3">
        <v>-0.48299999999999998</v>
      </c>
      <c r="W37" s="3">
        <v>-0.20599999999999999</v>
      </c>
      <c r="X37" s="3">
        <v>0.79700000000000004</v>
      </c>
      <c r="Y37" s="3">
        <v>5.6870000000000003</v>
      </c>
      <c r="Z37" s="3">
        <v>2217</v>
      </c>
      <c r="AA37" s="3">
        <v>-7.47</v>
      </c>
      <c r="AB37" s="3">
        <v>6</v>
      </c>
      <c r="AC37" s="3">
        <v>95.3</v>
      </c>
      <c r="AD37" s="3">
        <v>1036</v>
      </c>
      <c r="AE37" s="3">
        <v>-8.68</v>
      </c>
      <c r="AF37" s="3">
        <v>-10.25</v>
      </c>
      <c r="AG37" s="3">
        <v>-5.8999999999999997E-2</v>
      </c>
      <c r="AH37" s="3">
        <v>-0.56499999999999995</v>
      </c>
      <c r="AI37" s="3">
        <v>-0.27700000000000002</v>
      </c>
      <c r="AJ37" s="3">
        <v>0.71599999999999997</v>
      </c>
      <c r="AK37" s="3">
        <v>7.8E-2</v>
      </c>
      <c r="AL37" s="3">
        <v>4.3999999999999997E-2</v>
      </c>
      <c r="AM37" s="3">
        <v>8.2000000000000003E-2</v>
      </c>
      <c r="AN37" s="3">
        <v>7.6999999999999999E-2</v>
      </c>
      <c r="AO37" s="3">
        <v>0.25900000000000001</v>
      </c>
      <c r="AP37" s="3">
        <v>0.28699999999999998</v>
      </c>
      <c r="AQ37" s="3">
        <v>0.10100000000000001</v>
      </c>
      <c r="AR37" s="3">
        <v>7.1999999999999995E-2</v>
      </c>
      <c r="AS37" s="3">
        <v>2247</v>
      </c>
      <c r="AT37" s="3">
        <v>2245</v>
      </c>
      <c r="AU37" s="3">
        <v>2246</v>
      </c>
      <c r="AV37" s="3">
        <v>-1.6419999999999999</v>
      </c>
      <c r="AW37" s="3">
        <v>-1.74</v>
      </c>
      <c r="AX37" s="3">
        <v>-1.417</v>
      </c>
      <c r="AY37" s="3">
        <v>-1.52</v>
      </c>
      <c r="AZ37" s="3">
        <v>-1.87</v>
      </c>
      <c r="BA37" s="3">
        <v>-2.004</v>
      </c>
      <c r="BB37" s="3">
        <v>12.95</v>
      </c>
      <c r="BC37" s="3">
        <v>2876</v>
      </c>
      <c r="BE37" s="6">
        <f t="shared" si="38"/>
        <v>1264</v>
      </c>
      <c r="BG37" s="16">
        <v>7.28</v>
      </c>
      <c r="BH37" s="16">
        <f t="shared" si="1"/>
        <v>14.7056</v>
      </c>
      <c r="BI37" s="17">
        <f t="shared" si="2"/>
        <v>0.65</v>
      </c>
      <c r="BJ37" s="17">
        <f t="shared" si="3"/>
        <v>1.33</v>
      </c>
      <c r="BL37" s="1">
        <f t="shared" si="4"/>
        <v>98.4</v>
      </c>
      <c r="BM37" s="1">
        <f t="shared" si="5"/>
        <v>89.8</v>
      </c>
      <c r="BN37" s="1">
        <f t="shared" si="6"/>
        <v>76.900000000000006</v>
      </c>
      <c r="BO37" s="49">
        <f t="shared" si="15"/>
        <v>0.35899999999999999</v>
      </c>
      <c r="BP37" s="49">
        <f t="shared" si="16"/>
        <v>0.108</v>
      </c>
      <c r="BT37" s="16">
        <f t="shared" si="7"/>
        <v>0.65</v>
      </c>
      <c r="BU37" s="16">
        <f t="shared" si="8"/>
        <v>1.33</v>
      </c>
      <c r="BV37" s="3">
        <f t="shared" si="9"/>
        <v>-4.7</v>
      </c>
      <c r="BW37" s="3">
        <f t="shared" si="39"/>
        <v>-4.9000000000000004</v>
      </c>
      <c r="BX37" s="3">
        <f t="shared" si="39"/>
        <v>-5</v>
      </c>
      <c r="BY37" s="3">
        <f t="shared" si="39"/>
        <v>0.1</v>
      </c>
      <c r="BZ37" s="3">
        <f t="shared" si="39"/>
        <v>-0.5</v>
      </c>
      <c r="CA37" s="3">
        <f t="shared" si="39"/>
        <v>-0.2</v>
      </c>
      <c r="CB37" s="3">
        <f t="shared" si="39"/>
        <v>0.8</v>
      </c>
      <c r="CC37" s="22">
        <f t="shared" si="11"/>
        <v>89.8</v>
      </c>
      <c r="CD37" s="1">
        <f t="shared" si="17"/>
        <v>-3.6</v>
      </c>
      <c r="CE37" s="1">
        <f t="shared" si="18"/>
        <v>-3.3</v>
      </c>
      <c r="CF37" s="1">
        <f t="shared" si="19"/>
        <v>-3.4</v>
      </c>
      <c r="CG37" s="1">
        <f t="shared" si="20"/>
        <v>0.1</v>
      </c>
      <c r="CH37" s="1">
        <f t="shared" si="21"/>
        <v>-0.5</v>
      </c>
      <c r="CI37" s="1">
        <f t="shared" si="22"/>
        <v>-0.2</v>
      </c>
      <c r="CJ37" s="1">
        <f t="shared" si="23"/>
        <v>0.8</v>
      </c>
      <c r="CK37" s="2">
        <f t="shared" si="13"/>
        <v>98.4</v>
      </c>
      <c r="CL37" s="1">
        <f t="shared" si="24"/>
        <v>-7.5</v>
      </c>
      <c r="CM37" s="1">
        <f t="shared" si="25"/>
        <v>-8.6999999999999993</v>
      </c>
      <c r="CN37" s="1">
        <f t="shared" si="26"/>
        <v>-10.3</v>
      </c>
      <c r="CO37" s="1">
        <f t="shared" si="27"/>
        <v>-0.1</v>
      </c>
      <c r="CP37" s="1">
        <f t="shared" si="28"/>
        <v>-0.6</v>
      </c>
      <c r="CQ37" s="1">
        <f t="shared" si="29"/>
        <v>-0.3</v>
      </c>
      <c r="CR37" s="1">
        <f t="shared" si="30"/>
        <v>0.7</v>
      </c>
      <c r="CS37" s="2">
        <f t="shared" si="31"/>
        <v>76.900000000000006</v>
      </c>
      <c r="CT37" s="6">
        <f t="shared" si="32"/>
        <v>1264</v>
      </c>
      <c r="CU37" s="1">
        <f>PPTest!K37</f>
        <v>19</v>
      </c>
      <c r="CV37" s="3">
        <f t="shared" si="33"/>
        <v>2.16</v>
      </c>
      <c r="CW37" s="3">
        <f t="shared" si="34"/>
        <v>5.69</v>
      </c>
      <c r="CX37" s="24">
        <f t="shared" si="35"/>
        <v>0.35899999999999999</v>
      </c>
      <c r="CY37" s="24">
        <f t="shared" si="35"/>
        <v>0.108</v>
      </c>
      <c r="CZ37" s="16">
        <f t="shared" si="36"/>
        <v>12.95</v>
      </c>
    </row>
    <row r="38" spans="1:104" x14ac:dyDescent="0.2">
      <c r="A38" s="14">
        <f t="shared" si="37"/>
        <v>38749</v>
      </c>
      <c r="B38" s="1">
        <v>32</v>
      </c>
      <c r="C38" s="3">
        <v>1.512</v>
      </c>
      <c r="D38" s="3">
        <v>3.1859999999999999</v>
      </c>
      <c r="E38" s="3">
        <v>-3.173</v>
      </c>
      <c r="F38" s="3">
        <v>102.8</v>
      </c>
      <c r="G38" s="3">
        <v>-3.4750000000000001</v>
      </c>
      <c r="H38" s="3">
        <v>-3.7789999999999999</v>
      </c>
      <c r="I38" s="3">
        <v>8.7999999999999995E-2</v>
      </c>
      <c r="J38" s="3">
        <v>-0.50700000000000001</v>
      </c>
      <c r="K38" s="3">
        <v>-0.24</v>
      </c>
      <c r="L38" s="3">
        <v>0.75600000000000001</v>
      </c>
      <c r="M38" s="3">
        <v>2.57</v>
      </c>
      <c r="N38" s="3">
        <v>0</v>
      </c>
      <c r="O38" s="3">
        <v>-0.72099999999999997</v>
      </c>
      <c r="P38" s="3">
        <v>1429</v>
      </c>
      <c r="Q38" s="3">
        <v>110.3</v>
      </c>
      <c r="R38" s="3">
        <v>201</v>
      </c>
      <c r="S38" s="3">
        <v>-0.55600000000000005</v>
      </c>
      <c r="T38" s="3">
        <v>-0.26100000000000001</v>
      </c>
      <c r="U38" s="3">
        <v>0.14599999999999999</v>
      </c>
      <c r="V38" s="3">
        <v>-0.46100000000000002</v>
      </c>
      <c r="W38" s="3">
        <v>-0.2</v>
      </c>
      <c r="X38" s="3">
        <v>0.78700000000000003</v>
      </c>
      <c r="Y38" s="3">
        <v>6.3920000000000003</v>
      </c>
      <c r="Z38" s="3">
        <v>1107</v>
      </c>
      <c r="AA38" s="3">
        <v>-5.3570000000000002</v>
      </c>
      <c r="AB38" s="3">
        <v>2008</v>
      </c>
      <c r="AC38" s="3">
        <v>90.7</v>
      </c>
      <c r="AD38" s="3">
        <v>1924</v>
      </c>
      <c r="AE38" s="3">
        <v>-7.33</v>
      </c>
      <c r="AF38" s="3">
        <v>-9.07</v>
      </c>
      <c r="AG38" s="3">
        <v>0</v>
      </c>
      <c r="AH38" s="3">
        <v>-0.56699999999999995</v>
      </c>
      <c r="AI38" s="3">
        <v>-0.28299999999999997</v>
      </c>
      <c r="AJ38" s="3">
        <v>0.71199999999999997</v>
      </c>
      <c r="AK38" s="3">
        <v>1.7999999999999999E-2</v>
      </c>
      <c r="AL38" s="3">
        <v>3.1E-2</v>
      </c>
      <c r="AM38" s="3">
        <v>4.2000000000000003E-2</v>
      </c>
      <c r="AN38" s="3">
        <v>7.0999999999999994E-2</v>
      </c>
      <c r="AO38" s="3">
        <v>0.28999999999999998</v>
      </c>
      <c r="AP38" s="3">
        <v>0.4</v>
      </c>
      <c r="AQ38" s="3">
        <v>0.11899999999999999</v>
      </c>
      <c r="AR38" s="3">
        <v>2.9000000000000001E-2</v>
      </c>
      <c r="AS38" s="3">
        <v>2334</v>
      </c>
      <c r="AT38" s="3">
        <v>2331</v>
      </c>
      <c r="AU38" s="3">
        <v>2334</v>
      </c>
      <c r="AV38" s="3">
        <v>-1.2589999999999999</v>
      </c>
      <c r="AW38" s="3">
        <v>-1.347</v>
      </c>
      <c r="AX38" s="3">
        <v>-1.048</v>
      </c>
      <c r="AY38" s="3">
        <v>-1.121</v>
      </c>
      <c r="AZ38" s="3">
        <v>-1.46</v>
      </c>
      <c r="BA38" s="3">
        <v>-1.5780000000000001</v>
      </c>
      <c r="BB38" s="3">
        <v>13.06</v>
      </c>
      <c r="BC38" s="3">
        <v>2876</v>
      </c>
      <c r="BE38" s="6">
        <f t="shared" si="38"/>
        <v>1176</v>
      </c>
      <c r="BG38" s="16">
        <v>7.43</v>
      </c>
      <c r="BH38" s="16">
        <f t="shared" si="1"/>
        <v>15.008599999999999</v>
      </c>
      <c r="BI38" s="17">
        <f t="shared" si="2"/>
        <v>1.48</v>
      </c>
      <c r="BJ38" s="17">
        <f t="shared" si="3"/>
        <v>3.5</v>
      </c>
      <c r="BL38" s="1">
        <f t="shared" si="4"/>
        <v>98.7</v>
      </c>
      <c r="BM38" s="1">
        <f t="shared" si="5"/>
        <v>86.8</v>
      </c>
      <c r="BN38" s="1">
        <f t="shared" si="6"/>
        <v>72.8</v>
      </c>
      <c r="BO38" s="49">
        <f t="shared" si="15"/>
        <v>0.42199999999999999</v>
      </c>
      <c r="BP38" s="49">
        <f t="shared" si="16"/>
        <v>0.158</v>
      </c>
      <c r="BT38" s="16">
        <f t="shared" si="7"/>
        <v>1.48</v>
      </c>
      <c r="BU38" s="16">
        <f t="shared" si="8"/>
        <v>3.5</v>
      </c>
      <c r="BV38" s="3">
        <f t="shared" si="9"/>
        <v>-3.2</v>
      </c>
      <c r="BW38" s="3">
        <f t="shared" si="39"/>
        <v>-3.5</v>
      </c>
      <c r="BX38" s="3">
        <f t="shared" si="39"/>
        <v>-3.8</v>
      </c>
      <c r="BY38" s="3">
        <f t="shared" si="39"/>
        <v>0.1</v>
      </c>
      <c r="BZ38" s="3">
        <f t="shared" si="39"/>
        <v>-0.5</v>
      </c>
      <c r="CA38" s="3">
        <f t="shared" si="39"/>
        <v>-0.2</v>
      </c>
      <c r="CB38" s="3">
        <f t="shared" si="39"/>
        <v>0.8</v>
      </c>
      <c r="CC38" s="22">
        <f t="shared" si="11"/>
        <v>86.8</v>
      </c>
      <c r="CD38" s="1">
        <f t="shared" si="17"/>
        <v>-0.7</v>
      </c>
      <c r="CE38" s="1">
        <f t="shared" si="18"/>
        <v>-0.6</v>
      </c>
      <c r="CF38" s="1">
        <f t="shared" si="19"/>
        <v>-0.3</v>
      </c>
      <c r="CG38" s="1">
        <f t="shared" si="20"/>
        <v>0.1</v>
      </c>
      <c r="CH38" s="1">
        <f t="shared" si="21"/>
        <v>-0.5</v>
      </c>
      <c r="CI38" s="1">
        <f t="shared" si="22"/>
        <v>-0.2</v>
      </c>
      <c r="CJ38" s="1">
        <f t="shared" si="23"/>
        <v>0.8</v>
      </c>
      <c r="CK38" s="2">
        <f t="shared" si="13"/>
        <v>98.7</v>
      </c>
      <c r="CL38" s="1">
        <f t="shared" si="24"/>
        <v>-5.4</v>
      </c>
      <c r="CM38" s="1">
        <f t="shared" si="25"/>
        <v>-7.3</v>
      </c>
      <c r="CN38" s="1">
        <f t="shared" si="26"/>
        <v>-9.1</v>
      </c>
      <c r="CO38" s="1">
        <f t="shared" si="27"/>
        <v>0</v>
      </c>
      <c r="CP38" s="1">
        <f t="shared" si="28"/>
        <v>-0.6</v>
      </c>
      <c r="CQ38" s="1">
        <f t="shared" si="29"/>
        <v>-0.3</v>
      </c>
      <c r="CR38" s="1">
        <f t="shared" si="30"/>
        <v>0.7</v>
      </c>
      <c r="CS38" s="2">
        <f t="shared" si="31"/>
        <v>72.8</v>
      </c>
      <c r="CT38" s="6">
        <f t="shared" si="32"/>
        <v>1176</v>
      </c>
      <c r="CU38" s="1">
        <f>PPTest!K38</f>
        <v>0</v>
      </c>
      <c r="CV38" s="3">
        <f t="shared" si="33"/>
        <v>2.57</v>
      </c>
      <c r="CW38" s="3">
        <f t="shared" si="34"/>
        <v>6.39</v>
      </c>
      <c r="CX38" s="24">
        <f t="shared" si="35"/>
        <v>0.42199999999999999</v>
      </c>
      <c r="CY38" s="24">
        <f t="shared" si="35"/>
        <v>0.158</v>
      </c>
      <c r="CZ38" s="16">
        <f t="shared" si="36"/>
        <v>13.06</v>
      </c>
    </row>
    <row r="39" spans="1:104" x14ac:dyDescent="0.2">
      <c r="A39" s="14">
        <f t="shared" si="37"/>
        <v>38750</v>
      </c>
      <c r="B39" s="1">
        <v>33</v>
      </c>
      <c r="C39" s="3">
        <v>0.80600000000000005</v>
      </c>
      <c r="D39" s="3">
        <v>1.3740000000000001</v>
      </c>
      <c r="E39" s="3">
        <v>-3.4289999999999998</v>
      </c>
      <c r="F39" s="3">
        <v>105.3</v>
      </c>
      <c r="G39" s="3">
        <v>-4.04</v>
      </c>
      <c r="H39" s="3">
        <v>-4.5979999999999999</v>
      </c>
      <c r="I39" s="3">
        <v>0.14499999999999999</v>
      </c>
      <c r="J39" s="3">
        <v>-0.44700000000000001</v>
      </c>
      <c r="K39" s="3">
        <v>-0.22500000000000001</v>
      </c>
      <c r="L39" s="3">
        <v>0.752</v>
      </c>
      <c r="M39" s="3">
        <v>1.4810000000000001</v>
      </c>
      <c r="N39" s="3">
        <v>0</v>
      </c>
      <c r="O39" s="3">
        <v>-0.69499999999999995</v>
      </c>
      <c r="P39" s="3">
        <v>1223</v>
      </c>
      <c r="Q39" s="3">
        <v>110.2</v>
      </c>
      <c r="R39" s="3">
        <v>625</v>
      </c>
      <c r="S39" s="3">
        <v>0.23799999999999999</v>
      </c>
      <c r="T39" s="3">
        <v>1.2609999999999999</v>
      </c>
      <c r="U39" s="3">
        <v>0.193</v>
      </c>
      <c r="V39" s="3">
        <v>-0.40699999999999997</v>
      </c>
      <c r="W39" s="3">
        <v>-0.191</v>
      </c>
      <c r="X39" s="3">
        <v>0.78100000000000003</v>
      </c>
      <c r="Y39" s="3">
        <v>4.2640000000000002</v>
      </c>
      <c r="Z39" s="3">
        <v>1650</v>
      </c>
      <c r="AA39" s="3">
        <v>-7.99</v>
      </c>
      <c r="AB39" s="3">
        <v>2354</v>
      </c>
      <c r="AC39" s="3">
        <v>96.3</v>
      </c>
      <c r="AD39" s="3">
        <v>1837</v>
      </c>
      <c r="AE39" s="3">
        <v>-9.91</v>
      </c>
      <c r="AF39" s="3">
        <v>-12.18</v>
      </c>
      <c r="AG39" s="3">
        <v>9.0999999999999998E-2</v>
      </c>
      <c r="AH39" s="3">
        <v>-0.50600000000000001</v>
      </c>
      <c r="AI39" s="3">
        <v>-0.26800000000000002</v>
      </c>
      <c r="AJ39" s="3">
        <v>0.71899999999999997</v>
      </c>
      <c r="AK39" s="3">
        <v>3.6999999999999998E-2</v>
      </c>
      <c r="AL39" s="3">
        <v>7.2999999999999995E-2</v>
      </c>
      <c r="AM39" s="3">
        <v>6.9000000000000006E-2</v>
      </c>
      <c r="AN39" s="3">
        <v>3.6999999999999998E-2</v>
      </c>
      <c r="AO39" s="3">
        <v>0.20899999999999999</v>
      </c>
      <c r="AP39" s="3">
        <v>0.33800000000000002</v>
      </c>
      <c r="AQ39" s="3">
        <v>0.16800000000000001</v>
      </c>
      <c r="AR39" s="3">
        <v>6.8000000000000005E-2</v>
      </c>
      <c r="AS39" s="3">
        <v>2324</v>
      </c>
      <c r="AT39" s="3">
        <v>2316</v>
      </c>
      <c r="AU39" s="3">
        <v>2321</v>
      </c>
      <c r="AV39" s="3">
        <v>-1.25</v>
      </c>
      <c r="AW39" s="3">
        <v>-1.335</v>
      </c>
      <c r="AX39" s="3">
        <v>-1.0469999999999999</v>
      </c>
      <c r="AY39" s="3">
        <v>-1.111</v>
      </c>
      <c r="AZ39" s="3">
        <v>-1.46</v>
      </c>
      <c r="BA39" s="3">
        <v>-1.56</v>
      </c>
      <c r="BB39" s="3">
        <v>13.08</v>
      </c>
      <c r="BC39" s="3">
        <v>2876</v>
      </c>
      <c r="BE39" s="6">
        <f t="shared" si="38"/>
        <v>1189</v>
      </c>
      <c r="BG39" s="16">
        <v>7.59</v>
      </c>
      <c r="BH39" s="16">
        <f t="shared" si="1"/>
        <v>15.331799999999999</v>
      </c>
      <c r="BI39" s="17">
        <f t="shared" si="2"/>
        <v>0.79</v>
      </c>
      <c r="BJ39" s="17">
        <f t="shared" si="3"/>
        <v>1.51</v>
      </c>
      <c r="BL39" s="1">
        <f t="shared" si="4"/>
        <v>98.5</v>
      </c>
      <c r="BM39" s="1">
        <f t="shared" si="5"/>
        <v>90.7</v>
      </c>
      <c r="BN39" s="1">
        <f t="shared" si="6"/>
        <v>77.7</v>
      </c>
      <c r="BO39" s="49">
        <f t="shared" si="15"/>
        <v>0.45100000000000001</v>
      </c>
      <c r="BP39" s="49">
        <f t="shared" si="16"/>
        <v>0.129</v>
      </c>
      <c r="BT39" s="16">
        <f t="shared" si="7"/>
        <v>0.79</v>
      </c>
      <c r="BU39" s="16">
        <f t="shared" si="8"/>
        <v>1.51</v>
      </c>
      <c r="BV39" s="3">
        <f t="shared" si="9"/>
        <v>-3.4</v>
      </c>
      <c r="BW39" s="3">
        <f t="shared" si="39"/>
        <v>-4</v>
      </c>
      <c r="BX39" s="3">
        <f t="shared" si="39"/>
        <v>-4.5999999999999996</v>
      </c>
      <c r="BY39" s="3">
        <f t="shared" si="39"/>
        <v>0.1</v>
      </c>
      <c r="BZ39" s="3">
        <f t="shared" si="39"/>
        <v>-0.4</v>
      </c>
      <c r="CA39" s="3">
        <f t="shared" si="39"/>
        <v>-0.2</v>
      </c>
      <c r="CB39" s="3">
        <f t="shared" si="39"/>
        <v>0.8</v>
      </c>
      <c r="CC39" s="22">
        <f t="shared" si="11"/>
        <v>90.7</v>
      </c>
      <c r="CD39" s="1">
        <f t="shared" si="17"/>
        <v>-0.7</v>
      </c>
      <c r="CE39" s="1">
        <f t="shared" si="18"/>
        <v>0.2</v>
      </c>
      <c r="CF39" s="1">
        <f t="shared" si="19"/>
        <v>1.3</v>
      </c>
      <c r="CG39" s="1">
        <f t="shared" si="20"/>
        <v>0.2</v>
      </c>
      <c r="CH39" s="1">
        <f t="shared" si="21"/>
        <v>-0.4</v>
      </c>
      <c r="CI39" s="1">
        <f t="shared" si="22"/>
        <v>-0.2</v>
      </c>
      <c r="CJ39" s="1">
        <f t="shared" si="23"/>
        <v>0.8</v>
      </c>
      <c r="CK39" s="2">
        <f t="shared" si="13"/>
        <v>98.5</v>
      </c>
      <c r="CL39" s="1">
        <f t="shared" si="24"/>
        <v>-8</v>
      </c>
      <c r="CM39" s="1">
        <f t="shared" si="25"/>
        <v>-9.9</v>
      </c>
      <c r="CN39" s="1">
        <f t="shared" si="26"/>
        <v>-12.2</v>
      </c>
      <c r="CO39" s="1">
        <f t="shared" si="27"/>
        <v>0.1</v>
      </c>
      <c r="CP39" s="1">
        <f t="shared" si="28"/>
        <v>-0.5</v>
      </c>
      <c r="CQ39" s="1">
        <f t="shared" si="29"/>
        <v>-0.3</v>
      </c>
      <c r="CR39" s="1">
        <f t="shared" si="30"/>
        <v>0.7</v>
      </c>
      <c r="CS39" s="2">
        <f t="shared" si="31"/>
        <v>77.7</v>
      </c>
      <c r="CT39" s="6">
        <f t="shared" si="32"/>
        <v>1189</v>
      </c>
      <c r="CU39" s="1">
        <f>PPTest!K39</f>
        <v>1.7</v>
      </c>
      <c r="CV39" s="3">
        <f t="shared" si="33"/>
        <v>1.48</v>
      </c>
      <c r="CW39" s="3">
        <f t="shared" si="34"/>
        <v>4.26</v>
      </c>
      <c r="CX39" s="24">
        <f t="shared" si="35"/>
        <v>0.45100000000000001</v>
      </c>
      <c r="CY39" s="24">
        <f t="shared" si="35"/>
        <v>0.129</v>
      </c>
      <c r="CZ39" s="16">
        <f t="shared" si="36"/>
        <v>13.08</v>
      </c>
    </row>
    <row r="40" spans="1:104" x14ac:dyDescent="0.2">
      <c r="A40" s="14">
        <f t="shared" si="37"/>
        <v>38751</v>
      </c>
      <c r="B40" s="1">
        <v>34</v>
      </c>
      <c r="C40" s="3">
        <v>2.0019999999999998</v>
      </c>
      <c r="D40" s="3">
        <v>2.8159999999999998</v>
      </c>
      <c r="E40" s="3">
        <v>-2.9630000000000001</v>
      </c>
      <c r="F40" s="3">
        <v>100</v>
      </c>
      <c r="G40" s="3">
        <v>-3.44</v>
      </c>
      <c r="H40" s="3">
        <v>-3.8460000000000001</v>
      </c>
      <c r="I40" s="3">
        <v>0.155</v>
      </c>
      <c r="J40" s="3">
        <v>-0.46899999999999997</v>
      </c>
      <c r="K40" s="3">
        <v>-0.223</v>
      </c>
      <c r="L40" s="3">
        <v>0.751</v>
      </c>
      <c r="M40" s="3">
        <v>1.786</v>
      </c>
      <c r="N40" s="3">
        <v>0</v>
      </c>
      <c r="O40" s="3">
        <v>-0.27800000000000002</v>
      </c>
      <c r="P40" s="3">
        <v>1110</v>
      </c>
      <c r="Q40" s="3">
        <v>109.6</v>
      </c>
      <c r="R40" s="3">
        <v>27</v>
      </c>
      <c r="S40" s="3">
        <v>1.2250000000000001</v>
      </c>
      <c r="T40" s="3">
        <v>0.41099999999999998</v>
      </c>
      <c r="U40" s="3">
        <v>0.19900000000000001</v>
      </c>
      <c r="V40" s="3">
        <v>-0.42</v>
      </c>
      <c r="W40" s="3">
        <v>-0.182</v>
      </c>
      <c r="X40" s="3">
        <v>0.78200000000000003</v>
      </c>
      <c r="Y40" s="3">
        <v>4.9020000000000001</v>
      </c>
      <c r="Z40" s="3">
        <v>2219</v>
      </c>
      <c r="AA40" s="3">
        <v>-8.11</v>
      </c>
      <c r="AB40" s="3">
        <v>107</v>
      </c>
      <c r="AC40" s="3">
        <v>78.7</v>
      </c>
      <c r="AD40" s="3">
        <v>1106</v>
      </c>
      <c r="AE40" s="3">
        <v>-10.5</v>
      </c>
      <c r="AF40" s="3">
        <v>-11.85</v>
      </c>
      <c r="AG40" s="3">
        <v>8.2000000000000003E-2</v>
      </c>
      <c r="AH40" s="3">
        <v>-0.52500000000000002</v>
      </c>
      <c r="AI40" s="3">
        <v>-0.26200000000000001</v>
      </c>
      <c r="AJ40" s="3">
        <v>0.71199999999999997</v>
      </c>
      <c r="AK40" s="3">
        <v>0.16400000000000001</v>
      </c>
      <c r="AL40" s="3">
        <v>0.122</v>
      </c>
      <c r="AM40" s="3">
        <v>7.4999999999999997E-2</v>
      </c>
      <c r="AN40" s="3">
        <v>7.3999999999999996E-2</v>
      </c>
      <c r="AO40" s="3">
        <v>0.189</v>
      </c>
      <c r="AP40" s="3">
        <v>0.23200000000000001</v>
      </c>
      <c r="AQ40" s="3">
        <v>7.0999999999999994E-2</v>
      </c>
      <c r="AR40" s="3">
        <v>7.2999999999999995E-2</v>
      </c>
      <c r="AS40" s="3">
        <v>2325</v>
      </c>
      <c r="AT40" s="3">
        <v>2322</v>
      </c>
      <c r="AU40" s="3">
        <v>2323</v>
      </c>
      <c r="AV40" s="3">
        <v>-1.157</v>
      </c>
      <c r="AW40" s="3">
        <v>-1.2450000000000001</v>
      </c>
      <c r="AX40" s="3">
        <v>-1.0269999999999999</v>
      </c>
      <c r="AY40" s="3">
        <v>-1.1020000000000001</v>
      </c>
      <c r="AZ40" s="3">
        <v>-1.296</v>
      </c>
      <c r="BA40" s="3">
        <v>-1.41</v>
      </c>
      <c r="BB40" s="3">
        <v>13.1</v>
      </c>
      <c r="BC40" s="3">
        <v>2876</v>
      </c>
      <c r="BE40" s="6">
        <f t="shared" si="38"/>
        <v>1187</v>
      </c>
      <c r="BG40" s="16">
        <v>7.74</v>
      </c>
      <c r="BH40" s="16">
        <f t="shared" si="1"/>
        <v>15.6348</v>
      </c>
      <c r="BI40" s="17">
        <f t="shared" si="2"/>
        <v>1.96</v>
      </c>
      <c r="BJ40" s="17">
        <f t="shared" si="3"/>
        <v>3.1</v>
      </c>
      <c r="BL40" s="1">
        <f t="shared" si="4"/>
        <v>97.6</v>
      </c>
      <c r="BM40" s="1">
        <f t="shared" si="5"/>
        <v>82.3</v>
      </c>
      <c r="BN40" s="1">
        <f t="shared" si="6"/>
        <v>62.3</v>
      </c>
      <c r="BO40" s="49">
        <f t="shared" si="15"/>
        <v>0.373</v>
      </c>
      <c r="BP40" s="49">
        <f t="shared" si="16"/>
        <v>0.22600000000000001</v>
      </c>
      <c r="BT40" s="16">
        <f t="shared" si="7"/>
        <v>1.96</v>
      </c>
      <c r="BU40" s="16">
        <f t="shared" si="8"/>
        <v>3.1</v>
      </c>
      <c r="BV40" s="3">
        <f t="shared" si="9"/>
        <v>-3</v>
      </c>
      <c r="BW40" s="3">
        <f t="shared" si="39"/>
        <v>-3.4</v>
      </c>
      <c r="BX40" s="3">
        <f t="shared" si="39"/>
        <v>-3.8</v>
      </c>
      <c r="BY40" s="3">
        <f t="shared" si="39"/>
        <v>0.2</v>
      </c>
      <c r="BZ40" s="3">
        <f t="shared" si="39"/>
        <v>-0.5</v>
      </c>
      <c r="CA40" s="3">
        <f t="shared" si="39"/>
        <v>-0.2</v>
      </c>
      <c r="CB40" s="3">
        <f t="shared" si="39"/>
        <v>0.8</v>
      </c>
      <c r="CC40" s="22">
        <f t="shared" si="11"/>
        <v>82.3</v>
      </c>
      <c r="CD40" s="1">
        <f t="shared" si="17"/>
        <v>-0.3</v>
      </c>
      <c r="CE40" s="1">
        <f t="shared" si="18"/>
        <v>1.2</v>
      </c>
      <c r="CF40" s="1">
        <f t="shared" si="19"/>
        <v>0.4</v>
      </c>
      <c r="CG40" s="1">
        <f t="shared" si="20"/>
        <v>0.2</v>
      </c>
      <c r="CH40" s="1">
        <f t="shared" si="21"/>
        <v>-0.4</v>
      </c>
      <c r="CI40" s="1">
        <f t="shared" si="22"/>
        <v>-0.2</v>
      </c>
      <c r="CJ40" s="1">
        <f t="shared" si="23"/>
        <v>0.8</v>
      </c>
      <c r="CK40" s="2">
        <f t="shared" si="13"/>
        <v>97.6</v>
      </c>
      <c r="CL40" s="1">
        <f t="shared" si="24"/>
        <v>-8.1</v>
      </c>
      <c r="CM40" s="1">
        <f t="shared" si="25"/>
        <v>-10.5</v>
      </c>
      <c r="CN40" s="1">
        <f t="shared" si="26"/>
        <v>-11.9</v>
      </c>
      <c r="CO40" s="1">
        <f t="shared" si="27"/>
        <v>0.1</v>
      </c>
      <c r="CP40" s="1">
        <f t="shared" si="28"/>
        <v>-0.5</v>
      </c>
      <c r="CQ40" s="1">
        <f t="shared" si="29"/>
        <v>-0.3</v>
      </c>
      <c r="CR40" s="1">
        <f t="shared" si="30"/>
        <v>0.7</v>
      </c>
      <c r="CS40" s="2">
        <f t="shared" si="31"/>
        <v>62.3</v>
      </c>
      <c r="CT40" s="6">
        <f t="shared" si="32"/>
        <v>1187</v>
      </c>
      <c r="CU40" s="1">
        <f>PPTest!K40</f>
        <v>0</v>
      </c>
      <c r="CV40" s="3">
        <f t="shared" si="33"/>
        <v>1.79</v>
      </c>
      <c r="CW40" s="3">
        <f t="shared" si="34"/>
        <v>4.9000000000000004</v>
      </c>
      <c r="CX40" s="24">
        <f t="shared" si="35"/>
        <v>0.373</v>
      </c>
      <c r="CY40" s="24">
        <f t="shared" si="35"/>
        <v>0.22600000000000001</v>
      </c>
      <c r="CZ40" s="16">
        <f t="shared" si="36"/>
        <v>13.1</v>
      </c>
    </row>
    <row r="41" spans="1:104" x14ac:dyDescent="0.2">
      <c r="A41" s="14">
        <f t="shared" si="37"/>
        <v>38752</v>
      </c>
      <c r="B41" s="1">
        <v>35</v>
      </c>
      <c r="C41" s="3">
        <v>1.036</v>
      </c>
      <c r="D41" s="3">
        <v>0.96499999999999997</v>
      </c>
      <c r="E41" s="3">
        <v>-1.6619999999999999</v>
      </c>
      <c r="F41" s="3">
        <v>108.3</v>
      </c>
      <c r="G41" s="3">
        <v>-1.857</v>
      </c>
      <c r="H41" s="3">
        <v>-1.9830000000000001</v>
      </c>
      <c r="I41" s="3">
        <v>0.17399999999999999</v>
      </c>
      <c r="J41" s="3">
        <v>-0.40699999999999997</v>
      </c>
      <c r="K41" s="3">
        <v>-0.21</v>
      </c>
      <c r="L41" s="3">
        <v>0.751</v>
      </c>
      <c r="M41" s="3">
        <v>2.222</v>
      </c>
      <c r="N41" s="3">
        <v>0</v>
      </c>
      <c r="O41" s="3">
        <v>0.46400000000000002</v>
      </c>
      <c r="P41" s="3">
        <v>954</v>
      </c>
      <c r="Q41" s="3">
        <v>110.9</v>
      </c>
      <c r="R41" s="3">
        <v>721</v>
      </c>
      <c r="S41" s="3">
        <v>2.3889999999999998</v>
      </c>
      <c r="T41" s="3">
        <v>-8.0000000000000002E-3</v>
      </c>
      <c r="U41" s="3">
        <v>0.22700000000000001</v>
      </c>
      <c r="V41" s="3">
        <v>-0.35799999999999998</v>
      </c>
      <c r="W41" s="3">
        <v>-0.17399999999999999</v>
      </c>
      <c r="X41" s="3">
        <v>0.78100000000000003</v>
      </c>
      <c r="Y41" s="3">
        <v>6.5650000000000004</v>
      </c>
      <c r="Z41" s="3">
        <v>1642</v>
      </c>
      <c r="AA41" s="3">
        <v>-3.7029999999999998</v>
      </c>
      <c r="AB41" s="3">
        <v>2311</v>
      </c>
      <c r="AC41" s="3">
        <v>98.2</v>
      </c>
      <c r="AD41" s="3">
        <v>156</v>
      </c>
      <c r="AE41" s="3">
        <v>-4.05</v>
      </c>
      <c r="AF41" s="3">
        <v>-3.9</v>
      </c>
      <c r="AG41" s="3">
        <v>5.5E-2</v>
      </c>
      <c r="AH41" s="3">
        <v>-0.46600000000000003</v>
      </c>
      <c r="AI41" s="3">
        <v>-0.251</v>
      </c>
      <c r="AJ41" s="3">
        <v>0.72</v>
      </c>
      <c r="AK41" s="3">
        <v>8.3000000000000004E-2</v>
      </c>
      <c r="AL41" s="3">
        <v>5.8000000000000003E-2</v>
      </c>
      <c r="AM41" s="3">
        <v>4.3999999999999997E-2</v>
      </c>
      <c r="AN41" s="3">
        <v>5.7000000000000002E-2</v>
      </c>
      <c r="AO41" s="3">
        <v>0.20599999999999999</v>
      </c>
      <c r="AP41" s="3">
        <v>0.31900000000000001</v>
      </c>
      <c r="AQ41" s="3">
        <v>0.13500000000000001</v>
      </c>
      <c r="AR41" s="3">
        <v>9.8000000000000004E-2</v>
      </c>
      <c r="AS41" s="3">
        <v>2260</v>
      </c>
      <c r="AT41" s="3">
        <v>2257</v>
      </c>
      <c r="AU41" s="3">
        <v>2258</v>
      </c>
      <c r="AV41" s="3">
        <v>-0.89100000000000001</v>
      </c>
      <c r="AW41" s="3">
        <v>-0.96299999999999997</v>
      </c>
      <c r="AX41" s="3">
        <v>-0.67600000000000005</v>
      </c>
      <c r="AY41" s="3">
        <v>-0.73399999999999999</v>
      </c>
      <c r="AZ41" s="3">
        <v>-1.089</v>
      </c>
      <c r="BA41" s="3">
        <v>-1.1779999999999999</v>
      </c>
      <c r="BB41" s="3">
        <v>13.02</v>
      </c>
      <c r="BC41" s="3">
        <v>2876</v>
      </c>
      <c r="BE41" s="6">
        <f t="shared" si="38"/>
        <v>1252</v>
      </c>
      <c r="BG41" s="16">
        <v>7.9</v>
      </c>
      <c r="BH41" s="16">
        <f t="shared" si="1"/>
        <v>15.958</v>
      </c>
      <c r="BI41" s="17">
        <f t="shared" si="2"/>
        <v>1.02</v>
      </c>
      <c r="BJ41" s="17">
        <f t="shared" si="3"/>
        <v>1.06</v>
      </c>
      <c r="BL41" s="1">
        <f t="shared" si="4"/>
        <v>99.6</v>
      </c>
      <c r="BM41" s="1">
        <f t="shared" si="5"/>
        <v>95.5</v>
      </c>
      <c r="BN41" s="1">
        <f t="shared" si="6"/>
        <v>79.400000000000006</v>
      </c>
      <c r="BO41" s="49">
        <f t="shared" si="15"/>
        <v>0.501</v>
      </c>
      <c r="BP41" s="49">
        <f t="shared" si="16"/>
        <v>0.13</v>
      </c>
      <c r="BT41" s="16">
        <f t="shared" si="7"/>
        <v>1.02</v>
      </c>
      <c r="BU41" s="16">
        <f t="shared" si="8"/>
        <v>1.06</v>
      </c>
      <c r="BV41" s="3">
        <f t="shared" si="9"/>
        <v>-1.7</v>
      </c>
      <c r="BW41" s="3">
        <f t="shared" si="39"/>
        <v>-1.9</v>
      </c>
      <c r="BX41" s="3">
        <f t="shared" si="39"/>
        <v>-2</v>
      </c>
      <c r="BY41" s="3">
        <f t="shared" si="39"/>
        <v>0.2</v>
      </c>
      <c r="BZ41" s="3">
        <f t="shared" si="39"/>
        <v>-0.4</v>
      </c>
      <c r="CA41" s="3">
        <f t="shared" si="39"/>
        <v>-0.2</v>
      </c>
      <c r="CB41" s="3">
        <f t="shared" si="39"/>
        <v>0.8</v>
      </c>
      <c r="CC41" s="22">
        <f t="shared" si="11"/>
        <v>95.5</v>
      </c>
      <c r="CD41" s="1">
        <f t="shared" si="17"/>
        <v>0.5</v>
      </c>
      <c r="CE41" s="1">
        <f t="shared" si="18"/>
        <v>2.4</v>
      </c>
      <c r="CF41" s="1">
        <f t="shared" si="19"/>
        <v>0</v>
      </c>
      <c r="CG41" s="1">
        <f t="shared" si="20"/>
        <v>0.2</v>
      </c>
      <c r="CH41" s="1">
        <f t="shared" si="21"/>
        <v>-0.4</v>
      </c>
      <c r="CI41" s="1">
        <f t="shared" si="22"/>
        <v>-0.2</v>
      </c>
      <c r="CJ41" s="1">
        <f t="shared" si="23"/>
        <v>0.8</v>
      </c>
      <c r="CK41" s="2">
        <f t="shared" si="13"/>
        <v>99.6</v>
      </c>
      <c r="CL41" s="1">
        <f t="shared" si="24"/>
        <v>-3.7</v>
      </c>
      <c r="CM41" s="1">
        <f t="shared" si="25"/>
        <v>-4.0999999999999996</v>
      </c>
      <c r="CN41" s="1">
        <f t="shared" si="26"/>
        <v>-3.9</v>
      </c>
      <c r="CO41" s="1">
        <f t="shared" si="27"/>
        <v>0.1</v>
      </c>
      <c r="CP41" s="1">
        <f t="shared" si="28"/>
        <v>-0.5</v>
      </c>
      <c r="CQ41" s="1">
        <f t="shared" si="29"/>
        <v>-0.3</v>
      </c>
      <c r="CR41" s="1">
        <f t="shared" si="30"/>
        <v>0.7</v>
      </c>
      <c r="CS41" s="2">
        <f t="shared" si="31"/>
        <v>79.400000000000006</v>
      </c>
      <c r="CT41" s="6">
        <f t="shared" si="32"/>
        <v>1252</v>
      </c>
      <c r="CU41" s="1">
        <f>PPTest!K41</f>
        <v>8.5</v>
      </c>
      <c r="CV41" s="3">
        <f t="shared" si="33"/>
        <v>2.2200000000000002</v>
      </c>
      <c r="CW41" s="3">
        <f t="shared" si="34"/>
        <v>6.57</v>
      </c>
      <c r="CX41" s="24">
        <f t="shared" si="35"/>
        <v>0.501</v>
      </c>
      <c r="CY41" s="24">
        <f t="shared" si="35"/>
        <v>0.13</v>
      </c>
      <c r="CZ41" s="16">
        <f t="shared" si="36"/>
        <v>13.02</v>
      </c>
    </row>
    <row r="42" spans="1:104" x14ac:dyDescent="0.2">
      <c r="A42" s="14">
        <f t="shared" si="37"/>
        <v>38753</v>
      </c>
      <c r="B42" s="1">
        <v>36</v>
      </c>
      <c r="C42" s="3">
        <v>2.1160000000000001</v>
      </c>
      <c r="D42" s="3">
        <v>2.74</v>
      </c>
      <c r="E42" s="3">
        <v>-5.6280000000000001</v>
      </c>
      <c r="F42" s="3">
        <v>109</v>
      </c>
      <c r="G42" s="3">
        <v>-5.9809999999999999</v>
      </c>
      <c r="H42" s="3">
        <v>-4.6159999999999997</v>
      </c>
      <c r="I42" s="3">
        <v>0.16500000000000001</v>
      </c>
      <c r="J42" s="3">
        <v>-0.42</v>
      </c>
      <c r="K42" s="3">
        <v>-0.19500000000000001</v>
      </c>
      <c r="L42" s="3">
        <v>0.747</v>
      </c>
      <c r="M42" s="3">
        <v>1.78</v>
      </c>
      <c r="N42" s="3">
        <v>0</v>
      </c>
      <c r="O42" s="3">
        <v>-2.7029999999999998</v>
      </c>
      <c r="P42" s="3">
        <v>1520</v>
      </c>
      <c r="Q42" s="3">
        <v>110.6</v>
      </c>
      <c r="R42" s="3">
        <v>217</v>
      </c>
      <c r="S42" s="3">
        <v>-1.4870000000000001</v>
      </c>
      <c r="T42" s="3">
        <v>0.26400000000000001</v>
      </c>
      <c r="U42" s="3">
        <v>0.22</v>
      </c>
      <c r="V42" s="3">
        <v>-0.38</v>
      </c>
      <c r="W42" s="3">
        <v>-0.16400000000000001</v>
      </c>
      <c r="X42" s="3">
        <v>0.77700000000000002</v>
      </c>
      <c r="Y42" s="3">
        <v>3.8250000000000002</v>
      </c>
      <c r="Z42" s="3">
        <v>937</v>
      </c>
      <c r="AA42" s="3">
        <v>-11.78</v>
      </c>
      <c r="AB42" s="3">
        <v>2313</v>
      </c>
      <c r="AC42" s="3">
        <v>102.9</v>
      </c>
      <c r="AD42" s="3">
        <v>1524</v>
      </c>
      <c r="AE42" s="3">
        <v>-13.05</v>
      </c>
      <c r="AF42" s="3">
        <v>-9.6199999999999992</v>
      </c>
      <c r="AG42" s="3">
        <v>3.5000000000000003E-2</v>
      </c>
      <c r="AH42" s="3">
        <v>-0.53300000000000003</v>
      </c>
      <c r="AI42" s="3">
        <v>-0.23</v>
      </c>
      <c r="AJ42" s="3">
        <v>0.71299999999999997</v>
      </c>
      <c r="AK42" s="3">
        <v>1.4E-2</v>
      </c>
      <c r="AL42" s="3">
        <v>0.17199999999999999</v>
      </c>
      <c r="AM42" s="3">
        <v>0.13500000000000001</v>
      </c>
      <c r="AN42" s="3">
        <v>3.0000000000000001E-3</v>
      </c>
      <c r="AO42" s="3">
        <v>0.124</v>
      </c>
      <c r="AP42" s="3">
        <v>0.38200000000000001</v>
      </c>
      <c r="AQ42" s="3">
        <v>0.14000000000000001</v>
      </c>
      <c r="AR42" s="3">
        <v>3.1E-2</v>
      </c>
      <c r="AS42" s="3">
        <v>2305</v>
      </c>
      <c r="AT42" s="3">
        <v>2302</v>
      </c>
      <c r="AU42" s="3">
        <v>2304</v>
      </c>
      <c r="AV42" s="3">
        <v>-0.74299999999999999</v>
      </c>
      <c r="AW42" s="3">
        <v>-0.81399999999999995</v>
      </c>
      <c r="AX42" s="3">
        <v>-0.61399999999999999</v>
      </c>
      <c r="AY42" s="3">
        <v>-0.66800000000000004</v>
      </c>
      <c r="AZ42" s="3">
        <v>-0.84199999999999997</v>
      </c>
      <c r="BA42" s="3">
        <v>-0.91900000000000004</v>
      </c>
      <c r="BB42" s="3">
        <v>13.11</v>
      </c>
      <c r="BC42" s="3">
        <v>2876</v>
      </c>
      <c r="BE42" s="6">
        <f t="shared" si="38"/>
        <v>1206</v>
      </c>
      <c r="BG42" s="16">
        <v>8.06</v>
      </c>
      <c r="BH42" s="16">
        <f t="shared" si="1"/>
        <v>16.281200000000002</v>
      </c>
      <c r="BI42" s="17">
        <f t="shared" si="2"/>
        <v>2.0699999999999998</v>
      </c>
      <c r="BJ42" s="17">
        <f t="shared" si="3"/>
        <v>3.01</v>
      </c>
      <c r="BL42" s="1">
        <f t="shared" si="4"/>
        <v>99.2</v>
      </c>
      <c r="BM42" s="1">
        <f t="shared" si="5"/>
        <v>96.6</v>
      </c>
      <c r="BN42" s="1">
        <f t="shared" si="6"/>
        <v>86.9</v>
      </c>
      <c r="BO42" s="49">
        <f t="shared" si="15"/>
        <v>0.435</v>
      </c>
      <c r="BP42" s="49">
        <f t="shared" si="16"/>
        <v>6.6000000000000003E-2</v>
      </c>
      <c r="BT42" s="16">
        <f t="shared" si="7"/>
        <v>2.0699999999999998</v>
      </c>
      <c r="BU42" s="16">
        <f t="shared" si="8"/>
        <v>3.01</v>
      </c>
      <c r="BV42" s="3">
        <f t="shared" si="9"/>
        <v>-5.6</v>
      </c>
      <c r="BW42" s="3">
        <f t="shared" si="39"/>
        <v>-6</v>
      </c>
      <c r="BX42" s="3">
        <f t="shared" si="39"/>
        <v>-4.5999999999999996</v>
      </c>
      <c r="BY42" s="3">
        <f t="shared" si="39"/>
        <v>0.2</v>
      </c>
      <c r="BZ42" s="3">
        <f t="shared" si="39"/>
        <v>-0.4</v>
      </c>
      <c r="CA42" s="3">
        <f t="shared" si="39"/>
        <v>-0.2</v>
      </c>
      <c r="CB42" s="3">
        <f t="shared" si="39"/>
        <v>0.7</v>
      </c>
      <c r="CC42" s="22">
        <f t="shared" si="11"/>
        <v>96.6</v>
      </c>
      <c r="CD42" s="1">
        <f t="shared" si="17"/>
        <v>-2.7</v>
      </c>
      <c r="CE42" s="1">
        <f t="shared" si="18"/>
        <v>-1.5</v>
      </c>
      <c r="CF42" s="1">
        <f t="shared" si="19"/>
        <v>0.3</v>
      </c>
      <c r="CG42" s="1">
        <f t="shared" si="20"/>
        <v>0.2</v>
      </c>
      <c r="CH42" s="1">
        <f t="shared" si="21"/>
        <v>-0.4</v>
      </c>
      <c r="CI42" s="1">
        <f t="shared" si="22"/>
        <v>-0.2</v>
      </c>
      <c r="CJ42" s="1">
        <f t="shared" si="23"/>
        <v>0.8</v>
      </c>
      <c r="CK42" s="2">
        <f t="shared" si="13"/>
        <v>99.2</v>
      </c>
      <c r="CL42" s="1">
        <f t="shared" si="24"/>
        <v>-11.8</v>
      </c>
      <c r="CM42" s="1">
        <f t="shared" si="25"/>
        <v>-13.1</v>
      </c>
      <c r="CN42" s="1">
        <f t="shared" si="26"/>
        <v>-9.6</v>
      </c>
      <c r="CO42" s="1">
        <f t="shared" si="27"/>
        <v>0</v>
      </c>
      <c r="CP42" s="1">
        <f t="shared" si="28"/>
        <v>-0.5</v>
      </c>
      <c r="CQ42" s="1">
        <f t="shared" si="29"/>
        <v>-0.2</v>
      </c>
      <c r="CR42" s="1">
        <f t="shared" si="30"/>
        <v>0.7</v>
      </c>
      <c r="CS42" s="2">
        <f t="shared" si="31"/>
        <v>86.9</v>
      </c>
      <c r="CT42" s="6">
        <f t="shared" si="32"/>
        <v>1206</v>
      </c>
      <c r="CU42" s="1">
        <f>PPTest!K42</f>
        <v>0</v>
      </c>
      <c r="CV42" s="3">
        <f t="shared" si="33"/>
        <v>1.78</v>
      </c>
      <c r="CW42" s="3">
        <f t="shared" si="34"/>
        <v>3.83</v>
      </c>
      <c r="CX42" s="24">
        <f t="shared" si="35"/>
        <v>0.435</v>
      </c>
      <c r="CY42" s="24">
        <f t="shared" si="35"/>
        <v>6.6000000000000003E-2</v>
      </c>
      <c r="CZ42" s="16">
        <f t="shared" si="36"/>
        <v>13.11</v>
      </c>
    </row>
    <row r="43" spans="1:104" x14ac:dyDescent="0.2">
      <c r="A43" s="14">
        <f t="shared" si="37"/>
        <v>38754</v>
      </c>
      <c r="B43" s="1">
        <v>37</v>
      </c>
      <c r="C43" s="3">
        <v>1.502</v>
      </c>
      <c r="D43" s="3">
        <v>2.0859999999999999</v>
      </c>
      <c r="E43" s="3">
        <v>-6.4340000000000002</v>
      </c>
      <c r="F43" s="3">
        <v>108.1</v>
      </c>
      <c r="G43" s="3">
        <v>-6.9729999999999999</v>
      </c>
      <c r="H43" s="3">
        <v>-5.8339999999999996</v>
      </c>
      <c r="I43" s="3">
        <v>0.114</v>
      </c>
      <c r="J43" s="3">
        <v>-0.55900000000000005</v>
      </c>
      <c r="K43" s="3">
        <v>-0.23300000000000001</v>
      </c>
      <c r="L43" s="3">
        <v>0.74299999999999999</v>
      </c>
      <c r="M43" s="3">
        <v>1.19</v>
      </c>
      <c r="N43" s="3">
        <v>0</v>
      </c>
      <c r="O43" s="3">
        <v>-1.5680000000000001</v>
      </c>
      <c r="P43" s="3">
        <v>1257</v>
      </c>
      <c r="Q43" s="3">
        <v>110.9</v>
      </c>
      <c r="R43" s="3">
        <v>1937</v>
      </c>
      <c r="S43" s="3">
        <v>-0.876</v>
      </c>
      <c r="T43" s="3">
        <v>-7.3999999999999996E-2</v>
      </c>
      <c r="U43" s="3">
        <v>0.19600000000000001</v>
      </c>
      <c r="V43" s="3">
        <v>-0.48799999999999999</v>
      </c>
      <c r="W43" s="3">
        <v>-0.17299999999999999</v>
      </c>
      <c r="X43" s="3">
        <v>0.77300000000000002</v>
      </c>
      <c r="Y43" s="3">
        <v>2.8540000000000001</v>
      </c>
      <c r="Z43" s="3">
        <v>1538</v>
      </c>
      <c r="AA43" s="3">
        <v>-11.66</v>
      </c>
      <c r="AB43" s="3">
        <v>10</v>
      </c>
      <c r="AC43" s="3">
        <v>101.9</v>
      </c>
      <c r="AD43" s="3">
        <v>1510</v>
      </c>
      <c r="AE43" s="3">
        <v>-13</v>
      </c>
      <c r="AF43" s="3">
        <v>-10.47</v>
      </c>
      <c r="AG43" s="3">
        <v>1.2E-2</v>
      </c>
      <c r="AH43" s="3">
        <v>-0.621</v>
      </c>
      <c r="AI43" s="3">
        <v>-0.29799999999999999</v>
      </c>
      <c r="AJ43" s="3">
        <v>0.70899999999999996</v>
      </c>
      <c r="AK43" s="3">
        <v>0.115</v>
      </c>
      <c r="AL43" s="3">
        <v>0.34100000000000003</v>
      </c>
      <c r="AM43" s="3">
        <v>0.186</v>
      </c>
      <c r="AN43" s="3">
        <v>3.2000000000000001E-2</v>
      </c>
      <c r="AO43" s="3">
        <v>6.2E-2</v>
      </c>
      <c r="AP43" s="3">
        <v>0.13300000000000001</v>
      </c>
      <c r="AQ43" s="3">
        <v>6.9000000000000006E-2</v>
      </c>
      <c r="AR43" s="3">
        <v>6.0999999999999999E-2</v>
      </c>
      <c r="AS43" s="3">
        <v>2337</v>
      </c>
      <c r="AT43" s="3">
        <v>2335</v>
      </c>
      <c r="AU43" s="3">
        <v>2336</v>
      </c>
      <c r="AV43" s="3">
        <v>-0.90900000000000003</v>
      </c>
      <c r="AW43" s="3">
        <v>-1.0069999999999999</v>
      </c>
      <c r="AX43" s="3">
        <v>-0.71799999999999997</v>
      </c>
      <c r="AY43" s="3">
        <v>-0.80700000000000005</v>
      </c>
      <c r="AZ43" s="3">
        <v>-0.98599999999999999</v>
      </c>
      <c r="BA43" s="3">
        <v>-1.1140000000000001</v>
      </c>
      <c r="BB43" s="3">
        <v>13.12</v>
      </c>
      <c r="BC43" s="3">
        <v>2876</v>
      </c>
      <c r="BE43" s="6">
        <f t="shared" si="38"/>
        <v>1174</v>
      </c>
      <c r="BG43" s="16">
        <v>8.23</v>
      </c>
      <c r="BH43" s="16">
        <f t="shared" si="1"/>
        <v>16.624600000000001</v>
      </c>
      <c r="BI43" s="17">
        <f t="shared" si="2"/>
        <v>1.47</v>
      </c>
      <c r="BJ43" s="17">
        <f t="shared" si="3"/>
        <v>2.29</v>
      </c>
      <c r="BL43" s="1">
        <f t="shared" si="4"/>
        <v>99.6</v>
      </c>
      <c r="BM43" s="1">
        <f t="shared" si="5"/>
        <v>95.2</v>
      </c>
      <c r="BN43" s="1">
        <f t="shared" si="6"/>
        <v>85.3</v>
      </c>
      <c r="BO43" s="49">
        <f t="shared" si="15"/>
        <v>0.46400000000000002</v>
      </c>
      <c r="BP43" s="49">
        <f t="shared" si="16"/>
        <v>0.08</v>
      </c>
      <c r="BT43" s="16">
        <f t="shared" si="7"/>
        <v>1.47</v>
      </c>
      <c r="BU43" s="16">
        <f t="shared" si="8"/>
        <v>2.29</v>
      </c>
      <c r="BV43" s="3">
        <f t="shared" si="9"/>
        <v>-6.4</v>
      </c>
      <c r="BW43" s="3">
        <f t="shared" si="39"/>
        <v>-7</v>
      </c>
      <c r="BX43" s="3">
        <f t="shared" si="39"/>
        <v>-5.8</v>
      </c>
      <c r="BY43" s="3">
        <f t="shared" si="39"/>
        <v>0.1</v>
      </c>
      <c r="BZ43" s="3">
        <f t="shared" si="39"/>
        <v>-0.6</v>
      </c>
      <c r="CA43" s="3">
        <f t="shared" si="39"/>
        <v>-0.2</v>
      </c>
      <c r="CB43" s="3">
        <f t="shared" si="39"/>
        <v>0.7</v>
      </c>
      <c r="CC43" s="22">
        <f t="shared" si="11"/>
        <v>95.2</v>
      </c>
      <c r="CD43" s="1">
        <f t="shared" si="17"/>
        <v>-1.6</v>
      </c>
      <c r="CE43" s="1">
        <f t="shared" si="18"/>
        <v>-0.9</v>
      </c>
      <c r="CF43" s="1">
        <f t="shared" si="19"/>
        <v>-0.1</v>
      </c>
      <c r="CG43" s="1">
        <f t="shared" si="20"/>
        <v>0.2</v>
      </c>
      <c r="CH43" s="1">
        <f t="shared" si="21"/>
        <v>-0.5</v>
      </c>
      <c r="CI43" s="1">
        <f t="shared" si="22"/>
        <v>-0.2</v>
      </c>
      <c r="CJ43" s="1">
        <f t="shared" si="23"/>
        <v>0.8</v>
      </c>
      <c r="CK43" s="2">
        <f t="shared" si="13"/>
        <v>99.6</v>
      </c>
      <c r="CL43" s="1">
        <f t="shared" si="24"/>
        <v>-11.7</v>
      </c>
      <c r="CM43" s="1">
        <f t="shared" si="25"/>
        <v>-13</v>
      </c>
      <c r="CN43" s="1">
        <f t="shared" si="26"/>
        <v>-10.5</v>
      </c>
      <c r="CO43" s="1">
        <f t="shared" si="27"/>
        <v>0</v>
      </c>
      <c r="CP43" s="1">
        <f t="shared" si="28"/>
        <v>-0.6</v>
      </c>
      <c r="CQ43" s="1">
        <f t="shared" si="29"/>
        <v>-0.3</v>
      </c>
      <c r="CR43" s="1">
        <f t="shared" si="30"/>
        <v>0.7</v>
      </c>
      <c r="CS43" s="2">
        <f t="shared" si="31"/>
        <v>85.3</v>
      </c>
      <c r="CT43" s="6">
        <f t="shared" si="32"/>
        <v>1174</v>
      </c>
      <c r="CU43" s="1">
        <f>PPTest!K43</f>
        <v>0</v>
      </c>
      <c r="CV43" s="3">
        <f t="shared" si="33"/>
        <v>1.19</v>
      </c>
      <c r="CW43" s="3">
        <f t="shared" si="34"/>
        <v>2.85</v>
      </c>
      <c r="CX43" s="24">
        <f t="shared" si="35"/>
        <v>0.46400000000000002</v>
      </c>
      <c r="CY43" s="24">
        <f t="shared" si="35"/>
        <v>0.08</v>
      </c>
      <c r="CZ43" s="16">
        <f t="shared" si="36"/>
        <v>13.12</v>
      </c>
    </row>
    <row r="44" spans="1:104" x14ac:dyDescent="0.2">
      <c r="A44" s="14">
        <f t="shared" si="37"/>
        <v>38755</v>
      </c>
      <c r="B44" s="1">
        <v>38</v>
      </c>
      <c r="C44" s="3">
        <v>1.7050000000000001</v>
      </c>
      <c r="D44" s="3">
        <v>1.8320000000000001</v>
      </c>
      <c r="E44" s="3">
        <v>-5.2569999999999997</v>
      </c>
      <c r="F44" s="3">
        <v>107.9</v>
      </c>
      <c r="G44" s="3">
        <v>-5.8</v>
      </c>
      <c r="H44" s="3">
        <v>-5.6059999999999999</v>
      </c>
      <c r="I44" s="3">
        <v>0.11700000000000001</v>
      </c>
      <c r="J44" s="3">
        <v>-0.59499999999999997</v>
      </c>
      <c r="K44" s="3">
        <v>-0.27700000000000002</v>
      </c>
      <c r="L44" s="3">
        <v>0.73799999999999999</v>
      </c>
      <c r="M44" s="3">
        <v>1.194</v>
      </c>
      <c r="N44" s="3">
        <v>0</v>
      </c>
      <c r="O44" s="3">
        <v>-0.76</v>
      </c>
      <c r="P44" s="3">
        <v>1112</v>
      </c>
      <c r="Q44" s="3">
        <v>110.2</v>
      </c>
      <c r="R44" s="3">
        <v>2207</v>
      </c>
      <c r="S44" s="3">
        <v>0.443</v>
      </c>
      <c r="T44" s="3">
        <v>-1.1499999999999999</v>
      </c>
      <c r="U44" s="3">
        <v>0.184</v>
      </c>
      <c r="V44" s="3">
        <v>-0.50700000000000001</v>
      </c>
      <c r="W44" s="3">
        <v>-0.23400000000000001</v>
      </c>
      <c r="X44" s="3">
        <v>0.76700000000000002</v>
      </c>
      <c r="Y44" s="3">
        <v>2.3620000000000001</v>
      </c>
      <c r="Z44" s="3">
        <v>1116</v>
      </c>
      <c r="AA44" s="3">
        <v>-10.89</v>
      </c>
      <c r="AB44" s="3">
        <v>12</v>
      </c>
      <c r="AC44" s="3">
        <v>100.8</v>
      </c>
      <c r="AD44" s="3">
        <v>1245</v>
      </c>
      <c r="AE44" s="3">
        <v>-12.72</v>
      </c>
      <c r="AF44" s="3">
        <v>-10.19</v>
      </c>
      <c r="AG44" s="3">
        <v>8.0000000000000002E-3</v>
      </c>
      <c r="AH44" s="3">
        <v>-0.66700000000000004</v>
      </c>
      <c r="AI44" s="3">
        <v>-0.311</v>
      </c>
      <c r="AJ44" s="3">
        <v>0.70699999999999996</v>
      </c>
      <c r="AK44" s="3">
        <v>0.14399999999999999</v>
      </c>
      <c r="AL44" s="3">
        <v>0.36</v>
      </c>
      <c r="AM44" s="3">
        <v>0.29199999999999998</v>
      </c>
      <c r="AN44" s="3">
        <v>0.04</v>
      </c>
      <c r="AO44" s="3">
        <v>6.4000000000000001E-2</v>
      </c>
      <c r="AP44" s="3">
        <v>5.8999999999999997E-2</v>
      </c>
      <c r="AQ44" s="3">
        <v>1.6E-2</v>
      </c>
      <c r="AR44" s="3">
        <v>2.5999999999999999E-2</v>
      </c>
      <c r="AS44" s="3">
        <v>2360</v>
      </c>
      <c r="AT44" s="3">
        <v>2359</v>
      </c>
      <c r="AU44" s="3">
        <v>2360</v>
      </c>
      <c r="AV44" s="3">
        <v>-1.113</v>
      </c>
      <c r="AW44" s="3">
        <v>-1.22</v>
      </c>
      <c r="AX44" s="3">
        <v>-0.98599999999999999</v>
      </c>
      <c r="AY44" s="3">
        <v>-1.0840000000000001</v>
      </c>
      <c r="AZ44" s="3">
        <v>-1.234</v>
      </c>
      <c r="BA44" s="3">
        <v>-1.3540000000000001</v>
      </c>
      <c r="BB44" s="3">
        <v>13.07</v>
      </c>
      <c r="BC44" s="3">
        <v>2876</v>
      </c>
      <c r="BE44" s="6">
        <f t="shared" si="38"/>
        <v>1150</v>
      </c>
      <c r="BG44" s="16">
        <v>8.4</v>
      </c>
      <c r="BH44" s="16">
        <f t="shared" si="1"/>
        <v>16.968</v>
      </c>
      <c r="BI44" s="17">
        <f t="shared" si="2"/>
        <v>1.67</v>
      </c>
      <c r="BJ44" s="17">
        <f t="shared" si="3"/>
        <v>2.02</v>
      </c>
      <c r="BL44" s="1">
        <f t="shared" si="4"/>
        <v>98.5</v>
      </c>
      <c r="BM44" s="1">
        <f t="shared" si="5"/>
        <v>94.9</v>
      </c>
      <c r="BN44" s="1">
        <f t="shared" si="6"/>
        <v>83.6</v>
      </c>
      <c r="BO44" s="49">
        <f t="shared" si="15"/>
        <v>0.48299999999999998</v>
      </c>
      <c r="BP44" s="49">
        <f t="shared" si="16"/>
        <v>9.5000000000000001E-2</v>
      </c>
      <c r="BT44" s="16">
        <f t="shared" si="7"/>
        <v>1.67</v>
      </c>
      <c r="BU44" s="16">
        <f t="shared" si="8"/>
        <v>2.02</v>
      </c>
      <c r="BV44" s="3">
        <f t="shared" si="9"/>
        <v>-5.3</v>
      </c>
      <c r="BW44" s="3">
        <f t="shared" si="39"/>
        <v>-5.8</v>
      </c>
      <c r="BX44" s="3">
        <f t="shared" si="39"/>
        <v>-5.6</v>
      </c>
      <c r="BY44" s="3">
        <f t="shared" si="39"/>
        <v>0.1</v>
      </c>
      <c r="BZ44" s="3">
        <f t="shared" si="39"/>
        <v>-0.6</v>
      </c>
      <c r="CA44" s="3">
        <f t="shared" si="39"/>
        <v>-0.3</v>
      </c>
      <c r="CB44" s="3">
        <f t="shared" si="39"/>
        <v>0.7</v>
      </c>
      <c r="CC44" s="22">
        <f t="shared" si="11"/>
        <v>94.9</v>
      </c>
      <c r="CD44" s="1">
        <f t="shared" si="17"/>
        <v>-0.8</v>
      </c>
      <c r="CE44" s="1">
        <f t="shared" si="18"/>
        <v>0.4</v>
      </c>
      <c r="CF44" s="1">
        <f t="shared" si="19"/>
        <v>-1.2</v>
      </c>
      <c r="CG44" s="1">
        <f t="shared" si="20"/>
        <v>0.2</v>
      </c>
      <c r="CH44" s="1">
        <f t="shared" si="21"/>
        <v>-0.5</v>
      </c>
      <c r="CI44" s="1">
        <f t="shared" si="22"/>
        <v>-0.2</v>
      </c>
      <c r="CJ44" s="1">
        <f t="shared" si="23"/>
        <v>0.8</v>
      </c>
      <c r="CK44" s="2">
        <f t="shared" si="13"/>
        <v>98.5</v>
      </c>
      <c r="CL44" s="1">
        <f t="shared" si="24"/>
        <v>-10.9</v>
      </c>
      <c r="CM44" s="1">
        <f t="shared" si="25"/>
        <v>-12.7</v>
      </c>
      <c r="CN44" s="1">
        <f t="shared" si="26"/>
        <v>-10.199999999999999</v>
      </c>
      <c r="CO44" s="1">
        <f t="shared" si="27"/>
        <v>0</v>
      </c>
      <c r="CP44" s="1">
        <f t="shared" si="28"/>
        <v>-0.7</v>
      </c>
      <c r="CQ44" s="1">
        <f t="shared" si="29"/>
        <v>-0.3</v>
      </c>
      <c r="CR44" s="1">
        <f t="shared" si="30"/>
        <v>0.7</v>
      </c>
      <c r="CS44" s="2">
        <f t="shared" si="31"/>
        <v>83.6</v>
      </c>
      <c r="CT44" s="6">
        <f t="shared" si="32"/>
        <v>1150</v>
      </c>
      <c r="CU44" s="1">
        <f>PPTest!K44</f>
        <v>0</v>
      </c>
      <c r="CV44" s="3">
        <f t="shared" si="33"/>
        <v>1.19</v>
      </c>
      <c r="CW44" s="3">
        <f t="shared" si="34"/>
        <v>2.36</v>
      </c>
      <c r="CX44" s="24">
        <f t="shared" si="35"/>
        <v>0.48299999999999998</v>
      </c>
      <c r="CY44" s="24">
        <f t="shared" si="35"/>
        <v>9.5000000000000001E-2</v>
      </c>
      <c r="CZ44" s="16">
        <f t="shared" si="36"/>
        <v>13.07</v>
      </c>
    </row>
    <row r="45" spans="1:104" x14ac:dyDescent="0.2">
      <c r="A45" s="14">
        <f t="shared" si="37"/>
        <v>38756</v>
      </c>
      <c r="B45" s="1">
        <v>39</v>
      </c>
      <c r="C45" s="3">
        <v>4.0730000000000004</v>
      </c>
      <c r="D45" s="3">
        <v>3.8959999999999999</v>
      </c>
      <c r="E45" s="3">
        <v>-4.7130000000000001</v>
      </c>
      <c r="F45" s="3">
        <v>104.2</v>
      </c>
      <c r="G45" s="3">
        <v>-5.3040000000000003</v>
      </c>
      <c r="H45" s="3">
        <v>-5.2190000000000003</v>
      </c>
      <c r="I45" s="3">
        <v>0.11600000000000001</v>
      </c>
      <c r="J45" s="3">
        <v>-0.50700000000000001</v>
      </c>
      <c r="K45" s="3">
        <v>-0.255</v>
      </c>
      <c r="L45" s="3">
        <v>0.73599999999999999</v>
      </c>
      <c r="M45" s="3">
        <v>1.5980000000000001</v>
      </c>
      <c r="N45" s="3">
        <v>0</v>
      </c>
      <c r="O45" s="3">
        <v>-0.37</v>
      </c>
      <c r="P45" s="3">
        <v>1004</v>
      </c>
      <c r="Q45" s="3">
        <v>110.1</v>
      </c>
      <c r="R45" s="3">
        <v>6</v>
      </c>
      <c r="S45" s="3">
        <v>0.128</v>
      </c>
      <c r="T45" s="3">
        <v>0.34100000000000003</v>
      </c>
      <c r="U45" s="3">
        <v>0.19400000000000001</v>
      </c>
      <c r="V45" s="3">
        <v>-0.46100000000000002</v>
      </c>
      <c r="W45" s="3">
        <v>-0.218</v>
      </c>
      <c r="X45" s="3">
        <v>0.76700000000000002</v>
      </c>
      <c r="Y45" s="3">
        <v>4.6760000000000002</v>
      </c>
      <c r="Z45" s="3">
        <v>1305</v>
      </c>
      <c r="AA45" s="3">
        <v>-11.79</v>
      </c>
      <c r="AB45" s="3">
        <v>2252</v>
      </c>
      <c r="AC45" s="3">
        <v>86.8</v>
      </c>
      <c r="AD45" s="3">
        <v>1737</v>
      </c>
      <c r="AE45" s="3">
        <v>-13.85</v>
      </c>
      <c r="AF45" s="3">
        <v>-11.54</v>
      </c>
      <c r="AG45" s="3">
        <v>-5.3999999999999999E-2</v>
      </c>
      <c r="AH45" s="3">
        <v>-0.61699999999999999</v>
      </c>
      <c r="AI45" s="3">
        <v>-0.29899999999999999</v>
      </c>
      <c r="AJ45" s="3">
        <v>0.70699999999999996</v>
      </c>
      <c r="AK45" s="3">
        <v>7.1999999999999995E-2</v>
      </c>
      <c r="AL45" s="3">
        <v>0.13900000000000001</v>
      </c>
      <c r="AM45" s="3">
        <v>0.113</v>
      </c>
      <c r="AN45" s="3">
        <v>7.4999999999999997E-2</v>
      </c>
      <c r="AO45" s="3">
        <v>0.193</v>
      </c>
      <c r="AP45" s="3">
        <v>0.27100000000000002</v>
      </c>
      <c r="AQ45" s="3">
        <v>8.6999999999999994E-2</v>
      </c>
      <c r="AR45" s="3">
        <v>4.9000000000000002E-2</v>
      </c>
      <c r="AS45" s="3">
        <v>6999</v>
      </c>
      <c r="AT45" s="3">
        <v>2389</v>
      </c>
      <c r="AU45" s="3">
        <v>6759</v>
      </c>
      <c r="AV45" s="3">
        <v>-1.1419999999999999</v>
      </c>
      <c r="AW45" s="3">
        <v>-1.234</v>
      </c>
      <c r="AX45" s="3">
        <v>-0.94499999999999995</v>
      </c>
      <c r="AY45" s="3">
        <v>-1.02</v>
      </c>
      <c r="AZ45" s="3">
        <v>-1.296</v>
      </c>
      <c r="BA45" s="3">
        <v>-1.4119999999999999</v>
      </c>
      <c r="BB45" s="3">
        <v>13.12</v>
      </c>
      <c r="BC45" s="3">
        <v>2876</v>
      </c>
      <c r="BE45" s="18">
        <v>1100</v>
      </c>
      <c r="BG45" s="16">
        <v>8.57</v>
      </c>
      <c r="BH45" s="16">
        <f t="shared" si="1"/>
        <v>17.311399999999999</v>
      </c>
      <c r="BI45" s="17">
        <f t="shared" si="2"/>
        <v>3.99</v>
      </c>
      <c r="BJ45" s="17">
        <f t="shared" si="3"/>
        <v>4.29</v>
      </c>
      <c r="BL45" s="1">
        <f t="shared" si="4"/>
        <v>98.4</v>
      </c>
      <c r="BM45" s="1">
        <f t="shared" si="5"/>
        <v>89</v>
      </c>
      <c r="BN45" s="1">
        <f t="shared" si="6"/>
        <v>69.400000000000006</v>
      </c>
      <c r="BO45" s="49">
        <f t="shared" si="15"/>
        <v>0.41199999999999998</v>
      </c>
      <c r="BP45" s="49">
        <f t="shared" si="16"/>
        <v>0.182</v>
      </c>
      <c r="BT45" s="16">
        <f t="shared" si="7"/>
        <v>3.99</v>
      </c>
      <c r="BU45" s="16">
        <f t="shared" si="8"/>
        <v>4.29</v>
      </c>
      <c r="BV45" s="3">
        <f t="shared" si="9"/>
        <v>-4.7</v>
      </c>
      <c r="BW45" s="3">
        <f t="shared" si="39"/>
        <v>-5.3</v>
      </c>
      <c r="BX45" s="3">
        <f t="shared" si="39"/>
        <v>-5.2</v>
      </c>
      <c r="BY45" s="3">
        <f t="shared" si="39"/>
        <v>0.1</v>
      </c>
      <c r="BZ45" s="3">
        <f t="shared" si="39"/>
        <v>-0.5</v>
      </c>
      <c r="CA45" s="3">
        <f t="shared" si="39"/>
        <v>-0.3</v>
      </c>
      <c r="CB45" s="3">
        <f t="shared" si="39"/>
        <v>0.7</v>
      </c>
      <c r="CC45" s="22">
        <f t="shared" si="11"/>
        <v>89</v>
      </c>
      <c r="CD45" s="1">
        <f t="shared" si="17"/>
        <v>-0.4</v>
      </c>
      <c r="CE45" s="1">
        <f t="shared" si="18"/>
        <v>0.1</v>
      </c>
      <c r="CF45" s="1">
        <f t="shared" si="19"/>
        <v>0.3</v>
      </c>
      <c r="CG45" s="1">
        <f t="shared" si="20"/>
        <v>0.2</v>
      </c>
      <c r="CH45" s="1">
        <f t="shared" si="21"/>
        <v>-0.5</v>
      </c>
      <c r="CI45" s="1">
        <f t="shared" si="22"/>
        <v>-0.2</v>
      </c>
      <c r="CJ45" s="1">
        <f t="shared" si="23"/>
        <v>0.8</v>
      </c>
      <c r="CK45" s="2">
        <f t="shared" si="13"/>
        <v>98.4</v>
      </c>
      <c r="CL45" s="1">
        <f t="shared" si="24"/>
        <v>-11.8</v>
      </c>
      <c r="CM45" s="1">
        <f t="shared" si="25"/>
        <v>-13.9</v>
      </c>
      <c r="CN45" s="1">
        <f t="shared" si="26"/>
        <v>-11.5</v>
      </c>
      <c r="CO45" s="1">
        <f t="shared" si="27"/>
        <v>-0.1</v>
      </c>
      <c r="CP45" s="1">
        <f t="shared" si="28"/>
        <v>-0.6</v>
      </c>
      <c r="CQ45" s="1">
        <f t="shared" si="29"/>
        <v>-0.3</v>
      </c>
      <c r="CR45" s="1">
        <f t="shared" si="30"/>
        <v>0.7</v>
      </c>
      <c r="CS45" s="2">
        <f t="shared" si="31"/>
        <v>69.400000000000006</v>
      </c>
      <c r="CT45" s="6">
        <f t="shared" si="32"/>
        <v>1100</v>
      </c>
      <c r="CU45" s="1">
        <f>PPTest!K45</f>
        <v>0</v>
      </c>
      <c r="CV45" s="3">
        <f t="shared" si="33"/>
        <v>1.6</v>
      </c>
      <c r="CW45" s="3">
        <f t="shared" si="34"/>
        <v>4.68</v>
      </c>
      <c r="CX45" s="24">
        <f t="shared" si="35"/>
        <v>0.41199999999999998</v>
      </c>
      <c r="CY45" s="24">
        <f t="shared" si="35"/>
        <v>0.182</v>
      </c>
      <c r="CZ45" s="16">
        <f t="shared" si="36"/>
        <v>13.12</v>
      </c>
    </row>
    <row r="46" spans="1:104" x14ac:dyDescent="0.2">
      <c r="A46" s="14">
        <f t="shared" si="37"/>
        <v>38757</v>
      </c>
      <c r="B46" s="1">
        <v>40</v>
      </c>
      <c r="C46" s="3">
        <v>12.11</v>
      </c>
      <c r="D46" s="3">
        <v>11.11</v>
      </c>
      <c r="E46" s="3">
        <v>-11.98</v>
      </c>
      <c r="F46" s="3">
        <v>98.3</v>
      </c>
      <c r="G46" s="3">
        <v>-13.32</v>
      </c>
      <c r="H46" s="3">
        <v>-11.43</v>
      </c>
      <c r="I46" s="3">
        <v>-0.16800000000000001</v>
      </c>
      <c r="J46" s="3">
        <v>-0.85099999999999998</v>
      </c>
      <c r="K46" s="3">
        <v>-0.31900000000000001</v>
      </c>
      <c r="L46" s="3">
        <v>0.73299999999999998</v>
      </c>
      <c r="M46" s="3">
        <v>1.5820000000000001</v>
      </c>
      <c r="N46" s="3">
        <v>0</v>
      </c>
      <c r="O46" s="3">
        <v>-3.984</v>
      </c>
      <c r="P46" s="3">
        <v>1452</v>
      </c>
      <c r="Q46" s="3">
        <v>110.2</v>
      </c>
      <c r="R46" s="3">
        <v>606</v>
      </c>
      <c r="S46" s="3">
        <v>-2.1960000000000002</v>
      </c>
      <c r="T46" s="3">
        <v>1.806</v>
      </c>
      <c r="U46" s="3">
        <v>3.0000000000000001E-3</v>
      </c>
      <c r="V46" s="3">
        <v>-0.58499999999999996</v>
      </c>
      <c r="W46" s="3">
        <v>-0.222</v>
      </c>
      <c r="X46" s="3">
        <v>0.76400000000000001</v>
      </c>
      <c r="Y46" s="3">
        <v>3.4129999999999998</v>
      </c>
      <c r="Z46" s="3">
        <v>1351</v>
      </c>
      <c r="AA46" s="3">
        <v>-20.58</v>
      </c>
      <c r="AB46" s="3">
        <v>2338</v>
      </c>
      <c r="AC46" s="3">
        <v>72.7</v>
      </c>
      <c r="AD46" s="3">
        <v>1249</v>
      </c>
      <c r="AE46" s="3">
        <v>-22.17</v>
      </c>
      <c r="AF46" s="3">
        <v>-19.5</v>
      </c>
      <c r="AG46" s="3">
        <v>-0.47199999999999998</v>
      </c>
      <c r="AH46" s="3">
        <v>-1.0980000000000001</v>
      </c>
      <c r="AI46" s="3">
        <v>-0.39700000000000002</v>
      </c>
      <c r="AJ46" s="3">
        <v>0.69699999999999995</v>
      </c>
      <c r="AK46" s="3">
        <v>5.5E-2</v>
      </c>
      <c r="AL46" s="3">
        <v>0.22700000000000001</v>
      </c>
      <c r="AM46" s="3">
        <v>0.35099999999999998</v>
      </c>
      <c r="AN46" s="3">
        <v>3.7999999999999999E-2</v>
      </c>
      <c r="AO46" s="3">
        <v>8.5999999999999993E-2</v>
      </c>
      <c r="AP46" s="3">
        <v>0.106</v>
      </c>
      <c r="AQ46" s="3">
        <v>5.8000000000000003E-2</v>
      </c>
      <c r="AR46" s="3">
        <v>7.9000000000000001E-2</v>
      </c>
      <c r="AS46" s="3">
        <v>6999</v>
      </c>
      <c r="AT46" s="3">
        <v>6999</v>
      </c>
      <c r="AU46" s="3">
        <v>6999</v>
      </c>
      <c r="AV46" s="3">
        <v>-1.0780000000000001</v>
      </c>
      <c r="AW46" s="3">
        <v>-1.181</v>
      </c>
      <c r="AX46" s="3">
        <v>-0.98599999999999999</v>
      </c>
      <c r="AY46" s="3">
        <v>-1.056</v>
      </c>
      <c r="AZ46" s="3">
        <v>-1.131</v>
      </c>
      <c r="BA46" s="3">
        <v>-1.254</v>
      </c>
      <c r="BB46" s="3">
        <v>13.14</v>
      </c>
      <c r="BC46" s="3">
        <v>2876</v>
      </c>
      <c r="BD46" s="1" t="s">
        <v>158</v>
      </c>
      <c r="BE46" s="18">
        <v>1075</v>
      </c>
      <c r="BG46" s="16">
        <v>8.75</v>
      </c>
      <c r="BH46" s="16">
        <f t="shared" si="1"/>
        <v>17.675000000000001</v>
      </c>
      <c r="BI46" s="44">
        <v>8.75</v>
      </c>
      <c r="BJ46" s="44">
        <v>17.675000000000001</v>
      </c>
      <c r="BL46" s="1">
        <f t="shared" si="4"/>
        <v>98.5</v>
      </c>
      <c r="BM46" s="1">
        <f t="shared" si="5"/>
        <v>79.5</v>
      </c>
      <c r="BN46" s="1">
        <f t="shared" si="6"/>
        <v>57</v>
      </c>
      <c r="BO46" s="49">
        <f t="shared" si="15"/>
        <v>0.25900000000000001</v>
      </c>
      <c r="BP46" s="49">
        <f t="shared" si="16"/>
        <v>0.19500000000000001</v>
      </c>
      <c r="BT46" s="16">
        <f t="shared" si="7"/>
        <v>8.75</v>
      </c>
      <c r="BU46" s="16">
        <f t="shared" si="8"/>
        <v>17.675000000000001</v>
      </c>
      <c r="BV46" s="3">
        <f t="shared" si="9"/>
        <v>-12</v>
      </c>
      <c r="BW46" s="3">
        <f t="shared" si="39"/>
        <v>-13.3</v>
      </c>
      <c r="BX46" s="3">
        <f t="shared" si="39"/>
        <v>-11.4</v>
      </c>
      <c r="BY46" s="3">
        <f t="shared" si="39"/>
        <v>-0.2</v>
      </c>
      <c r="BZ46" s="3">
        <f t="shared" si="39"/>
        <v>-0.9</v>
      </c>
      <c r="CA46" s="3">
        <f t="shared" si="39"/>
        <v>-0.3</v>
      </c>
      <c r="CB46" s="3">
        <f t="shared" si="39"/>
        <v>0.7</v>
      </c>
      <c r="CC46" s="22">
        <f t="shared" si="11"/>
        <v>79.5</v>
      </c>
      <c r="CD46" s="1">
        <f t="shared" si="17"/>
        <v>-4</v>
      </c>
      <c r="CE46" s="1">
        <f t="shared" si="18"/>
        <v>-2.2000000000000002</v>
      </c>
      <c r="CF46" s="1">
        <f t="shared" si="19"/>
        <v>1.8</v>
      </c>
      <c r="CG46" s="1">
        <f t="shared" si="20"/>
        <v>0</v>
      </c>
      <c r="CH46" s="1">
        <f t="shared" si="21"/>
        <v>-0.6</v>
      </c>
      <c r="CI46" s="1">
        <f t="shared" si="22"/>
        <v>-0.2</v>
      </c>
      <c r="CJ46" s="1">
        <f t="shared" si="23"/>
        <v>0.8</v>
      </c>
      <c r="CK46" s="2">
        <f t="shared" si="13"/>
        <v>98.5</v>
      </c>
      <c r="CL46" s="1">
        <f t="shared" si="24"/>
        <v>-20.6</v>
      </c>
      <c r="CM46" s="1">
        <f t="shared" si="25"/>
        <v>-22.2</v>
      </c>
      <c r="CN46" s="1">
        <f t="shared" si="26"/>
        <v>-19.5</v>
      </c>
      <c r="CO46" s="1">
        <f t="shared" si="27"/>
        <v>-0.5</v>
      </c>
      <c r="CP46" s="1">
        <f t="shared" si="28"/>
        <v>-1.1000000000000001</v>
      </c>
      <c r="CQ46" s="1">
        <f t="shared" si="29"/>
        <v>-0.4</v>
      </c>
      <c r="CR46" s="1">
        <f t="shared" si="30"/>
        <v>0.7</v>
      </c>
      <c r="CS46" s="2">
        <f t="shared" si="31"/>
        <v>57</v>
      </c>
      <c r="CT46" s="6">
        <f t="shared" si="32"/>
        <v>1075</v>
      </c>
      <c r="CU46" s="1">
        <f>PPTest!K46</f>
        <v>0</v>
      </c>
      <c r="CV46" s="3">
        <f t="shared" si="33"/>
        <v>1.58</v>
      </c>
      <c r="CW46" s="3">
        <f t="shared" si="34"/>
        <v>3.41</v>
      </c>
      <c r="CX46" s="24">
        <f t="shared" si="35"/>
        <v>0.25900000000000001</v>
      </c>
      <c r="CY46" s="24">
        <f t="shared" si="35"/>
        <v>0.19500000000000001</v>
      </c>
      <c r="CZ46" s="16">
        <f t="shared" si="36"/>
        <v>13.14</v>
      </c>
    </row>
    <row r="47" spans="1:104" x14ac:dyDescent="0.2">
      <c r="A47" s="14">
        <f t="shared" si="37"/>
        <v>38758</v>
      </c>
      <c r="B47" s="1">
        <v>41</v>
      </c>
      <c r="C47" s="3">
        <v>19.07</v>
      </c>
      <c r="D47" s="3">
        <v>22.15</v>
      </c>
      <c r="E47" s="3">
        <v>-13.63</v>
      </c>
      <c r="F47" s="3">
        <v>90.4</v>
      </c>
      <c r="G47" s="3">
        <v>-14.64</v>
      </c>
      <c r="H47" s="3">
        <v>-13.92</v>
      </c>
      <c r="I47" s="3">
        <v>-0.30299999999999999</v>
      </c>
      <c r="J47" s="3">
        <v>-1.25</v>
      </c>
      <c r="K47" s="3">
        <v>-0.47699999999999998</v>
      </c>
      <c r="L47" s="3">
        <v>0.72699999999999998</v>
      </c>
      <c r="M47" s="3">
        <v>1.883</v>
      </c>
      <c r="N47" s="3">
        <v>0</v>
      </c>
      <c r="O47" s="3">
        <v>-0.46300000000000002</v>
      </c>
      <c r="P47" s="3">
        <v>1429</v>
      </c>
      <c r="Q47" s="3">
        <v>106.2</v>
      </c>
      <c r="R47" s="3">
        <v>2148</v>
      </c>
      <c r="S47" s="3">
        <v>1.7549999999999999</v>
      </c>
      <c r="T47" s="3">
        <v>2.0920000000000001</v>
      </c>
      <c r="U47" s="3">
        <v>-0.13700000000000001</v>
      </c>
      <c r="V47" s="3">
        <v>-1.0660000000000001</v>
      </c>
      <c r="W47" s="3">
        <v>-0.36199999999999999</v>
      </c>
      <c r="X47" s="3">
        <v>0.76600000000000001</v>
      </c>
      <c r="Y47" s="3">
        <v>2.9209999999999998</v>
      </c>
      <c r="Z47" s="3">
        <v>447</v>
      </c>
      <c r="AA47" s="3">
        <v>-22.39</v>
      </c>
      <c r="AB47" s="3">
        <v>725</v>
      </c>
      <c r="AC47" s="3">
        <v>44.88</v>
      </c>
      <c r="AD47" s="3">
        <v>1357</v>
      </c>
      <c r="AE47" s="3">
        <v>-23.53</v>
      </c>
      <c r="AF47" s="3">
        <v>-20.04</v>
      </c>
      <c r="AG47" s="3">
        <v>-0.64700000000000002</v>
      </c>
      <c r="AH47" s="3">
        <v>-1.4419999999999999</v>
      </c>
      <c r="AI47" s="3">
        <v>-0.56299999999999994</v>
      </c>
      <c r="AJ47" s="3">
        <v>0.69299999999999995</v>
      </c>
      <c r="AK47" s="3">
        <v>1.2999999999999999E-2</v>
      </c>
      <c r="AL47" s="3">
        <v>0.29499999999999998</v>
      </c>
      <c r="AM47" s="3">
        <v>0.50600000000000001</v>
      </c>
      <c r="AN47" s="3">
        <v>2.5999999999999999E-2</v>
      </c>
      <c r="AO47" s="3">
        <v>8.5999999999999993E-2</v>
      </c>
      <c r="AP47" s="3">
        <v>6.9000000000000006E-2</v>
      </c>
      <c r="AQ47" s="3">
        <v>1E-3</v>
      </c>
      <c r="AR47" s="3">
        <v>3.0000000000000001E-3</v>
      </c>
      <c r="AS47" s="3">
        <v>6999</v>
      </c>
      <c r="AT47" s="3">
        <v>2446</v>
      </c>
      <c r="AU47" s="19">
        <f>AT47</f>
        <v>2446</v>
      </c>
      <c r="AV47" s="3">
        <v>-1.2490000000000001</v>
      </c>
      <c r="AW47" s="3">
        <v>-1.3839999999999999</v>
      </c>
      <c r="AX47" s="3">
        <v>-1.1100000000000001</v>
      </c>
      <c r="AY47" s="3">
        <v>-1.224</v>
      </c>
      <c r="AZ47" s="3">
        <v>-1.42</v>
      </c>
      <c r="BA47" s="3">
        <v>-1.5860000000000001</v>
      </c>
      <c r="BB47" s="3">
        <v>13.15</v>
      </c>
      <c r="BC47" s="3">
        <v>2876</v>
      </c>
      <c r="BD47" s="1" t="s">
        <v>158</v>
      </c>
      <c r="BE47" s="6">
        <f>BE$2-AU47</f>
        <v>1064</v>
      </c>
      <c r="BG47" s="16">
        <v>8.93</v>
      </c>
      <c r="BH47" s="16">
        <f t="shared" si="1"/>
        <v>18.038599999999999</v>
      </c>
      <c r="BI47" s="44">
        <v>8.93</v>
      </c>
      <c r="BJ47" s="44">
        <v>18.038599999999999</v>
      </c>
      <c r="BL47" s="1">
        <f t="shared" si="4"/>
        <v>92.2</v>
      </c>
      <c r="BM47" s="1">
        <f t="shared" si="5"/>
        <v>72.599999999999994</v>
      </c>
      <c r="BN47" s="1">
        <f t="shared" si="6"/>
        <v>32.5</v>
      </c>
      <c r="BO47" s="49">
        <f t="shared" si="15"/>
        <v>0.192</v>
      </c>
      <c r="BP47" s="49">
        <f t="shared" si="16"/>
        <v>0.39900000000000002</v>
      </c>
      <c r="BT47" s="16">
        <f t="shared" si="7"/>
        <v>8.93</v>
      </c>
      <c r="BU47" s="16">
        <f t="shared" si="8"/>
        <v>18.038599999999999</v>
      </c>
      <c r="BV47" s="3">
        <f t="shared" si="9"/>
        <v>-13.6</v>
      </c>
      <c r="BW47" s="3">
        <f t="shared" si="39"/>
        <v>-14.6</v>
      </c>
      <c r="BX47" s="3">
        <f t="shared" si="39"/>
        <v>-13.9</v>
      </c>
      <c r="BY47" s="3">
        <f t="shared" si="39"/>
        <v>-0.3</v>
      </c>
      <c r="BZ47" s="3">
        <f t="shared" si="39"/>
        <v>-1.3</v>
      </c>
      <c r="CA47" s="3">
        <f t="shared" si="39"/>
        <v>-0.5</v>
      </c>
      <c r="CB47" s="3">
        <f t="shared" si="39"/>
        <v>0.7</v>
      </c>
      <c r="CC47" s="22">
        <f t="shared" si="11"/>
        <v>72.599999999999994</v>
      </c>
      <c r="CD47" s="1">
        <f t="shared" si="17"/>
        <v>-0.5</v>
      </c>
      <c r="CE47" s="1">
        <f t="shared" si="18"/>
        <v>1.8</v>
      </c>
      <c r="CF47" s="1">
        <f t="shared" si="19"/>
        <v>2.1</v>
      </c>
      <c r="CG47" s="1">
        <f t="shared" si="20"/>
        <v>-0.1</v>
      </c>
      <c r="CH47" s="1">
        <f t="shared" si="21"/>
        <v>-1.1000000000000001</v>
      </c>
      <c r="CI47" s="1">
        <f t="shared" si="22"/>
        <v>-0.4</v>
      </c>
      <c r="CJ47" s="1">
        <f t="shared" si="23"/>
        <v>0.8</v>
      </c>
      <c r="CK47" s="2">
        <f t="shared" si="13"/>
        <v>92.2</v>
      </c>
      <c r="CL47" s="1">
        <f t="shared" si="24"/>
        <v>-22.4</v>
      </c>
      <c r="CM47" s="1">
        <f t="shared" si="25"/>
        <v>-23.5</v>
      </c>
      <c r="CN47" s="1">
        <f t="shared" si="26"/>
        <v>-20</v>
      </c>
      <c r="CO47" s="1">
        <f t="shared" si="27"/>
        <v>-0.6</v>
      </c>
      <c r="CP47" s="1">
        <f t="shared" si="28"/>
        <v>-1.4</v>
      </c>
      <c r="CQ47" s="1">
        <f t="shared" si="29"/>
        <v>-0.6</v>
      </c>
      <c r="CR47" s="1">
        <f t="shared" si="30"/>
        <v>0.7</v>
      </c>
      <c r="CS47" s="2">
        <f t="shared" si="31"/>
        <v>32.5</v>
      </c>
      <c r="CT47" s="6">
        <f t="shared" si="32"/>
        <v>1064</v>
      </c>
      <c r="CU47" s="1">
        <f>PPTest!K47</f>
        <v>0</v>
      </c>
      <c r="CV47" s="3">
        <f t="shared" si="33"/>
        <v>1.88</v>
      </c>
      <c r="CW47" s="3">
        <f t="shared" si="34"/>
        <v>2.92</v>
      </c>
      <c r="CX47" s="24">
        <f t="shared" si="35"/>
        <v>0.192</v>
      </c>
      <c r="CY47" s="24">
        <f t="shared" si="35"/>
        <v>0.39900000000000002</v>
      </c>
      <c r="CZ47" s="16">
        <f t="shared" si="36"/>
        <v>13.15</v>
      </c>
    </row>
    <row r="48" spans="1:104" x14ac:dyDescent="0.2">
      <c r="A48" s="14">
        <f t="shared" si="37"/>
        <v>38759</v>
      </c>
      <c r="B48" s="1">
        <v>42</v>
      </c>
      <c r="C48" s="3">
        <v>12.12</v>
      </c>
      <c r="D48" s="3">
        <v>18.8</v>
      </c>
      <c r="E48" s="3">
        <v>-9.66</v>
      </c>
      <c r="F48" s="3">
        <v>93</v>
      </c>
      <c r="G48" s="3">
        <v>-10.74</v>
      </c>
      <c r="H48" s="3">
        <v>-11.85</v>
      </c>
      <c r="I48" s="3">
        <v>-0.27600000000000002</v>
      </c>
      <c r="J48" s="3">
        <v>-1.262</v>
      </c>
      <c r="K48" s="3">
        <v>-0.56599999999999995</v>
      </c>
      <c r="L48" s="3">
        <v>0.71899999999999997</v>
      </c>
      <c r="M48" s="3">
        <v>1.6679999999999999</v>
      </c>
      <c r="N48" s="3">
        <v>0</v>
      </c>
      <c r="O48" s="3">
        <v>5.867</v>
      </c>
      <c r="P48" s="3">
        <v>1254</v>
      </c>
      <c r="Q48" s="3">
        <v>109.6</v>
      </c>
      <c r="R48" s="3">
        <v>1921</v>
      </c>
      <c r="S48" s="3">
        <v>7.32</v>
      </c>
      <c r="T48" s="3">
        <v>4.9809999999999999</v>
      </c>
      <c r="U48" s="3">
        <v>-0.17399999999999999</v>
      </c>
      <c r="V48" s="3">
        <v>-1.0780000000000001</v>
      </c>
      <c r="W48" s="3">
        <v>-0.50800000000000001</v>
      </c>
      <c r="X48" s="3">
        <v>0.75</v>
      </c>
      <c r="Y48" s="3">
        <v>3.4260000000000002</v>
      </c>
      <c r="Z48" s="3">
        <v>1434</v>
      </c>
      <c r="AA48" s="3">
        <v>-17.34</v>
      </c>
      <c r="AB48" s="3">
        <v>201</v>
      </c>
      <c r="AC48" s="3">
        <v>40.799999999999997</v>
      </c>
      <c r="AD48" s="3">
        <v>1252</v>
      </c>
      <c r="AE48" s="3">
        <v>-18.61</v>
      </c>
      <c r="AF48" s="3">
        <v>-18.96</v>
      </c>
      <c r="AG48" s="3">
        <v>-0.51300000000000001</v>
      </c>
      <c r="AH48" s="3">
        <v>-1.448</v>
      </c>
      <c r="AI48" s="3">
        <v>-0.62</v>
      </c>
      <c r="AJ48" s="3">
        <v>0.68899999999999995</v>
      </c>
      <c r="AK48" s="3">
        <v>0.01</v>
      </c>
      <c r="AL48" s="3">
        <v>0.30399999999999999</v>
      </c>
      <c r="AM48" s="3">
        <v>0.438</v>
      </c>
      <c r="AN48" s="3">
        <v>2.8000000000000001E-2</v>
      </c>
      <c r="AO48" s="3">
        <v>0.1</v>
      </c>
      <c r="AP48" s="3">
        <v>0.11700000000000001</v>
      </c>
      <c r="AQ48" s="3">
        <v>3.0000000000000001E-3</v>
      </c>
      <c r="AR48" s="3">
        <v>0</v>
      </c>
      <c r="AS48" s="3">
        <v>6999</v>
      </c>
      <c r="AT48" s="3">
        <v>2451</v>
      </c>
      <c r="AU48" s="19">
        <f>AT48</f>
        <v>2451</v>
      </c>
      <c r="AV48" s="3">
        <v>-1.58</v>
      </c>
      <c r="AW48" s="3">
        <v>-1.732</v>
      </c>
      <c r="AX48" s="3">
        <v>-1.417</v>
      </c>
      <c r="AY48" s="3">
        <v>-1.575</v>
      </c>
      <c r="AZ48" s="3">
        <v>-1.704</v>
      </c>
      <c r="BA48" s="3">
        <v>-1.865</v>
      </c>
      <c r="BB48" s="3">
        <v>13.15</v>
      </c>
      <c r="BC48" s="3">
        <v>2876</v>
      </c>
      <c r="BD48" s="1" t="s">
        <v>158</v>
      </c>
      <c r="BE48" s="6">
        <f>BE$2-AU48</f>
        <v>1059</v>
      </c>
      <c r="BG48" s="16">
        <v>9.1199999999999992</v>
      </c>
      <c r="BH48" s="16">
        <f t="shared" si="1"/>
        <v>18.4224</v>
      </c>
      <c r="BI48" s="44">
        <v>9.1199999999999992</v>
      </c>
      <c r="BJ48" s="44">
        <v>18.4224</v>
      </c>
      <c r="BL48" s="1">
        <f t="shared" si="4"/>
        <v>97.6</v>
      </c>
      <c r="BM48" s="1">
        <f t="shared" si="5"/>
        <v>74.8</v>
      </c>
      <c r="BN48" s="1">
        <f t="shared" si="6"/>
        <v>28.9</v>
      </c>
      <c r="BO48" s="49">
        <f t="shared" si="15"/>
        <v>0.26800000000000002</v>
      </c>
      <c r="BP48" s="49">
        <f t="shared" si="16"/>
        <v>0.65900000000000003</v>
      </c>
      <c r="BT48" s="16">
        <f t="shared" si="7"/>
        <v>9.1199999999999992</v>
      </c>
      <c r="BU48" s="16">
        <f t="shared" si="8"/>
        <v>18.4224</v>
      </c>
      <c r="BV48" s="3">
        <f t="shared" si="9"/>
        <v>-9.6999999999999993</v>
      </c>
      <c r="BW48" s="3">
        <f t="shared" si="39"/>
        <v>-10.7</v>
      </c>
      <c r="BX48" s="3">
        <f t="shared" si="39"/>
        <v>-11.9</v>
      </c>
      <c r="BY48" s="3">
        <f t="shared" si="39"/>
        <v>-0.3</v>
      </c>
      <c r="BZ48" s="3">
        <f t="shared" si="39"/>
        <v>-1.3</v>
      </c>
      <c r="CA48" s="3">
        <f t="shared" si="39"/>
        <v>-0.6</v>
      </c>
      <c r="CB48" s="3">
        <f t="shared" si="39"/>
        <v>0.7</v>
      </c>
      <c r="CC48" s="22">
        <f t="shared" si="11"/>
        <v>74.8</v>
      </c>
      <c r="CD48" s="1">
        <f t="shared" si="17"/>
        <v>5.9</v>
      </c>
      <c r="CE48" s="1">
        <f t="shared" si="18"/>
        <v>7.3</v>
      </c>
      <c r="CF48" s="1">
        <f t="shared" si="19"/>
        <v>5</v>
      </c>
      <c r="CG48" s="1">
        <f t="shared" si="20"/>
        <v>-0.2</v>
      </c>
      <c r="CH48" s="1">
        <f t="shared" si="21"/>
        <v>-1.1000000000000001</v>
      </c>
      <c r="CI48" s="1">
        <f t="shared" si="22"/>
        <v>-0.5</v>
      </c>
      <c r="CJ48" s="1">
        <f t="shared" si="23"/>
        <v>0.8</v>
      </c>
      <c r="CK48" s="2">
        <f t="shared" si="13"/>
        <v>97.6</v>
      </c>
      <c r="CL48" s="1">
        <f t="shared" si="24"/>
        <v>-17.3</v>
      </c>
      <c r="CM48" s="1">
        <f t="shared" si="25"/>
        <v>-18.600000000000001</v>
      </c>
      <c r="CN48" s="1">
        <f t="shared" si="26"/>
        <v>-19</v>
      </c>
      <c r="CO48" s="1">
        <f t="shared" si="27"/>
        <v>-0.5</v>
      </c>
      <c r="CP48" s="1">
        <f t="shared" si="28"/>
        <v>-1.4</v>
      </c>
      <c r="CQ48" s="1">
        <f t="shared" si="29"/>
        <v>-0.6</v>
      </c>
      <c r="CR48" s="1">
        <f t="shared" si="30"/>
        <v>0.7</v>
      </c>
      <c r="CS48" s="2">
        <f t="shared" si="31"/>
        <v>28.9</v>
      </c>
      <c r="CT48" s="6">
        <f t="shared" si="32"/>
        <v>1059</v>
      </c>
      <c r="CU48" s="1">
        <f>PPTest!K48</f>
        <v>0</v>
      </c>
      <c r="CV48" s="3">
        <f t="shared" si="33"/>
        <v>1.67</v>
      </c>
      <c r="CW48" s="3">
        <f t="shared" si="34"/>
        <v>3.43</v>
      </c>
      <c r="CX48" s="24">
        <f t="shared" si="35"/>
        <v>0.26800000000000002</v>
      </c>
      <c r="CY48" s="24">
        <f t="shared" si="35"/>
        <v>0.65900000000000003</v>
      </c>
      <c r="CZ48" s="16">
        <f t="shared" si="36"/>
        <v>13.15</v>
      </c>
    </row>
    <row r="49" spans="1:104" x14ac:dyDescent="0.2">
      <c r="A49" s="14">
        <f t="shared" si="37"/>
        <v>38760</v>
      </c>
      <c r="B49" s="1">
        <v>43</v>
      </c>
      <c r="C49" s="3">
        <v>9.11</v>
      </c>
      <c r="D49" s="3">
        <v>16.04</v>
      </c>
      <c r="E49" s="3">
        <v>-6.7110000000000003</v>
      </c>
      <c r="F49" s="3">
        <v>94.2</v>
      </c>
      <c r="G49" s="3">
        <v>-7.44</v>
      </c>
      <c r="H49" s="3">
        <v>-7.98</v>
      </c>
      <c r="I49" s="3">
        <v>-0.223</v>
      </c>
      <c r="J49" s="3">
        <v>-1.0669999999999999</v>
      </c>
      <c r="K49" s="3">
        <v>-0.53900000000000003</v>
      </c>
      <c r="L49" s="3">
        <v>0.71199999999999997</v>
      </c>
      <c r="M49" s="3">
        <v>1.57</v>
      </c>
      <c r="N49" s="3">
        <v>1</v>
      </c>
      <c r="O49" s="3">
        <v>4.1260000000000003</v>
      </c>
      <c r="P49" s="3">
        <v>1544</v>
      </c>
      <c r="Q49" s="3">
        <v>109.2</v>
      </c>
      <c r="R49" s="3">
        <v>2119</v>
      </c>
      <c r="S49" s="3">
        <v>3.988</v>
      </c>
      <c r="T49" s="3">
        <v>3.9009999999999998</v>
      </c>
      <c r="U49" s="3">
        <v>-0.16700000000000001</v>
      </c>
      <c r="V49" s="3">
        <v>-0.90600000000000003</v>
      </c>
      <c r="W49" s="3">
        <v>-0.45700000000000002</v>
      </c>
      <c r="X49" s="3">
        <v>0.745</v>
      </c>
      <c r="Y49" s="3">
        <v>3.4790000000000001</v>
      </c>
      <c r="Z49" s="3">
        <v>1224</v>
      </c>
      <c r="AA49" s="3">
        <v>-14.78</v>
      </c>
      <c r="AB49" s="3">
        <v>55</v>
      </c>
      <c r="AC49" s="3">
        <v>51.05</v>
      </c>
      <c r="AD49" s="3">
        <v>1541</v>
      </c>
      <c r="AE49" s="3">
        <v>-16.059999999999999</v>
      </c>
      <c r="AF49" s="3">
        <v>-16.78</v>
      </c>
      <c r="AG49" s="3">
        <v>-0.36699999999999999</v>
      </c>
      <c r="AH49" s="3">
        <v>-1.2430000000000001</v>
      </c>
      <c r="AI49" s="3">
        <v>-0.6</v>
      </c>
      <c r="AJ49" s="3">
        <v>0.67500000000000004</v>
      </c>
      <c r="AK49" s="3">
        <v>2.9000000000000001E-2</v>
      </c>
      <c r="AL49" s="3">
        <v>0.36199999999999999</v>
      </c>
      <c r="AM49" s="3">
        <v>0.34</v>
      </c>
      <c r="AN49" s="3">
        <v>1.9E-2</v>
      </c>
      <c r="AO49" s="3">
        <v>0.104</v>
      </c>
      <c r="AP49" s="3">
        <v>0.13400000000000001</v>
      </c>
      <c r="AQ49" s="3">
        <v>8.0000000000000002E-3</v>
      </c>
      <c r="AR49" s="3">
        <v>3.0000000000000001E-3</v>
      </c>
      <c r="AS49" s="3">
        <v>6999</v>
      </c>
      <c r="AT49" s="3">
        <v>6999</v>
      </c>
      <c r="AU49" s="3">
        <v>6999</v>
      </c>
      <c r="AV49" s="3">
        <v>-1.85</v>
      </c>
      <c r="AW49" s="3">
        <v>-1.996</v>
      </c>
      <c r="AX49" s="3">
        <v>-1.6839999999999999</v>
      </c>
      <c r="AY49" s="3">
        <v>-1.8080000000000001</v>
      </c>
      <c r="AZ49" s="3">
        <v>-2.056</v>
      </c>
      <c r="BA49" s="3">
        <v>-2.2360000000000002</v>
      </c>
      <c r="BB49" s="3">
        <v>13.14</v>
      </c>
      <c r="BC49" s="3">
        <v>2876</v>
      </c>
      <c r="BE49" s="18">
        <v>1080</v>
      </c>
      <c r="BG49" s="16">
        <v>9.31</v>
      </c>
      <c r="BH49" s="16">
        <f t="shared" si="1"/>
        <v>18.8062</v>
      </c>
      <c r="BI49" s="17">
        <f t="shared" ref="BI49:BI112" si="40">ROUND(C49*BI$2,2)</f>
        <v>8.93</v>
      </c>
      <c r="BJ49" s="17">
        <f t="shared" ref="BJ49:BJ112" si="41">ROUND(D49*BJ$2,2)</f>
        <v>17.64</v>
      </c>
      <c r="BL49" s="1">
        <f t="shared" si="4"/>
        <v>96.9</v>
      </c>
      <c r="BM49" s="1">
        <f t="shared" si="5"/>
        <v>75.900000000000006</v>
      </c>
      <c r="BN49" s="1">
        <f t="shared" si="6"/>
        <v>37.9</v>
      </c>
      <c r="BO49" s="49">
        <f t="shared" si="15"/>
        <v>0.311</v>
      </c>
      <c r="BP49" s="49">
        <f t="shared" si="16"/>
        <v>0.51</v>
      </c>
      <c r="BT49" s="16">
        <f t="shared" si="7"/>
        <v>8.93</v>
      </c>
      <c r="BU49" s="16">
        <f t="shared" si="8"/>
        <v>17.64</v>
      </c>
      <c r="BV49" s="3">
        <f t="shared" si="9"/>
        <v>-6.7</v>
      </c>
      <c r="BW49" s="3">
        <f t="shared" si="39"/>
        <v>-7.4</v>
      </c>
      <c r="BX49" s="3">
        <f t="shared" si="39"/>
        <v>-8</v>
      </c>
      <c r="BY49" s="3">
        <f t="shared" si="39"/>
        <v>-0.2</v>
      </c>
      <c r="BZ49" s="3">
        <f t="shared" si="39"/>
        <v>-1.1000000000000001</v>
      </c>
      <c r="CA49" s="3">
        <f t="shared" si="39"/>
        <v>-0.5</v>
      </c>
      <c r="CB49" s="3">
        <f t="shared" si="39"/>
        <v>0.7</v>
      </c>
      <c r="CC49" s="22">
        <f t="shared" si="11"/>
        <v>75.900000000000006</v>
      </c>
      <c r="CD49" s="1">
        <f t="shared" si="17"/>
        <v>4.0999999999999996</v>
      </c>
      <c r="CE49" s="1">
        <f t="shared" si="18"/>
        <v>4</v>
      </c>
      <c r="CF49" s="1">
        <f t="shared" si="19"/>
        <v>3.9</v>
      </c>
      <c r="CG49" s="1">
        <f t="shared" si="20"/>
        <v>-0.2</v>
      </c>
      <c r="CH49" s="1">
        <f t="shared" si="21"/>
        <v>-0.9</v>
      </c>
      <c r="CI49" s="1">
        <f t="shared" si="22"/>
        <v>-0.5</v>
      </c>
      <c r="CJ49" s="1">
        <f t="shared" si="23"/>
        <v>0.7</v>
      </c>
      <c r="CK49" s="2">
        <f t="shared" si="13"/>
        <v>96.9</v>
      </c>
      <c r="CL49" s="1">
        <f t="shared" si="24"/>
        <v>-14.8</v>
      </c>
      <c r="CM49" s="1">
        <f t="shared" si="25"/>
        <v>-16.100000000000001</v>
      </c>
      <c r="CN49" s="1">
        <f t="shared" si="26"/>
        <v>-16.8</v>
      </c>
      <c r="CO49" s="1">
        <f t="shared" si="27"/>
        <v>-0.4</v>
      </c>
      <c r="CP49" s="1">
        <f t="shared" si="28"/>
        <v>-1.2</v>
      </c>
      <c r="CQ49" s="1">
        <f t="shared" si="29"/>
        <v>-0.6</v>
      </c>
      <c r="CR49" s="1">
        <f t="shared" si="30"/>
        <v>0.7</v>
      </c>
      <c r="CS49" s="2">
        <f t="shared" si="31"/>
        <v>37.9</v>
      </c>
      <c r="CT49" s="6">
        <f t="shared" si="32"/>
        <v>1080</v>
      </c>
      <c r="CU49" s="1">
        <f>PPTest!K49</f>
        <v>2.7</v>
      </c>
      <c r="CV49" s="3">
        <f t="shared" si="33"/>
        <v>1.57</v>
      </c>
      <c r="CW49" s="3">
        <f t="shared" si="34"/>
        <v>3.48</v>
      </c>
      <c r="CX49" s="24">
        <f t="shared" si="35"/>
        <v>0.311</v>
      </c>
      <c r="CY49" s="24">
        <f t="shared" si="35"/>
        <v>0.51</v>
      </c>
      <c r="CZ49" s="16">
        <f t="shared" si="36"/>
        <v>13.14</v>
      </c>
    </row>
    <row r="50" spans="1:104" x14ac:dyDescent="0.2">
      <c r="A50" s="14">
        <f t="shared" si="37"/>
        <v>38761</v>
      </c>
      <c r="B50" s="1">
        <v>44</v>
      </c>
      <c r="C50" s="3">
        <v>1.37</v>
      </c>
      <c r="D50" s="3">
        <v>2.3359999999999999</v>
      </c>
      <c r="E50" s="3">
        <v>-6.6440000000000001</v>
      </c>
      <c r="F50" s="3">
        <v>108</v>
      </c>
      <c r="G50" s="3">
        <v>-7.1</v>
      </c>
      <c r="H50" s="3">
        <v>-7.36</v>
      </c>
      <c r="I50" s="3">
        <v>-0.219</v>
      </c>
      <c r="J50" s="3">
        <v>-0.83199999999999996</v>
      </c>
      <c r="K50" s="3">
        <v>-0.44900000000000001</v>
      </c>
      <c r="L50" s="3">
        <v>0.70499999999999996</v>
      </c>
      <c r="M50" s="3">
        <v>1.5</v>
      </c>
      <c r="N50" s="3">
        <v>0</v>
      </c>
      <c r="O50" s="3">
        <v>-3.7280000000000002</v>
      </c>
      <c r="P50" s="3">
        <v>435</v>
      </c>
      <c r="Q50" s="3">
        <v>111</v>
      </c>
      <c r="R50" s="3">
        <v>628</v>
      </c>
      <c r="S50" s="3">
        <v>-4.1150000000000002</v>
      </c>
      <c r="T50" s="3">
        <v>-4.117</v>
      </c>
      <c r="U50" s="3">
        <v>-0.158</v>
      </c>
      <c r="V50" s="3">
        <v>-0.76100000000000001</v>
      </c>
      <c r="W50" s="3">
        <v>-0.38900000000000001</v>
      </c>
      <c r="X50" s="3">
        <v>0.73799999999999999</v>
      </c>
      <c r="Y50" s="3">
        <v>3.7589999999999999</v>
      </c>
      <c r="Z50" s="3">
        <v>1207</v>
      </c>
      <c r="AA50" s="3">
        <v>-10.82</v>
      </c>
      <c r="AB50" s="3">
        <v>2112</v>
      </c>
      <c r="AC50" s="3">
        <v>100.5</v>
      </c>
      <c r="AD50" s="3">
        <v>1201</v>
      </c>
      <c r="AE50" s="3">
        <v>-12.47</v>
      </c>
      <c r="AF50" s="3">
        <v>-14.15</v>
      </c>
      <c r="AG50" s="3">
        <v>-0.34599999999999997</v>
      </c>
      <c r="AH50" s="3">
        <v>-0.97099999999999997</v>
      </c>
      <c r="AI50" s="3">
        <v>-0.505</v>
      </c>
      <c r="AJ50" s="3">
        <v>0.67100000000000004</v>
      </c>
      <c r="AK50" s="3">
        <v>4.7E-2</v>
      </c>
      <c r="AL50" s="3">
        <v>7.1999999999999995E-2</v>
      </c>
      <c r="AM50" s="3">
        <v>6.5000000000000002E-2</v>
      </c>
      <c r="AN50" s="3">
        <v>0.05</v>
      </c>
      <c r="AO50" s="3">
        <v>0.187</v>
      </c>
      <c r="AP50" s="3">
        <v>0.42499999999999999</v>
      </c>
      <c r="AQ50" s="3">
        <v>0.122</v>
      </c>
      <c r="AR50" s="3">
        <v>3.2000000000000001E-2</v>
      </c>
      <c r="AS50" s="3">
        <v>6999</v>
      </c>
      <c r="AT50" s="3">
        <v>2401</v>
      </c>
      <c r="AU50" s="19">
        <f>AT50</f>
        <v>2401</v>
      </c>
      <c r="AV50" s="3">
        <v>-2.0630000000000002</v>
      </c>
      <c r="AW50" s="3">
        <v>-2.1960000000000002</v>
      </c>
      <c r="AX50" s="3">
        <v>-1.911</v>
      </c>
      <c r="AY50" s="3">
        <v>-2.0579999999999998</v>
      </c>
      <c r="AZ50" s="3">
        <v>-2.2210000000000001</v>
      </c>
      <c r="BA50" s="3">
        <v>-2.3650000000000002</v>
      </c>
      <c r="BB50" s="3">
        <v>13.1</v>
      </c>
      <c r="BC50" s="3">
        <v>2876</v>
      </c>
      <c r="BE50" s="6">
        <f>BE$2-AU50</f>
        <v>1109</v>
      </c>
      <c r="BG50" s="16">
        <v>9.5</v>
      </c>
      <c r="BH50" s="16">
        <f t="shared" si="1"/>
        <v>19.190000000000001</v>
      </c>
      <c r="BI50" s="17">
        <f t="shared" si="40"/>
        <v>1.34</v>
      </c>
      <c r="BJ50" s="17">
        <f t="shared" si="41"/>
        <v>2.57</v>
      </c>
      <c r="BL50" s="1">
        <f t="shared" si="4"/>
        <v>99.8</v>
      </c>
      <c r="BM50" s="1">
        <f t="shared" si="5"/>
        <v>95</v>
      </c>
      <c r="BN50" s="1">
        <f t="shared" si="6"/>
        <v>83.1</v>
      </c>
      <c r="BO50" s="49">
        <f t="shared" si="15"/>
        <v>0.38500000000000001</v>
      </c>
      <c r="BP50" s="49">
        <f t="shared" si="16"/>
        <v>7.8E-2</v>
      </c>
      <c r="BT50" s="16">
        <f t="shared" si="7"/>
        <v>1.34</v>
      </c>
      <c r="BU50" s="16">
        <f t="shared" si="8"/>
        <v>2.57</v>
      </c>
      <c r="BV50" s="3">
        <f t="shared" si="9"/>
        <v>-6.6</v>
      </c>
      <c r="BW50" s="3">
        <f t="shared" si="39"/>
        <v>-7.1</v>
      </c>
      <c r="BX50" s="3">
        <f t="shared" si="39"/>
        <v>-7.4</v>
      </c>
      <c r="BY50" s="3">
        <f t="shared" si="39"/>
        <v>-0.2</v>
      </c>
      <c r="BZ50" s="3">
        <f t="shared" si="39"/>
        <v>-0.8</v>
      </c>
      <c r="CA50" s="3">
        <f t="shared" si="39"/>
        <v>-0.4</v>
      </c>
      <c r="CB50" s="3">
        <f t="shared" si="39"/>
        <v>0.7</v>
      </c>
      <c r="CC50" s="22">
        <f t="shared" si="11"/>
        <v>95</v>
      </c>
      <c r="CD50" s="1">
        <f t="shared" si="17"/>
        <v>-3.7</v>
      </c>
      <c r="CE50" s="1">
        <f t="shared" si="18"/>
        <v>-4.0999999999999996</v>
      </c>
      <c r="CF50" s="1">
        <f t="shared" si="19"/>
        <v>-4.0999999999999996</v>
      </c>
      <c r="CG50" s="1">
        <f t="shared" si="20"/>
        <v>-0.2</v>
      </c>
      <c r="CH50" s="1">
        <f t="shared" si="21"/>
        <v>-0.8</v>
      </c>
      <c r="CI50" s="1">
        <f t="shared" si="22"/>
        <v>-0.4</v>
      </c>
      <c r="CJ50" s="1">
        <f t="shared" si="23"/>
        <v>0.7</v>
      </c>
      <c r="CK50" s="2">
        <f t="shared" si="13"/>
        <v>99.8</v>
      </c>
      <c r="CL50" s="1">
        <f t="shared" si="24"/>
        <v>-10.8</v>
      </c>
      <c r="CM50" s="1">
        <f t="shared" si="25"/>
        <v>-12.5</v>
      </c>
      <c r="CN50" s="1">
        <f t="shared" si="26"/>
        <v>-14.2</v>
      </c>
      <c r="CO50" s="1">
        <f t="shared" si="27"/>
        <v>-0.3</v>
      </c>
      <c r="CP50" s="1">
        <f t="shared" si="28"/>
        <v>-1</v>
      </c>
      <c r="CQ50" s="1">
        <f t="shared" si="29"/>
        <v>-0.5</v>
      </c>
      <c r="CR50" s="1">
        <f t="shared" si="30"/>
        <v>0.7</v>
      </c>
      <c r="CS50" s="2">
        <f t="shared" si="31"/>
        <v>83.1</v>
      </c>
      <c r="CT50" s="6">
        <f t="shared" si="32"/>
        <v>1109</v>
      </c>
      <c r="CU50" s="1">
        <f>PPTest!K50</f>
        <v>3.8</v>
      </c>
      <c r="CV50" s="3">
        <f t="shared" si="33"/>
        <v>1.5</v>
      </c>
      <c r="CW50" s="3">
        <f t="shared" si="34"/>
        <v>3.76</v>
      </c>
      <c r="CX50" s="24">
        <f t="shared" si="35"/>
        <v>0.38500000000000001</v>
      </c>
      <c r="CY50" s="24">
        <f t="shared" si="35"/>
        <v>7.8E-2</v>
      </c>
      <c r="CZ50" s="16">
        <f t="shared" si="36"/>
        <v>13.1</v>
      </c>
    </row>
    <row r="51" spans="1:104" x14ac:dyDescent="0.2">
      <c r="A51" s="14">
        <f t="shared" si="37"/>
        <v>38762</v>
      </c>
      <c r="B51" s="1">
        <v>45</v>
      </c>
      <c r="C51" s="3">
        <v>2.3530000000000002</v>
      </c>
      <c r="D51" s="3">
        <v>4.0350000000000001</v>
      </c>
      <c r="E51" s="3">
        <v>-11.25</v>
      </c>
      <c r="F51" s="3">
        <v>104.5</v>
      </c>
      <c r="G51" s="3">
        <v>-11.86</v>
      </c>
      <c r="H51" s="3">
        <v>-12.28</v>
      </c>
      <c r="I51" s="3">
        <v>-0.36299999999999999</v>
      </c>
      <c r="J51" s="3">
        <v>-0.93100000000000005</v>
      </c>
      <c r="K51" s="3">
        <v>-0.45</v>
      </c>
      <c r="L51" s="3">
        <v>0.70099999999999996</v>
      </c>
      <c r="M51" s="3">
        <v>1.3220000000000001</v>
      </c>
      <c r="N51" s="3">
        <v>0</v>
      </c>
      <c r="O51" s="3">
        <v>-5.14</v>
      </c>
      <c r="P51" s="3">
        <v>1455</v>
      </c>
      <c r="Q51" s="3">
        <v>108.5</v>
      </c>
      <c r="R51" s="3">
        <v>1</v>
      </c>
      <c r="S51" s="3">
        <v>-2.6059999999999999</v>
      </c>
      <c r="T51" s="3">
        <v>-2.7210000000000001</v>
      </c>
      <c r="U51" s="3">
        <v>-0.19600000000000001</v>
      </c>
      <c r="V51" s="3">
        <v>-0.83599999999999997</v>
      </c>
      <c r="W51" s="3">
        <v>-0.39400000000000002</v>
      </c>
      <c r="X51" s="3">
        <v>0.72899999999999998</v>
      </c>
      <c r="Y51" s="3">
        <v>3.0139999999999998</v>
      </c>
      <c r="Z51" s="3">
        <v>22</v>
      </c>
      <c r="AA51" s="3">
        <v>-20.49</v>
      </c>
      <c r="AB51" s="3">
        <v>0</v>
      </c>
      <c r="AC51" s="3">
        <v>82.8</v>
      </c>
      <c r="AD51" s="3">
        <v>1534</v>
      </c>
      <c r="AE51" s="3">
        <v>-21.97</v>
      </c>
      <c r="AF51" s="3">
        <v>-22.8</v>
      </c>
      <c r="AG51" s="3">
        <v>-0.89100000000000001</v>
      </c>
      <c r="AH51" s="3">
        <v>-1.3</v>
      </c>
      <c r="AI51" s="3">
        <v>-0.51600000000000001</v>
      </c>
      <c r="AJ51" s="3">
        <v>0.66500000000000004</v>
      </c>
      <c r="AK51" s="3">
        <v>4.4999999999999998E-2</v>
      </c>
      <c r="AL51" s="3">
        <v>0.182</v>
      </c>
      <c r="AM51" s="3">
        <v>0.192</v>
      </c>
      <c r="AN51" s="3">
        <v>0.03</v>
      </c>
      <c r="AO51" s="3">
        <v>0.161</v>
      </c>
      <c r="AP51" s="3">
        <v>0.27</v>
      </c>
      <c r="AQ51" s="3">
        <v>8.4000000000000005E-2</v>
      </c>
      <c r="AR51" s="3">
        <v>3.5000000000000003E-2</v>
      </c>
      <c r="AS51" s="3">
        <v>6999</v>
      </c>
      <c r="AT51" s="3">
        <v>2439</v>
      </c>
      <c r="AU51" s="19">
        <f>AT51</f>
        <v>2439</v>
      </c>
      <c r="AV51" s="3">
        <v>-1.9179999999999999</v>
      </c>
      <c r="AW51" s="3">
        <v>-2.0350000000000001</v>
      </c>
      <c r="AX51" s="3">
        <v>-1.7250000000000001</v>
      </c>
      <c r="AY51" s="3">
        <v>-1.827</v>
      </c>
      <c r="AZ51" s="3">
        <v>-2.0760000000000001</v>
      </c>
      <c r="BA51" s="3">
        <v>-2.218</v>
      </c>
      <c r="BB51" s="3">
        <v>13.15</v>
      </c>
      <c r="BC51" s="3">
        <v>2876</v>
      </c>
      <c r="BE51" s="6">
        <f>BE$2-AU51</f>
        <v>1071</v>
      </c>
      <c r="BG51" s="16">
        <v>9.69</v>
      </c>
      <c r="BH51" s="16">
        <f t="shared" si="1"/>
        <v>19.573799999999999</v>
      </c>
      <c r="BI51" s="17">
        <f t="shared" si="40"/>
        <v>2.31</v>
      </c>
      <c r="BJ51" s="17">
        <f t="shared" si="41"/>
        <v>4.4400000000000004</v>
      </c>
      <c r="BL51" s="1">
        <f t="shared" si="4"/>
        <v>95.8</v>
      </c>
      <c r="BM51" s="1">
        <f t="shared" si="5"/>
        <v>89.5</v>
      </c>
      <c r="BN51" s="1">
        <f t="shared" si="6"/>
        <v>65.900000000000006</v>
      </c>
      <c r="BO51" s="49">
        <f t="shared" si="15"/>
        <v>0.27400000000000002</v>
      </c>
      <c r="BP51" s="49">
        <f t="shared" si="16"/>
        <v>0.14199999999999999</v>
      </c>
      <c r="BT51" s="16">
        <f t="shared" si="7"/>
        <v>2.31</v>
      </c>
      <c r="BU51" s="16">
        <f t="shared" si="8"/>
        <v>4.4400000000000004</v>
      </c>
      <c r="BV51" s="3">
        <f t="shared" si="9"/>
        <v>-11.3</v>
      </c>
      <c r="BW51" s="3">
        <f t="shared" si="39"/>
        <v>-11.9</v>
      </c>
      <c r="BX51" s="3">
        <f t="shared" si="39"/>
        <v>-12.3</v>
      </c>
      <c r="BY51" s="3">
        <f t="shared" si="39"/>
        <v>-0.4</v>
      </c>
      <c r="BZ51" s="3">
        <f t="shared" si="39"/>
        <v>-0.9</v>
      </c>
      <c r="CA51" s="3">
        <f t="shared" si="39"/>
        <v>-0.5</v>
      </c>
      <c r="CB51" s="3">
        <f t="shared" si="39"/>
        <v>0.7</v>
      </c>
      <c r="CC51" s="22">
        <f t="shared" si="11"/>
        <v>89.5</v>
      </c>
      <c r="CD51" s="1">
        <f t="shared" si="17"/>
        <v>-5.0999999999999996</v>
      </c>
      <c r="CE51" s="1">
        <f t="shared" si="18"/>
        <v>-2.6</v>
      </c>
      <c r="CF51" s="1">
        <f t="shared" si="19"/>
        <v>-2.7</v>
      </c>
      <c r="CG51" s="1">
        <f t="shared" si="20"/>
        <v>-0.2</v>
      </c>
      <c r="CH51" s="1">
        <f t="shared" si="21"/>
        <v>-0.8</v>
      </c>
      <c r="CI51" s="1">
        <f t="shared" si="22"/>
        <v>-0.4</v>
      </c>
      <c r="CJ51" s="1">
        <f t="shared" si="23"/>
        <v>0.7</v>
      </c>
      <c r="CK51" s="2">
        <f t="shared" si="13"/>
        <v>95.8</v>
      </c>
      <c r="CL51" s="1">
        <f t="shared" si="24"/>
        <v>-20.5</v>
      </c>
      <c r="CM51" s="1">
        <f t="shared" si="25"/>
        <v>-22</v>
      </c>
      <c r="CN51" s="1">
        <f t="shared" si="26"/>
        <v>-22.8</v>
      </c>
      <c r="CO51" s="1">
        <f t="shared" si="27"/>
        <v>-0.9</v>
      </c>
      <c r="CP51" s="1">
        <f t="shared" si="28"/>
        <v>-1.3</v>
      </c>
      <c r="CQ51" s="1">
        <f t="shared" si="29"/>
        <v>-0.5</v>
      </c>
      <c r="CR51" s="1">
        <f t="shared" si="30"/>
        <v>0.7</v>
      </c>
      <c r="CS51" s="2">
        <f t="shared" si="31"/>
        <v>65.900000000000006</v>
      </c>
      <c r="CT51" s="6">
        <f t="shared" si="32"/>
        <v>1071</v>
      </c>
      <c r="CU51" s="1">
        <f>PPTest!K51</f>
        <v>0</v>
      </c>
      <c r="CV51" s="3">
        <f t="shared" si="33"/>
        <v>1.32</v>
      </c>
      <c r="CW51" s="3">
        <f t="shared" si="34"/>
        <v>3.01</v>
      </c>
      <c r="CX51" s="24">
        <f t="shared" si="35"/>
        <v>0.27400000000000002</v>
      </c>
      <c r="CY51" s="24">
        <f t="shared" si="35"/>
        <v>0.14199999999999999</v>
      </c>
      <c r="CZ51" s="16">
        <f t="shared" si="36"/>
        <v>13.15</v>
      </c>
    </row>
    <row r="52" spans="1:104" x14ac:dyDescent="0.2">
      <c r="A52" s="14">
        <f t="shared" si="37"/>
        <v>38763</v>
      </c>
      <c r="B52" s="1">
        <v>46</v>
      </c>
      <c r="C52" s="3">
        <v>3.2629999999999999</v>
      </c>
      <c r="D52" s="3">
        <v>5.4640000000000004</v>
      </c>
      <c r="E52" s="3">
        <v>-16.399999999999999</v>
      </c>
      <c r="F52" s="3">
        <v>100.5</v>
      </c>
      <c r="G52" s="3">
        <v>-17.2</v>
      </c>
      <c r="H52" s="3">
        <v>-17.64</v>
      </c>
      <c r="I52" s="3">
        <v>-0.875</v>
      </c>
      <c r="J52" s="3">
        <v>-1.615</v>
      </c>
      <c r="K52" s="3">
        <v>-0.66800000000000004</v>
      </c>
      <c r="L52" s="3">
        <v>0.69799999999999995</v>
      </c>
      <c r="M52" s="3">
        <v>1.641</v>
      </c>
      <c r="N52" s="3">
        <v>0</v>
      </c>
      <c r="O52" s="3">
        <v>-7.69</v>
      </c>
      <c r="P52" s="3">
        <v>1556</v>
      </c>
      <c r="Q52" s="3">
        <v>108.5</v>
      </c>
      <c r="R52" s="3">
        <v>2226</v>
      </c>
      <c r="S52" s="3">
        <v>-8.0500000000000007</v>
      </c>
      <c r="T52" s="3">
        <v>-7.41</v>
      </c>
      <c r="U52" s="3">
        <v>-0.32</v>
      </c>
      <c r="V52" s="3">
        <v>-1.288</v>
      </c>
      <c r="W52" s="3">
        <v>-0.48499999999999999</v>
      </c>
      <c r="X52" s="3">
        <v>0.73399999999999999</v>
      </c>
      <c r="Y52" s="3">
        <v>3.2930000000000001</v>
      </c>
      <c r="Z52" s="3">
        <v>1703</v>
      </c>
      <c r="AA52" s="3">
        <v>-24.4</v>
      </c>
      <c r="AB52" s="3">
        <v>700</v>
      </c>
      <c r="AC52" s="3">
        <v>84.7</v>
      </c>
      <c r="AD52" s="3">
        <v>1552</v>
      </c>
      <c r="AE52" s="3">
        <v>-25.4</v>
      </c>
      <c r="AF52" s="3">
        <v>-25.84</v>
      </c>
      <c r="AG52" s="3">
        <v>-1.579</v>
      </c>
      <c r="AH52" s="3">
        <v>-1.865</v>
      </c>
      <c r="AI52" s="3">
        <v>-0.75800000000000001</v>
      </c>
      <c r="AJ52" s="3">
        <v>0.66600000000000004</v>
      </c>
      <c r="AK52" s="3">
        <v>5.7000000000000002E-2</v>
      </c>
      <c r="AL52" s="3">
        <v>0.314</v>
      </c>
      <c r="AM52" s="3">
        <v>0.22800000000000001</v>
      </c>
      <c r="AN52" s="3">
        <v>4.9000000000000002E-2</v>
      </c>
      <c r="AO52" s="3">
        <v>0.124</v>
      </c>
      <c r="AP52" s="3">
        <v>0.13700000000000001</v>
      </c>
      <c r="AQ52" s="3">
        <v>4.2000000000000003E-2</v>
      </c>
      <c r="AR52" s="3">
        <v>4.8000000000000001E-2</v>
      </c>
      <c r="AS52" s="3">
        <v>6999</v>
      </c>
      <c r="AT52" s="3">
        <v>6999</v>
      </c>
      <c r="AU52" s="3">
        <v>6999</v>
      </c>
      <c r="AV52" s="3">
        <v>-1.6930000000000001</v>
      </c>
      <c r="AW52" s="3">
        <v>-1.8220000000000001</v>
      </c>
      <c r="AX52" s="3">
        <v>-1.6419999999999999</v>
      </c>
      <c r="AY52" s="3">
        <v>-1.752</v>
      </c>
      <c r="AZ52" s="3">
        <v>-1.7250000000000001</v>
      </c>
      <c r="BA52" s="3">
        <v>-1.875</v>
      </c>
      <c r="BB52" s="3">
        <v>13.18</v>
      </c>
      <c r="BC52" s="3">
        <v>2876</v>
      </c>
      <c r="BE52" s="18">
        <v>1070</v>
      </c>
      <c r="BG52" s="16">
        <v>9.89</v>
      </c>
      <c r="BH52" s="16">
        <f t="shared" si="1"/>
        <v>19.977800000000002</v>
      </c>
      <c r="BI52" s="17">
        <f t="shared" si="40"/>
        <v>3.2</v>
      </c>
      <c r="BJ52" s="17">
        <f t="shared" si="41"/>
        <v>6.01</v>
      </c>
      <c r="BL52" s="1">
        <f t="shared" si="4"/>
        <v>95.8</v>
      </c>
      <c r="BM52" s="1">
        <f t="shared" si="5"/>
        <v>83.1</v>
      </c>
      <c r="BN52" s="1">
        <f t="shared" si="6"/>
        <v>67.5</v>
      </c>
      <c r="BO52" s="49">
        <f t="shared" si="15"/>
        <v>0.23100000000000001</v>
      </c>
      <c r="BP52" s="49">
        <f t="shared" si="16"/>
        <v>0.111</v>
      </c>
      <c r="BT52" s="16">
        <f t="shared" si="7"/>
        <v>3.2</v>
      </c>
      <c r="BU52" s="16">
        <f t="shared" si="8"/>
        <v>6.01</v>
      </c>
      <c r="BV52" s="3">
        <f t="shared" si="9"/>
        <v>-16.399999999999999</v>
      </c>
      <c r="BW52" s="3">
        <f t="shared" si="39"/>
        <v>-17.2</v>
      </c>
      <c r="BX52" s="3">
        <f t="shared" si="39"/>
        <v>-17.600000000000001</v>
      </c>
      <c r="BY52" s="3">
        <f t="shared" si="39"/>
        <v>-0.9</v>
      </c>
      <c r="BZ52" s="3">
        <f t="shared" si="39"/>
        <v>-1.6</v>
      </c>
      <c r="CA52" s="3">
        <f t="shared" si="39"/>
        <v>-0.7</v>
      </c>
      <c r="CB52" s="3">
        <f t="shared" si="39"/>
        <v>0.7</v>
      </c>
      <c r="CC52" s="22">
        <f t="shared" si="11"/>
        <v>83.1</v>
      </c>
      <c r="CD52" s="1">
        <f t="shared" si="17"/>
        <v>-7.7</v>
      </c>
      <c r="CE52" s="1">
        <f t="shared" si="18"/>
        <v>-8.1</v>
      </c>
      <c r="CF52" s="1">
        <f t="shared" si="19"/>
        <v>-7.4</v>
      </c>
      <c r="CG52" s="1">
        <f t="shared" si="20"/>
        <v>-0.3</v>
      </c>
      <c r="CH52" s="1">
        <f t="shared" si="21"/>
        <v>-1.3</v>
      </c>
      <c r="CI52" s="1">
        <f t="shared" si="22"/>
        <v>-0.5</v>
      </c>
      <c r="CJ52" s="1">
        <f t="shared" si="23"/>
        <v>0.7</v>
      </c>
      <c r="CK52" s="2">
        <f t="shared" si="13"/>
        <v>95.8</v>
      </c>
      <c r="CL52" s="1">
        <f t="shared" si="24"/>
        <v>-24.4</v>
      </c>
      <c r="CM52" s="1">
        <f t="shared" si="25"/>
        <v>-25.4</v>
      </c>
      <c r="CN52" s="1">
        <f t="shared" si="26"/>
        <v>-25.8</v>
      </c>
      <c r="CO52" s="1">
        <f t="shared" si="27"/>
        <v>-1.6</v>
      </c>
      <c r="CP52" s="1">
        <f t="shared" si="28"/>
        <v>-1.9</v>
      </c>
      <c r="CQ52" s="1">
        <f t="shared" si="29"/>
        <v>-0.8</v>
      </c>
      <c r="CR52" s="1">
        <f t="shared" si="30"/>
        <v>0.7</v>
      </c>
      <c r="CS52" s="2">
        <f t="shared" si="31"/>
        <v>67.5</v>
      </c>
      <c r="CT52" s="6">
        <f t="shared" si="32"/>
        <v>1070</v>
      </c>
      <c r="CU52" s="1">
        <f>PPTest!K52</f>
        <v>0</v>
      </c>
      <c r="CV52" s="3">
        <f t="shared" si="33"/>
        <v>1.64</v>
      </c>
      <c r="CW52" s="3">
        <f t="shared" si="34"/>
        <v>3.29</v>
      </c>
      <c r="CX52" s="24">
        <f t="shared" si="35"/>
        <v>0.23100000000000001</v>
      </c>
      <c r="CY52" s="24">
        <f t="shared" si="35"/>
        <v>0.111</v>
      </c>
      <c r="CZ52" s="16">
        <f t="shared" si="36"/>
        <v>13.18</v>
      </c>
    </row>
    <row r="53" spans="1:104" x14ac:dyDescent="0.2">
      <c r="A53" s="14">
        <f t="shared" si="37"/>
        <v>38764</v>
      </c>
      <c r="B53" s="1">
        <v>47</v>
      </c>
      <c r="C53" s="3">
        <v>7.15</v>
      </c>
      <c r="D53" s="3">
        <v>8.36</v>
      </c>
      <c r="E53" s="3">
        <v>-18.87</v>
      </c>
      <c r="F53" s="3">
        <v>74.8</v>
      </c>
      <c r="G53" s="3">
        <v>-19.66</v>
      </c>
      <c r="H53" s="3">
        <v>-20.25</v>
      </c>
      <c r="I53" s="3">
        <v>-1.1830000000000001</v>
      </c>
      <c r="J53" s="3">
        <v>-1.9330000000000001</v>
      </c>
      <c r="K53" s="3">
        <v>-0.86899999999999999</v>
      </c>
      <c r="L53" s="3">
        <v>0.69099999999999995</v>
      </c>
      <c r="M53" s="3">
        <v>2.4289999999999998</v>
      </c>
      <c r="N53" s="3">
        <v>0</v>
      </c>
      <c r="O53" s="3">
        <v>-11.1</v>
      </c>
      <c r="P53" s="3">
        <v>1308</v>
      </c>
      <c r="Q53" s="3">
        <v>104.1</v>
      </c>
      <c r="R53" s="3">
        <v>137</v>
      </c>
      <c r="S53" s="3">
        <v>-9.51</v>
      </c>
      <c r="T53" s="3">
        <v>-7.76</v>
      </c>
      <c r="U53" s="3">
        <v>-0.56499999999999995</v>
      </c>
      <c r="V53" s="3">
        <v>-1.663</v>
      </c>
      <c r="W53" s="3">
        <v>-0.73099999999999998</v>
      </c>
      <c r="X53" s="3">
        <v>0.72399999999999998</v>
      </c>
      <c r="Y53" s="3">
        <v>5.8730000000000002</v>
      </c>
      <c r="Z53" s="3">
        <v>1024</v>
      </c>
      <c r="AA53" s="3">
        <v>-26.18</v>
      </c>
      <c r="AB53" s="3">
        <v>620</v>
      </c>
      <c r="AC53" s="3">
        <v>43.21</v>
      </c>
      <c r="AD53" s="3">
        <v>1304</v>
      </c>
      <c r="AE53" s="3">
        <v>-28.07</v>
      </c>
      <c r="AF53" s="3">
        <v>-29.43</v>
      </c>
      <c r="AG53" s="3">
        <v>-2.04</v>
      </c>
      <c r="AH53" s="3">
        <v>-2.2480000000000002</v>
      </c>
      <c r="AI53" s="3">
        <v>-0.95099999999999996</v>
      </c>
      <c r="AJ53" s="3">
        <v>0.65700000000000003</v>
      </c>
      <c r="AK53" s="3">
        <v>0.14299999999999999</v>
      </c>
      <c r="AL53" s="3">
        <v>0.52800000000000002</v>
      </c>
      <c r="AM53" s="3">
        <v>0.31</v>
      </c>
      <c r="AN53" s="3">
        <v>6.0000000000000001E-3</v>
      </c>
      <c r="AO53" s="3">
        <v>0</v>
      </c>
      <c r="AP53" s="3">
        <v>0</v>
      </c>
      <c r="AQ53" s="3">
        <v>1E-3</v>
      </c>
      <c r="AR53" s="3">
        <v>1.2E-2</v>
      </c>
      <c r="AS53" s="3">
        <v>2471</v>
      </c>
      <c r="AT53" s="3">
        <v>2436</v>
      </c>
      <c r="AU53" s="3">
        <v>2443</v>
      </c>
      <c r="AV53" s="3">
        <v>-1.7629999999999999</v>
      </c>
      <c r="AW53" s="3">
        <v>-1.923</v>
      </c>
      <c r="AX53" s="3">
        <v>-1.6220000000000001</v>
      </c>
      <c r="AY53" s="3">
        <v>-1.744</v>
      </c>
      <c r="AZ53" s="3">
        <v>-2.056</v>
      </c>
      <c r="BA53" s="3">
        <v>-2.246</v>
      </c>
      <c r="BB53" s="3">
        <v>13.17</v>
      </c>
      <c r="BC53" s="3">
        <v>2876</v>
      </c>
      <c r="BE53" s="6">
        <f t="shared" ref="BE53:BE58" si="42">BE$2-AU53</f>
        <v>1067</v>
      </c>
      <c r="BG53" s="16">
        <v>10.09</v>
      </c>
      <c r="BH53" s="16">
        <f t="shared" si="1"/>
        <v>20.381799999999998</v>
      </c>
      <c r="BI53" s="17">
        <f t="shared" si="40"/>
        <v>7.01</v>
      </c>
      <c r="BJ53" s="17">
        <f t="shared" si="41"/>
        <v>9.1999999999999993</v>
      </c>
      <c r="BL53" s="1">
        <f t="shared" si="4"/>
        <v>88.8</v>
      </c>
      <c r="BM53" s="1">
        <f t="shared" si="5"/>
        <v>58.8</v>
      </c>
      <c r="BN53" s="1">
        <f t="shared" si="6"/>
        <v>31</v>
      </c>
      <c r="BO53" s="49">
        <f t="shared" si="15"/>
        <v>8.1000000000000003E-2</v>
      </c>
      <c r="BP53" s="49">
        <f t="shared" si="16"/>
        <v>0.18</v>
      </c>
      <c r="BT53" s="16">
        <f t="shared" si="7"/>
        <v>7.01</v>
      </c>
      <c r="BU53" s="16">
        <f t="shared" si="8"/>
        <v>9.1999999999999993</v>
      </c>
      <c r="BV53" s="3">
        <f t="shared" si="9"/>
        <v>-18.899999999999999</v>
      </c>
      <c r="BW53" s="3">
        <f t="shared" si="39"/>
        <v>-19.7</v>
      </c>
      <c r="BX53" s="3">
        <f t="shared" si="39"/>
        <v>-20.3</v>
      </c>
      <c r="BY53" s="3">
        <f t="shared" si="39"/>
        <v>-1.2</v>
      </c>
      <c r="BZ53" s="3">
        <f t="shared" si="39"/>
        <v>-1.9</v>
      </c>
      <c r="CA53" s="3">
        <f t="shared" si="39"/>
        <v>-0.9</v>
      </c>
      <c r="CB53" s="3">
        <f t="shared" si="39"/>
        <v>0.7</v>
      </c>
      <c r="CC53" s="22">
        <f t="shared" si="11"/>
        <v>58.8</v>
      </c>
      <c r="CD53" s="1">
        <f t="shared" si="17"/>
        <v>-11.1</v>
      </c>
      <c r="CE53" s="1">
        <f t="shared" si="18"/>
        <v>-9.5</v>
      </c>
      <c r="CF53" s="1">
        <f t="shared" si="19"/>
        <v>-7.8</v>
      </c>
      <c r="CG53" s="1">
        <f t="shared" si="20"/>
        <v>-0.6</v>
      </c>
      <c r="CH53" s="1">
        <f t="shared" si="21"/>
        <v>-1.7</v>
      </c>
      <c r="CI53" s="1">
        <f t="shared" si="22"/>
        <v>-0.7</v>
      </c>
      <c r="CJ53" s="1">
        <f t="shared" si="23"/>
        <v>0.7</v>
      </c>
      <c r="CK53" s="2">
        <f t="shared" si="13"/>
        <v>88.8</v>
      </c>
      <c r="CL53" s="1">
        <f t="shared" si="24"/>
        <v>-26.2</v>
      </c>
      <c r="CM53" s="1">
        <f t="shared" si="25"/>
        <v>-28.1</v>
      </c>
      <c r="CN53" s="1">
        <f t="shared" si="26"/>
        <v>-29.4</v>
      </c>
      <c r="CO53" s="1">
        <f t="shared" si="27"/>
        <v>-2</v>
      </c>
      <c r="CP53" s="1">
        <f t="shared" si="28"/>
        <v>-2.2000000000000002</v>
      </c>
      <c r="CQ53" s="1">
        <f t="shared" si="29"/>
        <v>-1</v>
      </c>
      <c r="CR53" s="1">
        <f t="shared" si="30"/>
        <v>0.7</v>
      </c>
      <c r="CS53" s="2">
        <f t="shared" si="31"/>
        <v>31</v>
      </c>
      <c r="CT53" s="6">
        <f t="shared" si="32"/>
        <v>1067</v>
      </c>
      <c r="CU53" s="1">
        <f>PPTest!K53</f>
        <v>0</v>
      </c>
      <c r="CV53" s="3">
        <f t="shared" si="33"/>
        <v>2.4300000000000002</v>
      </c>
      <c r="CW53" s="3">
        <f t="shared" si="34"/>
        <v>5.87</v>
      </c>
      <c r="CX53" s="24">
        <f t="shared" si="35"/>
        <v>8.1000000000000003E-2</v>
      </c>
      <c r="CY53" s="24">
        <f t="shared" si="35"/>
        <v>0.18</v>
      </c>
      <c r="CZ53" s="16">
        <f t="shared" si="36"/>
        <v>13.17</v>
      </c>
    </row>
    <row r="54" spans="1:104" x14ac:dyDescent="0.2">
      <c r="A54" s="14">
        <f t="shared" si="37"/>
        <v>38765</v>
      </c>
      <c r="B54" s="1">
        <v>48</v>
      </c>
      <c r="C54" s="3">
        <v>11.26</v>
      </c>
      <c r="D54" s="3">
        <v>18.95</v>
      </c>
      <c r="E54" s="3">
        <v>-20.149999999999999</v>
      </c>
      <c r="F54" s="3">
        <v>73.2</v>
      </c>
      <c r="G54" s="3">
        <v>-20.91</v>
      </c>
      <c r="H54" s="3">
        <v>-21.67</v>
      </c>
      <c r="I54" s="3">
        <v>-1.4890000000000001</v>
      </c>
      <c r="J54" s="3">
        <v>-2.391</v>
      </c>
      <c r="K54" s="3">
        <v>-1.1020000000000001</v>
      </c>
      <c r="L54" s="3">
        <v>0.68300000000000005</v>
      </c>
      <c r="M54" s="3">
        <v>2.0790000000000002</v>
      </c>
      <c r="N54" s="3">
        <v>0</v>
      </c>
      <c r="O54" s="3">
        <v>-7.82</v>
      </c>
      <c r="P54" s="3">
        <v>1413</v>
      </c>
      <c r="Q54" s="3">
        <v>98.5</v>
      </c>
      <c r="R54" s="3">
        <v>2325</v>
      </c>
      <c r="S54" s="3">
        <v>-5.6219999999999999</v>
      </c>
      <c r="T54" s="3">
        <v>-5.1189999999999998</v>
      </c>
      <c r="U54" s="3">
        <v>-0.61599999999999999</v>
      </c>
      <c r="V54" s="3">
        <v>-2.0699999999999998</v>
      </c>
      <c r="W54" s="3">
        <v>-0.91700000000000004</v>
      </c>
      <c r="X54" s="3">
        <v>0.72599999999999998</v>
      </c>
      <c r="Y54" s="3">
        <v>3.5859999999999999</v>
      </c>
      <c r="Z54" s="3">
        <v>1328</v>
      </c>
      <c r="AA54" s="3">
        <v>-29.73</v>
      </c>
      <c r="AB54" s="3">
        <v>652</v>
      </c>
      <c r="AC54" s="3">
        <v>23.71</v>
      </c>
      <c r="AD54" s="3">
        <v>1347</v>
      </c>
      <c r="AE54" s="3">
        <v>-30.96</v>
      </c>
      <c r="AF54" s="3">
        <v>-31.3</v>
      </c>
      <c r="AG54" s="3">
        <v>-2.4980000000000002</v>
      </c>
      <c r="AH54" s="3">
        <v>-2.7589999999999999</v>
      </c>
      <c r="AI54" s="3">
        <v>-1.224</v>
      </c>
      <c r="AJ54" s="3">
        <v>0.64400000000000002</v>
      </c>
      <c r="AK54" s="3">
        <v>0.11899999999999999</v>
      </c>
      <c r="AL54" s="3">
        <v>0.46</v>
      </c>
      <c r="AM54" s="3">
        <v>0.38300000000000001</v>
      </c>
      <c r="AN54" s="3">
        <v>4.0000000000000001E-3</v>
      </c>
      <c r="AO54" s="3">
        <v>3.0000000000000001E-3</v>
      </c>
      <c r="AP54" s="3">
        <v>0</v>
      </c>
      <c r="AQ54" s="3">
        <v>2E-3</v>
      </c>
      <c r="AR54" s="3">
        <v>2.9000000000000001E-2</v>
      </c>
      <c r="AS54" s="3">
        <v>2448</v>
      </c>
      <c r="AT54" s="3">
        <v>2443</v>
      </c>
      <c r="AU54" s="3">
        <v>2445</v>
      </c>
      <c r="AV54" s="3">
        <v>-2.2629999999999999</v>
      </c>
      <c r="AW54" s="3">
        <v>-2.476</v>
      </c>
      <c r="AX54" s="3">
        <v>-2.0350000000000001</v>
      </c>
      <c r="AY54" s="3">
        <v>-2.226</v>
      </c>
      <c r="AZ54" s="3">
        <v>-2.532</v>
      </c>
      <c r="BA54" s="3">
        <v>-2.7919999999999998</v>
      </c>
      <c r="BB54" s="3">
        <v>13.18</v>
      </c>
      <c r="BC54" s="3">
        <v>2876</v>
      </c>
      <c r="BE54" s="6">
        <f t="shared" si="42"/>
        <v>1065</v>
      </c>
      <c r="BG54" s="16">
        <v>10.3</v>
      </c>
      <c r="BH54" s="16">
        <f t="shared" si="1"/>
        <v>20.806000000000001</v>
      </c>
      <c r="BI54" s="17">
        <f t="shared" si="40"/>
        <v>11.03</v>
      </c>
      <c r="BJ54" s="17">
        <f t="shared" si="41"/>
        <v>20.85</v>
      </c>
      <c r="BL54" s="1">
        <f t="shared" si="4"/>
        <v>79.7</v>
      </c>
      <c r="BM54" s="1">
        <f t="shared" si="5"/>
        <v>57.4</v>
      </c>
      <c r="BN54" s="1">
        <f t="shared" si="6"/>
        <v>13.9</v>
      </c>
      <c r="BO54" s="49">
        <f t="shared" si="15"/>
        <v>4.7E-2</v>
      </c>
      <c r="BP54" s="49">
        <f t="shared" si="16"/>
        <v>0.29099999999999998</v>
      </c>
      <c r="BT54" s="16">
        <f t="shared" si="7"/>
        <v>11.03</v>
      </c>
      <c r="BU54" s="16">
        <f t="shared" si="8"/>
        <v>20.85</v>
      </c>
      <c r="BV54" s="3">
        <f t="shared" si="9"/>
        <v>-20.2</v>
      </c>
      <c r="BW54" s="3">
        <f t="shared" si="39"/>
        <v>-20.9</v>
      </c>
      <c r="BX54" s="3">
        <f t="shared" si="39"/>
        <v>-21.7</v>
      </c>
      <c r="BY54" s="3">
        <f t="shared" si="39"/>
        <v>-1.5</v>
      </c>
      <c r="BZ54" s="3">
        <f t="shared" si="39"/>
        <v>-2.4</v>
      </c>
      <c r="CA54" s="3">
        <f t="shared" si="39"/>
        <v>-1.1000000000000001</v>
      </c>
      <c r="CB54" s="3">
        <f t="shared" si="39"/>
        <v>0.7</v>
      </c>
      <c r="CC54" s="22">
        <f t="shared" si="11"/>
        <v>57.4</v>
      </c>
      <c r="CD54" s="1">
        <f t="shared" si="17"/>
        <v>-7.8</v>
      </c>
      <c r="CE54" s="1">
        <f t="shared" si="18"/>
        <v>-5.6</v>
      </c>
      <c r="CF54" s="1">
        <f t="shared" si="19"/>
        <v>-5.0999999999999996</v>
      </c>
      <c r="CG54" s="1">
        <f t="shared" si="20"/>
        <v>-0.6</v>
      </c>
      <c r="CH54" s="1">
        <f t="shared" si="21"/>
        <v>-2.1</v>
      </c>
      <c r="CI54" s="1">
        <f t="shared" si="22"/>
        <v>-0.9</v>
      </c>
      <c r="CJ54" s="1">
        <f t="shared" si="23"/>
        <v>0.7</v>
      </c>
      <c r="CK54" s="2">
        <f t="shared" si="13"/>
        <v>79.7</v>
      </c>
      <c r="CL54" s="1">
        <f t="shared" si="24"/>
        <v>-29.7</v>
      </c>
      <c r="CM54" s="1">
        <f t="shared" si="25"/>
        <v>-31</v>
      </c>
      <c r="CN54" s="1">
        <f t="shared" si="26"/>
        <v>-31.3</v>
      </c>
      <c r="CO54" s="1">
        <f t="shared" si="27"/>
        <v>-2.5</v>
      </c>
      <c r="CP54" s="1">
        <f t="shared" si="28"/>
        <v>-2.8</v>
      </c>
      <c r="CQ54" s="1">
        <f t="shared" si="29"/>
        <v>-1.2</v>
      </c>
      <c r="CR54" s="1">
        <f t="shared" si="30"/>
        <v>0.6</v>
      </c>
      <c r="CS54" s="2">
        <f t="shared" si="31"/>
        <v>13.9</v>
      </c>
      <c r="CT54" s="6">
        <f t="shared" si="32"/>
        <v>1065</v>
      </c>
      <c r="CU54" s="1">
        <f>PPTest!K54</f>
        <v>0</v>
      </c>
      <c r="CV54" s="3">
        <f t="shared" si="33"/>
        <v>2.08</v>
      </c>
      <c r="CW54" s="3">
        <f t="shared" si="34"/>
        <v>3.59</v>
      </c>
      <c r="CX54" s="24">
        <f t="shared" si="35"/>
        <v>4.7E-2</v>
      </c>
      <c r="CY54" s="24">
        <f t="shared" si="35"/>
        <v>0.29099999999999998</v>
      </c>
      <c r="CZ54" s="16">
        <f t="shared" si="36"/>
        <v>13.18</v>
      </c>
    </row>
    <row r="55" spans="1:104" x14ac:dyDescent="0.2">
      <c r="A55" s="14">
        <f t="shared" si="37"/>
        <v>38766</v>
      </c>
      <c r="B55" s="1">
        <v>49</v>
      </c>
      <c r="C55" s="3">
        <v>11.11</v>
      </c>
      <c r="D55" s="3">
        <v>19.440000000000001</v>
      </c>
      <c r="E55" s="3">
        <v>-18.46</v>
      </c>
      <c r="F55" s="3">
        <v>84.7</v>
      </c>
      <c r="G55" s="3">
        <v>-18.96</v>
      </c>
      <c r="H55" s="3">
        <v>-19.59</v>
      </c>
      <c r="I55" s="3">
        <v>-1.49</v>
      </c>
      <c r="J55" s="3">
        <v>-2.5099999999999998</v>
      </c>
      <c r="K55" s="3">
        <v>-1.2330000000000001</v>
      </c>
      <c r="L55" s="3">
        <v>0.67400000000000004</v>
      </c>
      <c r="M55" s="3">
        <v>1.9259999999999999</v>
      </c>
      <c r="N55" s="3">
        <v>0</v>
      </c>
      <c r="O55" s="3">
        <v>-7.59</v>
      </c>
      <c r="P55" s="3">
        <v>1430</v>
      </c>
      <c r="Q55" s="3">
        <v>102.4</v>
      </c>
      <c r="R55" s="3">
        <v>2257</v>
      </c>
      <c r="S55" s="3">
        <v>-5.891</v>
      </c>
      <c r="T55" s="3">
        <v>-4.0810000000000004</v>
      </c>
      <c r="U55" s="3">
        <v>-0.67</v>
      </c>
      <c r="V55" s="3">
        <v>-2.161</v>
      </c>
      <c r="W55" s="3">
        <v>-1.1220000000000001</v>
      </c>
      <c r="X55" s="3">
        <v>0.71599999999999997</v>
      </c>
      <c r="Y55" s="3">
        <v>3.0139999999999998</v>
      </c>
      <c r="Z55" s="3">
        <v>1220</v>
      </c>
      <c r="AA55" s="3">
        <v>-27.16</v>
      </c>
      <c r="AB55" s="3">
        <v>447</v>
      </c>
      <c r="AC55" s="3">
        <v>45.55</v>
      </c>
      <c r="AD55" s="3">
        <v>1114</v>
      </c>
      <c r="AE55" s="3">
        <v>-27.93</v>
      </c>
      <c r="AF55" s="3">
        <v>-28.46</v>
      </c>
      <c r="AG55" s="3">
        <v>-2.6970000000000001</v>
      </c>
      <c r="AH55" s="3">
        <v>-2.851</v>
      </c>
      <c r="AI55" s="3">
        <v>-1.343</v>
      </c>
      <c r="AJ55" s="3">
        <v>0.63200000000000001</v>
      </c>
      <c r="AK55" s="3">
        <v>3.0000000000000001E-3</v>
      </c>
      <c r="AL55" s="3">
        <v>0.308</v>
      </c>
      <c r="AM55" s="3">
        <v>0.38700000000000001</v>
      </c>
      <c r="AN55" s="3">
        <v>8.9999999999999993E-3</v>
      </c>
      <c r="AO55" s="3">
        <v>0.127</v>
      </c>
      <c r="AP55" s="3">
        <v>0.157</v>
      </c>
      <c r="AQ55" s="3">
        <v>8.0000000000000002E-3</v>
      </c>
      <c r="AR55" s="3">
        <v>0</v>
      </c>
      <c r="AS55" s="3">
        <v>2459</v>
      </c>
      <c r="AT55" s="3">
        <v>2449</v>
      </c>
      <c r="AU55" s="3">
        <v>2453</v>
      </c>
      <c r="AV55" s="3">
        <v>-2.536</v>
      </c>
      <c r="AW55" s="3">
        <v>-2.7410000000000001</v>
      </c>
      <c r="AX55" s="3">
        <v>-2.2829999999999999</v>
      </c>
      <c r="AY55" s="3">
        <v>-2.3929999999999998</v>
      </c>
      <c r="AZ55" s="3">
        <v>-2.7389999999999999</v>
      </c>
      <c r="BA55" s="3">
        <v>-2.9790000000000001</v>
      </c>
      <c r="BB55" s="3">
        <v>13.19</v>
      </c>
      <c r="BC55" s="3">
        <v>2876</v>
      </c>
      <c r="BE55" s="6">
        <f t="shared" si="42"/>
        <v>1057</v>
      </c>
      <c r="BG55" s="16">
        <v>10.5</v>
      </c>
      <c r="BH55" s="16">
        <f t="shared" si="1"/>
        <v>21.21</v>
      </c>
      <c r="BI55" s="17">
        <f t="shared" si="40"/>
        <v>10.89</v>
      </c>
      <c r="BJ55" s="17">
        <f t="shared" si="41"/>
        <v>21.38</v>
      </c>
      <c r="BL55" s="1">
        <f t="shared" si="4"/>
        <v>86.1</v>
      </c>
      <c r="BM55" s="1">
        <f t="shared" si="5"/>
        <v>67.5</v>
      </c>
      <c r="BN55" s="1">
        <f t="shared" si="6"/>
        <v>33.1</v>
      </c>
      <c r="BO55" s="49">
        <f t="shared" si="15"/>
        <v>0.114</v>
      </c>
      <c r="BP55" s="49">
        <f t="shared" si="16"/>
        <v>0.23</v>
      </c>
      <c r="BT55" s="16">
        <f t="shared" si="7"/>
        <v>10.89</v>
      </c>
      <c r="BU55" s="16">
        <f t="shared" si="8"/>
        <v>21.38</v>
      </c>
      <c r="BV55" s="3">
        <f t="shared" si="9"/>
        <v>-18.5</v>
      </c>
      <c r="BW55" s="3">
        <f t="shared" si="39"/>
        <v>-19</v>
      </c>
      <c r="BX55" s="3">
        <f t="shared" si="39"/>
        <v>-19.600000000000001</v>
      </c>
      <c r="BY55" s="3">
        <f t="shared" si="39"/>
        <v>-1.5</v>
      </c>
      <c r="BZ55" s="3">
        <f t="shared" si="39"/>
        <v>-2.5</v>
      </c>
      <c r="CA55" s="3">
        <f t="shared" si="39"/>
        <v>-1.2</v>
      </c>
      <c r="CB55" s="3">
        <f t="shared" si="39"/>
        <v>0.7</v>
      </c>
      <c r="CC55" s="22">
        <f t="shared" si="11"/>
        <v>67.5</v>
      </c>
      <c r="CD55" s="1">
        <f t="shared" si="17"/>
        <v>-7.6</v>
      </c>
      <c r="CE55" s="1">
        <f t="shared" si="18"/>
        <v>-5.9</v>
      </c>
      <c r="CF55" s="1">
        <f t="shared" si="19"/>
        <v>-4.0999999999999996</v>
      </c>
      <c r="CG55" s="1">
        <f t="shared" si="20"/>
        <v>-0.7</v>
      </c>
      <c r="CH55" s="1">
        <f t="shared" si="21"/>
        <v>-2.2000000000000002</v>
      </c>
      <c r="CI55" s="1">
        <f t="shared" si="22"/>
        <v>-1.1000000000000001</v>
      </c>
      <c r="CJ55" s="1">
        <f t="shared" si="23"/>
        <v>0.7</v>
      </c>
      <c r="CK55" s="2">
        <f t="shared" si="13"/>
        <v>86.1</v>
      </c>
      <c r="CL55" s="1">
        <f t="shared" si="24"/>
        <v>-27.2</v>
      </c>
      <c r="CM55" s="1">
        <f t="shared" si="25"/>
        <v>-27.9</v>
      </c>
      <c r="CN55" s="1">
        <f t="shared" si="26"/>
        <v>-28.5</v>
      </c>
      <c r="CO55" s="1">
        <f t="shared" si="27"/>
        <v>-2.7</v>
      </c>
      <c r="CP55" s="1">
        <f t="shared" si="28"/>
        <v>-2.9</v>
      </c>
      <c r="CQ55" s="1">
        <f t="shared" si="29"/>
        <v>-1.3</v>
      </c>
      <c r="CR55" s="1">
        <f t="shared" si="30"/>
        <v>0.6</v>
      </c>
      <c r="CS55" s="2">
        <f t="shared" si="31"/>
        <v>33.1</v>
      </c>
      <c r="CT55" s="6">
        <f t="shared" si="32"/>
        <v>1057</v>
      </c>
      <c r="CU55" s="1">
        <f>PPTest!K55</f>
        <v>0</v>
      </c>
      <c r="CV55" s="3">
        <f t="shared" si="33"/>
        <v>1.93</v>
      </c>
      <c r="CW55" s="3">
        <f t="shared" si="34"/>
        <v>3.01</v>
      </c>
      <c r="CX55" s="24">
        <f t="shared" si="35"/>
        <v>0.114</v>
      </c>
      <c r="CY55" s="24">
        <f t="shared" si="35"/>
        <v>0.23</v>
      </c>
      <c r="CZ55" s="16">
        <f t="shared" si="36"/>
        <v>13.19</v>
      </c>
    </row>
    <row r="56" spans="1:104" x14ac:dyDescent="0.2">
      <c r="A56" s="14">
        <f t="shared" si="37"/>
        <v>38767</v>
      </c>
      <c r="B56" s="1">
        <v>50</v>
      </c>
      <c r="C56" s="3">
        <v>7.25</v>
      </c>
      <c r="D56" s="3">
        <v>13.23</v>
      </c>
      <c r="E56" s="3">
        <v>-15.75</v>
      </c>
      <c r="F56" s="3">
        <v>89.5</v>
      </c>
      <c r="G56" s="3">
        <v>-16.12</v>
      </c>
      <c r="H56" s="3">
        <v>-16.32</v>
      </c>
      <c r="I56" s="3">
        <v>-1.407</v>
      </c>
      <c r="J56" s="3">
        <v>-2.427</v>
      </c>
      <c r="K56" s="3">
        <v>-1.2629999999999999</v>
      </c>
      <c r="L56" s="3">
        <v>0.66400000000000003</v>
      </c>
      <c r="M56" s="3">
        <v>1.6240000000000001</v>
      </c>
      <c r="N56" s="3">
        <v>0</v>
      </c>
      <c r="O56" s="3">
        <v>-8.44</v>
      </c>
      <c r="P56" s="3">
        <v>1602</v>
      </c>
      <c r="Q56" s="3">
        <v>102.1</v>
      </c>
      <c r="R56" s="3">
        <v>405</v>
      </c>
      <c r="S56" s="3">
        <v>-7.31</v>
      </c>
      <c r="T56" s="3">
        <v>-6.45</v>
      </c>
      <c r="U56" s="3">
        <v>-0.73099999999999998</v>
      </c>
      <c r="V56" s="3">
        <v>-1.8680000000000001</v>
      </c>
      <c r="W56" s="3">
        <v>-1.097</v>
      </c>
      <c r="X56" s="3">
        <v>0.70199999999999996</v>
      </c>
      <c r="Y56" s="3">
        <v>3.12</v>
      </c>
      <c r="Z56" s="3">
        <v>1240</v>
      </c>
      <c r="AA56" s="3">
        <v>-25.62</v>
      </c>
      <c r="AB56" s="3">
        <v>507</v>
      </c>
      <c r="AC56" s="3">
        <v>61.57</v>
      </c>
      <c r="AD56" s="3">
        <v>1149</v>
      </c>
      <c r="AE56" s="3">
        <v>-26.56</v>
      </c>
      <c r="AF56" s="3">
        <v>-26.88</v>
      </c>
      <c r="AG56" s="3">
        <v>-2.6680000000000001</v>
      </c>
      <c r="AH56" s="3">
        <v>-2.8740000000000001</v>
      </c>
      <c r="AI56" s="3">
        <v>-1.397</v>
      </c>
      <c r="AJ56" s="3">
        <v>0.623</v>
      </c>
      <c r="AK56" s="3">
        <v>1.9E-2</v>
      </c>
      <c r="AL56" s="3">
        <v>0.34499999999999997</v>
      </c>
      <c r="AM56" s="3">
        <v>0.29699999999999999</v>
      </c>
      <c r="AN56" s="3">
        <v>8.0000000000000002E-3</v>
      </c>
      <c r="AO56" s="3">
        <v>8.1000000000000003E-2</v>
      </c>
      <c r="AP56" s="3">
        <v>0.19900000000000001</v>
      </c>
      <c r="AQ56" s="3">
        <v>4.5999999999999999E-2</v>
      </c>
      <c r="AR56" s="3">
        <v>5.0000000000000001E-3</v>
      </c>
      <c r="AS56" s="3">
        <v>2456</v>
      </c>
      <c r="AT56" s="3">
        <v>2455</v>
      </c>
      <c r="AU56" s="3">
        <v>2455</v>
      </c>
      <c r="AV56" s="3">
        <v>-2.8639999999999999</v>
      </c>
      <c r="AW56" s="3">
        <v>-3.0659999999999998</v>
      </c>
      <c r="AX56" s="3">
        <v>-2.6560000000000001</v>
      </c>
      <c r="AY56" s="3">
        <v>-2.7919999999999998</v>
      </c>
      <c r="AZ56" s="3">
        <v>-3.1320000000000001</v>
      </c>
      <c r="BA56" s="3">
        <v>-3.3239999999999998</v>
      </c>
      <c r="BB56" s="3">
        <v>13.16</v>
      </c>
      <c r="BC56" s="3">
        <v>2876</v>
      </c>
      <c r="BE56" s="6">
        <f t="shared" si="42"/>
        <v>1055</v>
      </c>
      <c r="BG56" s="16">
        <v>10.72</v>
      </c>
      <c r="BH56" s="16">
        <f t="shared" si="1"/>
        <v>21.654400000000003</v>
      </c>
      <c r="BI56" s="17">
        <f t="shared" si="40"/>
        <v>7.11</v>
      </c>
      <c r="BJ56" s="17">
        <f t="shared" si="41"/>
        <v>14.55</v>
      </c>
      <c r="BL56" s="1">
        <f t="shared" si="4"/>
        <v>85.6</v>
      </c>
      <c r="BM56" s="1">
        <f t="shared" si="5"/>
        <v>71.8</v>
      </c>
      <c r="BN56" s="1">
        <f t="shared" si="6"/>
        <v>47.2</v>
      </c>
      <c r="BO56" s="49">
        <f t="shared" si="15"/>
        <v>0.152</v>
      </c>
      <c r="BP56" s="49">
        <f t="shared" si="16"/>
        <v>0.17</v>
      </c>
      <c r="BT56" s="16">
        <f t="shared" si="7"/>
        <v>7.11</v>
      </c>
      <c r="BU56" s="16">
        <f t="shared" si="8"/>
        <v>14.55</v>
      </c>
      <c r="BV56" s="3">
        <f t="shared" si="9"/>
        <v>-15.8</v>
      </c>
      <c r="BW56" s="3">
        <f t="shared" si="39"/>
        <v>-16.100000000000001</v>
      </c>
      <c r="BX56" s="3">
        <f t="shared" si="39"/>
        <v>-16.3</v>
      </c>
      <c r="BY56" s="3">
        <f t="shared" si="39"/>
        <v>-1.4</v>
      </c>
      <c r="BZ56" s="3">
        <f t="shared" si="39"/>
        <v>-2.4</v>
      </c>
      <c r="CA56" s="3">
        <f t="shared" si="39"/>
        <v>-1.3</v>
      </c>
      <c r="CB56" s="3">
        <f t="shared" si="39"/>
        <v>0.7</v>
      </c>
      <c r="CC56" s="22">
        <f t="shared" si="11"/>
        <v>71.8</v>
      </c>
      <c r="CD56" s="1">
        <f t="shared" si="17"/>
        <v>-8.4</v>
      </c>
      <c r="CE56" s="1">
        <f t="shared" si="18"/>
        <v>-7.3</v>
      </c>
      <c r="CF56" s="1">
        <f t="shared" si="19"/>
        <v>-6.5</v>
      </c>
      <c r="CG56" s="1">
        <f t="shared" si="20"/>
        <v>-0.7</v>
      </c>
      <c r="CH56" s="1">
        <f t="shared" si="21"/>
        <v>-1.9</v>
      </c>
      <c r="CI56" s="1">
        <f t="shared" si="22"/>
        <v>-1.1000000000000001</v>
      </c>
      <c r="CJ56" s="1">
        <f t="shared" si="23"/>
        <v>0.7</v>
      </c>
      <c r="CK56" s="2">
        <f t="shared" si="13"/>
        <v>85.6</v>
      </c>
      <c r="CL56" s="1">
        <f t="shared" si="24"/>
        <v>-25.6</v>
      </c>
      <c r="CM56" s="1">
        <f t="shared" si="25"/>
        <v>-26.6</v>
      </c>
      <c r="CN56" s="1">
        <f t="shared" si="26"/>
        <v>-26.9</v>
      </c>
      <c r="CO56" s="1">
        <f t="shared" si="27"/>
        <v>-2.7</v>
      </c>
      <c r="CP56" s="1">
        <f t="shared" si="28"/>
        <v>-2.9</v>
      </c>
      <c r="CQ56" s="1">
        <f t="shared" si="29"/>
        <v>-1.4</v>
      </c>
      <c r="CR56" s="1">
        <f t="shared" si="30"/>
        <v>0.6</v>
      </c>
      <c r="CS56" s="2">
        <f t="shared" si="31"/>
        <v>47.2</v>
      </c>
      <c r="CT56" s="6">
        <f t="shared" si="32"/>
        <v>1055</v>
      </c>
      <c r="CU56" s="1">
        <f>PPTest!K56</f>
        <v>0</v>
      </c>
      <c r="CV56" s="3">
        <f t="shared" si="33"/>
        <v>1.62</v>
      </c>
      <c r="CW56" s="3">
        <f t="shared" si="34"/>
        <v>3.12</v>
      </c>
      <c r="CX56" s="24">
        <f t="shared" si="35"/>
        <v>0.152</v>
      </c>
      <c r="CY56" s="24">
        <f t="shared" si="35"/>
        <v>0.17</v>
      </c>
      <c r="CZ56" s="16">
        <f t="shared" si="36"/>
        <v>13.16</v>
      </c>
    </row>
    <row r="57" spans="1:104" x14ac:dyDescent="0.2">
      <c r="A57" s="14">
        <f t="shared" si="37"/>
        <v>38768</v>
      </c>
      <c r="B57" s="1">
        <v>51</v>
      </c>
      <c r="C57" s="3">
        <v>2.7080000000000002</v>
      </c>
      <c r="D57" s="3">
        <v>5.569</v>
      </c>
      <c r="E57" s="3">
        <v>-9.6199999999999992</v>
      </c>
      <c r="F57" s="3">
        <v>105.9</v>
      </c>
      <c r="G57" s="3">
        <v>-9.9</v>
      </c>
      <c r="H57" s="3">
        <v>-9.8699999999999992</v>
      </c>
      <c r="I57" s="3">
        <v>-0.80500000000000005</v>
      </c>
      <c r="J57" s="3">
        <v>-1.627</v>
      </c>
      <c r="K57" s="3">
        <v>-0.98599999999999999</v>
      </c>
      <c r="L57" s="3">
        <v>0.65100000000000002</v>
      </c>
      <c r="M57" s="3">
        <v>1.5980000000000001</v>
      </c>
      <c r="N57" s="3">
        <v>0</v>
      </c>
      <c r="O57" s="3">
        <v>-6.86</v>
      </c>
      <c r="P57" s="3">
        <v>2347</v>
      </c>
      <c r="Q57" s="3">
        <v>109.2</v>
      </c>
      <c r="R57" s="3">
        <v>2337</v>
      </c>
      <c r="S57" s="3">
        <v>-7.17</v>
      </c>
      <c r="T57" s="3">
        <v>-7.2</v>
      </c>
      <c r="U57" s="3">
        <v>-0.65500000000000003</v>
      </c>
      <c r="V57" s="3">
        <v>-1.337</v>
      </c>
      <c r="W57" s="3">
        <v>-0.83899999999999997</v>
      </c>
      <c r="X57" s="3">
        <v>0.69399999999999995</v>
      </c>
      <c r="Y57" s="3">
        <v>3.8250000000000002</v>
      </c>
      <c r="Z57" s="3">
        <v>1233</v>
      </c>
      <c r="AA57" s="3">
        <v>-14.21</v>
      </c>
      <c r="AB57" s="3">
        <v>310</v>
      </c>
      <c r="AC57" s="3">
        <v>100.3</v>
      </c>
      <c r="AD57" s="3">
        <v>55</v>
      </c>
      <c r="AE57" s="3">
        <v>-15.33</v>
      </c>
      <c r="AF57" s="3">
        <v>-16.79</v>
      </c>
      <c r="AG57" s="3">
        <v>-1.0960000000000001</v>
      </c>
      <c r="AH57" s="3">
        <v>-1.8979999999999999</v>
      </c>
      <c r="AI57" s="3">
        <v>-1.125</v>
      </c>
      <c r="AJ57" s="3">
        <v>0.61199999999999999</v>
      </c>
      <c r="AK57" s="3">
        <v>3.1E-2</v>
      </c>
      <c r="AL57" s="3">
        <v>0.13300000000000001</v>
      </c>
      <c r="AM57" s="3">
        <v>0.1</v>
      </c>
      <c r="AN57" s="3">
        <v>0.01</v>
      </c>
      <c r="AO57" s="3">
        <v>0.128</v>
      </c>
      <c r="AP57" s="3">
        <v>0.45400000000000001</v>
      </c>
      <c r="AQ57" s="3">
        <v>0.129</v>
      </c>
      <c r="AR57" s="3">
        <v>1.4E-2</v>
      </c>
      <c r="AS57" s="3">
        <v>6999</v>
      </c>
      <c r="AT57" s="3">
        <v>2424</v>
      </c>
      <c r="AU57" s="19">
        <f>AT57</f>
        <v>2424</v>
      </c>
      <c r="AV57" s="3">
        <v>-3.129</v>
      </c>
      <c r="AW57" s="3">
        <v>-3.286</v>
      </c>
      <c r="AX57" s="3">
        <v>-2.8010000000000002</v>
      </c>
      <c r="AY57" s="3">
        <v>-2.9129999999999998</v>
      </c>
      <c r="AZ57" s="3">
        <v>-3.3370000000000002</v>
      </c>
      <c r="BA57" s="3">
        <v>-3.5379999999999998</v>
      </c>
      <c r="BB57" s="3">
        <v>13.13</v>
      </c>
      <c r="BC57" s="3">
        <v>2876</v>
      </c>
      <c r="BE57" s="6">
        <f t="shared" si="42"/>
        <v>1086</v>
      </c>
      <c r="BG57" s="16">
        <v>10.93</v>
      </c>
      <c r="BH57" s="16">
        <f t="shared" si="1"/>
        <v>22.078599999999998</v>
      </c>
      <c r="BI57" s="17">
        <f t="shared" si="40"/>
        <v>2.65</v>
      </c>
      <c r="BJ57" s="17">
        <f t="shared" si="41"/>
        <v>6.13</v>
      </c>
      <c r="BL57" s="1">
        <f t="shared" si="4"/>
        <v>96.9</v>
      </c>
      <c r="BM57" s="1">
        <f t="shared" si="5"/>
        <v>91.7</v>
      </c>
      <c r="BN57" s="1">
        <f t="shared" si="6"/>
        <v>82.8</v>
      </c>
      <c r="BO57" s="49">
        <f t="shared" si="15"/>
        <v>0.30199999999999999</v>
      </c>
      <c r="BP57" s="49">
        <f t="shared" si="16"/>
        <v>6.3E-2</v>
      </c>
      <c r="BT57" s="16">
        <f t="shared" si="7"/>
        <v>2.65</v>
      </c>
      <c r="BU57" s="16">
        <f t="shared" si="8"/>
        <v>6.13</v>
      </c>
      <c r="BV57" s="3">
        <f t="shared" si="9"/>
        <v>-9.6</v>
      </c>
      <c r="BW57" s="3">
        <f t="shared" si="39"/>
        <v>-9.9</v>
      </c>
      <c r="BX57" s="3">
        <f t="shared" si="39"/>
        <v>-9.9</v>
      </c>
      <c r="BY57" s="3">
        <f t="shared" si="39"/>
        <v>-0.8</v>
      </c>
      <c r="BZ57" s="3">
        <f t="shared" si="39"/>
        <v>-1.6</v>
      </c>
      <c r="CA57" s="3">
        <f t="shared" si="39"/>
        <v>-1</v>
      </c>
      <c r="CB57" s="3">
        <f t="shared" si="39"/>
        <v>0.7</v>
      </c>
      <c r="CC57" s="22">
        <f t="shared" si="11"/>
        <v>91.7</v>
      </c>
      <c r="CD57" s="1">
        <f t="shared" si="17"/>
        <v>-6.9</v>
      </c>
      <c r="CE57" s="1">
        <f t="shared" si="18"/>
        <v>-7.2</v>
      </c>
      <c r="CF57" s="1">
        <f t="shared" si="19"/>
        <v>-7.2</v>
      </c>
      <c r="CG57" s="1">
        <f t="shared" si="20"/>
        <v>-0.7</v>
      </c>
      <c r="CH57" s="1">
        <f t="shared" si="21"/>
        <v>-1.3</v>
      </c>
      <c r="CI57" s="1">
        <f t="shared" si="22"/>
        <v>-0.8</v>
      </c>
      <c r="CJ57" s="1">
        <f t="shared" si="23"/>
        <v>0.7</v>
      </c>
      <c r="CK57" s="2">
        <f t="shared" si="13"/>
        <v>96.9</v>
      </c>
      <c r="CL57" s="1">
        <f t="shared" si="24"/>
        <v>-14.2</v>
      </c>
      <c r="CM57" s="1">
        <f t="shared" si="25"/>
        <v>-15.3</v>
      </c>
      <c r="CN57" s="1">
        <f t="shared" si="26"/>
        <v>-16.8</v>
      </c>
      <c r="CO57" s="1">
        <f t="shared" si="27"/>
        <v>-1.1000000000000001</v>
      </c>
      <c r="CP57" s="1">
        <f t="shared" si="28"/>
        <v>-1.9</v>
      </c>
      <c r="CQ57" s="1">
        <f t="shared" si="29"/>
        <v>-1.1000000000000001</v>
      </c>
      <c r="CR57" s="1">
        <f t="shared" si="30"/>
        <v>0.6</v>
      </c>
      <c r="CS57" s="2">
        <f t="shared" si="31"/>
        <v>82.8</v>
      </c>
      <c r="CT57" s="6">
        <f t="shared" si="32"/>
        <v>1086</v>
      </c>
      <c r="CU57" s="1">
        <f>PPTest!K57</f>
        <v>4</v>
      </c>
      <c r="CV57" s="3">
        <f t="shared" si="33"/>
        <v>1.6</v>
      </c>
      <c r="CW57" s="3">
        <f t="shared" si="34"/>
        <v>3.83</v>
      </c>
      <c r="CX57" s="24">
        <f t="shared" si="35"/>
        <v>0.30199999999999999</v>
      </c>
      <c r="CY57" s="24">
        <f t="shared" si="35"/>
        <v>6.3E-2</v>
      </c>
      <c r="CZ57" s="16">
        <f t="shared" si="36"/>
        <v>13.13</v>
      </c>
    </row>
    <row r="58" spans="1:104" x14ac:dyDescent="0.2">
      <c r="A58" s="14">
        <f t="shared" si="37"/>
        <v>38769</v>
      </c>
      <c r="B58" s="1">
        <v>52</v>
      </c>
      <c r="C58" s="3">
        <v>2.379</v>
      </c>
      <c r="D58" s="3">
        <v>4.9530000000000003</v>
      </c>
      <c r="E58" s="3">
        <v>-6.032</v>
      </c>
      <c r="F58" s="3">
        <v>107.5</v>
      </c>
      <c r="G58" s="3">
        <v>-6.2720000000000002</v>
      </c>
      <c r="H58" s="3">
        <v>-6.5750000000000002</v>
      </c>
      <c r="I58" s="3">
        <v>-0.68400000000000005</v>
      </c>
      <c r="J58" s="3">
        <v>-1.179</v>
      </c>
      <c r="K58" s="3">
        <v>-0.76900000000000002</v>
      </c>
      <c r="L58" s="3">
        <v>0.63900000000000001</v>
      </c>
      <c r="M58" s="3">
        <v>2.1389999999999998</v>
      </c>
      <c r="N58" s="3">
        <v>0</v>
      </c>
      <c r="O58" s="3">
        <v>-4.2709999999999999</v>
      </c>
      <c r="P58" s="3">
        <v>1800</v>
      </c>
      <c r="Q58" s="3">
        <v>109.9</v>
      </c>
      <c r="R58" s="3">
        <v>1654</v>
      </c>
      <c r="S58" s="3">
        <v>-3.8380000000000001</v>
      </c>
      <c r="T58" s="3">
        <v>-4.4960000000000004</v>
      </c>
      <c r="U58" s="3">
        <v>-0.58099999999999996</v>
      </c>
      <c r="V58" s="3">
        <v>-1.014</v>
      </c>
      <c r="W58" s="3">
        <v>-0.67300000000000004</v>
      </c>
      <c r="X58" s="3">
        <v>0.67700000000000005</v>
      </c>
      <c r="Y58" s="3">
        <v>4.5030000000000001</v>
      </c>
      <c r="Z58" s="3">
        <v>2352</v>
      </c>
      <c r="AA58" s="3">
        <v>-7.84</v>
      </c>
      <c r="AB58" s="3">
        <v>722</v>
      </c>
      <c r="AC58" s="3">
        <v>95.7</v>
      </c>
      <c r="AD58" s="3">
        <v>2355</v>
      </c>
      <c r="AE58" s="3">
        <v>-8.19</v>
      </c>
      <c r="AF58" s="3">
        <v>-8.01</v>
      </c>
      <c r="AG58" s="3">
        <v>-0.83899999999999997</v>
      </c>
      <c r="AH58" s="3">
        <v>-1.3560000000000001</v>
      </c>
      <c r="AI58" s="3">
        <v>-0.88500000000000001</v>
      </c>
      <c r="AJ58" s="3">
        <v>0.61</v>
      </c>
      <c r="AK58" s="3">
        <v>1E-3</v>
      </c>
      <c r="AL58" s="3">
        <v>1E-3</v>
      </c>
      <c r="AM58" s="3">
        <v>1E-3</v>
      </c>
      <c r="AN58" s="3">
        <v>4.0000000000000001E-3</v>
      </c>
      <c r="AO58" s="3">
        <v>0.128</v>
      </c>
      <c r="AP58" s="3">
        <v>0.61699999999999999</v>
      </c>
      <c r="AQ58" s="3">
        <v>0.23300000000000001</v>
      </c>
      <c r="AR58" s="3">
        <v>1.4999999999999999E-2</v>
      </c>
      <c r="AS58" s="3">
        <v>2397</v>
      </c>
      <c r="AT58" s="3">
        <v>2395</v>
      </c>
      <c r="AU58" s="3">
        <v>2395</v>
      </c>
      <c r="AV58" s="3">
        <v>-2.96</v>
      </c>
      <c r="AW58" s="3">
        <v>-3.073</v>
      </c>
      <c r="AX58" s="3">
        <v>-2.8010000000000002</v>
      </c>
      <c r="AY58" s="3">
        <v>-2.8849999999999998</v>
      </c>
      <c r="AZ58" s="3">
        <v>-3.1930000000000001</v>
      </c>
      <c r="BA58" s="3">
        <v>-3.3420000000000001</v>
      </c>
      <c r="BB58" s="3">
        <v>13.07</v>
      </c>
      <c r="BC58" s="3">
        <v>2876</v>
      </c>
      <c r="BE58" s="6">
        <f t="shared" si="42"/>
        <v>1115</v>
      </c>
      <c r="BG58" s="16">
        <v>11.14</v>
      </c>
      <c r="BH58" s="16">
        <f t="shared" si="1"/>
        <v>22.502800000000001</v>
      </c>
      <c r="BI58" s="17">
        <f t="shared" si="40"/>
        <v>2.33</v>
      </c>
      <c r="BJ58" s="17">
        <f t="shared" si="41"/>
        <v>5.45</v>
      </c>
      <c r="BL58" s="1">
        <f t="shared" si="4"/>
        <v>98</v>
      </c>
      <c r="BM58" s="1">
        <f t="shared" si="5"/>
        <v>94.2</v>
      </c>
      <c r="BN58" s="1">
        <f t="shared" si="6"/>
        <v>77.2</v>
      </c>
      <c r="BO58" s="49">
        <f t="shared" si="15"/>
        <v>0.34300000000000003</v>
      </c>
      <c r="BP58" s="49">
        <f t="shared" si="16"/>
        <v>0.10100000000000001</v>
      </c>
      <c r="BT58" s="16">
        <f t="shared" si="7"/>
        <v>2.33</v>
      </c>
      <c r="BU58" s="16">
        <f t="shared" si="8"/>
        <v>5.45</v>
      </c>
      <c r="BV58" s="3">
        <f t="shared" si="9"/>
        <v>-6</v>
      </c>
      <c r="BW58" s="3">
        <f t="shared" si="39"/>
        <v>-6.3</v>
      </c>
      <c r="BX58" s="3">
        <f t="shared" si="39"/>
        <v>-6.6</v>
      </c>
      <c r="BY58" s="3">
        <f t="shared" si="39"/>
        <v>-0.7</v>
      </c>
      <c r="BZ58" s="3">
        <f t="shared" si="39"/>
        <v>-1.2</v>
      </c>
      <c r="CA58" s="3">
        <f t="shared" si="39"/>
        <v>-0.8</v>
      </c>
      <c r="CB58" s="3">
        <f t="shared" si="39"/>
        <v>0.6</v>
      </c>
      <c r="CC58" s="22">
        <f t="shared" si="11"/>
        <v>94.2</v>
      </c>
      <c r="CD58" s="1">
        <f t="shared" si="17"/>
        <v>-4.3</v>
      </c>
      <c r="CE58" s="1">
        <f t="shared" si="18"/>
        <v>-3.8</v>
      </c>
      <c r="CF58" s="1">
        <f t="shared" si="19"/>
        <v>-4.5</v>
      </c>
      <c r="CG58" s="1">
        <f t="shared" si="20"/>
        <v>-0.6</v>
      </c>
      <c r="CH58" s="1">
        <f t="shared" si="21"/>
        <v>-1</v>
      </c>
      <c r="CI58" s="1">
        <f t="shared" si="22"/>
        <v>-0.7</v>
      </c>
      <c r="CJ58" s="1">
        <f t="shared" si="23"/>
        <v>0.7</v>
      </c>
      <c r="CK58" s="2">
        <f t="shared" si="13"/>
        <v>98</v>
      </c>
      <c r="CL58" s="1">
        <f t="shared" si="24"/>
        <v>-7.8</v>
      </c>
      <c r="CM58" s="1">
        <f t="shared" si="25"/>
        <v>-8.1999999999999993</v>
      </c>
      <c r="CN58" s="1">
        <f t="shared" si="26"/>
        <v>-8</v>
      </c>
      <c r="CO58" s="1">
        <f t="shared" si="27"/>
        <v>-0.8</v>
      </c>
      <c r="CP58" s="1">
        <f t="shared" si="28"/>
        <v>-1.4</v>
      </c>
      <c r="CQ58" s="1">
        <f t="shared" si="29"/>
        <v>-0.9</v>
      </c>
      <c r="CR58" s="1">
        <f t="shared" si="30"/>
        <v>0.6</v>
      </c>
      <c r="CS58" s="2">
        <f t="shared" si="31"/>
        <v>77.2</v>
      </c>
      <c r="CT58" s="6">
        <f t="shared" si="32"/>
        <v>1115</v>
      </c>
      <c r="CU58" s="1">
        <f>PPTest!K58</f>
        <v>3.8</v>
      </c>
      <c r="CV58" s="3">
        <f t="shared" si="33"/>
        <v>2.14</v>
      </c>
      <c r="CW58" s="3">
        <f t="shared" si="34"/>
        <v>4.5</v>
      </c>
      <c r="CX58" s="24">
        <f t="shared" si="35"/>
        <v>0.34300000000000003</v>
      </c>
      <c r="CY58" s="24">
        <f t="shared" si="35"/>
        <v>0.10100000000000001</v>
      </c>
      <c r="CZ58" s="16">
        <f t="shared" si="36"/>
        <v>13.07</v>
      </c>
    </row>
    <row r="59" spans="1:104" x14ac:dyDescent="0.2">
      <c r="A59" s="14">
        <f t="shared" si="37"/>
        <v>38770</v>
      </c>
      <c r="B59" s="1">
        <v>53</v>
      </c>
      <c r="C59" s="3">
        <v>7.07</v>
      </c>
      <c r="D59" s="3">
        <v>12.6</v>
      </c>
      <c r="E59" s="3">
        <v>-6.2779999999999996</v>
      </c>
      <c r="F59" s="3">
        <v>86.2</v>
      </c>
      <c r="G59" s="3">
        <v>-6.5570000000000004</v>
      </c>
      <c r="H59" s="3">
        <v>-7.61</v>
      </c>
      <c r="I59" s="3">
        <v>-0.78900000000000003</v>
      </c>
      <c r="J59" s="3">
        <v>-1.071</v>
      </c>
      <c r="K59" s="3">
        <v>-0.65100000000000002</v>
      </c>
      <c r="L59" s="3">
        <v>0.63300000000000001</v>
      </c>
      <c r="M59" s="3">
        <v>2.3010000000000002</v>
      </c>
      <c r="N59" s="3">
        <v>0</v>
      </c>
      <c r="O59" s="3">
        <v>-4.5830000000000002</v>
      </c>
      <c r="P59" s="3">
        <v>1128</v>
      </c>
      <c r="Q59" s="3">
        <v>109.4</v>
      </c>
      <c r="R59" s="3">
        <v>2339</v>
      </c>
      <c r="S59" s="3">
        <v>-2.6789999999999998</v>
      </c>
      <c r="T59" s="3">
        <v>-4.3680000000000003</v>
      </c>
      <c r="U59" s="3">
        <v>-0.58499999999999996</v>
      </c>
      <c r="V59" s="3">
        <v>-0.98499999999999999</v>
      </c>
      <c r="W59" s="3">
        <v>-0.60799999999999998</v>
      </c>
      <c r="X59" s="3">
        <v>0.66700000000000004</v>
      </c>
      <c r="Y59" s="3">
        <v>6.8840000000000003</v>
      </c>
      <c r="Z59" s="3">
        <v>336</v>
      </c>
      <c r="AA59" s="3">
        <v>-7.94</v>
      </c>
      <c r="AB59" s="3">
        <v>1850</v>
      </c>
      <c r="AC59" s="3">
        <v>54.06</v>
      </c>
      <c r="AD59" s="3">
        <v>1129</v>
      </c>
      <c r="AE59" s="3">
        <v>-8.6300000000000008</v>
      </c>
      <c r="AF59" s="3">
        <v>-11.44</v>
      </c>
      <c r="AG59" s="3">
        <v>-1.2729999999999999</v>
      </c>
      <c r="AH59" s="3">
        <v>-1.1519999999999999</v>
      </c>
      <c r="AI59" s="3">
        <v>-0.71199999999999997</v>
      </c>
      <c r="AJ59" s="3">
        <v>0.59799999999999998</v>
      </c>
      <c r="AK59" s="3">
        <v>3.3000000000000002E-2</v>
      </c>
      <c r="AL59" s="3">
        <v>3.6999999999999998E-2</v>
      </c>
      <c r="AM59" s="3">
        <v>2.4E-2</v>
      </c>
      <c r="AN59" s="3">
        <v>3.5999999999999997E-2</v>
      </c>
      <c r="AO59" s="3">
        <v>0.219</v>
      </c>
      <c r="AP59" s="3">
        <v>0.42899999999999999</v>
      </c>
      <c r="AQ59" s="3">
        <v>0.183</v>
      </c>
      <c r="AR59" s="3">
        <v>3.7999999999999999E-2</v>
      </c>
      <c r="AS59" s="3">
        <v>6999</v>
      </c>
      <c r="AT59" s="3">
        <v>6999</v>
      </c>
      <c r="AU59" s="3">
        <v>6999</v>
      </c>
      <c r="AV59" s="3">
        <v>-2.407</v>
      </c>
      <c r="AW59" s="3">
        <v>-2.5049999999999999</v>
      </c>
      <c r="AX59" s="3">
        <v>-2.1589999999999998</v>
      </c>
      <c r="AY59" s="3">
        <v>-2.2429999999999999</v>
      </c>
      <c r="AZ59" s="3">
        <v>-2.8220000000000001</v>
      </c>
      <c r="BA59" s="3">
        <v>-2.96</v>
      </c>
      <c r="BB59" s="3">
        <v>13.15</v>
      </c>
      <c r="BC59" s="3">
        <v>2876</v>
      </c>
      <c r="BE59" s="18">
        <v>1200</v>
      </c>
      <c r="BG59" s="16">
        <v>11.37</v>
      </c>
      <c r="BH59" s="16">
        <f t="shared" si="1"/>
        <v>22.967399999999998</v>
      </c>
      <c r="BI59" s="17">
        <f t="shared" si="40"/>
        <v>6.93</v>
      </c>
      <c r="BJ59" s="17">
        <f t="shared" si="41"/>
        <v>13.86</v>
      </c>
      <c r="BL59" s="1">
        <f t="shared" si="4"/>
        <v>97.2</v>
      </c>
      <c r="BM59" s="1">
        <f t="shared" si="5"/>
        <v>68.900000000000006</v>
      </c>
      <c r="BN59" s="1">
        <f t="shared" si="6"/>
        <v>40.6</v>
      </c>
      <c r="BO59" s="49">
        <f t="shared" si="15"/>
        <v>0.17599999999999999</v>
      </c>
      <c r="BP59" s="49">
        <f t="shared" si="16"/>
        <v>0.25700000000000001</v>
      </c>
      <c r="BT59" s="16">
        <f t="shared" si="7"/>
        <v>6.93</v>
      </c>
      <c r="BU59" s="16">
        <f t="shared" si="8"/>
        <v>13.86</v>
      </c>
      <c r="BV59" s="3">
        <f t="shared" si="9"/>
        <v>-6.3</v>
      </c>
      <c r="BW59" s="3">
        <f t="shared" si="39"/>
        <v>-6.6</v>
      </c>
      <c r="BX59" s="3">
        <f t="shared" si="39"/>
        <v>-7.6</v>
      </c>
      <c r="BY59" s="3">
        <f t="shared" si="39"/>
        <v>-0.8</v>
      </c>
      <c r="BZ59" s="3">
        <f t="shared" si="39"/>
        <v>-1.1000000000000001</v>
      </c>
      <c r="CA59" s="3">
        <f t="shared" si="39"/>
        <v>-0.7</v>
      </c>
      <c r="CB59" s="3">
        <f t="shared" si="39"/>
        <v>0.6</v>
      </c>
      <c r="CC59" s="22">
        <f t="shared" si="11"/>
        <v>68.900000000000006</v>
      </c>
      <c r="CD59" s="1">
        <f t="shared" si="17"/>
        <v>-4.5999999999999996</v>
      </c>
      <c r="CE59" s="1">
        <f t="shared" si="18"/>
        <v>-2.7</v>
      </c>
      <c r="CF59" s="1">
        <f t="shared" si="19"/>
        <v>-4.4000000000000004</v>
      </c>
      <c r="CG59" s="1">
        <f t="shared" si="20"/>
        <v>-0.6</v>
      </c>
      <c r="CH59" s="1">
        <f t="shared" si="21"/>
        <v>-1</v>
      </c>
      <c r="CI59" s="1">
        <f t="shared" si="22"/>
        <v>-0.6</v>
      </c>
      <c r="CJ59" s="1">
        <f t="shared" si="23"/>
        <v>0.7</v>
      </c>
      <c r="CK59" s="2">
        <f t="shared" si="13"/>
        <v>97.2</v>
      </c>
      <c r="CL59" s="1">
        <f t="shared" si="24"/>
        <v>-7.9</v>
      </c>
      <c r="CM59" s="1">
        <f t="shared" si="25"/>
        <v>-8.6</v>
      </c>
      <c r="CN59" s="1">
        <f t="shared" si="26"/>
        <v>-11.4</v>
      </c>
      <c r="CO59" s="1">
        <f t="shared" si="27"/>
        <v>-1.3</v>
      </c>
      <c r="CP59" s="1">
        <f t="shared" si="28"/>
        <v>-1.2</v>
      </c>
      <c r="CQ59" s="1">
        <f t="shared" si="29"/>
        <v>-0.7</v>
      </c>
      <c r="CR59" s="1">
        <f t="shared" si="30"/>
        <v>0.6</v>
      </c>
      <c r="CS59" s="2">
        <f t="shared" si="31"/>
        <v>40.6</v>
      </c>
      <c r="CT59" s="6">
        <f t="shared" si="32"/>
        <v>1200</v>
      </c>
      <c r="CU59" s="1">
        <f>PPTest!K59</f>
        <v>11.1</v>
      </c>
      <c r="CV59" s="3">
        <f t="shared" si="33"/>
        <v>2.2999999999999998</v>
      </c>
      <c r="CW59" s="3">
        <f t="shared" si="34"/>
        <v>6.88</v>
      </c>
      <c r="CX59" s="24">
        <f t="shared" si="35"/>
        <v>0.17599999999999999</v>
      </c>
      <c r="CY59" s="24">
        <f t="shared" si="35"/>
        <v>0.25700000000000001</v>
      </c>
      <c r="CZ59" s="16">
        <f t="shared" si="36"/>
        <v>13.15</v>
      </c>
    </row>
    <row r="60" spans="1:104" x14ac:dyDescent="0.2">
      <c r="A60" s="14">
        <f t="shared" si="37"/>
        <v>38771</v>
      </c>
      <c r="B60" s="1">
        <v>54</v>
      </c>
      <c r="C60" s="3">
        <v>1.395</v>
      </c>
      <c r="D60" s="3">
        <v>2.6269999999999998</v>
      </c>
      <c r="E60" s="3">
        <v>-8.15</v>
      </c>
      <c r="F60" s="3">
        <v>106.2</v>
      </c>
      <c r="G60" s="3">
        <v>-8.43</v>
      </c>
      <c r="H60" s="3">
        <v>-4.5999999999999996</v>
      </c>
      <c r="I60" s="3">
        <v>-0.70899999999999996</v>
      </c>
      <c r="J60" s="3">
        <v>-0.996</v>
      </c>
      <c r="K60" s="3">
        <v>-0.621</v>
      </c>
      <c r="L60" s="3">
        <v>0.622</v>
      </c>
      <c r="M60" s="3">
        <v>1.4059999999999999</v>
      </c>
      <c r="N60" s="3">
        <v>0</v>
      </c>
      <c r="O60" s="3">
        <v>-5.81</v>
      </c>
      <c r="P60" s="3">
        <v>1155</v>
      </c>
      <c r="Q60" s="3">
        <v>109.2</v>
      </c>
      <c r="R60" s="3">
        <v>431</v>
      </c>
      <c r="S60" s="3">
        <v>-5.38</v>
      </c>
      <c r="T60" s="3">
        <v>-2.3180000000000001</v>
      </c>
      <c r="U60" s="3">
        <v>-0.57199999999999995</v>
      </c>
      <c r="V60" s="3">
        <v>-0.94499999999999995</v>
      </c>
      <c r="W60" s="3">
        <v>-0.57999999999999996</v>
      </c>
      <c r="X60" s="3">
        <v>0.65600000000000003</v>
      </c>
      <c r="Y60" s="3">
        <v>3.4129999999999998</v>
      </c>
      <c r="Z60" s="3">
        <v>1917</v>
      </c>
      <c r="AA60" s="3">
        <v>-11.51</v>
      </c>
      <c r="AB60" s="3">
        <v>0</v>
      </c>
      <c r="AC60" s="3">
        <v>87.4</v>
      </c>
      <c r="AD60" s="3">
        <v>1342</v>
      </c>
      <c r="AE60" s="3">
        <v>-12.08</v>
      </c>
      <c r="AF60" s="3">
        <v>-5.9509999999999996</v>
      </c>
      <c r="AG60" s="3">
        <v>-0.99</v>
      </c>
      <c r="AH60" s="3">
        <v>-1.0680000000000001</v>
      </c>
      <c r="AI60" s="3">
        <v>-0.66800000000000004</v>
      </c>
      <c r="AJ60" s="3">
        <v>0.59199999999999997</v>
      </c>
      <c r="AK60" s="3">
        <v>1.4999999999999999E-2</v>
      </c>
      <c r="AL60" s="3">
        <v>1.4999999999999999E-2</v>
      </c>
      <c r="AM60" s="3">
        <v>1.9E-2</v>
      </c>
      <c r="AN60" s="3">
        <v>2.4E-2</v>
      </c>
      <c r="AO60" s="3">
        <v>0.218</v>
      </c>
      <c r="AP60" s="3">
        <v>0.47599999999999998</v>
      </c>
      <c r="AQ60" s="3">
        <v>0.19700000000000001</v>
      </c>
      <c r="AR60" s="3">
        <v>3.5999999999999997E-2</v>
      </c>
      <c r="AS60" s="3">
        <v>6999</v>
      </c>
      <c r="AT60" s="3">
        <v>2259</v>
      </c>
      <c r="AU60" s="19">
        <f>AT60</f>
        <v>2259</v>
      </c>
      <c r="AV60" s="3">
        <v>-2.4929999999999999</v>
      </c>
      <c r="AW60" s="3">
        <v>-2.5920000000000001</v>
      </c>
      <c r="AX60" s="3">
        <v>-2.3250000000000002</v>
      </c>
      <c r="AY60" s="3">
        <v>-2.4009999999999998</v>
      </c>
      <c r="AZ60" s="3">
        <v>-2.6150000000000002</v>
      </c>
      <c r="BA60" s="3">
        <v>-2.7370000000000001</v>
      </c>
      <c r="BB60" s="3">
        <v>13.17</v>
      </c>
      <c r="BC60" s="3">
        <v>2876</v>
      </c>
      <c r="BE60" s="6">
        <f>BE$2-AU60</f>
        <v>1251</v>
      </c>
      <c r="BG60" s="16">
        <v>11.59</v>
      </c>
      <c r="BH60" s="16">
        <f t="shared" si="1"/>
        <v>23.411799999999999</v>
      </c>
      <c r="BI60" s="17">
        <f t="shared" si="40"/>
        <v>1.37</v>
      </c>
      <c r="BJ60" s="17">
        <f t="shared" si="41"/>
        <v>2.89</v>
      </c>
      <c r="BL60" s="1">
        <f t="shared" si="4"/>
        <v>96.9</v>
      </c>
      <c r="BM60" s="1">
        <f t="shared" si="5"/>
        <v>92.2</v>
      </c>
      <c r="BN60" s="1">
        <f t="shared" si="6"/>
        <v>69.900000000000006</v>
      </c>
      <c r="BO60" s="49">
        <f t="shared" si="15"/>
        <v>0.27700000000000002</v>
      </c>
      <c r="BP60" s="49">
        <f t="shared" si="16"/>
        <v>0.11899999999999999</v>
      </c>
      <c r="BT60" s="16">
        <f t="shared" si="7"/>
        <v>1.37</v>
      </c>
      <c r="BU60" s="16">
        <f t="shared" si="8"/>
        <v>2.89</v>
      </c>
      <c r="BV60" s="3">
        <f t="shared" si="9"/>
        <v>-8.1999999999999993</v>
      </c>
      <c r="BW60" s="3">
        <f t="shared" si="39"/>
        <v>-8.4</v>
      </c>
      <c r="BX60" s="3">
        <f t="shared" si="39"/>
        <v>-4.5999999999999996</v>
      </c>
      <c r="BY60" s="3">
        <f t="shared" si="39"/>
        <v>-0.7</v>
      </c>
      <c r="BZ60" s="3">
        <f t="shared" si="39"/>
        <v>-1</v>
      </c>
      <c r="CA60" s="3">
        <f t="shared" si="39"/>
        <v>-0.6</v>
      </c>
      <c r="CB60" s="3">
        <f t="shared" si="39"/>
        <v>0.6</v>
      </c>
      <c r="CC60" s="22">
        <f t="shared" si="11"/>
        <v>92.2</v>
      </c>
      <c r="CD60" s="1">
        <f t="shared" si="17"/>
        <v>-5.8</v>
      </c>
      <c r="CE60" s="1">
        <f t="shared" si="18"/>
        <v>-5.4</v>
      </c>
      <c r="CF60" s="1">
        <f t="shared" si="19"/>
        <v>-2.2999999999999998</v>
      </c>
      <c r="CG60" s="1">
        <f t="shared" si="20"/>
        <v>-0.6</v>
      </c>
      <c r="CH60" s="1">
        <f t="shared" si="21"/>
        <v>-0.9</v>
      </c>
      <c r="CI60" s="1">
        <f t="shared" si="22"/>
        <v>-0.6</v>
      </c>
      <c r="CJ60" s="1">
        <f t="shared" si="23"/>
        <v>0.7</v>
      </c>
      <c r="CK60" s="2">
        <f t="shared" si="13"/>
        <v>96.9</v>
      </c>
      <c r="CL60" s="1">
        <f t="shared" si="24"/>
        <v>-11.5</v>
      </c>
      <c r="CM60" s="1">
        <f t="shared" si="25"/>
        <v>-12.1</v>
      </c>
      <c r="CN60" s="1">
        <f t="shared" si="26"/>
        <v>-6</v>
      </c>
      <c r="CO60" s="1">
        <f t="shared" si="27"/>
        <v>-1</v>
      </c>
      <c r="CP60" s="1">
        <f t="shared" si="28"/>
        <v>-1.1000000000000001</v>
      </c>
      <c r="CQ60" s="1">
        <f t="shared" si="29"/>
        <v>-0.7</v>
      </c>
      <c r="CR60" s="1">
        <f t="shared" si="30"/>
        <v>0.6</v>
      </c>
      <c r="CS60" s="2">
        <f t="shared" si="31"/>
        <v>69.900000000000006</v>
      </c>
      <c r="CT60" s="6">
        <f t="shared" si="32"/>
        <v>1251</v>
      </c>
      <c r="CU60" s="1">
        <f>PPTest!K60</f>
        <v>6.6</v>
      </c>
      <c r="CV60" s="3">
        <f t="shared" si="33"/>
        <v>1.41</v>
      </c>
      <c r="CW60" s="3">
        <f t="shared" si="34"/>
        <v>3.41</v>
      </c>
      <c r="CX60" s="24">
        <f t="shared" si="35"/>
        <v>0.27700000000000002</v>
      </c>
      <c r="CY60" s="24">
        <f t="shared" si="35"/>
        <v>0.11899999999999999</v>
      </c>
      <c r="CZ60" s="16">
        <f t="shared" si="36"/>
        <v>13.17</v>
      </c>
    </row>
    <row r="61" spans="1:104" x14ac:dyDescent="0.2">
      <c r="A61" s="14">
        <f t="shared" si="37"/>
        <v>38772</v>
      </c>
      <c r="B61" s="1">
        <v>55</v>
      </c>
      <c r="C61" s="3">
        <v>4.4749999999999996</v>
      </c>
      <c r="D61" s="3">
        <v>7.23</v>
      </c>
      <c r="E61" s="3">
        <v>-16.11</v>
      </c>
      <c r="F61" s="3">
        <v>94.4</v>
      </c>
      <c r="G61" s="3">
        <v>-16.93</v>
      </c>
      <c r="H61" s="3">
        <v>-3.7919999999999998</v>
      </c>
      <c r="I61" s="3">
        <v>-1.8169999999999999</v>
      </c>
      <c r="J61" s="3">
        <v>-1.6080000000000001</v>
      </c>
      <c r="K61" s="3">
        <v>-0.77800000000000002</v>
      </c>
      <c r="L61" s="3">
        <v>0.622</v>
      </c>
      <c r="M61" s="3">
        <v>1.591</v>
      </c>
      <c r="N61" s="3">
        <v>0</v>
      </c>
      <c r="O61" s="3">
        <v>-7.93</v>
      </c>
      <c r="P61" s="3">
        <v>1540</v>
      </c>
      <c r="Q61" s="3">
        <v>106.8</v>
      </c>
      <c r="R61" s="3">
        <v>1</v>
      </c>
      <c r="S61" s="3">
        <v>-5.7430000000000003</v>
      </c>
      <c r="T61" s="3">
        <v>1.3839999999999999</v>
      </c>
      <c r="U61" s="3">
        <v>-0.88</v>
      </c>
      <c r="V61" s="3">
        <v>-1.0289999999999999</v>
      </c>
      <c r="W61" s="3">
        <v>-0.59399999999999997</v>
      </c>
      <c r="X61" s="3">
        <v>0.65400000000000003</v>
      </c>
      <c r="Y61" s="3">
        <v>3.36</v>
      </c>
      <c r="Z61" s="3">
        <v>1313</v>
      </c>
      <c r="AA61" s="3">
        <v>-24.64</v>
      </c>
      <c r="AB61" s="3">
        <v>2358</v>
      </c>
      <c r="AC61" s="3">
        <v>64.11</v>
      </c>
      <c r="AD61" s="3">
        <v>1321</v>
      </c>
      <c r="AE61" s="3">
        <v>-25.68</v>
      </c>
      <c r="AF61" s="3">
        <v>-5.5129999999999999</v>
      </c>
      <c r="AG61" s="3">
        <v>-3.0350000000000001</v>
      </c>
      <c r="AH61" s="3">
        <v>-2.1659999999999999</v>
      </c>
      <c r="AI61" s="3">
        <v>-0.98299999999999998</v>
      </c>
      <c r="AJ61" s="3">
        <v>0.58799999999999997</v>
      </c>
      <c r="AK61" s="3">
        <v>8.0000000000000002E-3</v>
      </c>
      <c r="AL61" s="3">
        <v>0.20599999999999999</v>
      </c>
      <c r="AM61" s="3">
        <v>0.36499999999999999</v>
      </c>
      <c r="AN61" s="3">
        <v>1.4E-2</v>
      </c>
      <c r="AO61" s="3">
        <v>9.7000000000000003E-2</v>
      </c>
      <c r="AP61" s="3">
        <v>0.19400000000000001</v>
      </c>
      <c r="AQ61" s="3">
        <v>9.1999999999999998E-2</v>
      </c>
      <c r="AR61" s="3">
        <v>2.4E-2</v>
      </c>
      <c r="AS61" s="3">
        <v>6999</v>
      </c>
      <c r="AT61" s="3">
        <v>2290</v>
      </c>
      <c r="AU61" s="19">
        <f>AT61</f>
        <v>2290</v>
      </c>
      <c r="AV61" s="3">
        <v>-1.996</v>
      </c>
      <c r="AW61" s="3">
        <v>-2.0859999999999999</v>
      </c>
      <c r="AX61" s="3">
        <v>-1.7250000000000001</v>
      </c>
      <c r="AY61" s="3">
        <v>-1.827</v>
      </c>
      <c r="AZ61" s="3">
        <v>-2.3250000000000002</v>
      </c>
      <c r="BA61" s="3">
        <v>-2.4220000000000002</v>
      </c>
      <c r="BB61" s="3">
        <v>13.18</v>
      </c>
      <c r="BC61" s="3">
        <v>2876</v>
      </c>
      <c r="BE61" s="6">
        <f>BE$2-AU61</f>
        <v>1220</v>
      </c>
      <c r="BG61" s="16">
        <v>11.82</v>
      </c>
      <c r="BH61" s="16">
        <f t="shared" si="1"/>
        <v>23.8764</v>
      </c>
      <c r="BI61" s="17">
        <f t="shared" si="40"/>
        <v>4.3899999999999997</v>
      </c>
      <c r="BJ61" s="17">
        <f t="shared" si="41"/>
        <v>7.95</v>
      </c>
      <c r="BL61" s="1">
        <f t="shared" si="4"/>
        <v>93.1</v>
      </c>
      <c r="BM61" s="1">
        <f t="shared" si="5"/>
        <v>76.099999999999994</v>
      </c>
      <c r="BN61" s="1">
        <f t="shared" si="6"/>
        <v>49.4</v>
      </c>
      <c r="BO61" s="49">
        <f t="shared" si="15"/>
        <v>0.16600000000000001</v>
      </c>
      <c r="BP61" s="49">
        <f t="shared" si="16"/>
        <v>0.17</v>
      </c>
      <c r="BT61" s="16">
        <f t="shared" si="7"/>
        <v>4.3899999999999997</v>
      </c>
      <c r="BU61" s="16">
        <f t="shared" si="8"/>
        <v>7.95</v>
      </c>
      <c r="BV61" s="3">
        <f t="shared" si="9"/>
        <v>-16.100000000000001</v>
      </c>
      <c r="BW61" s="3">
        <f t="shared" si="39"/>
        <v>-16.899999999999999</v>
      </c>
      <c r="BX61" s="3">
        <f t="shared" si="39"/>
        <v>-3.8</v>
      </c>
      <c r="BY61" s="3">
        <f t="shared" si="39"/>
        <v>-1.8</v>
      </c>
      <c r="BZ61" s="3">
        <f t="shared" si="39"/>
        <v>-1.6</v>
      </c>
      <c r="CA61" s="3">
        <f t="shared" si="39"/>
        <v>-0.8</v>
      </c>
      <c r="CB61" s="3">
        <f t="shared" si="39"/>
        <v>0.6</v>
      </c>
      <c r="CC61" s="22">
        <f t="shared" si="11"/>
        <v>76.099999999999994</v>
      </c>
      <c r="CD61" s="1">
        <f t="shared" si="17"/>
        <v>-7.9</v>
      </c>
      <c r="CE61" s="1">
        <f t="shared" si="18"/>
        <v>-5.7</v>
      </c>
      <c r="CF61" s="1">
        <f t="shared" si="19"/>
        <v>1.4</v>
      </c>
      <c r="CG61" s="1">
        <f t="shared" si="20"/>
        <v>-0.9</v>
      </c>
      <c r="CH61" s="1">
        <f t="shared" si="21"/>
        <v>-1</v>
      </c>
      <c r="CI61" s="1">
        <f t="shared" si="22"/>
        <v>-0.6</v>
      </c>
      <c r="CJ61" s="1">
        <f t="shared" si="23"/>
        <v>0.7</v>
      </c>
      <c r="CK61" s="2">
        <f t="shared" si="13"/>
        <v>93.1</v>
      </c>
      <c r="CL61" s="1">
        <f t="shared" si="24"/>
        <v>-24.6</v>
      </c>
      <c r="CM61" s="1">
        <f t="shared" si="25"/>
        <v>-25.7</v>
      </c>
      <c r="CN61" s="1">
        <f t="shared" si="26"/>
        <v>-5.5</v>
      </c>
      <c r="CO61" s="1">
        <f t="shared" si="27"/>
        <v>-3</v>
      </c>
      <c r="CP61" s="1">
        <f t="shared" si="28"/>
        <v>-2.2000000000000002</v>
      </c>
      <c r="CQ61" s="1">
        <f t="shared" si="29"/>
        <v>-1</v>
      </c>
      <c r="CR61" s="1">
        <f t="shared" si="30"/>
        <v>0.6</v>
      </c>
      <c r="CS61" s="2">
        <f t="shared" si="31"/>
        <v>49.4</v>
      </c>
      <c r="CT61" s="6">
        <f t="shared" si="32"/>
        <v>1220</v>
      </c>
      <c r="CU61" s="1">
        <f>PPTest!K61</f>
        <v>0</v>
      </c>
      <c r="CV61" s="3">
        <f t="shared" si="33"/>
        <v>1.59</v>
      </c>
      <c r="CW61" s="3">
        <f t="shared" si="34"/>
        <v>3.36</v>
      </c>
      <c r="CX61" s="24">
        <f t="shared" si="35"/>
        <v>0.16600000000000001</v>
      </c>
      <c r="CY61" s="24">
        <f t="shared" si="35"/>
        <v>0.17</v>
      </c>
      <c r="CZ61" s="16">
        <f t="shared" si="36"/>
        <v>13.18</v>
      </c>
    </row>
    <row r="62" spans="1:104" x14ac:dyDescent="0.2">
      <c r="A62" s="14">
        <f t="shared" si="37"/>
        <v>38773</v>
      </c>
      <c r="B62" s="1">
        <v>56</v>
      </c>
      <c r="C62" s="3">
        <v>3.8580000000000001</v>
      </c>
      <c r="D62" s="3">
        <v>4.7990000000000004</v>
      </c>
      <c r="E62" s="3">
        <v>-14.45</v>
      </c>
      <c r="F62" s="3">
        <v>90</v>
      </c>
      <c r="G62" s="3">
        <v>-14.82</v>
      </c>
      <c r="H62" s="3">
        <v>-3.839</v>
      </c>
      <c r="I62" s="3">
        <v>-1.528</v>
      </c>
      <c r="J62" s="3">
        <v>-2.274</v>
      </c>
      <c r="K62" s="3">
        <v>-1.1859999999999999</v>
      </c>
      <c r="L62" s="3">
        <v>0.61699999999999999</v>
      </c>
      <c r="M62" s="3">
        <v>1.7170000000000001</v>
      </c>
      <c r="N62" s="3">
        <v>0</v>
      </c>
      <c r="O62" s="3">
        <v>-5.8979999999999997</v>
      </c>
      <c r="P62" s="3">
        <v>1101</v>
      </c>
      <c r="Q62" s="3">
        <v>107.1</v>
      </c>
      <c r="R62" s="3">
        <v>2243</v>
      </c>
      <c r="S62" s="3">
        <v>-4.0140000000000002</v>
      </c>
      <c r="T62" s="3">
        <v>-0.32</v>
      </c>
      <c r="U62" s="3">
        <v>-0.70099999999999996</v>
      </c>
      <c r="V62" s="3">
        <v>-1.7450000000000001</v>
      </c>
      <c r="W62" s="3">
        <v>-0.94399999999999995</v>
      </c>
      <c r="X62" s="3">
        <v>0.65100000000000002</v>
      </c>
      <c r="Y62" s="3">
        <v>3.6789999999999998</v>
      </c>
      <c r="Z62" s="3">
        <v>1212</v>
      </c>
      <c r="AA62" s="3">
        <v>-26.1</v>
      </c>
      <c r="AB62" s="3">
        <v>456</v>
      </c>
      <c r="AC62" s="3">
        <v>52.12</v>
      </c>
      <c r="AD62" s="3">
        <v>1109</v>
      </c>
      <c r="AE62" s="3">
        <v>-26.9</v>
      </c>
      <c r="AF62" s="3">
        <v>-5.4729999999999999</v>
      </c>
      <c r="AG62" s="3">
        <v>-3.4009999999999998</v>
      </c>
      <c r="AH62" s="3">
        <v>-2.702</v>
      </c>
      <c r="AI62" s="3">
        <v>-1.337</v>
      </c>
      <c r="AJ62" s="3">
        <v>0.58099999999999996</v>
      </c>
      <c r="AK62" s="3">
        <v>0.109</v>
      </c>
      <c r="AL62" s="3">
        <v>0.27300000000000002</v>
      </c>
      <c r="AM62" s="3">
        <v>0.38600000000000001</v>
      </c>
      <c r="AN62" s="3">
        <v>7.3999999999999996E-2</v>
      </c>
      <c r="AO62" s="3">
        <v>4.9000000000000002E-2</v>
      </c>
      <c r="AP62" s="3">
        <v>4.2000000000000003E-2</v>
      </c>
      <c r="AQ62" s="3">
        <v>1.9E-2</v>
      </c>
      <c r="AR62" s="3">
        <v>4.7E-2</v>
      </c>
      <c r="AS62" s="3">
        <v>6999</v>
      </c>
      <c r="AT62" s="3">
        <v>2316</v>
      </c>
      <c r="AU62" s="19">
        <f>AT62</f>
        <v>2316</v>
      </c>
      <c r="AV62" s="3">
        <v>-1.772</v>
      </c>
      <c r="AW62" s="3">
        <v>-1.895</v>
      </c>
      <c r="AX62" s="3">
        <v>-1.663</v>
      </c>
      <c r="AY62" s="3">
        <v>-1.78</v>
      </c>
      <c r="AZ62" s="3">
        <v>-1.9730000000000001</v>
      </c>
      <c r="BA62" s="3">
        <v>-2.1240000000000001</v>
      </c>
      <c r="BB62" s="3">
        <v>13.16</v>
      </c>
      <c r="BC62" s="3">
        <v>2876</v>
      </c>
      <c r="BE62" s="6">
        <f>BE$2-AU62</f>
        <v>1194</v>
      </c>
      <c r="BG62" s="16">
        <v>12.04</v>
      </c>
      <c r="BH62" s="16">
        <f t="shared" si="1"/>
        <v>24.320799999999998</v>
      </c>
      <c r="BI62" s="17">
        <f t="shared" si="40"/>
        <v>3.78</v>
      </c>
      <c r="BJ62" s="17">
        <f t="shared" si="41"/>
        <v>5.28</v>
      </c>
      <c r="BL62" s="1">
        <f t="shared" si="4"/>
        <v>93.6</v>
      </c>
      <c r="BM62" s="1">
        <f t="shared" si="5"/>
        <v>72.2</v>
      </c>
      <c r="BN62" s="1">
        <f t="shared" si="6"/>
        <v>38.9</v>
      </c>
      <c r="BO62" s="49">
        <f t="shared" si="15"/>
        <v>0.153</v>
      </c>
      <c r="BP62" s="49">
        <f t="shared" si="16"/>
        <v>0.24</v>
      </c>
      <c r="BT62" s="16">
        <f t="shared" si="7"/>
        <v>3.78</v>
      </c>
      <c r="BU62" s="16">
        <f t="shared" si="8"/>
        <v>5.28</v>
      </c>
      <c r="BV62" s="3">
        <f t="shared" si="9"/>
        <v>-14.5</v>
      </c>
      <c r="BW62" s="3">
        <f t="shared" si="39"/>
        <v>-14.8</v>
      </c>
      <c r="BX62" s="3">
        <f t="shared" si="39"/>
        <v>-3.8</v>
      </c>
      <c r="BY62" s="3">
        <f t="shared" si="39"/>
        <v>-1.5</v>
      </c>
      <c r="BZ62" s="3">
        <f t="shared" si="39"/>
        <v>-2.2999999999999998</v>
      </c>
      <c r="CA62" s="3">
        <f t="shared" si="39"/>
        <v>-1.2</v>
      </c>
      <c r="CB62" s="3">
        <f t="shared" si="39"/>
        <v>0.6</v>
      </c>
      <c r="CC62" s="22">
        <f t="shared" si="11"/>
        <v>72.2</v>
      </c>
      <c r="CD62" s="1">
        <f t="shared" si="17"/>
        <v>-5.9</v>
      </c>
      <c r="CE62" s="1">
        <f t="shared" si="18"/>
        <v>-4</v>
      </c>
      <c r="CF62" s="1">
        <f t="shared" si="19"/>
        <v>-0.3</v>
      </c>
      <c r="CG62" s="1">
        <f t="shared" si="20"/>
        <v>-0.7</v>
      </c>
      <c r="CH62" s="1">
        <f t="shared" si="21"/>
        <v>-1.7</v>
      </c>
      <c r="CI62" s="1">
        <f t="shared" si="22"/>
        <v>-0.9</v>
      </c>
      <c r="CJ62" s="1">
        <f t="shared" si="23"/>
        <v>0.7</v>
      </c>
      <c r="CK62" s="2">
        <f t="shared" si="13"/>
        <v>93.6</v>
      </c>
      <c r="CL62" s="1">
        <f t="shared" si="24"/>
        <v>-26.1</v>
      </c>
      <c r="CM62" s="1">
        <f t="shared" si="25"/>
        <v>-26.9</v>
      </c>
      <c r="CN62" s="1">
        <f t="shared" si="26"/>
        <v>-5.5</v>
      </c>
      <c r="CO62" s="1">
        <f t="shared" si="27"/>
        <v>-3.4</v>
      </c>
      <c r="CP62" s="1">
        <f t="shared" si="28"/>
        <v>-2.7</v>
      </c>
      <c r="CQ62" s="1">
        <f t="shared" si="29"/>
        <v>-1.3</v>
      </c>
      <c r="CR62" s="1">
        <f t="shared" si="30"/>
        <v>0.6</v>
      </c>
      <c r="CS62" s="2">
        <f t="shared" si="31"/>
        <v>38.9</v>
      </c>
      <c r="CT62" s="6">
        <f t="shared" si="32"/>
        <v>1194</v>
      </c>
      <c r="CU62" s="1">
        <f>PPTest!K62</f>
        <v>0</v>
      </c>
      <c r="CV62" s="3">
        <f t="shared" si="33"/>
        <v>1.72</v>
      </c>
      <c r="CW62" s="3">
        <f t="shared" si="34"/>
        <v>3.68</v>
      </c>
      <c r="CX62" s="24">
        <f t="shared" si="35"/>
        <v>0.153</v>
      </c>
      <c r="CY62" s="24">
        <f t="shared" si="35"/>
        <v>0.24</v>
      </c>
      <c r="CZ62" s="16">
        <f t="shared" si="36"/>
        <v>13.16</v>
      </c>
    </row>
    <row r="63" spans="1:104" x14ac:dyDescent="0.2">
      <c r="A63" s="14">
        <f t="shared" si="37"/>
        <v>38774</v>
      </c>
      <c r="B63" s="1">
        <v>57</v>
      </c>
      <c r="C63" s="3">
        <v>0.67600000000000005</v>
      </c>
      <c r="D63" s="3">
        <v>1.1259999999999999</v>
      </c>
      <c r="E63" s="3">
        <v>-4.8819999999999997</v>
      </c>
      <c r="F63" s="3">
        <v>107</v>
      </c>
      <c r="G63" s="3">
        <v>-5.1829999999999998</v>
      </c>
      <c r="H63" s="3">
        <v>-4.4109999999999996</v>
      </c>
      <c r="I63" s="3">
        <v>-0.64800000000000002</v>
      </c>
      <c r="J63" s="3">
        <v>-1.4319999999999999</v>
      </c>
      <c r="K63" s="3">
        <v>-0.96799999999999997</v>
      </c>
      <c r="L63" s="3">
        <v>0.60499999999999998</v>
      </c>
      <c r="M63" s="3">
        <v>1.171</v>
      </c>
      <c r="N63" s="3">
        <v>0</v>
      </c>
      <c r="O63" s="3">
        <v>-0.54600000000000004</v>
      </c>
      <c r="P63" s="3">
        <v>1542</v>
      </c>
      <c r="Q63" s="3">
        <v>109.7</v>
      </c>
      <c r="R63" s="3">
        <v>1811</v>
      </c>
      <c r="S63" s="3">
        <v>-0.36699999999999999</v>
      </c>
      <c r="T63" s="3">
        <v>-2.9849999999999999</v>
      </c>
      <c r="U63" s="3">
        <v>-0.53100000000000003</v>
      </c>
      <c r="V63" s="3">
        <v>-1.1539999999999999</v>
      </c>
      <c r="W63" s="3">
        <v>-0.81200000000000006</v>
      </c>
      <c r="X63" s="3">
        <v>0.63700000000000001</v>
      </c>
      <c r="Y63" s="3">
        <v>2.8940000000000001</v>
      </c>
      <c r="Z63" s="3">
        <v>2115</v>
      </c>
      <c r="AA63" s="3">
        <v>-9.25</v>
      </c>
      <c r="AB63" s="3">
        <v>149</v>
      </c>
      <c r="AC63" s="3">
        <v>102.9</v>
      </c>
      <c r="AD63" s="3">
        <v>1535</v>
      </c>
      <c r="AE63" s="3">
        <v>-9.57</v>
      </c>
      <c r="AF63" s="3">
        <v>-5.8070000000000004</v>
      </c>
      <c r="AG63" s="3">
        <v>-1.0349999999999999</v>
      </c>
      <c r="AH63" s="3">
        <v>-1.7729999999999999</v>
      </c>
      <c r="AI63" s="3">
        <v>-1.1419999999999999</v>
      </c>
      <c r="AJ63" s="3">
        <v>0.57199999999999995</v>
      </c>
      <c r="AK63" s="3">
        <v>0.106</v>
      </c>
      <c r="AL63" s="3">
        <v>9.1999999999999998E-2</v>
      </c>
      <c r="AM63" s="3">
        <v>8.6999999999999994E-2</v>
      </c>
      <c r="AN63" s="3">
        <v>8.1000000000000003E-2</v>
      </c>
      <c r="AO63" s="3">
        <v>0.16200000000000001</v>
      </c>
      <c r="AP63" s="3">
        <v>0.19500000000000001</v>
      </c>
      <c r="AQ63" s="3">
        <v>0.13500000000000001</v>
      </c>
      <c r="AR63" s="3">
        <v>0.14099999999999999</v>
      </c>
      <c r="AS63" s="3">
        <v>6999</v>
      </c>
      <c r="AT63" s="3">
        <v>6999</v>
      </c>
      <c r="AU63" s="3">
        <v>6999</v>
      </c>
      <c r="AV63" s="3">
        <v>-2.1520000000000001</v>
      </c>
      <c r="AW63" s="3">
        <v>-2.2789999999999999</v>
      </c>
      <c r="AX63" s="3">
        <v>-1.9730000000000001</v>
      </c>
      <c r="AY63" s="3">
        <v>-2.105</v>
      </c>
      <c r="AZ63" s="3">
        <v>-2.242</v>
      </c>
      <c r="BA63" s="3">
        <v>-2.3759999999999999</v>
      </c>
      <c r="BB63" s="3">
        <v>13.1</v>
      </c>
      <c r="BC63" s="3">
        <v>2876</v>
      </c>
      <c r="BE63" s="18">
        <v>1180</v>
      </c>
      <c r="BG63" s="16">
        <v>12.27</v>
      </c>
      <c r="BH63" s="16">
        <f t="shared" si="1"/>
        <v>24.785399999999999</v>
      </c>
      <c r="BI63" s="17">
        <f t="shared" si="40"/>
        <v>0.66</v>
      </c>
      <c r="BJ63" s="17">
        <f t="shared" si="41"/>
        <v>1.24</v>
      </c>
      <c r="BL63" s="1">
        <f t="shared" si="4"/>
        <v>97.7</v>
      </c>
      <c r="BM63" s="1">
        <f t="shared" si="5"/>
        <v>93.4</v>
      </c>
      <c r="BN63" s="1">
        <f t="shared" si="6"/>
        <v>86.9</v>
      </c>
      <c r="BO63" s="49">
        <f t="shared" si="15"/>
        <v>0.51</v>
      </c>
      <c r="BP63" s="49">
        <f t="shared" si="16"/>
        <v>7.6999999999999999E-2</v>
      </c>
      <c r="BT63" s="16">
        <f t="shared" si="7"/>
        <v>0.66</v>
      </c>
      <c r="BU63" s="16">
        <f t="shared" si="8"/>
        <v>1.24</v>
      </c>
      <c r="BV63" s="3">
        <f t="shared" si="9"/>
        <v>-4.9000000000000004</v>
      </c>
      <c r="BW63" s="3">
        <f t="shared" si="39"/>
        <v>-5.2</v>
      </c>
      <c r="BX63" s="3">
        <f t="shared" si="39"/>
        <v>-4.4000000000000004</v>
      </c>
      <c r="BY63" s="3">
        <f t="shared" si="39"/>
        <v>-0.6</v>
      </c>
      <c r="BZ63" s="3">
        <f t="shared" si="39"/>
        <v>-1.4</v>
      </c>
      <c r="CA63" s="3">
        <f t="shared" si="39"/>
        <v>-1</v>
      </c>
      <c r="CB63" s="3">
        <f t="shared" si="39"/>
        <v>0.6</v>
      </c>
      <c r="CC63" s="22">
        <f t="shared" si="11"/>
        <v>93.4</v>
      </c>
      <c r="CD63" s="1">
        <f t="shared" si="17"/>
        <v>-0.5</v>
      </c>
      <c r="CE63" s="1">
        <f t="shared" si="18"/>
        <v>-0.4</v>
      </c>
      <c r="CF63" s="1">
        <f t="shared" si="19"/>
        <v>-3</v>
      </c>
      <c r="CG63" s="1">
        <f t="shared" si="20"/>
        <v>-0.5</v>
      </c>
      <c r="CH63" s="1">
        <f t="shared" si="21"/>
        <v>-1.2</v>
      </c>
      <c r="CI63" s="1">
        <f t="shared" si="22"/>
        <v>-0.8</v>
      </c>
      <c r="CJ63" s="1">
        <f t="shared" si="23"/>
        <v>0.6</v>
      </c>
      <c r="CK63" s="2">
        <f t="shared" si="13"/>
        <v>97.7</v>
      </c>
      <c r="CL63" s="1">
        <f t="shared" si="24"/>
        <v>-9.3000000000000007</v>
      </c>
      <c r="CM63" s="1">
        <f t="shared" si="25"/>
        <v>-9.6</v>
      </c>
      <c r="CN63" s="1">
        <f t="shared" si="26"/>
        <v>-5.8</v>
      </c>
      <c r="CO63" s="1">
        <f t="shared" si="27"/>
        <v>-1</v>
      </c>
      <c r="CP63" s="1">
        <f t="shared" si="28"/>
        <v>-1.8</v>
      </c>
      <c r="CQ63" s="1">
        <f t="shared" si="29"/>
        <v>-1.1000000000000001</v>
      </c>
      <c r="CR63" s="1">
        <f t="shared" si="30"/>
        <v>0.6</v>
      </c>
      <c r="CS63" s="2">
        <f t="shared" si="31"/>
        <v>86.9</v>
      </c>
      <c r="CT63" s="6">
        <f t="shared" si="32"/>
        <v>1180</v>
      </c>
      <c r="CU63" s="1">
        <f>PPTest!K63</f>
        <v>0</v>
      </c>
      <c r="CV63" s="3">
        <f t="shared" si="33"/>
        <v>1.17</v>
      </c>
      <c r="CW63" s="3">
        <f t="shared" si="34"/>
        <v>2.89</v>
      </c>
      <c r="CX63" s="24">
        <f t="shared" si="35"/>
        <v>0.51</v>
      </c>
      <c r="CY63" s="24">
        <f t="shared" si="35"/>
        <v>7.6999999999999999E-2</v>
      </c>
      <c r="CZ63" s="16">
        <f t="shared" si="36"/>
        <v>13.1</v>
      </c>
    </row>
    <row r="64" spans="1:104" x14ac:dyDescent="0.2">
      <c r="A64" s="14">
        <f t="shared" si="37"/>
        <v>38775</v>
      </c>
      <c r="B64" s="1">
        <v>58</v>
      </c>
      <c r="C64" s="3">
        <v>8.18</v>
      </c>
      <c r="D64" s="3">
        <v>12.86</v>
      </c>
      <c r="E64" s="3">
        <v>1.7310000000000001</v>
      </c>
      <c r="F64" s="3">
        <v>91.9</v>
      </c>
      <c r="G64" s="3">
        <v>1.262</v>
      </c>
      <c r="H64" s="3">
        <v>-1.5740000000000001</v>
      </c>
      <c r="I64" s="3">
        <v>-0.51100000000000001</v>
      </c>
      <c r="J64" s="3">
        <v>-0.85299999999999998</v>
      </c>
      <c r="K64" s="3">
        <v>-0.70499999999999996</v>
      </c>
      <c r="L64" s="3">
        <v>0.60199999999999998</v>
      </c>
      <c r="M64" s="3">
        <v>2.9009999999999998</v>
      </c>
      <c r="N64" s="3">
        <v>4</v>
      </c>
      <c r="O64" s="3">
        <v>4.7140000000000004</v>
      </c>
      <c r="P64" s="3">
        <v>1244</v>
      </c>
      <c r="Q64" s="3">
        <v>109.1</v>
      </c>
      <c r="R64" s="3">
        <v>33</v>
      </c>
      <c r="S64" s="3">
        <v>5.867</v>
      </c>
      <c r="T64" s="3">
        <v>0.79800000000000004</v>
      </c>
      <c r="U64" s="3">
        <v>-0.36</v>
      </c>
      <c r="V64" s="3">
        <v>-0.54500000000000004</v>
      </c>
      <c r="W64" s="3">
        <v>-0.56799999999999995</v>
      </c>
      <c r="X64" s="3">
        <v>0.63400000000000001</v>
      </c>
      <c r="Y64" s="3">
        <v>7.22</v>
      </c>
      <c r="Z64" s="3">
        <v>1032</v>
      </c>
      <c r="AA64" s="3">
        <v>-1.3080000000000001</v>
      </c>
      <c r="AB64" s="3">
        <v>1</v>
      </c>
      <c r="AC64" s="3">
        <v>76.8</v>
      </c>
      <c r="AD64" s="3">
        <v>1609</v>
      </c>
      <c r="AE64" s="3">
        <v>-2.2970000000000002</v>
      </c>
      <c r="AF64" s="3">
        <v>-3.0179999999999998</v>
      </c>
      <c r="AG64" s="3">
        <v>-0.69599999999999995</v>
      </c>
      <c r="AH64" s="3">
        <v>-1.1850000000000001</v>
      </c>
      <c r="AI64" s="3">
        <v>-0.84399999999999997</v>
      </c>
      <c r="AJ64" s="3">
        <v>0.56499999999999995</v>
      </c>
      <c r="AK64" s="3">
        <v>4.9000000000000002E-2</v>
      </c>
      <c r="AL64" s="3">
        <v>5.1999999999999998E-2</v>
      </c>
      <c r="AM64" s="3">
        <v>6.3E-2</v>
      </c>
      <c r="AN64" s="3">
        <v>0.08</v>
      </c>
      <c r="AO64" s="3">
        <v>0.26400000000000001</v>
      </c>
      <c r="AP64" s="3">
        <v>0.29699999999999999</v>
      </c>
      <c r="AQ64" s="3">
        <v>0.11799999999999999</v>
      </c>
      <c r="AR64" s="3">
        <v>7.5999999999999998E-2</v>
      </c>
      <c r="AS64" s="3">
        <v>2343</v>
      </c>
      <c r="AT64" s="3">
        <v>2336</v>
      </c>
      <c r="AU64" s="3">
        <v>2338</v>
      </c>
      <c r="AV64" s="3">
        <v>-1.796</v>
      </c>
      <c r="AW64" s="3">
        <v>-1.879</v>
      </c>
      <c r="AX64" s="3">
        <v>-1.395</v>
      </c>
      <c r="AY64" s="3">
        <v>-1.4550000000000001</v>
      </c>
      <c r="AZ64" s="3">
        <v>-2.242</v>
      </c>
      <c r="BA64" s="3">
        <v>-2.3839999999999999</v>
      </c>
      <c r="BB64" s="3">
        <v>13.16</v>
      </c>
      <c r="BC64" s="3">
        <v>2876</v>
      </c>
      <c r="BE64" s="6">
        <f t="shared" ref="BE64:BE100" si="43">BE$2-AU64</f>
        <v>1172</v>
      </c>
      <c r="BG64" s="16">
        <v>12.51</v>
      </c>
      <c r="BH64" s="16">
        <f t="shared" si="1"/>
        <v>25.270199999999999</v>
      </c>
      <c r="BI64" s="17">
        <f t="shared" si="40"/>
        <v>8.02</v>
      </c>
      <c r="BJ64" s="17">
        <f t="shared" si="41"/>
        <v>14.15</v>
      </c>
      <c r="BL64" s="1">
        <f t="shared" si="4"/>
        <v>96.8</v>
      </c>
      <c r="BM64" s="1">
        <f t="shared" si="5"/>
        <v>73.900000000000006</v>
      </c>
      <c r="BN64" s="1">
        <f t="shared" si="6"/>
        <v>60.6</v>
      </c>
      <c r="BO64" s="49">
        <f t="shared" si="15"/>
        <v>0.51800000000000002</v>
      </c>
      <c r="BP64" s="49">
        <f t="shared" si="16"/>
        <v>0.33700000000000002</v>
      </c>
      <c r="BT64" s="16">
        <f t="shared" si="7"/>
        <v>8.02</v>
      </c>
      <c r="BU64" s="16">
        <f t="shared" si="8"/>
        <v>14.15</v>
      </c>
      <c r="BV64" s="3">
        <f t="shared" si="9"/>
        <v>1.7</v>
      </c>
      <c r="BW64" s="3">
        <f t="shared" si="39"/>
        <v>1.3</v>
      </c>
      <c r="BX64" s="3">
        <f t="shared" si="39"/>
        <v>-1.6</v>
      </c>
      <c r="BY64" s="3">
        <f t="shared" si="39"/>
        <v>-0.5</v>
      </c>
      <c r="BZ64" s="3">
        <f t="shared" si="39"/>
        <v>-0.9</v>
      </c>
      <c r="CA64" s="3">
        <f t="shared" si="39"/>
        <v>-0.7</v>
      </c>
      <c r="CB64" s="3">
        <f t="shared" si="39"/>
        <v>0.6</v>
      </c>
      <c r="CC64" s="22">
        <f t="shared" si="11"/>
        <v>73.900000000000006</v>
      </c>
      <c r="CD64" s="1">
        <f t="shared" si="17"/>
        <v>4.7</v>
      </c>
      <c r="CE64" s="1">
        <f t="shared" si="18"/>
        <v>5.9</v>
      </c>
      <c r="CF64" s="1">
        <f t="shared" si="19"/>
        <v>0.8</v>
      </c>
      <c r="CG64" s="1">
        <f t="shared" si="20"/>
        <v>-0.4</v>
      </c>
      <c r="CH64" s="1">
        <f t="shared" si="21"/>
        <v>-0.5</v>
      </c>
      <c r="CI64" s="1">
        <f t="shared" si="22"/>
        <v>-0.6</v>
      </c>
      <c r="CJ64" s="1">
        <f t="shared" si="23"/>
        <v>0.6</v>
      </c>
      <c r="CK64" s="2">
        <f t="shared" si="13"/>
        <v>96.8</v>
      </c>
      <c r="CL64" s="1">
        <f t="shared" si="24"/>
        <v>-1.3</v>
      </c>
      <c r="CM64" s="1">
        <f t="shared" si="25"/>
        <v>-2.2999999999999998</v>
      </c>
      <c r="CN64" s="1">
        <f t="shared" si="26"/>
        <v>-3</v>
      </c>
      <c r="CO64" s="1">
        <f t="shared" si="27"/>
        <v>-0.7</v>
      </c>
      <c r="CP64" s="1">
        <f t="shared" si="28"/>
        <v>-1.2</v>
      </c>
      <c r="CQ64" s="1">
        <f t="shared" si="29"/>
        <v>-0.8</v>
      </c>
      <c r="CR64" s="1">
        <f t="shared" si="30"/>
        <v>0.6</v>
      </c>
      <c r="CS64" s="2">
        <f t="shared" si="31"/>
        <v>60.6</v>
      </c>
      <c r="CT64" s="6">
        <f t="shared" si="32"/>
        <v>1172</v>
      </c>
      <c r="CU64" s="1">
        <f>PPTest!K64</f>
        <v>0</v>
      </c>
      <c r="CV64" s="3">
        <f t="shared" si="33"/>
        <v>2.9</v>
      </c>
      <c r="CW64" s="3">
        <f t="shared" si="34"/>
        <v>7.22</v>
      </c>
      <c r="CX64" s="24">
        <f t="shared" si="35"/>
        <v>0.51800000000000002</v>
      </c>
      <c r="CY64" s="24">
        <f t="shared" si="35"/>
        <v>0.33700000000000002</v>
      </c>
      <c r="CZ64" s="16">
        <f t="shared" si="36"/>
        <v>13.16</v>
      </c>
    </row>
    <row r="65" spans="1:104" x14ac:dyDescent="0.2">
      <c r="A65" s="14">
        <f t="shared" si="37"/>
        <v>38776</v>
      </c>
      <c r="B65" s="1">
        <v>59</v>
      </c>
      <c r="C65" s="3">
        <v>0.98699999999999999</v>
      </c>
      <c r="D65" s="3">
        <v>2.1429999999999998</v>
      </c>
      <c r="E65" s="3">
        <v>-2.0569999999999999</v>
      </c>
      <c r="F65" s="3">
        <v>107.3</v>
      </c>
      <c r="G65" s="3">
        <v>-2.488</v>
      </c>
      <c r="H65" s="3">
        <v>-2.0840000000000001</v>
      </c>
      <c r="I65" s="3">
        <v>-0.34399999999999997</v>
      </c>
      <c r="J65" s="3">
        <v>-0.54300000000000004</v>
      </c>
      <c r="K65" s="3">
        <v>-0.52100000000000002</v>
      </c>
      <c r="L65" s="3">
        <v>0.59199999999999997</v>
      </c>
      <c r="M65" s="3">
        <v>1.5449999999999999</v>
      </c>
      <c r="N65" s="3">
        <v>0</v>
      </c>
      <c r="O65" s="3">
        <v>0.53900000000000003</v>
      </c>
      <c r="P65" s="3">
        <v>9</v>
      </c>
      <c r="Q65" s="3">
        <v>111.1</v>
      </c>
      <c r="R65" s="3">
        <v>1919</v>
      </c>
      <c r="S65" s="3">
        <v>0.34899999999999998</v>
      </c>
      <c r="T65" s="3">
        <v>-0.82899999999999996</v>
      </c>
      <c r="U65" s="3">
        <v>-0.28000000000000003</v>
      </c>
      <c r="V65" s="3">
        <v>-0.50800000000000001</v>
      </c>
      <c r="W65" s="3">
        <v>-0.45400000000000001</v>
      </c>
      <c r="X65" s="3">
        <v>0.621</v>
      </c>
      <c r="Y65" s="3">
        <v>4.9690000000000003</v>
      </c>
      <c r="Z65" s="3">
        <v>2053</v>
      </c>
      <c r="AA65" s="3">
        <v>-7.53</v>
      </c>
      <c r="AB65" s="3">
        <v>0</v>
      </c>
      <c r="AC65" s="3">
        <v>88</v>
      </c>
      <c r="AD65" s="3">
        <v>21</v>
      </c>
      <c r="AE65" s="3">
        <v>-9.0500000000000007</v>
      </c>
      <c r="AF65" s="3">
        <v>-3.8839999999999999</v>
      </c>
      <c r="AG65" s="3">
        <v>-0.42299999999999999</v>
      </c>
      <c r="AH65" s="3">
        <v>-0.58799999999999997</v>
      </c>
      <c r="AI65" s="3">
        <v>-0.61599999999999999</v>
      </c>
      <c r="AJ65" s="3">
        <v>0.55800000000000005</v>
      </c>
      <c r="AK65" s="3">
        <v>8.3000000000000004E-2</v>
      </c>
      <c r="AL65" s="3">
        <v>0.253</v>
      </c>
      <c r="AM65" s="3">
        <v>0.11799999999999999</v>
      </c>
      <c r="AN65" s="3">
        <v>1.7999999999999999E-2</v>
      </c>
      <c r="AO65" s="3">
        <v>0.13800000000000001</v>
      </c>
      <c r="AP65" s="3">
        <v>0.28499999999999998</v>
      </c>
      <c r="AQ65" s="3">
        <v>8.8999999999999996E-2</v>
      </c>
      <c r="AR65" s="3">
        <v>1.4999999999999999E-2</v>
      </c>
      <c r="AS65" s="3">
        <v>6999</v>
      </c>
      <c r="AT65" s="3">
        <v>2268</v>
      </c>
      <c r="AU65" s="19">
        <f>AT65</f>
        <v>2268</v>
      </c>
      <c r="AV65" s="3">
        <v>-1.587</v>
      </c>
      <c r="AW65" s="3">
        <v>-1.673</v>
      </c>
      <c r="AX65" s="3">
        <v>-1.458</v>
      </c>
      <c r="AY65" s="3">
        <v>-1.5389999999999999</v>
      </c>
      <c r="AZ65" s="3">
        <v>-1.6839999999999999</v>
      </c>
      <c r="BA65" s="3">
        <v>-1.7909999999999999</v>
      </c>
      <c r="BB65" s="3">
        <v>13.13</v>
      </c>
      <c r="BC65" s="3">
        <v>2876</v>
      </c>
      <c r="BE65" s="6">
        <f t="shared" si="43"/>
        <v>1242</v>
      </c>
      <c r="BG65" s="16">
        <v>12.75</v>
      </c>
      <c r="BH65" s="16">
        <f t="shared" si="1"/>
        <v>25.754999999999999</v>
      </c>
      <c r="BI65" s="17">
        <f t="shared" si="40"/>
        <v>0.97</v>
      </c>
      <c r="BJ65" s="17">
        <f t="shared" si="41"/>
        <v>2.36</v>
      </c>
      <c r="BL65" s="1">
        <f t="shared" si="4"/>
        <v>100</v>
      </c>
      <c r="BM65" s="1">
        <f t="shared" si="5"/>
        <v>93.9</v>
      </c>
      <c r="BN65" s="1">
        <f t="shared" si="6"/>
        <v>70.400000000000006</v>
      </c>
      <c r="BO65" s="49">
        <f t="shared" si="15"/>
        <v>0.44700000000000001</v>
      </c>
      <c r="BP65" s="49">
        <f t="shared" si="16"/>
        <v>0.188</v>
      </c>
      <c r="BT65" s="16">
        <f t="shared" si="7"/>
        <v>0.97</v>
      </c>
      <c r="BU65" s="16">
        <f t="shared" si="8"/>
        <v>2.36</v>
      </c>
      <c r="BV65" s="3">
        <f t="shared" si="9"/>
        <v>-2.1</v>
      </c>
      <c r="BW65" s="3">
        <f t="shared" si="39"/>
        <v>-2.5</v>
      </c>
      <c r="BX65" s="3">
        <f t="shared" si="39"/>
        <v>-2.1</v>
      </c>
      <c r="BY65" s="3">
        <f t="shared" si="39"/>
        <v>-0.3</v>
      </c>
      <c r="BZ65" s="3">
        <f t="shared" ref="BZ65:CB116" si="44">ROUND(J65,1)</f>
        <v>-0.5</v>
      </c>
      <c r="CA65" s="3">
        <f t="shared" si="44"/>
        <v>-0.5</v>
      </c>
      <c r="CB65" s="3">
        <f t="shared" si="44"/>
        <v>0.6</v>
      </c>
      <c r="CC65" s="22">
        <f t="shared" si="11"/>
        <v>93.9</v>
      </c>
      <c r="CD65" s="1">
        <f t="shared" si="17"/>
        <v>0.5</v>
      </c>
      <c r="CE65" s="1">
        <f t="shared" si="18"/>
        <v>0.3</v>
      </c>
      <c r="CF65" s="1">
        <f t="shared" si="19"/>
        <v>-0.8</v>
      </c>
      <c r="CG65" s="1">
        <f t="shared" si="20"/>
        <v>-0.3</v>
      </c>
      <c r="CH65" s="1">
        <f t="shared" si="21"/>
        <v>-0.5</v>
      </c>
      <c r="CI65" s="1">
        <f t="shared" si="22"/>
        <v>-0.5</v>
      </c>
      <c r="CJ65" s="1">
        <f t="shared" si="23"/>
        <v>0.6</v>
      </c>
      <c r="CK65" s="2">
        <f t="shared" si="13"/>
        <v>100</v>
      </c>
      <c r="CL65" s="1">
        <f t="shared" si="24"/>
        <v>-7.5</v>
      </c>
      <c r="CM65" s="1">
        <f t="shared" si="25"/>
        <v>-9.1</v>
      </c>
      <c r="CN65" s="1">
        <f t="shared" si="26"/>
        <v>-3.9</v>
      </c>
      <c r="CO65" s="1">
        <f t="shared" si="27"/>
        <v>-0.4</v>
      </c>
      <c r="CP65" s="1">
        <f t="shared" si="28"/>
        <v>-0.6</v>
      </c>
      <c r="CQ65" s="1">
        <f t="shared" si="29"/>
        <v>-0.6</v>
      </c>
      <c r="CR65" s="1">
        <f t="shared" si="30"/>
        <v>0.6</v>
      </c>
      <c r="CS65" s="2">
        <f t="shared" si="31"/>
        <v>70.400000000000006</v>
      </c>
      <c r="CT65" s="6">
        <f t="shared" si="32"/>
        <v>1242</v>
      </c>
      <c r="CU65" s="1">
        <f>PPTest!K65</f>
        <v>9.1</v>
      </c>
      <c r="CV65" s="3">
        <f t="shared" si="33"/>
        <v>1.55</v>
      </c>
      <c r="CW65" s="3">
        <f t="shared" si="34"/>
        <v>4.97</v>
      </c>
      <c r="CX65" s="24">
        <f t="shared" si="35"/>
        <v>0.44700000000000001</v>
      </c>
      <c r="CY65" s="24">
        <f t="shared" si="35"/>
        <v>0.188</v>
      </c>
      <c r="CZ65" s="16">
        <f t="shared" si="36"/>
        <v>13.13</v>
      </c>
    </row>
    <row r="66" spans="1:104" x14ac:dyDescent="0.2">
      <c r="A66" s="14">
        <f t="shared" si="37"/>
        <v>38777</v>
      </c>
      <c r="B66" s="1">
        <v>60</v>
      </c>
      <c r="C66" s="3">
        <v>8.77</v>
      </c>
      <c r="D66" s="3">
        <v>13.31</v>
      </c>
      <c r="E66" s="3">
        <v>-6.0389999999999997</v>
      </c>
      <c r="F66" s="3">
        <v>99.7</v>
      </c>
      <c r="G66" s="3">
        <v>-7.09</v>
      </c>
      <c r="H66" s="3">
        <v>-3.2050000000000001</v>
      </c>
      <c r="I66" s="3">
        <v>-0.45500000000000002</v>
      </c>
      <c r="J66" s="3">
        <v>-0.81</v>
      </c>
      <c r="K66" s="3">
        <v>-0.496</v>
      </c>
      <c r="L66" s="3">
        <v>0.58799999999999997</v>
      </c>
      <c r="M66" s="3">
        <v>1.444</v>
      </c>
      <c r="N66" s="3">
        <v>0</v>
      </c>
      <c r="O66" s="3">
        <v>0.78700000000000003</v>
      </c>
      <c r="P66" s="3">
        <v>1233</v>
      </c>
      <c r="Q66" s="3">
        <v>109.9</v>
      </c>
      <c r="R66" s="3">
        <v>41</v>
      </c>
      <c r="S66" s="3">
        <v>3.0489999999999999</v>
      </c>
      <c r="T66" s="3">
        <v>0.193</v>
      </c>
      <c r="U66" s="3">
        <v>-0.28999999999999998</v>
      </c>
      <c r="V66" s="3">
        <v>-0.53300000000000003</v>
      </c>
      <c r="W66" s="3">
        <v>-0.435</v>
      </c>
      <c r="X66" s="3">
        <v>0.621</v>
      </c>
      <c r="Y66" s="3">
        <v>4.2640000000000002</v>
      </c>
      <c r="Z66" s="3">
        <v>1357</v>
      </c>
      <c r="AA66" s="3">
        <v>-13.15</v>
      </c>
      <c r="AB66" s="3">
        <v>547</v>
      </c>
      <c r="AC66" s="3">
        <v>72.7</v>
      </c>
      <c r="AD66" s="3">
        <v>1246</v>
      </c>
      <c r="AE66" s="3">
        <v>-15.42</v>
      </c>
      <c r="AF66" s="3">
        <v>-5.6120000000000001</v>
      </c>
      <c r="AG66" s="3">
        <v>-0.81599999999999995</v>
      </c>
      <c r="AH66" s="3">
        <v>-0.95199999999999996</v>
      </c>
      <c r="AI66" s="3">
        <v>-0.55800000000000005</v>
      </c>
      <c r="AJ66" s="3">
        <v>0.55600000000000005</v>
      </c>
      <c r="AK66" s="3">
        <v>0.124</v>
      </c>
      <c r="AL66" s="3">
        <v>0.29199999999999998</v>
      </c>
      <c r="AM66" s="3">
        <v>0.313</v>
      </c>
      <c r="AN66" s="3">
        <v>8.3000000000000004E-2</v>
      </c>
      <c r="AO66" s="3">
        <v>5.6000000000000001E-2</v>
      </c>
      <c r="AP66" s="3">
        <v>4.2000000000000003E-2</v>
      </c>
      <c r="AQ66" s="3">
        <v>3.1E-2</v>
      </c>
      <c r="AR66" s="3">
        <v>6.0999999999999999E-2</v>
      </c>
      <c r="AS66" s="3">
        <v>2309</v>
      </c>
      <c r="AT66" s="3">
        <v>2288</v>
      </c>
      <c r="AU66" s="3">
        <v>2297</v>
      </c>
      <c r="AV66" s="3">
        <v>-1.385</v>
      </c>
      <c r="AW66" s="3">
        <v>-1.468</v>
      </c>
      <c r="AX66" s="3">
        <v>-1.234</v>
      </c>
      <c r="AY66" s="3">
        <v>-1.2889999999999999</v>
      </c>
      <c r="AZ66" s="3">
        <v>-1.5</v>
      </c>
      <c r="BA66" s="3">
        <v>-1.595</v>
      </c>
      <c r="BB66" s="3">
        <v>13.19</v>
      </c>
      <c r="BC66" s="3">
        <v>2876</v>
      </c>
      <c r="BE66" s="6">
        <f t="shared" si="43"/>
        <v>1213</v>
      </c>
      <c r="BG66" s="16">
        <v>12.98</v>
      </c>
      <c r="BH66" s="16">
        <f t="shared" si="1"/>
        <v>26.2196</v>
      </c>
      <c r="BI66" s="17">
        <f t="shared" si="40"/>
        <v>8.59</v>
      </c>
      <c r="BJ66" s="17">
        <f t="shared" si="41"/>
        <v>14.64</v>
      </c>
      <c r="BL66" s="1">
        <f t="shared" si="4"/>
        <v>98</v>
      </c>
      <c r="BM66" s="1">
        <f t="shared" si="5"/>
        <v>81.8</v>
      </c>
      <c r="BN66" s="1">
        <f t="shared" si="6"/>
        <v>57</v>
      </c>
      <c r="BO66" s="49">
        <f t="shared" si="15"/>
        <v>0.36799999999999999</v>
      </c>
      <c r="BP66" s="49">
        <f t="shared" si="16"/>
        <v>0.27800000000000002</v>
      </c>
      <c r="BT66" s="16">
        <f t="shared" si="7"/>
        <v>8.59</v>
      </c>
      <c r="BU66" s="16">
        <f t="shared" si="8"/>
        <v>14.64</v>
      </c>
      <c r="BV66" s="3">
        <f t="shared" si="9"/>
        <v>-6</v>
      </c>
      <c r="BW66" s="3">
        <f t="shared" ref="BW66:CB129" si="45">ROUND(G66,1)</f>
        <v>-7.1</v>
      </c>
      <c r="BX66" s="3">
        <f t="shared" si="45"/>
        <v>-3.2</v>
      </c>
      <c r="BY66" s="3">
        <f t="shared" si="45"/>
        <v>-0.5</v>
      </c>
      <c r="BZ66" s="3">
        <f t="shared" si="44"/>
        <v>-0.8</v>
      </c>
      <c r="CA66" s="3">
        <f t="shared" si="44"/>
        <v>-0.5</v>
      </c>
      <c r="CB66" s="3">
        <f t="shared" si="44"/>
        <v>0.6</v>
      </c>
      <c r="CC66" s="22">
        <f t="shared" si="11"/>
        <v>81.8</v>
      </c>
      <c r="CD66" s="1">
        <f t="shared" si="17"/>
        <v>0.8</v>
      </c>
      <c r="CE66" s="1">
        <f t="shared" si="18"/>
        <v>3</v>
      </c>
      <c r="CF66" s="1">
        <f t="shared" si="19"/>
        <v>0.2</v>
      </c>
      <c r="CG66" s="1">
        <f t="shared" si="20"/>
        <v>-0.3</v>
      </c>
      <c r="CH66" s="1">
        <f t="shared" si="21"/>
        <v>-0.5</v>
      </c>
      <c r="CI66" s="1">
        <f t="shared" si="22"/>
        <v>-0.4</v>
      </c>
      <c r="CJ66" s="1">
        <f t="shared" si="23"/>
        <v>0.6</v>
      </c>
      <c r="CK66" s="2">
        <f t="shared" si="13"/>
        <v>98</v>
      </c>
      <c r="CL66" s="1">
        <f t="shared" si="24"/>
        <v>-13.2</v>
      </c>
      <c r="CM66" s="1">
        <f t="shared" si="25"/>
        <v>-15.4</v>
      </c>
      <c r="CN66" s="1">
        <f t="shared" si="26"/>
        <v>-5.6</v>
      </c>
      <c r="CO66" s="1">
        <f t="shared" si="27"/>
        <v>-0.8</v>
      </c>
      <c r="CP66" s="1">
        <f t="shared" si="28"/>
        <v>-1</v>
      </c>
      <c r="CQ66" s="1">
        <f t="shared" si="29"/>
        <v>-0.6</v>
      </c>
      <c r="CR66" s="1">
        <f t="shared" si="30"/>
        <v>0.6</v>
      </c>
      <c r="CS66" s="2">
        <f t="shared" si="31"/>
        <v>57</v>
      </c>
      <c r="CT66" s="6">
        <f t="shared" si="32"/>
        <v>1213</v>
      </c>
      <c r="CU66" s="1">
        <f>PPTest!K66</f>
        <v>0</v>
      </c>
      <c r="CV66" s="3">
        <f t="shared" si="33"/>
        <v>1.44</v>
      </c>
      <c r="CW66" s="3">
        <f t="shared" si="34"/>
        <v>4.26</v>
      </c>
      <c r="CX66" s="24">
        <f t="shared" si="35"/>
        <v>0.36799999999999999</v>
      </c>
      <c r="CY66" s="24">
        <f t="shared" si="35"/>
        <v>0.27800000000000002</v>
      </c>
      <c r="CZ66" s="16">
        <f t="shared" si="36"/>
        <v>13.19</v>
      </c>
    </row>
    <row r="67" spans="1:104" x14ac:dyDescent="0.2">
      <c r="A67" s="14">
        <f t="shared" si="37"/>
        <v>38778</v>
      </c>
      <c r="B67" s="1">
        <v>61</v>
      </c>
      <c r="C67" s="3">
        <v>6.327</v>
      </c>
      <c r="D67" s="3">
        <v>11.43</v>
      </c>
      <c r="E67" s="3">
        <v>-4.09</v>
      </c>
      <c r="F67" s="3">
        <v>95.2</v>
      </c>
      <c r="G67" s="3">
        <v>-4.8869999999999996</v>
      </c>
      <c r="H67" s="3">
        <v>-2.8889999999999998</v>
      </c>
      <c r="I67" s="3">
        <v>-0.36199999999999999</v>
      </c>
      <c r="J67" s="3">
        <v>-0.91600000000000004</v>
      </c>
      <c r="K67" s="3">
        <v>-0.55800000000000005</v>
      </c>
      <c r="L67" s="3">
        <v>0.58599999999999997</v>
      </c>
      <c r="M67" s="3">
        <v>2.0110000000000001</v>
      </c>
      <c r="N67" s="3">
        <v>0</v>
      </c>
      <c r="O67" s="3">
        <v>3.677</v>
      </c>
      <c r="P67" s="3">
        <v>1315</v>
      </c>
      <c r="Q67" s="3">
        <v>110.8</v>
      </c>
      <c r="R67" s="3">
        <v>106</v>
      </c>
      <c r="S67" s="3">
        <v>4.5149999999999997</v>
      </c>
      <c r="T67" s="3">
        <v>-0.107</v>
      </c>
      <c r="U67" s="3">
        <v>-0.26800000000000002</v>
      </c>
      <c r="V67" s="3">
        <v>-0.76100000000000001</v>
      </c>
      <c r="W67" s="3">
        <v>-0.503</v>
      </c>
      <c r="X67" s="3">
        <v>0.622</v>
      </c>
      <c r="Y67" s="3">
        <v>4.8630000000000004</v>
      </c>
      <c r="Z67" s="3">
        <v>1430</v>
      </c>
      <c r="AA67" s="3">
        <v>-11.87</v>
      </c>
      <c r="AB67" s="3">
        <v>0</v>
      </c>
      <c r="AC67" s="3">
        <v>57.2</v>
      </c>
      <c r="AD67" s="3">
        <v>1307</v>
      </c>
      <c r="AE67" s="3">
        <v>-14.34</v>
      </c>
      <c r="AF67" s="3">
        <v>-5.6210000000000004</v>
      </c>
      <c r="AG67" s="3">
        <v>-0.69</v>
      </c>
      <c r="AH67" s="3">
        <v>-1.079</v>
      </c>
      <c r="AI67" s="3">
        <v>-0.60399999999999998</v>
      </c>
      <c r="AJ67" s="3">
        <v>0.55200000000000005</v>
      </c>
      <c r="AK67" s="3">
        <v>0.18099999999999999</v>
      </c>
      <c r="AL67" s="3">
        <v>0.43099999999999999</v>
      </c>
      <c r="AM67" s="3">
        <v>0.18</v>
      </c>
      <c r="AN67" s="3">
        <v>3.5000000000000003E-2</v>
      </c>
      <c r="AO67" s="3">
        <v>4.3999999999999997E-2</v>
      </c>
      <c r="AP67" s="3">
        <v>7.5999999999999998E-2</v>
      </c>
      <c r="AQ67" s="3">
        <v>0.04</v>
      </c>
      <c r="AR67" s="3">
        <v>1.4999999999999999E-2</v>
      </c>
      <c r="AS67" s="3">
        <v>2259</v>
      </c>
      <c r="AT67" s="3">
        <v>2216</v>
      </c>
      <c r="AU67" s="3">
        <v>2224</v>
      </c>
      <c r="AV67" s="3">
        <v>-1.3280000000000001</v>
      </c>
      <c r="AW67" s="3">
        <v>-1.4319999999999999</v>
      </c>
      <c r="AX67" s="3">
        <v>-1.294</v>
      </c>
      <c r="AY67" s="3">
        <v>-1.371</v>
      </c>
      <c r="AZ67" s="3">
        <v>-1.4390000000000001</v>
      </c>
      <c r="BA67" s="3">
        <v>-1.5580000000000001</v>
      </c>
      <c r="BB67" s="3">
        <v>13.1</v>
      </c>
      <c r="BC67" s="3">
        <v>2876</v>
      </c>
      <c r="BE67" s="6">
        <f t="shared" si="43"/>
        <v>1286</v>
      </c>
      <c r="BG67" s="16">
        <v>13.23</v>
      </c>
      <c r="BH67" s="16">
        <f t="shared" si="1"/>
        <v>26.724600000000002</v>
      </c>
      <c r="BI67" s="17">
        <f t="shared" si="40"/>
        <v>6.2</v>
      </c>
      <c r="BJ67" s="17">
        <f t="shared" si="41"/>
        <v>12.57</v>
      </c>
      <c r="BL67" s="1">
        <f t="shared" si="4"/>
        <v>99.5</v>
      </c>
      <c r="BM67" s="1">
        <f t="shared" si="5"/>
        <v>76.8</v>
      </c>
      <c r="BN67" s="1">
        <f t="shared" si="6"/>
        <v>43.3</v>
      </c>
      <c r="BO67" s="49">
        <f t="shared" si="15"/>
        <v>0.34399999999999997</v>
      </c>
      <c r="BP67" s="49">
        <f t="shared" si="16"/>
        <v>0.45</v>
      </c>
      <c r="BT67" s="16">
        <f t="shared" si="7"/>
        <v>6.2</v>
      </c>
      <c r="BU67" s="16">
        <f t="shared" si="8"/>
        <v>12.57</v>
      </c>
      <c r="BV67" s="3">
        <f t="shared" si="9"/>
        <v>-4.0999999999999996</v>
      </c>
      <c r="BW67" s="3">
        <f t="shared" si="45"/>
        <v>-4.9000000000000004</v>
      </c>
      <c r="BX67" s="3">
        <f t="shared" si="45"/>
        <v>-2.9</v>
      </c>
      <c r="BY67" s="3">
        <f t="shared" si="45"/>
        <v>-0.4</v>
      </c>
      <c r="BZ67" s="3">
        <f t="shared" si="44"/>
        <v>-0.9</v>
      </c>
      <c r="CA67" s="3">
        <f t="shared" si="44"/>
        <v>-0.6</v>
      </c>
      <c r="CB67" s="3">
        <f t="shared" si="44"/>
        <v>0.6</v>
      </c>
      <c r="CC67" s="22">
        <f t="shared" si="11"/>
        <v>76.8</v>
      </c>
      <c r="CD67" s="1">
        <f t="shared" si="17"/>
        <v>3.7</v>
      </c>
      <c r="CE67" s="1">
        <f t="shared" si="18"/>
        <v>4.5</v>
      </c>
      <c r="CF67" s="1">
        <f t="shared" si="19"/>
        <v>-0.1</v>
      </c>
      <c r="CG67" s="1">
        <f t="shared" si="20"/>
        <v>-0.3</v>
      </c>
      <c r="CH67" s="1">
        <f t="shared" si="21"/>
        <v>-0.8</v>
      </c>
      <c r="CI67" s="1">
        <f t="shared" si="22"/>
        <v>-0.5</v>
      </c>
      <c r="CJ67" s="1">
        <f t="shared" si="23"/>
        <v>0.6</v>
      </c>
      <c r="CK67" s="2">
        <f t="shared" si="13"/>
        <v>99.5</v>
      </c>
      <c r="CL67" s="1">
        <f t="shared" si="24"/>
        <v>-11.9</v>
      </c>
      <c r="CM67" s="1">
        <f t="shared" si="25"/>
        <v>-14.3</v>
      </c>
      <c r="CN67" s="1">
        <f t="shared" si="26"/>
        <v>-5.6</v>
      </c>
      <c r="CO67" s="1">
        <f t="shared" si="27"/>
        <v>-0.7</v>
      </c>
      <c r="CP67" s="1">
        <f t="shared" si="28"/>
        <v>-1.1000000000000001</v>
      </c>
      <c r="CQ67" s="1">
        <f t="shared" si="29"/>
        <v>-0.6</v>
      </c>
      <c r="CR67" s="1">
        <f t="shared" si="30"/>
        <v>0.6</v>
      </c>
      <c r="CS67" s="2">
        <f t="shared" si="31"/>
        <v>43.3</v>
      </c>
      <c r="CT67" s="6">
        <f t="shared" si="32"/>
        <v>1286</v>
      </c>
      <c r="CU67" s="1">
        <f>PPTest!K67</f>
        <v>9.5</v>
      </c>
      <c r="CV67" s="3">
        <f t="shared" si="33"/>
        <v>2.0099999999999998</v>
      </c>
      <c r="CW67" s="3">
        <f t="shared" si="34"/>
        <v>4.8600000000000003</v>
      </c>
      <c r="CX67" s="24">
        <f t="shared" si="35"/>
        <v>0.34399999999999997</v>
      </c>
      <c r="CY67" s="24">
        <f t="shared" si="35"/>
        <v>0.45</v>
      </c>
      <c r="CZ67" s="16">
        <f t="shared" si="36"/>
        <v>13.1</v>
      </c>
    </row>
    <row r="68" spans="1:104" x14ac:dyDescent="0.2">
      <c r="A68" s="14">
        <f t="shared" si="37"/>
        <v>38779</v>
      </c>
      <c r="B68" s="1">
        <v>62</v>
      </c>
      <c r="C68" s="3">
        <v>10.11</v>
      </c>
      <c r="D68" s="3">
        <v>20.94</v>
      </c>
      <c r="E68" s="3">
        <v>-9.24</v>
      </c>
      <c r="F68" s="3">
        <v>94.7</v>
      </c>
      <c r="G68" s="3">
        <v>-10.24</v>
      </c>
      <c r="H68" s="3">
        <v>-2.41</v>
      </c>
      <c r="I68" s="3">
        <v>-0.80800000000000005</v>
      </c>
      <c r="J68" s="3">
        <v>-1.2390000000000001</v>
      </c>
      <c r="K68" s="3">
        <v>-0.63100000000000001</v>
      </c>
      <c r="L68" s="3">
        <v>0.58499999999999996</v>
      </c>
      <c r="M68" s="3">
        <v>1.9910000000000001</v>
      </c>
      <c r="N68" s="3">
        <v>0</v>
      </c>
      <c r="O68" s="3">
        <v>1.391</v>
      </c>
      <c r="P68" s="3">
        <v>1442</v>
      </c>
      <c r="Q68" s="3">
        <v>108.2</v>
      </c>
      <c r="R68" s="3">
        <v>30</v>
      </c>
      <c r="S68" s="3">
        <v>2.76</v>
      </c>
      <c r="T68" s="3">
        <v>2.1930000000000001</v>
      </c>
      <c r="U68" s="3">
        <v>-0.36</v>
      </c>
      <c r="V68" s="3">
        <v>-0.88800000000000001</v>
      </c>
      <c r="W68" s="3">
        <v>-0.51300000000000001</v>
      </c>
      <c r="X68" s="3">
        <v>0.61399999999999999</v>
      </c>
      <c r="Y68" s="3">
        <v>3.7589999999999999</v>
      </c>
      <c r="Z68" s="3">
        <v>1416</v>
      </c>
      <c r="AA68" s="3">
        <v>-17.850000000000001</v>
      </c>
      <c r="AB68" s="3">
        <v>2322</v>
      </c>
      <c r="AC68" s="3">
        <v>58.54</v>
      </c>
      <c r="AD68" s="3">
        <v>1451</v>
      </c>
      <c r="AE68" s="3">
        <v>-19.47</v>
      </c>
      <c r="AF68" s="3">
        <v>-8.07</v>
      </c>
      <c r="AG68" s="3">
        <v>-1.5289999999999999</v>
      </c>
      <c r="AH68" s="3">
        <v>-1.56</v>
      </c>
      <c r="AI68" s="3">
        <v>-0.72099999999999997</v>
      </c>
      <c r="AJ68" s="3">
        <v>0.55200000000000005</v>
      </c>
      <c r="AK68" s="3">
        <v>0.11799999999999999</v>
      </c>
      <c r="AL68" s="3">
        <v>0.50700000000000001</v>
      </c>
      <c r="AM68" s="3">
        <v>0.371</v>
      </c>
      <c r="AN68" s="3">
        <v>0</v>
      </c>
      <c r="AO68" s="3">
        <v>0</v>
      </c>
      <c r="AP68" s="3">
        <v>0</v>
      </c>
      <c r="AQ68" s="3">
        <v>0</v>
      </c>
      <c r="AR68" s="3">
        <v>4.0000000000000001E-3</v>
      </c>
      <c r="AS68" s="3">
        <v>6999</v>
      </c>
      <c r="AT68" s="3">
        <v>2257</v>
      </c>
      <c r="AU68" s="19">
        <f>AT68</f>
        <v>2257</v>
      </c>
      <c r="AV68" s="3">
        <v>-1.2090000000000001</v>
      </c>
      <c r="AW68" s="3">
        <v>-1.302</v>
      </c>
      <c r="AX68" s="3">
        <v>-1.069</v>
      </c>
      <c r="AY68" s="3">
        <v>-1.167</v>
      </c>
      <c r="AZ68" s="3">
        <v>-1.419</v>
      </c>
      <c r="BA68" s="3">
        <v>-1.53</v>
      </c>
      <c r="BB68" s="3">
        <v>13.18</v>
      </c>
      <c r="BC68" s="3">
        <v>2876</v>
      </c>
      <c r="BE68" s="6">
        <f t="shared" si="43"/>
        <v>1253</v>
      </c>
      <c r="BG68" s="16">
        <v>13.47</v>
      </c>
      <c r="BH68" s="16">
        <f t="shared" si="1"/>
        <v>27.209400000000002</v>
      </c>
      <c r="BI68" s="17">
        <f t="shared" si="40"/>
        <v>9.91</v>
      </c>
      <c r="BJ68" s="17">
        <f t="shared" si="41"/>
        <v>23.03</v>
      </c>
      <c r="BL68" s="1">
        <f t="shared" si="4"/>
        <v>95.3</v>
      </c>
      <c r="BM68" s="1">
        <f t="shared" si="5"/>
        <v>76.3</v>
      </c>
      <c r="BN68" s="1">
        <f t="shared" si="6"/>
        <v>44.5</v>
      </c>
      <c r="BO68" s="49">
        <f t="shared" si="15"/>
        <v>0.3</v>
      </c>
      <c r="BP68" s="49">
        <f t="shared" si="16"/>
        <v>0.374</v>
      </c>
      <c r="BT68" s="16">
        <f t="shared" si="7"/>
        <v>9.91</v>
      </c>
      <c r="BU68" s="16">
        <f t="shared" si="8"/>
        <v>23.03</v>
      </c>
      <c r="BV68" s="3">
        <f t="shared" si="9"/>
        <v>-9.1999999999999993</v>
      </c>
      <c r="BW68" s="3">
        <f t="shared" si="45"/>
        <v>-10.199999999999999</v>
      </c>
      <c r="BX68" s="3">
        <f t="shared" si="45"/>
        <v>-2.4</v>
      </c>
      <c r="BY68" s="3">
        <f t="shared" si="45"/>
        <v>-0.8</v>
      </c>
      <c r="BZ68" s="3">
        <f t="shared" si="44"/>
        <v>-1.2</v>
      </c>
      <c r="CA68" s="3">
        <f t="shared" si="44"/>
        <v>-0.6</v>
      </c>
      <c r="CB68" s="3">
        <f t="shared" si="44"/>
        <v>0.6</v>
      </c>
      <c r="CC68" s="22">
        <f t="shared" si="11"/>
        <v>76.3</v>
      </c>
      <c r="CD68" s="1">
        <f t="shared" si="17"/>
        <v>1.4</v>
      </c>
      <c r="CE68" s="1">
        <f t="shared" si="18"/>
        <v>2.8</v>
      </c>
      <c r="CF68" s="1">
        <f t="shared" si="19"/>
        <v>2.2000000000000002</v>
      </c>
      <c r="CG68" s="1">
        <f t="shared" si="20"/>
        <v>-0.4</v>
      </c>
      <c r="CH68" s="1">
        <f t="shared" si="21"/>
        <v>-0.9</v>
      </c>
      <c r="CI68" s="1">
        <f t="shared" si="22"/>
        <v>-0.5</v>
      </c>
      <c r="CJ68" s="1">
        <f t="shared" si="23"/>
        <v>0.6</v>
      </c>
      <c r="CK68" s="2">
        <f t="shared" si="13"/>
        <v>95.3</v>
      </c>
      <c r="CL68" s="1">
        <f t="shared" si="24"/>
        <v>-17.899999999999999</v>
      </c>
      <c r="CM68" s="1">
        <f t="shared" si="25"/>
        <v>-19.5</v>
      </c>
      <c r="CN68" s="1">
        <f t="shared" si="26"/>
        <v>-8.1</v>
      </c>
      <c r="CO68" s="1">
        <f t="shared" si="27"/>
        <v>-1.5</v>
      </c>
      <c r="CP68" s="1">
        <f t="shared" si="28"/>
        <v>-1.6</v>
      </c>
      <c r="CQ68" s="1">
        <f t="shared" si="29"/>
        <v>-0.7</v>
      </c>
      <c r="CR68" s="1">
        <f t="shared" si="30"/>
        <v>0.6</v>
      </c>
      <c r="CS68" s="2">
        <f t="shared" si="31"/>
        <v>44.5</v>
      </c>
      <c r="CT68" s="6">
        <f t="shared" si="32"/>
        <v>1253</v>
      </c>
      <c r="CU68" s="1">
        <f>PPTest!K68</f>
        <v>0</v>
      </c>
      <c r="CV68" s="3">
        <f t="shared" si="33"/>
        <v>1.99</v>
      </c>
      <c r="CW68" s="3">
        <f t="shared" si="34"/>
        <v>3.76</v>
      </c>
      <c r="CX68" s="24">
        <f t="shared" si="35"/>
        <v>0.3</v>
      </c>
      <c r="CY68" s="24">
        <f t="shared" si="35"/>
        <v>0.374</v>
      </c>
      <c r="CZ68" s="16">
        <f t="shared" si="36"/>
        <v>13.18</v>
      </c>
    </row>
    <row r="69" spans="1:104" x14ac:dyDescent="0.2">
      <c r="A69" s="14">
        <f t="shared" si="37"/>
        <v>38780</v>
      </c>
      <c r="B69" s="1">
        <v>63</v>
      </c>
      <c r="C69" s="3">
        <v>14.24</v>
      </c>
      <c r="D69" s="3">
        <v>24.61</v>
      </c>
      <c r="E69" s="3">
        <v>-8.58</v>
      </c>
      <c r="F69" s="3">
        <v>87</v>
      </c>
      <c r="G69" s="3">
        <v>-9.36</v>
      </c>
      <c r="H69" s="3">
        <v>-4.5540000000000003</v>
      </c>
      <c r="I69" s="3">
        <v>-0.879</v>
      </c>
      <c r="J69" s="3">
        <v>-1.6419999999999999</v>
      </c>
      <c r="K69" s="3">
        <v>-0.83299999999999996</v>
      </c>
      <c r="L69" s="3">
        <v>0.58099999999999996</v>
      </c>
      <c r="M69" s="3">
        <v>1.925</v>
      </c>
      <c r="N69" s="3">
        <v>0</v>
      </c>
      <c r="O69" s="3">
        <v>2.2810000000000001</v>
      </c>
      <c r="P69" s="3">
        <v>1540</v>
      </c>
      <c r="Q69" s="3">
        <v>107</v>
      </c>
      <c r="R69" s="3">
        <v>2227</v>
      </c>
      <c r="S69" s="3">
        <v>4.2809999999999997</v>
      </c>
      <c r="T69" s="3">
        <v>4.0199999999999996</v>
      </c>
      <c r="U69" s="3">
        <v>-0.37</v>
      </c>
      <c r="V69" s="3">
        <v>-1.4019999999999999</v>
      </c>
      <c r="W69" s="3">
        <v>-0.68899999999999995</v>
      </c>
      <c r="X69" s="3">
        <v>0.60899999999999999</v>
      </c>
      <c r="Y69" s="3">
        <v>3.9980000000000002</v>
      </c>
      <c r="Z69" s="3">
        <v>1143</v>
      </c>
      <c r="AA69" s="3">
        <v>-18.63</v>
      </c>
      <c r="AB69" s="3">
        <v>52</v>
      </c>
      <c r="AC69" s="3">
        <v>39.85</v>
      </c>
      <c r="AD69" s="3">
        <v>1326</v>
      </c>
      <c r="AE69" s="3">
        <v>-20.350000000000001</v>
      </c>
      <c r="AF69" s="3">
        <v>-8.5</v>
      </c>
      <c r="AG69" s="3">
        <v>-1.649</v>
      </c>
      <c r="AH69" s="3">
        <v>-1.8580000000000001</v>
      </c>
      <c r="AI69" s="3">
        <v>-0.92</v>
      </c>
      <c r="AJ69" s="3">
        <v>0.55000000000000004</v>
      </c>
      <c r="AK69" s="3">
        <v>5.0000000000000001E-3</v>
      </c>
      <c r="AL69" s="3">
        <v>0.26200000000000001</v>
      </c>
      <c r="AM69" s="3">
        <v>0.42399999999999999</v>
      </c>
      <c r="AN69" s="3">
        <v>1E-3</v>
      </c>
      <c r="AO69" s="3">
        <v>8.5000000000000006E-2</v>
      </c>
      <c r="AP69" s="3">
        <v>0.11799999999999999</v>
      </c>
      <c r="AQ69" s="3">
        <v>8.6999999999999994E-2</v>
      </c>
      <c r="AR69" s="3">
        <v>1.7999999999999999E-2</v>
      </c>
      <c r="AS69" s="3">
        <v>2275</v>
      </c>
      <c r="AT69" s="3">
        <v>2272</v>
      </c>
      <c r="AU69" s="3">
        <v>2273</v>
      </c>
      <c r="AV69" s="3">
        <v>-1.0940000000000001</v>
      </c>
      <c r="AW69" s="3">
        <v>-1.1970000000000001</v>
      </c>
      <c r="AX69" s="3">
        <v>-1.0680000000000001</v>
      </c>
      <c r="AY69" s="3">
        <v>-1.141</v>
      </c>
      <c r="AZ69" s="3">
        <v>-1.151</v>
      </c>
      <c r="BA69" s="3">
        <v>-1.2709999999999999</v>
      </c>
      <c r="BB69" s="3">
        <v>13.18</v>
      </c>
      <c r="BC69" s="3">
        <v>2876</v>
      </c>
      <c r="BE69" s="6">
        <f t="shared" si="43"/>
        <v>1237</v>
      </c>
      <c r="BG69" s="16">
        <v>13.71</v>
      </c>
      <c r="BH69" s="16">
        <f t="shared" si="1"/>
        <v>27.694200000000002</v>
      </c>
      <c r="BI69" s="17">
        <f t="shared" si="40"/>
        <v>13.96</v>
      </c>
      <c r="BJ69" s="17">
        <f t="shared" si="41"/>
        <v>27.07</v>
      </c>
      <c r="BL69" s="1">
        <f t="shared" si="4"/>
        <v>93.4</v>
      </c>
      <c r="BM69" s="1">
        <f t="shared" si="5"/>
        <v>69.599999999999994</v>
      </c>
      <c r="BN69" s="1">
        <f t="shared" si="6"/>
        <v>28.1</v>
      </c>
      <c r="BO69" s="49">
        <f t="shared" si="15"/>
        <v>0.20200000000000001</v>
      </c>
      <c r="BP69" s="49">
        <f t="shared" si="16"/>
        <v>0.51700000000000002</v>
      </c>
      <c r="BT69" s="16">
        <f t="shared" si="7"/>
        <v>13.96</v>
      </c>
      <c r="BU69" s="16">
        <f t="shared" si="8"/>
        <v>27.07</v>
      </c>
      <c r="BV69" s="3">
        <f t="shared" si="9"/>
        <v>-8.6</v>
      </c>
      <c r="BW69" s="3">
        <f t="shared" si="45"/>
        <v>-9.4</v>
      </c>
      <c r="BX69" s="3">
        <f t="shared" si="45"/>
        <v>-4.5999999999999996</v>
      </c>
      <c r="BY69" s="3">
        <f t="shared" si="45"/>
        <v>-0.9</v>
      </c>
      <c r="BZ69" s="3">
        <f t="shared" si="44"/>
        <v>-1.6</v>
      </c>
      <c r="CA69" s="3">
        <f t="shared" si="44"/>
        <v>-0.8</v>
      </c>
      <c r="CB69" s="3">
        <f t="shared" si="44"/>
        <v>0.6</v>
      </c>
      <c r="CC69" s="22">
        <f t="shared" si="11"/>
        <v>69.599999999999994</v>
      </c>
      <c r="CD69" s="1">
        <f t="shared" si="17"/>
        <v>2.2999999999999998</v>
      </c>
      <c r="CE69" s="1">
        <f t="shared" si="18"/>
        <v>4.3</v>
      </c>
      <c r="CF69" s="1">
        <f t="shared" si="19"/>
        <v>4</v>
      </c>
      <c r="CG69" s="1">
        <f t="shared" si="20"/>
        <v>-0.4</v>
      </c>
      <c r="CH69" s="1">
        <f t="shared" si="21"/>
        <v>-1.4</v>
      </c>
      <c r="CI69" s="1">
        <f t="shared" si="22"/>
        <v>-0.7</v>
      </c>
      <c r="CJ69" s="1">
        <f t="shared" si="23"/>
        <v>0.6</v>
      </c>
      <c r="CK69" s="2">
        <f t="shared" si="13"/>
        <v>93.4</v>
      </c>
      <c r="CL69" s="1">
        <f t="shared" si="24"/>
        <v>-18.600000000000001</v>
      </c>
      <c r="CM69" s="1">
        <f t="shared" si="25"/>
        <v>-20.399999999999999</v>
      </c>
      <c r="CN69" s="1">
        <f t="shared" si="26"/>
        <v>-8.5</v>
      </c>
      <c r="CO69" s="1">
        <f t="shared" si="27"/>
        <v>-1.6</v>
      </c>
      <c r="CP69" s="1">
        <f t="shared" si="28"/>
        <v>-1.9</v>
      </c>
      <c r="CQ69" s="1">
        <f t="shared" si="29"/>
        <v>-0.9</v>
      </c>
      <c r="CR69" s="1">
        <f t="shared" si="30"/>
        <v>0.6</v>
      </c>
      <c r="CS69" s="2">
        <f t="shared" si="31"/>
        <v>28.1</v>
      </c>
      <c r="CT69" s="6">
        <f t="shared" si="32"/>
        <v>1237</v>
      </c>
      <c r="CU69" s="1">
        <f>PPTest!K69</f>
        <v>0</v>
      </c>
      <c r="CV69" s="3">
        <f t="shared" si="33"/>
        <v>1.93</v>
      </c>
      <c r="CW69" s="3">
        <f t="shared" si="34"/>
        <v>4</v>
      </c>
      <c r="CX69" s="24">
        <f t="shared" si="35"/>
        <v>0.20200000000000001</v>
      </c>
      <c r="CY69" s="24">
        <f t="shared" si="35"/>
        <v>0.51700000000000002</v>
      </c>
      <c r="CZ69" s="16">
        <f t="shared" si="36"/>
        <v>13.18</v>
      </c>
    </row>
    <row r="70" spans="1:104" x14ac:dyDescent="0.2">
      <c r="A70" s="14">
        <f t="shared" si="37"/>
        <v>38781</v>
      </c>
      <c r="B70" s="1">
        <v>64</v>
      </c>
      <c r="C70" s="3">
        <v>7.84</v>
      </c>
      <c r="D70" s="3">
        <v>14.08</v>
      </c>
      <c r="E70" s="3">
        <v>-3.94</v>
      </c>
      <c r="F70" s="3">
        <v>91.9</v>
      </c>
      <c r="G70" s="3">
        <v>-4.5960000000000001</v>
      </c>
      <c r="H70" s="3">
        <v>-4.2389999999999999</v>
      </c>
      <c r="I70" s="3">
        <v>-0.56200000000000006</v>
      </c>
      <c r="J70" s="3">
        <v>-1.411</v>
      </c>
      <c r="K70" s="3">
        <v>-0.85899999999999999</v>
      </c>
      <c r="L70" s="3">
        <v>0.57799999999999996</v>
      </c>
      <c r="M70" s="3">
        <v>1.8360000000000001</v>
      </c>
      <c r="N70" s="3">
        <v>0</v>
      </c>
      <c r="O70" s="3">
        <v>1.9470000000000001</v>
      </c>
      <c r="P70" s="3">
        <v>1150</v>
      </c>
      <c r="Q70" s="3">
        <v>110.2</v>
      </c>
      <c r="R70" s="3">
        <v>347</v>
      </c>
      <c r="S70" s="3">
        <v>3.0790000000000002</v>
      </c>
      <c r="T70" s="3">
        <v>2.718</v>
      </c>
      <c r="U70" s="3">
        <v>-0.36599999999999999</v>
      </c>
      <c r="V70" s="3">
        <v>-1.089</v>
      </c>
      <c r="W70" s="3">
        <v>-0.752</v>
      </c>
      <c r="X70" s="3">
        <v>0.60799999999999998</v>
      </c>
      <c r="Y70" s="3">
        <v>5.3150000000000004</v>
      </c>
      <c r="Z70" s="3">
        <v>1116</v>
      </c>
      <c r="AA70" s="3">
        <v>-14.41</v>
      </c>
      <c r="AB70" s="3">
        <v>257</v>
      </c>
      <c r="AC70" s="3">
        <v>54.59</v>
      </c>
      <c r="AD70" s="3">
        <v>1150</v>
      </c>
      <c r="AE70" s="3">
        <v>-15.73</v>
      </c>
      <c r="AF70" s="3">
        <v>-10.08</v>
      </c>
      <c r="AG70" s="3">
        <v>-1.282</v>
      </c>
      <c r="AH70" s="3">
        <v>-1.7</v>
      </c>
      <c r="AI70" s="3">
        <v>-0.92800000000000005</v>
      </c>
      <c r="AJ70" s="3">
        <v>0.54700000000000004</v>
      </c>
      <c r="AK70" s="3">
        <v>0.152</v>
      </c>
      <c r="AL70" s="3">
        <v>0.255</v>
      </c>
      <c r="AM70" s="3">
        <v>0.224</v>
      </c>
      <c r="AN70" s="3">
        <v>7.0000000000000007E-2</v>
      </c>
      <c r="AO70" s="3">
        <v>6.7000000000000004E-2</v>
      </c>
      <c r="AP70" s="3">
        <v>8.3000000000000004E-2</v>
      </c>
      <c r="AQ70" s="3">
        <v>6.3E-2</v>
      </c>
      <c r="AR70" s="3">
        <v>8.6999999999999994E-2</v>
      </c>
      <c r="AS70" s="3">
        <v>2229</v>
      </c>
      <c r="AT70" s="3">
        <v>2218</v>
      </c>
      <c r="AU70" s="3">
        <v>2220</v>
      </c>
      <c r="AV70" s="3">
        <v>-1.1839999999999999</v>
      </c>
      <c r="AW70" s="3">
        <v>-1.3</v>
      </c>
      <c r="AX70" s="3">
        <v>-1.0880000000000001</v>
      </c>
      <c r="AY70" s="3">
        <v>-1.1870000000000001</v>
      </c>
      <c r="AZ70" s="3">
        <v>-1.399</v>
      </c>
      <c r="BA70" s="3">
        <v>-1.53</v>
      </c>
      <c r="BB70" s="3">
        <v>13.12</v>
      </c>
      <c r="BC70" s="3">
        <v>2876</v>
      </c>
      <c r="BE70" s="6">
        <f t="shared" si="43"/>
        <v>1290</v>
      </c>
      <c r="BG70" s="16">
        <v>13.95</v>
      </c>
      <c r="BH70" s="16">
        <f t="shared" si="1"/>
        <v>28.178999999999998</v>
      </c>
      <c r="BI70" s="17">
        <f t="shared" si="40"/>
        <v>7.68</v>
      </c>
      <c r="BJ70" s="17">
        <f t="shared" si="41"/>
        <v>15.49</v>
      </c>
      <c r="BL70" s="1">
        <f t="shared" si="4"/>
        <v>98.5</v>
      </c>
      <c r="BM70" s="1">
        <f t="shared" si="5"/>
        <v>73.900000000000006</v>
      </c>
      <c r="BN70" s="1">
        <f t="shared" si="6"/>
        <v>41</v>
      </c>
      <c r="BO70" s="49">
        <f t="shared" si="15"/>
        <v>0.28799999999999998</v>
      </c>
      <c r="BP70" s="49">
        <f t="shared" si="16"/>
        <v>0.41399999999999998</v>
      </c>
      <c r="BT70" s="16">
        <f t="shared" si="7"/>
        <v>7.68</v>
      </c>
      <c r="BU70" s="16">
        <f t="shared" si="8"/>
        <v>15.49</v>
      </c>
      <c r="BV70" s="3">
        <f t="shared" si="9"/>
        <v>-3.9</v>
      </c>
      <c r="BW70" s="3">
        <f t="shared" si="45"/>
        <v>-4.5999999999999996</v>
      </c>
      <c r="BX70" s="3">
        <f t="shared" si="45"/>
        <v>-4.2</v>
      </c>
      <c r="BY70" s="3">
        <f t="shared" si="45"/>
        <v>-0.6</v>
      </c>
      <c r="BZ70" s="3">
        <f t="shared" si="44"/>
        <v>-1.4</v>
      </c>
      <c r="CA70" s="3">
        <f t="shared" si="44"/>
        <v>-0.9</v>
      </c>
      <c r="CB70" s="3">
        <f t="shared" si="44"/>
        <v>0.6</v>
      </c>
      <c r="CC70" s="22">
        <f t="shared" si="11"/>
        <v>73.900000000000006</v>
      </c>
      <c r="CD70" s="1">
        <f t="shared" si="17"/>
        <v>1.9</v>
      </c>
      <c r="CE70" s="1">
        <f t="shared" si="18"/>
        <v>3.1</v>
      </c>
      <c r="CF70" s="1">
        <f t="shared" si="19"/>
        <v>2.7</v>
      </c>
      <c r="CG70" s="1">
        <f t="shared" si="20"/>
        <v>-0.4</v>
      </c>
      <c r="CH70" s="1">
        <f t="shared" si="21"/>
        <v>-1.1000000000000001</v>
      </c>
      <c r="CI70" s="1">
        <f t="shared" si="22"/>
        <v>-0.8</v>
      </c>
      <c r="CJ70" s="1">
        <f t="shared" si="23"/>
        <v>0.6</v>
      </c>
      <c r="CK70" s="2">
        <f t="shared" si="13"/>
        <v>98.5</v>
      </c>
      <c r="CL70" s="1">
        <f t="shared" si="24"/>
        <v>-14.4</v>
      </c>
      <c r="CM70" s="1">
        <f t="shared" si="25"/>
        <v>-15.7</v>
      </c>
      <c r="CN70" s="1">
        <f t="shared" si="26"/>
        <v>-10.1</v>
      </c>
      <c r="CO70" s="1">
        <f t="shared" si="27"/>
        <v>-1.3</v>
      </c>
      <c r="CP70" s="1">
        <f t="shared" si="28"/>
        <v>-1.7</v>
      </c>
      <c r="CQ70" s="1">
        <f t="shared" si="29"/>
        <v>-0.9</v>
      </c>
      <c r="CR70" s="1">
        <f t="shared" si="30"/>
        <v>0.5</v>
      </c>
      <c r="CS70" s="2">
        <f t="shared" si="31"/>
        <v>41</v>
      </c>
      <c r="CT70" s="6">
        <f t="shared" si="32"/>
        <v>1290</v>
      </c>
      <c r="CU70" s="1">
        <f>PPTest!K70</f>
        <v>6.9</v>
      </c>
      <c r="CV70" s="3">
        <f t="shared" si="33"/>
        <v>1.84</v>
      </c>
      <c r="CW70" s="3">
        <f t="shared" si="34"/>
        <v>5.32</v>
      </c>
      <c r="CX70" s="24">
        <f t="shared" si="35"/>
        <v>0.28799999999999998</v>
      </c>
      <c r="CY70" s="24">
        <f t="shared" si="35"/>
        <v>0.41399999999999998</v>
      </c>
      <c r="CZ70" s="16">
        <f t="shared" si="36"/>
        <v>13.12</v>
      </c>
    </row>
    <row r="71" spans="1:104" x14ac:dyDescent="0.2">
      <c r="A71" s="14">
        <f t="shared" si="37"/>
        <v>38782</v>
      </c>
      <c r="B71" s="1">
        <v>65</v>
      </c>
      <c r="C71" s="3">
        <v>7.11</v>
      </c>
      <c r="D71" s="3">
        <v>12.73</v>
      </c>
      <c r="E71" s="3">
        <v>-0.751</v>
      </c>
      <c r="F71" s="3">
        <v>100.8</v>
      </c>
      <c r="G71" s="3">
        <v>-1.2509999999999999</v>
      </c>
      <c r="H71" s="3">
        <v>-1.2490000000000001</v>
      </c>
      <c r="I71" s="3">
        <v>-0.35299999999999998</v>
      </c>
      <c r="J71" s="3">
        <v>-0.92500000000000004</v>
      </c>
      <c r="K71" s="3">
        <v>-0.67600000000000005</v>
      </c>
      <c r="L71" s="3">
        <v>0.56799999999999995</v>
      </c>
      <c r="M71" s="3">
        <v>1.4019999999999999</v>
      </c>
      <c r="N71" s="3">
        <v>0</v>
      </c>
      <c r="O71" s="3">
        <v>3.4540000000000002</v>
      </c>
      <c r="P71" s="3">
        <v>1316</v>
      </c>
      <c r="Q71" s="3">
        <v>110.4</v>
      </c>
      <c r="R71" s="3">
        <v>1815</v>
      </c>
      <c r="S71" s="3">
        <v>4.673</v>
      </c>
      <c r="T71" s="3">
        <v>1.405</v>
      </c>
      <c r="U71" s="3">
        <v>-0.30499999999999999</v>
      </c>
      <c r="V71" s="3">
        <v>-0.77400000000000002</v>
      </c>
      <c r="W71" s="3">
        <v>-0.58099999999999996</v>
      </c>
      <c r="X71" s="3">
        <v>0.59899999999999998</v>
      </c>
      <c r="Y71" s="3">
        <v>4.5830000000000002</v>
      </c>
      <c r="Z71" s="3">
        <v>1704</v>
      </c>
      <c r="AA71" s="3">
        <v>-3.9449999999999998</v>
      </c>
      <c r="AB71" s="3">
        <v>115</v>
      </c>
      <c r="AC71" s="3">
        <v>78.3</v>
      </c>
      <c r="AD71" s="3">
        <v>1312</v>
      </c>
      <c r="AE71" s="3">
        <v>-5.3170000000000002</v>
      </c>
      <c r="AF71" s="3">
        <v>-3.3460000000000001</v>
      </c>
      <c r="AG71" s="3">
        <v>-0.436</v>
      </c>
      <c r="AH71" s="3">
        <v>-1.1100000000000001</v>
      </c>
      <c r="AI71" s="3">
        <v>-0.79</v>
      </c>
      <c r="AJ71" s="3">
        <v>0.52800000000000002</v>
      </c>
      <c r="AK71" s="3">
        <v>0.11</v>
      </c>
      <c r="AL71" s="3">
        <v>0.24299999999999999</v>
      </c>
      <c r="AM71" s="3">
        <v>0.191</v>
      </c>
      <c r="AN71" s="3">
        <v>0.11</v>
      </c>
      <c r="AO71" s="3">
        <v>9.7000000000000003E-2</v>
      </c>
      <c r="AP71" s="3">
        <v>0.09</v>
      </c>
      <c r="AQ71" s="3">
        <v>8.6999999999999994E-2</v>
      </c>
      <c r="AR71" s="3">
        <v>7.1999999999999995E-2</v>
      </c>
      <c r="AS71" s="3">
        <v>2264</v>
      </c>
      <c r="AT71" s="3">
        <v>2259</v>
      </c>
      <c r="AU71" s="3">
        <v>2261</v>
      </c>
      <c r="AV71" s="3">
        <v>-1.409</v>
      </c>
      <c r="AW71" s="3">
        <v>-1.5109999999999999</v>
      </c>
      <c r="AX71" s="3">
        <v>-1.294</v>
      </c>
      <c r="AY71" s="3">
        <v>-1.363</v>
      </c>
      <c r="AZ71" s="3">
        <v>-1.5409999999999999</v>
      </c>
      <c r="BA71" s="3">
        <v>-1.663</v>
      </c>
      <c r="BB71" s="3">
        <v>13.16</v>
      </c>
      <c r="BC71" s="3">
        <v>2876</v>
      </c>
      <c r="BE71" s="6">
        <f t="shared" si="43"/>
        <v>1249</v>
      </c>
      <c r="BG71" s="16">
        <v>14.21</v>
      </c>
      <c r="BH71" s="16">
        <f t="shared" ref="BH71:BH134" si="46">BG71*$BH$1</f>
        <v>28.704200000000004</v>
      </c>
      <c r="BI71" s="17">
        <f t="shared" si="40"/>
        <v>6.97</v>
      </c>
      <c r="BJ71" s="17">
        <f t="shared" si="41"/>
        <v>14</v>
      </c>
      <c r="BL71" s="1">
        <f t="shared" ref="BL71:BL134" si="47">ROUND(IF(Q71&gt;BL$2,100,IF(Q71&gt;BL$3,BM$1*Q71+BM$2, Q71*BM$3+BM$4)),1)</f>
        <v>98.8</v>
      </c>
      <c r="BM71" s="1">
        <f t="shared" ref="BM71:BM134" si="48">ROUND(IF(F71&gt;BL$2,100, IF(F71&gt;BL$3,BM$1*F71+BM$2, F71*BM$3+BM$4)),1)</f>
        <v>83.6</v>
      </c>
      <c r="BN71" s="1">
        <f t="shared" ref="BN71:BN134" si="49">ROUND(IF(AC71&gt;BL$2,100,IF(AC71&gt;BL$3,BM$1*AC71+BM$2, AC71*BM$3+BM$4)),1)</f>
        <v>61.9</v>
      </c>
      <c r="BO71" s="49">
        <f t="shared" si="15"/>
        <v>0.48399999999999999</v>
      </c>
      <c r="BP71" s="49">
        <f t="shared" si="16"/>
        <v>0.29799999999999999</v>
      </c>
      <c r="BT71" s="16">
        <f t="shared" ref="BT71:BT134" si="50">BI71</f>
        <v>6.97</v>
      </c>
      <c r="BU71" s="16">
        <f t="shared" ref="BU71:BU134" si="51">BJ71</f>
        <v>14</v>
      </c>
      <c r="BV71" s="3">
        <f t="shared" ref="BV71:BV134" si="52">ROUND(E71,1)</f>
        <v>-0.8</v>
      </c>
      <c r="BW71" s="3">
        <f t="shared" si="45"/>
        <v>-1.3</v>
      </c>
      <c r="BX71" s="3">
        <f t="shared" si="45"/>
        <v>-1.2</v>
      </c>
      <c r="BY71" s="3">
        <f t="shared" si="45"/>
        <v>-0.4</v>
      </c>
      <c r="BZ71" s="3">
        <f t="shared" si="44"/>
        <v>-0.9</v>
      </c>
      <c r="CA71" s="3">
        <f t="shared" si="44"/>
        <v>-0.7</v>
      </c>
      <c r="CB71" s="3">
        <f t="shared" si="44"/>
        <v>0.6</v>
      </c>
      <c r="CC71" s="22">
        <f t="shared" ref="CC71:CC134" si="53">ROUND(BM71,1)</f>
        <v>83.6</v>
      </c>
      <c r="CD71" s="1">
        <f t="shared" si="17"/>
        <v>3.5</v>
      </c>
      <c r="CE71" s="1">
        <f t="shared" si="18"/>
        <v>4.7</v>
      </c>
      <c r="CF71" s="1">
        <f t="shared" si="19"/>
        <v>1.4</v>
      </c>
      <c r="CG71" s="1">
        <f t="shared" si="20"/>
        <v>-0.3</v>
      </c>
      <c r="CH71" s="1">
        <f t="shared" si="21"/>
        <v>-0.8</v>
      </c>
      <c r="CI71" s="1">
        <f t="shared" si="22"/>
        <v>-0.6</v>
      </c>
      <c r="CJ71" s="1">
        <f t="shared" si="23"/>
        <v>0.6</v>
      </c>
      <c r="CK71" s="2">
        <f t="shared" ref="CK71:CK134" si="54">ROUND(BL71,1)</f>
        <v>98.8</v>
      </c>
      <c r="CL71" s="1">
        <f t="shared" si="24"/>
        <v>-3.9</v>
      </c>
      <c r="CM71" s="1">
        <f t="shared" si="25"/>
        <v>-5.3</v>
      </c>
      <c r="CN71" s="1">
        <f t="shared" si="26"/>
        <v>-3.3</v>
      </c>
      <c r="CO71" s="1">
        <f t="shared" si="27"/>
        <v>-0.4</v>
      </c>
      <c r="CP71" s="1">
        <f t="shared" si="28"/>
        <v>-1.1000000000000001</v>
      </c>
      <c r="CQ71" s="1">
        <f t="shared" si="29"/>
        <v>-0.8</v>
      </c>
      <c r="CR71" s="1">
        <f t="shared" si="30"/>
        <v>0.5</v>
      </c>
      <c r="CS71" s="2">
        <f t="shared" si="31"/>
        <v>61.9</v>
      </c>
      <c r="CT71" s="6">
        <f t="shared" si="32"/>
        <v>1249</v>
      </c>
      <c r="CU71" s="1">
        <f>PPTest!K71</f>
        <v>0</v>
      </c>
      <c r="CV71" s="3">
        <f t="shared" si="33"/>
        <v>1.4</v>
      </c>
      <c r="CW71" s="3">
        <f t="shared" si="34"/>
        <v>4.58</v>
      </c>
      <c r="CX71" s="24">
        <f t="shared" si="35"/>
        <v>0.48399999999999999</v>
      </c>
      <c r="CY71" s="24">
        <f t="shared" si="35"/>
        <v>0.29799999999999999</v>
      </c>
      <c r="CZ71" s="16">
        <f t="shared" si="36"/>
        <v>13.16</v>
      </c>
    </row>
    <row r="72" spans="1:104" x14ac:dyDescent="0.2">
      <c r="A72" s="14">
        <f t="shared" si="37"/>
        <v>38783</v>
      </c>
      <c r="B72" s="1">
        <v>66</v>
      </c>
      <c r="C72" s="3">
        <v>7.16</v>
      </c>
      <c r="D72" s="3">
        <v>13.08</v>
      </c>
      <c r="E72" s="3">
        <v>-2.4740000000000002</v>
      </c>
      <c r="F72" s="3">
        <v>101.1</v>
      </c>
      <c r="G72" s="3">
        <v>-2.9359999999999999</v>
      </c>
      <c r="H72" s="3">
        <v>-2.4870000000000001</v>
      </c>
      <c r="I72" s="3">
        <v>-0.35</v>
      </c>
      <c r="J72" s="3">
        <v>-0.77</v>
      </c>
      <c r="K72" s="3">
        <v>-0.56200000000000006</v>
      </c>
      <c r="L72" s="3">
        <v>0.56399999999999995</v>
      </c>
      <c r="M72" s="3">
        <v>1.849</v>
      </c>
      <c r="N72" s="3">
        <v>0</v>
      </c>
      <c r="O72" s="3">
        <v>1.159</v>
      </c>
      <c r="P72" s="3">
        <v>1409</v>
      </c>
      <c r="Q72" s="3">
        <v>110.6</v>
      </c>
      <c r="R72" s="3">
        <v>247</v>
      </c>
      <c r="S72" s="3">
        <v>3.0230000000000001</v>
      </c>
      <c r="T72" s="3">
        <v>1.2909999999999999</v>
      </c>
      <c r="U72" s="3">
        <v>-0.28599999999999998</v>
      </c>
      <c r="V72" s="3">
        <v>-0.68899999999999995</v>
      </c>
      <c r="W72" s="3">
        <v>-0.50800000000000001</v>
      </c>
      <c r="X72" s="3">
        <v>0.59799999999999998</v>
      </c>
      <c r="Y72" s="3">
        <v>4.2770000000000001</v>
      </c>
      <c r="Z72" s="3">
        <v>416</v>
      </c>
      <c r="AA72" s="3">
        <v>-5.84</v>
      </c>
      <c r="AB72" s="3">
        <v>228</v>
      </c>
      <c r="AC72" s="3">
        <v>82.4</v>
      </c>
      <c r="AD72" s="3">
        <v>1416</v>
      </c>
      <c r="AE72" s="3">
        <v>-7.81</v>
      </c>
      <c r="AF72" s="3">
        <v>-4.1470000000000002</v>
      </c>
      <c r="AG72" s="3">
        <v>-0.51200000000000001</v>
      </c>
      <c r="AH72" s="3">
        <v>-0.84399999999999997</v>
      </c>
      <c r="AI72" s="3">
        <v>-0.61299999999999999</v>
      </c>
      <c r="AJ72" s="3">
        <v>0.53800000000000003</v>
      </c>
      <c r="AK72" s="3">
        <v>8.0000000000000002E-3</v>
      </c>
      <c r="AL72" s="3">
        <v>4.1000000000000002E-2</v>
      </c>
      <c r="AM72" s="3">
        <v>4.4999999999999998E-2</v>
      </c>
      <c r="AN72" s="3">
        <v>3.5000000000000003E-2</v>
      </c>
      <c r="AO72" s="3">
        <v>0.27100000000000002</v>
      </c>
      <c r="AP72" s="3">
        <v>0.45300000000000001</v>
      </c>
      <c r="AQ72" s="3">
        <v>0.13100000000000001</v>
      </c>
      <c r="AR72" s="3">
        <v>1.7000000000000001E-2</v>
      </c>
      <c r="AS72" s="3">
        <v>2299</v>
      </c>
      <c r="AT72" s="3">
        <v>2291</v>
      </c>
      <c r="AU72" s="3">
        <v>2295</v>
      </c>
      <c r="AV72" s="3">
        <v>-1.236</v>
      </c>
      <c r="AW72" s="3">
        <v>-1.323</v>
      </c>
      <c r="AX72" s="3">
        <v>-1.131</v>
      </c>
      <c r="AY72" s="3">
        <v>-1.1950000000000001</v>
      </c>
      <c r="AZ72" s="3">
        <v>-1.337</v>
      </c>
      <c r="BA72" s="3">
        <v>-1.431</v>
      </c>
      <c r="BB72" s="3">
        <v>13.18</v>
      </c>
      <c r="BC72" s="3">
        <v>2876</v>
      </c>
      <c r="BE72" s="6">
        <f t="shared" si="43"/>
        <v>1215</v>
      </c>
      <c r="BG72" s="16">
        <v>14.45</v>
      </c>
      <c r="BH72" s="16">
        <f t="shared" si="46"/>
        <v>29.189</v>
      </c>
      <c r="BI72" s="17">
        <f t="shared" si="40"/>
        <v>7.02</v>
      </c>
      <c r="BJ72" s="17">
        <f t="shared" si="41"/>
        <v>14.39</v>
      </c>
      <c r="BL72" s="1">
        <f t="shared" si="47"/>
        <v>99.2</v>
      </c>
      <c r="BM72" s="1">
        <f t="shared" si="48"/>
        <v>84</v>
      </c>
      <c r="BN72" s="1">
        <f t="shared" si="49"/>
        <v>65.5</v>
      </c>
      <c r="BO72" s="49">
        <f t="shared" ref="BO72:BO135" si="55">ROUND((0.6105*(EXP((17.273*O72)/(O72+237.3))))*BN72/100,3)</f>
        <v>0.435</v>
      </c>
      <c r="BP72" s="49">
        <f t="shared" ref="BP72:BP135" si="56">ROUND((100-BN72)*BO72/BN72,3)</f>
        <v>0.22900000000000001</v>
      </c>
      <c r="BR72" s="3">
        <v>1</v>
      </c>
      <c r="BT72" s="16">
        <f t="shared" si="50"/>
        <v>7.02</v>
      </c>
      <c r="BU72" s="16">
        <f t="shared" si="51"/>
        <v>14.39</v>
      </c>
      <c r="BV72" s="3">
        <f t="shared" si="52"/>
        <v>-2.5</v>
      </c>
      <c r="BW72" s="3">
        <f t="shared" si="45"/>
        <v>-2.9</v>
      </c>
      <c r="BX72" s="3">
        <f t="shared" si="45"/>
        <v>-2.5</v>
      </c>
      <c r="BY72" s="3">
        <f t="shared" si="45"/>
        <v>-0.4</v>
      </c>
      <c r="BZ72" s="3">
        <f t="shared" si="44"/>
        <v>-0.8</v>
      </c>
      <c r="CA72" s="3">
        <f t="shared" si="44"/>
        <v>-0.6</v>
      </c>
      <c r="CB72" s="3">
        <f t="shared" si="44"/>
        <v>0.6</v>
      </c>
      <c r="CC72" s="22">
        <f t="shared" si="53"/>
        <v>84</v>
      </c>
      <c r="CD72" s="1">
        <f t="shared" ref="CD72:CD135" si="57">ROUND(O72,1)</f>
        <v>1.2</v>
      </c>
      <c r="CE72" s="1">
        <f t="shared" ref="CE72:CE135" si="58">ROUND(S72,1)</f>
        <v>3</v>
      </c>
      <c r="CF72" s="1">
        <f t="shared" ref="CF72:CF135" si="59">ROUND(T72,1)</f>
        <v>1.3</v>
      </c>
      <c r="CG72" s="1">
        <f t="shared" ref="CG72:CG135" si="60">ROUND(U72,1)</f>
        <v>-0.3</v>
      </c>
      <c r="CH72" s="1">
        <f t="shared" ref="CH72:CH135" si="61">ROUND(V72,1)</f>
        <v>-0.7</v>
      </c>
      <c r="CI72" s="1">
        <f t="shared" ref="CI72:CI135" si="62">ROUND(W72,1)</f>
        <v>-0.5</v>
      </c>
      <c r="CJ72" s="1">
        <f t="shared" ref="CJ72:CJ135" si="63">ROUND(X72,1)</f>
        <v>0.6</v>
      </c>
      <c r="CK72" s="2">
        <f t="shared" si="54"/>
        <v>99.2</v>
      </c>
      <c r="CL72" s="1">
        <f t="shared" ref="CL72:CL135" si="64">ROUND(AA72,1)</f>
        <v>-5.8</v>
      </c>
      <c r="CM72" s="1">
        <f t="shared" ref="CM72:CM135" si="65">ROUND(AE72,1)</f>
        <v>-7.8</v>
      </c>
      <c r="CN72" s="1">
        <f t="shared" ref="CN72:CN135" si="66">ROUND(AF72,1)</f>
        <v>-4.0999999999999996</v>
      </c>
      <c r="CO72" s="1">
        <f t="shared" ref="CO72:CO135" si="67">ROUND(AG72,1)</f>
        <v>-0.5</v>
      </c>
      <c r="CP72" s="1">
        <f t="shared" ref="CP72:CP135" si="68">ROUND(AH72,1)</f>
        <v>-0.8</v>
      </c>
      <c r="CQ72" s="1">
        <f t="shared" ref="CQ72:CQ135" si="69">ROUND(AI72,1)</f>
        <v>-0.6</v>
      </c>
      <c r="CR72" s="1">
        <f t="shared" ref="CR72:CR135" si="70">ROUND(AJ72,1)</f>
        <v>0.5</v>
      </c>
      <c r="CS72" s="2">
        <f t="shared" ref="CS72:CS135" si="71">ROUND(BN72,1)</f>
        <v>65.5</v>
      </c>
      <c r="CT72" s="6">
        <f t="shared" ref="CT72:CT135" si="72">BE72</f>
        <v>1215</v>
      </c>
      <c r="CU72" s="1">
        <f>PPTest!K72</f>
        <v>0</v>
      </c>
      <c r="CV72" s="3">
        <f t="shared" ref="CV72:CV135" si="73">ROUND(M72,2)</f>
        <v>1.85</v>
      </c>
      <c r="CW72" s="3">
        <f t="shared" ref="CW72:CW135" si="74">ROUND(Y72,2)</f>
        <v>4.28</v>
      </c>
      <c r="CX72" s="24">
        <f t="shared" ref="CX72:CY135" si="75">BO72</f>
        <v>0.435</v>
      </c>
      <c r="CY72" s="24">
        <f t="shared" si="75"/>
        <v>0.22900000000000001</v>
      </c>
      <c r="CZ72" s="16">
        <f t="shared" ref="CZ72:CZ135" si="76">BB72</f>
        <v>13.18</v>
      </c>
    </row>
    <row r="73" spans="1:104" x14ac:dyDescent="0.2">
      <c r="A73" s="14">
        <f t="shared" ref="A73:A136" si="77">A72+1</f>
        <v>38784</v>
      </c>
      <c r="B73" s="1">
        <v>67</v>
      </c>
      <c r="C73" s="3">
        <v>2.222</v>
      </c>
      <c r="D73" s="3">
        <v>4.4050000000000002</v>
      </c>
      <c r="E73" s="3">
        <v>-4.8049999999999997</v>
      </c>
      <c r="F73" s="3">
        <v>102.1</v>
      </c>
      <c r="G73" s="3">
        <v>-5.0199999999999996</v>
      </c>
      <c r="H73" s="3">
        <v>-3.726</v>
      </c>
      <c r="I73" s="3">
        <v>-0.4</v>
      </c>
      <c r="J73" s="3">
        <v>-0.73699999999999999</v>
      </c>
      <c r="K73" s="3">
        <v>-0.51500000000000001</v>
      </c>
      <c r="L73" s="3">
        <v>0.56100000000000005</v>
      </c>
      <c r="M73" s="3">
        <v>2.052</v>
      </c>
      <c r="N73" s="3">
        <v>0</v>
      </c>
      <c r="O73" s="3">
        <v>-3.1219999999999999</v>
      </c>
      <c r="P73" s="3">
        <v>1</v>
      </c>
      <c r="Q73" s="3">
        <v>108</v>
      </c>
      <c r="R73" s="3">
        <v>2038</v>
      </c>
      <c r="S73" s="3">
        <v>-3.4079999999999999</v>
      </c>
      <c r="T73" s="3">
        <v>-2.548</v>
      </c>
      <c r="U73" s="3">
        <v>-0.29099999999999998</v>
      </c>
      <c r="V73" s="3">
        <v>-0.67700000000000005</v>
      </c>
      <c r="W73" s="3">
        <v>-0.48799999999999999</v>
      </c>
      <c r="X73" s="3">
        <v>0.59199999999999997</v>
      </c>
      <c r="Y73" s="3">
        <v>5.1680000000000001</v>
      </c>
      <c r="Z73" s="3">
        <v>1754</v>
      </c>
      <c r="AA73" s="3">
        <v>-6.2530000000000001</v>
      </c>
      <c r="AB73" s="3">
        <v>2337</v>
      </c>
      <c r="AC73" s="3">
        <v>91.8</v>
      </c>
      <c r="AD73" s="3">
        <v>2321</v>
      </c>
      <c r="AE73" s="3">
        <v>-7.58</v>
      </c>
      <c r="AF73" s="3">
        <v>-5.69</v>
      </c>
      <c r="AG73" s="3">
        <v>-0.56999999999999995</v>
      </c>
      <c r="AH73" s="3">
        <v>-0.78100000000000003</v>
      </c>
      <c r="AI73" s="3">
        <v>-0.55700000000000005</v>
      </c>
      <c r="AJ73" s="3">
        <v>0.51900000000000002</v>
      </c>
      <c r="AK73" s="3">
        <v>4.7E-2</v>
      </c>
      <c r="AL73" s="3">
        <v>4.3999999999999997E-2</v>
      </c>
      <c r="AM73" s="3">
        <v>4.9000000000000002E-2</v>
      </c>
      <c r="AN73" s="3">
        <v>8.5999999999999993E-2</v>
      </c>
      <c r="AO73" s="3">
        <v>0.24199999999999999</v>
      </c>
      <c r="AP73" s="3">
        <v>0.28699999999999998</v>
      </c>
      <c r="AQ73" s="3">
        <v>0.15</v>
      </c>
      <c r="AR73" s="3">
        <v>9.4E-2</v>
      </c>
      <c r="AS73" s="3">
        <v>2182</v>
      </c>
      <c r="AT73" s="3">
        <v>2181</v>
      </c>
      <c r="AU73" s="3">
        <v>2182</v>
      </c>
      <c r="AV73" s="3">
        <v>-1.145</v>
      </c>
      <c r="AW73" s="3">
        <v>-1.24</v>
      </c>
      <c r="AX73" s="3">
        <v>-1.0680000000000001</v>
      </c>
      <c r="AY73" s="3">
        <v>-1.141</v>
      </c>
      <c r="AZ73" s="3">
        <v>-1.2130000000000001</v>
      </c>
      <c r="BA73" s="3">
        <v>-1.327</v>
      </c>
      <c r="BB73" s="3">
        <v>13.09</v>
      </c>
      <c r="BC73" s="3">
        <v>2876</v>
      </c>
      <c r="BE73" s="6">
        <f t="shared" si="43"/>
        <v>1328</v>
      </c>
      <c r="BG73" s="16">
        <v>14.7</v>
      </c>
      <c r="BH73" s="16">
        <f t="shared" si="46"/>
        <v>29.693999999999999</v>
      </c>
      <c r="BI73" s="17">
        <f t="shared" si="40"/>
        <v>2.1800000000000002</v>
      </c>
      <c r="BJ73" s="17">
        <f t="shared" si="41"/>
        <v>4.8499999999999996</v>
      </c>
      <c r="BL73" s="1">
        <f t="shared" si="47"/>
        <v>95</v>
      </c>
      <c r="BM73" s="1">
        <f t="shared" si="48"/>
        <v>85.6</v>
      </c>
      <c r="BN73" s="1">
        <f t="shared" si="49"/>
        <v>73.8</v>
      </c>
      <c r="BO73" s="49">
        <f t="shared" si="55"/>
        <v>0.35799999999999998</v>
      </c>
      <c r="BP73" s="49">
        <f t="shared" si="56"/>
        <v>0.127</v>
      </c>
      <c r="BR73" s="3">
        <v>0</v>
      </c>
      <c r="BT73" s="16">
        <f t="shared" si="50"/>
        <v>2.1800000000000002</v>
      </c>
      <c r="BU73" s="16">
        <f t="shared" si="51"/>
        <v>4.8499999999999996</v>
      </c>
      <c r="BV73" s="3">
        <f t="shared" si="52"/>
        <v>-4.8</v>
      </c>
      <c r="BW73" s="3">
        <f t="shared" si="45"/>
        <v>-5</v>
      </c>
      <c r="BX73" s="3">
        <f t="shared" si="45"/>
        <v>-3.7</v>
      </c>
      <c r="BY73" s="3">
        <f t="shared" si="45"/>
        <v>-0.4</v>
      </c>
      <c r="BZ73" s="3">
        <f t="shared" si="44"/>
        <v>-0.7</v>
      </c>
      <c r="CA73" s="3">
        <f t="shared" si="44"/>
        <v>-0.5</v>
      </c>
      <c r="CB73" s="3">
        <f t="shared" si="44"/>
        <v>0.6</v>
      </c>
      <c r="CC73" s="22">
        <f t="shared" si="53"/>
        <v>85.6</v>
      </c>
      <c r="CD73" s="1">
        <f t="shared" si="57"/>
        <v>-3.1</v>
      </c>
      <c r="CE73" s="1">
        <f t="shared" si="58"/>
        <v>-3.4</v>
      </c>
      <c r="CF73" s="1">
        <f t="shared" si="59"/>
        <v>-2.5</v>
      </c>
      <c r="CG73" s="1">
        <f t="shared" si="60"/>
        <v>-0.3</v>
      </c>
      <c r="CH73" s="1">
        <f t="shared" si="61"/>
        <v>-0.7</v>
      </c>
      <c r="CI73" s="1">
        <f t="shared" si="62"/>
        <v>-0.5</v>
      </c>
      <c r="CJ73" s="1">
        <f t="shared" si="63"/>
        <v>0.6</v>
      </c>
      <c r="CK73" s="2">
        <f t="shared" si="54"/>
        <v>95</v>
      </c>
      <c r="CL73" s="1">
        <f t="shared" si="64"/>
        <v>-6.3</v>
      </c>
      <c r="CM73" s="1">
        <f t="shared" si="65"/>
        <v>-7.6</v>
      </c>
      <c r="CN73" s="1">
        <f t="shared" si="66"/>
        <v>-5.7</v>
      </c>
      <c r="CO73" s="1">
        <f t="shared" si="67"/>
        <v>-0.6</v>
      </c>
      <c r="CP73" s="1">
        <f t="shared" si="68"/>
        <v>-0.8</v>
      </c>
      <c r="CQ73" s="1">
        <f t="shared" si="69"/>
        <v>-0.6</v>
      </c>
      <c r="CR73" s="1">
        <f t="shared" si="70"/>
        <v>0.5</v>
      </c>
      <c r="CS73" s="2">
        <f t="shared" si="71"/>
        <v>73.8</v>
      </c>
      <c r="CT73" s="6">
        <f t="shared" si="72"/>
        <v>1328</v>
      </c>
      <c r="CU73" s="1">
        <f>PPTest!K73</f>
        <v>14.7</v>
      </c>
      <c r="CV73" s="3">
        <f t="shared" si="73"/>
        <v>2.0499999999999998</v>
      </c>
      <c r="CW73" s="3">
        <f t="shared" si="74"/>
        <v>5.17</v>
      </c>
      <c r="CX73" s="24">
        <f t="shared" si="75"/>
        <v>0.35799999999999998</v>
      </c>
      <c r="CY73" s="24">
        <f t="shared" si="75"/>
        <v>0.127</v>
      </c>
      <c r="CZ73" s="16">
        <f t="shared" si="76"/>
        <v>13.09</v>
      </c>
    </row>
    <row r="74" spans="1:104" x14ac:dyDescent="0.2">
      <c r="A74" s="14">
        <f t="shared" si="77"/>
        <v>38785</v>
      </c>
      <c r="B74" s="1">
        <v>68</v>
      </c>
      <c r="C74" s="3">
        <v>13.59</v>
      </c>
      <c r="D74" s="3">
        <v>23.84</v>
      </c>
      <c r="E74" s="3">
        <v>-8.42</v>
      </c>
      <c r="F74" s="3">
        <v>100.8</v>
      </c>
      <c r="G74" s="3">
        <v>-8.5</v>
      </c>
      <c r="H74" s="3">
        <v>-2.589</v>
      </c>
      <c r="I74" s="3">
        <v>-0.78400000000000003</v>
      </c>
      <c r="J74" s="3">
        <v>-0.83699999999999997</v>
      </c>
      <c r="K74" s="3">
        <v>-0.52500000000000002</v>
      </c>
      <c r="L74" s="3">
        <v>0.55800000000000005</v>
      </c>
      <c r="M74" s="3">
        <v>2.1760000000000002</v>
      </c>
      <c r="N74" s="3">
        <v>0</v>
      </c>
      <c r="O74" s="3">
        <v>-4.5839999999999996</v>
      </c>
      <c r="P74" s="3">
        <v>1419</v>
      </c>
      <c r="Q74" s="3">
        <v>109</v>
      </c>
      <c r="R74" s="3">
        <v>240</v>
      </c>
      <c r="S74" s="3">
        <v>-1.9159999999999999</v>
      </c>
      <c r="T74" s="3">
        <v>-1.173</v>
      </c>
      <c r="U74" s="3">
        <v>-0.42899999999999999</v>
      </c>
      <c r="V74" s="3">
        <v>-0.73299999999999998</v>
      </c>
      <c r="W74" s="3">
        <v>-0.48299999999999998</v>
      </c>
      <c r="X74" s="3">
        <v>0.59099999999999997</v>
      </c>
      <c r="Y74" s="3">
        <v>5.0490000000000004</v>
      </c>
      <c r="Z74" s="3">
        <v>633</v>
      </c>
      <c r="AA74" s="3">
        <v>-14.8</v>
      </c>
      <c r="AB74" s="3">
        <v>1955</v>
      </c>
      <c r="AC74" s="3">
        <v>60.21</v>
      </c>
      <c r="AD74" s="3">
        <v>1453</v>
      </c>
      <c r="AE74" s="3">
        <v>-16.63</v>
      </c>
      <c r="AF74" s="3">
        <v>-3.419</v>
      </c>
      <c r="AG74" s="3">
        <v>-1.847</v>
      </c>
      <c r="AH74" s="3">
        <v>-1.0840000000000001</v>
      </c>
      <c r="AI74" s="3">
        <v>-0.59599999999999997</v>
      </c>
      <c r="AJ74" s="3">
        <v>0.52700000000000002</v>
      </c>
      <c r="AK74" s="3">
        <v>2.1000000000000001E-2</v>
      </c>
      <c r="AL74" s="3">
        <v>0.128</v>
      </c>
      <c r="AM74" s="3">
        <v>0.11899999999999999</v>
      </c>
      <c r="AN74" s="3">
        <v>2.1999999999999999E-2</v>
      </c>
      <c r="AO74" s="3">
        <v>0.151</v>
      </c>
      <c r="AP74" s="3">
        <v>0.39700000000000002</v>
      </c>
      <c r="AQ74" s="3">
        <v>0.14199999999999999</v>
      </c>
      <c r="AR74" s="3">
        <v>0.02</v>
      </c>
      <c r="AS74" s="3">
        <v>2157</v>
      </c>
      <c r="AT74" s="3">
        <v>2151</v>
      </c>
      <c r="AU74" s="3">
        <v>2154</v>
      </c>
      <c r="AV74" s="3">
        <v>-1.016</v>
      </c>
      <c r="AW74" s="3">
        <v>-1.1060000000000001</v>
      </c>
      <c r="AX74" s="3">
        <v>-0.94499999999999995</v>
      </c>
      <c r="AY74" s="3">
        <v>-1.02</v>
      </c>
      <c r="AZ74" s="3">
        <v>-1.089</v>
      </c>
      <c r="BA74" s="3">
        <v>-1.1970000000000001</v>
      </c>
      <c r="BB74" s="3">
        <v>13.2</v>
      </c>
      <c r="BC74" s="3">
        <v>2876</v>
      </c>
      <c r="BE74" s="6">
        <f t="shared" si="43"/>
        <v>1356</v>
      </c>
      <c r="BG74" s="16">
        <v>14.96</v>
      </c>
      <c r="BH74" s="16">
        <f t="shared" si="46"/>
        <v>30.219200000000001</v>
      </c>
      <c r="BI74" s="17">
        <f t="shared" si="40"/>
        <v>13.32</v>
      </c>
      <c r="BJ74" s="17">
        <f t="shared" si="41"/>
        <v>26.22</v>
      </c>
      <c r="BL74" s="1">
        <f t="shared" si="47"/>
        <v>96.6</v>
      </c>
      <c r="BM74" s="1">
        <f t="shared" si="48"/>
        <v>83.6</v>
      </c>
      <c r="BN74" s="1">
        <f t="shared" si="49"/>
        <v>46</v>
      </c>
      <c r="BO74" s="49">
        <f t="shared" si="55"/>
        <v>0.2</v>
      </c>
      <c r="BP74" s="49">
        <f t="shared" si="56"/>
        <v>0.23499999999999999</v>
      </c>
      <c r="BR74" s="3">
        <v>5.6</v>
      </c>
      <c r="BT74" s="16">
        <f t="shared" si="50"/>
        <v>13.32</v>
      </c>
      <c r="BU74" s="16">
        <f t="shared" si="51"/>
        <v>26.22</v>
      </c>
      <c r="BV74" s="3">
        <f t="shared" si="52"/>
        <v>-8.4</v>
      </c>
      <c r="BW74" s="3">
        <f t="shared" si="45"/>
        <v>-8.5</v>
      </c>
      <c r="BX74" s="3">
        <f t="shared" si="45"/>
        <v>-2.6</v>
      </c>
      <c r="BY74" s="3">
        <f t="shared" si="45"/>
        <v>-0.8</v>
      </c>
      <c r="BZ74" s="3">
        <f t="shared" si="44"/>
        <v>-0.8</v>
      </c>
      <c r="CA74" s="3">
        <f t="shared" si="44"/>
        <v>-0.5</v>
      </c>
      <c r="CB74" s="3">
        <f t="shared" si="44"/>
        <v>0.6</v>
      </c>
      <c r="CC74" s="22">
        <f t="shared" si="53"/>
        <v>83.6</v>
      </c>
      <c r="CD74" s="1">
        <f t="shared" si="57"/>
        <v>-4.5999999999999996</v>
      </c>
      <c r="CE74" s="1">
        <f t="shared" si="58"/>
        <v>-1.9</v>
      </c>
      <c r="CF74" s="1">
        <f t="shared" si="59"/>
        <v>-1.2</v>
      </c>
      <c r="CG74" s="1">
        <f t="shared" si="60"/>
        <v>-0.4</v>
      </c>
      <c r="CH74" s="1">
        <f t="shared" si="61"/>
        <v>-0.7</v>
      </c>
      <c r="CI74" s="1">
        <f t="shared" si="62"/>
        <v>-0.5</v>
      </c>
      <c r="CJ74" s="1">
        <f t="shared" si="63"/>
        <v>0.6</v>
      </c>
      <c r="CK74" s="2">
        <f t="shared" si="54"/>
        <v>96.6</v>
      </c>
      <c r="CL74" s="1">
        <f t="shared" si="64"/>
        <v>-14.8</v>
      </c>
      <c r="CM74" s="1">
        <f t="shared" si="65"/>
        <v>-16.600000000000001</v>
      </c>
      <c r="CN74" s="1">
        <f t="shared" si="66"/>
        <v>-3.4</v>
      </c>
      <c r="CO74" s="1">
        <f t="shared" si="67"/>
        <v>-1.8</v>
      </c>
      <c r="CP74" s="1">
        <f t="shared" si="68"/>
        <v>-1.1000000000000001</v>
      </c>
      <c r="CQ74" s="1">
        <f t="shared" si="69"/>
        <v>-0.6</v>
      </c>
      <c r="CR74" s="1">
        <f t="shared" si="70"/>
        <v>0.5</v>
      </c>
      <c r="CS74" s="2">
        <f t="shared" si="71"/>
        <v>46</v>
      </c>
      <c r="CT74" s="6">
        <f t="shared" si="72"/>
        <v>1356</v>
      </c>
      <c r="CU74" s="1">
        <f>PPTest!K74</f>
        <v>3.6</v>
      </c>
      <c r="CV74" s="3">
        <f t="shared" si="73"/>
        <v>2.1800000000000002</v>
      </c>
      <c r="CW74" s="3">
        <f t="shared" si="74"/>
        <v>5.05</v>
      </c>
      <c r="CX74" s="24">
        <f t="shared" si="75"/>
        <v>0.2</v>
      </c>
      <c r="CY74" s="24">
        <f t="shared" si="75"/>
        <v>0.23499999999999999</v>
      </c>
      <c r="CZ74" s="16">
        <f t="shared" si="76"/>
        <v>13.2</v>
      </c>
    </row>
    <row r="75" spans="1:104" x14ac:dyDescent="0.2">
      <c r="A75" s="14">
        <f t="shared" si="77"/>
        <v>38786</v>
      </c>
      <c r="B75" s="1">
        <v>69</v>
      </c>
      <c r="C75" s="3">
        <v>9.92</v>
      </c>
      <c r="D75" s="3">
        <v>16.96</v>
      </c>
      <c r="E75" s="3">
        <v>-12.73</v>
      </c>
      <c r="F75" s="3">
        <v>94.8</v>
      </c>
      <c r="G75" s="3">
        <v>-13.79</v>
      </c>
      <c r="H75" s="3">
        <v>-2.56</v>
      </c>
      <c r="I75" s="3">
        <v>-2.319</v>
      </c>
      <c r="J75" s="3">
        <v>-1.4570000000000001</v>
      </c>
      <c r="K75" s="3">
        <v>-0.75600000000000001</v>
      </c>
      <c r="L75" s="3">
        <v>0.55600000000000005</v>
      </c>
      <c r="M75" s="3">
        <v>1.645</v>
      </c>
      <c r="N75" s="3">
        <v>0</v>
      </c>
      <c r="O75" s="3">
        <v>-2.452</v>
      </c>
      <c r="P75" s="3">
        <v>1122</v>
      </c>
      <c r="Q75" s="3">
        <v>107.1</v>
      </c>
      <c r="R75" s="3">
        <v>7</v>
      </c>
      <c r="S75" s="3">
        <v>-0.249</v>
      </c>
      <c r="T75" s="3">
        <v>-1.3129999999999999</v>
      </c>
      <c r="U75" s="3">
        <v>-0.81299999999999994</v>
      </c>
      <c r="V75" s="3">
        <v>-1.0309999999999999</v>
      </c>
      <c r="W75" s="3">
        <v>-0.55200000000000005</v>
      </c>
      <c r="X75" s="3">
        <v>0.58399999999999996</v>
      </c>
      <c r="Y75" s="3">
        <v>3.306</v>
      </c>
      <c r="Z75" s="3">
        <v>1304</v>
      </c>
      <c r="AA75" s="3">
        <v>-22.08</v>
      </c>
      <c r="AB75" s="3">
        <v>628</v>
      </c>
      <c r="AC75" s="3">
        <v>65.239999999999995</v>
      </c>
      <c r="AD75" s="3">
        <v>1122</v>
      </c>
      <c r="AE75" s="3">
        <v>-23.45</v>
      </c>
      <c r="AF75" s="3">
        <v>-3.2440000000000002</v>
      </c>
      <c r="AG75" s="3">
        <v>-4.3440000000000003</v>
      </c>
      <c r="AH75" s="3">
        <v>-1.756</v>
      </c>
      <c r="AI75" s="3">
        <v>-0.89100000000000001</v>
      </c>
      <c r="AJ75" s="3">
        <v>0.52500000000000002</v>
      </c>
      <c r="AK75" s="3">
        <v>9.4E-2</v>
      </c>
      <c r="AL75" s="3">
        <v>0.436</v>
      </c>
      <c r="AM75" s="3">
        <v>0.34799999999999998</v>
      </c>
      <c r="AN75" s="3">
        <v>1.6E-2</v>
      </c>
      <c r="AO75" s="3">
        <v>1.2E-2</v>
      </c>
      <c r="AP75" s="3">
        <v>1.7000000000000001E-2</v>
      </c>
      <c r="AQ75" s="3">
        <v>2.4E-2</v>
      </c>
      <c r="AR75" s="3">
        <v>5.2999999999999999E-2</v>
      </c>
      <c r="AS75" s="3">
        <v>2206</v>
      </c>
      <c r="AT75" s="3">
        <v>2198</v>
      </c>
      <c r="AU75" s="3">
        <v>2202</v>
      </c>
      <c r="AV75" s="3">
        <v>-0.93899999999999995</v>
      </c>
      <c r="AW75" s="3">
        <v>-1.0329999999999999</v>
      </c>
      <c r="AX75" s="3">
        <v>-0.90400000000000003</v>
      </c>
      <c r="AY75" s="3">
        <v>-0.97399999999999998</v>
      </c>
      <c r="AZ75" s="3">
        <v>-1.0069999999999999</v>
      </c>
      <c r="BA75" s="3">
        <v>-1.1220000000000001</v>
      </c>
      <c r="BB75" s="3">
        <v>13.2</v>
      </c>
      <c r="BC75" s="3">
        <v>2876</v>
      </c>
      <c r="BE75" s="6">
        <f t="shared" si="43"/>
        <v>1308</v>
      </c>
      <c r="BG75" s="16">
        <v>15.22</v>
      </c>
      <c r="BH75" s="16">
        <f t="shared" si="46"/>
        <v>30.744400000000002</v>
      </c>
      <c r="BI75" s="17">
        <f t="shared" si="40"/>
        <v>9.7200000000000006</v>
      </c>
      <c r="BJ75" s="17">
        <f t="shared" si="41"/>
        <v>18.66</v>
      </c>
      <c r="BL75" s="1">
        <f t="shared" si="47"/>
        <v>93.6</v>
      </c>
      <c r="BM75" s="1">
        <f t="shared" si="48"/>
        <v>76.400000000000006</v>
      </c>
      <c r="BN75" s="1">
        <f t="shared" si="49"/>
        <v>50.4</v>
      </c>
      <c r="BO75" s="49">
        <f t="shared" si="55"/>
        <v>0.25700000000000001</v>
      </c>
      <c r="BP75" s="49">
        <f t="shared" si="56"/>
        <v>0.253</v>
      </c>
      <c r="BR75" s="3">
        <v>1.4</v>
      </c>
      <c r="BT75" s="16">
        <f t="shared" si="50"/>
        <v>9.7200000000000006</v>
      </c>
      <c r="BU75" s="16">
        <f t="shared" si="51"/>
        <v>18.66</v>
      </c>
      <c r="BV75" s="3">
        <f t="shared" si="52"/>
        <v>-12.7</v>
      </c>
      <c r="BW75" s="3">
        <f t="shared" si="45"/>
        <v>-13.8</v>
      </c>
      <c r="BX75" s="3">
        <f t="shared" si="45"/>
        <v>-2.6</v>
      </c>
      <c r="BY75" s="3">
        <f t="shared" si="45"/>
        <v>-2.2999999999999998</v>
      </c>
      <c r="BZ75" s="3">
        <f t="shared" si="44"/>
        <v>-1.5</v>
      </c>
      <c r="CA75" s="3">
        <f t="shared" si="44"/>
        <v>-0.8</v>
      </c>
      <c r="CB75" s="3">
        <f t="shared" si="44"/>
        <v>0.6</v>
      </c>
      <c r="CC75" s="22">
        <f t="shared" si="53"/>
        <v>76.400000000000006</v>
      </c>
      <c r="CD75" s="1">
        <f t="shared" si="57"/>
        <v>-2.5</v>
      </c>
      <c r="CE75" s="1">
        <f t="shared" si="58"/>
        <v>-0.2</v>
      </c>
      <c r="CF75" s="1">
        <f t="shared" si="59"/>
        <v>-1.3</v>
      </c>
      <c r="CG75" s="1">
        <f t="shared" si="60"/>
        <v>-0.8</v>
      </c>
      <c r="CH75" s="1">
        <f t="shared" si="61"/>
        <v>-1</v>
      </c>
      <c r="CI75" s="1">
        <f t="shared" si="62"/>
        <v>-0.6</v>
      </c>
      <c r="CJ75" s="1">
        <f t="shared" si="63"/>
        <v>0.6</v>
      </c>
      <c r="CK75" s="2">
        <f t="shared" si="54"/>
        <v>93.6</v>
      </c>
      <c r="CL75" s="1">
        <f t="shared" si="64"/>
        <v>-22.1</v>
      </c>
      <c r="CM75" s="1">
        <f t="shared" si="65"/>
        <v>-23.5</v>
      </c>
      <c r="CN75" s="1">
        <f t="shared" si="66"/>
        <v>-3.2</v>
      </c>
      <c r="CO75" s="1">
        <f t="shared" si="67"/>
        <v>-4.3</v>
      </c>
      <c r="CP75" s="1">
        <f t="shared" si="68"/>
        <v>-1.8</v>
      </c>
      <c r="CQ75" s="1">
        <f t="shared" si="69"/>
        <v>-0.9</v>
      </c>
      <c r="CR75" s="1">
        <f t="shared" si="70"/>
        <v>0.5</v>
      </c>
      <c r="CS75" s="2">
        <f t="shared" si="71"/>
        <v>50.4</v>
      </c>
      <c r="CT75" s="6">
        <f t="shared" si="72"/>
        <v>1308</v>
      </c>
      <c r="CU75" s="1">
        <f>PPTest!K75</f>
        <v>0</v>
      </c>
      <c r="CV75" s="3">
        <f t="shared" si="73"/>
        <v>1.65</v>
      </c>
      <c r="CW75" s="3">
        <f t="shared" si="74"/>
        <v>3.31</v>
      </c>
      <c r="CX75" s="24">
        <f t="shared" si="75"/>
        <v>0.25700000000000001</v>
      </c>
      <c r="CY75" s="24">
        <f t="shared" si="75"/>
        <v>0.253</v>
      </c>
      <c r="CZ75" s="16">
        <f t="shared" si="76"/>
        <v>13.2</v>
      </c>
    </row>
    <row r="76" spans="1:104" x14ac:dyDescent="0.2">
      <c r="A76" s="14">
        <f t="shared" si="77"/>
        <v>38787</v>
      </c>
      <c r="B76" s="1">
        <v>70</v>
      </c>
      <c r="C76" s="3">
        <v>11.19</v>
      </c>
      <c r="D76" s="3">
        <v>19.7</v>
      </c>
      <c r="E76" s="3">
        <v>-13.33</v>
      </c>
      <c r="F76" s="3">
        <v>84.7</v>
      </c>
      <c r="G76" s="3">
        <v>-14.16</v>
      </c>
      <c r="H76" s="3">
        <v>-2.7120000000000002</v>
      </c>
      <c r="I76" s="3">
        <v>-2.7069999999999999</v>
      </c>
      <c r="J76" s="3">
        <v>-2.0289999999999999</v>
      </c>
      <c r="K76" s="3">
        <v>-1.054</v>
      </c>
      <c r="L76" s="3">
        <v>0.55500000000000005</v>
      </c>
      <c r="M76" s="3">
        <v>2.0209999999999999</v>
      </c>
      <c r="N76" s="3">
        <v>0</v>
      </c>
      <c r="O76" s="3">
        <v>-2.5169999999999999</v>
      </c>
      <c r="P76" s="3">
        <v>1602</v>
      </c>
      <c r="Q76" s="3">
        <v>105.2</v>
      </c>
      <c r="R76" s="3">
        <v>0</v>
      </c>
      <c r="S76" s="3">
        <v>-1.744</v>
      </c>
      <c r="T76" s="3">
        <v>-1.986</v>
      </c>
      <c r="U76" s="3">
        <v>-0.83199999999999996</v>
      </c>
      <c r="V76" s="3">
        <v>-1.7450000000000001</v>
      </c>
      <c r="W76" s="3">
        <v>-0.85799999999999998</v>
      </c>
      <c r="X76" s="3">
        <v>0.58399999999999996</v>
      </c>
      <c r="Y76" s="3">
        <v>3.5459999999999998</v>
      </c>
      <c r="Z76" s="3">
        <v>1058</v>
      </c>
      <c r="AA76" s="3">
        <v>-22.46</v>
      </c>
      <c r="AB76" s="3">
        <v>631</v>
      </c>
      <c r="AC76" s="3">
        <v>42.2</v>
      </c>
      <c r="AD76" s="3">
        <v>1547</v>
      </c>
      <c r="AE76" s="3">
        <v>-23.79</v>
      </c>
      <c r="AF76" s="3">
        <v>-3.1680000000000001</v>
      </c>
      <c r="AG76" s="3">
        <v>-4.6479999999999997</v>
      </c>
      <c r="AH76" s="3">
        <v>-2.375</v>
      </c>
      <c r="AI76" s="3">
        <v>-1.169</v>
      </c>
      <c r="AJ76" s="3">
        <v>0.52600000000000002</v>
      </c>
      <c r="AK76" s="3">
        <v>9.4E-2</v>
      </c>
      <c r="AL76" s="3">
        <v>0.38300000000000001</v>
      </c>
      <c r="AM76" s="3">
        <v>0.48499999999999999</v>
      </c>
      <c r="AN76" s="3">
        <v>5.0000000000000001E-3</v>
      </c>
      <c r="AO76" s="3">
        <v>0</v>
      </c>
      <c r="AP76" s="3">
        <v>0</v>
      </c>
      <c r="AQ76" s="3">
        <v>1E-3</v>
      </c>
      <c r="AR76" s="3">
        <v>3.2000000000000001E-2</v>
      </c>
      <c r="AS76" s="3">
        <v>2225</v>
      </c>
      <c r="AT76" s="3">
        <v>2216</v>
      </c>
      <c r="AU76" s="3">
        <v>2220</v>
      </c>
      <c r="AV76" s="3">
        <v>-0.90300000000000002</v>
      </c>
      <c r="AW76" s="3">
        <v>-1.01</v>
      </c>
      <c r="AX76" s="3">
        <v>-0.84199999999999997</v>
      </c>
      <c r="AY76" s="3">
        <v>-0.93700000000000006</v>
      </c>
      <c r="AZ76" s="3">
        <v>-0.96599999999999997</v>
      </c>
      <c r="BA76" s="3">
        <v>-1.095</v>
      </c>
      <c r="BB76" s="3">
        <v>13.18</v>
      </c>
      <c r="BC76" s="3">
        <v>2876</v>
      </c>
      <c r="BE76" s="6">
        <f t="shared" si="43"/>
        <v>1290</v>
      </c>
      <c r="BG76" s="16">
        <v>15.48</v>
      </c>
      <c r="BH76" s="16">
        <f t="shared" si="46"/>
        <v>31.269600000000001</v>
      </c>
      <c r="BI76" s="17">
        <f t="shared" si="40"/>
        <v>10.97</v>
      </c>
      <c r="BJ76" s="17">
        <f t="shared" si="41"/>
        <v>21.67</v>
      </c>
      <c r="BL76" s="1">
        <f t="shared" si="47"/>
        <v>90.6</v>
      </c>
      <c r="BM76" s="1">
        <f t="shared" si="48"/>
        <v>67.5</v>
      </c>
      <c r="BN76" s="1">
        <f t="shared" si="49"/>
        <v>30.1</v>
      </c>
      <c r="BO76" s="49">
        <f t="shared" si="55"/>
        <v>0.153</v>
      </c>
      <c r="BP76" s="49">
        <f t="shared" si="56"/>
        <v>0.35499999999999998</v>
      </c>
      <c r="BR76" s="3">
        <v>0</v>
      </c>
      <c r="BT76" s="16">
        <f t="shared" si="50"/>
        <v>10.97</v>
      </c>
      <c r="BU76" s="16">
        <f t="shared" si="51"/>
        <v>21.67</v>
      </c>
      <c r="BV76" s="3">
        <f t="shared" si="52"/>
        <v>-13.3</v>
      </c>
      <c r="BW76" s="3">
        <f t="shared" si="45"/>
        <v>-14.2</v>
      </c>
      <c r="BX76" s="3">
        <f t="shared" si="45"/>
        <v>-2.7</v>
      </c>
      <c r="BY76" s="3">
        <f t="shared" si="45"/>
        <v>-2.7</v>
      </c>
      <c r="BZ76" s="3">
        <f t="shared" si="44"/>
        <v>-2</v>
      </c>
      <c r="CA76" s="3">
        <f t="shared" si="44"/>
        <v>-1.1000000000000001</v>
      </c>
      <c r="CB76" s="3">
        <f t="shared" si="44"/>
        <v>0.6</v>
      </c>
      <c r="CC76" s="22">
        <f t="shared" si="53"/>
        <v>67.5</v>
      </c>
      <c r="CD76" s="1">
        <f t="shared" si="57"/>
        <v>-2.5</v>
      </c>
      <c r="CE76" s="1">
        <f t="shared" si="58"/>
        <v>-1.7</v>
      </c>
      <c r="CF76" s="1">
        <f t="shared" si="59"/>
        <v>-2</v>
      </c>
      <c r="CG76" s="1">
        <f t="shared" si="60"/>
        <v>-0.8</v>
      </c>
      <c r="CH76" s="1">
        <f t="shared" si="61"/>
        <v>-1.7</v>
      </c>
      <c r="CI76" s="1">
        <f t="shared" si="62"/>
        <v>-0.9</v>
      </c>
      <c r="CJ76" s="1">
        <f t="shared" si="63"/>
        <v>0.6</v>
      </c>
      <c r="CK76" s="2">
        <f t="shared" si="54"/>
        <v>90.6</v>
      </c>
      <c r="CL76" s="1">
        <f t="shared" si="64"/>
        <v>-22.5</v>
      </c>
      <c r="CM76" s="1">
        <f t="shared" si="65"/>
        <v>-23.8</v>
      </c>
      <c r="CN76" s="1">
        <f t="shared" si="66"/>
        <v>-3.2</v>
      </c>
      <c r="CO76" s="1">
        <f t="shared" si="67"/>
        <v>-4.5999999999999996</v>
      </c>
      <c r="CP76" s="1">
        <f t="shared" si="68"/>
        <v>-2.4</v>
      </c>
      <c r="CQ76" s="1">
        <f t="shared" si="69"/>
        <v>-1.2</v>
      </c>
      <c r="CR76" s="1">
        <f t="shared" si="70"/>
        <v>0.5</v>
      </c>
      <c r="CS76" s="2">
        <f t="shared" si="71"/>
        <v>30.1</v>
      </c>
      <c r="CT76" s="6">
        <f t="shared" si="72"/>
        <v>1290</v>
      </c>
      <c r="CU76" s="1">
        <f>PPTest!K76</f>
        <v>0</v>
      </c>
      <c r="CV76" s="3">
        <f t="shared" si="73"/>
        <v>2.02</v>
      </c>
      <c r="CW76" s="3">
        <f t="shared" si="74"/>
        <v>3.55</v>
      </c>
      <c r="CX76" s="24">
        <f t="shared" si="75"/>
        <v>0.153</v>
      </c>
      <c r="CY76" s="24">
        <f t="shared" si="75"/>
        <v>0.35499999999999998</v>
      </c>
      <c r="CZ76" s="16">
        <f t="shared" si="76"/>
        <v>13.18</v>
      </c>
    </row>
    <row r="77" spans="1:104" x14ac:dyDescent="0.2">
      <c r="A77" s="14">
        <f t="shared" si="77"/>
        <v>38788</v>
      </c>
      <c r="B77" s="1">
        <v>71</v>
      </c>
      <c r="C77" s="3">
        <v>16.940000000000001</v>
      </c>
      <c r="D77" s="3">
        <v>29.03</v>
      </c>
      <c r="E77" s="3">
        <v>-13.38</v>
      </c>
      <c r="F77" s="3">
        <v>79.5</v>
      </c>
      <c r="G77" s="3">
        <v>-14.11</v>
      </c>
      <c r="H77" s="3">
        <v>-2.68</v>
      </c>
      <c r="I77" s="3">
        <v>-3.2389999999999999</v>
      </c>
      <c r="J77" s="3">
        <v>-2.3039999999999998</v>
      </c>
      <c r="K77" s="3">
        <v>-1.248</v>
      </c>
      <c r="L77" s="3">
        <v>0.55100000000000005</v>
      </c>
      <c r="M77" s="3">
        <v>1.35</v>
      </c>
      <c r="N77" s="3">
        <v>0</v>
      </c>
      <c r="O77" s="3">
        <v>-1.8939999999999999</v>
      </c>
      <c r="P77" s="3">
        <v>1610</v>
      </c>
      <c r="Q77" s="3">
        <v>104.6</v>
      </c>
      <c r="R77" s="3">
        <v>50</v>
      </c>
      <c r="S77" s="3">
        <v>-0.128</v>
      </c>
      <c r="T77" s="3">
        <v>-9.9000000000000005E-2</v>
      </c>
      <c r="U77" s="3">
        <v>-1.022</v>
      </c>
      <c r="V77" s="3">
        <v>-1.972</v>
      </c>
      <c r="W77" s="3">
        <v>-1.087</v>
      </c>
      <c r="X77" s="3">
        <v>0.58399999999999996</v>
      </c>
      <c r="Y77" s="3">
        <v>3.7050000000000001</v>
      </c>
      <c r="Z77" s="3">
        <v>1301</v>
      </c>
      <c r="AA77" s="3">
        <v>-23.75</v>
      </c>
      <c r="AB77" s="3">
        <v>626</v>
      </c>
      <c r="AC77" s="3">
        <v>36.24</v>
      </c>
      <c r="AD77" s="3">
        <v>1502</v>
      </c>
      <c r="AE77" s="3">
        <v>-24.92</v>
      </c>
      <c r="AF77" s="3">
        <v>-4.306</v>
      </c>
      <c r="AG77" s="3">
        <v>-5.766</v>
      </c>
      <c r="AH77" s="3">
        <v>-2.6549999999999998</v>
      </c>
      <c r="AI77" s="3">
        <v>-1.3540000000000001</v>
      </c>
      <c r="AJ77" s="3">
        <v>0.51700000000000002</v>
      </c>
      <c r="AK77" s="3">
        <v>1.4999999999999999E-2</v>
      </c>
      <c r="AL77" s="3">
        <v>0.219</v>
      </c>
      <c r="AM77" s="3">
        <v>0.438</v>
      </c>
      <c r="AN77" s="3">
        <v>1.4999999999999999E-2</v>
      </c>
      <c r="AO77" s="3">
        <v>7.2999999999999995E-2</v>
      </c>
      <c r="AP77" s="3">
        <v>0.13</v>
      </c>
      <c r="AQ77" s="3">
        <v>6.6000000000000003E-2</v>
      </c>
      <c r="AR77" s="3">
        <v>4.3999999999999997E-2</v>
      </c>
      <c r="AS77" s="3">
        <v>2231</v>
      </c>
      <c r="AT77" s="3">
        <v>2230</v>
      </c>
      <c r="AU77" s="3">
        <v>2230</v>
      </c>
      <c r="AV77" s="3">
        <v>-0.91300000000000003</v>
      </c>
      <c r="AW77" s="3">
        <v>-1.0189999999999999</v>
      </c>
      <c r="AX77" s="3">
        <v>-0.86199999999999999</v>
      </c>
      <c r="AY77" s="3">
        <v>-0.96499999999999997</v>
      </c>
      <c r="AZ77" s="3">
        <v>-0.96599999999999997</v>
      </c>
      <c r="BA77" s="3">
        <v>-1.0860000000000001</v>
      </c>
      <c r="BB77" s="3">
        <v>13.18</v>
      </c>
      <c r="BC77" s="3">
        <v>2876</v>
      </c>
      <c r="BE77" s="6">
        <f t="shared" si="43"/>
        <v>1280</v>
      </c>
      <c r="BG77" s="16">
        <v>15.73</v>
      </c>
      <c r="BH77" s="16">
        <f t="shared" si="46"/>
        <v>31.7746</v>
      </c>
      <c r="BI77" s="17">
        <f t="shared" si="40"/>
        <v>16.600000000000001</v>
      </c>
      <c r="BJ77" s="17">
        <f t="shared" si="41"/>
        <v>31.93</v>
      </c>
      <c r="BL77" s="1">
        <f t="shared" si="47"/>
        <v>89.6</v>
      </c>
      <c r="BM77" s="1">
        <f t="shared" si="48"/>
        <v>63</v>
      </c>
      <c r="BN77" s="1">
        <f t="shared" si="49"/>
        <v>24.9</v>
      </c>
      <c r="BO77" s="49">
        <f t="shared" si="55"/>
        <v>0.13200000000000001</v>
      </c>
      <c r="BP77" s="49">
        <f t="shared" si="56"/>
        <v>0.39800000000000002</v>
      </c>
      <c r="BR77" s="3">
        <v>0</v>
      </c>
      <c r="BT77" s="16">
        <f t="shared" si="50"/>
        <v>16.600000000000001</v>
      </c>
      <c r="BU77" s="16">
        <f t="shared" si="51"/>
        <v>31.93</v>
      </c>
      <c r="BV77" s="3">
        <f t="shared" si="52"/>
        <v>-13.4</v>
      </c>
      <c r="BW77" s="3">
        <f t="shared" si="45"/>
        <v>-14.1</v>
      </c>
      <c r="BX77" s="3">
        <f t="shared" si="45"/>
        <v>-2.7</v>
      </c>
      <c r="BY77" s="3">
        <f t="shared" si="45"/>
        <v>-3.2</v>
      </c>
      <c r="BZ77" s="3">
        <f t="shared" si="44"/>
        <v>-2.2999999999999998</v>
      </c>
      <c r="CA77" s="3">
        <f t="shared" si="44"/>
        <v>-1.2</v>
      </c>
      <c r="CB77" s="3">
        <f t="shared" si="44"/>
        <v>0.6</v>
      </c>
      <c r="CC77" s="22">
        <f t="shared" si="53"/>
        <v>63</v>
      </c>
      <c r="CD77" s="1">
        <f t="shared" si="57"/>
        <v>-1.9</v>
      </c>
      <c r="CE77" s="1">
        <f t="shared" si="58"/>
        <v>-0.1</v>
      </c>
      <c r="CF77" s="1">
        <f t="shared" si="59"/>
        <v>-0.1</v>
      </c>
      <c r="CG77" s="1">
        <f t="shared" si="60"/>
        <v>-1</v>
      </c>
      <c r="CH77" s="1">
        <f t="shared" si="61"/>
        <v>-2</v>
      </c>
      <c r="CI77" s="1">
        <f t="shared" si="62"/>
        <v>-1.1000000000000001</v>
      </c>
      <c r="CJ77" s="1">
        <f t="shared" si="63"/>
        <v>0.6</v>
      </c>
      <c r="CK77" s="2">
        <f t="shared" si="54"/>
        <v>89.6</v>
      </c>
      <c r="CL77" s="1">
        <f t="shared" si="64"/>
        <v>-23.8</v>
      </c>
      <c r="CM77" s="1">
        <f t="shared" si="65"/>
        <v>-24.9</v>
      </c>
      <c r="CN77" s="1">
        <f t="shared" si="66"/>
        <v>-4.3</v>
      </c>
      <c r="CO77" s="1">
        <f t="shared" si="67"/>
        <v>-5.8</v>
      </c>
      <c r="CP77" s="1">
        <f t="shared" si="68"/>
        <v>-2.7</v>
      </c>
      <c r="CQ77" s="1">
        <f t="shared" si="69"/>
        <v>-1.4</v>
      </c>
      <c r="CR77" s="1">
        <f t="shared" si="70"/>
        <v>0.5</v>
      </c>
      <c r="CS77" s="2">
        <f t="shared" si="71"/>
        <v>24.9</v>
      </c>
      <c r="CT77" s="6">
        <f t="shared" si="72"/>
        <v>1280</v>
      </c>
      <c r="CU77" s="1">
        <f>PPTest!K77</f>
        <v>0</v>
      </c>
      <c r="CV77" s="3">
        <f t="shared" si="73"/>
        <v>1.35</v>
      </c>
      <c r="CW77" s="3">
        <f t="shared" si="74"/>
        <v>3.71</v>
      </c>
      <c r="CX77" s="24">
        <f t="shared" si="75"/>
        <v>0.13200000000000001</v>
      </c>
      <c r="CY77" s="24">
        <f t="shared" si="75"/>
        <v>0.39800000000000002</v>
      </c>
      <c r="CZ77" s="16">
        <f t="shared" si="76"/>
        <v>13.18</v>
      </c>
    </row>
    <row r="78" spans="1:104" x14ac:dyDescent="0.2">
      <c r="A78" s="14">
        <f t="shared" si="77"/>
        <v>38789</v>
      </c>
      <c r="B78" s="1">
        <v>72</v>
      </c>
      <c r="C78" s="3">
        <v>10.46</v>
      </c>
      <c r="D78" s="3">
        <v>18.84</v>
      </c>
      <c r="E78" s="3">
        <v>-10.39</v>
      </c>
      <c r="F78" s="3">
        <v>83</v>
      </c>
      <c r="G78" s="3">
        <v>-11.11</v>
      </c>
      <c r="H78" s="3">
        <v>-4.3390000000000004</v>
      </c>
      <c r="I78" s="3">
        <v>-2.78</v>
      </c>
      <c r="J78" s="3">
        <v>-2.2989999999999999</v>
      </c>
      <c r="K78" s="3">
        <v>-1.3540000000000001</v>
      </c>
      <c r="L78" s="3">
        <v>0.54200000000000004</v>
      </c>
      <c r="M78" s="3">
        <v>1.655</v>
      </c>
      <c r="N78" s="3">
        <v>0</v>
      </c>
      <c r="O78" s="3">
        <v>-1.8560000000000001</v>
      </c>
      <c r="P78" s="3">
        <v>1610</v>
      </c>
      <c r="Q78" s="3">
        <v>105.2</v>
      </c>
      <c r="R78" s="3">
        <v>546</v>
      </c>
      <c r="S78" s="3">
        <v>6.2E-2</v>
      </c>
      <c r="T78" s="3">
        <v>-2.6019999999999999</v>
      </c>
      <c r="U78" s="3">
        <v>-1.026</v>
      </c>
      <c r="V78" s="3">
        <v>-1.839</v>
      </c>
      <c r="W78" s="3">
        <v>-1.236</v>
      </c>
      <c r="X78" s="3">
        <v>0.57199999999999995</v>
      </c>
      <c r="Y78" s="3">
        <v>3.0670000000000002</v>
      </c>
      <c r="Z78" s="3">
        <v>1219</v>
      </c>
      <c r="AA78" s="3">
        <v>-22.31</v>
      </c>
      <c r="AB78" s="3">
        <v>531</v>
      </c>
      <c r="AC78" s="3">
        <v>56.53</v>
      </c>
      <c r="AD78" s="3">
        <v>1624</v>
      </c>
      <c r="AE78" s="3">
        <v>-23.6</v>
      </c>
      <c r="AF78" s="3">
        <v>-5.7320000000000002</v>
      </c>
      <c r="AG78" s="3">
        <v>-5.6989999999999998</v>
      </c>
      <c r="AH78" s="3">
        <v>-2.6869999999999998</v>
      </c>
      <c r="AI78" s="3">
        <v>-1.4750000000000001</v>
      </c>
      <c r="AJ78" s="3">
        <v>0.51300000000000001</v>
      </c>
      <c r="AK78" s="3">
        <v>6.8000000000000005E-2</v>
      </c>
      <c r="AL78" s="3">
        <v>0.28999999999999998</v>
      </c>
      <c r="AM78" s="3">
        <v>0.23300000000000001</v>
      </c>
      <c r="AN78" s="3">
        <v>0.04</v>
      </c>
      <c r="AO78" s="3">
        <v>0.08</v>
      </c>
      <c r="AP78" s="3">
        <v>0.13600000000000001</v>
      </c>
      <c r="AQ78" s="3">
        <v>9.8000000000000004E-2</v>
      </c>
      <c r="AR78" s="3">
        <v>5.5E-2</v>
      </c>
      <c r="AS78" s="3">
        <v>2251</v>
      </c>
      <c r="AT78" s="3">
        <v>2248</v>
      </c>
      <c r="AU78" s="3">
        <v>2250</v>
      </c>
      <c r="AV78" s="3">
        <v>-1.0640000000000001</v>
      </c>
      <c r="AW78" s="3">
        <v>-1.1859999999999999</v>
      </c>
      <c r="AX78" s="3">
        <v>-0.94499999999999995</v>
      </c>
      <c r="AY78" s="3">
        <v>-1.0389999999999999</v>
      </c>
      <c r="AZ78" s="3">
        <v>-1.2549999999999999</v>
      </c>
      <c r="BA78" s="3">
        <v>-1.409</v>
      </c>
      <c r="BB78" s="3">
        <v>13.2</v>
      </c>
      <c r="BC78" s="3">
        <v>2876</v>
      </c>
      <c r="BE78" s="6">
        <f t="shared" si="43"/>
        <v>1260</v>
      </c>
      <c r="BG78" s="16">
        <v>15.98</v>
      </c>
      <c r="BH78" s="16">
        <f t="shared" si="46"/>
        <v>32.279600000000002</v>
      </c>
      <c r="BI78" s="17">
        <f t="shared" si="40"/>
        <v>10.25</v>
      </c>
      <c r="BJ78" s="17">
        <f t="shared" si="41"/>
        <v>20.72</v>
      </c>
      <c r="BL78" s="1">
        <f t="shared" si="47"/>
        <v>90.6</v>
      </c>
      <c r="BM78" s="1">
        <f t="shared" si="48"/>
        <v>66</v>
      </c>
      <c r="BN78" s="1">
        <f t="shared" si="49"/>
        <v>42.7</v>
      </c>
      <c r="BO78" s="49">
        <f t="shared" si="55"/>
        <v>0.22700000000000001</v>
      </c>
      <c r="BP78" s="49">
        <f t="shared" si="56"/>
        <v>0.30499999999999999</v>
      </c>
      <c r="BR78" s="3">
        <v>0</v>
      </c>
      <c r="BT78" s="16">
        <f t="shared" si="50"/>
        <v>10.25</v>
      </c>
      <c r="BU78" s="16">
        <f t="shared" si="51"/>
        <v>20.72</v>
      </c>
      <c r="BV78" s="3">
        <f t="shared" si="52"/>
        <v>-10.4</v>
      </c>
      <c r="BW78" s="3">
        <f t="shared" si="45"/>
        <v>-11.1</v>
      </c>
      <c r="BX78" s="3">
        <f t="shared" si="45"/>
        <v>-4.3</v>
      </c>
      <c r="BY78" s="3">
        <f t="shared" si="45"/>
        <v>-2.8</v>
      </c>
      <c r="BZ78" s="3">
        <f t="shared" si="44"/>
        <v>-2.2999999999999998</v>
      </c>
      <c r="CA78" s="3">
        <f t="shared" si="44"/>
        <v>-1.4</v>
      </c>
      <c r="CB78" s="3">
        <f t="shared" si="44"/>
        <v>0.5</v>
      </c>
      <c r="CC78" s="22">
        <f t="shared" si="53"/>
        <v>66</v>
      </c>
      <c r="CD78" s="1">
        <f t="shared" si="57"/>
        <v>-1.9</v>
      </c>
      <c r="CE78" s="1">
        <f t="shared" si="58"/>
        <v>0.1</v>
      </c>
      <c r="CF78" s="1">
        <f t="shared" si="59"/>
        <v>-2.6</v>
      </c>
      <c r="CG78" s="1">
        <f t="shared" si="60"/>
        <v>-1</v>
      </c>
      <c r="CH78" s="1">
        <f t="shared" si="61"/>
        <v>-1.8</v>
      </c>
      <c r="CI78" s="1">
        <f t="shared" si="62"/>
        <v>-1.2</v>
      </c>
      <c r="CJ78" s="1">
        <f t="shared" si="63"/>
        <v>0.6</v>
      </c>
      <c r="CK78" s="2">
        <f t="shared" si="54"/>
        <v>90.6</v>
      </c>
      <c r="CL78" s="1">
        <f t="shared" si="64"/>
        <v>-22.3</v>
      </c>
      <c r="CM78" s="1">
        <f t="shared" si="65"/>
        <v>-23.6</v>
      </c>
      <c r="CN78" s="1">
        <f t="shared" si="66"/>
        <v>-5.7</v>
      </c>
      <c r="CO78" s="1">
        <f t="shared" si="67"/>
        <v>-5.7</v>
      </c>
      <c r="CP78" s="1">
        <f t="shared" si="68"/>
        <v>-2.7</v>
      </c>
      <c r="CQ78" s="1">
        <f t="shared" si="69"/>
        <v>-1.5</v>
      </c>
      <c r="CR78" s="1">
        <f t="shared" si="70"/>
        <v>0.5</v>
      </c>
      <c r="CS78" s="2">
        <f t="shared" si="71"/>
        <v>42.7</v>
      </c>
      <c r="CT78" s="6">
        <f t="shared" si="72"/>
        <v>1260</v>
      </c>
      <c r="CU78" s="1">
        <f>PPTest!K78</f>
        <v>0</v>
      </c>
      <c r="CV78" s="3">
        <f t="shared" si="73"/>
        <v>1.66</v>
      </c>
      <c r="CW78" s="3">
        <f t="shared" si="74"/>
        <v>3.07</v>
      </c>
      <c r="CX78" s="24">
        <f t="shared" si="75"/>
        <v>0.22700000000000001</v>
      </c>
      <c r="CY78" s="24">
        <f t="shared" si="75"/>
        <v>0.30499999999999999</v>
      </c>
      <c r="CZ78" s="16">
        <f t="shared" si="76"/>
        <v>13.2</v>
      </c>
    </row>
    <row r="79" spans="1:104" x14ac:dyDescent="0.2">
      <c r="A79" s="14">
        <f t="shared" si="77"/>
        <v>38790</v>
      </c>
      <c r="B79" s="1">
        <v>73</v>
      </c>
      <c r="C79" s="3">
        <v>8.0299999999999994</v>
      </c>
      <c r="D79" s="3">
        <v>14.75</v>
      </c>
      <c r="E79" s="3">
        <v>-5.0519999999999996</v>
      </c>
      <c r="F79" s="3">
        <v>94.1</v>
      </c>
      <c r="G79" s="3">
        <v>-5.5250000000000004</v>
      </c>
      <c r="H79" s="3">
        <v>-3.9209999999999998</v>
      </c>
      <c r="I79" s="3">
        <v>-1.022</v>
      </c>
      <c r="J79" s="3">
        <v>-1.5580000000000001</v>
      </c>
      <c r="K79" s="3">
        <v>-1.1140000000000001</v>
      </c>
      <c r="L79" s="3">
        <v>0.52700000000000002</v>
      </c>
      <c r="M79" s="3">
        <v>1.5049999999999999</v>
      </c>
      <c r="N79" s="3">
        <v>0</v>
      </c>
      <c r="O79" s="3">
        <v>0.02</v>
      </c>
      <c r="P79" s="3">
        <v>1435</v>
      </c>
      <c r="Q79" s="3">
        <v>110.2</v>
      </c>
      <c r="R79" s="3">
        <v>1937</v>
      </c>
      <c r="S79" s="3">
        <v>1.89</v>
      </c>
      <c r="T79" s="3">
        <v>-1.1499999999999999</v>
      </c>
      <c r="U79" s="3">
        <v>-0.69399999999999995</v>
      </c>
      <c r="V79" s="3">
        <v>-1.319</v>
      </c>
      <c r="W79" s="3">
        <v>-0.95</v>
      </c>
      <c r="X79" s="3">
        <v>0.55700000000000005</v>
      </c>
      <c r="Y79" s="3">
        <v>4.2240000000000002</v>
      </c>
      <c r="Z79" s="3">
        <v>1045</v>
      </c>
      <c r="AA79" s="3">
        <v>-10.45</v>
      </c>
      <c r="AB79" s="3">
        <v>2306</v>
      </c>
      <c r="AC79" s="3">
        <v>64.84</v>
      </c>
      <c r="AD79" s="3">
        <v>1446</v>
      </c>
      <c r="AE79" s="3">
        <v>-13.12</v>
      </c>
      <c r="AF79" s="3">
        <v>-5.8609999999999998</v>
      </c>
      <c r="AG79" s="3">
        <v>-1.8560000000000001</v>
      </c>
      <c r="AH79" s="3">
        <v>-1.8879999999999999</v>
      </c>
      <c r="AI79" s="3">
        <v>-1.274</v>
      </c>
      <c r="AJ79" s="3">
        <v>0.49299999999999999</v>
      </c>
      <c r="AK79" s="3">
        <v>0.08</v>
      </c>
      <c r="AL79" s="3">
        <v>0.17499999999999999</v>
      </c>
      <c r="AM79" s="3">
        <v>0.16900000000000001</v>
      </c>
      <c r="AN79" s="3">
        <v>0.13500000000000001</v>
      </c>
      <c r="AO79" s="3">
        <v>0.124</v>
      </c>
      <c r="AP79" s="3">
        <v>0.17199999999999999</v>
      </c>
      <c r="AQ79" s="3">
        <v>8.6999999999999994E-2</v>
      </c>
      <c r="AR79" s="3">
        <v>5.8000000000000003E-2</v>
      </c>
      <c r="AS79" s="3">
        <v>6999</v>
      </c>
      <c r="AT79" s="3">
        <v>2265</v>
      </c>
      <c r="AU79" s="19">
        <f>AT79</f>
        <v>2265</v>
      </c>
      <c r="AV79" s="3">
        <v>-1.399</v>
      </c>
      <c r="AW79" s="3">
        <v>-1.5329999999999999</v>
      </c>
      <c r="AX79" s="3">
        <v>-1.2549999999999999</v>
      </c>
      <c r="AY79" s="3">
        <v>-1.391</v>
      </c>
      <c r="AZ79" s="3">
        <v>-1.522</v>
      </c>
      <c r="BA79" s="3">
        <v>-1.661</v>
      </c>
      <c r="BB79" s="3">
        <v>13.18</v>
      </c>
      <c r="BC79" s="3">
        <v>2876</v>
      </c>
      <c r="BE79" s="6">
        <f t="shared" si="43"/>
        <v>1245</v>
      </c>
      <c r="BG79" s="16">
        <v>16.25</v>
      </c>
      <c r="BH79" s="16">
        <f t="shared" si="46"/>
        <v>32.825000000000003</v>
      </c>
      <c r="BI79" s="17">
        <f t="shared" si="40"/>
        <v>7.87</v>
      </c>
      <c r="BJ79" s="17">
        <f t="shared" si="41"/>
        <v>16.23</v>
      </c>
      <c r="BL79" s="1">
        <f t="shared" si="47"/>
        <v>98.5</v>
      </c>
      <c r="BM79" s="1">
        <f t="shared" si="48"/>
        <v>75.8</v>
      </c>
      <c r="BN79" s="1">
        <f t="shared" si="49"/>
        <v>50.1</v>
      </c>
      <c r="BO79" s="49">
        <f t="shared" si="55"/>
        <v>0.30599999999999999</v>
      </c>
      <c r="BP79" s="49">
        <f t="shared" si="56"/>
        <v>0.30499999999999999</v>
      </c>
      <c r="BR79" s="3">
        <v>0</v>
      </c>
      <c r="BT79" s="16">
        <f t="shared" si="50"/>
        <v>7.87</v>
      </c>
      <c r="BU79" s="16">
        <f t="shared" si="51"/>
        <v>16.23</v>
      </c>
      <c r="BV79" s="3">
        <f t="shared" si="52"/>
        <v>-5.0999999999999996</v>
      </c>
      <c r="BW79" s="3">
        <f t="shared" si="45"/>
        <v>-5.5</v>
      </c>
      <c r="BX79" s="3">
        <f t="shared" si="45"/>
        <v>-3.9</v>
      </c>
      <c r="BY79" s="3">
        <f t="shared" si="45"/>
        <v>-1</v>
      </c>
      <c r="BZ79" s="3">
        <f t="shared" si="44"/>
        <v>-1.6</v>
      </c>
      <c r="CA79" s="3">
        <f t="shared" si="44"/>
        <v>-1.1000000000000001</v>
      </c>
      <c r="CB79" s="3">
        <f t="shared" si="44"/>
        <v>0.5</v>
      </c>
      <c r="CC79" s="22">
        <f t="shared" si="53"/>
        <v>75.8</v>
      </c>
      <c r="CD79" s="1">
        <f t="shared" si="57"/>
        <v>0</v>
      </c>
      <c r="CE79" s="1">
        <f t="shared" si="58"/>
        <v>1.9</v>
      </c>
      <c r="CF79" s="1">
        <f t="shared" si="59"/>
        <v>-1.2</v>
      </c>
      <c r="CG79" s="1">
        <f t="shared" si="60"/>
        <v>-0.7</v>
      </c>
      <c r="CH79" s="1">
        <f t="shared" si="61"/>
        <v>-1.3</v>
      </c>
      <c r="CI79" s="1">
        <f t="shared" si="62"/>
        <v>-1</v>
      </c>
      <c r="CJ79" s="1">
        <f t="shared" si="63"/>
        <v>0.6</v>
      </c>
      <c r="CK79" s="2">
        <f t="shared" si="54"/>
        <v>98.5</v>
      </c>
      <c r="CL79" s="1">
        <f t="shared" si="64"/>
        <v>-10.5</v>
      </c>
      <c r="CM79" s="1">
        <f t="shared" si="65"/>
        <v>-13.1</v>
      </c>
      <c r="CN79" s="1">
        <f t="shared" si="66"/>
        <v>-5.9</v>
      </c>
      <c r="CO79" s="1">
        <f t="shared" si="67"/>
        <v>-1.9</v>
      </c>
      <c r="CP79" s="1">
        <f t="shared" si="68"/>
        <v>-1.9</v>
      </c>
      <c r="CQ79" s="1">
        <f t="shared" si="69"/>
        <v>-1.3</v>
      </c>
      <c r="CR79" s="1">
        <f t="shared" si="70"/>
        <v>0.5</v>
      </c>
      <c r="CS79" s="2">
        <f t="shared" si="71"/>
        <v>50.1</v>
      </c>
      <c r="CT79" s="6">
        <f t="shared" si="72"/>
        <v>1245</v>
      </c>
      <c r="CU79" s="1">
        <f>PPTest!K79</f>
        <v>0</v>
      </c>
      <c r="CV79" s="3">
        <f t="shared" si="73"/>
        <v>1.51</v>
      </c>
      <c r="CW79" s="3">
        <f t="shared" si="74"/>
        <v>4.22</v>
      </c>
      <c r="CX79" s="24">
        <f t="shared" si="75"/>
        <v>0.30599999999999999</v>
      </c>
      <c r="CY79" s="24">
        <f t="shared" si="75"/>
        <v>0.30499999999999999</v>
      </c>
      <c r="CZ79" s="16">
        <f t="shared" si="76"/>
        <v>13.18</v>
      </c>
    </row>
    <row r="80" spans="1:104" x14ac:dyDescent="0.2">
      <c r="A80" s="14">
        <f t="shared" si="77"/>
        <v>38791</v>
      </c>
      <c r="B80" s="1">
        <v>74</v>
      </c>
      <c r="C80" s="3">
        <v>12.23</v>
      </c>
      <c r="D80" s="3">
        <v>21.62</v>
      </c>
      <c r="E80" s="3">
        <v>-4.327</v>
      </c>
      <c r="F80" s="3">
        <v>95.3</v>
      </c>
      <c r="G80" s="3">
        <v>-4.79</v>
      </c>
      <c r="H80" s="3">
        <v>-3.23</v>
      </c>
      <c r="I80" s="3">
        <v>-1.002</v>
      </c>
      <c r="J80" s="3">
        <v>-1.3320000000000001</v>
      </c>
      <c r="K80" s="3">
        <v>-0.94199999999999995</v>
      </c>
      <c r="L80" s="3">
        <v>0.51800000000000002</v>
      </c>
      <c r="M80" s="3">
        <v>1.494</v>
      </c>
      <c r="N80" s="3">
        <v>0</v>
      </c>
      <c r="O80" s="3">
        <v>0.95699999999999996</v>
      </c>
      <c r="P80" s="3">
        <v>1300</v>
      </c>
      <c r="Q80" s="3">
        <v>110.8</v>
      </c>
      <c r="R80" s="3">
        <v>520</v>
      </c>
      <c r="S80" s="3">
        <v>2.8530000000000002</v>
      </c>
      <c r="T80" s="3">
        <v>-1.0109999999999999</v>
      </c>
      <c r="U80" s="3">
        <v>-0.61899999999999999</v>
      </c>
      <c r="V80" s="3">
        <v>-1.1299999999999999</v>
      </c>
      <c r="W80" s="3">
        <v>-0.85699999999999998</v>
      </c>
      <c r="X80" s="3">
        <v>0.55600000000000005</v>
      </c>
      <c r="Y80" s="3">
        <v>4.6630000000000003</v>
      </c>
      <c r="Z80" s="3">
        <v>1222</v>
      </c>
      <c r="AA80" s="3">
        <v>-12.19</v>
      </c>
      <c r="AB80" s="3">
        <v>455</v>
      </c>
      <c r="AC80" s="3">
        <v>56.33</v>
      </c>
      <c r="AD80" s="3">
        <v>1301</v>
      </c>
      <c r="AE80" s="3">
        <v>-15.05</v>
      </c>
      <c r="AF80" s="3">
        <v>-5.2009999999999996</v>
      </c>
      <c r="AG80" s="3">
        <v>-2.2490000000000001</v>
      </c>
      <c r="AH80" s="3">
        <v>-1.498</v>
      </c>
      <c r="AI80" s="3">
        <v>-1</v>
      </c>
      <c r="AJ80" s="3">
        <v>0.48299999999999998</v>
      </c>
      <c r="AK80" s="3">
        <v>7.1999999999999995E-2</v>
      </c>
      <c r="AL80" s="3">
        <v>0.157</v>
      </c>
      <c r="AM80" s="3">
        <v>0.17799999999999999</v>
      </c>
      <c r="AN80" s="3">
        <v>0.106</v>
      </c>
      <c r="AO80" s="3">
        <v>0.14199999999999999</v>
      </c>
      <c r="AP80" s="3">
        <v>0.16900000000000001</v>
      </c>
      <c r="AQ80" s="3">
        <v>0.121</v>
      </c>
      <c r="AR80" s="3">
        <v>5.6000000000000001E-2</v>
      </c>
      <c r="AS80" s="3">
        <v>2234</v>
      </c>
      <c r="AT80" s="3">
        <v>2224</v>
      </c>
      <c r="AU80" s="3">
        <v>2229</v>
      </c>
      <c r="AV80" s="3">
        <v>-1.4950000000000001</v>
      </c>
      <c r="AW80" s="3">
        <v>-1.6140000000000001</v>
      </c>
      <c r="AX80" s="3">
        <v>-1.357</v>
      </c>
      <c r="AY80" s="3">
        <v>-1.4550000000000001</v>
      </c>
      <c r="AZ80" s="3">
        <v>-1.5840000000000001</v>
      </c>
      <c r="BA80" s="3">
        <v>-1.7170000000000001</v>
      </c>
      <c r="BB80" s="3">
        <v>13.19</v>
      </c>
      <c r="BC80" s="3">
        <v>2876</v>
      </c>
      <c r="BE80" s="6">
        <f t="shared" si="43"/>
        <v>1281</v>
      </c>
      <c r="BG80" s="16">
        <v>16.510000000000002</v>
      </c>
      <c r="BH80" s="16">
        <f t="shared" si="46"/>
        <v>33.350200000000001</v>
      </c>
      <c r="BI80" s="17">
        <f t="shared" si="40"/>
        <v>11.99</v>
      </c>
      <c r="BJ80" s="17">
        <f t="shared" si="41"/>
        <v>23.78</v>
      </c>
      <c r="BL80" s="1">
        <f t="shared" si="47"/>
        <v>99.5</v>
      </c>
      <c r="BM80" s="1">
        <f t="shared" si="48"/>
        <v>76.900000000000006</v>
      </c>
      <c r="BN80" s="1">
        <f t="shared" si="49"/>
        <v>42.6</v>
      </c>
      <c r="BO80" s="49">
        <f t="shared" si="55"/>
        <v>0.27900000000000003</v>
      </c>
      <c r="BP80" s="49">
        <f t="shared" si="56"/>
        <v>0.376</v>
      </c>
      <c r="BR80" s="3">
        <v>1</v>
      </c>
      <c r="BT80" s="16">
        <f t="shared" si="50"/>
        <v>11.99</v>
      </c>
      <c r="BU80" s="16">
        <f t="shared" si="51"/>
        <v>23.78</v>
      </c>
      <c r="BV80" s="3">
        <f t="shared" si="52"/>
        <v>-4.3</v>
      </c>
      <c r="BW80" s="3">
        <f t="shared" si="45"/>
        <v>-4.8</v>
      </c>
      <c r="BX80" s="3">
        <f t="shared" si="45"/>
        <v>-3.2</v>
      </c>
      <c r="BY80" s="3">
        <f t="shared" si="45"/>
        <v>-1</v>
      </c>
      <c r="BZ80" s="3">
        <f t="shared" si="44"/>
        <v>-1.3</v>
      </c>
      <c r="CA80" s="3">
        <f t="shared" si="44"/>
        <v>-0.9</v>
      </c>
      <c r="CB80" s="3">
        <f t="shared" si="44"/>
        <v>0.5</v>
      </c>
      <c r="CC80" s="22">
        <f t="shared" si="53"/>
        <v>76.900000000000006</v>
      </c>
      <c r="CD80" s="1">
        <f t="shared" si="57"/>
        <v>1</v>
      </c>
      <c r="CE80" s="1">
        <f t="shared" si="58"/>
        <v>2.9</v>
      </c>
      <c r="CF80" s="1">
        <f t="shared" si="59"/>
        <v>-1</v>
      </c>
      <c r="CG80" s="1">
        <f t="shared" si="60"/>
        <v>-0.6</v>
      </c>
      <c r="CH80" s="1">
        <f t="shared" si="61"/>
        <v>-1.1000000000000001</v>
      </c>
      <c r="CI80" s="1">
        <f t="shared" si="62"/>
        <v>-0.9</v>
      </c>
      <c r="CJ80" s="1">
        <f t="shared" si="63"/>
        <v>0.6</v>
      </c>
      <c r="CK80" s="2">
        <f t="shared" si="54"/>
        <v>99.5</v>
      </c>
      <c r="CL80" s="1">
        <f t="shared" si="64"/>
        <v>-12.2</v>
      </c>
      <c r="CM80" s="1">
        <f t="shared" si="65"/>
        <v>-15.1</v>
      </c>
      <c r="CN80" s="1">
        <f t="shared" si="66"/>
        <v>-5.2</v>
      </c>
      <c r="CO80" s="1">
        <f t="shared" si="67"/>
        <v>-2.2000000000000002</v>
      </c>
      <c r="CP80" s="1">
        <f t="shared" si="68"/>
        <v>-1.5</v>
      </c>
      <c r="CQ80" s="1">
        <f t="shared" si="69"/>
        <v>-1</v>
      </c>
      <c r="CR80" s="1">
        <f t="shared" si="70"/>
        <v>0.5</v>
      </c>
      <c r="CS80" s="2">
        <f t="shared" si="71"/>
        <v>42.6</v>
      </c>
      <c r="CT80" s="6">
        <f t="shared" si="72"/>
        <v>1281</v>
      </c>
      <c r="CU80" s="1">
        <f>PPTest!K80</f>
        <v>4.7</v>
      </c>
      <c r="CV80" s="3">
        <f t="shared" si="73"/>
        <v>1.49</v>
      </c>
      <c r="CW80" s="3">
        <f t="shared" si="74"/>
        <v>4.66</v>
      </c>
      <c r="CX80" s="24">
        <f t="shared" si="75"/>
        <v>0.27900000000000003</v>
      </c>
      <c r="CY80" s="24">
        <f t="shared" si="75"/>
        <v>0.376</v>
      </c>
      <c r="CZ80" s="16">
        <f t="shared" si="76"/>
        <v>13.19</v>
      </c>
    </row>
    <row r="81" spans="1:104" x14ac:dyDescent="0.2">
      <c r="A81" s="14">
        <f t="shared" si="77"/>
        <v>38792</v>
      </c>
      <c r="B81" s="1">
        <v>75</v>
      </c>
      <c r="C81" s="3">
        <v>10.75</v>
      </c>
      <c r="D81" s="3">
        <v>19.329999999999998</v>
      </c>
      <c r="E81" s="3">
        <v>-2.82</v>
      </c>
      <c r="F81" s="3">
        <v>97</v>
      </c>
      <c r="G81" s="3">
        <v>-3.129</v>
      </c>
      <c r="H81" s="3">
        <v>-2.3380000000000001</v>
      </c>
      <c r="I81" s="3">
        <v>-0.622</v>
      </c>
      <c r="J81" s="3">
        <v>-1.05</v>
      </c>
      <c r="K81" s="3">
        <v>-0.8</v>
      </c>
      <c r="L81" s="3">
        <v>0.50800000000000001</v>
      </c>
      <c r="M81" s="3">
        <v>1.9690000000000001</v>
      </c>
      <c r="N81" s="3">
        <v>0</v>
      </c>
      <c r="O81" s="3">
        <v>0.80800000000000005</v>
      </c>
      <c r="P81" s="3">
        <v>1309</v>
      </c>
      <c r="Q81" s="3">
        <v>110.6</v>
      </c>
      <c r="R81" s="3">
        <v>2357</v>
      </c>
      <c r="S81" s="3">
        <v>1.8720000000000001</v>
      </c>
      <c r="T81" s="3">
        <v>-0.99199999999999999</v>
      </c>
      <c r="U81" s="3">
        <v>-0.47099999999999997</v>
      </c>
      <c r="V81" s="3">
        <v>-0.91600000000000004</v>
      </c>
      <c r="W81" s="3">
        <v>-0.72</v>
      </c>
      <c r="X81" s="3">
        <v>0.54300000000000004</v>
      </c>
      <c r="Y81" s="3">
        <v>5.0220000000000002</v>
      </c>
      <c r="Z81" s="3">
        <v>1349</v>
      </c>
      <c r="AA81" s="3">
        <v>-6.7770000000000001</v>
      </c>
      <c r="AB81" s="3">
        <v>6</v>
      </c>
      <c r="AC81" s="3">
        <v>72.3</v>
      </c>
      <c r="AD81" s="3">
        <v>1310</v>
      </c>
      <c r="AE81" s="3">
        <v>-9.1999999999999993</v>
      </c>
      <c r="AF81" s="3">
        <v>-3.6459999999999999</v>
      </c>
      <c r="AG81" s="3">
        <v>-0.93500000000000005</v>
      </c>
      <c r="AH81" s="3">
        <v>-1.161</v>
      </c>
      <c r="AI81" s="3">
        <v>-0.89600000000000002</v>
      </c>
      <c r="AJ81" s="3">
        <v>0.47299999999999998</v>
      </c>
      <c r="AK81" s="3">
        <v>0.19900000000000001</v>
      </c>
      <c r="AL81" s="3">
        <v>0.32400000000000001</v>
      </c>
      <c r="AM81" s="3">
        <v>0.19</v>
      </c>
      <c r="AN81" s="3">
        <v>9.6000000000000002E-2</v>
      </c>
      <c r="AO81" s="3">
        <v>4.7E-2</v>
      </c>
      <c r="AP81" s="3">
        <v>4.2000000000000003E-2</v>
      </c>
      <c r="AQ81" s="3">
        <v>0.04</v>
      </c>
      <c r="AR81" s="3">
        <v>6.3E-2</v>
      </c>
      <c r="AS81" s="3">
        <v>6999</v>
      </c>
      <c r="AT81" s="3">
        <v>2243</v>
      </c>
      <c r="AU81" s="19">
        <f>AT81</f>
        <v>2243</v>
      </c>
      <c r="AV81" s="3">
        <v>-1.4319999999999999</v>
      </c>
      <c r="AW81" s="3">
        <v>-1.54</v>
      </c>
      <c r="AX81" s="3">
        <v>-1.296</v>
      </c>
      <c r="AY81" s="3">
        <v>-1.381</v>
      </c>
      <c r="AZ81" s="3">
        <v>-1.5820000000000001</v>
      </c>
      <c r="BA81" s="3">
        <v>-1.7070000000000001</v>
      </c>
      <c r="BB81" s="3">
        <v>13.16</v>
      </c>
      <c r="BC81" s="3">
        <v>2876</v>
      </c>
      <c r="BE81" s="6">
        <f t="shared" si="43"/>
        <v>1267</v>
      </c>
      <c r="BG81" s="16">
        <v>16.77</v>
      </c>
      <c r="BH81" s="16">
        <f t="shared" si="46"/>
        <v>33.875399999999999</v>
      </c>
      <c r="BI81" s="17">
        <f t="shared" si="40"/>
        <v>10.54</v>
      </c>
      <c r="BJ81" s="17">
        <f t="shared" si="41"/>
        <v>21.26</v>
      </c>
      <c r="BL81" s="1">
        <f t="shared" si="47"/>
        <v>99.2</v>
      </c>
      <c r="BM81" s="1">
        <f t="shared" si="48"/>
        <v>78.400000000000006</v>
      </c>
      <c r="BN81" s="1">
        <f t="shared" si="49"/>
        <v>56.6</v>
      </c>
      <c r="BO81" s="49">
        <f t="shared" si="55"/>
        <v>0.36599999999999999</v>
      </c>
      <c r="BP81" s="49">
        <f t="shared" si="56"/>
        <v>0.28100000000000003</v>
      </c>
      <c r="BR81" s="3">
        <v>0</v>
      </c>
      <c r="BT81" s="16">
        <f t="shared" si="50"/>
        <v>10.54</v>
      </c>
      <c r="BU81" s="16">
        <f t="shared" si="51"/>
        <v>21.26</v>
      </c>
      <c r="BV81" s="3">
        <f t="shared" si="52"/>
        <v>-2.8</v>
      </c>
      <c r="BW81" s="3">
        <f t="shared" si="45"/>
        <v>-3.1</v>
      </c>
      <c r="BX81" s="3">
        <f t="shared" si="45"/>
        <v>-2.2999999999999998</v>
      </c>
      <c r="BY81" s="3">
        <f t="shared" si="45"/>
        <v>-0.6</v>
      </c>
      <c r="BZ81" s="3">
        <f t="shared" si="44"/>
        <v>-1.1000000000000001</v>
      </c>
      <c r="CA81" s="3">
        <f t="shared" si="44"/>
        <v>-0.8</v>
      </c>
      <c r="CB81" s="3">
        <f t="shared" si="44"/>
        <v>0.5</v>
      </c>
      <c r="CC81" s="22">
        <f t="shared" si="53"/>
        <v>78.400000000000006</v>
      </c>
      <c r="CD81" s="1">
        <f t="shared" si="57"/>
        <v>0.8</v>
      </c>
      <c r="CE81" s="1">
        <f t="shared" si="58"/>
        <v>1.9</v>
      </c>
      <c r="CF81" s="1">
        <f t="shared" si="59"/>
        <v>-1</v>
      </c>
      <c r="CG81" s="1">
        <f t="shared" si="60"/>
        <v>-0.5</v>
      </c>
      <c r="CH81" s="1">
        <f t="shared" si="61"/>
        <v>-0.9</v>
      </c>
      <c r="CI81" s="1">
        <f t="shared" si="62"/>
        <v>-0.7</v>
      </c>
      <c r="CJ81" s="1">
        <f t="shared" si="63"/>
        <v>0.5</v>
      </c>
      <c r="CK81" s="2">
        <f t="shared" si="54"/>
        <v>99.2</v>
      </c>
      <c r="CL81" s="1">
        <f t="shared" si="64"/>
        <v>-6.8</v>
      </c>
      <c r="CM81" s="1">
        <f t="shared" si="65"/>
        <v>-9.1999999999999993</v>
      </c>
      <c r="CN81" s="1">
        <f t="shared" si="66"/>
        <v>-3.6</v>
      </c>
      <c r="CO81" s="1">
        <f t="shared" si="67"/>
        <v>-0.9</v>
      </c>
      <c r="CP81" s="1">
        <f t="shared" si="68"/>
        <v>-1.2</v>
      </c>
      <c r="CQ81" s="1">
        <f t="shared" si="69"/>
        <v>-0.9</v>
      </c>
      <c r="CR81" s="1">
        <f t="shared" si="70"/>
        <v>0.5</v>
      </c>
      <c r="CS81" s="2">
        <f t="shared" si="71"/>
        <v>56.6</v>
      </c>
      <c r="CT81" s="6">
        <f t="shared" si="72"/>
        <v>1267</v>
      </c>
      <c r="CU81" s="1">
        <f>PPTest!K81</f>
        <v>0</v>
      </c>
      <c r="CV81" s="3">
        <f t="shared" si="73"/>
        <v>1.97</v>
      </c>
      <c r="CW81" s="3">
        <f t="shared" si="74"/>
        <v>5.0199999999999996</v>
      </c>
      <c r="CX81" s="24">
        <f t="shared" si="75"/>
        <v>0.36599999999999999</v>
      </c>
      <c r="CY81" s="24">
        <f t="shared" si="75"/>
        <v>0.28100000000000003</v>
      </c>
      <c r="CZ81" s="16">
        <f t="shared" si="76"/>
        <v>13.16</v>
      </c>
    </row>
    <row r="82" spans="1:104" x14ac:dyDescent="0.2">
      <c r="A82" s="14">
        <f t="shared" si="77"/>
        <v>38793</v>
      </c>
      <c r="B82" s="1">
        <v>76</v>
      </c>
      <c r="C82" s="3">
        <v>5.665</v>
      </c>
      <c r="D82" s="3">
        <v>8.1199999999999992</v>
      </c>
      <c r="E82" s="3">
        <v>-2.6629999999999998</v>
      </c>
      <c r="F82" s="3">
        <v>105.6</v>
      </c>
      <c r="G82" s="3">
        <v>-2.9940000000000002</v>
      </c>
      <c r="H82" s="3">
        <v>-1.6579999999999999</v>
      </c>
      <c r="I82" s="3">
        <v>-0.48299999999999998</v>
      </c>
      <c r="J82" s="3">
        <v>-0.84799999999999998</v>
      </c>
      <c r="K82" s="3">
        <v>-0.67900000000000005</v>
      </c>
      <c r="L82" s="3">
        <v>0.5</v>
      </c>
      <c r="M82" s="3">
        <v>1.242</v>
      </c>
      <c r="N82" s="3">
        <v>0</v>
      </c>
      <c r="O82" s="3">
        <v>0.88200000000000001</v>
      </c>
      <c r="P82" s="3">
        <v>1558</v>
      </c>
      <c r="Q82" s="3">
        <v>110.6</v>
      </c>
      <c r="R82" s="3">
        <v>4</v>
      </c>
      <c r="S82" s="3">
        <v>3.024</v>
      </c>
      <c r="T82" s="3">
        <v>-0.64800000000000002</v>
      </c>
      <c r="U82" s="3">
        <v>-0.41</v>
      </c>
      <c r="V82" s="3">
        <v>-0.77500000000000002</v>
      </c>
      <c r="W82" s="3">
        <v>-0.60399999999999998</v>
      </c>
      <c r="X82" s="3">
        <v>0.53100000000000003</v>
      </c>
      <c r="Y82" s="3">
        <v>3.36</v>
      </c>
      <c r="Z82" s="3">
        <v>1406</v>
      </c>
      <c r="AA82" s="3">
        <v>-5.7190000000000003</v>
      </c>
      <c r="AB82" s="3">
        <v>1913</v>
      </c>
      <c r="AC82" s="3">
        <v>82.3</v>
      </c>
      <c r="AD82" s="3">
        <v>1448</v>
      </c>
      <c r="AE82" s="3">
        <v>-7.41</v>
      </c>
      <c r="AF82" s="3">
        <v>-2.4300000000000002</v>
      </c>
      <c r="AG82" s="3">
        <v>-0.61</v>
      </c>
      <c r="AH82" s="3">
        <v>-0.95</v>
      </c>
      <c r="AI82" s="3">
        <v>-0.751</v>
      </c>
      <c r="AJ82" s="3">
        <v>0.46100000000000002</v>
      </c>
      <c r="AK82" s="3">
        <v>9.9000000000000005E-2</v>
      </c>
      <c r="AL82" s="3">
        <v>0.192</v>
      </c>
      <c r="AM82" s="3">
        <v>0.161</v>
      </c>
      <c r="AN82" s="3">
        <v>2.1000000000000001E-2</v>
      </c>
      <c r="AO82" s="3">
        <v>8.3000000000000004E-2</v>
      </c>
      <c r="AP82" s="3">
        <v>0.20599999999999999</v>
      </c>
      <c r="AQ82" s="3">
        <v>0.16500000000000001</v>
      </c>
      <c r="AR82" s="3">
        <v>7.3999999999999996E-2</v>
      </c>
      <c r="AS82" s="3">
        <v>2107</v>
      </c>
      <c r="AT82" s="3">
        <v>2104</v>
      </c>
      <c r="AU82" s="3">
        <v>2106</v>
      </c>
      <c r="AV82" s="3">
        <v>-1.413</v>
      </c>
      <c r="AW82" s="3">
        <v>-1.5089999999999999</v>
      </c>
      <c r="AX82" s="3">
        <v>-1.2749999999999999</v>
      </c>
      <c r="AY82" s="3">
        <v>-1.353</v>
      </c>
      <c r="AZ82" s="3">
        <v>-1.5209999999999999</v>
      </c>
      <c r="BA82" s="3">
        <v>-1.65</v>
      </c>
      <c r="BB82" s="3">
        <v>13.2</v>
      </c>
      <c r="BC82" s="3">
        <v>2876</v>
      </c>
      <c r="BE82" s="6">
        <f t="shared" si="43"/>
        <v>1404</v>
      </c>
      <c r="BG82" s="16">
        <v>17.03</v>
      </c>
      <c r="BH82" s="16">
        <f t="shared" si="46"/>
        <v>34.400600000000004</v>
      </c>
      <c r="BI82" s="17">
        <f t="shared" si="40"/>
        <v>5.55</v>
      </c>
      <c r="BJ82" s="17">
        <f t="shared" si="41"/>
        <v>8.93</v>
      </c>
      <c r="BL82" s="1">
        <f t="shared" si="47"/>
        <v>99.2</v>
      </c>
      <c r="BM82" s="1">
        <f t="shared" si="48"/>
        <v>91.2</v>
      </c>
      <c r="BN82" s="1">
        <f t="shared" si="49"/>
        <v>65.400000000000006</v>
      </c>
      <c r="BO82" s="49">
        <f t="shared" si="55"/>
        <v>0.42599999999999999</v>
      </c>
      <c r="BP82" s="49">
        <f t="shared" si="56"/>
        <v>0.22500000000000001</v>
      </c>
      <c r="BR82" s="3">
        <v>5.2</v>
      </c>
      <c r="BT82" s="16">
        <f t="shared" si="50"/>
        <v>5.55</v>
      </c>
      <c r="BU82" s="16">
        <f t="shared" si="51"/>
        <v>8.93</v>
      </c>
      <c r="BV82" s="3">
        <f t="shared" si="52"/>
        <v>-2.7</v>
      </c>
      <c r="BW82" s="3">
        <f t="shared" si="45"/>
        <v>-3</v>
      </c>
      <c r="BX82" s="3">
        <f t="shared" si="45"/>
        <v>-1.7</v>
      </c>
      <c r="BY82" s="3">
        <f t="shared" si="45"/>
        <v>-0.5</v>
      </c>
      <c r="BZ82" s="3">
        <f t="shared" si="44"/>
        <v>-0.8</v>
      </c>
      <c r="CA82" s="3">
        <f t="shared" si="44"/>
        <v>-0.7</v>
      </c>
      <c r="CB82" s="3">
        <f t="shared" si="44"/>
        <v>0.5</v>
      </c>
      <c r="CC82" s="22">
        <f t="shared" si="53"/>
        <v>91.2</v>
      </c>
      <c r="CD82" s="1">
        <f t="shared" si="57"/>
        <v>0.9</v>
      </c>
      <c r="CE82" s="1">
        <f t="shared" si="58"/>
        <v>3</v>
      </c>
      <c r="CF82" s="1">
        <f t="shared" si="59"/>
        <v>-0.6</v>
      </c>
      <c r="CG82" s="1">
        <f t="shared" si="60"/>
        <v>-0.4</v>
      </c>
      <c r="CH82" s="1">
        <f t="shared" si="61"/>
        <v>-0.8</v>
      </c>
      <c r="CI82" s="1">
        <f t="shared" si="62"/>
        <v>-0.6</v>
      </c>
      <c r="CJ82" s="1">
        <f t="shared" si="63"/>
        <v>0.5</v>
      </c>
      <c r="CK82" s="2">
        <f t="shared" si="54"/>
        <v>99.2</v>
      </c>
      <c r="CL82" s="1">
        <f t="shared" si="64"/>
        <v>-5.7</v>
      </c>
      <c r="CM82" s="1">
        <f t="shared" si="65"/>
        <v>-7.4</v>
      </c>
      <c r="CN82" s="1">
        <f t="shared" si="66"/>
        <v>-2.4</v>
      </c>
      <c r="CO82" s="1">
        <f t="shared" si="67"/>
        <v>-0.6</v>
      </c>
      <c r="CP82" s="1">
        <f t="shared" si="68"/>
        <v>-1</v>
      </c>
      <c r="CQ82" s="1">
        <f t="shared" si="69"/>
        <v>-0.8</v>
      </c>
      <c r="CR82" s="1">
        <f t="shared" si="70"/>
        <v>0.5</v>
      </c>
      <c r="CS82" s="2">
        <f t="shared" si="71"/>
        <v>65.400000000000006</v>
      </c>
      <c r="CT82" s="6">
        <f t="shared" si="72"/>
        <v>1404</v>
      </c>
      <c r="CU82" s="1">
        <f>PPTest!K82</f>
        <v>17.8</v>
      </c>
      <c r="CV82" s="3">
        <f t="shared" si="73"/>
        <v>1.24</v>
      </c>
      <c r="CW82" s="3">
        <f t="shared" si="74"/>
        <v>3.36</v>
      </c>
      <c r="CX82" s="24">
        <f t="shared" si="75"/>
        <v>0.42599999999999999</v>
      </c>
      <c r="CY82" s="24">
        <f t="shared" si="75"/>
        <v>0.22500000000000001</v>
      </c>
      <c r="CZ82" s="16">
        <f t="shared" si="76"/>
        <v>13.2</v>
      </c>
    </row>
    <row r="83" spans="1:104" x14ac:dyDescent="0.2">
      <c r="A83" s="14">
        <f t="shared" si="77"/>
        <v>38794</v>
      </c>
      <c r="B83" s="1">
        <v>77</v>
      </c>
      <c r="C83" s="3">
        <v>8.24</v>
      </c>
      <c r="D83" s="3">
        <v>13.04</v>
      </c>
      <c r="E83" s="3">
        <v>-5.319</v>
      </c>
      <c r="F83" s="3">
        <v>104.6</v>
      </c>
      <c r="G83" s="3">
        <v>-5.8209999999999997</v>
      </c>
      <c r="H83" s="3">
        <v>-1.5960000000000001</v>
      </c>
      <c r="I83" s="3">
        <v>-0.65700000000000003</v>
      </c>
      <c r="J83" s="3">
        <v>-0.8</v>
      </c>
      <c r="K83" s="3">
        <v>-0.61299999999999999</v>
      </c>
      <c r="L83" s="3">
        <v>0.49299999999999999</v>
      </c>
      <c r="M83" s="3">
        <v>1.464</v>
      </c>
      <c r="N83" s="3">
        <v>0</v>
      </c>
      <c r="O83" s="3">
        <v>-0.59299999999999997</v>
      </c>
      <c r="P83" s="3">
        <v>1652</v>
      </c>
      <c r="Q83" s="3">
        <v>111.2</v>
      </c>
      <c r="R83" s="3">
        <v>356</v>
      </c>
      <c r="S83" s="3">
        <v>1.889</v>
      </c>
      <c r="T83" s="3">
        <v>-0.49399999999999999</v>
      </c>
      <c r="U83" s="3">
        <v>-0.41699999999999998</v>
      </c>
      <c r="V83" s="3">
        <v>-0.73899999999999999</v>
      </c>
      <c r="W83" s="3">
        <v>-0.57099999999999995</v>
      </c>
      <c r="X83" s="3">
        <v>0.53200000000000003</v>
      </c>
      <c r="Y83" s="3">
        <v>3.4929999999999999</v>
      </c>
      <c r="Z83" s="3">
        <v>1240</v>
      </c>
      <c r="AA83" s="3">
        <v>-14.69</v>
      </c>
      <c r="AB83" s="3">
        <v>0</v>
      </c>
      <c r="AC83" s="3">
        <v>81</v>
      </c>
      <c r="AD83" s="3">
        <v>1652</v>
      </c>
      <c r="AE83" s="3">
        <v>-16.07</v>
      </c>
      <c r="AF83" s="3">
        <v>-2.355</v>
      </c>
      <c r="AG83" s="3">
        <v>-1.992</v>
      </c>
      <c r="AH83" s="3">
        <v>-0.95799999999999996</v>
      </c>
      <c r="AI83" s="3">
        <v>-0.65200000000000002</v>
      </c>
      <c r="AJ83" s="3">
        <v>0.46</v>
      </c>
      <c r="AK83" s="3">
        <v>4.2999999999999997E-2</v>
      </c>
      <c r="AL83" s="3">
        <v>0.124</v>
      </c>
      <c r="AM83" s="3">
        <v>0.188</v>
      </c>
      <c r="AN83" s="3">
        <v>6.5000000000000002E-2</v>
      </c>
      <c r="AO83" s="3">
        <v>0.16900000000000001</v>
      </c>
      <c r="AP83" s="3">
        <v>0.26700000000000002</v>
      </c>
      <c r="AQ83" s="3">
        <v>0.112</v>
      </c>
      <c r="AR83" s="3">
        <v>3.1E-2</v>
      </c>
      <c r="AS83" s="3">
        <v>2137</v>
      </c>
      <c r="AT83" s="3">
        <v>2133</v>
      </c>
      <c r="AU83" s="3">
        <v>2135</v>
      </c>
      <c r="AV83" s="3">
        <v>-1.2450000000000001</v>
      </c>
      <c r="AW83" s="3">
        <v>-1.3360000000000001</v>
      </c>
      <c r="AX83" s="3">
        <v>-1.151</v>
      </c>
      <c r="AY83" s="3">
        <v>-1.224</v>
      </c>
      <c r="AZ83" s="3">
        <v>-1.3169999999999999</v>
      </c>
      <c r="BA83" s="3">
        <v>-1.42</v>
      </c>
      <c r="BB83" s="3">
        <v>13.22</v>
      </c>
      <c r="BC83" s="3">
        <v>2876</v>
      </c>
      <c r="BE83" s="6">
        <f t="shared" si="43"/>
        <v>1375</v>
      </c>
      <c r="BG83" s="16">
        <v>17.3</v>
      </c>
      <c r="BH83" s="16">
        <f t="shared" si="46"/>
        <v>34.946000000000005</v>
      </c>
      <c r="BI83" s="17">
        <f t="shared" si="40"/>
        <v>8.08</v>
      </c>
      <c r="BJ83" s="17">
        <f t="shared" si="41"/>
        <v>14.34</v>
      </c>
      <c r="BL83" s="1">
        <f t="shared" si="47"/>
        <v>100</v>
      </c>
      <c r="BM83" s="1">
        <f t="shared" si="48"/>
        <v>89.6</v>
      </c>
      <c r="BN83" s="1">
        <f t="shared" si="49"/>
        <v>64.3</v>
      </c>
      <c r="BO83" s="49">
        <f t="shared" si="55"/>
        <v>0.376</v>
      </c>
      <c r="BP83" s="49">
        <f t="shared" si="56"/>
        <v>0.20899999999999999</v>
      </c>
      <c r="BR83" s="3">
        <v>7.6</v>
      </c>
      <c r="BT83" s="16">
        <f t="shared" si="50"/>
        <v>8.08</v>
      </c>
      <c r="BU83" s="16">
        <f t="shared" si="51"/>
        <v>14.34</v>
      </c>
      <c r="BV83" s="3">
        <f t="shared" si="52"/>
        <v>-5.3</v>
      </c>
      <c r="BW83" s="3">
        <f t="shared" si="45"/>
        <v>-5.8</v>
      </c>
      <c r="BX83" s="3">
        <f t="shared" si="45"/>
        <v>-1.6</v>
      </c>
      <c r="BY83" s="3">
        <f t="shared" si="45"/>
        <v>-0.7</v>
      </c>
      <c r="BZ83" s="3">
        <f t="shared" si="44"/>
        <v>-0.8</v>
      </c>
      <c r="CA83" s="3">
        <f t="shared" si="44"/>
        <v>-0.6</v>
      </c>
      <c r="CB83" s="3">
        <f t="shared" si="44"/>
        <v>0.5</v>
      </c>
      <c r="CC83" s="22">
        <f t="shared" si="53"/>
        <v>89.6</v>
      </c>
      <c r="CD83" s="1">
        <f t="shared" si="57"/>
        <v>-0.6</v>
      </c>
      <c r="CE83" s="1">
        <f t="shared" si="58"/>
        <v>1.9</v>
      </c>
      <c r="CF83" s="1">
        <f t="shared" si="59"/>
        <v>-0.5</v>
      </c>
      <c r="CG83" s="1">
        <f t="shared" si="60"/>
        <v>-0.4</v>
      </c>
      <c r="CH83" s="1">
        <f t="shared" si="61"/>
        <v>-0.7</v>
      </c>
      <c r="CI83" s="1">
        <f t="shared" si="62"/>
        <v>-0.6</v>
      </c>
      <c r="CJ83" s="1">
        <f t="shared" si="63"/>
        <v>0.5</v>
      </c>
      <c r="CK83" s="2">
        <f t="shared" si="54"/>
        <v>100</v>
      </c>
      <c r="CL83" s="1">
        <f t="shared" si="64"/>
        <v>-14.7</v>
      </c>
      <c r="CM83" s="1">
        <f t="shared" si="65"/>
        <v>-16.100000000000001</v>
      </c>
      <c r="CN83" s="1">
        <f t="shared" si="66"/>
        <v>-2.4</v>
      </c>
      <c r="CO83" s="1">
        <f t="shared" si="67"/>
        <v>-2</v>
      </c>
      <c r="CP83" s="1">
        <f t="shared" si="68"/>
        <v>-1</v>
      </c>
      <c r="CQ83" s="1">
        <f t="shared" si="69"/>
        <v>-0.7</v>
      </c>
      <c r="CR83" s="1">
        <f t="shared" si="70"/>
        <v>0.5</v>
      </c>
      <c r="CS83" s="2">
        <f t="shared" si="71"/>
        <v>64.3</v>
      </c>
      <c r="CT83" s="6">
        <f t="shared" si="72"/>
        <v>1375</v>
      </c>
      <c r="CU83" s="1">
        <f>PPTest!K83</f>
        <v>0</v>
      </c>
      <c r="CV83" s="3">
        <f t="shared" si="73"/>
        <v>1.46</v>
      </c>
      <c r="CW83" s="3">
        <f t="shared" si="74"/>
        <v>3.49</v>
      </c>
      <c r="CX83" s="24">
        <f t="shared" si="75"/>
        <v>0.376</v>
      </c>
      <c r="CY83" s="24">
        <f t="shared" si="75"/>
        <v>0.20899999999999999</v>
      </c>
      <c r="CZ83" s="16">
        <f t="shared" si="76"/>
        <v>13.22</v>
      </c>
    </row>
    <row r="84" spans="1:104" x14ac:dyDescent="0.2">
      <c r="A84" s="14">
        <f t="shared" si="77"/>
        <v>38795</v>
      </c>
      <c r="B84" s="1">
        <v>78</v>
      </c>
      <c r="C84" s="3">
        <v>18.54</v>
      </c>
      <c r="D84" s="3">
        <v>32.19</v>
      </c>
      <c r="E84" s="3">
        <v>-7.49</v>
      </c>
      <c r="F84" s="3">
        <v>97.4</v>
      </c>
      <c r="G84" s="3">
        <v>-8.33</v>
      </c>
      <c r="H84" s="3">
        <v>-1.7310000000000001</v>
      </c>
      <c r="I84" s="3">
        <v>-1.635</v>
      </c>
      <c r="J84" s="3">
        <v>-1.2250000000000001</v>
      </c>
      <c r="K84" s="3">
        <v>-0.73299999999999998</v>
      </c>
      <c r="L84" s="3">
        <v>0.49299999999999999</v>
      </c>
      <c r="M84" s="3">
        <v>1.75</v>
      </c>
      <c r="N84" s="3">
        <v>0</v>
      </c>
      <c r="O84" s="3">
        <v>2.94</v>
      </c>
      <c r="P84" s="3">
        <v>1457</v>
      </c>
      <c r="Q84" s="3">
        <v>110</v>
      </c>
      <c r="R84" s="3">
        <v>2253</v>
      </c>
      <c r="S84" s="3">
        <v>4.6449999999999996</v>
      </c>
      <c r="T84" s="3">
        <v>1E-3</v>
      </c>
      <c r="U84" s="3">
        <v>-0.53700000000000003</v>
      </c>
      <c r="V84" s="3">
        <v>-0.93</v>
      </c>
      <c r="W84" s="3">
        <v>-0.56999999999999995</v>
      </c>
      <c r="X84" s="3">
        <v>0.53300000000000003</v>
      </c>
      <c r="Y84" s="3">
        <v>3.2130000000000001</v>
      </c>
      <c r="Z84" s="3">
        <v>1146</v>
      </c>
      <c r="AA84" s="3">
        <v>-17.77</v>
      </c>
      <c r="AB84" s="3">
        <v>629</v>
      </c>
      <c r="AC84" s="3">
        <v>68.12</v>
      </c>
      <c r="AD84" s="3">
        <v>1103</v>
      </c>
      <c r="AE84" s="3">
        <v>-19.239999999999998</v>
      </c>
      <c r="AF84" s="3">
        <v>-2.802</v>
      </c>
      <c r="AG84" s="3">
        <v>-3.5659999999999998</v>
      </c>
      <c r="AH84" s="3">
        <v>-1.482</v>
      </c>
      <c r="AI84" s="3">
        <v>-0.83399999999999996</v>
      </c>
      <c r="AJ84" s="3">
        <v>0.46100000000000002</v>
      </c>
      <c r="AK84" s="3">
        <v>8.5000000000000006E-2</v>
      </c>
      <c r="AL84" s="3">
        <v>0.33300000000000002</v>
      </c>
      <c r="AM84" s="3">
        <v>0.33300000000000002</v>
      </c>
      <c r="AN84" s="3">
        <v>1.2E-2</v>
      </c>
      <c r="AO84" s="3">
        <v>8.3000000000000004E-2</v>
      </c>
      <c r="AP84" s="3">
        <v>0.123</v>
      </c>
      <c r="AQ84" s="3">
        <v>0.01</v>
      </c>
      <c r="AR84" s="3">
        <v>2.1999999999999999E-2</v>
      </c>
      <c r="AS84" s="3">
        <v>2193</v>
      </c>
      <c r="AT84" s="3">
        <v>2187</v>
      </c>
      <c r="AU84" s="3">
        <v>2191</v>
      </c>
      <c r="AV84" s="3">
        <v>-1.034</v>
      </c>
      <c r="AW84" s="3">
        <v>-1.1259999999999999</v>
      </c>
      <c r="AX84" s="3">
        <v>-0.98599999999999999</v>
      </c>
      <c r="AY84" s="3">
        <v>-1.048</v>
      </c>
      <c r="AZ84" s="3">
        <v>-1.151</v>
      </c>
      <c r="BA84" s="3">
        <v>-1.2430000000000001</v>
      </c>
      <c r="BB84" s="3">
        <v>13.21</v>
      </c>
      <c r="BC84" s="3">
        <v>2876</v>
      </c>
      <c r="BE84" s="6">
        <f t="shared" si="43"/>
        <v>1319</v>
      </c>
      <c r="BG84" s="16">
        <v>17.559999999999999</v>
      </c>
      <c r="BH84" s="16">
        <f t="shared" si="46"/>
        <v>35.471199999999996</v>
      </c>
      <c r="BI84" s="17">
        <f t="shared" si="40"/>
        <v>18.170000000000002</v>
      </c>
      <c r="BJ84" s="17">
        <f t="shared" si="41"/>
        <v>35.409999999999997</v>
      </c>
      <c r="BL84" s="1">
        <f t="shared" si="47"/>
        <v>98.2</v>
      </c>
      <c r="BM84" s="1">
        <f t="shared" si="48"/>
        <v>78.7</v>
      </c>
      <c r="BN84" s="1">
        <f t="shared" si="49"/>
        <v>52.9</v>
      </c>
      <c r="BO84" s="49">
        <f t="shared" si="55"/>
        <v>0.39900000000000002</v>
      </c>
      <c r="BP84" s="49">
        <f t="shared" si="56"/>
        <v>0.35499999999999998</v>
      </c>
      <c r="BR84" s="3">
        <v>0</v>
      </c>
      <c r="BT84" s="16">
        <f t="shared" si="50"/>
        <v>18.170000000000002</v>
      </c>
      <c r="BU84" s="16">
        <f t="shared" si="51"/>
        <v>35.409999999999997</v>
      </c>
      <c r="BV84" s="3">
        <f t="shared" si="52"/>
        <v>-7.5</v>
      </c>
      <c r="BW84" s="3">
        <f t="shared" si="45"/>
        <v>-8.3000000000000007</v>
      </c>
      <c r="BX84" s="3">
        <f t="shared" si="45"/>
        <v>-1.7</v>
      </c>
      <c r="BY84" s="3">
        <f t="shared" si="45"/>
        <v>-1.6</v>
      </c>
      <c r="BZ84" s="3">
        <f t="shared" si="44"/>
        <v>-1.2</v>
      </c>
      <c r="CA84" s="3">
        <f t="shared" si="44"/>
        <v>-0.7</v>
      </c>
      <c r="CB84" s="3">
        <f t="shared" si="44"/>
        <v>0.5</v>
      </c>
      <c r="CC84" s="22">
        <f t="shared" si="53"/>
        <v>78.7</v>
      </c>
      <c r="CD84" s="1">
        <f t="shared" si="57"/>
        <v>2.9</v>
      </c>
      <c r="CE84" s="1">
        <f t="shared" si="58"/>
        <v>4.5999999999999996</v>
      </c>
      <c r="CF84" s="1">
        <f t="shared" si="59"/>
        <v>0</v>
      </c>
      <c r="CG84" s="1">
        <f t="shared" si="60"/>
        <v>-0.5</v>
      </c>
      <c r="CH84" s="1">
        <f t="shared" si="61"/>
        <v>-0.9</v>
      </c>
      <c r="CI84" s="1">
        <f t="shared" si="62"/>
        <v>-0.6</v>
      </c>
      <c r="CJ84" s="1">
        <f t="shared" si="63"/>
        <v>0.5</v>
      </c>
      <c r="CK84" s="2">
        <f t="shared" si="54"/>
        <v>98.2</v>
      </c>
      <c r="CL84" s="1">
        <f t="shared" si="64"/>
        <v>-17.8</v>
      </c>
      <c r="CM84" s="1">
        <f t="shared" si="65"/>
        <v>-19.2</v>
      </c>
      <c r="CN84" s="1">
        <f t="shared" si="66"/>
        <v>-2.8</v>
      </c>
      <c r="CO84" s="1">
        <f t="shared" si="67"/>
        <v>-3.6</v>
      </c>
      <c r="CP84" s="1">
        <f t="shared" si="68"/>
        <v>-1.5</v>
      </c>
      <c r="CQ84" s="1">
        <f t="shared" si="69"/>
        <v>-0.8</v>
      </c>
      <c r="CR84" s="1">
        <f t="shared" si="70"/>
        <v>0.5</v>
      </c>
      <c r="CS84" s="2">
        <f t="shared" si="71"/>
        <v>52.9</v>
      </c>
      <c r="CT84" s="6">
        <f t="shared" si="72"/>
        <v>1319</v>
      </c>
      <c r="CU84" s="1">
        <f>PPTest!K84</f>
        <v>0</v>
      </c>
      <c r="CV84" s="3">
        <f t="shared" si="73"/>
        <v>1.75</v>
      </c>
      <c r="CW84" s="3">
        <f t="shared" si="74"/>
        <v>3.21</v>
      </c>
      <c r="CX84" s="24">
        <f t="shared" si="75"/>
        <v>0.39900000000000002</v>
      </c>
      <c r="CY84" s="24">
        <f t="shared" si="75"/>
        <v>0.35499999999999998</v>
      </c>
      <c r="CZ84" s="16">
        <f t="shared" si="76"/>
        <v>13.21</v>
      </c>
    </row>
    <row r="85" spans="1:104" x14ac:dyDescent="0.2">
      <c r="A85" s="14">
        <f t="shared" si="77"/>
        <v>38796</v>
      </c>
      <c r="B85" s="1">
        <v>79</v>
      </c>
      <c r="C85" s="3">
        <v>11.93</v>
      </c>
      <c r="D85" s="3">
        <v>21.49</v>
      </c>
      <c r="E85" s="3">
        <v>-4.726</v>
      </c>
      <c r="F85" s="3">
        <v>90.8</v>
      </c>
      <c r="G85" s="3">
        <v>-5.6</v>
      </c>
      <c r="H85" s="3">
        <v>-2.66</v>
      </c>
      <c r="I85" s="3">
        <v>-1.29</v>
      </c>
      <c r="J85" s="3">
        <v>-1.3340000000000001</v>
      </c>
      <c r="K85" s="3">
        <v>-0.85099999999999998</v>
      </c>
      <c r="L85" s="3">
        <v>0.48799999999999999</v>
      </c>
      <c r="M85" s="3">
        <v>1.421</v>
      </c>
      <c r="N85" s="3">
        <v>0</v>
      </c>
      <c r="O85" s="3">
        <v>3.6669999999999998</v>
      </c>
      <c r="P85" s="3">
        <v>1547</v>
      </c>
      <c r="Q85" s="3">
        <v>109.2</v>
      </c>
      <c r="R85" s="3">
        <v>8</v>
      </c>
      <c r="S85" s="3">
        <v>4.665</v>
      </c>
      <c r="T85" s="3">
        <v>-1.222</v>
      </c>
      <c r="U85" s="3">
        <v>-0.52700000000000002</v>
      </c>
      <c r="V85" s="3">
        <v>-1.087</v>
      </c>
      <c r="W85" s="3">
        <v>-0.749</v>
      </c>
      <c r="X85" s="3">
        <v>0.51500000000000001</v>
      </c>
      <c r="Y85" s="3">
        <v>3.0939999999999999</v>
      </c>
      <c r="Z85" s="3">
        <v>1126</v>
      </c>
      <c r="AA85" s="3">
        <v>-15.85</v>
      </c>
      <c r="AB85" s="3">
        <v>523</v>
      </c>
      <c r="AC85" s="3">
        <v>57.4</v>
      </c>
      <c r="AD85" s="3">
        <v>1036</v>
      </c>
      <c r="AE85" s="3">
        <v>-17.28</v>
      </c>
      <c r="AF85" s="3">
        <v>-4.3010000000000002</v>
      </c>
      <c r="AG85" s="3">
        <v>-3.1640000000000001</v>
      </c>
      <c r="AH85" s="3">
        <v>-1.591</v>
      </c>
      <c r="AI85" s="3">
        <v>-0.92400000000000004</v>
      </c>
      <c r="AJ85" s="3">
        <v>0.45400000000000001</v>
      </c>
      <c r="AK85" s="3">
        <v>0.128</v>
      </c>
      <c r="AL85" s="3">
        <v>0.374</v>
      </c>
      <c r="AM85" s="3">
        <v>0.39200000000000002</v>
      </c>
      <c r="AN85" s="3">
        <v>2.1000000000000001E-2</v>
      </c>
      <c r="AO85" s="3">
        <v>1.2E-2</v>
      </c>
      <c r="AP85" s="3">
        <v>8.0000000000000002E-3</v>
      </c>
      <c r="AQ85" s="3">
        <v>1.0999999999999999E-2</v>
      </c>
      <c r="AR85" s="3">
        <v>5.2999999999999999E-2</v>
      </c>
      <c r="AS85" s="3">
        <v>2214</v>
      </c>
      <c r="AT85" s="3">
        <v>2210</v>
      </c>
      <c r="AU85" s="3">
        <v>2212</v>
      </c>
      <c r="AV85" s="3">
        <v>-1.04</v>
      </c>
      <c r="AW85" s="3">
        <v>-1.151</v>
      </c>
      <c r="AX85" s="3">
        <v>-0.96599999999999997</v>
      </c>
      <c r="AY85" s="3">
        <v>-1.0660000000000001</v>
      </c>
      <c r="AZ85" s="3">
        <v>-1.1719999999999999</v>
      </c>
      <c r="BA85" s="3">
        <v>-1.29</v>
      </c>
      <c r="BB85" s="3">
        <v>13.18</v>
      </c>
      <c r="BC85" s="3">
        <v>2876</v>
      </c>
      <c r="BE85" s="6">
        <f t="shared" si="43"/>
        <v>1298</v>
      </c>
      <c r="BG85" s="16">
        <v>17.829999999999998</v>
      </c>
      <c r="BH85" s="16">
        <f t="shared" si="46"/>
        <v>36.016599999999997</v>
      </c>
      <c r="BI85" s="17">
        <f t="shared" si="40"/>
        <v>11.69</v>
      </c>
      <c r="BJ85" s="17">
        <f t="shared" si="41"/>
        <v>23.64</v>
      </c>
      <c r="BL85" s="1">
        <f t="shared" si="47"/>
        <v>96.9</v>
      </c>
      <c r="BM85" s="1">
        <f t="shared" si="48"/>
        <v>72.900000000000006</v>
      </c>
      <c r="BN85" s="1">
        <f t="shared" si="49"/>
        <v>43.5</v>
      </c>
      <c r="BO85" s="49">
        <f t="shared" si="55"/>
        <v>0.34499999999999997</v>
      </c>
      <c r="BP85" s="49">
        <f t="shared" si="56"/>
        <v>0.44800000000000001</v>
      </c>
      <c r="BR85" s="3">
        <v>0</v>
      </c>
      <c r="BT85" s="16">
        <f t="shared" si="50"/>
        <v>11.69</v>
      </c>
      <c r="BU85" s="16">
        <f t="shared" si="51"/>
        <v>23.64</v>
      </c>
      <c r="BV85" s="3">
        <f t="shared" si="52"/>
        <v>-4.7</v>
      </c>
      <c r="BW85" s="3">
        <f t="shared" si="45"/>
        <v>-5.6</v>
      </c>
      <c r="BX85" s="3">
        <f t="shared" si="45"/>
        <v>-2.7</v>
      </c>
      <c r="BY85" s="3">
        <f t="shared" si="45"/>
        <v>-1.3</v>
      </c>
      <c r="BZ85" s="3">
        <f t="shared" si="44"/>
        <v>-1.3</v>
      </c>
      <c r="CA85" s="3">
        <f t="shared" si="44"/>
        <v>-0.9</v>
      </c>
      <c r="CB85" s="3">
        <f t="shared" si="44"/>
        <v>0.5</v>
      </c>
      <c r="CC85" s="22">
        <f t="shared" si="53"/>
        <v>72.900000000000006</v>
      </c>
      <c r="CD85" s="1">
        <f t="shared" si="57"/>
        <v>3.7</v>
      </c>
      <c r="CE85" s="1">
        <f t="shared" si="58"/>
        <v>4.7</v>
      </c>
      <c r="CF85" s="1">
        <f t="shared" si="59"/>
        <v>-1.2</v>
      </c>
      <c r="CG85" s="1">
        <f t="shared" si="60"/>
        <v>-0.5</v>
      </c>
      <c r="CH85" s="1">
        <f t="shared" si="61"/>
        <v>-1.1000000000000001</v>
      </c>
      <c r="CI85" s="1">
        <f t="shared" si="62"/>
        <v>-0.7</v>
      </c>
      <c r="CJ85" s="1">
        <f t="shared" si="63"/>
        <v>0.5</v>
      </c>
      <c r="CK85" s="2">
        <f t="shared" si="54"/>
        <v>96.9</v>
      </c>
      <c r="CL85" s="1">
        <f t="shared" si="64"/>
        <v>-15.9</v>
      </c>
      <c r="CM85" s="1">
        <f t="shared" si="65"/>
        <v>-17.3</v>
      </c>
      <c r="CN85" s="1">
        <f t="shared" si="66"/>
        <v>-4.3</v>
      </c>
      <c r="CO85" s="1">
        <f t="shared" si="67"/>
        <v>-3.2</v>
      </c>
      <c r="CP85" s="1">
        <f t="shared" si="68"/>
        <v>-1.6</v>
      </c>
      <c r="CQ85" s="1">
        <f t="shared" si="69"/>
        <v>-0.9</v>
      </c>
      <c r="CR85" s="1">
        <f t="shared" si="70"/>
        <v>0.5</v>
      </c>
      <c r="CS85" s="2">
        <f t="shared" si="71"/>
        <v>43.5</v>
      </c>
      <c r="CT85" s="6">
        <f t="shared" si="72"/>
        <v>1298</v>
      </c>
      <c r="CU85" s="1">
        <f>PPTest!K85</f>
        <v>0</v>
      </c>
      <c r="CV85" s="3">
        <f t="shared" si="73"/>
        <v>1.42</v>
      </c>
      <c r="CW85" s="3">
        <f t="shared" si="74"/>
        <v>3.09</v>
      </c>
      <c r="CX85" s="24">
        <f t="shared" si="75"/>
        <v>0.34499999999999997</v>
      </c>
      <c r="CY85" s="24">
        <f t="shared" si="75"/>
        <v>0.44800000000000001</v>
      </c>
      <c r="CZ85" s="16">
        <f t="shared" si="76"/>
        <v>13.18</v>
      </c>
    </row>
    <row r="86" spans="1:104" x14ac:dyDescent="0.2">
      <c r="A86" s="14">
        <f t="shared" si="77"/>
        <v>38797</v>
      </c>
      <c r="B86" s="1">
        <v>80</v>
      </c>
      <c r="C86" s="3">
        <v>7.93</v>
      </c>
      <c r="D86" s="3">
        <v>14.72</v>
      </c>
      <c r="E86" s="3">
        <v>-2.14</v>
      </c>
      <c r="F86" s="3">
        <v>95.4</v>
      </c>
      <c r="G86" s="3">
        <v>-2.7109999999999999</v>
      </c>
      <c r="H86" s="3">
        <v>-2.0830000000000002</v>
      </c>
      <c r="I86" s="3">
        <v>-0.55000000000000004</v>
      </c>
      <c r="J86" s="3">
        <v>-0.95899999999999996</v>
      </c>
      <c r="K86" s="3">
        <v>-0.752</v>
      </c>
      <c r="L86" s="3">
        <v>0.48199999999999998</v>
      </c>
      <c r="M86" s="3">
        <v>1.4530000000000001</v>
      </c>
      <c r="N86" s="3">
        <v>0</v>
      </c>
      <c r="O86" s="3">
        <v>2.1139999999999999</v>
      </c>
      <c r="P86" s="3">
        <v>1132</v>
      </c>
      <c r="Q86" s="3">
        <v>106.8</v>
      </c>
      <c r="R86" s="3">
        <v>2119</v>
      </c>
      <c r="S86" s="3">
        <v>3.863</v>
      </c>
      <c r="T86" s="3">
        <v>-0.71699999999999997</v>
      </c>
      <c r="U86" s="3">
        <v>-0.40500000000000003</v>
      </c>
      <c r="V86" s="3">
        <v>-0.84499999999999997</v>
      </c>
      <c r="W86" s="3">
        <v>-0.66200000000000003</v>
      </c>
      <c r="X86" s="3">
        <v>0.51600000000000001</v>
      </c>
      <c r="Y86" s="3">
        <v>4.8230000000000004</v>
      </c>
      <c r="Z86" s="3">
        <v>1134</v>
      </c>
      <c r="AA86" s="3">
        <v>-5.4260000000000002</v>
      </c>
      <c r="AB86" s="3">
        <v>2205</v>
      </c>
      <c r="AC86" s="3">
        <v>63.63</v>
      </c>
      <c r="AD86" s="3">
        <v>1131</v>
      </c>
      <c r="AE86" s="3">
        <v>-8.3800000000000008</v>
      </c>
      <c r="AF86" s="3">
        <v>-3.1019999999999999</v>
      </c>
      <c r="AG86" s="3">
        <v>-0.81899999999999995</v>
      </c>
      <c r="AH86" s="3">
        <v>-1.1100000000000001</v>
      </c>
      <c r="AI86" s="3">
        <v>-0.85499999999999998</v>
      </c>
      <c r="AJ86" s="3">
        <v>0.45100000000000001</v>
      </c>
      <c r="AK86" s="3">
        <v>9.1999999999999998E-2</v>
      </c>
      <c r="AL86" s="3">
        <v>0.308</v>
      </c>
      <c r="AM86" s="3">
        <v>0.24</v>
      </c>
      <c r="AN86" s="3">
        <v>7.3999999999999996E-2</v>
      </c>
      <c r="AO86" s="3">
        <v>8.6999999999999994E-2</v>
      </c>
      <c r="AP86" s="3">
        <v>0.109</v>
      </c>
      <c r="AQ86" s="3">
        <v>5.2999999999999999E-2</v>
      </c>
      <c r="AR86" s="3">
        <v>3.5000000000000003E-2</v>
      </c>
      <c r="AS86" s="3">
        <v>2222</v>
      </c>
      <c r="AT86" s="3">
        <v>2216</v>
      </c>
      <c r="AU86" s="3">
        <v>2219</v>
      </c>
      <c r="AV86" s="3">
        <v>-1.1499999999999999</v>
      </c>
      <c r="AW86" s="3">
        <v>-1.2589999999999999</v>
      </c>
      <c r="AX86" s="3">
        <v>-1.0880000000000001</v>
      </c>
      <c r="AY86" s="3">
        <v>-1.177</v>
      </c>
      <c r="AZ86" s="3">
        <v>-1.2130000000000001</v>
      </c>
      <c r="BA86" s="3">
        <v>-1.3460000000000001</v>
      </c>
      <c r="BB86" s="3">
        <v>13.2</v>
      </c>
      <c r="BC86" s="3">
        <v>2876</v>
      </c>
      <c r="BE86" s="6">
        <f t="shared" si="43"/>
        <v>1291</v>
      </c>
      <c r="BG86" s="16">
        <v>18.100000000000001</v>
      </c>
      <c r="BH86" s="16">
        <f t="shared" si="46"/>
        <v>36.562000000000005</v>
      </c>
      <c r="BI86" s="17">
        <f t="shared" si="40"/>
        <v>7.77</v>
      </c>
      <c r="BJ86" s="17">
        <f t="shared" si="41"/>
        <v>16.190000000000001</v>
      </c>
      <c r="BL86" s="1">
        <f t="shared" si="47"/>
        <v>93.1</v>
      </c>
      <c r="BM86" s="1">
        <f t="shared" si="48"/>
        <v>77</v>
      </c>
      <c r="BN86" s="1">
        <f t="shared" si="49"/>
        <v>49</v>
      </c>
      <c r="BO86" s="49">
        <f t="shared" si="55"/>
        <v>0.34799999999999998</v>
      </c>
      <c r="BP86" s="49">
        <f t="shared" si="56"/>
        <v>0.36199999999999999</v>
      </c>
      <c r="BR86" s="3">
        <v>0</v>
      </c>
      <c r="BT86" s="16">
        <f t="shared" si="50"/>
        <v>7.77</v>
      </c>
      <c r="BU86" s="16">
        <f t="shared" si="51"/>
        <v>16.190000000000001</v>
      </c>
      <c r="BV86" s="3">
        <f t="shared" si="52"/>
        <v>-2.1</v>
      </c>
      <c r="BW86" s="3">
        <f t="shared" si="45"/>
        <v>-2.7</v>
      </c>
      <c r="BX86" s="3">
        <f t="shared" si="45"/>
        <v>-2.1</v>
      </c>
      <c r="BY86" s="3">
        <f t="shared" si="45"/>
        <v>-0.6</v>
      </c>
      <c r="BZ86" s="3">
        <f t="shared" si="44"/>
        <v>-1</v>
      </c>
      <c r="CA86" s="3">
        <f t="shared" si="44"/>
        <v>-0.8</v>
      </c>
      <c r="CB86" s="3">
        <f t="shared" si="44"/>
        <v>0.5</v>
      </c>
      <c r="CC86" s="22">
        <f t="shared" si="53"/>
        <v>77</v>
      </c>
      <c r="CD86" s="1">
        <f t="shared" si="57"/>
        <v>2.1</v>
      </c>
      <c r="CE86" s="1">
        <f t="shared" si="58"/>
        <v>3.9</v>
      </c>
      <c r="CF86" s="1">
        <f t="shared" si="59"/>
        <v>-0.7</v>
      </c>
      <c r="CG86" s="1">
        <f t="shared" si="60"/>
        <v>-0.4</v>
      </c>
      <c r="CH86" s="1">
        <f t="shared" si="61"/>
        <v>-0.8</v>
      </c>
      <c r="CI86" s="1">
        <f t="shared" si="62"/>
        <v>-0.7</v>
      </c>
      <c r="CJ86" s="1">
        <f t="shared" si="63"/>
        <v>0.5</v>
      </c>
      <c r="CK86" s="2">
        <f t="shared" si="54"/>
        <v>93.1</v>
      </c>
      <c r="CL86" s="1">
        <f t="shared" si="64"/>
        <v>-5.4</v>
      </c>
      <c r="CM86" s="1">
        <f t="shared" si="65"/>
        <v>-8.4</v>
      </c>
      <c r="CN86" s="1">
        <f t="shared" si="66"/>
        <v>-3.1</v>
      </c>
      <c r="CO86" s="1">
        <f t="shared" si="67"/>
        <v>-0.8</v>
      </c>
      <c r="CP86" s="1">
        <f t="shared" si="68"/>
        <v>-1.1000000000000001</v>
      </c>
      <c r="CQ86" s="1">
        <f t="shared" si="69"/>
        <v>-0.9</v>
      </c>
      <c r="CR86" s="1">
        <f t="shared" si="70"/>
        <v>0.5</v>
      </c>
      <c r="CS86" s="2">
        <f t="shared" si="71"/>
        <v>49</v>
      </c>
      <c r="CT86" s="6">
        <f t="shared" si="72"/>
        <v>1291</v>
      </c>
      <c r="CU86" s="1">
        <f>PPTest!K86</f>
        <v>0</v>
      </c>
      <c r="CV86" s="3">
        <f t="shared" si="73"/>
        <v>1.45</v>
      </c>
      <c r="CW86" s="3">
        <f t="shared" si="74"/>
        <v>4.82</v>
      </c>
      <c r="CX86" s="24">
        <f t="shared" si="75"/>
        <v>0.34799999999999998</v>
      </c>
      <c r="CY86" s="24">
        <f t="shared" si="75"/>
        <v>0.36199999999999999</v>
      </c>
      <c r="CZ86" s="16">
        <f t="shared" si="76"/>
        <v>13.2</v>
      </c>
    </row>
    <row r="87" spans="1:104" x14ac:dyDescent="0.2">
      <c r="A87" s="14">
        <f t="shared" si="77"/>
        <v>38798</v>
      </c>
      <c r="B87" s="1">
        <v>81</v>
      </c>
      <c r="C87" s="3">
        <v>11.76</v>
      </c>
      <c r="D87" s="3">
        <v>21.43</v>
      </c>
      <c r="E87" s="3">
        <v>0.61199999999999999</v>
      </c>
      <c r="F87" s="3">
        <v>85.8</v>
      </c>
      <c r="G87" s="3">
        <v>-1.7000000000000001E-2</v>
      </c>
      <c r="H87" s="3">
        <v>-1.802</v>
      </c>
      <c r="I87" s="3">
        <v>-0.437</v>
      </c>
      <c r="J87" s="3">
        <v>-0.80900000000000005</v>
      </c>
      <c r="K87" s="3">
        <v>-0.64400000000000002</v>
      </c>
      <c r="L87" s="3">
        <v>0.47899999999999998</v>
      </c>
      <c r="M87" s="3">
        <v>1.65</v>
      </c>
      <c r="N87" s="3">
        <v>0</v>
      </c>
      <c r="O87" s="3">
        <v>4.4870000000000001</v>
      </c>
      <c r="P87" s="3">
        <v>1539</v>
      </c>
      <c r="Q87" s="3">
        <v>99.1</v>
      </c>
      <c r="R87" s="3">
        <v>335</v>
      </c>
      <c r="S87" s="3">
        <v>5.1150000000000002</v>
      </c>
      <c r="T87" s="3">
        <v>-0.05</v>
      </c>
      <c r="U87" s="3">
        <v>-0.34599999999999997</v>
      </c>
      <c r="V87" s="3">
        <v>-0.70199999999999996</v>
      </c>
      <c r="W87" s="3">
        <v>-0.57599999999999996</v>
      </c>
      <c r="X87" s="3">
        <v>0.52100000000000002</v>
      </c>
      <c r="Y87" s="3">
        <v>4.9960000000000004</v>
      </c>
      <c r="Z87" s="3">
        <v>915</v>
      </c>
      <c r="AA87" s="3">
        <v>-2.871</v>
      </c>
      <c r="AB87" s="3">
        <v>334</v>
      </c>
      <c r="AC87" s="3">
        <v>69.86</v>
      </c>
      <c r="AD87" s="3">
        <v>1539</v>
      </c>
      <c r="AE87" s="3">
        <v>-4.907</v>
      </c>
      <c r="AF87" s="3">
        <v>-3.5339999999999998</v>
      </c>
      <c r="AG87" s="3">
        <v>-0.68400000000000005</v>
      </c>
      <c r="AH87" s="3">
        <v>-0.93200000000000005</v>
      </c>
      <c r="AI87" s="3">
        <v>-0.69599999999999995</v>
      </c>
      <c r="AJ87" s="3">
        <v>0.44900000000000001</v>
      </c>
      <c r="AK87" s="3">
        <v>9.7000000000000003E-2</v>
      </c>
      <c r="AL87" s="3">
        <v>0.14599999999999999</v>
      </c>
      <c r="AM87" s="3">
        <v>0.219</v>
      </c>
      <c r="AN87" s="3">
        <v>0.14599999999999999</v>
      </c>
      <c r="AO87" s="3">
        <v>0.12</v>
      </c>
      <c r="AP87" s="3">
        <v>0.115</v>
      </c>
      <c r="AQ87" s="3">
        <v>7.3999999999999996E-2</v>
      </c>
      <c r="AR87" s="3">
        <v>8.3000000000000004E-2</v>
      </c>
      <c r="AS87" s="3">
        <v>2236</v>
      </c>
      <c r="AT87" s="3">
        <v>2233</v>
      </c>
      <c r="AU87" s="3">
        <v>2234</v>
      </c>
      <c r="AV87" s="3">
        <v>-1.0369999999999999</v>
      </c>
      <c r="AW87" s="3">
        <v>-1.133</v>
      </c>
      <c r="AX87" s="3">
        <v>-0.94499999999999995</v>
      </c>
      <c r="AY87" s="3">
        <v>-1.0209999999999999</v>
      </c>
      <c r="AZ87" s="3">
        <v>-1.131</v>
      </c>
      <c r="BA87" s="3">
        <v>-1.252</v>
      </c>
      <c r="BB87" s="3">
        <v>13.2</v>
      </c>
      <c r="BC87" s="3">
        <v>2876</v>
      </c>
      <c r="BE87" s="6">
        <f t="shared" si="43"/>
        <v>1276</v>
      </c>
      <c r="BG87" s="16">
        <v>18.36</v>
      </c>
      <c r="BH87" s="16">
        <f t="shared" si="46"/>
        <v>37.087199999999996</v>
      </c>
      <c r="BI87" s="17">
        <f t="shared" si="40"/>
        <v>11.52</v>
      </c>
      <c r="BJ87" s="17">
        <f t="shared" si="41"/>
        <v>23.57</v>
      </c>
      <c r="BL87" s="1">
        <f t="shared" si="47"/>
        <v>80.900000000000006</v>
      </c>
      <c r="BM87" s="1">
        <f t="shared" si="48"/>
        <v>68.5</v>
      </c>
      <c r="BN87" s="1">
        <f t="shared" si="49"/>
        <v>54.5</v>
      </c>
      <c r="BO87" s="49">
        <f t="shared" si="55"/>
        <v>0.45800000000000002</v>
      </c>
      <c r="BP87" s="49">
        <f t="shared" si="56"/>
        <v>0.38200000000000001</v>
      </c>
      <c r="BR87" s="3">
        <v>0</v>
      </c>
      <c r="BT87" s="16">
        <f t="shared" si="50"/>
        <v>11.52</v>
      </c>
      <c r="BU87" s="16">
        <f t="shared" si="51"/>
        <v>23.57</v>
      </c>
      <c r="BV87" s="3">
        <f t="shared" si="52"/>
        <v>0.6</v>
      </c>
      <c r="BW87" s="3">
        <f t="shared" si="45"/>
        <v>0</v>
      </c>
      <c r="BX87" s="3">
        <f t="shared" si="45"/>
        <v>-1.8</v>
      </c>
      <c r="BY87" s="3">
        <f t="shared" si="45"/>
        <v>-0.4</v>
      </c>
      <c r="BZ87" s="3">
        <f t="shared" si="44"/>
        <v>-0.8</v>
      </c>
      <c r="CA87" s="3">
        <f t="shared" si="44"/>
        <v>-0.6</v>
      </c>
      <c r="CB87" s="3">
        <f t="shared" si="44"/>
        <v>0.5</v>
      </c>
      <c r="CC87" s="22">
        <f t="shared" si="53"/>
        <v>68.5</v>
      </c>
      <c r="CD87" s="1">
        <f t="shared" si="57"/>
        <v>4.5</v>
      </c>
      <c r="CE87" s="1">
        <f t="shared" si="58"/>
        <v>5.0999999999999996</v>
      </c>
      <c r="CF87" s="1">
        <f t="shared" si="59"/>
        <v>-0.1</v>
      </c>
      <c r="CG87" s="1">
        <f t="shared" si="60"/>
        <v>-0.3</v>
      </c>
      <c r="CH87" s="1">
        <f t="shared" si="61"/>
        <v>-0.7</v>
      </c>
      <c r="CI87" s="1">
        <f t="shared" si="62"/>
        <v>-0.6</v>
      </c>
      <c r="CJ87" s="1">
        <f t="shared" si="63"/>
        <v>0.5</v>
      </c>
      <c r="CK87" s="2">
        <f t="shared" si="54"/>
        <v>80.900000000000006</v>
      </c>
      <c r="CL87" s="1">
        <f t="shared" si="64"/>
        <v>-2.9</v>
      </c>
      <c r="CM87" s="1">
        <f t="shared" si="65"/>
        <v>-4.9000000000000004</v>
      </c>
      <c r="CN87" s="1">
        <f t="shared" si="66"/>
        <v>-3.5</v>
      </c>
      <c r="CO87" s="1">
        <f t="shared" si="67"/>
        <v>-0.7</v>
      </c>
      <c r="CP87" s="1">
        <f t="shared" si="68"/>
        <v>-0.9</v>
      </c>
      <c r="CQ87" s="1">
        <f t="shared" si="69"/>
        <v>-0.7</v>
      </c>
      <c r="CR87" s="1">
        <f t="shared" si="70"/>
        <v>0.4</v>
      </c>
      <c r="CS87" s="2">
        <f t="shared" si="71"/>
        <v>54.5</v>
      </c>
      <c r="CT87" s="6">
        <f t="shared" si="72"/>
        <v>1276</v>
      </c>
      <c r="CU87" s="1">
        <f>PPTest!K87</f>
        <v>0</v>
      </c>
      <c r="CV87" s="3">
        <f t="shared" si="73"/>
        <v>1.65</v>
      </c>
      <c r="CW87" s="3">
        <f t="shared" si="74"/>
        <v>5</v>
      </c>
      <c r="CX87" s="24">
        <f t="shared" si="75"/>
        <v>0.45800000000000002</v>
      </c>
      <c r="CY87" s="24">
        <f t="shared" si="75"/>
        <v>0.38200000000000001</v>
      </c>
      <c r="CZ87" s="16">
        <f t="shared" si="76"/>
        <v>13.2</v>
      </c>
    </row>
    <row r="88" spans="1:104" x14ac:dyDescent="0.2">
      <c r="A88" s="14">
        <f t="shared" si="77"/>
        <v>38799</v>
      </c>
      <c r="B88" s="1">
        <v>82</v>
      </c>
      <c r="C88" s="3">
        <v>18.739999999999998</v>
      </c>
      <c r="D88" s="3">
        <v>33.22</v>
      </c>
      <c r="E88" s="3">
        <v>3.2440000000000002</v>
      </c>
      <c r="F88" s="3">
        <v>76</v>
      </c>
      <c r="G88" s="3">
        <v>2.61</v>
      </c>
      <c r="H88" s="3">
        <v>-0.97299999999999998</v>
      </c>
      <c r="I88" s="3">
        <v>-0.23899999999999999</v>
      </c>
      <c r="J88" s="3">
        <v>-0.61499999999999999</v>
      </c>
      <c r="K88" s="3">
        <v>-0.55400000000000005</v>
      </c>
      <c r="L88" s="3">
        <v>0.47399999999999998</v>
      </c>
      <c r="M88" s="3">
        <v>1.847</v>
      </c>
      <c r="N88" s="3">
        <v>1</v>
      </c>
      <c r="O88" s="3">
        <v>8.7200000000000006</v>
      </c>
      <c r="P88" s="3">
        <v>1516</v>
      </c>
      <c r="Q88" s="3">
        <v>100.9</v>
      </c>
      <c r="R88" s="3">
        <v>327</v>
      </c>
      <c r="S88" s="3">
        <v>10.08</v>
      </c>
      <c r="T88" s="3">
        <v>1.147</v>
      </c>
      <c r="U88" s="3">
        <v>-2.5000000000000001E-2</v>
      </c>
      <c r="V88" s="3">
        <v>-0.41</v>
      </c>
      <c r="W88" s="3">
        <v>-0.47799999999999998</v>
      </c>
      <c r="X88" s="3">
        <v>0.501</v>
      </c>
      <c r="Y88" s="3">
        <v>4.7030000000000003</v>
      </c>
      <c r="Z88" s="3">
        <v>1315</v>
      </c>
      <c r="AA88" s="3">
        <v>-2.6469999999999998</v>
      </c>
      <c r="AB88" s="3">
        <v>325</v>
      </c>
      <c r="AC88" s="3">
        <v>50.7</v>
      </c>
      <c r="AD88" s="3">
        <v>1516</v>
      </c>
      <c r="AE88" s="3">
        <v>-4.2210000000000001</v>
      </c>
      <c r="AF88" s="3">
        <v>-2.8679999999999999</v>
      </c>
      <c r="AG88" s="3">
        <v>-0.46800000000000003</v>
      </c>
      <c r="AH88" s="3">
        <v>-0.76</v>
      </c>
      <c r="AI88" s="3">
        <v>-0.624</v>
      </c>
      <c r="AJ88" s="3">
        <v>0.443</v>
      </c>
      <c r="AK88" s="3">
        <v>0.157</v>
      </c>
      <c r="AL88" s="3">
        <v>0.26100000000000001</v>
      </c>
      <c r="AM88" s="3">
        <v>0.30099999999999999</v>
      </c>
      <c r="AN88" s="3">
        <v>0.126</v>
      </c>
      <c r="AO88" s="3">
        <v>4.5999999999999999E-2</v>
      </c>
      <c r="AP88" s="3">
        <v>3.6999999999999998E-2</v>
      </c>
      <c r="AQ88" s="3">
        <v>2.3E-2</v>
      </c>
      <c r="AR88" s="3">
        <v>4.9000000000000002E-2</v>
      </c>
      <c r="AS88" s="3">
        <v>2313</v>
      </c>
      <c r="AT88" s="3">
        <v>2310</v>
      </c>
      <c r="AU88" s="3">
        <v>2311</v>
      </c>
      <c r="AV88" s="3">
        <v>-0.65300000000000002</v>
      </c>
      <c r="AW88" s="3">
        <v>-0.74299999999999999</v>
      </c>
      <c r="AX88" s="3">
        <v>-0.11899999999999999</v>
      </c>
      <c r="AY88" s="3">
        <v>-0.19700000000000001</v>
      </c>
      <c r="AZ88" s="3">
        <v>-1.048</v>
      </c>
      <c r="BA88" s="3">
        <v>-1.169</v>
      </c>
      <c r="BB88" s="3">
        <v>13.2</v>
      </c>
      <c r="BC88" s="3">
        <v>2876</v>
      </c>
      <c r="BE88" s="6">
        <f t="shared" si="43"/>
        <v>1199</v>
      </c>
      <c r="BG88" s="16">
        <v>18.63</v>
      </c>
      <c r="BH88" s="16">
        <f t="shared" si="46"/>
        <v>37.632599999999996</v>
      </c>
      <c r="BI88" s="17">
        <f t="shared" si="40"/>
        <v>18.37</v>
      </c>
      <c r="BJ88" s="17">
        <f t="shared" si="41"/>
        <v>36.54</v>
      </c>
      <c r="BL88" s="1">
        <f t="shared" si="47"/>
        <v>83.7</v>
      </c>
      <c r="BM88" s="1">
        <f t="shared" si="48"/>
        <v>59.9</v>
      </c>
      <c r="BN88" s="1">
        <f t="shared" si="49"/>
        <v>37.6</v>
      </c>
      <c r="BO88" s="49">
        <f t="shared" si="55"/>
        <v>0.42299999999999999</v>
      </c>
      <c r="BP88" s="49">
        <f t="shared" si="56"/>
        <v>0.70199999999999996</v>
      </c>
      <c r="BR88" s="3">
        <v>0</v>
      </c>
      <c r="BT88" s="16">
        <f t="shared" si="50"/>
        <v>18.37</v>
      </c>
      <c r="BU88" s="16">
        <f t="shared" si="51"/>
        <v>36.54</v>
      </c>
      <c r="BV88" s="3">
        <f t="shared" si="52"/>
        <v>3.2</v>
      </c>
      <c r="BW88" s="3">
        <f t="shared" si="45"/>
        <v>2.6</v>
      </c>
      <c r="BX88" s="3">
        <f t="shared" si="45"/>
        <v>-1</v>
      </c>
      <c r="BY88" s="3">
        <f t="shared" si="45"/>
        <v>-0.2</v>
      </c>
      <c r="BZ88" s="3">
        <f t="shared" si="44"/>
        <v>-0.6</v>
      </c>
      <c r="CA88" s="3">
        <f t="shared" si="44"/>
        <v>-0.6</v>
      </c>
      <c r="CB88" s="3">
        <f t="shared" si="44"/>
        <v>0.5</v>
      </c>
      <c r="CC88" s="22">
        <f t="shared" si="53"/>
        <v>59.9</v>
      </c>
      <c r="CD88" s="1">
        <f t="shared" si="57"/>
        <v>8.6999999999999993</v>
      </c>
      <c r="CE88" s="1">
        <f t="shared" si="58"/>
        <v>10.1</v>
      </c>
      <c r="CF88" s="1">
        <f t="shared" si="59"/>
        <v>1.1000000000000001</v>
      </c>
      <c r="CG88" s="1">
        <f t="shared" si="60"/>
        <v>0</v>
      </c>
      <c r="CH88" s="1">
        <f t="shared" si="61"/>
        <v>-0.4</v>
      </c>
      <c r="CI88" s="1">
        <f t="shared" si="62"/>
        <v>-0.5</v>
      </c>
      <c r="CJ88" s="1">
        <f t="shared" si="63"/>
        <v>0.5</v>
      </c>
      <c r="CK88" s="2">
        <f t="shared" si="54"/>
        <v>83.7</v>
      </c>
      <c r="CL88" s="1">
        <f t="shared" si="64"/>
        <v>-2.6</v>
      </c>
      <c r="CM88" s="1">
        <f t="shared" si="65"/>
        <v>-4.2</v>
      </c>
      <c r="CN88" s="1">
        <f t="shared" si="66"/>
        <v>-2.9</v>
      </c>
      <c r="CO88" s="1">
        <f t="shared" si="67"/>
        <v>-0.5</v>
      </c>
      <c r="CP88" s="1">
        <f t="shared" si="68"/>
        <v>-0.8</v>
      </c>
      <c r="CQ88" s="1">
        <f t="shared" si="69"/>
        <v>-0.6</v>
      </c>
      <c r="CR88" s="1">
        <f t="shared" si="70"/>
        <v>0.4</v>
      </c>
      <c r="CS88" s="2">
        <f t="shared" si="71"/>
        <v>37.6</v>
      </c>
      <c r="CT88" s="6">
        <f t="shared" si="72"/>
        <v>1199</v>
      </c>
      <c r="CU88" s="1">
        <f>PPTest!K88</f>
        <v>0</v>
      </c>
      <c r="CV88" s="3">
        <f t="shared" si="73"/>
        <v>1.85</v>
      </c>
      <c r="CW88" s="3">
        <f t="shared" si="74"/>
        <v>4.7</v>
      </c>
      <c r="CX88" s="24">
        <f t="shared" si="75"/>
        <v>0.42299999999999999</v>
      </c>
      <c r="CY88" s="24">
        <f t="shared" si="75"/>
        <v>0.70199999999999996</v>
      </c>
      <c r="CZ88" s="16">
        <f t="shared" si="76"/>
        <v>13.2</v>
      </c>
    </row>
    <row r="89" spans="1:104" x14ac:dyDescent="0.2">
      <c r="A89" s="14">
        <f t="shared" si="77"/>
        <v>38800</v>
      </c>
      <c r="B89" s="1">
        <v>83</v>
      </c>
      <c r="C89" s="3">
        <v>4.593</v>
      </c>
      <c r="D89" s="3">
        <v>9.5500000000000007</v>
      </c>
      <c r="E89" s="3">
        <v>0.14399999999999999</v>
      </c>
      <c r="F89" s="3">
        <v>95.9</v>
      </c>
      <c r="G89" s="3">
        <v>-0.72699999999999998</v>
      </c>
      <c r="H89" s="3">
        <v>-0.16</v>
      </c>
      <c r="I89" s="3">
        <v>-4.4999999999999998E-2</v>
      </c>
      <c r="J89" s="3">
        <v>-0.379</v>
      </c>
      <c r="K89" s="3">
        <v>-0.435</v>
      </c>
      <c r="L89" s="3">
        <v>0.47199999999999998</v>
      </c>
      <c r="M89" s="3">
        <v>1.796</v>
      </c>
      <c r="N89" s="3">
        <v>1</v>
      </c>
      <c r="O89" s="3">
        <v>4.5309999999999997</v>
      </c>
      <c r="P89" s="3">
        <v>27</v>
      </c>
      <c r="Q89" s="3">
        <v>111.1</v>
      </c>
      <c r="R89" s="3">
        <v>1909</v>
      </c>
      <c r="S89" s="3">
        <v>5.3810000000000002</v>
      </c>
      <c r="T89" s="3">
        <v>2.1560000000000001</v>
      </c>
      <c r="U89" s="3">
        <v>3.4000000000000002E-2</v>
      </c>
      <c r="V89" s="3">
        <v>-0.318</v>
      </c>
      <c r="W89" s="3">
        <v>-0.375</v>
      </c>
      <c r="X89" s="3">
        <v>0.501</v>
      </c>
      <c r="Y89" s="3">
        <v>6.6310000000000002</v>
      </c>
      <c r="Z89" s="3">
        <v>1712</v>
      </c>
      <c r="AA89" s="3">
        <v>-8.66</v>
      </c>
      <c r="AB89" s="3">
        <v>2333</v>
      </c>
      <c r="AC89" s="3">
        <v>61.55</v>
      </c>
      <c r="AD89" s="3">
        <v>351</v>
      </c>
      <c r="AE89" s="3">
        <v>-10.26</v>
      </c>
      <c r="AF89" s="3">
        <v>-0.85799999999999998</v>
      </c>
      <c r="AG89" s="3">
        <v>-0.14799999999999999</v>
      </c>
      <c r="AH89" s="3">
        <v>-0.46</v>
      </c>
      <c r="AI89" s="3">
        <v>-0.50900000000000001</v>
      </c>
      <c r="AJ89" s="3">
        <v>0.433</v>
      </c>
      <c r="AK89" s="3">
        <v>0.125</v>
      </c>
      <c r="AL89" s="3">
        <v>0.34</v>
      </c>
      <c r="AM89" s="3">
        <v>0.20200000000000001</v>
      </c>
      <c r="AN89" s="3">
        <v>5.6000000000000001E-2</v>
      </c>
      <c r="AO89" s="3">
        <v>6.7000000000000004E-2</v>
      </c>
      <c r="AP89" s="3">
        <v>0.108</v>
      </c>
      <c r="AQ89" s="3">
        <v>0.06</v>
      </c>
      <c r="AR89" s="3">
        <v>4.2000000000000003E-2</v>
      </c>
      <c r="AS89" s="3">
        <v>6999</v>
      </c>
      <c r="AT89" s="3">
        <v>2267</v>
      </c>
      <c r="AU89" s="19">
        <f>AT89</f>
        <v>2267</v>
      </c>
      <c r="AV89" s="3">
        <v>-0.125</v>
      </c>
      <c r="AW89" s="3">
        <v>-0.20599999999999999</v>
      </c>
      <c r="AX89" s="3">
        <v>-1.6E-2</v>
      </c>
      <c r="AY89" s="3">
        <v>-5.8999999999999997E-2</v>
      </c>
      <c r="AZ89" s="3">
        <v>-0.32500000000000001</v>
      </c>
      <c r="BA89" s="3">
        <v>-0.40100000000000002</v>
      </c>
      <c r="BB89" s="3">
        <v>13.11</v>
      </c>
      <c r="BC89" s="3">
        <v>2876</v>
      </c>
      <c r="BE89" s="6">
        <f t="shared" si="43"/>
        <v>1243</v>
      </c>
      <c r="BG89" s="16">
        <v>18.899999999999999</v>
      </c>
      <c r="BH89" s="16">
        <f t="shared" si="46"/>
        <v>38.177999999999997</v>
      </c>
      <c r="BI89" s="17">
        <f t="shared" si="40"/>
        <v>4.5</v>
      </c>
      <c r="BJ89" s="17">
        <f t="shared" si="41"/>
        <v>10.51</v>
      </c>
      <c r="BL89" s="1">
        <f t="shared" si="47"/>
        <v>100</v>
      </c>
      <c r="BM89" s="1">
        <f t="shared" si="48"/>
        <v>77.400000000000006</v>
      </c>
      <c r="BN89" s="1">
        <f t="shared" si="49"/>
        <v>47.2</v>
      </c>
      <c r="BO89" s="49">
        <f t="shared" si="55"/>
        <v>0.39800000000000002</v>
      </c>
      <c r="BP89" s="49">
        <f t="shared" si="56"/>
        <v>0.44500000000000001</v>
      </c>
      <c r="BR89" s="3">
        <v>4.5999999999999996</v>
      </c>
      <c r="BT89" s="16">
        <f t="shared" si="50"/>
        <v>4.5</v>
      </c>
      <c r="BU89" s="16">
        <f t="shared" si="51"/>
        <v>10.51</v>
      </c>
      <c r="BV89" s="3">
        <f t="shared" si="52"/>
        <v>0.1</v>
      </c>
      <c r="BW89" s="3">
        <f t="shared" si="45"/>
        <v>-0.7</v>
      </c>
      <c r="BX89" s="3">
        <f t="shared" si="45"/>
        <v>-0.2</v>
      </c>
      <c r="BY89" s="3">
        <f t="shared" si="45"/>
        <v>0</v>
      </c>
      <c r="BZ89" s="3">
        <f t="shared" si="44"/>
        <v>-0.4</v>
      </c>
      <c r="CA89" s="3">
        <f t="shared" si="44"/>
        <v>-0.4</v>
      </c>
      <c r="CB89" s="3">
        <f t="shared" si="44"/>
        <v>0.5</v>
      </c>
      <c r="CC89" s="22">
        <f t="shared" si="53"/>
        <v>77.400000000000006</v>
      </c>
      <c r="CD89" s="1">
        <f t="shared" si="57"/>
        <v>4.5</v>
      </c>
      <c r="CE89" s="1">
        <f t="shared" si="58"/>
        <v>5.4</v>
      </c>
      <c r="CF89" s="1">
        <f t="shared" si="59"/>
        <v>2.2000000000000002</v>
      </c>
      <c r="CG89" s="1">
        <f t="shared" si="60"/>
        <v>0</v>
      </c>
      <c r="CH89" s="1">
        <f t="shared" si="61"/>
        <v>-0.3</v>
      </c>
      <c r="CI89" s="1">
        <f t="shared" si="62"/>
        <v>-0.4</v>
      </c>
      <c r="CJ89" s="1">
        <f t="shared" si="63"/>
        <v>0.5</v>
      </c>
      <c r="CK89" s="2">
        <f t="shared" si="54"/>
        <v>100</v>
      </c>
      <c r="CL89" s="1">
        <f t="shared" si="64"/>
        <v>-8.6999999999999993</v>
      </c>
      <c r="CM89" s="1">
        <f t="shared" si="65"/>
        <v>-10.3</v>
      </c>
      <c r="CN89" s="1">
        <f t="shared" si="66"/>
        <v>-0.9</v>
      </c>
      <c r="CO89" s="1">
        <f t="shared" si="67"/>
        <v>-0.1</v>
      </c>
      <c r="CP89" s="1">
        <f t="shared" si="68"/>
        <v>-0.5</v>
      </c>
      <c r="CQ89" s="1">
        <f t="shared" si="69"/>
        <v>-0.5</v>
      </c>
      <c r="CR89" s="1">
        <f t="shared" si="70"/>
        <v>0.4</v>
      </c>
      <c r="CS89" s="2">
        <f t="shared" si="71"/>
        <v>47.2</v>
      </c>
      <c r="CT89" s="6">
        <f t="shared" si="72"/>
        <v>1243</v>
      </c>
      <c r="CU89" s="1">
        <f>PPTest!K89</f>
        <v>5.7</v>
      </c>
      <c r="CV89" s="3">
        <f t="shared" si="73"/>
        <v>1.8</v>
      </c>
      <c r="CW89" s="3">
        <f t="shared" si="74"/>
        <v>6.63</v>
      </c>
      <c r="CX89" s="24">
        <f t="shared" si="75"/>
        <v>0.39800000000000002</v>
      </c>
      <c r="CY89" s="24">
        <f t="shared" si="75"/>
        <v>0.44500000000000001</v>
      </c>
      <c r="CZ89" s="16">
        <f t="shared" si="76"/>
        <v>13.11</v>
      </c>
    </row>
    <row r="90" spans="1:104" x14ac:dyDescent="0.2">
      <c r="A90" s="14">
        <f t="shared" si="77"/>
        <v>38801</v>
      </c>
      <c r="B90" s="1">
        <v>84</v>
      </c>
      <c r="C90" s="3">
        <v>7.72</v>
      </c>
      <c r="D90" s="3">
        <v>12.22</v>
      </c>
      <c r="E90" s="3">
        <v>-3.5230000000000001</v>
      </c>
      <c r="F90" s="3">
        <v>106.2</v>
      </c>
      <c r="G90" s="3">
        <v>-4.2809999999999997</v>
      </c>
      <c r="H90" s="3">
        <v>-0.318</v>
      </c>
      <c r="I90" s="3">
        <v>-7.3999999999999996E-2</v>
      </c>
      <c r="J90" s="3">
        <v>-0.40400000000000003</v>
      </c>
      <c r="K90" s="3">
        <v>-0.371</v>
      </c>
      <c r="L90" s="3">
        <v>0.46899999999999997</v>
      </c>
      <c r="M90" s="3">
        <v>1.2589999999999999</v>
      </c>
      <c r="N90" s="3">
        <v>0</v>
      </c>
      <c r="O90" s="3">
        <v>3.6539999999999999</v>
      </c>
      <c r="P90" s="3">
        <v>1439</v>
      </c>
      <c r="Q90" s="3">
        <v>110.9</v>
      </c>
      <c r="R90" s="3">
        <v>224</v>
      </c>
      <c r="S90" s="3">
        <v>6.0670000000000002</v>
      </c>
      <c r="T90" s="3">
        <v>0.52500000000000002</v>
      </c>
      <c r="U90" s="3">
        <v>2E-3</v>
      </c>
      <c r="V90" s="3">
        <v>-0.33200000000000002</v>
      </c>
      <c r="W90" s="3">
        <v>-0.33200000000000002</v>
      </c>
      <c r="X90" s="3">
        <v>0.501</v>
      </c>
      <c r="Y90" s="3">
        <v>3.1869999999999998</v>
      </c>
      <c r="Z90" s="3">
        <v>1326</v>
      </c>
      <c r="AA90" s="3">
        <v>-11.11</v>
      </c>
      <c r="AB90" s="3">
        <v>2342</v>
      </c>
      <c r="AC90" s="3">
        <v>80.8</v>
      </c>
      <c r="AD90" s="3">
        <v>1441</v>
      </c>
      <c r="AE90" s="3">
        <v>-12.68</v>
      </c>
      <c r="AF90" s="3">
        <v>-2.9889999999999999</v>
      </c>
      <c r="AG90" s="3">
        <v>-0.38500000000000001</v>
      </c>
      <c r="AH90" s="3">
        <v>-0.55300000000000005</v>
      </c>
      <c r="AI90" s="3">
        <v>-0.41499999999999998</v>
      </c>
      <c r="AJ90" s="3">
        <v>0.442</v>
      </c>
      <c r="AK90" s="3">
        <v>3.3000000000000002E-2</v>
      </c>
      <c r="AL90" s="3">
        <v>0.16700000000000001</v>
      </c>
      <c r="AM90" s="3">
        <v>0.20699999999999999</v>
      </c>
      <c r="AN90" s="3">
        <v>2.1999999999999999E-2</v>
      </c>
      <c r="AO90" s="3">
        <v>0.22500000000000001</v>
      </c>
      <c r="AP90" s="3">
        <v>0.28199999999999997</v>
      </c>
      <c r="AQ90" s="3">
        <v>5.1999999999999998E-2</v>
      </c>
      <c r="AR90" s="3">
        <v>1.0999999999999999E-2</v>
      </c>
      <c r="AS90" s="3">
        <v>2250</v>
      </c>
      <c r="AT90" s="3">
        <v>2249</v>
      </c>
      <c r="AU90" s="3">
        <v>2250</v>
      </c>
      <c r="AV90" s="3">
        <v>-0.109</v>
      </c>
      <c r="AW90" s="3">
        <v>-0.18099999999999999</v>
      </c>
      <c r="AX90" s="3">
        <v>-3.5999999999999997E-2</v>
      </c>
      <c r="AY90" s="3">
        <v>-0.104</v>
      </c>
      <c r="AZ90" s="3">
        <v>-0.18099999999999999</v>
      </c>
      <c r="BA90" s="3">
        <v>-0.245</v>
      </c>
      <c r="BB90" s="3">
        <v>13.2</v>
      </c>
      <c r="BC90" s="3">
        <v>2876</v>
      </c>
      <c r="BE90" s="6">
        <f t="shared" si="43"/>
        <v>1260</v>
      </c>
      <c r="BG90" s="16">
        <v>19.16</v>
      </c>
      <c r="BH90" s="16">
        <f t="shared" si="46"/>
        <v>38.703200000000002</v>
      </c>
      <c r="BI90" s="17">
        <f t="shared" si="40"/>
        <v>7.57</v>
      </c>
      <c r="BJ90" s="17">
        <f t="shared" si="41"/>
        <v>13.44</v>
      </c>
      <c r="BL90" s="1">
        <f t="shared" si="47"/>
        <v>99.6</v>
      </c>
      <c r="BM90" s="1">
        <f t="shared" si="48"/>
        <v>92.2</v>
      </c>
      <c r="BN90" s="1">
        <f t="shared" si="49"/>
        <v>64.099999999999994</v>
      </c>
      <c r="BO90" s="49">
        <f t="shared" si="55"/>
        <v>0.50900000000000001</v>
      </c>
      <c r="BP90" s="49">
        <f t="shared" si="56"/>
        <v>0.28499999999999998</v>
      </c>
      <c r="BR90" s="3">
        <v>2.8</v>
      </c>
      <c r="BT90" s="16">
        <f t="shared" si="50"/>
        <v>7.57</v>
      </c>
      <c r="BU90" s="16">
        <f t="shared" si="51"/>
        <v>13.44</v>
      </c>
      <c r="BV90" s="3">
        <f t="shared" si="52"/>
        <v>-3.5</v>
      </c>
      <c r="BW90" s="3">
        <f t="shared" si="45"/>
        <v>-4.3</v>
      </c>
      <c r="BX90" s="3">
        <f t="shared" si="45"/>
        <v>-0.3</v>
      </c>
      <c r="BY90" s="3">
        <f t="shared" si="45"/>
        <v>-0.1</v>
      </c>
      <c r="BZ90" s="3">
        <f t="shared" si="44"/>
        <v>-0.4</v>
      </c>
      <c r="CA90" s="3">
        <f t="shared" si="44"/>
        <v>-0.4</v>
      </c>
      <c r="CB90" s="3">
        <f t="shared" si="44"/>
        <v>0.5</v>
      </c>
      <c r="CC90" s="22">
        <f t="shared" si="53"/>
        <v>92.2</v>
      </c>
      <c r="CD90" s="1">
        <f t="shared" si="57"/>
        <v>3.7</v>
      </c>
      <c r="CE90" s="1">
        <f t="shared" si="58"/>
        <v>6.1</v>
      </c>
      <c r="CF90" s="1">
        <f t="shared" si="59"/>
        <v>0.5</v>
      </c>
      <c r="CG90" s="1">
        <f t="shared" si="60"/>
        <v>0</v>
      </c>
      <c r="CH90" s="1">
        <f t="shared" si="61"/>
        <v>-0.3</v>
      </c>
      <c r="CI90" s="1">
        <f t="shared" si="62"/>
        <v>-0.3</v>
      </c>
      <c r="CJ90" s="1">
        <f t="shared" si="63"/>
        <v>0.5</v>
      </c>
      <c r="CK90" s="2">
        <f t="shared" si="54"/>
        <v>99.6</v>
      </c>
      <c r="CL90" s="1">
        <f t="shared" si="64"/>
        <v>-11.1</v>
      </c>
      <c r="CM90" s="1">
        <f t="shared" si="65"/>
        <v>-12.7</v>
      </c>
      <c r="CN90" s="1">
        <f t="shared" si="66"/>
        <v>-3</v>
      </c>
      <c r="CO90" s="1">
        <f t="shared" si="67"/>
        <v>-0.4</v>
      </c>
      <c r="CP90" s="1">
        <f t="shared" si="68"/>
        <v>-0.6</v>
      </c>
      <c r="CQ90" s="1">
        <f t="shared" si="69"/>
        <v>-0.4</v>
      </c>
      <c r="CR90" s="1">
        <f t="shared" si="70"/>
        <v>0.4</v>
      </c>
      <c r="CS90" s="2">
        <f t="shared" si="71"/>
        <v>64.099999999999994</v>
      </c>
      <c r="CT90" s="6">
        <f t="shared" si="72"/>
        <v>1260</v>
      </c>
      <c r="CU90" s="1">
        <f>PPTest!K90</f>
        <v>2.2000000000000002</v>
      </c>
      <c r="CV90" s="3">
        <f t="shared" si="73"/>
        <v>1.26</v>
      </c>
      <c r="CW90" s="3">
        <f t="shared" si="74"/>
        <v>3.19</v>
      </c>
      <c r="CX90" s="24">
        <f t="shared" si="75"/>
        <v>0.50900000000000001</v>
      </c>
      <c r="CY90" s="24">
        <f t="shared" si="75"/>
        <v>0.28499999999999998</v>
      </c>
      <c r="CZ90" s="16">
        <f t="shared" si="76"/>
        <v>13.2</v>
      </c>
    </row>
    <row r="91" spans="1:104" x14ac:dyDescent="0.2">
      <c r="A91" s="14">
        <f t="shared" si="77"/>
        <v>38802</v>
      </c>
      <c r="B91" s="1">
        <v>85</v>
      </c>
      <c r="C91" s="3">
        <v>13.55</v>
      </c>
      <c r="D91" s="3">
        <v>24.49</v>
      </c>
      <c r="E91" s="3">
        <v>-5.468</v>
      </c>
      <c r="F91" s="3">
        <v>90.7</v>
      </c>
      <c r="G91" s="3">
        <v>-5.9980000000000002</v>
      </c>
      <c r="H91" s="3">
        <v>-3.2440000000000002</v>
      </c>
      <c r="I91" s="3">
        <v>-0.28000000000000003</v>
      </c>
      <c r="J91" s="3">
        <v>-0.751</v>
      </c>
      <c r="K91" s="3">
        <v>-0.38</v>
      </c>
      <c r="L91" s="3">
        <v>0.45800000000000002</v>
      </c>
      <c r="M91" s="3">
        <v>1.71</v>
      </c>
      <c r="N91" s="3">
        <v>0</v>
      </c>
      <c r="O91" s="3">
        <v>1.08</v>
      </c>
      <c r="P91" s="3">
        <v>1422</v>
      </c>
      <c r="Q91" s="3">
        <v>108.8</v>
      </c>
      <c r="R91" s="3">
        <v>313</v>
      </c>
      <c r="S91" s="3">
        <v>3.6240000000000001</v>
      </c>
      <c r="T91" s="3">
        <v>-0.11899999999999999</v>
      </c>
      <c r="U91" s="3">
        <v>-0.03</v>
      </c>
      <c r="V91" s="3">
        <v>-0.54200000000000004</v>
      </c>
      <c r="W91" s="3">
        <v>-0.32600000000000001</v>
      </c>
      <c r="X91" s="3">
        <v>0.49</v>
      </c>
      <c r="Y91" s="3">
        <v>5.82</v>
      </c>
      <c r="Z91" s="3">
        <v>1527</v>
      </c>
      <c r="AA91" s="3">
        <v>-14.14</v>
      </c>
      <c r="AB91" s="3">
        <v>548</v>
      </c>
      <c r="AC91" s="3">
        <v>58.74</v>
      </c>
      <c r="AD91" s="3">
        <v>1425</v>
      </c>
      <c r="AE91" s="3">
        <v>-16.04</v>
      </c>
      <c r="AF91" s="3">
        <v>-6.351</v>
      </c>
      <c r="AG91" s="3">
        <v>-0.89200000000000002</v>
      </c>
      <c r="AH91" s="3">
        <v>-0.91500000000000004</v>
      </c>
      <c r="AI91" s="3">
        <v>-0.437</v>
      </c>
      <c r="AJ91" s="3">
        <v>0.433</v>
      </c>
      <c r="AK91" s="3">
        <v>1.7000000000000001E-2</v>
      </c>
      <c r="AL91" s="3">
        <v>0.222</v>
      </c>
      <c r="AM91" s="3">
        <v>0.124</v>
      </c>
      <c r="AN91" s="3">
        <v>6.5000000000000002E-2</v>
      </c>
      <c r="AO91" s="3">
        <v>0.253</v>
      </c>
      <c r="AP91" s="3">
        <v>0.24399999999999999</v>
      </c>
      <c r="AQ91" s="3">
        <v>0.06</v>
      </c>
      <c r="AR91" s="3">
        <v>1.4E-2</v>
      </c>
      <c r="AS91" s="3">
        <v>2264</v>
      </c>
      <c r="AT91" s="3">
        <v>2257</v>
      </c>
      <c r="AU91" s="3">
        <v>2261</v>
      </c>
      <c r="AV91" s="3">
        <v>-0.20499999999999999</v>
      </c>
      <c r="AW91" s="3">
        <v>-0.29299999999999998</v>
      </c>
      <c r="AX91" s="3">
        <v>-9.8000000000000004E-2</v>
      </c>
      <c r="AY91" s="3">
        <v>-0.16900000000000001</v>
      </c>
      <c r="AZ91" s="3">
        <v>-0.30499999999999999</v>
      </c>
      <c r="BA91" s="3">
        <v>-0.41199999999999998</v>
      </c>
      <c r="BB91" s="3">
        <v>13.2</v>
      </c>
      <c r="BC91" s="3">
        <v>2876</v>
      </c>
      <c r="BE91" s="6">
        <f t="shared" si="43"/>
        <v>1249</v>
      </c>
      <c r="BG91" s="16">
        <v>19.440000000000001</v>
      </c>
      <c r="BH91" s="16">
        <f t="shared" si="46"/>
        <v>39.268800000000006</v>
      </c>
      <c r="BI91" s="17">
        <f t="shared" si="40"/>
        <v>13.28</v>
      </c>
      <c r="BJ91" s="17">
        <f t="shared" si="41"/>
        <v>26.94</v>
      </c>
      <c r="BL91" s="1">
        <f t="shared" si="47"/>
        <v>96.3</v>
      </c>
      <c r="BM91" s="1">
        <f t="shared" si="48"/>
        <v>72.8</v>
      </c>
      <c r="BN91" s="1">
        <f t="shared" si="49"/>
        <v>44.7</v>
      </c>
      <c r="BO91" s="49">
        <f t="shared" si="55"/>
        <v>0.29499999999999998</v>
      </c>
      <c r="BP91" s="49">
        <f t="shared" si="56"/>
        <v>0.36499999999999999</v>
      </c>
      <c r="BR91" s="3">
        <v>0</v>
      </c>
      <c r="BT91" s="16">
        <f t="shared" si="50"/>
        <v>13.28</v>
      </c>
      <c r="BU91" s="16">
        <f t="shared" si="51"/>
        <v>26.94</v>
      </c>
      <c r="BV91" s="3">
        <f t="shared" si="52"/>
        <v>-5.5</v>
      </c>
      <c r="BW91" s="3">
        <f t="shared" si="45"/>
        <v>-6</v>
      </c>
      <c r="BX91" s="3">
        <f t="shared" si="45"/>
        <v>-3.2</v>
      </c>
      <c r="BY91" s="3">
        <f t="shared" si="45"/>
        <v>-0.3</v>
      </c>
      <c r="BZ91" s="3">
        <f t="shared" si="44"/>
        <v>-0.8</v>
      </c>
      <c r="CA91" s="3">
        <f t="shared" si="44"/>
        <v>-0.4</v>
      </c>
      <c r="CB91" s="3">
        <f t="shared" si="44"/>
        <v>0.5</v>
      </c>
      <c r="CC91" s="22">
        <f t="shared" si="53"/>
        <v>72.8</v>
      </c>
      <c r="CD91" s="1">
        <f t="shared" si="57"/>
        <v>1.1000000000000001</v>
      </c>
      <c r="CE91" s="1">
        <f t="shared" si="58"/>
        <v>3.6</v>
      </c>
      <c r="CF91" s="1">
        <f t="shared" si="59"/>
        <v>-0.1</v>
      </c>
      <c r="CG91" s="1">
        <f t="shared" si="60"/>
        <v>0</v>
      </c>
      <c r="CH91" s="1">
        <f t="shared" si="61"/>
        <v>-0.5</v>
      </c>
      <c r="CI91" s="1">
        <f t="shared" si="62"/>
        <v>-0.3</v>
      </c>
      <c r="CJ91" s="1">
        <f t="shared" si="63"/>
        <v>0.5</v>
      </c>
      <c r="CK91" s="2">
        <f t="shared" si="54"/>
        <v>96.3</v>
      </c>
      <c r="CL91" s="1">
        <f t="shared" si="64"/>
        <v>-14.1</v>
      </c>
      <c r="CM91" s="1">
        <f t="shared" si="65"/>
        <v>-16</v>
      </c>
      <c r="CN91" s="1">
        <f t="shared" si="66"/>
        <v>-6.4</v>
      </c>
      <c r="CO91" s="1">
        <f t="shared" si="67"/>
        <v>-0.9</v>
      </c>
      <c r="CP91" s="1">
        <f t="shared" si="68"/>
        <v>-0.9</v>
      </c>
      <c r="CQ91" s="1">
        <f t="shared" si="69"/>
        <v>-0.4</v>
      </c>
      <c r="CR91" s="1">
        <f t="shared" si="70"/>
        <v>0.4</v>
      </c>
      <c r="CS91" s="2">
        <f t="shared" si="71"/>
        <v>44.7</v>
      </c>
      <c r="CT91" s="6">
        <f t="shared" si="72"/>
        <v>1249</v>
      </c>
      <c r="CU91" s="1">
        <f>PPTest!K91</f>
        <v>0</v>
      </c>
      <c r="CV91" s="3">
        <f t="shared" si="73"/>
        <v>1.71</v>
      </c>
      <c r="CW91" s="3">
        <f t="shared" si="74"/>
        <v>5.82</v>
      </c>
      <c r="CX91" s="24">
        <f t="shared" si="75"/>
        <v>0.29499999999999998</v>
      </c>
      <c r="CY91" s="24">
        <f t="shared" si="75"/>
        <v>0.36499999999999999</v>
      </c>
      <c r="CZ91" s="16">
        <f t="shared" si="76"/>
        <v>13.2</v>
      </c>
    </row>
    <row r="92" spans="1:104" x14ac:dyDescent="0.2">
      <c r="A92" s="14">
        <f t="shared" si="77"/>
        <v>38803</v>
      </c>
      <c r="B92" s="1">
        <v>86</v>
      </c>
      <c r="C92" s="3">
        <v>10.97</v>
      </c>
      <c r="D92" s="3">
        <v>19.93</v>
      </c>
      <c r="E92" s="3">
        <v>-3.056</v>
      </c>
      <c r="F92" s="3">
        <v>93.6</v>
      </c>
      <c r="G92" s="3">
        <v>-3.512</v>
      </c>
      <c r="H92" s="3">
        <v>-2.835</v>
      </c>
      <c r="I92" s="3">
        <v>-0.16400000000000001</v>
      </c>
      <c r="J92" s="3">
        <v>-0.67300000000000004</v>
      </c>
      <c r="K92" s="3">
        <v>-0.435</v>
      </c>
      <c r="L92" s="3">
        <v>0.44500000000000001</v>
      </c>
      <c r="M92" s="3">
        <v>1.4219999999999999</v>
      </c>
      <c r="N92" s="3">
        <v>0</v>
      </c>
      <c r="O92" s="3">
        <v>1.2310000000000001</v>
      </c>
      <c r="P92" s="3">
        <v>1523</v>
      </c>
      <c r="Q92" s="3">
        <v>108.1</v>
      </c>
      <c r="R92" s="3">
        <v>2030</v>
      </c>
      <c r="S92" s="3">
        <v>2.0750000000000002</v>
      </c>
      <c r="T92" s="3">
        <v>-0.25</v>
      </c>
      <c r="U92" s="3">
        <v>-2.7E-2</v>
      </c>
      <c r="V92" s="3">
        <v>-0.58599999999999997</v>
      </c>
      <c r="W92" s="3">
        <v>-0.39200000000000002</v>
      </c>
      <c r="X92" s="3">
        <v>0.48</v>
      </c>
      <c r="Y92" s="3">
        <v>4.41</v>
      </c>
      <c r="Z92" s="3">
        <v>1055</v>
      </c>
      <c r="AA92" s="3">
        <v>-8.6300000000000008</v>
      </c>
      <c r="AB92" s="3">
        <v>2356</v>
      </c>
      <c r="AC92" s="3">
        <v>69.930000000000007</v>
      </c>
      <c r="AD92" s="3">
        <v>915</v>
      </c>
      <c r="AE92" s="3">
        <v>-9.69</v>
      </c>
      <c r="AF92" s="3">
        <v>-4.9980000000000002</v>
      </c>
      <c r="AG92" s="3">
        <v>-0.65200000000000002</v>
      </c>
      <c r="AH92" s="3">
        <v>-0.82299999999999995</v>
      </c>
      <c r="AI92" s="3">
        <v>-0.47199999999999998</v>
      </c>
      <c r="AJ92" s="3">
        <v>0.41299999999999998</v>
      </c>
      <c r="AK92" s="3">
        <v>4.7E-2</v>
      </c>
      <c r="AL92" s="3">
        <v>0.19500000000000001</v>
      </c>
      <c r="AM92" s="3">
        <v>0.26900000000000002</v>
      </c>
      <c r="AN92" s="3">
        <v>0.11899999999999999</v>
      </c>
      <c r="AO92" s="3">
        <v>0.13400000000000001</v>
      </c>
      <c r="AP92" s="3">
        <v>0.13700000000000001</v>
      </c>
      <c r="AQ92" s="3">
        <v>6.9000000000000006E-2</v>
      </c>
      <c r="AR92" s="3">
        <v>2.8000000000000001E-2</v>
      </c>
      <c r="AS92" s="3">
        <v>2260</v>
      </c>
      <c r="AT92" s="3">
        <v>2258</v>
      </c>
      <c r="AU92" s="3">
        <v>2259</v>
      </c>
      <c r="AV92" s="3">
        <v>-0.40799999999999997</v>
      </c>
      <c r="AW92" s="3">
        <v>-0.51300000000000001</v>
      </c>
      <c r="AX92" s="3">
        <v>-0.30499999999999999</v>
      </c>
      <c r="AY92" s="3">
        <v>-0.39</v>
      </c>
      <c r="AZ92" s="3">
        <v>-0.49099999999999999</v>
      </c>
      <c r="BA92" s="3">
        <v>-0.60599999999999998</v>
      </c>
      <c r="BB92" s="3">
        <v>13.19</v>
      </c>
      <c r="BC92" s="3">
        <v>2876</v>
      </c>
      <c r="BE92" s="6">
        <f t="shared" si="43"/>
        <v>1251</v>
      </c>
      <c r="BG92" s="16">
        <v>19.7</v>
      </c>
      <c r="BH92" s="16">
        <f t="shared" si="46"/>
        <v>39.793999999999997</v>
      </c>
      <c r="BI92" s="17">
        <f t="shared" si="40"/>
        <v>10.75</v>
      </c>
      <c r="BJ92" s="17">
        <f t="shared" si="41"/>
        <v>21.92</v>
      </c>
      <c r="BL92" s="1">
        <f t="shared" si="47"/>
        <v>95.2</v>
      </c>
      <c r="BM92" s="1">
        <f t="shared" si="48"/>
        <v>75.400000000000006</v>
      </c>
      <c r="BN92" s="1">
        <f t="shared" si="49"/>
        <v>54.5</v>
      </c>
      <c r="BO92" s="49">
        <f t="shared" si="55"/>
        <v>0.36399999999999999</v>
      </c>
      <c r="BP92" s="49">
        <f t="shared" si="56"/>
        <v>0.30399999999999999</v>
      </c>
      <c r="BR92" s="3">
        <v>0</v>
      </c>
      <c r="BT92" s="16">
        <f t="shared" si="50"/>
        <v>10.75</v>
      </c>
      <c r="BU92" s="16">
        <f t="shared" si="51"/>
        <v>21.92</v>
      </c>
      <c r="BV92" s="3">
        <f t="shared" si="52"/>
        <v>-3.1</v>
      </c>
      <c r="BW92" s="3">
        <f t="shared" si="45"/>
        <v>-3.5</v>
      </c>
      <c r="BX92" s="3">
        <f t="shared" si="45"/>
        <v>-2.8</v>
      </c>
      <c r="BY92" s="3">
        <f t="shared" si="45"/>
        <v>-0.2</v>
      </c>
      <c r="BZ92" s="3">
        <f t="shared" si="44"/>
        <v>-0.7</v>
      </c>
      <c r="CA92" s="3">
        <f t="shared" si="44"/>
        <v>-0.4</v>
      </c>
      <c r="CB92" s="3">
        <f t="shared" si="44"/>
        <v>0.4</v>
      </c>
      <c r="CC92" s="22">
        <f t="shared" si="53"/>
        <v>75.400000000000006</v>
      </c>
      <c r="CD92" s="1">
        <f t="shared" si="57"/>
        <v>1.2</v>
      </c>
      <c r="CE92" s="1">
        <f t="shared" si="58"/>
        <v>2.1</v>
      </c>
      <c r="CF92" s="1">
        <f t="shared" si="59"/>
        <v>-0.3</v>
      </c>
      <c r="CG92" s="1">
        <f t="shared" si="60"/>
        <v>0</v>
      </c>
      <c r="CH92" s="1">
        <f t="shared" si="61"/>
        <v>-0.6</v>
      </c>
      <c r="CI92" s="1">
        <f t="shared" si="62"/>
        <v>-0.4</v>
      </c>
      <c r="CJ92" s="1">
        <f t="shared" si="63"/>
        <v>0.5</v>
      </c>
      <c r="CK92" s="2">
        <f t="shared" si="54"/>
        <v>95.2</v>
      </c>
      <c r="CL92" s="1">
        <f t="shared" si="64"/>
        <v>-8.6</v>
      </c>
      <c r="CM92" s="1">
        <f t="shared" si="65"/>
        <v>-9.6999999999999993</v>
      </c>
      <c r="CN92" s="1">
        <f t="shared" si="66"/>
        <v>-5</v>
      </c>
      <c r="CO92" s="1">
        <f t="shared" si="67"/>
        <v>-0.7</v>
      </c>
      <c r="CP92" s="1">
        <f t="shared" si="68"/>
        <v>-0.8</v>
      </c>
      <c r="CQ92" s="1">
        <f t="shared" si="69"/>
        <v>-0.5</v>
      </c>
      <c r="CR92" s="1">
        <f t="shared" si="70"/>
        <v>0.4</v>
      </c>
      <c r="CS92" s="2">
        <f t="shared" si="71"/>
        <v>54.5</v>
      </c>
      <c r="CT92" s="6">
        <f t="shared" si="72"/>
        <v>1251</v>
      </c>
      <c r="CU92" s="1">
        <f>PPTest!K92</f>
        <v>0.3</v>
      </c>
      <c r="CV92" s="3">
        <f t="shared" si="73"/>
        <v>1.42</v>
      </c>
      <c r="CW92" s="3">
        <f t="shared" si="74"/>
        <v>4.41</v>
      </c>
      <c r="CX92" s="24">
        <f t="shared" si="75"/>
        <v>0.36399999999999999</v>
      </c>
      <c r="CY92" s="24">
        <f t="shared" si="75"/>
        <v>0.30399999999999999</v>
      </c>
      <c r="CZ92" s="16">
        <f t="shared" si="76"/>
        <v>13.19</v>
      </c>
    </row>
    <row r="93" spans="1:104" x14ac:dyDescent="0.2">
      <c r="A93" s="14">
        <f t="shared" si="77"/>
        <v>38804</v>
      </c>
      <c r="B93" s="1">
        <v>87</v>
      </c>
      <c r="C93" s="3">
        <v>8.85</v>
      </c>
      <c r="D93" s="3">
        <v>16.52</v>
      </c>
      <c r="E93" s="3">
        <v>-2.8410000000000002</v>
      </c>
      <c r="F93" s="3">
        <v>103.2</v>
      </c>
      <c r="G93" s="3">
        <v>-3.2069999999999999</v>
      </c>
      <c r="H93" s="3">
        <v>-2.7759999999999998</v>
      </c>
      <c r="I93" s="3">
        <v>-0.23300000000000001</v>
      </c>
      <c r="J93" s="3">
        <v>-0.875</v>
      </c>
      <c r="K93" s="3">
        <v>-0.48899999999999999</v>
      </c>
      <c r="L93" s="3">
        <v>0.437</v>
      </c>
      <c r="M93" s="3">
        <v>1.452</v>
      </c>
      <c r="N93" s="3">
        <v>0</v>
      </c>
      <c r="O93" s="3">
        <v>1.7589999999999999</v>
      </c>
      <c r="P93" s="3">
        <v>1114</v>
      </c>
      <c r="Q93" s="3">
        <v>110.9</v>
      </c>
      <c r="R93" s="3">
        <v>2349</v>
      </c>
      <c r="S93" s="3">
        <v>2.9159999999999999</v>
      </c>
      <c r="T93" s="3">
        <v>-0.32200000000000001</v>
      </c>
      <c r="U93" s="3">
        <v>-3.5999999999999997E-2</v>
      </c>
      <c r="V93" s="3">
        <v>-0.66100000000000003</v>
      </c>
      <c r="W93" s="3">
        <v>-0.42599999999999999</v>
      </c>
      <c r="X93" s="3">
        <v>0.46500000000000002</v>
      </c>
      <c r="Y93" s="3">
        <v>3.9980000000000002</v>
      </c>
      <c r="Z93" s="3">
        <v>1052</v>
      </c>
      <c r="AA93" s="3">
        <v>-10.119999999999999</v>
      </c>
      <c r="AB93" s="3">
        <v>330</v>
      </c>
      <c r="AC93" s="3">
        <v>82.9</v>
      </c>
      <c r="AD93" s="3">
        <v>1115</v>
      </c>
      <c r="AE93" s="3">
        <v>-11.15</v>
      </c>
      <c r="AF93" s="3">
        <v>-6.0419999999999998</v>
      </c>
      <c r="AG93" s="3">
        <v>-0.80200000000000005</v>
      </c>
      <c r="AH93" s="3">
        <v>-1.0640000000000001</v>
      </c>
      <c r="AI93" s="3">
        <v>-0.55000000000000004</v>
      </c>
      <c r="AJ93" s="3">
        <v>0.40300000000000002</v>
      </c>
      <c r="AK93" s="3">
        <v>0.21099999999999999</v>
      </c>
      <c r="AL93" s="3">
        <v>0.42299999999999999</v>
      </c>
      <c r="AM93" s="3">
        <v>0.26600000000000001</v>
      </c>
      <c r="AN93" s="3">
        <v>1.4E-2</v>
      </c>
      <c r="AO93" s="3">
        <v>2.1999999999999999E-2</v>
      </c>
      <c r="AP93" s="3">
        <v>1.4999999999999999E-2</v>
      </c>
      <c r="AQ93" s="3">
        <v>0.01</v>
      </c>
      <c r="AR93" s="3">
        <v>0.04</v>
      </c>
      <c r="AS93" s="3">
        <v>2309</v>
      </c>
      <c r="AT93" s="3">
        <v>2249</v>
      </c>
      <c r="AU93" s="3">
        <v>2269</v>
      </c>
      <c r="AV93" s="3">
        <v>-0.59099999999999997</v>
      </c>
      <c r="AW93" s="3">
        <v>-0.70399999999999996</v>
      </c>
      <c r="AX93" s="3">
        <v>-0.49099999999999999</v>
      </c>
      <c r="AY93" s="3">
        <v>-0.58599999999999997</v>
      </c>
      <c r="AZ93" s="3">
        <v>-0.65600000000000003</v>
      </c>
      <c r="BA93" s="3">
        <v>-0.78</v>
      </c>
      <c r="BB93" s="3">
        <v>13.18</v>
      </c>
      <c r="BC93" s="3">
        <v>2876</v>
      </c>
      <c r="BE93" s="6">
        <f t="shared" si="43"/>
        <v>1241</v>
      </c>
      <c r="BG93" s="16">
        <v>19.97</v>
      </c>
      <c r="BH93" s="16">
        <f t="shared" si="46"/>
        <v>40.339399999999998</v>
      </c>
      <c r="BI93" s="17">
        <f t="shared" si="40"/>
        <v>8.67</v>
      </c>
      <c r="BJ93" s="17">
        <f t="shared" si="41"/>
        <v>18.170000000000002</v>
      </c>
      <c r="BL93" s="1">
        <f t="shared" si="47"/>
        <v>99.6</v>
      </c>
      <c r="BM93" s="1">
        <f t="shared" si="48"/>
        <v>87.4</v>
      </c>
      <c r="BN93" s="1">
        <f t="shared" si="49"/>
        <v>66</v>
      </c>
      <c r="BO93" s="49">
        <f t="shared" si="55"/>
        <v>0.45800000000000002</v>
      </c>
      <c r="BP93" s="49">
        <f t="shared" si="56"/>
        <v>0.23599999999999999</v>
      </c>
      <c r="BR93" s="3">
        <v>0.6</v>
      </c>
      <c r="BT93" s="16">
        <f t="shared" si="50"/>
        <v>8.67</v>
      </c>
      <c r="BU93" s="16">
        <f t="shared" si="51"/>
        <v>18.170000000000002</v>
      </c>
      <c r="BV93" s="3">
        <f t="shared" si="52"/>
        <v>-2.8</v>
      </c>
      <c r="BW93" s="3">
        <f t="shared" si="45"/>
        <v>-3.2</v>
      </c>
      <c r="BX93" s="3">
        <f t="shared" si="45"/>
        <v>-2.8</v>
      </c>
      <c r="BY93" s="3">
        <f t="shared" si="45"/>
        <v>-0.2</v>
      </c>
      <c r="BZ93" s="3">
        <f t="shared" si="44"/>
        <v>-0.9</v>
      </c>
      <c r="CA93" s="3">
        <f t="shared" si="44"/>
        <v>-0.5</v>
      </c>
      <c r="CB93" s="3">
        <f t="shared" si="44"/>
        <v>0.4</v>
      </c>
      <c r="CC93" s="22">
        <f t="shared" si="53"/>
        <v>87.4</v>
      </c>
      <c r="CD93" s="1">
        <f t="shared" si="57"/>
        <v>1.8</v>
      </c>
      <c r="CE93" s="1">
        <f t="shared" si="58"/>
        <v>2.9</v>
      </c>
      <c r="CF93" s="1">
        <f t="shared" si="59"/>
        <v>-0.3</v>
      </c>
      <c r="CG93" s="1">
        <f t="shared" si="60"/>
        <v>0</v>
      </c>
      <c r="CH93" s="1">
        <f t="shared" si="61"/>
        <v>-0.7</v>
      </c>
      <c r="CI93" s="1">
        <f t="shared" si="62"/>
        <v>-0.4</v>
      </c>
      <c r="CJ93" s="1">
        <f t="shared" si="63"/>
        <v>0.5</v>
      </c>
      <c r="CK93" s="2">
        <f t="shared" si="54"/>
        <v>99.6</v>
      </c>
      <c r="CL93" s="1">
        <f t="shared" si="64"/>
        <v>-10.1</v>
      </c>
      <c r="CM93" s="1">
        <f t="shared" si="65"/>
        <v>-11.2</v>
      </c>
      <c r="CN93" s="1">
        <f t="shared" si="66"/>
        <v>-6</v>
      </c>
      <c r="CO93" s="1">
        <f t="shared" si="67"/>
        <v>-0.8</v>
      </c>
      <c r="CP93" s="1">
        <f t="shared" si="68"/>
        <v>-1.1000000000000001</v>
      </c>
      <c r="CQ93" s="1">
        <f t="shared" si="69"/>
        <v>-0.6</v>
      </c>
      <c r="CR93" s="1">
        <f t="shared" si="70"/>
        <v>0.4</v>
      </c>
      <c r="CS93" s="2">
        <f t="shared" si="71"/>
        <v>66</v>
      </c>
      <c r="CT93" s="6">
        <f t="shared" si="72"/>
        <v>1241</v>
      </c>
      <c r="CU93" s="1">
        <f>PPTest!K93</f>
        <v>0</v>
      </c>
      <c r="CV93" s="3">
        <f t="shared" si="73"/>
        <v>1.45</v>
      </c>
      <c r="CW93" s="3">
        <f t="shared" si="74"/>
        <v>4</v>
      </c>
      <c r="CX93" s="24">
        <f t="shared" si="75"/>
        <v>0.45800000000000002</v>
      </c>
      <c r="CY93" s="24">
        <f t="shared" si="75"/>
        <v>0.23599999999999999</v>
      </c>
      <c r="CZ93" s="16">
        <f t="shared" si="76"/>
        <v>13.18</v>
      </c>
    </row>
    <row r="94" spans="1:104" x14ac:dyDescent="0.2">
      <c r="A94" s="14">
        <f t="shared" si="77"/>
        <v>38805</v>
      </c>
      <c r="B94" s="1">
        <v>88</v>
      </c>
      <c r="C94" s="3">
        <v>16.52</v>
      </c>
      <c r="D94" s="3">
        <v>29.07</v>
      </c>
      <c r="E94" s="3">
        <v>-0.87</v>
      </c>
      <c r="F94" s="3">
        <v>93.8</v>
      </c>
      <c r="G94" s="3">
        <v>-1.43</v>
      </c>
      <c r="H94" s="3">
        <v>-1.298</v>
      </c>
      <c r="I94" s="3">
        <v>-0.11799999999999999</v>
      </c>
      <c r="J94" s="3">
        <v>-0.69399999999999995</v>
      </c>
      <c r="K94" s="3">
        <v>-0.48499999999999999</v>
      </c>
      <c r="L94" s="3">
        <v>0.432</v>
      </c>
      <c r="M94" s="3">
        <v>1.468</v>
      </c>
      <c r="N94" s="3">
        <v>0</v>
      </c>
      <c r="O94" s="3">
        <v>7.18</v>
      </c>
      <c r="P94" s="3">
        <v>1637</v>
      </c>
      <c r="Q94" s="3">
        <v>111</v>
      </c>
      <c r="R94" s="3">
        <v>15</v>
      </c>
      <c r="S94" s="3">
        <v>8.41</v>
      </c>
      <c r="T94" s="3">
        <v>2.5110000000000001</v>
      </c>
      <c r="U94" s="3">
        <v>3.5999999999999997E-2</v>
      </c>
      <c r="V94" s="3">
        <v>-0.47799999999999998</v>
      </c>
      <c r="W94" s="3">
        <v>-0.42099999999999999</v>
      </c>
      <c r="X94" s="3">
        <v>0.46100000000000002</v>
      </c>
      <c r="Y94" s="3">
        <v>3.9049999999999998</v>
      </c>
      <c r="Z94" s="3">
        <v>1326</v>
      </c>
      <c r="AA94" s="3">
        <v>-7.67</v>
      </c>
      <c r="AB94" s="3">
        <v>520</v>
      </c>
      <c r="AC94" s="3">
        <v>35.97</v>
      </c>
      <c r="AD94" s="3">
        <v>1604</v>
      </c>
      <c r="AE94" s="3">
        <v>-8.76</v>
      </c>
      <c r="AF94" s="3">
        <v>-3.76</v>
      </c>
      <c r="AG94" s="3">
        <v>-0.52600000000000002</v>
      </c>
      <c r="AH94" s="3">
        <v>-0.88100000000000001</v>
      </c>
      <c r="AI94" s="3">
        <v>-0.53500000000000003</v>
      </c>
      <c r="AJ94" s="3">
        <v>0.40200000000000002</v>
      </c>
      <c r="AK94" s="3">
        <v>6.6000000000000003E-2</v>
      </c>
      <c r="AL94" s="3">
        <v>0.30599999999999999</v>
      </c>
      <c r="AM94" s="3">
        <v>0.25600000000000001</v>
      </c>
      <c r="AN94" s="3">
        <v>3.1E-2</v>
      </c>
      <c r="AO94" s="3">
        <v>0.112</v>
      </c>
      <c r="AP94" s="3">
        <v>0.13100000000000001</v>
      </c>
      <c r="AQ94" s="3">
        <v>5.2999999999999999E-2</v>
      </c>
      <c r="AR94" s="3">
        <v>4.5999999999999999E-2</v>
      </c>
      <c r="AS94" s="3">
        <v>2301</v>
      </c>
      <c r="AT94" s="3">
        <v>2298</v>
      </c>
      <c r="AU94" s="3">
        <v>2299</v>
      </c>
      <c r="AV94" s="3">
        <v>-0.46400000000000002</v>
      </c>
      <c r="AW94" s="3">
        <v>-0.53100000000000003</v>
      </c>
      <c r="AX94" s="3">
        <v>-0.11899999999999999</v>
      </c>
      <c r="AY94" s="3">
        <v>-0.16</v>
      </c>
      <c r="AZ94" s="3">
        <v>-0.67600000000000005</v>
      </c>
      <c r="BA94" s="3">
        <v>-0.78100000000000003</v>
      </c>
      <c r="BB94" s="3">
        <v>13.2</v>
      </c>
      <c r="BC94" s="3">
        <v>2876</v>
      </c>
      <c r="BE94" s="6">
        <f t="shared" si="43"/>
        <v>1211</v>
      </c>
      <c r="BG94" s="16">
        <v>20.239999999999998</v>
      </c>
      <c r="BH94" s="16">
        <f t="shared" si="46"/>
        <v>40.884799999999998</v>
      </c>
      <c r="BI94" s="17">
        <f t="shared" si="40"/>
        <v>16.190000000000001</v>
      </c>
      <c r="BJ94" s="17">
        <f t="shared" si="41"/>
        <v>31.98</v>
      </c>
      <c r="BL94" s="1">
        <f t="shared" si="47"/>
        <v>99.8</v>
      </c>
      <c r="BM94" s="1">
        <f t="shared" si="48"/>
        <v>75.5</v>
      </c>
      <c r="BN94" s="1">
        <f t="shared" si="49"/>
        <v>24.7</v>
      </c>
      <c r="BO94" s="49">
        <f t="shared" si="55"/>
        <v>0.25</v>
      </c>
      <c r="BP94" s="49">
        <f t="shared" si="56"/>
        <v>0.76200000000000001</v>
      </c>
      <c r="BR94" s="3">
        <v>0.2</v>
      </c>
      <c r="BT94" s="16">
        <f t="shared" si="50"/>
        <v>16.190000000000001</v>
      </c>
      <c r="BU94" s="16">
        <f t="shared" si="51"/>
        <v>31.98</v>
      </c>
      <c r="BV94" s="3">
        <f t="shared" si="52"/>
        <v>-0.9</v>
      </c>
      <c r="BW94" s="3">
        <f t="shared" si="45"/>
        <v>-1.4</v>
      </c>
      <c r="BX94" s="3">
        <f t="shared" si="45"/>
        <v>-1.3</v>
      </c>
      <c r="BY94" s="3">
        <f t="shared" si="45"/>
        <v>-0.1</v>
      </c>
      <c r="BZ94" s="3">
        <f t="shared" si="44"/>
        <v>-0.7</v>
      </c>
      <c r="CA94" s="3">
        <f t="shared" si="44"/>
        <v>-0.5</v>
      </c>
      <c r="CB94" s="3">
        <f t="shared" si="44"/>
        <v>0.4</v>
      </c>
      <c r="CC94" s="22">
        <f t="shared" si="53"/>
        <v>75.5</v>
      </c>
      <c r="CD94" s="1">
        <f t="shared" si="57"/>
        <v>7.2</v>
      </c>
      <c r="CE94" s="1">
        <f t="shared" si="58"/>
        <v>8.4</v>
      </c>
      <c r="CF94" s="1">
        <f t="shared" si="59"/>
        <v>2.5</v>
      </c>
      <c r="CG94" s="1">
        <f t="shared" si="60"/>
        <v>0</v>
      </c>
      <c r="CH94" s="1">
        <f t="shared" si="61"/>
        <v>-0.5</v>
      </c>
      <c r="CI94" s="1">
        <f t="shared" si="62"/>
        <v>-0.4</v>
      </c>
      <c r="CJ94" s="1">
        <f t="shared" si="63"/>
        <v>0.5</v>
      </c>
      <c r="CK94" s="2">
        <f t="shared" si="54"/>
        <v>99.8</v>
      </c>
      <c r="CL94" s="1">
        <f t="shared" si="64"/>
        <v>-7.7</v>
      </c>
      <c r="CM94" s="1">
        <f t="shared" si="65"/>
        <v>-8.8000000000000007</v>
      </c>
      <c r="CN94" s="1">
        <f t="shared" si="66"/>
        <v>-3.8</v>
      </c>
      <c r="CO94" s="1">
        <f t="shared" si="67"/>
        <v>-0.5</v>
      </c>
      <c r="CP94" s="1">
        <f t="shared" si="68"/>
        <v>-0.9</v>
      </c>
      <c r="CQ94" s="1">
        <f t="shared" si="69"/>
        <v>-0.5</v>
      </c>
      <c r="CR94" s="1">
        <f t="shared" si="70"/>
        <v>0.4</v>
      </c>
      <c r="CS94" s="2">
        <f t="shared" si="71"/>
        <v>24.7</v>
      </c>
      <c r="CT94" s="6">
        <f t="shared" si="72"/>
        <v>1211</v>
      </c>
      <c r="CU94" s="1">
        <f>PPTest!K94</f>
        <v>0</v>
      </c>
      <c r="CV94" s="3">
        <f t="shared" si="73"/>
        <v>1.47</v>
      </c>
      <c r="CW94" s="3">
        <f t="shared" si="74"/>
        <v>3.91</v>
      </c>
      <c r="CX94" s="24">
        <f t="shared" si="75"/>
        <v>0.25</v>
      </c>
      <c r="CY94" s="24">
        <f t="shared" si="75"/>
        <v>0.76200000000000001</v>
      </c>
      <c r="CZ94" s="16">
        <f t="shared" si="76"/>
        <v>13.2</v>
      </c>
    </row>
    <row r="95" spans="1:104" x14ac:dyDescent="0.2">
      <c r="A95" s="14">
        <f t="shared" si="77"/>
        <v>38806</v>
      </c>
      <c r="B95" s="1">
        <v>89</v>
      </c>
      <c r="C95" s="3">
        <v>11.85</v>
      </c>
      <c r="D95" s="3">
        <v>21.33</v>
      </c>
      <c r="E95" s="3">
        <v>-1.677</v>
      </c>
      <c r="F95" s="3">
        <v>83.8</v>
      </c>
      <c r="G95" s="3">
        <v>-2.3639999999999999</v>
      </c>
      <c r="H95" s="3">
        <v>-3.3660000000000001</v>
      </c>
      <c r="I95" s="3">
        <v>-8.7999999999999995E-2</v>
      </c>
      <c r="J95" s="3">
        <v>-0.69</v>
      </c>
      <c r="K95" s="3">
        <v>-0.43099999999999999</v>
      </c>
      <c r="L95" s="3">
        <v>0.42599999999999999</v>
      </c>
      <c r="M95" s="3">
        <v>1.5329999999999999</v>
      </c>
      <c r="N95" s="3">
        <v>0</v>
      </c>
      <c r="O95" s="3">
        <v>6.2089999999999996</v>
      </c>
      <c r="P95" s="3">
        <v>1553</v>
      </c>
      <c r="Q95" s="3">
        <v>106.9</v>
      </c>
      <c r="R95" s="3">
        <v>545</v>
      </c>
      <c r="S95" s="3">
        <v>7.29</v>
      </c>
      <c r="T95" s="3">
        <v>1.5189999999999999</v>
      </c>
      <c r="U95" s="3">
        <v>2.1999999999999999E-2</v>
      </c>
      <c r="V95" s="3">
        <v>-0.48599999999999999</v>
      </c>
      <c r="W95" s="3">
        <v>-0.39700000000000002</v>
      </c>
      <c r="X95" s="3">
        <v>0.45800000000000002</v>
      </c>
      <c r="Y95" s="3">
        <v>3.9710000000000001</v>
      </c>
      <c r="Z95" s="3">
        <v>1421</v>
      </c>
      <c r="AA95" s="3">
        <v>-9.68</v>
      </c>
      <c r="AB95" s="3">
        <v>537</v>
      </c>
      <c r="AC95" s="3">
        <v>49.16</v>
      </c>
      <c r="AD95" s="3">
        <v>1553</v>
      </c>
      <c r="AE95" s="3">
        <v>-10.57</v>
      </c>
      <c r="AF95" s="3">
        <v>-8.19</v>
      </c>
      <c r="AG95" s="3">
        <v>-0.47299999999999998</v>
      </c>
      <c r="AH95" s="3">
        <v>-0.86499999999999999</v>
      </c>
      <c r="AI95" s="3">
        <v>-0.46500000000000002</v>
      </c>
      <c r="AJ95" s="3">
        <v>0.39400000000000002</v>
      </c>
      <c r="AK95" s="3">
        <v>7.0000000000000007E-2</v>
      </c>
      <c r="AL95" s="3">
        <v>0.27400000000000002</v>
      </c>
      <c r="AM95" s="3">
        <v>0.249</v>
      </c>
      <c r="AN95" s="3">
        <v>4.1000000000000002E-2</v>
      </c>
      <c r="AO95" s="3">
        <v>7.3999999999999996E-2</v>
      </c>
      <c r="AP95" s="3">
        <v>0.13200000000000001</v>
      </c>
      <c r="AQ95" s="3">
        <v>7.3999999999999996E-2</v>
      </c>
      <c r="AR95" s="3">
        <v>8.6999999999999994E-2</v>
      </c>
      <c r="AS95" s="3">
        <v>2308</v>
      </c>
      <c r="AT95" s="3">
        <v>2307</v>
      </c>
      <c r="AU95" s="3">
        <v>2307</v>
      </c>
      <c r="AV95" s="3">
        <v>-0.36699999999999999</v>
      </c>
      <c r="AW95" s="3">
        <v>-0.47899999999999998</v>
      </c>
      <c r="AX95" s="3">
        <v>-0.11899999999999999</v>
      </c>
      <c r="AY95" s="3">
        <v>-0.17899999999999999</v>
      </c>
      <c r="AZ95" s="3">
        <v>-0.53200000000000003</v>
      </c>
      <c r="BA95" s="3">
        <v>-0.68799999999999994</v>
      </c>
      <c r="BB95" s="3">
        <v>13.22</v>
      </c>
      <c r="BC95" s="3">
        <v>2876</v>
      </c>
      <c r="BE95" s="6">
        <f t="shared" si="43"/>
        <v>1203</v>
      </c>
      <c r="BG95" s="16">
        <v>20.5</v>
      </c>
      <c r="BH95" s="16">
        <f t="shared" si="46"/>
        <v>41.410000000000004</v>
      </c>
      <c r="BI95" s="17">
        <f t="shared" si="40"/>
        <v>11.61</v>
      </c>
      <c r="BJ95" s="17">
        <f t="shared" si="41"/>
        <v>23.46</v>
      </c>
      <c r="BL95" s="1">
        <f t="shared" si="47"/>
        <v>93.3</v>
      </c>
      <c r="BM95" s="1">
        <f t="shared" si="48"/>
        <v>66.7</v>
      </c>
      <c r="BN95" s="1">
        <f t="shared" si="49"/>
        <v>36.299999999999997</v>
      </c>
      <c r="BO95" s="49">
        <f t="shared" si="55"/>
        <v>0.34399999999999997</v>
      </c>
      <c r="BP95" s="49">
        <f t="shared" si="56"/>
        <v>0.60399999999999998</v>
      </c>
      <c r="BR95" s="3">
        <v>0</v>
      </c>
      <c r="BT95" s="16">
        <f t="shared" si="50"/>
        <v>11.61</v>
      </c>
      <c r="BU95" s="16">
        <f t="shared" si="51"/>
        <v>23.46</v>
      </c>
      <c r="BV95" s="3">
        <f t="shared" si="52"/>
        <v>-1.7</v>
      </c>
      <c r="BW95" s="3">
        <f t="shared" si="45"/>
        <v>-2.4</v>
      </c>
      <c r="BX95" s="3">
        <f t="shared" si="45"/>
        <v>-3.4</v>
      </c>
      <c r="BY95" s="3">
        <f t="shared" si="45"/>
        <v>-0.1</v>
      </c>
      <c r="BZ95" s="3">
        <f t="shared" si="44"/>
        <v>-0.7</v>
      </c>
      <c r="CA95" s="3">
        <f t="shared" si="44"/>
        <v>-0.4</v>
      </c>
      <c r="CB95" s="3">
        <f t="shared" si="44"/>
        <v>0.4</v>
      </c>
      <c r="CC95" s="22">
        <f t="shared" si="53"/>
        <v>66.7</v>
      </c>
      <c r="CD95" s="1">
        <f t="shared" si="57"/>
        <v>6.2</v>
      </c>
      <c r="CE95" s="1">
        <f t="shared" si="58"/>
        <v>7.3</v>
      </c>
      <c r="CF95" s="1">
        <f t="shared" si="59"/>
        <v>1.5</v>
      </c>
      <c r="CG95" s="1">
        <f t="shared" si="60"/>
        <v>0</v>
      </c>
      <c r="CH95" s="1">
        <f t="shared" si="61"/>
        <v>-0.5</v>
      </c>
      <c r="CI95" s="1">
        <f t="shared" si="62"/>
        <v>-0.4</v>
      </c>
      <c r="CJ95" s="1">
        <f t="shared" si="63"/>
        <v>0.5</v>
      </c>
      <c r="CK95" s="2">
        <f t="shared" si="54"/>
        <v>93.3</v>
      </c>
      <c r="CL95" s="1">
        <f t="shared" si="64"/>
        <v>-9.6999999999999993</v>
      </c>
      <c r="CM95" s="1">
        <f t="shared" si="65"/>
        <v>-10.6</v>
      </c>
      <c r="CN95" s="1">
        <f t="shared" si="66"/>
        <v>-8.1999999999999993</v>
      </c>
      <c r="CO95" s="1">
        <f t="shared" si="67"/>
        <v>-0.5</v>
      </c>
      <c r="CP95" s="1">
        <f t="shared" si="68"/>
        <v>-0.9</v>
      </c>
      <c r="CQ95" s="1">
        <f t="shared" si="69"/>
        <v>-0.5</v>
      </c>
      <c r="CR95" s="1">
        <f t="shared" si="70"/>
        <v>0.4</v>
      </c>
      <c r="CS95" s="2">
        <f t="shared" si="71"/>
        <v>36.299999999999997</v>
      </c>
      <c r="CT95" s="6">
        <f t="shared" si="72"/>
        <v>1203</v>
      </c>
      <c r="CU95" s="1">
        <f>PPTest!K95</f>
        <v>0</v>
      </c>
      <c r="CV95" s="3">
        <f t="shared" si="73"/>
        <v>1.53</v>
      </c>
      <c r="CW95" s="3">
        <f t="shared" si="74"/>
        <v>3.97</v>
      </c>
      <c r="CX95" s="24">
        <f t="shared" si="75"/>
        <v>0.34399999999999997</v>
      </c>
      <c r="CY95" s="24">
        <f t="shared" si="75"/>
        <v>0.60399999999999998</v>
      </c>
      <c r="CZ95" s="16">
        <f t="shared" si="76"/>
        <v>13.22</v>
      </c>
    </row>
    <row r="96" spans="1:104" x14ac:dyDescent="0.2">
      <c r="A96" s="14">
        <f t="shared" si="77"/>
        <v>38807</v>
      </c>
      <c r="B96" s="1">
        <v>90</v>
      </c>
      <c r="C96" s="3">
        <v>8.69</v>
      </c>
      <c r="D96" s="3">
        <v>16.32</v>
      </c>
      <c r="E96" s="3">
        <v>0.115</v>
      </c>
      <c r="F96" s="3">
        <v>99.1</v>
      </c>
      <c r="G96" s="3">
        <v>-0.38400000000000001</v>
      </c>
      <c r="H96" s="3">
        <v>-1.4590000000000001</v>
      </c>
      <c r="I96" s="3">
        <v>-2.7E-2</v>
      </c>
      <c r="J96" s="3">
        <v>-0.60399999999999998</v>
      </c>
      <c r="K96" s="3">
        <v>-0.43099999999999999</v>
      </c>
      <c r="L96" s="3">
        <v>0.41899999999999998</v>
      </c>
      <c r="M96" s="3">
        <v>1.1739999999999999</v>
      </c>
      <c r="N96" s="3">
        <v>0</v>
      </c>
      <c r="O96" s="3">
        <v>5.44</v>
      </c>
      <c r="P96" s="3">
        <v>1040</v>
      </c>
      <c r="Q96" s="3">
        <v>111.1</v>
      </c>
      <c r="R96" s="3">
        <v>2353</v>
      </c>
      <c r="S96" s="3">
        <v>7.62</v>
      </c>
      <c r="T96" s="3">
        <v>2.1640000000000001</v>
      </c>
      <c r="U96" s="3">
        <v>2.1000000000000001E-2</v>
      </c>
      <c r="V96" s="3">
        <v>-0.48</v>
      </c>
      <c r="W96" s="3">
        <v>-0.38100000000000001</v>
      </c>
      <c r="X96" s="3">
        <v>0.45400000000000001</v>
      </c>
      <c r="Y96" s="3">
        <v>3.7050000000000001</v>
      </c>
      <c r="Z96" s="3">
        <v>1029</v>
      </c>
      <c r="AA96" s="3">
        <v>-3.1230000000000002</v>
      </c>
      <c r="AB96" s="3">
        <v>147</v>
      </c>
      <c r="AC96" s="3">
        <v>63.5</v>
      </c>
      <c r="AD96" s="3">
        <v>1039</v>
      </c>
      <c r="AE96" s="3">
        <v>-4.3639999999999999</v>
      </c>
      <c r="AF96" s="3">
        <v>-4.9249999999999998</v>
      </c>
      <c r="AG96" s="3">
        <v>-8.6999999999999994E-2</v>
      </c>
      <c r="AH96" s="3">
        <v>-0.71099999999999997</v>
      </c>
      <c r="AI96" s="3">
        <v>-0.46800000000000003</v>
      </c>
      <c r="AJ96" s="3">
        <v>0.377</v>
      </c>
      <c r="AK96" s="3">
        <v>0.09</v>
      </c>
      <c r="AL96" s="3">
        <v>0.253</v>
      </c>
      <c r="AM96" s="3">
        <v>0.18</v>
      </c>
      <c r="AN96" s="3">
        <v>8.6999999999999994E-2</v>
      </c>
      <c r="AO96" s="3">
        <v>0.127</v>
      </c>
      <c r="AP96" s="3">
        <v>0.156</v>
      </c>
      <c r="AQ96" s="3">
        <v>6.4000000000000001E-2</v>
      </c>
      <c r="AR96" s="3">
        <v>4.2999999999999997E-2</v>
      </c>
      <c r="AS96" s="3">
        <v>6999</v>
      </c>
      <c r="AT96" s="3">
        <v>2284</v>
      </c>
      <c r="AU96" s="19">
        <f>AT96</f>
        <v>2284</v>
      </c>
      <c r="AV96" s="3">
        <v>-0.58599999999999997</v>
      </c>
      <c r="AW96" s="3">
        <v>-0.68300000000000005</v>
      </c>
      <c r="AX96" s="3">
        <v>-0.42899999999999999</v>
      </c>
      <c r="AY96" s="3">
        <v>-0.48299999999999998</v>
      </c>
      <c r="AZ96" s="3">
        <v>-0.73799999999999999</v>
      </c>
      <c r="BA96" s="3">
        <v>-0.86399999999999999</v>
      </c>
      <c r="BB96" s="3">
        <v>13.17</v>
      </c>
      <c r="BC96" s="3">
        <v>2876</v>
      </c>
      <c r="BE96" s="6">
        <f t="shared" si="43"/>
        <v>1226</v>
      </c>
      <c r="BG96" s="16">
        <v>20.77</v>
      </c>
      <c r="BH96" s="16">
        <f t="shared" si="46"/>
        <v>41.955399999999997</v>
      </c>
      <c r="BI96" s="17">
        <f t="shared" si="40"/>
        <v>8.52</v>
      </c>
      <c r="BJ96" s="17">
        <f t="shared" si="41"/>
        <v>17.95</v>
      </c>
      <c r="BL96" s="1">
        <f t="shared" si="47"/>
        <v>100</v>
      </c>
      <c r="BM96" s="1">
        <f t="shared" si="48"/>
        <v>80.900000000000006</v>
      </c>
      <c r="BN96" s="1">
        <f t="shared" si="49"/>
        <v>48.9</v>
      </c>
      <c r="BO96" s="49">
        <f t="shared" si="55"/>
        <v>0.44</v>
      </c>
      <c r="BP96" s="49">
        <f t="shared" si="56"/>
        <v>0.46</v>
      </c>
      <c r="BR96" s="3">
        <v>5.4</v>
      </c>
      <c r="BT96" s="16">
        <f t="shared" si="50"/>
        <v>8.52</v>
      </c>
      <c r="BU96" s="16">
        <f t="shared" si="51"/>
        <v>17.95</v>
      </c>
      <c r="BV96" s="3">
        <f t="shared" si="52"/>
        <v>0.1</v>
      </c>
      <c r="BW96" s="3">
        <f t="shared" si="45"/>
        <v>-0.4</v>
      </c>
      <c r="BX96" s="3">
        <f t="shared" si="45"/>
        <v>-1.5</v>
      </c>
      <c r="BY96" s="3">
        <f t="shared" si="45"/>
        <v>0</v>
      </c>
      <c r="BZ96" s="3">
        <f t="shared" si="44"/>
        <v>-0.6</v>
      </c>
      <c r="CA96" s="3">
        <f t="shared" si="44"/>
        <v>-0.4</v>
      </c>
      <c r="CB96" s="3">
        <f t="shared" si="44"/>
        <v>0.4</v>
      </c>
      <c r="CC96" s="22">
        <f t="shared" si="53"/>
        <v>80.900000000000006</v>
      </c>
      <c r="CD96" s="1">
        <f t="shared" si="57"/>
        <v>5.4</v>
      </c>
      <c r="CE96" s="1">
        <f t="shared" si="58"/>
        <v>7.6</v>
      </c>
      <c r="CF96" s="1">
        <f t="shared" si="59"/>
        <v>2.2000000000000002</v>
      </c>
      <c r="CG96" s="1">
        <f t="shared" si="60"/>
        <v>0</v>
      </c>
      <c r="CH96" s="1">
        <f t="shared" si="61"/>
        <v>-0.5</v>
      </c>
      <c r="CI96" s="1">
        <f t="shared" si="62"/>
        <v>-0.4</v>
      </c>
      <c r="CJ96" s="1">
        <f t="shared" si="63"/>
        <v>0.5</v>
      </c>
      <c r="CK96" s="2">
        <f t="shared" si="54"/>
        <v>100</v>
      </c>
      <c r="CL96" s="1">
        <f t="shared" si="64"/>
        <v>-3.1</v>
      </c>
      <c r="CM96" s="1">
        <f t="shared" si="65"/>
        <v>-4.4000000000000004</v>
      </c>
      <c r="CN96" s="1">
        <f t="shared" si="66"/>
        <v>-4.9000000000000004</v>
      </c>
      <c r="CO96" s="1">
        <f t="shared" si="67"/>
        <v>-0.1</v>
      </c>
      <c r="CP96" s="1">
        <f t="shared" si="68"/>
        <v>-0.7</v>
      </c>
      <c r="CQ96" s="1">
        <f t="shared" si="69"/>
        <v>-0.5</v>
      </c>
      <c r="CR96" s="1">
        <f t="shared" si="70"/>
        <v>0.4</v>
      </c>
      <c r="CS96" s="2">
        <f t="shared" si="71"/>
        <v>48.9</v>
      </c>
      <c r="CT96" s="6">
        <f t="shared" si="72"/>
        <v>1226</v>
      </c>
      <c r="CU96" s="1">
        <f>PPTest!K96</f>
        <v>3</v>
      </c>
      <c r="CV96" s="3">
        <f t="shared" si="73"/>
        <v>1.17</v>
      </c>
      <c r="CW96" s="3">
        <f t="shared" si="74"/>
        <v>3.71</v>
      </c>
      <c r="CX96" s="24">
        <f t="shared" si="75"/>
        <v>0.44</v>
      </c>
      <c r="CY96" s="24">
        <f t="shared" si="75"/>
        <v>0.46</v>
      </c>
      <c r="CZ96" s="16">
        <f t="shared" si="76"/>
        <v>13.17</v>
      </c>
    </row>
    <row r="97" spans="1:104" x14ac:dyDescent="0.2">
      <c r="A97" s="14">
        <f t="shared" si="77"/>
        <v>38808</v>
      </c>
      <c r="B97" s="1">
        <v>91</v>
      </c>
      <c r="C97" s="3">
        <v>14.78</v>
      </c>
      <c r="D97" s="3">
        <v>23.51</v>
      </c>
      <c r="E97" s="3">
        <v>-0.436</v>
      </c>
      <c r="F97" s="3">
        <v>94.3</v>
      </c>
      <c r="G97" s="3">
        <v>-1.361</v>
      </c>
      <c r="H97" s="3">
        <v>0.191</v>
      </c>
      <c r="I97" s="3">
        <v>-6.0999999999999999E-2</v>
      </c>
      <c r="J97" s="3">
        <v>-0.51300000000000001</v>
      </c>
      <c r="K97" s="3">
        <v>-0.39500000000000002</v>
      </c>
      <c r="L97" s="3">
        <v>0.41399999999999998</v>
      </c>
      <c r="M97" s="3">
        <v>1.5169999999999999</v>
      </c>
      <c r="N97" s="3">
        <v>4</v>
      </c>
      <c r="O97" s="3">
        <v>6.1609999999999996</v>
      </c>
      <c r="P97" s="3">
        <v>1109</v>
      </c>
      <c r="Q97" s="3">
        <v>111.2</v>
      </c>
      <c r="R97" s="3">
        <v>38</v>
      </c>
      <c r="S97" s="3">
        <v>7.91</v>
      </c>
      <c r="T97" s="3">
        <v>3.0529999999999999</v>
      </c>
      <c r="U97" s="3">
        <v>5.3999999999999999E-2</v>
      </c>
      <c r="V97" s="3">
        <v>-0.35599999999999998</v>
      </c>
      <c r="W97" s="3">
        <v>-0.35699999999999998</v>
      </c>
      <c r="X97" s="3">
        <v>0.44900000000000001</v>
      </c>
      <c r="Y97" s="3">
        <v>3.4129999999999998</v>
      </c>
      <c r="Z97" s="3">
        <v>1404</v>
      </c>
      <c r="AA97" s="3">
        <v>-7.28</v>
      </c>
      <c r="AB97" s="3">
        <v>551</v>
      </c>
      <c r="AC97" s="3">
        <v>62.29</v>
      </c>
      <c r="AD97" s="3">
        <v>1031</v>
      </c>
      <c r="AE97" s="3">
        <v>-8.7899999999999991</v>
      </c>
      <c r="AF97" s="3">
        <v>-2.4350000000000001</v>
      </c>
      <c r="AG97" s="3">
        <v>-0.34200000000000003</v>
      </c>
      <c r="AH97" s="3">
        <v>-0.70399999999999996</v>
      </c>
      <c r="AI97" s="3">
        <v>-0.42699999999999999</v>
      </c>
      <c r="AJ97" s="3">
        <v>0.38100000000000001</v>
      </c>
      <c r="AK97" s="3">
        <v>0.13400000000000001</v>
      </c>
      <c r="AL97" s="3">
        <v>0.36199999999999999</v>
      </c>
      <c r="AM97" s="3">
        <v>0.33700000000000002</v>
      </c>
      <c r="AN97" s="3">
        <v>1.7000000000000001E-2</v>
      </c>
      <c r="AO97" s="3">
        <v>2.3E-2</v>
      </c>
      <c r="AP97" s="3">
        <v>1.7999999999999999E-2</v>
      </c>
      <c r="AQ97" s="3">
        <v>1.7000000000000001E-2</v>
      </c>
      <c r="AR97" s="3">
        <v>9.1999999999999998E-2</v>
      </c>
      <c r="AS97" s="3">
        <v>2313</v>
      </c>
      <c r="AT97" s="3">
        <v>2311</v>
      </c>
      <c r="AU97" s="3">
        <v>2312</v>
      </c>
      <c r="AV97" s="3">
        <v>-0.27700000000000002</v>
      </c>
      <c r="AW97" s="3">
        <v>-0.32900000000000001</v>
      </c>
      <c r="AX97" s="3">
        <v>-5.7000000000000002E-2</v>
      </c>
      <c r="AY97" s="3">
        <v>-9.4E-2</v>
      </c>
      <c r="AZ97" s="3">
        <v>-0.42899999999999999</v>
      </c>
      <c r="BA97" s="3">
        <v>-0.53200000000000003</v>
      </c>
      <c r="BB97" s="3">
        <v>13.22</v>
      </c>
      <c r="BC97" s="3">
        <v>2876</v>
      </c>
      <c r="BE97" s="6">
        <f t="shared" si="43"/>
        <v>1198</v>
      </c>
      <c r="BG97" s="16">
        <v>21.03</v>
      </c>
      <c r="BH97" s="16">
        <f t="shared" si="46"/>
        <v>42.480600000000003</v>
      </c>
      <c r="BI97" s="17">
        <f t="shared" si="40"/>
        <v>14.48</v>
      </c>
      <c r="BJ97" s="17">
        <f t="shared" si="41"/>
        <v>25.86</v>
      </c>
      <c r="BL97" s="1">
        <f t="shared" si="47"/>
        <v>100</v>
      </c>
      <c r="BM97" s="1">
        <f t="shared" si="48"/>
        <v>76</v>
      </c>
      <c r="BN97" s="1">
        <f t="shared" si="49"/>
        <v>47.8</v>
      </c>
      <c r="BO97" s="49">
        <f t="shared" si="55"/>
        <v>0.45200000000000001</v>
      </c>
      <c r="BP97" s="49">
        <f t="shared" si="56"/>
        <v>0.49399999999999999</v>
      </c>
      <c r="BQ97" s="2">
        <f t="shared" ref="BQ97:BQ126" si="78">E97</f>
        <v>-0.436</v>
      </c>
      <c r="BR97" s="3">
        <v>0.2</v>
      </c>
      <c r="BT97" s="16">
        <f t="shared" si="50"/>
        <v>14.48</v>
      </c>
      <c r="BU97" s="16">
        <f t="shared" si="51"/>
        <v>25.86</v>
      </c>
      <c r="BV97" s="3">
        <f t="shared" si="52"/>
        <v>-0.4</v>
      </c>
      <c r="BW97" s="3">
        <f t="shared" si="45"/>
        <v>-1.4</v>
      </c>
      <c r="BX97" s="3">
        <f t="shared" si="45"/>
        <v>0.2</v>
      </c>
      <c r="BY97" s="3">
        <f t="shared" si="45"/>
        <v>-0.1</v>
      </c>
      <c r="BZ97" s="3">
        <f t="shared" si="44"/>
        <v>-0.5</v>
      </c>
      <c r="CA97" s="3">
        <f t="shared" si="44"/>
        <v>-0.4</v>
      </c>
      <c r="CB97" s="3">
        <f t="shared" si="44"/>
        <v>0.4</v>
      </c>
      <c r="CC97" s="22">
        <f t="shared" si="53"/>
        <v>76</v>
      </c>
      <c r="CD97" s="1">
        <f t="shared" si="57"/>
        <v>6.2</v>
      </c>
      <c r="CE97" s="1">
        <f t="shared" si="58"/>
        <v>7.9</v>
      </c>
      <c r="CF97" s="1">
        <f t="shared" si="59"/>
        <v>3.1</v>
      </c>
      <c r="CG97" s="1">
        <f t="shared" si="60"/>
        <v>0.1</v>
      </c>
      <c r="CH97" s="1">
        <f t="shared" si="61"/>
        <v>-0.4</v>
      </c>
      <c r="CI97" s="1">
        <f t="shared" si="62"/>
        <v>-0.4</v>
      </c>
      <c r="CJ97" s="1">
        <f t="shared" si="63"/>
        <v>0.4</v>
      </c>
      <c r="CK97" s="2">
        <f t="shared" si="54"/>
        <v>100</v>
      </c>
      <c r="CL97" s="1">
        <f t="shared" si="64"/>
        <v>-7.3</v>
      </c>
      <c r="CM97" s="1">
        <f t="shared" si="65"/>
        <v>-8.8000000000000007</v>
      </c>
      <c r="CN97" s="1">
        <f t="shared" si="66"/>
        <v>-2.4</v>
      </c>
      <c r="CO97" s="1">
        <f t="shared" si="67"/>
        <v>-0.3</v>
      </c>
      <c r="CP97" s="1">
        <f t="shared" si="68"/>
        <v>-0.7</v>
      </c>
      <c r="CQ97" s="1">
        <f t="shared" si="69"/>
        <v>-0.4</v>
      </c>
      <c r="CR97" s="1">
        <f t="shared" si="70"/>
        <v>0.4</v>
      </c>
      <c r="CS97" s="2">
        <f t="shared" si="71"/>
        <v>47.8</v>
      </c>
      <c r="CT97" s="6">
        <f t="shared" si="72"/>
        <v>1198</v>
      </c>
      <c r="CU97" s="1">
        <f>PPTest!K97</f>
        <v>0</v>
      </c>
      <c r="CV97" s="3">
        <f t="shared" si="73"/>
        <v>1.52</v>
      </c>
      <c r="CW97" s="3">
        <f t="shared" si="74"/>
        <v>3.41</v>
      </c>
      <c r="CX97" s="24">
        <f t="shared" si="75"/>
        <v>0.45200000000000001</v>
      </c>
      <c r="CY97" s="24">
        <f t="shared" si="75"/>
        <v>0.49399999999999999</v>
      </c>
      <c r="CZ97" s="16">
        <f t="shared" si="76"/>
        <v>13.22</v>
      </c>
    </row>
    <row r="98" spans="1:104" x14ac:dyDescent="0.2">
      <c r="A98" s="14">
        <f t="shared" si="77"/>
        <v>38809</v>
      </c>
      <c r="B98" s="1">
        <v>92</v>
      </c>
      <c r="C98" s="3">
        <v>13.57</v>
      </c>
      <c r="D98" s="3">
        <v>24.79</v>
      </c>
      <c r="E98" s="3">
        <v>0.193</v>
      </c>
      <c r="F98" s="3">
        <v>87.4</v>
      </c>
      <c r="G98" s="3">
        <v>-0.21299999999999999</v>
      </c>
      <c r="H98" s="3">
        <v>-0.84699999999999998</v>
      </c>
      <c r="I98" s="3">
        <v>-3.0000000000000001E-3</v>
      </c>
      <c r="J98" s="3">
        <v>-0.38</v>
      </c>
      <c r="K98" s="3">
        <v>-0.35299999999999998</v>
      </c>
      <c r="L98" s="3">
        <v>0.41199999999999998</v>
      </c>
      <c r="M98" s="3">
        <v>1.57</v>
      </c>
      <c r="N98" s="3">
        <v>0</v>
      </c>
      <c r="O98" s="3">
        <v>5.0449999999999999</v>
      </c>
      <c r="P98" s="3">
        <v>1417</v>
      </c>
      <c r="Q98" s="3">
        <v>110.7</v>
      </c>
      <c r="R98" s="3">
        <v>622</v>
      </c>
      <c r="S98" s="3">
        <v>7.37</v>
      </c>
      <c r="T98" s="3">
        <v>3.8180000000000001</v>
      </c>
      <c r="U98" s="3">
        <v>5.0999999999999997E-2</v>
      </c>
      <c r="V98" s="3">
        <v>-0.32400000000000001</v>
      </c>
      <c r="W98" s="3">
        <v>-0.313</v>
      </c>
      <c r="X98" s="3">
        <v>0.438</v>
      </c>
      <c r="Y98" s="3">
        <v>7.15</v>
      </c>
      <c r="Z98" s="3">
        <v>1207</v>
      </c>
      <c r="AA98" s="3">
        <v>-5.0019999999999998</v>
      </c>
      <c r="AB98" s="3">
        <v>42</v>
      </c>
      <c r="AC98" s="3">
        <v>52.44</v>
      </c>
      <c r="AD98" s="3">
        <v>1419</v>
      </c>
      <c r="AE98" s="3">
        <v>-6.1829999999999998</v>
      </c>
      <c r="AF98" s="3">
        <v>-3.5539999999999998</v>
      </c>
      <c r="AG98" s="3">
        <v>-0.04</v>
      </c>
      <c r="AH98" s="3">
        <v>-0.442</v>
      </c>
      <c r="AI98" s="3">
        <v>-0.39900000000000002</v>
      </c>
      <c r="AJ98" s="3">
        <v>0.38100000000000001</v>
      </c>
      <c r="AK98" s="3">
        <v>6.3E-2</v>
      </c>
      <c r="AL98" s="3">
        <v>0.185</v>
      </c>
      <c r="AM98" s="3">
        <v>0.245</v>
      </c>
      <c r="AN98" s="3">
        <v>0.11</v>
      </c>
      <c r="AO98" s="3">
        <v>0.122</v>
      </c>
      <c r="AP98" s="3">
        <v>0.126</v>
      </c>
      <c r="AQ98" s="3">
        <v>9.1999999999999998E-2</v>
      </c>
      <c r="AR98" s="3">
        <v>5.8000000000000003E-2</v>
      </c>
      <c r="AS98" s="3">
        <v>2325</v>
      </c>
      <c r="AT98" s="3">
        <v>2323</v>
      </c>
      <c r="AU98" s="3">
        <v>2324</v>
      </c>
      <c r="AV98" s="3">
        <v>-0.108</v>
      </c>
      <c r="AW98" s="3">
        <v>-0.16500000000000001</v>
      </c>
      <c r="AX98" s="3">
        <v>-3.5999999999999997E-2</v>
      </c>
      <c r="AY98" s="3">
        <v>-7.8E-2</v>
      </c>
      <c r="AZ98" s="3">
        <v>-0.18099999999999999</v>
      </c>
      <c r="BA98" s="3">
        <v>-0.27300000000000002</v>
      </c>
      <c r="BB98" s="3">
        <v>13.22</v>
      </c>
      <c r="BC98" s="3">
        <v>2876</v>
      </c>
      <c r="BE98" s="6">
        <f t="shared" si="43"/>
        <v>1186</v>
      </c>
      <c r="BG98" s="16">
        <v>21.3</v>
      </c>
      <c r="BH98" s="16">
        <f t="shared" si="46"/>
        <v>43.026000000000003</v>
      </c>
      <c r="BI98" s="17">
        <f t="shared" si="40"/>
        <v>13.3</v>
      </c>
      <c r="BJ98" s="17">
        <f t="shared" si="41"/>
        <v>27.27</v>
      </c>
      <c r="BL98" s="1">
        <f t="shared" si="47"/>
        <v>99.3</v>
      </c>
      <c r="BM98" s="1">
        <f t="shared" si="48"/>
        <v>69.900000000000006</v>
      </c>
      <c r="BN98" s="1">
        <f t="shared" si="49"/>
        <v>39.1</v>
      </c>
      <c r="BO98" s="49">
        <f t="shared" si="55"/>
        <v>0.34200000000000003</v>
      </c>
      <c r="BP98" s="49">
        <f t="shared" si="56"/>
        <v>0.53300000000000003</v>
      </c>
      <c r="BQ98" s="2">
        <f t="shared" si="78"/>
        <v>0.193</v>
      </c>
      <c r="BR98" s="3">
        <v>0.8</v>
      </c>
      <c r="BT98" s="16">
        <f t="shared" si="50"/>
        <v>13.3</v>
      </c>
      <c r="BU98" s="16">
        <f t="shared" si="51"/>
        <v>27.27</v>
      </c>
      <c r="BV98" s="3">
        <f t="shared" si="52"/>
        <v>0.2</v>
      </c>
      <c r="BW98" s="3">
        <f t="shared" si="45"/>
        <v>-0.2</v>
      </c>
      <c r="BX98" s="3">
        <f t="shared" si="45"/>
        <v>-0.8</v>
      </c>
      <c r="BY98" s="3">
        <f t="shared" si="45"/>
        <v>0</v>
      </c>
      <c r="BZ98" s="3">
        <f t="shared" si="44"/>
        <v>-0.4</v>
      </c>
      <c r="CA98" s="3">
        <f t="shared" si="44"/>
        <v>-0.4</v>
      </c>
      <c r="CB98" s="3">
        <f t="shared" si="44"/>
        <v>0.4</v>
      </c>
      <c r="CC98" s="22">
        <f t="shared" si="53"/>
        <v>69.900000000000006</v>
      </c>
      <c r="CD98" s="1">
        <f t="shared" si="57"/>
        <v>5</v>
      </c>
      <c r="CE98" s="1">
        <f t="shared" si="58"/>
        <v>7.4</v>
      </c>
      <c r="CF98" s="1">
        <f t="shared" si="59"/>
        <v>3.8</v>
      </c>
      <c r="CG98" s="1">
        <f t="shared" si="60"/>
        <v>0.1</v>
      </c>
      <c r="CH98" s="1">
        <f t="shared" si="61"/>
        <v>-0.3</v>
      </c>
      <c r="CI98" s="1">
        <f t="shared" si="62"/>
        <v>-0.3</v>
      </c>
      <c r="CJ98" s="1">
        <f t="shared" si="63"/>
        <v>0.4</v>
      </c>
      <c r="CK98" s="2">
        <f t="shared" si="54"/>
        <v>99.3</v>
      </c>
      <c r="CL98" s="1">
        <f t="shared" si="64"/>
        <v>-5</v>
      </c>
      <c r="CM98" s="1">
        <f t="shared" si="65"/>
        <v>-6.2</v>
      </c>
      <c r="CN98" s="1">
        <f t="shared" si="66"/>
        <v>-3.6</v>
      </c>
      <c r="CO98" s="1">
        <f t="shared" si="67"/>
        <v>0</v>
      </c>
      <c r="CP98" s="1">
        <f t="shared" si="68"/>
        <v>-0.4</v>
      </c>
      <c r="CQ98" s="1">
        <f t="shared" si="69"/>
        <v>-0.4</v>
      </c>
      <c r="CR98" s="1">
        <f t="shared" si="70"/>
        <v>0.4</v>
      </c>
      <c r="CS98" s="2">
        <f t="shared" si="71"/>
        <v>39.1</v>
      </c>
      <c r="CT98" s="6">
        <f t="shared" si="72"/>
        <v>1186</v>
      </c>
      <c r="CU98" s="1">
        <f>PPTest!K98</f>
        <v>0</v>
      </c>
      <c r="CV98" s="3">
        <f t="shared" si="73"/>
        <v>1.57</v>
      </c>
      <c r="CW98" s="3">
        <f t="shared" si="74"/>
        <v>7.15</v>
      </c>
      <c r="CX98" s="24">
        <f t="shared" si="75"/>
        <v>0.34200000000000003</v>
      </c>
      <c r="CY98" s="24">
        <f t="shared" si="75"/>
        <v>0.53300000000000003</v>
      </c>
      <c r="CZ98" s="16">
        <f t="shared" si="76"/>
        <v>13.22</v>
      </c>
    </row>
    <row r="99" spans="1:104" x14ac:dyDescent="0.2">
      <c r="A99" s="14">
        <f t="shared" si="77"/>
        <v>38810</v>
      </c>
      <c r="B99" s="1">
        <v>93</v>
      </c>
      <c r="C99" s="3">
        <v>11.23</v>
      </c>
      <c r="D99" s="3">
        <v>20.55</v>
      </c>
      <c r="E99" s="3">
        <v>0.20499999999999999</v>
      </c>
      <c r="F99" s="3">
        <v>82.1</v>
      </c>
      <c r="G99" s="3">
        <v>-0.26500000000000001</v>
      </c>
      <c r="H99" s="3">
        <v>-2.044</v>
      </c>
      <c r="I99" s="3">
        <v>-4.7E-2</v>
      </c>
      <c r="J99" s="3">
        <v>-0.48299999999999998</v>
      </c>
      <c r="K99" s="3">
        <v>-0.33200000000000002</v>
      </c>
      <c r="L99" s="3">
        <v>0.41</v>
      </c>
      <c r="M99" s="3">
        <v>1.7390000000000001</v>
      </c>
      <c r="N99" s="3">
        <v>0</v>
      </c>
      <c r="O99" s="3">
        <v>6.0590000000000002</v>
      </c>
      <c r="P99" s="3">
        <v>1145</v>
      </c>
      <c r="Q99" s="3">
        <v>104.5</v>
      </c>
      <c r="R99" s="3">
        <v>2343</v>
      </c>
      <c r="S99" s="3">
        <v>6.8810000000000002</v>
      </c>
      <c r="T99" s="3">
        <v>2.339</v>
      </c>
      <c r="U99" s="3">
        <v>3.5000000000000003E-2</v>
      </c>
      <c r="V99" s="3">
        <v>-0.33500000000000002</v>
      </c>
      <c r="W99" s="3">
        <v>-0.29799999999999999</v>
      </c>
      <c r="X99" s="3">
        <v>0.44500000000000001</v>
      </c>
      <c r="Y99" s="3">
        <v>4.2510000000000003</v>
      </c>
      <c r="Z99" s="3">
        <v>1334</v>
      </c>
      <c r="AA99" s="3">
        <v>-8.56</v>
      </c>
      <c r="AB99" s="3">
        <v>539</v>
      </c>
      <c r="AC99" s="3">
        <v>43</v>
      </c>
      <c r="AD99" s="3">
        <v>1059</v>
      </c>
      <c r="AE99" s="3">
        <v>-9.8000000000000007</v>
      </c>
      <c r="AF99" s="3">
        <v>-8.2799999999999994</v>
      </c>
      <c r="AG99" s="3">
        <v>-0.28699999999999998</v>
      </c>
      <c r="AH99" s="3">
        <v>-0.622</v>
      </c>
      <c r="AI99" s="3">
        <v>-0.36299999999999999</v>
      </c>
      <c r="AJ99" s="3">
        <v>0.38100000000000001</v>
      </c>
      <c r="AK99" s="3">
        <v>0.14599999999999999</v>
      </c>
      <c r="AL99" s="3">
        <v>0.42799999999999999</v>
      </c>
      <c r="AM99" s="3">
        <v>0.29399999999999998</v>
      </c>
      <c r="AN99" s="3">
        <v>5.1999999999999998E-2</v>
      </c>
      <c r="AO99" s="3">
        <v>2.4E-2</v>
      </c>
      <c r="AP99" s="3">
        <v>2.8000000000000001E-2</v>
      </c>
      <c r="AQ99" s="3">
        <v>8.9999999999999993E-3</v>
      </c>
      <c r="AR99" s="3">
        <v>1.7999999999999999E-2</v>
      </c>
      <c r="AS99" s="3">
        <v>2329</v>
      </c>
      <c r="AT99" s="3">
        <v>2328</v>
      </c>
      <c r="AU99" s="3">
        <v>2329</v>
      </c>
      <c r="AV99" s="3">
        <v>-0.16500000000000001</v>
      </c>
      <c r="AW99" s="3">
        <v>-0.245</v>
      </c>
      <c r="AX99" s="3">
        <v>-3.5999999999999997E-2</v>
      </c>
      <c r="AY99" s="3">
        <v>-8.5999999999999993E-2</v>
      </c>
      <c r="AZ99" s="3">
        <v>-0.26300000000000001</v>
      </c>
      <c r="BA99" s="3">
        <v>-0.40200000000000002</v>
      </c>
      <c r="BB99" s="3">
        <v>13.18</v>
      </c>
      <c r="BC99" s="3">
        <v>2876</v>
      </c>
      <c r="BE99" s="6">
        <f t="shared" si="43"/>
        <v>1181</v>
      </c>
      <c r="BG99" s="16">
        <v>21.56</v>
      </c>
      <c r="BH99" s="16">
        <f t="shared" si="46"/>
        <v>43.551199999999994</v>
      </c>
      <c r="BI99" s="17">
        <f t="shared" si="40"/>
        <v>11.01</v>
      </c>
      <c r="BJ99" s="17">
        <f t="shared" si="41"/>
        <v>22.61</v>
      </c>
      <c r="BL99" s="1">
        <f t="shared" si="47"/>
        <v>89.5</v>
      </c>
      <c r="BM99" s="1">
        <f t="shared" si="48"/>
        <v>65.2</v>
      </c>
      <c r="BN99" s="1">
        <f t="shared" si="49"/>
        <v>30.8</v>
      </c>
      <c r="BO99" s="49">
        <f t="shared" si="55"/>
        <v>0.28899999999999998</v>
      </c>
      <c r="BP99" s="49">
        <f t="shared" si="56"/>
        <v>0.64900000000000002</v>
      </c>
      <c r="BQ99" s="2">
        <f t="shared" si="78"/>
        <v>0.20499999999999999</v>
      </c>
      <c r="BR99" s="3">
        <v>0</v>
      </c>
      <c r="BT99" s="16">
        <f t="shared" si="50"/>
        <v>11.01</v>
      </c>
      <c r="BU99" s="16">
        <f t="shared" si="51"/>
        <v>22.61</v>
      </c>
      <c r="BV99" s="3">
        <f t="shared" si="52"/>
        <v>0.2</v>
      </c>
      <c r="BW99" s="3">
        <f t="shared" si="45"/>
        <v>-0.3</v>
      </c>
      <c r="BX99" s="3">
        <f t="shared" si="45"/>
        <v>-2</v>
      </c>
      <c r="BY99" s="3">
        <f t="shared" si="45"/>
        <v>0</v>
      </c>
      <c r="BZ99" s="3">
        <f t="shared" si="44"/>
        <v>-0.5</v>
      </c>
      <c r="CA99" s="3">
        <f t="shared" si="44"/>
        <v>-0.3</v>
      </c>
      <c r="CB99" s="3">
        <f t="shared" si="44"/>
        <v>0.4</v>
      </c>
      <c r="CC99" s="22">
        <f t="shared" si="53"/>
        <v>65.2</v>
      </c>
      <c r="CD99" s="1">
        <f t="shared" si="57"/>
        <v>6.1</v>
      </c>
      <c r="CE99" s="1">
        <f t="shared" si="58"/>
        <v>6.9</v>
      </c>
      <c r="CF99" s="1">
        <f t="shared" si="59"/>
        <v>2.2999999999999998</v>
      </c>
      <c r="CG99" s="1">
        <f t="shared" si="60"/>
        <v>0</v>
      </c>
      <c r="CH99" s="1">
        <f t="shared" si="61"/>
        <v>-0.3</v>
      </c>
      <c r="CI99" s="1">
        <f t="shared" si="62"/>
        <v>-0.3</v>
      </c>
      <c r="CJ99" s="1">
        <f t="shared" si="63"/>
        <v>0.4</v>
      </c>
      <c r="CK99" s="2">
        <f t="shared" si="54"/>
        <v>89.5</v>
      </c>
      <c r="CL99" s="1">
        <f t="shared" si="64"/>
        <v>-8.6</v>
      </c>
      <c r="CM99" s="1">
        <f t="shared" si="65"/>
        <v>-9.8000000000000007</v>
      </c>
      <c r="CN99" s="1">
        <f t="shared" si="66"/>
        <v>-8.3000000000000007</v>
      </c>
      <c r="CO99" s="1">
        <f t="shared" si="67"/>
        <v>-0.3</v>
      </c>
      <c r="CP99" s="1">
        <f t="shared" si="68"/>
        <v>-0.6</v>
      </c>
      <c r="CQ99" s="1">
        <f t="shared" si="69"/>
        <v>-0.4</v>
      </c>
      <c r="CR99" s="1">
        <f t="shared" si="70"/>
        <v>0.4</v>
      </c>
      <c r="CS99" s="2">
        <f t="shared" si="71"/>
        <v>30.8</v>
      </c>
      <c r="CT99" s="6">
        <f t="shared" si="72"/>
        <v>1181</v>
      </c>
      <c r="CU99" s="1">
        <f>PPTest!K99</f>
        <v>0</v>
      </c>
      <c r="CV99" s="3">
        <f t="shared" si="73"/>
        <v>1.74</v>
      </c>
      <c r="CW99" s="3">
        <f t="shared" si="74"/>
        <v>4.25</v>
      </c>
      <c r="CX99" s="24">
        <f t="shared" si="75"/>
        <v>0.28899999999999998</v>
      </c>
      <c r="CY99" s="24">
        <f t="shared" si="75"/>
        <v>0.64900000000000002</v>
      </c>
      <c r="CZ99" s="16">
        <f t="shared" si="76"/>
        <v>13.18</v>
      </c>
    </row>
    <row r="100" spans="1:104" x14ac:dyDescent="0.2">
      <c r="A100" s="14">
        <f t="shared" si="77"/>
        <v>38811</v>
      </c>
      <c r="B100" s="1">
        <v>94</v>
      </c>
      <c r="C100" s="3">
        <v>5.7039999999999997</v>
      </c>
      <c r="D100" s="3">
        <v>11.13</v>
      </c>
      <c r="E100" s="3">
        <v>0.84799999999999998</v>
      </c>
      <c r="F100" s="3">
        <v>109.9</v>
      </c>
      <c r="G100" s="3">
        <v>0.46200000000000002</v>
      </c>
      <c r="H100" s="3">
        <v>0.156</v>
      </c>
      <c r="I100" s="3">
        <v>-1E-3</v>
      </c>
      <c r="J100" s="3">
        <v>-0.35599999999999998</v>
      </c>
      <c r="K100" s="3">
        <v>-0.32100000000000001</v>
      </c>
      <c r="L100" s="3">
        <v>0.40699999999999997</v>
      </c>
      <c r="M100" s="3">
        <v>1.0900000000000001</v>
      </c>
      <c r="N100" s="3">
        <v>1</v>
      </c>
      <c r="O100" s="3">
        <v>2.7719999999999998</v>
      </c>
      <c r="P100" s="3">
        <v>1027</v>
      </c>
      <c r="Q100" s="3">
        <v>111</v>
      </c>
      <c r="R100" s="3">
        <v>2338</v>
      </c>
      <c r="S100" s="3">
        <v>2.4670000000000001</v>
      </c>
      <c r="T100" s="3">
        <v>1.0269999999999999</v>
      </c>
      <c r="U100" s="3">
        <v>5.3999999999999999E-2</v>
      </c>
      <c r="V100" s="3">
        <v>-0.27600000000000002</v>
      </c>
      <c r="W100" s="3">
        <v>-0.27300000000000002</v>
      </c>
      <c r="X100" s="3">
        <v>0.438</v>
      </c>
      <c r="Y100" s="3">
        <v>2.6019999999999999</v>
      </c>
      <c r="Z100" s="3">
        <v>1333</v>
      </c>
      <c r="AA100" s="3">
        <v>-1.06</v>
      </c>
      <c r="AB100" s="3">
        <v>0</v>
      </c>
      <c r="AC100" s="3">
        <v>102.4</v>
      </c>
      <c r="AD100" s="3">
        <v>33</v>
      </c>
      <c r="AE100" s="3">
        <v>-1.736</v>
      </c>
      <c r="AF100" s="3">
        <v>-0.27500000000000002</v>
      </c>
      <c r="AG100" s="3">
        <v>-5.3999999999999999E-2</v>
      </c>
      <c r="AH100" s="3">
        <v>-0.433</v>
      </c>
      <c r="AI100" s="3">
        <v>-0.36199999999999999</v>
      </c>
      <c r="AJ100" s="3">
        <v>0.378</v>
      </c>
      <c r="AK100" s="3">
        <v>0.13500000000000001</v>
      </c>
      <c r="AL100" s="3">
        <v>0.23400000000000001</v>
      </c>
      <c r="AM100" s="3">
        <v>0.14399999999999999</v>
      </c>
      <c r="AN100" s="3">
        <v>2.7E-2</v>
      </c>
      <c r="AO100" s="3">
        <v>0.13400000000000001</v>
      </c>
      <c r="AP100" s="3">
        <v>0.25800000000000001</v>
      </c>
      <c r="AQ100" s="3">
        <v>3.5999999999999997E-2</v>
      </c>
      <c r="AR100" s="3">
        <v>3.2000000000000001E-2</v>
      </c>
      <c r="AS100" s="3">
        <v>2356</v>
      </c>
      <c r="AT100" s="3">
        <v>2341</v>
      </c>
      <c r="AU100" s="3">
        <v>2348</v>
      </c>
      <c r="AV100" s="3">
        <v>-0.123</v>
      </c>
      <c r="AW100" s="3">
        <v>-0.17699999999999999</v>
      </c>
      <c r="AX100" s="3">
        <v>-1.6E-2</v>
      </c>
      <c r="AY100" s="3">
        <v>-5.7000000000000002E-2</v>
      </c>
      <c r="AZ100" s="3">
        <v>-0.20100000000000001</v>
      </c>
      <c r="BA100" s="3">
        <v>-0.29199999999999998</v>
      </c>
      <c r="BB100" s="3">
        <v>13.19</v>
      </c>
      <c r="BC100" s="3">
        <v>2876</v>
      </c>
      <c r="BE100" s="6">
        <f t="shared" si="43"/>
        <v>1162</v>
      </c>
      <c r="BG100" s="16">
        <v>21.82</v>
      </c>
      <c r="BH100" s="16">
        <f t="shared" si="46"/>
        <v>44.0764</v>
      </c>
      <c r="BI100" s="17">
        <f t="shared" si="40"/>
        <v>5.59</v>
      </c>
      <c r="BJ100" s="17">
        <f t="shared" si="41"/>
        <v>12.24</v>
      </c>
      <c r="BL100" s="1">
        <f t="shared" si="47"/>
        <v>99.8</v>
      </c>
      <c r="BM100" s="1">
        <f t="shared" si="48"/>
        <v>98</v>
      </c>
      <c r="BN100" s="1">
        <f t="shared" si="49"/>
        <v>86.1</v>
      </c>
      <c r="BO100" s="49">
        <f t="shared" si="55"/>
        <v>0.64200000000000002</v>
      </c>
      <c r="BP100" s="49">
        <f t="shared" si="56"/>
        <v>0.104</v>
      </c>
      <c r="BQ100" s="2">
        <f t="shared" si="78"/>
        <v>0.84799999999999998</v>
      </c>
      <c r="BR100" s="3">
        <v>4.4000000000000004</v>
      </c>
      <c r="BT100" s="16">
        <f t="shared" si="50"/>
        <v>5.59</v>
      </c>
      <c r="BU100" s="16">
        <f t="shared" si="51"/>
        <v>12.24</v>
      </c>
      <c r="BV100" s="3">
        <f t="shared" si="52"/>
        <v>0.8</v>
      </c>
      <c r="BW100" s="3">
        <f t="shared" si="45"/>
        <v>0.5</v>
      </c>
      <c r="BX100" s="3">
        <f t="shared" si="45"/>
        <v>0.2</v>
      </c>
      <c r="BY100" s="3">
        <f t="shared" si="45"/>
        <v>0</v>
      </c>
      <c r="BZ100" s="3">
        <f t="shared" si="44"/>
        <v>-0.4</v>
      </c>
      <c r="CA100" s="3">
        <f t="shared" si="44"/>
        <v>-0.3</v>
      </c>
      <c r="CB100" s="3">
        <f t="shared" si="44"/>
        <v>0.4</v>
      </c>
      <c r="CC100" s="22">
        <f t="shared" si="53"/>
        <v>98</v>
      </c>
      <c r="CD100" s="1">
        <f t="shared" si="57"/>
        <v>2.8</v>
      </c>
      <c r="CE100" s="1">
        <f t="shared" si="58"/>
        <v>2.5</v>
      </c>
      <c r="CF100" s="1">
        <f t="shared" si="59"/>
        <v>1</v>
      </c>
      <c r="CG100" s="1">
        <f t="shared" si="60"/>
        <v>0.1</v>
      </c>
      <c r="CH100" s="1">
        <f t="shared" si="61"/>
        <v>-0.3</v>
      </c>
      <c r="CI100" s="1">
        <f t="shared" si="62"/>
        <v>-0.3</v>
      </c>
      <c r="CJ100" s="1">
        <f t="shared" si="63"/>
        <v>0.4</v>
      </c>
      <c r="CK100" s="2">
        <f t="shared" si="54"/>
        <v>99.8</v>
      </c>
      <c r="CL100" s="1">
        <f t="shared" si="64"/>
        <v>-1.1000000000000001</v>
      </c>
      <c r="CM100" s="1">
        <f t="shared" si="65"/>
        <v>-1.7</v>
      </c>
      <c r="CN100" s="1">
        <f t="shared" si="66"/>
        <v>-0.3</v>
      </c>
      <c r="CO100" s="1">
        <f t="shared" si="67"/>
        <v>-0.1</v>
      </c>
      <c r="CP100" s="1">
        <f t="shared" si="68"/>
        <v>-0.4</v>
      </c>
      <c r="CQ100" s="1">
        <f t="shared" si="69"/>
        <v>-0.4</v>
      </c>
      <c r="CR100" s="1">
        <f t="shared" si="70"/>
        <v>0.4</v>
      </c>
      <c r="CS100" s="2">
        <f t="shared" si="71"/>
        <v>86.1</v>
      </c>
      <c r="CT100" s="6">
        <f t="shared" si="72"/>
        <v>1162</v>
      </c>
      <c r="CU100" s="1">
        <f>PPTest!K100</f>
        <v>4.5999999999999996</v>
      </c>
      <c r="CV100" s="3">
        <f t="shared" si="73"/>
        <v>1.0900000000000001</v>
      </c>
      <c r="CW100" s="3">
        <f t="shared" si="74"/>
        <v>2.6</v>
      </c>
      <c r="CX100" s="24">
        <f t="shared" si="75"/>
        <v>0.64200000000000002</v>
      </c>
      <c r="CY100" s="24">
        <f t="shared" si="75"/>
        <v>0.104</v>
      </c>
      <c r="CZ100" s="16">
        <f t="shared" si="76"/>
        <v>13.19</v>
      </c>
    </row>
    <row r="101" spans="1:104" x14ac:dyDescent="0.2">
      <c r="A101" s="14">
        <f t="shared" si="77"/>
        <v>38812</v>
      </c>
      <c r="B101" s="1">
        <v>95</v>
      </c>
      <c r="C101" s="3">
        <v>19.440000000000001</v>
      </c>
      <c r="D101" s="3">
        <v>35.89</v>
      </c>
      <c r="E101" s="3">
        <v>3.319</v>
      </c>
      <c r="F101" s="3">
        <v>90.9</v>
      </c>
      <c r="G101" s="3">
        <v>2.8530000000000002</v>
      </c>
      <c r="H101" s="3">
        <v>1.206</v>
      </c>
      <c r="I101" s="3">
        <v>2E-3</v>
      </c>
      <c r="J101" s="3">
        <v>-0.255</v>
      </c>
      <c r="K101" s="3">
        <v>-0.29799999999999999</v>
      </c>
      <c r="L101" s="3">
        <v>0.40600000000000003</v>
      </c>
      <c r="M101" s="3">
        <v>1.7010000000000001</v>
      </c>
      <c r="N101" s="3">
        <v>0</v>
      </c>
      <c r="O101" s="3">
        <v>10.130000000000001</v>
      </c>
      <c r="P101" s="3">
        <v>1423</v>
      </c>
      <c r="Q101" s="3">
        <v>111.2</v>
      </c>
      <c r="R101" s="3">
        <v>455</v>
      </c>
      <c r="S101" s="3">
        <v>11.91</v>
      </c>
      <c r="T101" s="3">
        <v>9.09</v>
      </c>
      <c r="U101" s="3">
        <v>6.2E-2</v>
      </c>
      <c r="V101" s="3">
        <v>-0.14299999999999999</v>
      </c>
      <c r="W101" s="3">
        <v>-0.26300000000000001</v>
      </c>
      <c r="X101" s="3">
        <v>0.437</v>
      </c>
      <c r="Y101" s="3">
        <v>5.1680000000000001</v>
      </c>
      <c r="Z101" s="3">
        <v>1152</v>
      </c>
      <c r="AA101" s="3">
        <v>-4.0229999999999997</v>
      </c>
      <c r="AB101" s="3">
        <v>558</v>
      </c>
      <c r="AC101" s="3">
        <v>58.87</v>
      </c>
      <c r="AD101" s="3">
        <v>1423</v>
      </c>
      <c r="AE101" s="3">
        <v>-4.8949999999999996</v>
      </c>
      <c r="AF101" s="3">
        <v>-4.5860000000000003</v>
      </c>
      <c r="AG101" s="3">
        <v>-3.2000000000000001E-2</v>
      </c>
      <c r="AH101" s="3">
        <v>-0.37</v>
      </c>
      <c r="AI101" s="3">
        <v>-0.33500000000000002</v>
      </c>
      <c r="AJ101" s="3">
        <v>0.377</v>
      </c>
      <c r="AK101" s="3">
        <v>0.19500000000000001</v>
      </c>
      <c r="AL101" s="3">
        <v>0.43099999999999999</v>
      </c>
      <c r="AM101" s="3">
        <v>0.29399999999999998</v>
      </c>
      <c r="AN101" s="3">
        <v>0.01</v>
      </c>
      <c r="AO101" s="3">
        <v>0</v>
      </c>
      <c r="AP101" s="3">
        <v>2E-3</v>
      </c>
      <c r="AQ101" s="3">
        <v>3.0000000000000001E-3</v>
      </c>
      <c r="AR101" s="3">
        <v>6.5000000000000002E-2</v>
      </c>
      <c r="AS101" s="3">
        <v>6999</v>
      </c>
      <c r="AT101" s="3">
        <v>6999</v>
      </c>
      <c r="AU101" s="3">
        <v>6999</v>
      </c>
      <c r="AV101" s="3">
        <v>-1.6E-2</v>
      </c>
      <c r="AW101" s="3">
        <v>-6.6000000000000003E-2</v>
      </c>
      <c r="AX101" s="3">
        <v>-1.6E-2</v>
      </c>
      <c r="AY101" s="3">
        <v>-0.04</v>
      </c>
      <c r="AZ101" s="3">
        <v>-3.5999999999999997E-2</v>
      </c>
      <c r="BA101" s="3">
        <v>-9.7000000000000003E-2</v>
      </c>
      <c r="BB101" s="3">
        <v>13.19</v>
      </c>
      <c r="BC101" s="3">
        <v>2876</v>
      </c>
      <c r="BE101" s="18">
        <v>1100</v>
      </c>
      <c r="BG101" s="16">
        <v>22.08</v>
      </c>
      <c r="BH101" s="16">
        <f t="shared" si="46"/>
        <v>44.601599999999998</v>
      </c>
      <c r="BI101" s="17">
        <f t="shared" si="40"/>
        <v>19.05</v>
      </c>
      <c r="BJ101" s="17">
        <f t="shared" si="41"/>
        <v>39.479999999999997</v>
      </c>
      <c r="BL101" s="1">
        <f t="shared" si="47"/>
        <v>100</v>
      </c>
      <c r="BM101" s="1">
        <f t="shared" si="48"/>
        <v>73</v>
      </c>
      <c r="BN101" s="1">
        <f t="shared" si="49"/>
        <v>44.8</v>
      </c>
      <c r="BO101" s="49">
        <f t="shared" si="55"/>
        <v>0.55500000000000005</v>
      </c>
      <c r="BP101" s="49">
        <f t="shared" si="56"/>
        <v>0.68400000000000005</v>
      </c>
      <c r="BQ101" s="2">
        <f t="shared" si="78"/>
        <v>3.319</v>
      </c>
      <c r="BR101" s="3">
        <v>0.2</v>
      </c>
      <c r="BT101" s="16">
        <f t="shared" si="50"/>
        <v>19.05</v>
      </c>
      <c r="BU101" s="16">
        <f t="shared" si="51"/>
        <v>39.479999999999997</v>
      </c>
      <c r="BV101" s="3">
        <f t="shared" si="52"/>
        <v>3.3</v>
      </c>
      <c r="BW101" s="3">
        <f t="shared" si="45"/>
        <v>2.9</v>
      </c>
      <c r="BX101" s="3">
        <f t="shared" si="45"/>
        <v>1.2</v>
      </c>
      <c r="BY101" s="3">
        <f t="shared" si="45"/>
        <v>0</v>
      </c>
      <c r="BZ101" s="3">
        <f t="shared" si="44"/>
        <v>-0.3</v>
      </c>
      <c r="CA101" s="3">
        <f t="shared" si="44"/>
        <v>-0.3</v>
      </c>
      <c r="CB101" s="3">
        <f t="shared" si="44"/>
        <v>0.4</v>
      </c>
      <c r="CC101" s="22">
        <f t="shared" si="53"/>
        <v>73</v>
      </c>
      <c r="CD101" s="1">
        <f t="shared" si="57"/>
        <v>10.1</v>
      </c>
      <c r="CE101" s="1">
        <f t="shared" si="58"/>
        <v>11.9</v>
      </c>
      <c r="CF101" s="1">
        <f t="shared" si="59"/>
        <v>9.1</v>
      </c>
      <c r="CG101" s="1">
        <f t="shared" si="60"/>
        <v>0.1</v>
      </c>
      <c r="CH101" s="1">
        <f t="shared" si="61"/>
        <v>-0.1</v>
      </c>
      <c r="CI101" s="1">
        <f t="shared" si="62"/>
        <v>-0.3</v>
      </c>
      <c r="CJ101" s="1">
        <f t="shared" si="63"/>
        <v>0.4</v>
      </c>
      <c r="CK101" s="2">
        <f t="shared" si="54"/>
        <v>100</v>
      </c>
      <c r="CL101" s="1">
        <f t="shared" si="64"/>
        <v>-4</v>
      </c>
      <c r="CM101" s="1">
        <f t="shared" si="65"/>
        <v>-4.9000000000000004</v>
      </c>
      <c r="CN101" s="1">
        <f t="shared" si="66"/>
        <v>-4.5999999999999996</v>
      </c>
      <c r="CO101" s="1">
        <f t="shared" si="67"/>
        <v>0</v>
      </c>
      <c r="CP101" s="1">
        <f t="shared" si="68"/>
        <v>-0.4</v>
      </c>
      <c r="CQ101" s="1">
        <f t="shared" si="69"/>
        <v>-0.3</v>
      </c>
      <c r="CR101" s="1">
        <f t="shared" si="70"/>
        <v>0.4</v>
      </c>
      <c r="CS101" s="2">
        <f t="shared" si="71"/>
        <v>44.8</v>
      </c>
      <c r="CT101" s="6">
        <f t="shared" si="72"/>
        <v>1100</v>
      </c>
      <c r="CU101" s="1">
        <f>PPTest!K101</f>
        <v>0.2</v>
      </c>
      <c r="CV101" s="3">
        <f t="shared" si="73"/>
        <v>1.7</v>
      </c>
      <c r="CW101" s="3">
        <f t="shared" si="74"/>
        <v>5.17</v>
      </c>
      <c r="CX101" s="24">
        <f t="shared" si="75"/>
        <v>0.55500000000000005</v>
      </c>
      <c r="CY101" s="24">
        <f t="shared" si="75"/>
        <v>0.68400000000000005</v>
      </c>
      <c r="CZ101" s="16">
        <f t="shared" si="76"/>
        <v>13.19</v>
      </c>
    </row>
    <row r="102" spans="1:104" x14ac:dyDescent="0.2">
      <c r="A102" s="14">
        <f t="shared" si="77"/>
        <v>38813</v>
      </c>
      <c r="B102" s="1">
        <v>96</v>
      </c>
      <c r="C102" s="3">
        <v>12.54</v>
      </c>
      <c r="D102" s="3">
        <v>23.68</v>
      </c>
      <c r="E102" s="3">
        <v>2.7320000000000002</v>
      </c>
      <c r="F102" s="3">
        <v>99.3</v>
      </c>
      <c r="G102" s="3">
        <v>2.3180000000000001</v>
      </c>
      <c r="H102" s="3">
        <v>1.7749999999999999</v>
      </c>
      <c r="I102" s="3">
        <v>0.217</v>
      </c>
      <c r="J102" s="3">
        <v>-0.186</v>
      </c>
      <c r="K102" s="3">
        <v>-0.27600000000000002</v>
      </c>
      <c r="L102" s="3">
        <v>0.39300000000000002</v>
      </c>
      <c r="M102" s="3">
        <v>1.226</v>
      </c>
      <c r="N102" s="3">
        <v>1</v>
      </c>
      <c r="O102" s="3">
        <v>9.23</v>
      </c>
      <c r="P102" s="3">
        <v>1539</v>
      </c>
      <c r="Q102" s="3">
        <v>110.8</v>
      </c>
      <c r="R102" s="3">
        <v>56</v>
      </c>
      <c r="S102" s="3">
        <v>9.51</v>
      </c>
      <c r="T102" s="3">
        <v>7.96</v>
      </c>
      <c r="U102" s="3">
        <v>0.45600000000000002</v>
      </c>
      <c r="V102" s="3">
        <v>-0.14799999999999999</v>
      </c>
      <c r="W102" s="3">
        <v>-0.23300000000000001</v>
      </c>
      <c r="X102" s="3">
        <v>0.42599999999999999</v>
      </c>
      <c r="Y102" s="3">
        <v>3.2269999999999999</v>
      </c>
      <c r="Z102" s="3">
        <v>1627</v>
      </c>
      <c r="AA102" s="3">
        <v>-2.9670000000000001</v>
      </c>
      <c r="AB102" s="3">
        <v>0</v>
      </c>
      <c r="AC102" s="3">
        <v>64.03</v>
      </c>
      <c r="AD102" s="3">
        <v>1539</v>
      </c>
      <c r="AE102" s="3">
        <v>-3.7509999999999999</v>
      </c>
      <c r="AF102" s="3">
        <v>-4.0019999999999998</v>
      </c>
      <c r="AG102" s="3">
        <v>-2.1000000000000001E-2</v>
      </c>
      <c r="AH102" s="3">
        <v>-0.215</v>
      </c>
      <c r="AI102" s="3">
        <v>-0.316</v>
      </c>
      <c r="AJ102" s="3">
        <v>0.36199999999999999</v>
      </c>
      <c r="AK102" s="3">
        <v>5.0999999999999997E-2</v>
      </c>
      <c r="AL102" s="3">
        <v>0.221</v>
      </c>
      <c r="AM102" s="3">
        <v>0.17199999999999999</v>
      </c>
      <c r="AN102" s="3">
        <v>3.5999999999999997E-2</v>
      </c>
      <c r="AO102" s="3">
        <v>0.19400000000000001</v>
      </c>
      <c r="AP102" s="3">
        <v>0.222</v>
      </c>
      <c r="AQ102" s="3">
        <v>6.7000000000000004E-2</v>
      </c>
      <c r="AR102" s="3">
        <v>3.7999999999999999E-2</v>
      </c>
      <c r="AS102" s="3">
        <v>2435</v>
      </c>
      <c r="AT102" s="3">
        <v>2430</v>
      </c>
      <c r="AU102" s="3">
        <v>2431</v>
      </c>
      <c r="AV102" s="3">
        <v>-1.4999999999999999E-2</v>
      </c>
      <c r="AW102" s="3">
        <v>-5.8000000000000003E-2</v>
      </c>
      <c r="AX102" s="3">
        <v>5.0000000000000001E-3</v>
      </c>
      <c r="AY102" s="3">
        <v>-3.1E-2</v>
      </c>
      <c r="AZ102" s="3">
        <v>-3.5999999999999997E-2</v>
      </c>
      <c r="BA102" s="3">
        <v>-0.13300000000000001</v>
      </c>
      <c r="BB102" s="3">
        <v>13.2</v>
      </c>
      <c r="BC102" s="3">
        <v>2876</v>
      </c>
      <c r="BE102" s="6">
        <f>BE$2-AU102</f>
        <v>1079</v>
      </c>
      <c r="BG102" s="16">
        <v>22.34</v>
      </c>
      <c r="BH102" s="16">
        <f t="shared" si="46"/>
        <v>45.126800000000003</v>
      </c>
      <c r="BI102" s="17">
        <f t="shared" si="40"/>
        <v>12.29</v>
      </c>
      <c r="BJ102" s="17">
        <f t="shared" si="41"/>
        <v>26.05</v>
      </c>
      <c r="BL102" s="1">
        <f t="shared" si="47"/>
        <v>99.5</v>
      </c>
      <c r="BM102" s="1">
        <f t="shared" si="48"/>
        <v>81.2</v>
      </c>
      <c r="BN102" s="1">
        <f t="shared" si="49"/>
        <v>49.3</v>
      </c>
      <c r="BO102" s="49">
        <f t="shared" si="55"/>
        <v>0.57499999999999996</v>
      </c>
      <c r="BP102" s="49">
        <f t="shared" si="56"/>
        <v>0.59099999999999997</v>
      </c>
      <c r="BQ102" s="2">
        <f t="shared" si="78"/>
        <v>2.7320000000000002</v>
      </c>
      <c r="BR102" s="3">
        <v>3.4</v>
      </c>
      <c r="BT102" s="16">
        <f t="shared" si="50"/>
        <v>12.29</v>
      </c>
      <c r="BU102" s="16">
        <f t="shared" si="51"/>
        <v>26.05</v>
      </c>
      <c r="BV102" s="3">
        <f t="shared" si="52"/>
        <v>2.7</v>
      </c>
      <c r="BW102" s="3">
        <f t="shared" si="45"/>
        <v>2.2999999999999998</v>
      </c>
      <c r="BX102" s="3">
        <f t="shared" si="45"/>
        <v>1.8</v>
      </c>
      <c r="BY102" s="3">
        <f t="shared" si="45"/>
        <v>0.2</v>
      </c>
      <c r="BZ102" s="3">
        <f t="shared" si="44"/>
        <v>-0.2</v>
      </c>
      <c r="CA102" s="3">
        <f t="shared" si="44"/>
        <v>-0.3</v>
      </c>
      <c r="CB102" s="3">
        <f t="shared" si="44"/>
        <v>0.4</v>
      </c>
      <c r="CC102" s="22">
        <f t="shared" si="53"/>
        <v>81.2</v>
      </c>
      <c r="CD102" s="1">
        <f t="shared" si="57"/>
        <v>9.1999999999999993</v>
      </c>
      <c r="CE102" s="1">
        <f t="shared" si="58"/>
        <v>9.5</v>
      </c>
      <c r="CF102" s="1">
        <f t="shared" si="59"/>
        <v>8</v>
      </c>
      <c r="CG102" s="1">
        <f t="shared" si="60"/>
        <v>0.5</v>
      </c>
      <c r="CH102" s="1">
        <f t="shared" si="61"/>
        <v>-0.1</v>
      </c>
      <c r="CI102" s="1">
        <f t="shared" si="62"/>
        <v>-0.2</v>
      </c>
      <c r="CJ102" s="1">
        <f t="shared" si="63"/>
        <v>0.4</v>
      </c>
      <c r="CK102" s="2">
        <f t="shared" si="54"/>
        <v>99.5</v>
      </c>
      <c r="CL102" s="1">
        <f t="shared" si="64"/>
        <v>-3</v>
      </c>
      <c r="CM102" s="1">
        <f t="shared" si="65"/>
        <v>-3.8</v>
      </c>
      <c r="CN102" s="1">
        <f t="shared" si="66"/>
        <v>-4</v>
      </c>
      <c r="CO102" s="1">
        <f t="shared" si="67"/>
        <v>0</v>
      </c>
      <c r="CP102" s="1">
        <f t="shared" si="68"/>
        <v>-0.2</v>
      </c>
      <c r="CQ102" s="1">
        <f t="shared" si="69"/>
        <v>-0.3</v>
      </c>
      <c r="CR102" s="1">
        <f t="shared" si="70"/>
        <v>0.4</v>
      </c>
      <c r="CS102" s="2">
        <f t="shared" si="71"/>
        <v>49.3</v>
      </c>
      <c r="CT102" s="6">
        <f t="shared" si="72"/>
        <v>1079</v>
      </c>
      <c r="CU102" s="1">
        <f>PPTest!K102</f>
        <v>3.6</v>
      </c>
      <c r="CV102" s="3">
        <f t="shared" si="73"/>
        <v>1.23</v>
      </c>
      <c r="CW102" s="3">
        <f t="shared" si="74"/>
        <v>3.23</v>
      </c>
      <c r="CX102" s="24">
        <f t="shared" si="75"/>
        <v>0.57499999999999996</v>
      </c>
      <c r="CY102" s="24">
        <f t="shared" si="75"/>
        <v>0.59099999999999997</v>
      </c>
      <c r="CZ102" s="16">
        <f t="shared" si="76"/>
        <v>13.2</v>
      </c>
    </row>
    <row r="103" spans="1:104" x14ac:dyDescent="0.2">
      <c r="A103" s="14">
        <f t="shared" si="77"/>
        <v>38814</v>
      </c>
      <c r="B103" s="1">
        <v>97</v>
      </c>
      <c r="C103" s="3">
        <v>16.739999999999998</v>
      </c>
      <c r="D103" s="3">
        <v>30.51</v>
      </c>
      <c r="E103" s="3">
        <v>2.8250000000000002</v>
      </c>
      <c r="F103" s="3">
        <v>83.4</v>
      </c>
      <c r="G103" s="3">
        <v>2.3330000000000002</v>
      </c>
      <c r="H103" s="3">
        <v>1.661</v>
      </c>
      <c r="I103" s="3">
        <v>0.308</v>
      </c>
      <c r="J103" s="3">
        <v>-0.191</v>
      </c>
      <c r="K103" s="3">
        <v>-0.27600000000000002</v>
      </c>
      <c r="L103" s="3">
        <v>0.34699999999999998</v>
      </c>
      <c r="M103" s="3">
        <v>1.6579999999999999</v>
      </c>
      <c r="N103" s="3">
        <v>0</v>
      </c>
      <c r="O103" s="3">
        <v>8.89</v>
      </c>
      <c r="P103" s="3">
        <v>1104</v>
      </c>
      <c r="Q103" s="3">
        <v>110.9</v>
      </c>
      <c r="R103" s="3">
        <v>504</v>
      </c>
      <c r="S103" s="3">
        <v>10.61</v>
      </c>
      <c r="T103" s="3">
        <v>9.26</v>
      </c>
      <c r="U103" s="3">
        <v>0.38900000000000001</v>
      </c>
      <c r="V103" s="3">
        <v>-0.13100000000000001</v>
      </c>
      <c r="W103" s="3">
        <v>-0.22700000000000001</v>
      </c>
      <c r="X103" s="3">
        <v>0.40200000000000002</v>
      </c>
      <c r="Y103" s="3">
        <v>4.6760000000000002</v>
      </c>
      <c r="Z103" s="3">
        <v>1214</v>
      </c>
      <c r="AA103" s="3">
        <v>-4.6619999999999999</v>
      </c>
      <c r="AB103" s="3">
        <v>545</v>
      </c>
      <c r="AC103" s="3">
        <v>54.92</v>
      </c>
      <c r="AD103" s="3">
        <v>1105</v>
      </c>
      <c r="AE103" s="3">
        <v>-5.6749999999999998</v>
      </c>
      <c r="AF103" s="3">
        <v>-6.7969999999999997</v>
      </c>
      <c r="AG103" s="3">
        <v>0.20899999999999999</v>
      </c>
      <c r="AH103" s="3">
        <v>-0.313</v>
      </c>
      <c r="AI103" s="3">
        <v>-0.40300000000000002</v>
      </c>
      <c r="AJ103" s="3">
        <v>0.24399999999999999</v>
      </c>
      <c r="AK103" s="3">
        <v>9.4E-2</v>
      </c>
      <c r="AL103" s="3">
        <v>0.30599999999999999</v>
      </c>
      <c r="AM103" s="3">
        <v>0.30299999999999999</v>
      </c>
      <c r="AN103" s="3">
        <v>0.05</v>
      </c>
      <c r="AO103" s="3">
        <v>8.8999999999999996E-2</v>
      </c>
      <c r="AP103" s="3">
        <v>9.9000000000000005E-2</v>
      </c>
      <c r="AQ103" s="3">
        <v>3.1E-2</v>
      </c>
      <c r="AR103" s="3">
        <v>2.7E-2</v>
      </c>
      <c r="AS103" s="3">
        <v>2458</v>
      </c>
      <c r="AT103" s="3">
        <v>2457</v>
      </c>
      <c r="AU103" s="3">
        <v>2458</v>
      </c>
      <c r="AV103" s="3">
        <v>-8.6999999999999994E-2</v>
      </c>
      <c r="AW103" s="3">
        <v>-0.19400000000000001</v>
      </c>
      <c r="AX103" s="3">
        <v>2.5999999999999999E-2</v>
      </c>
      <c r="AY103" s="3">
        <v>3.4000000000000002E-2</v>
      </c>
      <c r="AZ103" s="3">
        <v>-0.38700000000000001</v>
      </c>
      <c r="BA103" s="3">
        <v>-0.78200000000000003</v>
      </c>
      <c r="BB103" s="3">
        <v>13.22</v>
      </c>
      <c r="BC103" s="3">
        <v>2876</v>
      </c>
      <c r="BE103" s="6">
        <f>BE$2-AU103</f>
        <v>1052</v>
      </c>
      <c r="BG103" s="16">
        <v>22.6</v>
      </c>
      <c r="BH103" s="16">
        <f t="shared" si="46"/>
        <v>45.652000000000001</v>
      </c>
      <c r="BI103" s="17">
        <f t="shared" si="40"/>
        <v>16.41</v>
      </c>
      <c r="BJ103" s="17">
        <f t="shared" si="41"/>
        <v>33.56</v>
      </c>
      <c r="BL103" s="1">
        <f t="shared" si="47"/>
        <v>99.6</v>
      </c>
      <c r="BM103" s="1">
        <f t="shared" si="48"/>
        <v>66.400000000000006</v>
      </c>
      <c r="BN103" s="1">
        <f t="shared" si="49"/>
        <v>41.3</v>
      </c>
      <c r="BO103" s="49">
        <f t="shared" si="55"/>
        <v>0.47</v>
      </c>
      <c r="BP103" s="49">
        <f t="shared" si="56"/>
        <v>0.66800000000000004</v>
      </c>
      <c r="BQ103" s="2">
        <f t="shared" si="78"/>
        <v>2.8250000000000002</v>
      </c>
      <c r="BR103" s="3">
        <v>0</v>
      </c>
      <c r="BT103" s="16">
        <f t="shared" si="50"/>
        <v>16.41</v>
      </c>
      <c r="BU103" s="16">
        <f t="shared" si="51"/>
        <v>33.56</v>
      </c>
      <c r="BV103" s="3">
        <f t="shared" si="52"/>
        <v>2.8</v>
      </c>
      <c r="BW103" s="3">
        <f t="shared" si="45"/>
        <v>2.2999999999999998</v>
      </c>
      <c r="BX103" s="3">
        <f t="shared" si="45"/>
        <v>1.7</v>
      </c>
      <c r="BY103" s="3">
        <f t="shared" si="45"/>
        <v>0.3</v>
      </c>
      <c r="BZ103" s="3">
        <f t="shared" si="44"/>
        <v>-0.2</v>
      </c>
      <c r="CA103" s="3">
        <f t="shared" si="44"/>
        <v>-0.3</v>
      </c>
      <c r="CB103" s="3">
        <f t="shared" si="44"/>
        <v>0.3</v>
      </c>
      <c r="CC103" s="22">
        <f t="shared" si="53"/>
        <v>66.400000000000006</v>
      </c>
      <c r="CD103" s="1">
        <f t="shared" si="57"/>
        <v>8.9</v>
      </c>
      <c r="CE103" s="1">
        <f t="shared" si="58"/>
        <v>10.6</v>
      </c>
      <c r="CF103" s="1">
        <f t="shared" si="59"/>
        <v>9.3000000000000007</v>
      </c>
      <c r="CG103" s="1">
        <f t="shared" si="60"/>
        <v>0.4</v>
      </c>
      <c r="CH103" s="1">
        <f t="shared" si="61"/>
        <v>-0.1</v>
      </c>
      <c r="CI103" s="1">
        <f t="shared" si="62"/>
        <v>-0.2</v>
      </c>
      <c r="CJ103" s="1">
        <f t="shared" si="63"/>
        <v>0.4</v>
      </c>
      <c r="CK103" s="2">
        <f t="shared" si="54"/>
        <v>99.6</v>
      </c>
      <c r="CL103" s="1">
        <f t="shared" si="64"/>
        <v>-4.7</v>
      </c>
      <c r="CM103" s="1">
        <f t="shared" si="65"/>
        <v>-5.7</v>
      </c>
      <c r="CN103" s="1">
        <f t="shared" si="66"/>
        <v>-6.8</v>
      </c>
      <c r="CO103" s="1">
        <f t="shared" si="67"/>
        <v>0.2</v>
      </c>
      <c r="CP103" s="1">
        <f t="shared" si="68"/>
        <v>-0.3</v>
      </c>
      <c r="CQ103" s="1">
        <f t="shared" si="69"/>
        <v>-0.4</v>
      </c>
      <c r="CR103" s="1">
        <f t="shared" si="70"/>
        <v>0.2</v>
      </c>
      <c r="CS103" s="2">
        <f t="shared" si="71"/>
        <v>41.3</v>
      </c>
      <c r="CT103" s="6">
        <f t="shared" si="72"/>
        <v>1052</v>
      </c>
      <c r="CU103" s="1">
        <f>PPTest!K103</f>
        <v>0</v>
      </c>
      <c r="CV103" s="3">
        <f t="shared" si="73"/>
        <v>1.66</v>
      </c>
      <c r="CW103" s="3">
        <f t="shared" si="74"/>
        <v>4.68</v>
      </c>
      <c r="CX103" s="24">
        <f t="shared" si="75"/>
        <v>0.47</v>
      </c>
      <c r="CY103" s="24">
        <f t="shared" si="75"/>
        <v>0.66800000000000004</v>
      </c>
      <c r="CZ103" s="16">
        <f t="shared" si="76"/>
        <v>13.22</v>
      </c>
    </row>
    <row r="104" spans="1:104" x14ac:dyDescent="0.2">
      <c r="A104" s="14">
        <f t="shared" si="77"/>
        <v>38815</v>
      </c>
      <c r="B104" s="1">
        <v>98</v>
      </c>
      <c r="C104" s="3">
        <v>8.56</v>
      </c>
      <c r="D104" s="3">
        <v>16.239999999999998</v>
      </c>
      <c r="E104" s="3">
        <v>3.6960000000000002</v>
      </c>
      <c r="F104" s="3">
        <v>93.4</v>
      </c>
      <c r="G104" s="3">
        <v>3.1349999999999998</v>
      </c>
      <c r="H104" s="3">
        <v>2.6040000000000001</v>
      </c>
      <c r="I104" s="3">
        <v>0.30099999999999999</v>
      </c>
      <c r="J104" s="3">
        <v>-0.161</v>
      </c>
      <c r="K104" s="3">
        <v>-0.24199999999999999</v>
      </c>
      <c r="L104" s="3">
        <v>0.34200000000000003</v>
      </c>
      <c r="M104" s="3">
        <v>1.155</v>
      </c>
      <c r="N104" s="3">
        <v>0</v>
      </c>
      <c r="O104" s="3">
        <v>7.28</v>
      </c>
      <c r="P104" s="3">
        <v>818</v>
      </c>
      <c r="Q104" s="3">
        <v>110.8</v>
      </c>
      <c r="R104" s="3">
        <v>2236</v>
      </c>
      <c r="S104" s="3">
        <v>7.61</v>
      </c>
      <c r="T104" s="3">
        <v>6.9790000000000001</v>
      </c>
      <c r="U104" s="3">
        <v>0.33600000000000002</v>
      </c>
      <c r="V104" s="3">
        <v>-0.13100000000000001</v>
      </c>
      <c r="W104" s="3">
        <v>-0.21099999999999999</v>
      </c>
      <c r="X104" s="3">
        <v>0.38100000000000001</v>
      </c>
      <c r="Y104" s="3">
        <v>3.32</v>
      </c>
      <c r="Z104" s="3">
        <v>137</v>
      </c>
      <c r="AA104" s="3">
        <v>-1.4E-2</v>
      </c>
      <c r="AB104" s="3">
        <v>530</v>
      </c>
      <c r="AC104" s="3">
        <v>66.78</v>
      </c>
      <c r="AD104" s="3">
        <v>820</v>
      </c>
      <c r="AE104" s="3">
        <v>-0.91300000000000003</v>
      </c>
      <c r="AF104" s="3">
        <v>-1.5029999999999999</v>
      </c>
      <c r="AG104" s="3">
        <v>0.26800000000000002</v>
      </c>
      <c r="AH104" s="3">
        <v>-0.19400000000000001</v>
      </c>
      <c r="AI104" s="3">
        <v>-0.27800000000000002</v>
      </c>
      <c r="AJ104" s="3">
        <v>0.309</v>
      </c>
      <c r="AK104" s="3">
        <v>7.6999999999999999E-2</v>
      </c>
      <c r="AL104" s="3">
        <v>0.30099999999999999</v>
      </c>
      <c r="AM104" s="3">
        <v>0.18099999999999999</v>
      </c>
      <c r="AN104" s="3">
        <v>3.2000000000000001E-2</v>
      </c>
      <c r="AO104" s="3">
        <v>6.4000000000000001E-2</v>
      </c>
      <c r="AP104" s="3">
        <v>0.17</v>
      </c>
      <c r="AQ104" s="3">
        <v>0.106</v>
      </c>
      <c r="AR104" s="3">
        <v>6.9000000000000006E-2</v>
      </c>
      <c r="AS104" s="3">
        <v>6999</v>
      </c>
      <c r="AT104" s="3">
        <v>6999</v>
      </c>
      <c r="AU104" s="3">
        <v>6999</v>
      </c>
      <c r="AV104" s="3">
        <v>1.0999999999999999E-2</v>
      </c>
      <c r="AW104" s="3">
        <v>-2.5999999999999999E-2</v>
      </c>
      <c r="AX104" s="3">
        <v>6.7000000000000004E-2</v>
      </c>
      <c r="AY104" s="3">
        <v>8.1000000000000003E-2</v>
      </c>
      <c r="AZ104" s="3">
        <v>-5.7000000000000002E-2</v>
      </c>
      <c r="BA104" s="3">
        <v>-0.17100000000000001</v>
      </c>
      <c r="BB104" s="3">
        <v>13.2</v>
      </c>
      <c r="BC104" s="3">
        <v>2876</v>
      </c>
      <c r="BE104" s="18">
        <v>1020</v>
      </c>
      <c r="BG104" s="16">
        <v>22.86</v>
      </c>
      <c r="BH104" s="16">
        <f t="shared" si="46"/>
        <v>46.177199999999999</v>
      </c>
      <c r="BI104" s="17">
        <f t="shared" si="40"/>
        <v>8.39</v>
      </c>
      <c r="BJ104" s="17">
        <f t="shared" si="41"/>
        <v>17.86</v>
      </c>
      <c r="BL104" s="1">
        <f t="shared" si="47"/>
        <v>99.5</v>
      </c>
      <c r="BM104" s="1">
        <f t="shared" si="48"/>
        <v>75.2</v>
      </c>
      <c r="BN104" s="1">
        <f t="shared" si="49"/>
        <v>51.8</v>
      </c>
      <c r="BO104" s="49">
        <f t="shared" si="55"/>
        <v>0.52900000000000003</v>
      </c>
      <c r="BP104" s="49">
        <f t="shared" si="56"/>
        <v>0.49199999999999999</v>
      </c>
      <c r="BQ104" s="2">
        <f t="shared" si="78"/>
        <v>3.6960000000000002</v>
      </c>
      <c r="BR104" s="3">
        <v>1</v>
      </c>
      <c r="BT104" s="16">
        <f t="shared" si="50"/>
        <v>8.39</v>
      </c>
      <c r="BU104" s="16">
        <f t="shared" si="51"/>
        <v>17.86</v>
      </c>
      <c r="BV104" s="3">
        <f t="shared" si="52"/>
        <v>3.7</v>
      </c>
      <c r="BW104" s="3">
        <f t="shared" si="45"/>
        <v>3.1</v>
      </c>
      <c r="BX104" s="3">
        <f t="shared" si="45"/>
        <v>2.6</v>
      </c>
      <c r="BY104" s="3">
        <f t="shared" si="45"/>
        <v>0.3</v>
      </c>
      <c r="BZ104" s="3">
        <f t="shared" si="44"/>
        <v>-0.2</v>
      </c>
      <c r="CA104" s="3">
        <f t="shared" si="44"/>
        <v>-0.2</v>
      </c>
      <c r="CB104" s="3">
        <f t="shared" si="44"/>
        <v>0.3</v>
      </c>
      <c r="CC104" s="22">
        <f t="shared" si="53"/>
        <v>75.2</v>
      </c>
      <c r="CD104" s="1">
        <f t="shared" si="57"/>
        <v>7.3</v>
      </c>
      <c r="CE104" s="1">
        <f t="shared" si="58"/>
        <v>7.6</v>
      </c>
      <c r="CF104" s="1">
        <f t="shared" si="59"/>
        <v>7</v>
      </c>
      <c r="CG104" s="1">
        <f t="shared" si="60"/>
        <v>0.3</v>
      </c>
      <c r="CH104" s="1">
        <f t="shared" si="61"/>
        <v>-0.1</v>
      </c>
      <c r="CI104" s="1">
        <f t="shared" si="62"/>
        <v>-0.2</v>
      </c>
      <c r="CJ104" s="1">
        <f t="shared" si="63"/>
        <v>0.4</v>
      </c>
      <c r="CK104" s="2">
        <f t="shared" si="54"/>
        <v>99.5</v>
      </c>
      <c r="CL104" s="1">
        <f t="shared" si="64"/>
        <v>0</v>
      </c>
      <c r="CM104" s="1">
        <f t="shared" si="65"/>
        <v>-0.9</v>
      </c>
      <c r="CN104" s="1">
        <f t="shared" si="66"/>
        <v>-1.5</v>
      </c>
      <c r="CO104" s="1">
        <f t="shared" si="67"/>
        <v>0.3</v>
      </c>
      <c r="CP104" s="1">
        <f t="shared" si="68"/>
        <v>-0.2</v>
      </c>
      <c r="CQ104" s="1">
        <f t="shared" si="69"/>
        <v>-0.3</v>
      </c>
      <c r="CR104" s="1">
        <f t="shared" si="70"/>
        <v>0.3</v>
      </c>
      <c r="CS104" s="2">
        <f t="shared" si="71"/>
        <v>51.8</v>
      </c>
      <c r="CT104" s="6">
        <f t="shared" si="72"/>
        <v>1020</v>
      </c>
      <c r="CU104" s="1">
        <f>PPTest!K104</f>
        <v>1.1000000000000001</v>
      </c>
      <c r="CV104" s="3">
        <f t="shared" si="73"/>
        <v>1.1599999999999999</v>
      </c>
      <c r="CW104" s="3">
        <f t="shared" si="74"/>
        <v>3.32</v>
      </c>
      <c r="CX104" s="24">
        <f t="shared" si="75"/>
        <v>0.52900000000000003</v>
      </c>
      <c r="CY104" s="24">
        <f t="shared" si="75"/>
        <v>0.49199999999999999</v>
      </c>
      <c r="CZ104" s="16">
        <f t="shared" si="76"/>
        <v>13.2</v>
      </c>
    </row>
    <row r="105" spans="1:104" x14ac:dyDescent="0.2">
      <c r="A105" s="14">
        <f t="shared" si="77"/>
        <v>38816</v>
      </c>
      <c r="B105" s="1">
        <v>99</v>
      </c>
      <c r="C105" s="3">
        <v>15.31</v>
      </c>
      <c r="D105" s="3">
        <v>28.79</v>
      </c>
      <c r="E105" s="3">
        <v>2.8279999999999998</v>
      </c>
      <c r="F105" s="3">
        <v>98.7</v>
      </c>
      <c r="G105" s="3">
        <v>2.5150000000000001</v>
      </c>
      <c r="H105" s="3">
        <v>2.194</v>
      </c>
      <c r="I105" s="3">
        <v>0.32200000000000001</v>
      </c>
      <c r="J105" s="3">
        <v>-0.14899999999999999</v>
      </c>
      <c r="K105" s="3">
        <v>-0.223</v>
      </c>
      <c r="L105" s="3">
        <v>0.34300000000000003</v>
      </c>
      <c r="M105" s="3">
        <v>1.1919999999999999</v>
      </c>
      <c r="N105" s="3">
        <v>0</v>
      </c>
      <c r="O105" s="3">
        <v>7.66</v>
      </c>
      <c r="P105" s="3">
        <v>1322</v>
      </c>
      <c r="Q105" s="3">
        <v>110.9</v>
      </c>
      <c r="R105" s="3">
        <v>425</v>
      </c>
      <c r="S105" s="3">
        <v>10.55</v>
      </c>
      <c r="T105" s="3">
        <v>9.7100000000000009</v>
      </c>
      <c r="U105" s="3">
        <v>0.441</v>
      </c>
      <c r="V105" s="3">
        <v>-4.5999999999999999E-2</v>
      </c>
      <c r="W105" s="3">
        <v>-0.128</v>
      </c>
      <c r="X105" s="3">
        <v>0.441</v>
      </c>
      <c r="Y105" s="3">
        <v>3.5590000000000002</v>
      </c>
      <c r="Z105" s="3">
        <v>1406</v>
      </c>
      <c r="AA105" s="3">
        <v>-0.42899999999999999</v>
      </c>
      <c r="AB105" s="3">
        <v>2055</v>
      </c>
      <c r="AC105" s="3">
        <v>67.77</v>
      </c>
      <c r="AD105" s="3">
        <v>1453</v>
      </c>
      <c r="AE105" s="3">
        <v>-1.151</v>
      </c>
      <c r="AF105" s="3">
        <v>-1.3520000000000001</v>
      </c>
      <c r="AG105" s="3">
        <v>0.252</v>
      </c>
      <c r="AH105" s="3">
        <v>-0.20100000000000001</v>
      </c>
      <c r="AI105" s="3">
        <v>-0.26900000000000002</v>
      </c>
      <c r="AJ105" s="3">
        <v>0.29499999999999998</v>
      </c>
      <c r="AK105" s="3">
        <v>3.9E-2</v>
      </c>
      <c r="AL105" s="3">
        <v>0.13100000000000001</v>
      </c>
      <c r="AM105" s="3">
        <v>4.8000000000000001E-2</v>
      </c>
      <c r="AN105" s="3">
        <v>3.4000000000000002E-2</v>
      </c>
      <c r="AO105" s="3">
        <v>0.23300000000000001</v>
      </c>
      <c r="AP105" s="3">
        <v>0.36099999999999999</v>
      </c>
      <c r="AQ105" s="3">
        <v>9.7000000000000003E-2</v>
      </c>
      <c r="AR105" s="3">
        <v>5.7000000000000002E-2</v>
      </c>
      <c r="AS105" s="3">
        <v>6999</v>
      </c>
      <c r="AT105" s="3">
        <v>6999</v>
      </c>
      <c r="AU105" s="3">
        <v>6999</v>
      </c>
      <c r="AV105" s="3">
        <v>0.17199999999999999</v>
      </c>
      <c r="AW105" s="3">
        <v>0.23899999999999999</v>
      </c>
      <c r="AX105" s="3">
        <v>0.746</v>
      </c>
      <c r="AY105" s="3">
        <v>1.329</v>
      </c>
      <c r="AZ105" s="3">
        <v>-7.8E-2</v>
      </c>
      <c r="BA105" s="3">
        <v>-0.24399999999999999</v>
      </c>
      <c r="BB105" s="3">
        <v>13.21</v>
      </c>
      <c r="BC105" s="3">
        <v>2876</v>
      </c>
      <c r="BE105" s="18">
        <v>990</v>
      </c>
      <c r="BG105" s="16">
        <v>23.11</v>
      </c>
      <c r="BH105" s="16">
        <f t="shared" si="46"/>
        <v>46.682200000000002</v>
      </c>
      <c r="BI105" s="17">
        <f t="shared" si="40"/>
        <v>15</v>
      </c>
      <c r="BJ105" s="17">
        <f t="shared" si="41"/>
        <v>31.67</v>
      </c>
      <c r="BL105" s="1">
        <f t="shared" si="47"/>
        <v>99.6</v>
      </c>
      <c r="BM105" s="1">
        <f t="shared" si="48"/>
        <v>79.900000000000006</v>
      </c>
      <c r="BN105" s="1">
        <f t="shared" si="49"/>
        <v>52.6</v>
      </c>
      <c r="BO105" s="49">
        <f t="shared" si="55"/>
        <v>0.55100000000000005</v>
      </c>
      <c r="BP105" s="49">
        <f t="shared" si="56"/>
        <v>0.497</v>
      </c>
      <c r="BQ105" s="2">
        <f t="shared" si="78"/>
        <v>2.8279999999999998</v>
      </c>
      <c r="BR105" s="3">
        <v>1.2</v>
      </c>
      <c r="BT105" s="16">
        <f t="shared" si="50"/>
        <v>15</v>
      </c>
      <c r="BU105" s="16">
        <f t="shared" si="51"/>
        <v>31.67</v>
      </c>
      <c r="BV105" s="3">
        <f t="shared" si="52"/>
        <v>2.8</v>
      </c>
      <c r="BW105" s="3">
        <f t="shared" si="45"/>
        <v>2.5</v>
      </c>
      <c r="BX105" s="3">
        <f t="shared" si="45"/>
        <v>2.2000000000000002</v>
      </c>
      <c r="BY105" s="3">
        <f t="shared" si="45"/>
        <v>0.3</v>
      </c>
      <c r="BZ105" s="3">
        <f t="shared" si="44"/>
        <v>-0.1</v>
      </c>
      <c r="CA105" s="3">
        <f t="shared" si="44"/>
        <v>-0.2</v>
      </c>
      <c r="CB105" s="3">
        <f t="shared" si="44"/>
        <v>0.3</v>
      </c>
      <c r="CC105" s="22">
        <f t="shared" si="53"/>
        <v>79.900000000000006</v>
      </c>
      <c r="CD105" s="1">
        <f t="shared" si="57"/>
        <v>7.7</v>
      </c>
      <c r="CE105" s="1">
        <f t="shared" si="58"/>
        <v>10.6</v>
      </c>
      <c r="CF105" s="1">
        <f t="shared" si="59"/>
        <v>9.6999999999999993</v>
      </c>
      <c r="CG105" s="1">
        <f t="shared" si="60"/>
        <v>0.4</v>
      </c>
      <c r="CH105" s="1">
        <f t="shared" si="61"/>
        <v>0</v>
      </c>
      <c r="CI105" s="1">
        <f t="shared" si="62"/>
        <v>-0.1</v>
      </c>
      <c r="CJ105" s="1">
        <f t="shared" si="63"/>
        <v>0.4</v>
      </c>
      <c r="CK105" s="2">
        <f t="shared" si="54"/>
        <v>99.6</v>
      </c>
      <c r="CL105" s="1">
        <f t="shared" si="64"/>
        <v>-0.4</v>
      </c>
      <c r="CM105" s="1">
        <f t="shared" si="65"/>
        <v>-1.2</v>
      </c>
      <c r="CN105" s="1">
        <f t="shared" si="66"/>
        <v>-1.4</v>
      </c>
      <c r="CO105" s="1">
        <f t="shared" si="67"/>
        <v>0.3</v>
      </c>
      <c r="CP105" s="1">
        <f t="shared" si="68"/>
        <v>-0.2</v>
      </c>
      <c r="CQ105" s="1">
        <f t="shared" si="69"/>
        <v>-0.3</v>
      </c>
      <c r="CR105" s="1">
        <f t="shared" si="70"/>
        <v>0.3</v>
      </c>
      <c r="CS105" s="2">
        <f t="shared" si="71"/>
        <v>52.6</v>
      </c>
      <c r="CT105" s="6">
        <f t="shared" si="72"/>
        <v>990</v>
      </c>
      <c r="CU105" s="1">
        <f>PPTest!K105</f>
        <v>1.3</v>
      </c>
      <c r="CV105" s="3">
        <f t="shared" si="73"/>
        <v>1.19</v>
      </c>
      <c r="CW105" s="3">
        <f t="shared" si="74"/>
        <v>3.56</v>
      </c>
      <c r="CX105" s="24">
        <f t="shared" si="75"/>
        <v>0.55100000000000005</v>
      </c>
      <c r="CY105" s="24">
        <f t="shared" si="75"/>
        <v>0.497</v>
      </c>
      <c r="CZ105" s="16">
        <f t="shared" si="76"/>
        <v>13.21</v>
      </c>
    </row>
    <row r="106" spans="1:104" x14ac:dyDescent="0.2">
      <c r="A106" s="14">
        <f t="shared" si="77"/>
        <v>38817</v>
      </c>
      <c r="B106" s="1">
        <v>100</v>
      </c>
      <c r="C106" s="3">
        <v>11.63</v>
      </c>
      <c r="D106" s="3">
        <v>22</v>
      </c>
      <c r="E106" s="3">
        <v>1.125</v>
      </c>
      <c r="F106" s="3">
        <v>103.6</v>
      </c>
      <c r="G106" s="3">
        <v>0.51400000000000001</v>
      </c>
      <c r="H106" s="3">
        <v>0.67500000000000004</v>
      </c>
      <c r="I106" s="3">
        <v>0.34499999999999997</v>
      </c>
      <c r="J106" s="3">
        <v>-0.16</v>
      </c>
      <c r="K106" s="3">
        <v>-0.22700000000000001</v>
      </c>
      <c r="L106" s="3">
        <v>0.32900000000000001</v>
      </c>
      <c r="M106" s="3">
        <v>1.075</v>
      </c>
      <c r="N106" s="3">
        <v>1</v>
      </c>
      <c r="O106" s="3">
        <v>5.21</v>
      </c>
      <c r="P106" s="3">
        <v>1424</v>
      </c>
      <c r="Q106" s="3">
        <v>110.9</v>
      </c>
      <c r="R106" s="3">
        <v>115</v>
      </c>
      <c r="S106" s="3">
        <v>6.85</v>
      </c>
      <c r="T106" s="3">
        <v>6.2039999999999997</v>
      </c>
      <c r="U106" s="3">
        <v>0.46500000000000002</v>
      </c>
      <c r="V106" s="3">
        <v>-4.9000000000000002E-2</v>
      </c>
      <c r="W106" s="3">
        <v>-0.129</v>
      </c>
      <c r="X106" s="3">
        <v>0.41699999999999998</v>
      </c>
      <c r="Y106" s="3">
        <v>2.774</v>
      </c>
      <c r="Z106" s="3">
        <v>1449</v>
      </c>
      <c r="AA106" s="3">
        <v>-2.89</v>
      </c>
      <c r="AB106" s="3">
        <v>2335</v>
      </c>
      <c r="AC106" s="3">
        <v>75.3</v>
      </c>
      <c r="AD106" s="3">
        <v>1417</v>
      </c>
      <c r="AE106" s="3">
        <v>-3.6059999999999999</v>
      </c>
      <c r="AF106" s="3">
        <v>-3.7</v>
      </c>
      <c r="AG106" s="3">
        <v>0.188</v>
      </c>
      <c r="AH106" s="3">
        <v>-0.29599999999999999</v>
      </c>
      <c r="AI106" s="3">
        <v>-0.35399999999999998</v>
      </c>
      <c r="AJ106" s="3">
        <v>0.21</v>
      </c>
      <c r="AK106" s="3">
        <v>0.161</v>
      </c>
      <c r="AL106" s="3">
        <v>0.28199999999999997</v>
      </c>
      <c r="AM106" s="3">
        <v>0.158</v>
      </c>
      <c r="AN106" s="3">
        <v>2.1999999999999999E-2</v>
      </c>
      <c r="AO106" s="3">
        <v>0.10299999999999999</v>
      </c>
      <c r="AP106" s="3">
        <v>0.13</v>
      </c>
      <c r="AQ106" s="3">
        <v>5.8000000000000003E-2</v>
      </c>
      <c r="AR106" s="3">
        <v>8.5000000000000006E-2</v>
      </c>
      <c r="AS106" s="3">
        <v>2535</v>
      </c>
      <c r="AT106" s="3">
        <v>2534</v>
      </c>
      <c r="AU106" s="3">
        <v>2534</v>
      </c>
      <c r="AV106" s="3">
        <v>0.156</v>
      </c>
      <c r="AW106" s="3">
        <v>0.16200000000000001</v>
      </c>
      <c r="AX106" s="3">
        <v>1.075</v>
      </c>
      <c r="AY106" s="3">
        <v>1.69</v>
      </c>
      <c r="AZ106" s="3">
        <v>-0.88300000000000001</v>
      </c>
      <c r="BA106" s="3">
        <v>-1.3460000000000001</v>
      </c>
      <c r="BB106" s="3">
        <v>13.2</v>
      </c>
      <c r="BC106" s="3">
        <v>2876</v>
      </c>
      <c r="BE106" s="6">
        <f t="shared" ref="BE106:BE117" si="79">BE$2-AU106</f>
        <v>976</v>
      </c>
      <c r="BG106" s="16">
        <v>23.37</v>
      </c>
      <c r="BH106" s="16">
        <f t="shared" si="46"/>
        <v>47.2074</v>
      </c>
      <c r="BI106" s="17">
        <f t="shared" si="40"/>
        <v>11.4</v>
      </c>
      <c r="BJ106" s="17">
        <f t="shared" si="41"/>
        <v>24.2</v>
      </c>
      <c r="BL106" s="1">
        <f t="shared" si="47"/>
        <v>99.6</v>
      </c>
      <c r="BM106" s="1">
        <f t="shared" si="48"/>
        <v>88</v>
      </c>
      <c r="BN106" s="1">
        <f t="shared" si="49"/>
        <v>59.3</v>
      </c>
      <c r="BO106" s="49">
        <f t="shared" si="55"/>
        <v>0.52500000000000002</v>
      </c>
      <c r="BP106" s="49">
        <f t="shared" si="56"/>
        <v>0.36</v>
      </c>
      <c r="BQ106" s="2">
        <f t="shared" si="78"/>
        <v>1.125</v>
      </c>
      <c r="BR106" s="3">
        <v>3</v>
      </c>
      <c r="BT106" s="16">
        <f t="shared" si="50"/>
        <v>11.4</v>
      </c>
      <c r="BU106" s="16">
        <f t="shared" si="51"/>
        <v>24.2</v>
      </c>
      <c r="BV106" s="3">
        <f t="shared" si="52"/>
        <v>1.1000000000000001</v>
      </c>
      <c r="BW106" s="3">
        <f t="shared" si="45"/>
        <v>0.5</v>
      </c>
      <c r="BX106" s="3">
        <f t="shared" si="45"/>
        <v>0.7</v>
      </c>
      <c r="BY106" s="3">
        <f t="shared" si="45"/>
        <v>0.3</v>
      </c>
      <c r="BZ106" s="3">
        <f t="shared" si="44"/>
        <v>-0.2</v>
      </c>
      <c r="CA106" s="3">
        <f t="shared" si="44"/>
        <v>-0.2</v>
      </c>
      <c r="CB106" s="3">
        <f t="shared" si="44"/>
        <v>0.3</v>
      </c>
      <c r="CC106" s="22">
        <f t="shared" si="53"/>
        <v>88</v>
      </c>
      <c r="CD106" s="1">
        <f t="shared" si="57"/>
        <v>5.2</v>
      </c>
      <c r="CE106" s="1">
        <f t="shared" si="58"/>
        <v>6.9</v>
      </c>
      <c r="CF106" s="1">
        <f t="shared" si="59"/>
        <v>6.2</v>
      </c>
      <c r="CG106" s="1">
        <f t="shared" si="60"/>
        <v>0.5</v>
      </c>
      <c r="CH106" s="1">
        <f t="shared" si="61"/>
        <v>0</v>
      </c>
      <c r="CI106" s="1">
        <f t="shared" si="62"/>
        <v>-0.1</v>
      </c>
      <c r="CJ106" s="1">
        <f t="shared" si="63"/>
        <v>0.4</v>
      </c>
      <c r="CK106" s="2">
        <f t="shared" si="54"/>
        <v>99.6</v>
      </c>
      <c r="CL106" s="1">
        <f t="shared" si="64"/>
        <v>-2.9</v>
      </c>
      <c r="CM106" s="1">
        <f t="shared" si="65"/>
        <v>-3.6</v>
      </c>
      <c r="CN106" s="1">
        <f t="shared" si="66"/>
        <v>-3.7</v>
      </c>
      <c r="CO106" s="1">
        <f t="shared" si="67"/>
        <v>0.2</v>
      </c>
      <c r="CP106" s="1">
        <f t="shared" si="68"/>
        <v>-0.3</v>
      </c>
      <c r="CQ106" s="1">
        <f t="shared" si="69"/>
        <v>-0.4</v>
      </c>
      <c r="CR106" s="1">
        <f t="shared" si="70"/>
        <v>0.2</v>
      </c>
      <c r="CS106" s="2">
        <f t="shared" si="71"/>
        <v>59.3</v>
      </c>
      <c r="CT106" s="6">
        <f t="shared" si="72"/>
        <v>976</v>
      </c>
      <c r="CU106" s="1">
        <f>PPTest!K106</f>
        <v>3.2</v>
      </c>
      <c r="CV106" s="3">
        <f t="shared" si="73"/>
        <v>1.08</v>
      </c>
      <c r="CW106" s="3">
        <f t="shared" si="74"/>
        <v>2.77</v>
      </c>
      <c r="CX106" s="24">
        <f t="shared" si="75"/>
        <v>0.52500000000000002</v>
      </c>
      <c r="CY106" s="24">
        <f t="shared" si="75"/>
        <v>0.36</v>
      </c>
      <c r="CZ106" s="16">
        <f t="shared" si="76"/>
        <v>13.2</v>
      </c>
    </row>
    <row r="107" spans="1:104" x14ac:dyDescent="0.2">
      <c r="A107" s="14">
        <f t="shared" si="77"/>
        <v>38818</v>
      </c>
      <c r="B107" s="1">
        <v>101</v>
      </c>
      <c r="C107" s="3">
        <v>8.2200000000000006</v>
      </c>
      <c r="D107" s="3">
        <v>15.78</v>
      </c>
      <c r="E107" s="3">
        <v>0.72799999999999998</v>
      </c>
      <c r="F107" s="3">
        <v>107.3</v>
      </c>
      <c r="G107" s="3">
        <v>0.224</v>
      </c>
      <c r="H107" s="3">
        <v>6.2E-2</v>
      </c>
      <c r="I107" s="3">
        <v>0.33300000000000002</v>
      </c>
      <c r="J107" s="3">
        <v>-0.158</v>
      </c>
      <c r="K107" s="3">
        <v>-0.216</v>
      </c>
      <c r="L107" s="3">
        <v>0.32800000000000001</v>
      </c>
      <c r="M107" s="3">
        <v>1.014</v>
      </c>
      <c r="N107" s="3">
        <v>1</v>
      </c>
      <c r="O107" s="3">
        <v>4.9219999999999997</v>
      </c>
      <c r="P107" s="3">
        <v>1352</v>
      </c>
      <c r="Q107" s="3">
        <v>110.9</v>
      </c>
      <c r="R107" s="3">
        <v>2016</v>
      </c>
      <c r="S107" s="3">
        <v>5.4729999999999999</v>
      </c>
      <c r="T107" s="3">
        <v>4.1630000000000003</v>
      </c>
      <c r="U107" s="3">
        <v>0.46700000000000003</v>
      </c>
      <c r="V107" s="3">
        <v>-0.02</v>
      </c>
      <c r="W107" s="3">
        <v>-7.6999999999999999E-2</v>
      </c>
      <c r="X107" s="3">
        <v>0.45600000000000002</v>
      </c>
      <c r="Y107" s="3">
        <v>3.36</v>
      </c>
      <c r="Z107" s="3">
        <v>2352</v>
      </c>
      <c r="AA107" s="3">
        <v>-2.7959999999999998</v>
      </c>
      <c r="AB107" s="3">
        <v>1</v>
      </c>
      <c r="AC107" s="3">
        <v>91.3</v>
      </c>
      <c r="AD107" s="3">
        <v>1353</v>
      </c>
      <c r="AE107" s="3">
        <v>-3.1459999999999999</v>
      </c>
      <c r="AF107" s="3">
        <v>-3.238</v>
      </c>
      <c r="AG107" s="3">
        <v>0.23899999999999999</v>
      </c>
      <c r="AH107" s="3">
        <v>-0.249</v>
      </c>
      <c r="AI107" s="3">
        <v>-0.30499999999999999</v>
      </c>
      <c r="AJ107" s="3">
        <v>0.253</v>
      </c>
      <c r="AK107" s="3">
        <v>0.125</v>
      </c>
      <c r="AL107" s="3">
        <v>0.308</v>
      </c>
      <c r="AM107" s="3">
        <v>0.20300000000000001</v>
      </c>
      <c r="AN107" s="3">
        <v>3.7999999999999999E-2</v>
      </c>
      <c r="AO107" s="3">
        <v>0.108</v>
      </c>
      <c r="AP107" s="3">
        <v>0.13600000000000001</v>
      </c>
      <c r="AQ107" s="3">
        <v>0.04</v>
      </c>
      <c r="AR107" s="3">
        <v>4.1000000000000002E-2</v>
      </c>
      <c r="AS107" s="3">
        <v>2538</v>
      </c>
      <c r="AT107" s="3">
        <v>2529</v>
      </c>
      <c r="AU107" s="3">
        <v>2533</v>
      </c>
      <c r="AV107" s="3">
        <v>-5.3999999999999999E-2</v>
      </c>
      <c r="AW107" s="3">
        <v>-4.1000000000000002E-2</v>
      </c>
      <c r="AX107" s="3">
        <v>0.68200000000000005</v>
      </c>
      <c r="AY107" s="3">
        <v>1.1060000000000001</v>
      </c>
      <c r="AZ107" s="3">
        <v>-0.94499999999999995</v>
      </c>
      <c r="BA107" s="3">
        <v>-1.3360000000000001</v>
      </c>
      <c r="BB107" s="3">
        <v>13.19</v>
      </c>
      <c r="BC107" s="3">
        <v>2876</v>
      </c>
      <c r="BE107" s="6">
        <f t="shared" si="79"/>
        <v>977</v>
      </c>
      <c r="BG107" s="16">
        <v>23.61</v>
      </c>
      <c r="BH107" s="16">
        <f t="shared" si="46"/>
        <v>47.6922</v>
      </c>
      <c r="BI107" s="17">
        <f t="shared" si="40"/>
        <v>8.06</v>
      </c>
      <c r="BJ107" s="17">
        <f t="shared" si="41"/>
        <v>17.36</v>
      </c>
      <c r="BL107" s="1">
        <f t="shared" si="47"/>
        <v>99.6</v>
      </c>
      <c r="BM107" s="1">
        <f t="shared" si="48"/>
        <v>93.9</v>
      </c>
      <c r="BN107" s="1">
        <f t="shared" si="49"/>
        <v>73.3</v>
      </c>
      <c r="BO107" s="49">
        <f t="shared" si="55"/>
        <v>0.63600000000000001</v>
      </c>
      <c r="BP107" s="49">
        <f t="shared" si="56"/>
        <v>0.23200000000000001</v>
      </c>
      <c r="BQ107" s="2">
        <f t="shared" si="78"/>
        <v>0.72799999999999998</v>
      </c>
      <c r="BR107" s="3">
        <v>1.2</v>
      </c>
      <c r="BT107" s="16">
        <f t="shared" si="50"/>
        <v>8.06</v>
      </c>
      <c r="BU107" s="16">
        <f t="shared" si="51"/>
        <v>17.36</v>
      </c>
      <c r="BV107" s="3">
        <f t="shared" si="52"/>
        <v>0.7</v>
      </c>
      <c r="BW107" s="3">
        <f t="shared" si="45"/>
        <v>0.2</v>
      </c>
      <c r="BX107" s="3">
        <f t="shared" si="45"/>
        <v>0.1</v>
      </c>
      <c r="BY107" s="3">
        <f t="shared" si="45"/>
        <v>0.3</v>
      </c>
      <c r="BZ107" s="3">
        <f t="shared" si="44"/>
        <v>-0.2</v>
      </c>
      <c r="CA107" s="3">
        <f t="shared" si="44"/>
        <v>-0.2</v>
      </c>
      <c r="CB107" s="3">
        <f t="shared" si="44"/>
        <v>0.3</v>
      </c>
      <c r="CC107" s="22">
        <f t="shared" si="53"/>
        <v>93.9</v>
      </c>
      <c r="CD107" s="1">
        <f t="shared" si="57"/>
        <v>4.9000000000000004</v>
      </c>
      <c r="CE107" s="1">
        <f t="shared" si="58"/>
        <v>5.5</v>
      </c>
      <c r="CF107" s="1">
        <f t="shared" si="59"/>
        <v>4.2</v>
      </c>
      <c r="CG107" s="1">
        <f t="shared" si="60"/>
        <v>0.5</v>
      </c>
      <c r="CH107" s="1">
        <f t="shared" si="61"/>
        <v>0</v>
      </c>
      <c r="CI107" s="1">
        <f t="shared" si="62"/>
        <v>-0.1</v>
      </c>
      <c r="CJ107" s="1">
        <f t="shared" si="63"/>
        <v>0.5</v>
      </c>
      <c r="CK107" s="2">
        <f t="shared" si="54"/>
        <v>99.6</v>
      </c>
      <c r="CL107" s="1">
        <f t="shared" si="64"/>
        <v>-2.8</v>
      </c>
      <c r="CM107" s="1">
        <f t="shared" si="65"/>
        <v>-3.1</v>
      </c>
      <c r="CN107" s="1">
        <f t="shared" si="66"/>
        <v>-3.2</v>
      </c>
      <c r="CO107" s="1">
        <f t="shared" si="67"/>
        <v>0.2</v>
      </c>
      <c r="CP107" s="1">
        <f t="shared" si="68"/>
        <v>-0.2</v>
      </c>
      <c r="CQ107" s="1">
        <f t="shared" si="69"/>
        <v>-0.3</v>
      </c>
      <c r="CR107" s="1">
        <f t="shared" si="70"/>
        <v>0.3</v>
      </c>
      <c r="CS107" s="2">
        <f t="shared" si="71"/>
        <v>73.3</v>
      </c>
      <c r="CT107" s="6">
        <f t="shared" si="72"/>
        <v>977</v>
      </c>
      <c r="CU107" s="1">
        <f>PPTest!K107</f>
        <v>1.3</v>
      </c>
      <c r="CV107" s="3">
        <f t="shared" si="73"/>
        <v>1.01</v>
      </c>
      <c r="CW107" s="3">
        <f t="shared" si="74"/>
        <v>3.36</v>
      </c>
      <c r="CX107" s="24">
        <f t="shared" si="75"/>
        <v>0.63600000000000001</v>
      </c>
      <c r="CY107" s="24">
        <f t="shared" si="75"/>
        <v>0.23200000000000001</v>
      </c>
      <c r="CZ107" s="16">
        <f t="shared" si="76"/>
        <v>13.19</v>
      </c>
    </row>
    <row r="108" spans="1:104" x14ac:dyDescent="0.2">
      <c r="A108" s="14">
        <f t="shared" si="77"/>
        <v>38819</v>
      </c>
      <c r="B108" s="1">
        <v>102</v>
      </c>
      <c r="C108" s="3">
        <v>10.49</v>
      </c>
      <c r="D108" s="3">
        <v>19.59</v>
      </c>
      <c r="E108" s="3">
        <v>1.113</v>
      </c>
      <c r="F108" s="3">
        <v>99.4</v>
      </c>
      <c r="G108" s="3">
        <v>0.61099999999999999</v>
      </c>
      <c r="H108" s="3">
        <v>0.72099999999999997</v>
      </c>
      <c r="I108" s="3">
        <v>0.311</v>
      </c>
      <c r="J108" s="3">
        <v>-0.152</v>
      </c>
      <c r="K108" s="3">
        <v>-0.20499999999999999</v>
      </c>
      <c r="L108" s="3">
        <v>0.32400000000000001</v>
      </c>
      <c r="M108" s="3">
        <v>2.246</v>
      </c>
      <c r="N108" s="3">
        <v>0</v>
      </c>
      <c r="O108" s="3">
        <v>4.4539999999999997</v>
      </c>
      <c r="P108" s="3">
        <v>1530</v>
      </c>
      <c r="Q108" s="3">
        <v>110.8</v>
      </c>
      <c r="R108" s="3">
        <v>1214</v>
      </c>
      <c r="S108" s="3">
        <v>5.8339999999999996</v>
      </c>
      <c r="T108" s="3">
        <v>5.7549999999999999</v>
      </c>
      <c r="U108" s="3">
        <v>0.48599999999999999</v>
      </c>
      <c r="V108" s="3">
        <v>1.4999999999999999E-2</v>
      </c>
      <c r="W108" s="3">
        <v>-5.2999999999999999E-2</v>
      </c>
      <c r="X108" s="3">
        <v>0.46899999999999997</v>
      </c>
      <c r="Y108" s="3">
        <v>6.1929999999999996</v>
      </c>
      <c r="Z108" s="3">
        <v>1634</v>
      </c>
      <c r="AA108" s="3">
        <v>-3.113</v>
      </c>
      <c r="AB108" s="3">
        <v>2359</v>
      </c>
      <c r="AC108" s="3">
        <v>83.5</v>
      </c>
      <c r="AD108" s="3">
        <v>2104</v>
      </c>
      <c r="AE108" s="3">
        <v>-3.411</v>
      </c>
      <c r="AF108" s="3">
        <v>-3.343</v>
      </c>
      <c r="AG108" s="3">
        <v>0.216</v>
      </c>
      <c r="AH108" s="3">
        <v>-0.25</v>
      </c>
      <c r="AI108" s="3">
        <v>-0.29599999999999999</v>
      </c>
      <c r="AJ108" s="3">
        <v>0.23799999999999999</v>
      </c>
      <c r="AK108" s="3">
        <v>1.2999999999999999E-2</v>
      </c>
      <c r="AL108" s="3">
        <v>1.2999999999999999E-2</v>
      </c>
      <c r="AM108" s="3">
        <v>2.9000000000000001E-2</v>
      </c>
      <c r="AN108" s="3">
        <v>0.06</v>
      </c>
      <c r="AO108" s="3">
        <v>0.26500000000000001</v>
      </c>
      <c r="AP108" s="3">
        <v>0.39900000000000002</v>
      </c>
      <c r="AQ108" s="3">
        <v>0.17399999999999999</v>
      </c>
      <c r="AR108" s="3">
        <v>4.7E-2</v>
      </c>
      <c r="AS108" s="3">
        <v>2539</v>
      </c>
      <c r="AT108" s="3">
        <v>2534</v>
      </c>
      <c r="AU108" s="3">
        <v>2536</v>
      </c>
      <c r="AV108" s="3">
        <v>0.114</v>
      </c>
      <c r="AW108" s="3">
        <v>9.6000000000000002E-2</v>
      </c>
      <c r="AX108" s="3">
        <v>1.0940000000000001</v>
      </c>
      <c r="AY108" s="3">
        <v>1.4770000000000001</v>
      </c>
      <c r="AZ108" s="3">
        <v>-1.623</v>
      </c>
      <c r="BA108" s="3">
        <v>-1.9019999999999999</v>
      </c>
      <c r="BB108" s="3">
        <v>13.22</v>
      </c>
      <c r="BC108" s="3">
        <v>2876</v>
      </c>
      <c r="BE108" s="6">
        <f t="shared" si="79"/>
        <v>974</v>
      </c>
      <c r="BG108" s="16">
        <v>23.88</v>
      </c>
      <c r="BH108" s="16">
        <f t="shared" si="46"/>
        <v>48.2376</v>
      </c>
      <c r="BI108" s="17">
        <f t="shared" si="40"/>
        <v>10.28</v>
      </c>
      <c r="BJ108" s="17">
        <f t="shared" si="41"/>
        <v>21.55</v>
      </c>
      <c r="BL108" s="1">
        <f t="shared" si="47"/>
        <v>99.5</v>
      </c>
      <c r="BM108" s="1">
        <f t="shared" si="48"/>
        <v>81.3</v>
      </c>
      <c r="BN108" s="1">
        <f t="shared" si="49"/>
        <v>66.5</v>
      </c>
      <c r="BO108" s="49">
        <f t="shared" si="55"/>
        <v>0.55800000000000005</v>
      </c>
      <c r="BP108" s="49">
        <f t="shared" si="56"/>
        <v>0.28100000000000003</v>
      </c>
      <c r="BQ108" s="2">
        <f t="shared" si="78"/>
        <v>1.113</v>
      </c>
      <c r="BR108" s="3">
        <v>1.2</v>
      </c>
      <c r="BT108" s="16">
        <f t="shared" si="50"/>
        <v>10.28</v>
      </c>
      <c r="BU108" s="16">
        <f t="shared" si="51"/>
        <v>21.55</v>
      </c>
      <c r="BV108" s="3">
        <f t="shared" si="52"/>
        <v>1.1000000000000001</v>
      </c>
      <c r="BW108" s="3">
        <f t="shared" si="45"/>
        <v>0.6</v>
      </c>
      <c r="BX108" s="3">
        <f t="shared" si="45"/>
        <v>0.7</v>
      </c>
      <c r="BY108" s="3">
        <f t="shared" si="45"/>
        <v>0.3</v>
      </c>
      <c r="BZ108" s="3">
        <f t="shared" si="44"/>
        <v>-0.2</v>
      </c>
      <c r="CA108" s="3">
        <f t="shared" si="44"/>
        <v>-0.2</v>
      </c>
      <c r="CB108" s="3">
        <f t="shared" si="44"/>
        <v>0.3</v>
      </c>
      <c r="CC108" s="22">
        <f t="shared" si="53"/>
        <v>81.3</v>
      </c>
      <c r="CD108" s="1">
        <f t="shared" si="57"/>
        <v>4.5</v>
      </c>
      <c r="CE108" s="1">
        <f t="shared" si="58"/>
        <v>5.8</v>
      </c>
      <c r="CF108" s="1">
        <f t="shared" si="59"/>
        <v>5.8</v>
      </c>
      <c r="CG108" s="1">
        <f t="shared" si="60"/>
        <v>0.5</v>
      </c>
      <c r="CH108" s="1">
        <f t="shared" si="61"/>
        <v>0</v>
      </c>
      <c r="CI108" s="1">
        <f t="shared" si="62"/>
        <v>-0.1</v>
      </c>
      <c r="CJ108" s="1">
        <f t="shared" si="63"/>
        <v>0.5</v>
      </c>
      <c r="CK108" s="2">
        <f t="shared" si="54"/>
        <v>99.5</v>
      </c>
      <c r="CL108" s="1">
        <f t="shared" si="64"/>
        <v>-3.1</v>
      </c>
      <c r="CM108" s="1">
        <f t="shared" si="65"/>
        <v>-3.4</v>
      </c>
      <c r="CN108" s="1">
        <f t="shared" si="66"/>
        <v>-3.3</v>
      </c>
      <c r="CO108" s="1">
        <f t="shared" si="67"/>
        <v>0.2</v>
      </c>
      <c r="CP108" s="1">
        <f t="shared" si="68"/>
        <v>-0.3</v>
      </c>
      <c r="CQ108" s="1">
        <f t="shared" si="69"/>
        <v>-0.3</v>
      </c>
      <c r="CR108" s="1">
        <f t="shared" si="70"/>
        <v>0.2</v>
      </c>
      <c r="CS108" s="2">
        <f t="shared" si="71"/>
        <v>66.5</v>
      </c>
      <c r="CT108" s="6">
        <f t="shared" si="72"/>
        <v>974</v>
      </c>
      <c r="CU108" s="1">
        <f>PPTest!K108</f>
        <v>1.3</v>
      </c>
      <c r="CV108" s="3">
        <f t="shared" si="73"/>
        <v>2.25</v>
      </c>
      <c r="CW108" s="3">
        <f t="shared" si="74"/>
        <v>6.19</v>
      </c>
      <c r="CX108" s="24">
        <f t="shared" si="75"/>
        <v>0.55800000000000005</v>
      </c>
      <c r="CY108" s="24">
        <f t="shared" si="75"/>
        <v>0.28100000000000003</v>
      </c>
      <c r="CZ108" s="16">
        <f t="shared" si="76"/>
        <v>13.22</v>
      </c>
    </row>
    <row r="109" spans="1:104" x14ac:dyDescent="0.2">
      <c r="A109" s="14">
        <f t="shared" si="77"/>
        <v>38820</v>
      </c>
      <c r="B109" s="1">
        <v>103</v>
      </c>
      <c r="C109" s="3">
        <v>8.07</v>
      </c>
      <c r="D109" s="3">
        <v>15.17</v>
      </c>
      <c r="E109" s="3">
        <v>-1.4570000000000001</v>
      </c>
      <c r="F109" s="3">
        <v>103.6</v>
      </c>
      <c r="G109" s="3">
        <v>-1.5409999999999999</v>
      </c>
      <c r="H109" s="3">
        <v>-1.591</v>
      </c>
      <c r="I109" s="3">
        <v>0.30599999999999999</v>
      </c>
      <c r="J109" s="3">
        <v>-0.189</v>
      </c>
      <c r="K109" s="3">
        <v>-0.23499999999999999</v>
      </c>
      <c r="L109" s="3">
        <v>0.28999999999999998</v>
      </c>
      <c r="M109" s="3">
        <v>1.544</v>
      </c>
      <c r="N109" s="3">
        <v>0</v>
      </c>
      <c r="O109" s="3">
        <v>1.528</v>
      </c>
      <c r="P109" s="3">
        <v>1311</v>
      </c>
      <c r="Q109" s="3">
        <v>110.9</v>
      </c>
      <c r="R109" s="3">
        <v>1814</v>
      </c>
      <c r="S109" s="3">
        <v>2.7749999999999999</v>
      </c>
      <c r="T109" s="3">
        <v>2.101</v>
      </c>
      <c r="U109" s="3">
        <v>0.41699999999999998</v>
      </c>
      <c r="V109" s="3">
        <v>-0.11899999999999999</v>
      </c>
      <c r="W109" s="3">
        <v>-0.16400000000000001</v>
      </c>
      <c r="X109" s="3">
        <v>0.35299999999999998</v>
      </c>
      <c r="Y109" s="3">
        <v>4.9160000000000004</v>
      </c>
      <c r="Z109" s="3">
        <v>1232</v>
      </c>
      <c r="AA109" s="3">
        <v>-3.6459999999999999</v>
      </c>
      <c r="AB109" s="3">
        <v>521</v>
      </c>
      <c r="AC109" s="3">
        <v>77.400000000000006</v>
      </c>
      <c r="AD109" s="3">
        <v>949</v>
      </c>
      <c r="AE109" s="3">
        <v>-3.923</v>
      </c>
      <c r="AF109" s="3">
        <v>-4.3470000000000004</v>
      </c>
      <c r="AG109" s="3">
        <v>0.19600000000000001</v>
      </c>
      <c r="AH109" s="3">
        <v>-0.27300000000000002</v>
      </c>
      <c r="AI109" s="3">
        <v>-0.32</v>
      </c>
      <c r="AJ109" s="3">
        <v>0.21199999999999999</v>
      </c>
      <c r="AK109" s="3">
        <v>6.5000000000000002E-2</v>
      </c>
      <c r="AL109" s="3">
        <v>3.1E-2</v>
      </c>
      <c r="AM109" s="3">
        <v>6.2E-2</v>
      </c>
      <c r="AN109" s="3">
        <v>9.0999999999999998E-2</v>
      </c>
      <c r="AO109" s="3">
        <v>0.2</v>
      </c>
      <c r="AP109" s="3">
        <v>0.308</v>
      </c>
      <c r="AQ109" s="3">
        <v>0.17199999999999999</v>
      </c>
      <c r="AR109" s="3">
        <v>7.0999999999999994E-2</v>
      </c>
      <c r="AS109" s="3">
        <v>2423</v>
      </c>
      <c r="AT109" s="3">
        <v>2419</v>
      </c>
      <c r="AU109" s="3">
        <v>2420</v>
      </c>
      <c r="AV109" s="3">
        <v>-1.0840000000000001</v>
      </c>
      <c r="AW109" s="3">
        <v>-1.1619999999999999</v>
      </c>
      <c r="AX109" s="3">
        <v>-0.18099999999999999</v>
      </c>
      <c r="AY109" s="3">
        <v>-0.16800000000000001</v>
      </c>
      <c r="AZ109" s="3">
        <v>-2.4079999999999999</v>
      </c>
      <c r="BA109" s="3">
        <v>-2.7280000000000002</v>
      </c>
      <c r="BB109" s="3">
        <v>13.12</v>
      </c>
      <c r="BC109" s="3">
        <v>2876</v>
      </c>
      <c r="BE109" s="6">
        <f t="shared" si="79"/>
        <v>1090</v>
      </c>
      <c r="BG109" s="16">
        <v>24.12</v>
      </c>
      <c r="BH109" s="16">
        <f t="shared" si="46"/>
        <v>48.7224</v>
      </c>
      <c r="BI109" s="17">
        <f t="shared" si="40"/>
        <v>7.91</v>
      </c>
      <c r="BJ109" s="17">
        <f t="shared" si="41"/>
        <v>16.690000000000001</v>
      </c>
      <c r="BL109" s="1">
        <f t="shared" si="47"/>
        <v>99.6</v>
      </c>
      <c r="BM109" s="1">
        <f t="shared" si="48"/>
        <v>88</v>
      </c>
      <c r="BN109" s="1">
        <f t="shared" si="49"/>
        <v>61.1</v>
      </c>
      <c r="BO109" s="49">
        <f t="shared" si="55"/>
        <v>0.41699999999999998</v>
      </c>
      <c r="BP109" s="49">
        <f t="shared" si="56"/>
        <v>0.26500000000000001</v>
      </c>
      <c r="BQ109" s="2">
        <f t="shared" si="78"/>
        <v>-1.4570000000000001</v>
      </c>
      <c r="BR109" s="3">
        <v>7.4</v>
      </c>
      <c r="BT109" s="16">
        <f t="shared" si="50"/>
        <v>7.91</v>
      </c>
      <c r="BU109" s="16">
        <f t="shared" si="51"/>
        <v>16.690000000000001</v>
      </c>
      <c r="BV109" s="3">
        <f t="shared" si="52"/>
        <v>-1.5</v>
      </c>
      <c r="BW109" s="3">
        <f t="shared" si="45"/>
        <v>-1.5</v>
      </c>
      <c r="BX109" s="3">
        <f t="shared" si="45"/>
        <v>-1.6</v>
      </c>
      <c r="BY109" s="3">
        <f t="shared" si="45"/>
        <v>0.3</v>
      </c>
      <c r="BZ109" s="3">
        <f t="shared" si="44"/>
        <v>-0.2</v>
      </c>
      <c r="CA109" s="3">
        <f t="shared" si="44"/>
        <v>-0.2</v>
      </c>
      <c r="CB109" s="3">
        <f t="shared" si="44"/>
        <v>0.3</v>
      </c>
      <c r="CC109" s="22">
        <f t="shared" si="53"/>
        <v>88</v>
      </c>
      <c r="CD109" s="1">
        <f t="shared" si="57"/>
        <v>1.5</v>
      </c>
      <c r="CE109" s="1">
        <f t="shared" si="58"/>
        <v>2.8</v>
      </c>
      <c r="CF109" s="1">
        <f t="shared" si="59"/>
        <v>2.1</v>
      </c>
      <c r="CG109" s="1">
        <f t="shared" si="60"/>
        <v>0.4</v>
      </c>
      <c r="CH109" s="1">
        <f t="shared" si="61"/>
        <v>-0.1</v>
      </c>
      <c r="CI109" s="1">
        <f t="shared" si="62"/>
        <v>-0.2</v>
      </c>
      <c r="CJ109" s="1">
        <f t="shared" si="63"/>
        <v>0.4</v>
      </c>
      <c r="CK109" s="2">
        <f t="shared" si="54"/>
        <v>99.6</v>
      </c>
      <c r="CL109" s="1">
        <f t="shared" si="64"/>
        <v>-3.6</v>
      </c>
      <c r="CM109" s="1">
        <f t="shared" si="65"/>
        <v>-3.9</v>
      </c>
      <c r="CN109" s="1">
        <f t="shared" si="66"/>
        <v>-4.3</v>
      </c>
      <c r="CO109" s="1">
        <f t="shared" si="67"/>
        <v>0.2</v>
      </c>
      <c r="CP109" s="1">
        <f t="shared" si="68"/>
        <v>-0.3</v>
      </c>
      <c r="CQ109" s="1">
        <f t="shared" si="69"/>
        <v>-0.3</v>
      </c>
      <c r="CR109" s="1">
        <f t="shared" si="70"/>
        <v>0.2</v>
      </c>
      <c r="CS109" s="2">
        <f t="shared" si="71"/>
        <v>61.1</v>
      </c>
      <c r="CT109" s="6">
        <f t="shared" si="72"/>
        <v>1090</v>
      </c>
      <c r="CU109" s="1">
        <f>PPTest!K109</f>
        <v>15.1</v>
      </c>
      <c r="CV109" s="3">
        <f t="shared" si="73"/>
        <v>1.54</v>
      </c>
      <c r="CW109" s="3">
        <f t="shared" si="74"/>
        <v>4.92</v>
      </c>
      <c r="CX109" s="24">
        <f t="shared" si="75"/>
        <v>0.41699999999999998</v>
      </c>
      <c r="CY109" s="24">
        <f t="shared" si="75"/>
        <v>0.26500000000000001</v>
      </c>
      <c r="CZ109" s="16">
        <f t="shared" si="76"/>
        <v>13.12</v>
      </c>
    </row>
    <row r="110" spans="1:104" x14ac:dyDescent="0.2">
      <c r="A110" s="14">
        <f t="shared" si="77"/>
        <v>38821</v>
      </c>
      <c r="B110" s="1">
        <v>104</v>
      </c>
      <c r="C110" s="3">
        <v>7.5</v>
      </c>
      <c r="D110" s="3">
        <v>13.29</v>
      </c>
      <c r="E110" s="3">
        <v>-0.48599999999999999</v>
      </c>
      <c r="F110" s="3">
        <v>104.4</v>
      </c>
      <c r="G110" s="3">
        <v>-0.63300000000000001</v>
      </c>
      <c r="H110" s="3">
        <v>-0.81100000000000005</v>
      </c>
      <c r="I110" s="3">
        <v>0.19400000000000001</v>
      </c>
      <c r="J110" s="3">
        <v>-0.19500000000000001</v>
      </c>
      <c r="K110" s="3">
        <v>-0.23</v>
      </c>
      <c r="L110" s="3">
        <v>0.29099999999999998</v>
      </c>
      <c r="M110" s="3">
        <v>2.1760000000000002</v>
      </c>
      <c r="N110" s="3">
        <v>3</v>
      </c>
      <c r="O110" s="3">
        <v>4.2510000000000003</v>
      </c>
      <c r="P110" s="3">
        <v>1016</v>
      </c>
      <c r="Q110" s="3">
        <v>111</v>
      </c>
      <c r="R110" s="3">
        <v>1602</v>
      </c>
      <c r="S110" s="3">
        <v>5.63</v>
      </c>
      <c r="T110" s="3">
        <v>4.6340000000000003</v>
      </c>
      <c r="U110" s="3">
        <v>0.32600000000000001</v>
      </c>
      <c r="V110" s="3">
        <v>-8.7999999999999995E-2</v>
      </c>
      <c r="W110" s="3">
        <v>-0.13300000000000001</v>
      </c>
      <c r="X110" s="3">
        <v>0.38900000000000001</v>
      </c>
      <c r="Y110" s="3">
        <v>7.34</v>
      </c>
      <c r="Z110" s="3">
        <v>1118</v>
      </c>
      <c r="AA110" s="3">
        <v>-4.8259999999999996</v>
      </c>
      <c r="AB110" s="3">
        <v>2356</v>
      </c>
      <c r="AC110" s="3">
        <v>88.8</v>
      </c>
      <c r="AD110" s="3">
        <v>955</v>
      </c>
      <c r="AE110" s="3">
        <v>-5.4989999999999997</v>
      </c>
      <c r="AF110" s="3">
        <v>-5.5979999999999999</v>
      </c>
      <c r="AG110" s="3">
        <v>1.4E-2</v>
      </c>
      <c r="AH110" s="3">
        <v>-0.33500000000000002</v>
      </c>
      <c r="AI110" s="3">
        <v>-0.35899999999999999</v>
      </c>
      <c r="AJ110" s="3">
        <v>0.16400000000000001</v>
      </c>
      <c r="AK110" s="3">
        <v>2.8000000000000001E-2</v>
      </c>
      <c r="AL110" s="3">
        <v>0.03</v>
      </c>
      <c r="AM110" s="3">
        <v>7.2999999999999995E-2</v>
      </c>
      <c r="AN110" s="3">
        <v>0.109</v>
      </c>
      <c r="AO110" s="3">
        <v>0.27800000000000002</v>
      </c>
      <c r="AP110" s="3">
        <v>0.33700000000000002</v>
      </c>
      <c r="AQ110" s="3">
        <v>0.112</v>
      </c>
      <c r="AR110" s="3">
        <v>3.3000000000000002E-2</v>
      </c>
      <c r="AS110" s="3">
        <v>2466</v>
      </c>
      <c r="AT110" s="3">
        <v>2464</v>
      </c>
      <c r="AU110" s="3">
        <v>2464</v>
      </c>
      <c r="AV110" s="3">
        <v>-0.42299999999999999</v>
      </c>
      <c r="AW110" s="3">
        <v>-0.56599999999999995</v>
      </c>
      <c r="AX110" s="3">
        <v>0.64200000000000002</v>
      </c>
      <c r="AY110" s="3">
        <v>0.85699999999999998</v>
      </c>
      <c r="AZ110" s="3">
        <v>-2.718</v>
      </c>
      <c r="BA110" s="3">
        <v>-3.1469999999999998</v>
      </c>
      <c r="BB110" s="3">
        <v>13.14</v>
      </c>
      <c r="BC110" s="3">
        <v>2876</v>
      </c>
      <c r="BE110" s="6">
        <f t="shared" si="79"/>
        <v>1046</v>
      </c>
      <c r="BG110" s="16">
        <v>24.37</v>
      </c>
      <c r="BH110" s="16">
        <f t="shared" si="46"/>
        <v>49.227400000000003</v>
      </c>
      <c r="BI110" s="17">
        <f t="shared" si="40"/>
        <v>7.35</v>
      </c>
      <c r="BJ110" s="17">
        <f t="shared" si="41"/>
        <v>14.62</v>
      </c>
      <c r="BL110" s="1">
        <f t="shared" si="47"/>
        <v>99.8</v>
      </c>
      <c r="BM110" s="1">
        <f t="shared" si="48"/>
        <v>89.3</v>
      </c>
      <c r="BN110" s="1">
        <f t="shared" si="49"/>
        <v>71.099999999999994</v>
      </c>
      <c r="BO110" s="49">
        <f t="shared" si="55"/>
        <v>0.58799999999999997</v>
      </c>
      <c r="BP110" s="49">
        <f t="shared" si="56"/>
        <v>0.23899999999999999</v>
      </c>
      <c r="BQ110" s="2">
        <f t="shared" si="78"/>
        <v>-0.48599999999999999</v>
      </c>
      <c r="BR110" s="3">
        <v>0.6</v>
      </c>
      <c r="BT110" s="16">
        <f t="shared" si="50"/>
        <v>7.35</v>
      </c>
      <c r="BU110" s="16">
        <f t="shared" si="51"/>
        <v>14.62</v>
      </c>
      <c r="BV110" s="3">
        <f t="shared" si="52"/>
        <v>-0.5</v>
      </c>
      <c r="BW110" s="3">
        <f t="shared" si="45"/>
        <v>-0.6</v>
      </c>
      <c r="BX110" s="3">
        <f t="shared" si="45"/>
        <v>-0.8</v>
      </c>
      <c r="BY110" s="3">
        <f t="shared" si="45"/>
        <v>0.2</v>
      </c>
      <c r="BZ110" s="3">
        <f t="shared" si="44"/>
        <v>-0.2</v>
      </c>
      <c r="CA110" s="3">
        <f t="shared" si="44"/>
        <v>-0.2</v>
      </c>
      <c r="CB110" s="3">
        <f t="shared" si="44"/>
        <v>0.3</v>
      </c>
      <c r="CC110" s="22">
        <f t="shared" si="53"/>
        <v>89.3</v>
      </c>
      <c r="CD110" s="1">
        <f t="shared" si="57"/>
        <v>4.3</v>
      </c>
      <c r="CE110" s="1">
        <f t="shared" si="58"/>
        <v>5.6</v>
      </c>
      <c r="CF110" s="1">
        <f t="shared" si="59"/>
        <v>4.5999999999999996</v>
      </c>
      <c r="CG110" s="1">
        <f t="shared" si="60"/>
        <v>0.3</v>
      </c>
      <c r="CH110" s="1">
        <f t="shared" si="61"/>
        <v>-0.1</v>
      </c>
      <c r="CI110" s="1">
        <f t="shared" si="62"/>
        <v>-0.1</v>
      </c>
      <c r="CJ110" s="1">
        <f t="shared" si="63"/>
        <v>0.4</v>
      </c>
      <c r="CK110" s="2">
        <f t="shared" si="54"/>
        <v>99.8</v>
      </c>
      <c r="CL110" s="1">
        <f t="shared" si="64"/>
        <v>-4.8</v>
      </c>
      <c r="CM110" s="1">
        <f t="shared" si="65"/>
        <v>-5.5</v>
      </c>
      <c r="CN110" s="1">
        <f t="shared" si="66"/>
        <v>-5.6</v>
      </c>
      <c r="CO110" s="1">
        <f t="shared" si="67"/>
        <v>0</v>
      </c>
      <c r="CP110" s="1">
        <f t="shared" si="68"/>
        <v>-0.3</v>
      </c>
      <c r="CQ110" s="1">
        <f t="shared" si="69"/>
        <v>-0.4</v>
      </c>
      <c r="CR110" s="1">
        <f t="shared" si="70"/>
        <v>0.2</v>
      </c>
      <c r="CS110" s="2">
        <f t="shared" si="71"/>
        <v>71.099999999999994</v>
      </c>
      <c r="CT110" s="6">
        <f t="shared" si="72"/>
        <v>1046</v>
      </c>
      <c r="CU110" s="1">
        <f>PPTest!K110</f>
        <v>0</v>
      </c>
      <c r="CV110" s="3">
        <f t="shared" si="73"/>
        <v>2.1800000000000002</v>
      </c>
      <c r="CW110" s="3">
        <f t="shared" si="74"/>
        <v>7.34</v>
      </c>
      <c r="CX110" s="24">
        <f t="shared" si="75"/>
        <v>0.58799999999999997</v>
      </c>
      <c r="CY110" s="24">
        <f t="shared" si="75"/>
        <v>0.23899999999999999</v>
      </c>
      <c r="CZ110" s="16">
        <f t="shared" si="76"/>
        <v>13.14</v>
      </c>
    </row>
    <row r="111" spans="1:104" x14ac:dyDescent="0.2">
      <c r="A111" s="14">
        <f t="shared" si="77"/>
        <v>38822</v>
      </c>
      <c r="B111" s="1">
        <v>105</v>
      </c>
      <c r="C111" s="3">
        <v>15.59</v>
      </c>
      <c r="D111" s="3">
        <v>28.19</v>
      </c>
      <c r="E111" s="3">
        <v>-3.7850000000000001</v>
      </c>
      <c r="F111" s="3">
        <v>98.6</v>
      </c>
      <c r="G111" s="3">
        <v>-3.8290000000000002</v>
      </c>
      <c r="H111" s="3">
        <v>-3.9279999999999999</v>
      </c>
      <c r="I111" s="3">
        <v>8.3000000000000004E-2</v>
      </c>
      <c r="J111" s="3">
        <v>-0.26800000000000002</v>
      </c>
      <c r="K111" s="3">
        <v>-0.24099999999999999</v>
      </c>
      <c r="L111" s="3">
        <v>0.27900000000000003</v>
      </c>
      <c r="M111" s="3">
        <v>1.556</v>
      </c>
      <c r="N111" s="3">
        <v>0</v>
      </c>
      <c r="O111" s="3">
        <v>1.3520000000000001</v>
      </c>
      <c r="P111" s="3">
        <v>1241</v>
      </c>
      <c r="Q111" s="3">
        <v>110.7</v>
      </c>
      <c r="R111" s="3">
        <v>2319</v>
      </c>
      <c r="S111" s="3">
        <v>4.1230000000000002</v>
      </c>
      <c r="T111" s="3">
        <v>4.6870000000000003</v>
      </c>
      <c r="U111" s="3">
        <v>0.26100000000000001</v>
      </c>
      <c r="V111" s="3">
        <v>-0.114</v>
      </c>
      <c r="W111" s="3">
        <v>-8.7999999999999995E-2</v>
      </c>
      <c r="X111" s="3">
        <v>0.42</v>
      </c>
      <c r="Y111" s="3">
        <v>4.6230000000000002</v>
      </c>
      <c r="Z111" s="3">
        <v>1145</v>
      </c>
      <c r="AA111" s="3">
        <v>-8.7200000000000006</v>
      </c>
      <c r="AB111" s="3">
        <v>353</v>
      </c>
      <c r="AC111" s="3">
        <v>61.1</v>
      </c>
      <c r="AD111" s="3">
        <v>1053</v>
      </c>
      <c r="AE111" s="3">
        <v>-9.85</v>
      </c>
      <c r="AF111" s="3">
        <v>-10.39</v>
      </c>
      <c r="AG111" s="3">
        <v>-4.3999999999999997E-2</v>
      </c>
      <c r="AH111" s="3">
        <v>-0.34499999999999997</v>
      </c>
      <c r="AI111" s="3">
        <v>-0.36699999999999999</v>
      </c>
      <c r="AJ111" s="3">
        <v>0.155</v>
      </c>
      <c r="AK111" s="3">
        <v>0.16200000000000001</v>
      </c>
      <c r="AL111" s="3">
        <v>0.18</v>
      </c>
      <c r="AM111" s="3">
        <v>0.16900000000000001</v>
      </c>
      <c r="AN111" s="3">
        <v>7.8E-2</v>
      </c>
      <c r="AO111" s="3">
        <v>0.121</v>
      </c>
      <c r="AP111" s="3">
        <v>0.16900000000000001</v>
      </c>
      <c r="AQ111" s="3">
        <v>6.3E-2</v>
      </c>
      <c r="AR111" s="3">
        <v>5.8000000000000003E-2</v>
      </c>
      <c r="AS111" s="3">
        <v>2346</v>
      </c>
      <c r="AT111" s="3">
        <v>2342</v>
      </c>
      <c r="AU111" s="3">
        <v>2343</v>
      </c>
      <c r="AV111" s="3">
        <v>-2.0659999999999998</v>
      </c>
      <c r="AW111" s="3">
        <v>-2.1850000000000001</v>
      </c>
      <c r="AX111" s="3">
        <v>8.7999999999999995E-2</v>
      </c>
      <c r="AY111" s="3">
        <v>0.48699999999999999</v>
      </c>
      <c r="AZ111" s="3">
        <v>-4.5389999999999997</v>
      </c>
      <c r="BA111" s="3">
        <v>-5.0289999999999999</v>
      </c>
      <c r="BB111" s="3">
        <v>13.19</v>
      </c>
      <c r="BC111" s="3">
        <v>2876</v>
      </c>
      <c r="BE111" s="6">
        <f t="shared" si="79"/>
        <v>1167</v>
      </c>
      <c r="BG111" s="16">
        <v>24.61</v>
      </c>
      <c r="BH111" s="16">
        <f t="shared" si="46"/>
        <v>49.712200000000003</v>
      </c>
      <c r="BI111" s="17">
        <f t="shared" si="40"/>
        <v>15.28</v>
      </c>
      <c r="BJ111" s="17">
        <f t="shared" si="41"/>
        <v>31.01</v>
      </c>
      <c r="BL111" s="1">
        <f t="shared" si="47"/>
        <v>99.3</v>
      </c>
      <c r="BM111" s="1">
        <f t="shared" si="48"/>
        <v>79.8</v>
      </c>
      <c r="BN111" s="1">
        <f t="shared" si="49"/>
        <v>46.8</v>
      </c>
      <c r="BO111" s="49">
        <f t="shared" si="55"/>
        <v>0.315</v>
      </c>
      <c r="BP111" s="49">
        <f t="shared" si="56"/>
        <v>0.35799999999999998</v>
      </c>
      <c r="BQ111" s="2">
        <f t="shared" si="78"/>
        <v>-3.7850000000000001</v>
      </c>
      <c r="BR111" s="3">
        <v>0</v>
      </c>
      <c r="BT111" s="16">
        <f t="shared" si="50"/>
        <v>15.28</v>
      </c>
      <c r="BU111" s="16">
        <f t="shared" si="51"/>
        <v>31.01</v>
      </c>
      <c r="BV111" s="3">
        <f t="shared" si="52"/>
        <v>-3.8</v>
      </c>
      <c r="BW111" s="3">
        <f t="shared" si="45"/>
        <v>-3.8</v>
      </c>
      <c r="BX111" s="3">
        <f t="shared" si="45"/>
        <v>-3.9</v>
      </c>
      <c r="BY111" s="3">
        <f t="shared" si="45"/>
        <v>0.1</v>
      </c>
      <c r="BZ111" s="3">
        <f t="shared" si="44"/>
        <v>-0.3</v>
      </c>
      <c r="CA111" s="3">
        <f t="shared" si="44"/>
        <v>-0.2</v>
      </c>
      <c r="CB111" s="3">
        <f t="shared" si="44"/>
        <v>0.3</v>
      </c>
      <c r="CC111" s="22">
        <f t="shared" si="53"/>
        <v>79.8</v>
      </c>
      <c r="CD111" s="1">
        <f t="shared" si="57"/>
        <v>1.4</v>
      </c>
      <c r="CE111" s="1">
        <f t="shared" si="58"/>
        <v>4.0999999999999996</v>
      </c>
      <c r="CF111" s="1">
        <f t="shared" si="59"/>
        <v>4.7</v>
      </c>
      <c r="CG111" s="1">
        <f t="shared" si="60"/>
        <v>0.3</v>
      </c>
      <c r="CH111" s="1">
        <f t="shared" si="61"/>
        <v>-0.1</v>
      </c>
      <c r="CI111" s="1">
        <f t="shared" si="62"/>
        <v>-0.1</v>
      </c>
      <c r="CJ111" s="1">
        <f t="shared" si="63"/>
        <v>0.4</v>
      </c>
      <c r="CK111" s="2">
        <f t="shared" si="54"/>
        <v>99.3</v>
      </c>
      <c r="CL111" s="1">
        <f t="shared" si="64"/>
        <v>-8.6999999999999993</v>
      </c>
      <c r="CM111" s="1">
        <f t="shared" si="65"/>
        <v>-9.9</v>
      </c>
      <c r="CN111" s="1">
        <f t="shared" si="66"/>
        <v>-10.4</v>
      </c>
      <c r="CO111" s="1">
        <f t="shared" si="67"/>
        <v>0</v>
      </c>
      <c r="CP111" s="1">
        <f t="shared" si="68"/>
        <v>-0.3</v>
      </c>
      <c r="CQ111" s="1">
        <f t="shared" si="69"/>
        <v>-0.4</v>
      </c>
      <c r="CR111" s="1">
        <f t="shared" si="70"/>
        <v>0.2</v>
      </c>
      <c r="CS111" s="2">
        <f t="shared" si="71"/>
        <v>46.8</v>
      </c>
      <c r="CT111" s="6">
        <f t="shared" si="72"/>
        <v>1167</v>
      </c>
      <c r="CU111" s="1">
        <f>PPTest!K111</f>
        <v>15.7</v>
      </c>
      <c r="CV111" s="3">
        <f t="shared" si="73"/>
        <v>1.56</v>
      </c>
      <c r="CW111" s="3">
        <f t="shared" si="74"/>
        <v>4.62</v>
      </c>
      <c r="CX111" s="24">
        <f t="shared" si="75"/>
        <v>0.315</v>
      </c>
      <c r="CY111" s="24">
        <f t="shared" si="75"/>
        <v>0.35799999999999998</v>
      </c>
      <c r="CZ111" s="16">
        <f t="shared" si="76"/>
        <v>13.19</v>
      </c>
    </row>
    <row r="112" spans="1:104" x14ac:dyDescent="0.2">
      <c r="A112" s="14">
        <f t="shared" si="77"/>
        <v>38823</v>
      </c>
      <c r="B112" s="1">
        <v>106</v>
      </c>
      <c r="C112" s="3">
        <v>11.01</v>
      </c>
      <c r="D112" s="3">
        <v>14.89</v>
      </c>
      <c r="E112" s="3">
        <v>-4.3789999999999996</v>
      </c>
      <c r="F112" s="3">
        <v>100.7</v>
      </c>
      <c r="G112" s="3">
        <v>-4.51</v>
      </c>
      <c r="H112" s="3">
        <v>-4.9669999999999996</v>
      </c>
      <c r="I112" s="3">
        <v>-6.3E-2</v>
      </c>
      <c r="J112" s="3">
        <v>-0.41199999999999998</v>
      </c>
      <c r="K112" s="3">
        <v>-0.27700000000000002</v>
      </c>
      <c r="L112" s="3">
        <v>0.247</v>
      </c>
      <c r="M112" s="3">
        <v>1.9410000000000001</v>
      </c>
      <c r="N112" s="3">
        <v>0</v>
      </c>
      <c r="O112" s="3">
        <v>0.64</v>
      </c>
      <c r="P112" s="3">
        <v>1254</v>
      </c>
      <c r="Q112" s="3">
        <v>110.6</v>
      </c>
      <c r="R112" s="3">
        <v>1</v>
      </c>
      <c r="S112" s="3">
        <v>3.6549999999999998</v>
      </c>
      <c r="T112" s="3">
        <v>3.621</v>
      </c>
      <c r="U112" s="3">
        <v>8.8999999999999996E-2</v>
      </c>
      <c r="V112" s="3">
        <v>-0.27600000000000002</v>
      </c>
      <c r="W112" s="3">
        <v>-0.17899999999999999</v>
      </c>
      <c r="X112" s="3">
        <v>0.34300000000000003</v>
      </c>
      <c r="Y112" s="3">
        <v>4.8360000000000003</v>
      </c>
      <c r="Z112" s="3">
        <v>842</v>
      </c>
      <c r="AA112" s="3">
        <v>-12.51</v>
      </c>
      <c r="AB112" s="3">
        <v>2355</v>
      </c>
      <c r="AC112" s="3">
        <v>67.39</v>
      </c>
      <c r="AD112" s="3">
        <v>1250</v>
      </c>
      <c r="AE112" s="3">
        <v>-14.08</v>
      </c>
      <c r="AF112" s="3">
        <v>-15</v>
      </c>
      <c r="AG112" s="3">
        <v>-0.52800000000000002</v>
      </c>
      <c r="AH112" s="3">
        <v>-0.73199999999999998</v>
      </c>
      <c r="AI112" s="3">
        <v>-0.42199999999999999</v>
      </c>
      <c r="AJ112" s="3">
        <v>0.108</v>
      </c>
      <c r="AK112" s="3">
        <v>2.5999999999999999E-2</v>
      </c>
      <c r="AL112" s="3">
        <v>0.14799999999999999</v>
      </c>
      <c r="AM112" s="3">
        <v>7.6999999999999999E-2</v>
      </c>
      <c r="AN112" s="3">
        <v>3.2000000000000001E-2</v>
      </c>
      <c r="AO112" s="3">
        <v>0.23300000000000001</v>
      </c>
      <c r="AP112" s="3">
        <v>0.31</v>
      </c>
      <c r="AQ112" s="3">
        <v>0.13</v>
      </c>
      <c r="AR112" s="3">
        <v>4.2999999999999997E-2</v>
      </c>
      <c r="AS112" s="3">
        <v>2424</v>
      </c>
      <c r="AT112" s="3">
        <v>2404</v>
      </c>
      <c r="AU112" s="3">
        <v>2408</v>
      </c>
      <c r="AV112" s="3">
        <v>-1.8069999999999999</v>
      </c>
      <c r="AW112" s="3">
        <v>-2.0350000000000001</v>
      </c>
      <c r="AX112" s="3">
        <v>-0.65600000000000003</v>
      </c>
      <c r="AY112" s="3">
        <v>-0.623</v>
      </c>
      <c r="AZ112" s="3">
        <v>-3.5230000000000001</v>
      </c>
      <c r="BA112" s="3">
        <v>-4.0810000000000004</v>
      </c>
      <c r="BB112" s="3">
        <v>13.21</v>
      </c>
      <c r="BC112" s="3">
        <v>2876</v>
      </c>
      <c r="BE112" s="6">
        <f t="shared" si="79"/>
        <v>1102</v>
      </c>
      <c r="BG112" s="16">
        <v>24.86</v>
      </c>
      <c r="BH112" s="16">
        <f t="shared" si="46"/>
        <v>50.217199999999998</v>
      </c>
      <c r="BI112" s="17">
        <f t="shared" si="40"/>
        <v>10.79</v>
      </c>
      <c r="BJ112" s="17">
        <f t="shared" si="41"/>
        <v>16.38</v>
      </c>
      <c r="BL112" s="1">
        <f t="shared" si="47"/>
        <v>99.2</v>
      </c>
      <c r="BM112" s="1">
        <f t="shared" si="48"/>
        <v>83.4</v>
      </c>
      <c r="BN112" s="1">
        <f t="shared" si="49"/>
        <v>52.3</v>
      </c>
      <c r="BO112" s="49">
        <f t="shared" si="55"/>
        <v>0.33400000000000002</v>
      </c>
      <c r="BP112" s="49">
        <f t="shared" si="56"/>
        <v>0.30499999999999999</v>
      </c>
      <c r="BQ112" s="2">
        <f t="shared" si="78"/>
        <v>-4.3789999999999996</v>
      </c>
      <c r="BR112" s="3">
        <v>7.6</v>
      </c>
      <c r="BT112" s="16">
        <f t="shared" si="50"/>
        <v>10.79</v>
      </c>
      <c r="BU112" s="16">
        <f t="shared" si="51"/>
        <v>16.38</v>
      </c>
      <c r="BV112" s="3">
        <f t="shared" si="52"/>
        <v>-4.4000000000000004</v>
      </c>
      <c r="BW112" s="3">
        <f t="shared" si="45"/>
        <v>-4.5</v>
      </c>
      <c r="BX112" s="3">
        <f t="shared" si="45"/>
        <v>-5</v>
      </c>
      <c r="BY112" s="3">
        <f t="shared" si="45"/>
        <v>-0.1</v>
      </c>
      <c r="BZ112" s="3">
        <f t="shared" si="44"/>
        <v>-0.4</v>
      </c>
      <c r="CA112" s="3">
        <f t="shared" si="44"/>
        <v>-0.3</v>
      </c>
      <c r="CB112" s="3">
        <f t="shared" si="44"/>
        <v>0.2</v>
      </c>
      <c r="CC112" s="22">
        <f t="shared" si="53"/>
        <v>83.4</v>
      </c>
      <c r="CD112" s="1">
        <f t="shared" si="57"/>
        <v>0.6</v>
      </c>
      <c r="CE112" s="1">
        <f t="shared" si="58"/>
        <v>3.7</v>
      </c>
      <c r="CF112" s="1">
        <f t="shared" si="59"/>
        <v>3.6</v>
      </c>
      <c r="CG112" s="1">
        <f t="shared" si="60"/>
        <v>0.1</v>
      </c>
      <c r="CH112" s="1">
        <f t="shared" si="61"/>
        <v>-0.3</v>
      </c>
      <c r="CI112" s="1">
        <f t="shared" si="62"/>
        <v>-0.2</v>
      </c>
      <c r="CJ112" s="1">
        <f t="shared" si="63"/>
        <v>0.3</v>
      </c>
      <c r="CK112" s="2">
        <f t="shared" si="54"/>
        <v>99.2</v>
      </c>
      <c r="CL112" s="1">
        <f t="shared" si="64"/>
        <v>-12.5</v>
      </c>
      <c r="CM112" s="1">
        <f t="shared" si="65"/>
        <v>-14.1</v>
      </c>
      <c r="CN112" s="1">
        <f t="shared" si="66"/>
        <v>-15</v>
      </c>
      <c r="CO112" s="1">
        <f t="shared" si="67"/>
        <v>-0.5</v>
      </c>
      <c r="CP112" s="1">
        <f t="shared" si="68"/>
        <v>-0.7</v>
      </c>
      <c r="CQ112" s="1">
        <f t="shared" si="69"/>
        <v>-0.4</v>
      </c>
      <c r="CR112" s="1">
        <f t="shared" si="70"/>
        <v>0.1</v>
      </c>
      <c r="CS112" s="2">
        <f t="shared" si="71"/>
        <v>52.3</v>
      </c>
      <c r="CT112" s="6">
        <f t="shared" si="72"/>
        <v>1102</v>
      </c>
      <c r="CU112" s="1">
        <f>PPTest!K112</f>
        <v>0</v>
      </c>
      <c r="CV112" s="3">
        <f t="shared" si="73"/>
        <v>1.94</v>
      </c>
      <c r="CW112" s="3">
        <f t="shared" si="74"/>
        <v>4.84</v>
      </c>
      <c r="CX112" s="24">
        <f t="shared" si="75"/>
        <v>0.33400000000000002</v>
      </c>
      <c r="CY112" s="24">
        <f t="shared" si="75"/>
        <v>0.30499999999999999</v>
      </c>
      <c r="CZ112" s="16">
        <f t="shared" si="76"/>
        <v>13.21</v>
      </c>
    </row>
    <row r="113" spans="1:104" x14ac:dyDescent="0.2">
      <c r="A113" s="14">
        <f t="shared" si="77"/>
        <v>38824</v>
      </c>
      <c r="B113" s="1">
        <v>107</v>
      </c>
      <c r="C113" s="3">
        <v>20.98</v>
      </c>
      <c r="D113" s="3">
        <v>37.869999999999997</v>
      </c>
      <c r="E113" s="3">
        <v>-5.1580000000000004</v>
      </c>
      <c r="F113" s="3">
        <v>92.8</v>
      </c>
      <c r="G113" s="3">
        <v>-5.5030000000000001</v>
      </c>
      <c r="H113" s="3">
        <v>-5.8029999999999999</v>
      </c>
      <c r="I113" s="3">
        <v>-0.19800000000000001</v>
      </c>
      <c r="J113" s="3">
        <v>-0.63200000000000001</v>
      </c>
      <c r="K113" s="3">
        <v>-0.308</v>
      </c>
      <c r="L113" s="3">
        <v>0.249</v>
      </c>
      <c r="M113" s="3">
        <v>1.6910000000000001</v>
      </c>
      <c r="N113" s="3">
        <v>0</v>
      </c>
      <c r="O113" s="3">
        <v>2.9609999999999999</v>
      </c>
      <c r="P113" s="3">
        <v>1258</v>
      </c>
      <c r="Q113" s="3">
        <v>108.7</v>
      </c>
      <c r="R113" s="3">
        <v>8</v>
      </c>
      <c r="S113" s="3">
        <v>6.6150000000000002</v>
      </c>
      <c r="T113" s="3">
        <v>6.2679999999999998</v>
      </c>
      <c r="U113" s="3">
        <v>0.14299999999999999</v>
      </c>
      <c r="V113" s="3">
        <v>-0.35</v>
      </c>
      <c r="W113" s="3">
        <v>-0.14000000000000001</v>
      </c>
      <c r="X113" s="3">
        <v>0.42599999999999999</v>
      </c>
      <c r="Y113" s="3">
        <v>4.8360000000000003</v>
      </c>
      <c r="Z113" s="3">
        <v>1351</v>
      </c>
      <c r="AA113" s="3">
        <v>-14.64</v>
      </c>
      <c r="AB113" s="3">
        <v>312</v>
      </c>
      <c r="AC113" s="3">
        <v>55.86</v>
      </c>
      <c r="AD113" s="3">
        <v>1528</v>
      </c>
      <c r="AE113" s="3">
        <v>-16.13</v>
      </c>
      <c r="AF113" s="3">
        <v>-16.86</v>
      </c>
      <c r="AG113" s="3">
        <v>-0.80800000000000005</v>
      </c>
      <c r="AH113" s="3">
        <v>-0.91700000000000004</v>
      </c>
      <c r="AI113" s="3">
        <v>-0.51300000000000001</v>
      </c>
      <c r="AJ113" s="3">
        <v>6.6000000000000003E-2</v>
      </c>
      <c r="AK113" s="3">
        <v>8.0000000000000002E-3</v>
      </c>
      <c r="AL113" s="3">
        <v>0.21199999999999999</v>
      </c>
      <c r="AM113" s="3">
        <v>0.28599999999999998</v>
      </c>
      <c r="AN113" s="3">
        <v>1.7000000000000001E-2</v>
      </c>
      <c r="AO113" s="3">
        <v>0.115</v>
      </c>
      <c r="AP113" s="3">
        <v>0.21199999999999999</v>
      </c>
      <c r="AQ113" s="3">
        <v>0.122</v>
      </c>
      <c r="AR113" s="3">
        <v>2.5999999999999999E-2</v>
      </c>
      <c r="AS113" s="3">
        <v>2472</v>
      </c>
      <c r="AT113" s="3">
        <v>2466</v>
      </c>
      <c r="AU113" s="3">
        <v>2468</v>
      </c>
      <c r="AV113" s="3">
        <v>-2.2440000000000002</v>
      </c>
      <c r="AW113" s="3">
        <v>-2.4550000000000001</v>
      </c>
      <c r="AX113" s="3">
        <v>0.41699999999999998</v>
      </c>
      <c r="AY113" s="3">
        <v>0.90400000000000003</v>
      </c>
      <c r="AZ113" s="3">
        <v>-4.1859999999999999</v>
      </c>
      <c r="BA113" s="3">
        <v>-4.9450000000000003</v>
      </c>
      <c r="BB113" s="3">
        <v>13.22</v>
      </c>
      <c r="BC113" s="3">
        <v>2876</v>
      </c>
      <c r="BE113" s="6">
        <f t="shared" si="79"/>
        <v>1042</v>
      </c>
      <c r="BG113" s="16">
        <v>25.1</v>
      </c>
      <c r="BH113" s="16">
        <f t="shared" si="46"/>
        <v>50.702000000000005</v>
      </c>
      <c r="BI113" s="17">
        <f t="shared" ref="BI113:BI176" si="80">ROUND(C113*BI$2,2)</f>
        <v>20.56</v>
      </c>
      <c r="BJ113" s="17">
        <f t="shared" ref="BJ113:BJ176" si="81">ROUND(D113*BJ$2,2)</f>
        <v>41.66</v>
      </c>
      <c r="BL113" s="1">
        <f t="shared" si="47"/>
        <v>96.1</v>
      </c>
      <c r="BM113" s="1">
        <f t="shared" si="48"/>
        <v>74.7</v>
      </c>
      <c r="BN113" s="1">
        <f t="shared" si="49"/>
        <v>42.2</v>
      </c>
      <c r="BO113" s="49">
        <f t="shared" si="55"/>
        <v>0.31900000000000001</v>
      </c>
      <c r="BP113" s="49">
        <f t="shared" si="56"/>
        <v>0.437</v>
      </c>
      <c r="BQ113" s="2">
        <f t="shared" si="78"/>
        <v>-5.1580000000000004</v>
      </c>
      <c r="BR113" s="3">
        <v>0</v>
      </c>
      <c r="BT113" s="16">
        <f t="shared" si="50"/>
        <v>20.56</v>
      </c>
      <c r="BU113" s="16">
        <f t="shared" si="51"/>
        <v>41.66</v>
      </c>
      <c r="BV113" s="3">
        <f t="shared" si="52"/>
        <v>-5.2</v>
      </c>
      <c r="BW113" s="3">
        <f t="shared" si="45"/>
        <v>-5.5</v>
      </c>
      <c r="BX113" s="3">
        <f t="shared" si="45"/>
        <v>-5.8</v>
      </c>
      <c r="BY113" s="3">
        <f t="shared" si="45"/>
        <v>-0.2</v>
      </c>
      <c r="BZ113" s="3">
        <f t="shared" si="44"/>
        <v>-0.6</v>
      </c>
      <c r="CA113" s="3">
        <f t="shared" si="44"/>
        <v>-0.3</v>
      </c>
      <c r="CB113" s="3">
        <f t="shared" si="44"/>
        <v>0.2</v>
      </c>
      <c r="CC113" s="22">
        <f t="shared" si="53"/>
        <v>74.7</v>
      </c>
      <c r="CD113" s="1">
        <f t="shared" si="57"/>
        <v>3</v>
      </c>
      <c r="CE113" s="1">
        <f t="shared" si="58"/>
        <v>6.6</v>
      </c>
      <c r="CF113" s="1">
        <f t="shared" si="59"/>
        <v>6.3</v>
      </c>
      <c r="CG113" s="1">
        <f t="shared" si="60"/>
        <v>0.1</v>
      </c>
      <c r="CH113" s="1">
        <f t="shared" si="61"/>
        <v>-0.4</v>
      </c>
      <c r="CI113" s="1">
        <f t="shared" si="62"/>
        <v>-0.1</v>
      </c>
      <c r="CJ113" s="1">
        <f t="shared" si="63"/>
        <v>0.4</v>
      </c>
      <c r="CK113" s="2">
        <f t="shared" si="54"/>
        <v>96.1</v>
      </c>
      <c r="CL113" s="1">
        <f t="shared" si="64"/>
        <v>-14.6</v>
      </c>
      <c r="CM113" s="1">
        <f t="shared" si="65"/>
        <v>-16.100000000000001</v>
      </c>
      <c r="CN113" s="1">
        <f t="shared" si="66"/>
        <v>-16.899999999999999</v>
      </c>
      <c r="CO113" s="1">
        <f t="shared" si="67"/>
        <v>-0.8</v>
      </c>
      <c r="CP113" s="1">
        <f t="shared" si="68"/>
        <v>-0.9</v>
      </c>
      <c r="CQ113" s="1">
        <f t="shared" si="69"/>
        <v>-0.5</v>
      </c>
      <c r="CR113" s="1">
        <f t="shared" si="70"/>
        <v>0.1</v>
      </c>
      <c r="CS113" s="2">
        <f t="shared" si="71"/>
        <v>42.2</v>
      </c>
      <c r="CT113" s="6">
        <f t="shared" si="72"/>
        <v>1042</v>
      </c>
      <c r="CU113" s="1">
        <f>PPTest!K113</f>
        <v>0</v>
      </c>
      <c r="CV113" s="3">
        <f t="shared" si="73"/>
        <v>1.69</v>
      </c>
      <c r="CW113" s="3">
        <f t="shared" si="74"/>
        <v>4.84</v>
      </c>
      <c r="CX113" s="24">
        <f t="shared" si="75"/>
        <v>0.31900000000000001</v>
      </c>
      <c r="CY113" s="24">
        <f t="shared" si="75"/>
        <v>0.437</v>
      </c>
      <c r="CZ113" s="16">
        <f t="shared" si="76"/>
        <v>13.22</v>
      </c>
    </row>
    <row r="114" spans="1:104" x14ac:dyDescent="0.2">
      <c r="A114" s="14">
        <f t="shared" si="77"/>
        <v>38825</v>
      </c>
      <c r="B114" s="1">
        <v>108</v>
      </c>
      <c r="C114" s="3">
        <v>23.48</v>
      </c>
      <c r="D114" s="3">
        <v>42.38</v>
      </c>
      <c r="E114" s="3">
        <v>-2.044</v>
      </c>
      <c r="F114" s="3">
        <v>79.599999999999994</v>
      </c>
      <c r="G114" s="3">
        <v>-2.4689999999999999</v>
      </c>
      <c r="H114" s="3">
        <v>-2.9279999999999999</v>
      </c>
      <c r="I114" s="3">
        <v>-0.106</v>
      </c>
      <c r="J114" s="3">
        <v>-0.58299999999999996</v>
      </c>
      <c r="K114" s="3">
        <v>-0.35299999999999998</v>
      </c>
      <c r="L114" s="3">
        <v>0.25800000000000001</v>
      </c>
      <c r="M114" s="3">
        <v>1.778</v>
      </c>
      <c r="N114" s="3">
        <v>0</v>
      </c>
      <c r="O114" s="3">
        <v>6.7039999999999997</v>
      </c>
      <c r="P114" s="3">
        <v>1700</v>
      </c>
      <c r="Q114" s="3">
        <v>109.5</v>
      </c>
      <c r="R114" s="3">
        <v>422</v>
      </c>
      <c r="S114" s="3">
        <v>8.58</v>
      </c>
      <c r="T114" s="3">
        <v>7.79</v>
      </c>
      <c r="U114" s="3">
        <v>0.20899999999999999</v>
      </c>
      <c r="V114" s="3">
        <v>-0.28499999999999998</v>
      </c>
      <c r="W114" s="3">
        <v>-0.16400000000000001</v>
      </c>
      <c r="X114" s="3">
        <v>0.45</v>
      </c>
      <c r="Y114" s="3">
        <v>5.1150000000000002</v>
      </c>
      <c r="Z114" s="3">
        <v>1223</v>
      </c>
      <c r="AA114" s="3">
        <v>-12.97</v>
      </c>
      <c r="AB114" s="3">
        <v>443</v>
      </c>
      <c r="AC114" s="3">
        <v>44.47</v>
      </c>
      <c r="AD114" s="3">
        <v>1626</v>
      </c>
      <c r="AE114" s="3">
        <v>-14.19</v>
      </c>
      <c r="AF114" s="3">
        <v>-14.78</v>
      </c>
      <c r="AG114" s="3">
        <v>-0.70099999999999996</v>
      </c>
      <c r="AH114" s="3">
        <v>-0.98499999999999999</v>
      </c>
      <c r="AI114" s="3">
        <v>-0.56100000000000005</v>
      </c>
      <c r="AJ114" s="3">
        <v>5.3999999999999999E-2</v>
      </c>
      <c r="AK114" s="3">
        <v>3.3000000000000002E-2</v>
      </c>
      <c r="AL114" s="3">
        <v>0.31</v>
      </c>
      <c r="AM114" s="3">
        <v>0.23699999999999999</v>
      </c>
      <c r="AN114" s="3">
        <v>9.7000000000000003E-2</v>
      </c>
      <c r="AO114" s="3">
        <v>0.14899999999999999</v>
      </c>
      <c r="AP114" s="3">
        <v>0.11</v>
      </c>
      <c r="AQ114" s="3">
        <v>4.5999999999999999E-2</v>
      </c>
      <c r="AR114" s="3">
        <v>1.7000000000000001E-2</v>
      </c>
      <c r="AS114" s="3">
        <v>2511</v>
      </c>
      <c r="AT114" s="3">
        <v>2492</v>
      </c>
      <c r="AU114" s="3">
        <v>2495</v>
      </c>
      <c r="AV114" s="3">
        <v>-2.5059999999999998</v>
      </c>
      <c r="AW114" s="3">
        <v>-2.57</v>
      </c>
      <c r="AX114" s="3">
        <v>1.3420000000000001</v>
      </c>
      <c r="AY114" s="3">
        <v>2.0219999999999998</v>
      </c>
      <c r="AZ114" s="3">
        <v>-7.13</v>
      </c>
      <c r="BA114" s="3">
        <v>-7.77</v>
      </c>
      <c r="BB114" s="3">
        <v>13.23</v>
      </c>
      <c r="BC114" s="3">
        <v>2876</v>
      </c>
      <c r="BE114" s="6">
        <f t="shared" si="79"/>
        <v>1015</v>
      </c>
      <c r="BG114" s="16">
        <v>25.34</v>
      </c>
      <c r="BH114" s="16">
        <f t="shared" si="46"/>
        <v>51.186799999999998</v>
      </c>
      <c r="BI114" s="17">
        <f t="shared" si="80"/>
        <v>23.01</v>
      </c>
      <c r="BJ114" s="17">
        <f t="shared" si="81"/>
        <v>46.62</v>
      </c>
      <c r="BL114" s="1">
        <f t="shared" si="47"/>
        <v>97.4</v>
      </c>
      <c r="BM114" s="1">
        <f t="shared" si="48"/>
        <v>63</v>
      </c>
      <c r="BN114" s="1">
        <f t="shared" si="49"/>
        <v>32.1</v>
      </c>
      <c r="BO114" s="49">
        <f t="shared" si="55"/>
        <v>0.315</v>
      </c>
      <c r="BP114" s="49">
        <f t="shared" si="56"/>
        <v>0.66600000000000004</v>
      </c>
      <c r="BQ114" s="2">
        <f t="shared" si="78"/>
        <v>-2.044</v>
      </c>
      <c r="BR114" s="3">
        <v>0</v>
      </c>
      <c r="BT114" s="16">
        <f t="shared" si="50"/>
        <v>23.01</v>
      </c>
      <c r="BU114" s="16">
        <f t="shared" si="51"/>
        <v>46.62</v>
      </c>
      <c r="BV114" s="3">
        <f t="shared" si="52"/>
        <v>-2</v>
      </c>
      <c r="BW114" s="3">
        <f t="shared" si="45"/>
        <v>-2.5</v>
      </c>
      <c r="BX114" s="3">
        <f t="shared" si="45"/>
        <v>-2.9</v>
      </c>
      <c r="BY114" s="3">
        <f t="shared" si="45"/>
        <v>-0.1</v>
      </c>
      <c r="BZ114" s="3">
        <f t="shared" si="44"/>
        <v>-0.6</v>
      </c>
      <c r="CA114" s="3">
        <f t="shared" si="44"/>
        <v>-0.4</v>
      </c>
      <c r="CB114" s="3">
        <f t="shared" si="44"/>
        <v>0.3</v>
      </c>
      <c r="CC114" s="22">
        <f t="shared" si="53"/>
        <v>63</v>
      </c>
      <c r="CD114" s="1">
        <f t="shared" si="57"/>
        <v>6.7</v>
      </c>
      <c r="CE114" s="1">
        <f t="shared" si="58"/>
        <v>8.6</v>
      </c>
      <c r="CF114" s="1">
        <f t="shared" si="59"/>
        <v>7.8</v>
      </c>
      <c r="CG114" s="1">
        <f t="shared" si="60"/>
        <v>0.2</v>
      </c>
      <c r="CH114" s="1">
        <f t="shared" si="61"/>
        <v>-0.3</v>
      </c>
      <c r="CI114" s="1">
        <f t="shared" si="62"/>
        <v>-0.2</v>
      </c>
      <c r="CJ114" s="1">
        <f t="shared" si="63"/>
        <v>0.5</v>
      </c>
      <c r="CK114" s="2">
        <f t="shared" si="54"/>
        <v>97.4</v>
      </c>
      <c r="CL114" s="1">
        <f t="shared" si="64"/>
        <v>-13</v>
      </c>
      <c r="CM114" s="1">
        <f t="shared" si="65"/>
        <v>-14.2</v>
      </c>
      <c r="CN114" s="1">
        <f t="shared" si="66"/>
        <v>-14.8</v>
      </c>
      <c r="CO114" s="1">
        <f t="shared" si="67"/>
        <v>-0.7</v>
      </c>
      <c r="CP114" s="1">
        <f t="shared" si="68"/>
        <v>-1</v>
      </c>
      <c r="CQ114" s="1">
        <f t="shared" si="69"/>
        <v>-0.6</v>
      </c>
      <c r="CR114" s="1">
        <f t="shared" si="70"/>
        <v>0.1</v>
      </c>
      <c r="CS114" s="2">
        <f t="shared" si="71"/>
        <v>32.1</v>
      </c>
      <c r="CT114" s="6">
        <f t="shared" si="72"/>
        <v>1015</v>
      </c>
      <c r="CU114" s="1">
        <f>PPTest!K114</f>
        <v>0</v>
      </c>
      <c r="CV114" s="3">
        <f t="shared" si="73"/>
        <v>1.78</v>
      </c>
      <c r="CW114" s="3">
        <f t="shared" si="74"/>
        <v>5.12</v>
      </c>
      <c r="CX114" s="24">
        <f t="shared" si="75"/>
        <v>0.315</v>
      </c>
      <c r="CY114" s="24">
        <f t="shared" si="75"/>
        <v>0.66600000000000004</v>
      </c>
      <c r="CZ114" s="16">
        <f t="shared" si="76"/>
        <v>13.23</v>
      </c>
    </row>
    <row r="115" spans="1:104" x14ac:dyDescent="0.2">
      <c r="A115" s="14">
        <f t="shared" si="77"/>
        <v>38826</v>
      </c>
      <c r="B115" s="1">
        <v>109</v>
      </c>
      <c r="C115" s="3">
        <v>22.69</v>
      </c>
      <c r="D115" s="3">
        <v>41.59</v>
      </c>
      <c r="E115" s="3">
        <v>3.5979999999999999</v>
      </c>
      <c r="F115" s="3">
        <v>65.48</v>
      </c>
      <c r="G115" s="3">
        <v>3.2040000000000002</v>
      </c>
      <c r="H115" s="3">
        <v>2.65</v>
      </c>
      <c r="I115" s="3">
        <v>5.5E-2</v>
      </c>
      <c r="J115" s="3">
        <v>-0.29299999999999998</v>
      </c>
      <c r="K115" s="3">
        <v>-0.28199999999999997</v>
      </c>
      <c r="L115" s="3">
        <v>0.31</v>
      </c>
      <c r="M115" s="3">
        <v>1.766</v>
      </c>
      <c r="N115" s="3">
        <v>0</v>
      </c>
      <c r="O115" s="3">
        <v>10.17</v>
      </c>
      <c r="P115" s="3">
        <v>1439</v>
      </c>
      <c r="Q115" s="3">
        <v>98.5</v>
      </c>
      <c r="R115" s="3">
        <v>2219</v>
      </c>
      <c r="S115" s="3">
        <v>12.05</v>
      </c>
      <c r="T115" s="3">
        <v>11.34</v>
      </c>
      <c r="U115" s="3">
        <v>0.29699999999999999</v>
      </c>
      <c r="V115" s="3">
        <v>-4.5999999999999999E-2</v>
      </c>
      <c r="W115" s="3">
        <v>-7.6999999999999999E-2</v>
      </c>
      <c r="X115" s="3">
        <v>0.48899999999999999</v>
      </c>
      <c r="Y115" s="3">
        <v>4.9560000000000004</v>
      </c>
      <c r="Z115" s="3">
        <v>501</v>
      </c>
      <c r="AA115" s="3">
        <v>-3.2890000000000001</v>
      </c>
      <c r="AB115" s="3">
        <v>25</v>
      </c>
      <c r="AC115" s="3">
        <v>41.12</v>
      </c>
      <c r="AD115" s="3">
        <v>1135</v>
      </c>
      <c r="AE115" s="3">
        <v>-5.3650000000000002</v>
      </c>
      <c r="AF115" s="3">
        <v>-6.3970000000000002</v>
      </c>
      <c r="AG115" s="3">
        <v>-0.247</v>
      </c>
      <c r="AH115" s="3">
        <v>-0.57299999999999995</v>
      </c>
      <c r="AI115" s="3">
        <v>-0.56499999999999995</v>
      </c>
      <c r="AJ115" s="3">
        <v>5.8999999999999997E-2</v>
      </c>
      <c r="AK115" s="3">
        <v>0.09</v>
      </c>
      <c r="AL115" s="3">
        <v>0.16900000000000001</v>
      </c>
      <c r="AM115" s="3">
        <v>0.221</v>
      </c>
      <c r="AN115" s="3">
        <v>0.153</v>
      </c>
      <c r="AO115" s="3">
        <v>0.14899999999999999</v>
      </c>
      <c r="AP115" s="3">
        <v>0.11899999999999999</v>
      </c>
      <c r="AQ115" s="3">
        <v>5.1999999999999998E-2</v>
      </c>
      <c r="AR115" s="3">
        <v>4.8000000000000001E-2</v>
      </c>
      <c r="AS115" s="3">
        <v>2525</v>
      </c>
      <c r="AT115" s="3">
        <v>2515</v>
      </c>
      <c r="AU115" s="3">
        <v>2518</v>
      </c>
      <c r="AV115" s="3">
        <v>3.3000000000000002E-2</v>
      </c>
      <c r="AW115" s="3">
        <v>0.18099999999999999</v>
      </c>
      <c r="AX115" s="3">
        <v>3.9620000000000002</v>
      </c>
      <c r="AY115" s="3">
        <v>5.218</v>
      </c>
      <c r="AZ115" s="3">
        <v>-2.4700000000000002</v>
      </c>
      <c r="BA115" s="3">
        <v>-2.8769999999999998</v>
      </c>
      <c r="BB115" s="3">
        <v>13.21</v>
      </c>
      <c r="BC115" s="3">
        <v>2876</v>
      </c>
      <c r="BE115" s="6">
        <f t="shared" si="79"/>
        <v>992</v>
      </c>
      <c r="BG115" s="16">
        <v>25.58</v>
      </c>
      <c r="BH115" s="16">
        <f t="shared" si="46"/>
        <v>51.671599999999998</v>
      </c>
      <c r="BI115" s="17">
        <f t="shared" si="80"/>
        <v>22.24</v>
      </c>
      <c r="BJ115" s="17">
        <f t="shared" si="81"/>
        <v>45.75</v>
      </c>
      <c r="BL115" s="1">
        <f t="shared" si="47"/>
        <v>79.7</v>
      </c>
      <c r="BM115" s="1">
        <f t="shared" si="48"/>
        <v>50.6</v>
      </c>
      <c r="BN115" s="1">
        <f t="shared" si="49"/>
        <v>29.2</v>
      </c>
      <c r="BO115" s="49">
        <f t="shared" si="55"/>
        <v>0.36299999999999999</v>
      </c>
      <c r="BP115" s="49">
        <f t="shared" si="56"/>
        <v>0.88</v>
      </c>
      <c r="BQ115" s="2">
        <f t="shared" si="78"/>
        <v>3.5979999999999999</v>
      </c>
      <c r="BR115" s="3">
        <v>0</v>
      </c>
      <c r="BT115" s="16">
        <f t="shared" si="50"/>
        <v>22.24</v>
      </c>
      <c r="BU115" s="16">
        <f t="shared" si="51"/>
        <v>45.75</v>
      </c>
      <c r="BV115" s="3">
        <f t="shared" si="52"/>
        <v>3.6</v>
      </c>
      <c r="BW115" s="3">
        <f t="shared" si="45"/>
        <v>3.2</v>
      </c>
      <c r="BX115" s="3">
        <f t="shared" si="45"/>
        <v>2.7</v>
      </c>
      <c r="BY115" s="3">
        <f t="shared" si="45"/>
        <v>0.1</v>
      </c>
      <c r="BZ115" s="3">
        <f t="shared" si="44"/>
        <v>-0.3</v>
      </c>
      <c r="CA115" s="3">
        <f t="shared" si="44"/>
        <v>-0.3</v>
      </c>
      <c r="CB115" s="3">
        <f t="shared" si="44"/>
        <v>0.3</v>
      </c>
      <c r="CC115" s="22">
        <f t="shared" si="53"/>
        <v>50.6</v>
      </c>
      <c r="CD115" s="1">
        <f t="shared" si="57"/>
        <v>10.199999999999999</v>
      </c>
      <c r="CE115" s="1">
        <f t="shared" si="58"/>
        <v>12.1</v>
      </c>
      <c r="CF115" s="1">
        <f t="shared" si="59"/>
        <v>11.3</v>
      </c>
      <c r="CG115" s="1">
        <f t="shared" si="60"/>
        <v>0.3</v>
      </c>
      <c r="CH115" s="1">
        <f t="shared" si="61"/>
        <v>0</v>
      </c>
      <c r="CI115" s="1">
        <f t="shared" si="62"/>
        <v>-0.1</v>
      </c>
      <c r="CJ115" s="1">
        <f t="shared" si="63"/>
        <v>0.5</v>
      </c>
      <c r="CK115" s="2">
        <f t="shared" si="54"/>
        <v>79.7</v>
      </c>
      <c r="CL115" s="1">
        <f t="shared" si="64"/>
        <v>-3.3</v>
      </c>
      <c r="CM115" s="1">
        <f t="shared" si="65"/>
        <v>-5.4</v>
      </c>
      <c r="CN115" s="1">
        <f t="shared" si="66"/>
        <v>-6.4</v>
      </c>
      <c r="CO115" s="1">
        <f t="shared" si="67"/>
        <v>-0.2</v>
      </c>
      <c r="CP115" s="1">
        <f t="shared" si="68"/>
        <v>-0.6</v>
      </c>
      <c r="CQ115" s="1">
        <f t="shared" si="69"/>
        <v>-0.6</v>
      </c>
      <c r="CR115" s="1">
        <f t="shared" si="70"/>
        <v>0.1</v>
      </c>
      <c r="CS115" s="2">
        <f t="shared" si="71"/>
        <v>29.2</v>
      </c>
      <c r="CT115" s="6">
        <f t="shared" si="72"/>
        <v>992</v>
      </c>
      <c r="CU115" s="1">
        <f>PPTest!K115</f>
        <v>0</v>
      </c>
      <c r="CV115" s="3">
        <f t="shared" si="73"/>
        <v>1.77</v>
      </c>
      <c r="CW115" s="3">
        <f t="shared" si="74"/>
        <v>4.96</v>
      </c>
      <c r="CX115" s="24">
        <f t="shared" si="75"/>
        <v>0.36299999999999999</v>
      </c>
      <c r="CY115" s="24">
        <f t="shared" si="75"/>
        <v>0.88</v>
      </c>
      <c r="CZ115" s="16">
        <f t="shared" si="76"/>
        <v>13.21</v>
      </c>
    </row>
    <row r="116" spans="1:104" x14ac:dyDescent="0.2">
      <c r="A116" s="14">
        <f t="shared" si="77"/>
        <v>38827</v>
      </c>
      <c r="B116" s="1">
        <v>110</v>
      </c>
      <c r="C116" s="3">
        <v>20.58</v>
      </c>
      <c r="D116" s="3">
        <v>37.82</v>
      </c>
      <c r="E116" s="3">
        <v>6.968</v>
      </c>
      <c r="F116" s="3">
        <v>65.33</v>
      </c>
      <c r="G116" s="3">
        <v>6.3869999999999996</v>
      </c>
      <c r="H116" s="3">
        <v>5.7450000000000001</v>
      </c>
      <c r="I116" s="3">
        <v>0.26600000000000001</v>
      </c>
      <c r="J116" s="3">
        <v>-0.13900000000000001</v>
      </c>
      <c r="K116" s="3">
        <v>-0.19400000000000001</v>
      </c>
      <c r="L116" s="3">
        <v>0.35599999999999998</v>
      </c>
      <c r="M116" s="3">
        <v>1.7689999999999999</v>
      </c>
      <c r="N116" s="3">
        <v>0</v>
      </c>
      <c r="O116" s="3">
        <v>11.87</v>
      </c>
      <c r="P116" s="3">
        <v>1322</v>
      </c>
      <c r="Q116" s="3">
        <v>92.3</v>
      </c>
      <c r="R116" s="3">
        <v>2040</v>
      </c>
      <c r="S116" s="3">
        <v>15.06</v>
      </c>
      <c r="T116" s="3">
        <v>14.06</v>
      </c>
      <c r="U116" s="3">
        <v>0.60199999999999998</v>
      </c>
      <c r="V116" s="3">
        <v>0.13800000000000001</v>
      </c>
      <c r="W116" s="3">
        <v>7.0000000000000007E-2</v>
      </c>
      <c r="X116" s="3">
        <v>0.59499999999999997</v>
      </c>
      <c r="Y116" s="3">
        <v>5.0620000000000003</v>
      </c>
      <c r="Z116" s="3">
        <v>1048</v>
      </c>
      <c r="AA116" s="3">
        <v>0.26400000000000001</v>
      </c>
      <c r="AB116" s="3">
        <v>334</v>
      </c>
      <c r="AC116" s="3">
        <v>47.93</v>
      </c>
      <c r="AD116" s="3">
        <v>1321</v>
      </c>
      <c r="AE116" s="3">
        <v>-1.41</v>
      </c>
      <c r="AF116" s="3">
        <v>-2.2440000000000002</v>
      </c>
      <c r="AG116" s="3">
        <v>-4.8000000000000001E-2</v>
      </c>
      <c r="AH116" s="3">
        <v>-0.30499999999999999</v>
      </c>
      <c r="AI116" s="3">
        <v>-0.373</v>
      </c>
      <c r="AJ116" s="3">
        <v>0.217</v>
      </c>
      <c r="AK116" s="3">
        <v>9.7000000000000003E-2</v>
      </c>
      <c r="AL116" s="3">
        <v>0.246</v>
      </c>
      <c r="AM116" s="3">
        <v>0.247</v>
      </c>
      <c r="AN116" s="3">
        <v>0.13300000000000001</v>
      </c>
      <c r="AO116" s="3">
        <v>0.113</v>
      </c>
      <c r="AP116" s="3">
        <v>8.4000000000000005E-2</v>
      </c>
      <c r="AQ116" s="3">
        <v>3.5000000000000003E-2</v>
      </c>
      <c r="AR116" s="3">
        <v>4.5999999999999999E-2</v>
      </c>
      <c r="AS116" s="3">
        <v>2557</v>
      </c>
      <c r="AT116" s="3">
        <v>2552</v>
      </c>
      <c r="AU116" s="3">
        <v>2555</v>
      </c>
      <c r="AV116" s="3">
        <v>1.8240000000000001</v>
      </c>
      <c r="AW116" s="3">
        <v>2.1469999999999998</v>
      </c>
      <c r="AX116" s="3">
        <v>6.2320000000000002</v>
      </c>
      <c r="AY116" s="3">
        <v>7.77</v>
      </c>
      <c r="AZ116" s="3">
        <v>-0.47</v>
      </c>
      <c r="BA116" s="3">
        <v>-0.72499999999999998</v>
      </c>
      <c r="BB116" s="3">
        <v>13.22</v>
      </c>
      <c r="BC116" s="3">
        <v>2876</v>
      </c>
      <c r="BE116" s="6">
        <f t="shared" si="79"/>
        <v>955</v>
      </c>
      <c r="BG116" s="16">
        <v>25.81</v>
      </c>
      <c r="BH116" s="16">
        <f t="shared" si="46"/>
        <v>52.136199999999995</v>
      </c>
      <c r="BI116" s="17">
        <f t="shared" si="80"/>
        <v>20.170000000000002</v>
      </c>
      <c r="BJ116" s="17">
        <f t="shared" si="81"/>
        <v>41.6</v>
      </c>
      <c r="BL116" s="1">
        <f t="shared" si="47"/>
        <v>74.2</v>
      </c>
      <c r="BM116" s="1">
        <f t="shared" si="48"/>
        <v>50.5</v>
      </c>
      <c r="BN116" s="1">
        <f t="shared" si="49"/>
        <v>35.200000000000003</v>
      </c>
      <c r="BO116" s="49">
        <f t="shared" si="55"/>
        <v>0.48899999999999999</v>
      </c>
      <c r="BP116" s="49">
        <f t="shared" si="56"/>
        <v>0.9</v>
      </c>
      <c r="BQ116" s="2">
        <f t="shared" si="78"/>
        <v>6.968</v>
      </c>
      <c r="BR116" s="3">
        <v>0</v>
      </c>
      <c r="BT116" s="16">
        <f t="shared" si="50"/>
        <v>20.170000000000002</v>
      </c>
      <c r="BU116" s="16">
        <f t="shared" si="51"/>
        <v>41.6</v>
      </c>
      <c r="BV116" s="3">
        <f t="shared" si="52"/>
        <v>7</v>
      </c>
      <c r="BW116" s="3">
        <f t="shared" si="45"/>
        <v>6.4</v>
      </c>
      <c r="BX116" s="3">
        <f t="shared" si="45"/>
        <v>5.7</v>
      </c>
      <c r="BY116" s="3">
        <f t="shared" si="45"/>
        <v>0.3</v>
      </c>
      <c r="BZ116" s="3">
        <f t="shared" si="44"/>
        <v>-0.1</v>
      </c>
      <c r="CA116" s="3">
        <f t="shared" si="44"/>
        <v>-0.2</v>
      </c>
      <c r="CB116" s="3">
        <f t="shared" si="44"/>
        <v>0.4</v>
      </c>
      <c r="CC116" s="22">
        <f t="shared" si="53"/>
        <v>50.5</v>
      </c>
      <c r="CD116" s="1">
        <f t="shared" si="57"/>
        <v>11.9</v>
      </c>
      <c r="CE116" s="1">
        <f t="shared" si="58"/>
        <v>15.1</v>
      </c>
      <c r="CF116" s="1">
        <f t="shared" si="59"/>
        <v>14.1</v>
      </c>
      <c r="CG116" s="1">
        <f t="shared" si="60"/>
        <v>0.6</v>
      </c>
      <c r="CH116" s="1">
        <f t="shared" si="61"/>
        <v>0.1</v>
      </c>
      <c r="CI116" s="1">
        <f t="shared" si="62"/>
        <v>0.1</v>
      </c>
      <c r="CJ116" s="1">
        <f t="shared" si="63"/>
        <v>0.6</v>
      </c>
      <c r="CK116" s="2">
        <f t="shared" si="54"/>
        <v>74.2</v>
      </c>
      <c r="CL116" s="1">
        <f t="shared" si="64"/>
        <v>0.3</v>
      </c>
      <c r="CM116" s="1">
        <f t="shared" si="65"/>
        <v>-1.4</v>
      </c>
      <c r="CN116" s="1">
        <f t="shared" si="66"/>
        <v>-2.2000000000000002</v>
      </c>
      <c r="CO116" s="1">
        <f t="shared" si="67"/>
        <v>0</v>
      </c>
      <c r="CP116" s="1">
        <f t="shared" si="68"/>
        <v>-0.3</v>
      </c>
      <c r="CQ116" s="1">
        <f t="shared" si="69"/>
        <v>-0.4</v>
      </c>
      <c r="CR116" s="1">
        <f t="shared" si="70"/>
        <v>0.2</v>
      </c>
      <c r="CS116" s="2">
        <f t="shared" si="71"/>
        <v>35.200000000000003</v>
      </c>
      <c r="CT116" s="6">
        <f t="shared" si="72"/>
        <v>955</v>
      </c>
      <c r="CU116" s="1">
        <f>PPTest!K116</f>
        <v>0</v>
      </c>
      <c r="CV116" s="3">
        <f t="shared" si="73"/>
        <v>1.77</v>
      </c>
      <c r="CW116" s="3">
        <f t="shared" si="74"/>
        <v>5.0599999999999996</v>
      </c>
      <c r="CX116" s="24">
        <f t="shared" si="75"/>
        <v>0.48899999999999999</v>
      </c>
      <c r="CY116" s="24">
        <f t="shared" si="75"/>
        <v>0.9</v>
      </c>
      <c r="CZ116" s="16">
        <f t="shared" si="76"/>
        <v>13.22</v>
      </c>
    </row>
    <row r="117" spans="1:104" x14ac:dyDescent="0.2">
      <c r="A117" s="14">
        <f t="shared" si="77"/>
        <v>38828</v>
      </c>
      <c r="B117" s="1">
        <v>111</v>
      </c>
      <c r="C117" s="3">
        <v>3.49</v>
      </c>
      <c r="D117" s="3">
        <v>8.84</v>
      </c>
      <c r="E117" s="3">
        <v>1.4</v>
      </c>
      <c r="F117" s="3">
        <v>101.9</v>
      </c>
      <c r="G117" s="3">
        <v>0.76700000000000002</v>
      </c>
      <c r="H117" s="3">
        <v>0.55800000000000005</v>
      </c>
      <c r="I117" s="3">
        <v>0.38500000000000001</v>
      </c>
      <c r="J117" s="3">
        <v>-0.189</v>
      </c>
      <c r="K117" s="3">
        <v>-0.23899999999999999</v>
      </c>
      <c r="L117" s="3">
        <v>0.28699999999999998</v>
      </c>
      <c r="M117" s="3">
        <v>1.7809999999999999</v>
      </c>
      <c r="N117" s="3">
        <v>11</v>
      </c>
      <c r="O117" s="3">
        <v>8.65</v>
      </c>
      <c r="P117" s="3">
        <v>155</v>
      </c>
      <c r="Q117" s="3">
        <v>111.1</v>
      </c>
      <c r="R117" s="3">
        <v>1944</v>
      </c>
      <c r="S117" s="3">
        <v>8.49</v>
      </c>
      <c r="T117" s="3">
        <v>8.4</v>
      </c>
      <c r="U117" s="3">
        <v>0.45900000000000002</v>
      </c>
      <c r="V117" s="3">
        <v>-8.7999999999999995E-2</v>
      </c>
      <c r="W117" s="3">
        <v>-0.14499999999999999</v>
      </c>
      <c r="X117" s="3">
        <v>0.38200000000000001</v>
      </c>
      <c r="Y117" s="3">
        <v>4.5570000000000004</v>
      </c>
      <c r="Z117" s="3">
        <v>1456</v>
      </c>
      <c r="AA117" s="3">
        <v>-3.7770000000000001</v>
      </c>
      <c r="AB117" s="3">
        <v>2357</v>
      </c>
      <c r="AC117" s="3">
        <v>59.8</v>
      </c>
      <c r="AD117" s="3">
        <v>2</v>
      </c>
      <c r="AE117" s="3">
        <v>-4.2300000000000004</v>
      </c>
      <c r="AF117" s="3">
        <v>-4.1609999999999996</v>
      </c>
      <c r="AG117" s="3">
        <v>0.316</v>
      </c>
      <c r="AH117" s="3">
        <v>-0.28999999999999998</v>
      </c>
      <c r="AI117" s="3">
        <v>-0.33100000000000002</v>
      </c>
      <c r="AJ117" s="3">
        <v>0.19600000000000001</v>
      </c>
      <c r="AK117" s="3">
        <v>3.4000000000000002E-2</v>
      </c>
      <c r="AL117" s="3">
        <v>2.1999999999999999E-2</v>
      </c>
      <c r="AM117" s="3">
        <v>3.5999999999999997E-2</v>
      </c>
      <c r="AN117" s="3">
        <v>5.0999999999999997E-2</v>
      </c>
      <c r="AO117" s="3">
        <v>0.255</v>
      </c>
      <c r="AP117" s="3">
        <v>0.41899999999999998</v>
      </c>
      <c r="AQ117" s="3">
        <v>0.14199999999999999</v>
      </c>
      <c r="AR117" s="3">
        <v>0.04</v>
      </c>
      <c r="AS117" s="3">
        <v>2500</v>
      </c>
      <c r="AT117" s="3">
        <v>2500</v>
      </c>
      <c r="AU117" s="3">
        <v>2500</v>
      </c>
      <c r="AV117" s="3">
        <v>0.34200000000000003</v>
      </c>
      <c r="AW117" s="3">
        <v>0.26400000000000001</v>
      </c>
      <c r="AX117" s="3">
        <v>1.8560000000000001</v>
      </c>
      <c r="AY117" s="3">
        <v>2.0979999999999999</v>
      </c>
      <c r="AZ117" s="3">
        <v>-1.8080000000000001</v>
      </c>
      <c r="BA117" s="3">
        <v>-2.1059999999999999</v>
      </c>
      <c r="BB117" s="3">
        <v>13.16</v>
      </c>
      <c r="BC117" s="3">
        <v>2876</v>
      </c>
      <c r="BE117" s="6">
        <f t="shared" si="79"/>
        <v>1010</v>
      </c>
      <c r="BG117" s="16">
        <v>26.04</v>
      </c>
      <c r="BH117" s="16">
        <f t="shared" si="46"/>
        <v>52.6008</v>
      </c>
      <c r="BI117" s="17">
        <f t="shared" si="80"/>
        <v>3.42</v>
      </c>
      <c r="BJ117" s="17">
        <f t="shared" si="81"/>
        <v>9.7200000000000006</v>
      </c>
      <c r="BL117" s="1">
        <f t="shared" si="47"/>
        <v>100</v>
      </c>
      <c r="BM117" s="1">
        <f t="shared" si="48"/>
        <v>85.3</v>
      </c>
      <c r="BN117" s="1">
        <f t="shared" si="49"/>
        <v>45.6</v>
      </c>
      <c r="BO117" s="49">
        <f t="shared" si="55"/>
        <v>0.51100000000000001</v>
      </c>
      <c r="BP117" s="49">
        <f t="shared" si="56"/>
        <v>0.61</v>
      </c>
      <c r="BQ117" s="2">
        <f t="shared" si="78"/>
        <v>1.4</v>
      </c>
      <c r="BR117" s="3">
        <v>18.8</v>
      </c>
      <c r="BT117" s="16">
        <f t="shared" si="50"/>
        <v>3.42</v>
      </c>
      <c r="BU117" s="16">
        <f t="shared" si="51"/>
        <v>9.7200000000000006</v>
      </c>
      <c r="BV117" s="3">
        <f t="shared" si="52"/>
        <v>1.4</v>
      </c>
      <c r="BW117" s="3">
        <f t="shared" si="45"/>
        <v>0.8</v>
      </c>
      <c r="BX117" s="3">
        <f t="shared" si="45"/>
        <v>0.6</v>
      </c>
      <c r="BY117" s="3">
        <f t="shared" si="45"/>
        <v>0.4</v>
      </c>
      <c r="BZ117" s="3">
        <f t="shared" si="45"/>
        <v>-0.2</v>
      </c>
      <c r="CA117" s="3">
        <f t="shared" si="45"/>
        <v>-0.2</v>
      </c>
      <c r="CB117" s="3">
        <f t="shared" si="45"/>
        <v>0.3</v>
      </c>
      <c r="CC117" s="22">
        <f t="shared" si="53"/>
        <v>85.3</v>
      </c>
      <c r="CD117" s="1">
        <f t="shared" si="57"/>
        <v>8.6999999999999993</v>
      </c>
      <c r="CE117" s="1">
        <f t="shared" si="58"/>
        <v>8.5</v>
      </c>
      <c r="CF117" s="1">
        <f t="shared" si="59"/>
        <v>8.4</v>
      </c>
      <c r="CG117" s="1">
        <f t="shared" si="60"/>
        <v>0.5</v>
      </c>
      <c r="CH117" s="1">
        <f t="shared" si="61"/>
        <v>-0.1</v>
      </c>
      <c r="CI117" s="1">
        <f t="shared" si="62"/>
        <v>-0.1</v>
      </c>
      <c r="CJ117" s="1">
        <f t="shared" si="63"/>
        <v>0.4</v>
      </c>
      <c r="CK117" s="2">
        <f t="shared" si="54"/>
        <v>100</v>
      </c>
      <c r="CL117" s="1">
        <f t="shared" si="64"/>
        <v>-3.8</v>
      </c>
      <c r="CM117" s="1">
        <f t="shared" si="65"/>
        <v>-4.2</v>
      </c>
      <c r="CN117" s="1">
        <f t="shared" si="66"/>
        <v>-4.2</v>
      </c>
      <c r="CO117" s="1">
        <f t="shared" si="67"/>
        <v>0.3</v>
      </c>
      <c r="CP117" s="1">
        <f t="shared" si="68"/>
        <v>-0.3</v>
      </c>
      <c r="CQ117" s="1">
        <f t="shared" si="69"/>
        <v>-0.3</v>
      </c>
      <c r="CR117" s="1">
        <f t="shared" si="70"/>
        <v>0.2</v>
      </c>
      <c r="CS117" s="2">
        <f t="shared" si="71"/>
        <v>45.6</v>
      </c>
      <c r="CT117" s="6">
        <f t="shared" si="72"/>
        <v>1010</v>
      </c>
      <c r="CU117" s="1">
        <f>PPTest!K117</f>
        <v>7.2</v>
      </c>
      <c r="CV117" s="3">
        <f t="shared" si="73"/>
        <v>1.78</v>
      </c>
      <c r="CW117" s="3">
        <f t="shared" si="74"/>
        <v>4.5599999999999996</v>
      </c>
      <c r="CX117" s="24">
        <f t="shared" si="75"/>
        <v>0.51100000000000001</v>
      </c>
      <c r="CY117" s="24">
        <f t="shared" si="75"/>
        <v>0.61</v>
      </c>
      <c r="CZ117" s="16">
        <f t="shared" si="76"/>
        <v>13.16</v>
      </c>
    </row>
    <row r="118" spans="1:104" x14ac:dyDescent="0.2">
      <c r="A118" s="14">
        <f t="shared" si="77"/>
        <v>38829</v>
      </c>
      <c r="B118" s="1">
        <v>112</v>
      </c>
      <c r="C118" s="3">
        <v>16.190000000000001</v>
      </c>
      <c r="D118" s="3">
        <v>29.23</v>
      </c>
      <c r="E118" s="3">
        <v>-2.2839999999999998</v>
      </c>
      <c r="F118" s="3">
        <v>100.2</v>
      </c>
      <c r="G118" s="3">
        <v>-2.7440000000000002</v>
      </c>
      <c r="H118" s="3">
        <v>-3.0169999999999999</v>
      </c>
      <c r="I118" s="3">
        <v>0.38</v>
      </c>
      <c r="J118" s="3">
        <v>-0.27200000000000002</v>
      </c>
      <c r="K118" s="3">
        <v>-0.27600000000000002</v>
      </c>
      <c r="L118" s="3">
        <v>0.24099999999999999</v>
      </c>
      <c r="M118" s="3">
        <v>1.55</v>
      </c>
      <c r="N118" s="3">
        <v>3</v>
      </c>
      <c r="O118" s="3">
        <v>3.2890000000000001</v>
      </c>
      <c r="P118" s="3">
        <v>1701</v>
      </c>
      <c r="Q118" s="3">
        <v>110.5</v>
      </c>
      <c r="R118" s="3">
        <v>33</v>
      </c>
      <c r="S118" s="3">
        <v>5.62</v>
      </c>
      <c r="T118" s="3">
        <v>5.1070000000000002</v>
      </c>
      <c r="U118" s="3">
        <v>0.64300000000000002</v>
      </c>
      <c r="V118" s="3">
        <v>-4.1000000000000002E-2</v>
      </c>
      <c r="W118" s="3">
        <v>-3.4000000000000002E-2</v>
      </c>
      <c r="X118" s="3">
        <v>0.46500000000000002</v>
      </c>
      <c r="Y118" s="3">
        <v>4.3840000000000003</v>
      </c>
      <c r="Z118" s="3">
        <v>1455</v>
      </c>
      <c r="AA118" s="3">
        <v>-7.46</v>
      </c>
      <c r="AB118" s="3">
        <v>2359</v>
      </c>
      <c r="AC118" s="3">
        <v>65.099999999999994</v>
      </c>
      <c r="AD118" s="3">
        <v>1552</v>
      </c>
      <c r="AE118" s="3">
        <v>-8.4</v>
      </c>
      <c r="AF118" s="3">
        <v>-8.68</v>
      </c>
      <c r="AG118" s="3">
        <v>0.189</v>
      </c>
      <c r="AH118" s="3">
        <v>-0.44800000000000001</v>
      </c>
      <c r="AI118" s="3">
        <v>-0.41799999999999998</v>
      </c>
      <c r="AJ118" s="3">
        <v>9.2999999999999999E-2</v>
      </c>
      <c r="AK118" s="3">
        <v>8.5999999999999993E-2</v>
      </c>
      <c r="AL118" s="3">
        <v>0.21199999999999999</v>
      </c>
      <c r="AM118" s="3">
        <v>0.17</v>
      </c>
      <c r="AN118" s="3">
        <v>3.5000000000000003E-2</v>
      </c>
      <c r="AO118" s="3">
        <v>0.13700000000000001</v>
      </c>
      <c r="AP118" s="3">
        <v>0.249</v>
      </c>
      <c r="AQ118" s="3">
        <v>6.6000000000000003E-2</v>
      </c>
      <c r="AR118" s="3">
        <v>4.4999999999999998E-2</v>
      </c>
      <c r="AS118" s="3">
        <v>6999</v>
      </c>
      <c r="AT118" s="3">
        <v>6999</v>
      </c>
      <c r="AU118" s="3">
        <v>6999</v>
      </c>
      <c r="AV118" s="3">
        <v>-1.85</v>
      </c>
      <c r="AW118" s="3">
        <v>-2.0550000000000002</v>
      </c>
      <c r="AX118" s="3">
        <v>1.177</v>
      </c>
      <c r="AY118" s="3">
        <v>1.7549999999999999</v>
      </c>
      <c r="AZ118" s="3">
        <v>-6.0510000000000002</v>
      </c>
      <c r="BA118" s="3">
        <v>-6.8479999999999999</v>
      </c>
      <c r="BB118" s="3">
        <v>13.22</v>
      </c>
      <c r="BC118" s="3">
        <v>2876</v>
      </c>
      <c r="BE118" s="18">
        <v>1000</v>
      </c>
      <c r="BG118" s="16">
        <v>26.27</v>
      </c>
      <c r="BH118" s="16">
        <f t="shared" si="46"/>
        <v>53.065399999999997</v>
      </c>
      <c r="BI118" s="17">
        <f t="shared" si="80"/>
        <v>15.87</v>
      </c>
      <c r="BJ118" s="17">
        <f t="shared" si="81"/>
        <v>32.15</v>
      </c>
      <c r="BL118" s="1">
        <f t="shared" si="47"/>
        <v>99</v>
      </c>
      <c r="BM118" s="1">
        <f t="shared" si="48"/>
        <v>82.6</v>
      </c>
      <c r="BN118" s="1">
        <f t="shared" si="49"/>
        <v>50.3</v>
      </c>
      <c r="BO118" s="49">
        <f t="shared" si="55"/>
        <v>0.38900000000000001</v>
      </c>
      <c r="BP118" s="49">
        <f t="shared" si="56"/>
        <v>0.38400000000000001</v>
      </c>
      <c r="BQ118" s="2">
        <f t="shared" si="78"/>
        <v>-2.2839999999999998</v>
      </c>
      <c r="BR118" s="3">
        <v>1.6</v>
      </c>
      <c r="BT118" s="16">
        <f t="shared" si="50"/>
        <v>15.87</v>
      </c>
      <c r="BU118" s="16">
        <f t="shared" si="51"/>
        <v>32.15</v>
      </c>
      <c r="BV118" s="3">
        <f t="shared" si="52"/>
        <v>-2.2999999999999998</v>
      </c>
      <c r="BW118" s="3">
        <f t="shared" si="45"/>
        <v>-2.7</v>
      </c>
      <c r="BX118" s="3">
        <f t="shared" si="45"/>
        <v>-3</v>
      </c>
      <c r="BY118" s="3">
        <f t="shared" si="45"/>
        <v>0.4</v>
      </c>
      <c r="BZ118" s="3">
        <f t="shared" si="45"/>
        <v>-0.3</v>
      </c>
      <c r="CA118" s="3">
        <f t="shared" si="45"/>
        <v>-0.3</v>
      </c>
      <c r="CB118" s="3">
        <f t="shared" si="45"/>
        <v>0.2</v>
      </c>
      <c r="CC118" s="22">
        <f t="shared" si="53"/>
        <v>82.6</v>
      </c>
      <c r="CD118" s="1">
        <f t="shared" si="57"/>
        <v>3.3</v>
      </c>
      <c r="CE118" s="1">
        <f t="shared" si="58"/>
        <v>5.6</v>
      </c>
      <c r="CF118" s="1">
        <f t="shared" si="59"/>
        <v>5.0999999999999996</v>
      </c>
      <c r="CG118" s="1">
        <f t="shared" si="60"/>
        <v>0.6</v>
      </c>
      <c r="CH118" s="1">
        <f t="shared" si="61"/>
        <v>0</v>
      </c>
      <c r="CI118" s="1">
        <f t="shared" si="62"/>
        <v>0</v>
      </c>
      <c r="CJ118" s="1">
        <f t="shared" si="63"/>
        <v>0.5</v>
      </c>
      <c r="CK118" s="2">
        <f t="shared" si="54"/>
        <v>99</v>
      </c>
      <c r="CL118" s="1">
        <f t="shared" si="64"/>
        <v>-7.5</v>
      </c>
      <c r="CM118" s="1">
        <f t="shared" si="65"/>
        <v>-8.4</v>
      </c>
      <c r="CN118" s="1">
        <f t="shared" si="66"/>
        <v>-8.6999999999999993</v>
      </c>
      <c r="CO118" s="1">
        <f t="shared" si="67"/>
        <v>0.2</v>
      </c>
      <c r="CP118" s="1">
        <f t="shared" si="68"/>
        <v>-0.4</v>
      </c>
      <c r="CQ118" s="1">
        <f t="shared" si="69"/>
        <v>-0.4</v>
      </c>
      <c r="CR118" s="1">
        <f t="shared" si="70"/>
        <v>0.1</v>
      </c>
      <c r="CS118" s="2">
        <f t="shared" si="71"/>
        <v>50.3</v>
      </c>
      <c r="CT118" s="6">
        <f t="shared" si="72"/>
        <v>1000</v>
      </c>
      <c r="CU118" s="1">
        <f>PPTest!K118</f>
        <v>0</v>
      </c>
      <c r="CV118" s="3">
        <f t="shared" si="73"/>
        <v>1.55</v>
      </c>
      <c r="CW118" s="3">
        <f t="shared" si="74"/>
        <v>4.38</v>
      </c>
      <c r="CX118" s="24">
        <f t="shared" si="75"/>
        <v>0.38900000000000001</v>
      </c>
      <c r="CY118" s="24">
        <f t="shared" si="75"/>
        <v>0.38400000000000001</v>
      </c>
      <c r="CZ118" s="16">
        <f t="shared" si="76"/>
        <v>13.22</v>
      </c>
    </row>
    <row r="119" spans="1:104" x14ac:dyDescent="0.2">
      <c r="A119" s="14">
        <f t="shared" si="77"/>
        <v>38830</v>
      </c>
      <c r="B119" s="1">
        <v>113</v>
      </c>
      <c r="C119" s="3">
        <v>27.15</v>
      </c>
      <c r="D119" s="3">
        <v>48.28</v>
      </c>
      <c r="E119" s="3">
        <v>0.53600000000000003</v>
      </c>
      <c r="F119" s="3">
        <v>74.3</v>
      </c>
      <c r="G119" s="3">
        <v>0.191</v>
      </c>
      <c r="H119" s="3">
        <v>-0.25800000000000001</v>
      </c>
      <c r="I119" s="3">
        <v>0.39400000000000002</v>
      </c>
      <c r="J119" s="3">
        <v>-0.33400000000000002</v>
      </c>
      <c r="K119" s="3">
        <v>-0.217</v>
      </c>
      <c r="L119" s="3">
        <v>0.29899999999999999</v>
      </c>
      <c r="M119" s="3">
        <v>2.1120000000000001</v>
      </c>
      <c r="N119" s="3">
        <v>0</v>
      </c>
      <c r="O119" s="3">
        <v>10.039999999999999</v>
      </c>
      <c r="P119" s="3">
        <v>1630</v>
      </c>
      <c r="Q119" s="3">
        <v>110</v>
      </c>
      <c r="R119" s="3">
        <v>145</v>
      </c>
      <c r="S119" s="3">
        <v>11.19</v>
      </c>
      <c r="T119" s="3">
        <v>10.85</v>
      </c>
      <c r="U119" s="3">
        <v>0.70499999999999996</v>
      </c>
      <c r="V119" s="3">
        <v>1.2999999999999999E-2</v>
      </c>
      <c r="W119" s="3">
        <v>6.3E-2</v>
      </c>
      <c r="X119" s="3">
        <v>0.55900000000000005</v>
      </c>
      <c r="Y119" s="3">
        <v>4.1980000000000004</v>
      </c>
      <c r="Z119" s="3">
        <v>1056</v>
      </c>
      <c r="AA119" s="3">
        <v>-9.83</v>
      </c>
      <c r="AB119" s="3">
        <v>427</v>
      </c>
      <c r="AC119" s="3">
        <v>34.880000000000003</v>
      </c>
      <c r="AD119" s="3">
        <v>1643</v>
      </c>
      <c r="AE119" s="3">
        <v>-10.76</v>
      </c>
      <c r="AF119" s="3">
        <v>-11.15</v>
      </c>
      <c r="AG119" s="3">
        <v>0.16500000000000001</v>
      </c>
      <c r="AH119" s="3">
        <v>-0.7</v>
      </c>
      <c r="AI119" s="3">
        <v>-0.42899999999999999</v>
      </c>
      <c r="AJ119" s="3">
        <v>0.112</v>
      </c>
      <c r="AK119" s="3">
        <v>0.23599999999999999</v>
      </c>
      <c r="AL119" s="3">
        <v>0.439</v>
      </c>
      <c r="AM119" s="3">
        <v>0.23499999999999999</v>
      </c>
      <c r="AN119" s="3">
        <v>6.0000000000000001E-3</v>
      </c>
      <c r="AO119" s="3">
        <v>0</v>
      </c>
      <c r="AP119" s="3">
        <v>1E-3</v>
      </c>
      <c r="AQ119" s="3">
        <v>6.0000000000000001E-3</v>
      </c>
      <c r="AR119" s="3">
        <v>7.8E-2</v>
      </c>
      <c r="AS119" s="3">
        <v>2592</v>
      </c>
      <c r="AT119" s="3">
        <v>2591</v>
      </c>
      <c r="AU119" s="3">
        <v>2591</v>
      </c>
      <c r="AV119" s="3">
        <v>-1.86</v>
      </c>
      <c r="AW119" s="3">
        <v>-1.706</v>
      </c>
      <c r="AX119" s="3">
        <v>6.1280000000000001</v>
      </c>
      <c r="AY119" s="3">
        <v>7.46</v>
      </c>
      <c r="AZ119" s="3">
        <v>-9.14</v>
      </c>
      <c r="BA119" s="3">
        <v>-9.6999999999999993</v>
      </c>
      <c r="BB119" s="3">
        <v>13.23</v>
      </c>
      <c r="BC119" s="3">
        <v>2876</v>
      </c>
      <c r="BE119" s="6">
        <f t="shared" ref="BE119:BE124" si="82">BE$2-AU119</f>
        <v>919</v>
      </c>
      <c r="BG119" s="16">
        <v>26.5</v>
      </c>
      <c r="BH119" s="16">
        <f t="shared" si="46"/>
        <v>53.53</v>
      </c>
      <c r="BI119" s="17">
        <f t="shared" si="80"/>
        <v>26.61</v>
      </c>
      <c r="BJ119" s="17">
        <f t="shared" si="81"/>
        <v>53.11</v>
      </c>
      <c r="BL119" s="1">
        <f t="shared" si="47"/>
        <v>98.2</v>
      </c>
      <c r="BM119" s="1">
        <f t="shared" si="48"/>
        <v>58.4</v>
      </c>
      <c r="BN119" s="1">
        <f t="shared" si="49"/>
        <v>23.7</v>
      </c>
      <c r="BO119" s="49">
        <f t="shared" si="55"/>
        <v>0.29199999999999998</v>
      </c>
      <c r="BP119" s="49">
        <f t="shared" si="56"/>
        <v>0.94</v>
      </c>
      <c r="BQ119" s="2">
        <f t="shared" si="78"/>
        <v>0.53600000000000003</v>
      </c>
      <c r="BR119" s="3">
        <v>0</v>
      </c>
      <c r="BT119" s="16">
        <f t="shared" si="50"/>
        <v>26.61</v>
      </c>
      <c r="BU119" s="16">
        <f t="shared" si="51"/>
        <v>53.11</v>
      </c>
      <c r="BV119" s="3">
        <f t="shared" si="52"/>
        <v>0.5</v>
      </c>
      <c r="BW119" s="3">
        <f t="shared" si="45"/>
        <v>0.2</v>
      </c>
      <c r="BX119" s="3">
        <f t="shared" si="45"/>
        <v>-0.3</v>
      </c>
      <c r="BY119" s="3">
        <f t="shared" si="45"/>
        <v>0.4</v>
      </c>
      <c r="BZ119" s="3">
        <f t="shared" si="45"/>
        <v>-0.3</v>
      </c>
      <c r="CA119" s="3">
        <f t="shared" si="45"/>
        <v>-0.2</v>
      </c>
      <c r="CB119" s="3">
        <f t="shared" si="45"/>
        <v>0.3</v>
      </c>
      <c r="CC119" s="22">
        <f t="shared" si="53"/>
        <v>58.4</v>
      </c>
      <c r="CD119" s="1">
        <f t="shared" si="57"/>
        <v>10</v>
      </c>
      <c r="CE119" s="1">
        <f t="shared" si="58"/>
        <v>11.2</v>
      </c>
      <c r="CF119" s="1">
        <f t="shared" si="59"/>
        <v>10.9</v>
      </c>
      <c r="CG119" s="1">
        <f t="shared" si="60"/>
        <v>0.7</v>
      </c>
      <c r="CH119" s="1">
        <f t="shared" si="61"/>
        <v>0</v>
      </c>
      <c r="CI119" s="1">
        <f t="shared" si="62"/>
        <v>0.1</v>
      </c>
      <c r="CJ119" s="1">
        <f t="shared" si="63"/>
        <v>0.6</v>
      </c>
      <c r="CK119" s="2">
        <f t="shared" si="54"/>
        <v>98.2</v>
      </c>
      <c r="CL119" s="1">
        <f t="shared" si="64"/>
        <v>-9.8000000000000007</v>
      </c>
      <c r="CM119" s="1">
        <f t="shared" si="65"/>
        <v>-10.8</v>
      </c>
      <c r="CN119" s="1">
        <f t="shared" si="66"/>
        <v>-11.2</v>
      </c>
      <c r="CO119" s="1">
        <f t="shared" si="67"/>
        <v>0.2</v>
      </c>
      <c r="CP119" s="1">
        <f t="shared" si="68"/>
        <v>-0.7</v>
      </c>
      <c r="CQ119" s="1">
        <f t="shared" si="69"/>
        <v>-0.4</v>
      </c>
      <c r="CR119" s="1">
        <f t="shared" si="70"/>
        <v>0.1</v>
      </c>
      <c r="CS119" s="2">
        <f t="shared" si="71"/>
        <v>23.7</v>
      </c>
      <c r="CT119" s="6">
        <f t="shared" si="72"/>
        <v>919</v>
      </c>
      <c r="CU119" s="1">
        <f>PPTest!K119</f>
        <v>0</v>
      </c>
      <c r="CV119" s="3">
        <f t="shared" si="73"/>
        <v>2.11</v>
      </c>
      <c r="CW119" s="3">
        <f t="shared" si="74"/>
        <v>4.2</v>
      </c>
      <c r="CX119" s="24">
        <f t="shared" si="75"/>
        <v>0.29199999999999998</v>
      </c>
      <c r="CY119" s="24">
        <f t="shared" si="75"/>
        <v>0.94</v>
      </c>
      <c r="CZ119" s="16">
        <f t="shared" si="76"/>
        <v>13.23</v>
      </c>
    </row>
    <row r="120" spans="1:104" x14ac:dyDescent="0.2">
      <c r="A120" s="14">
        <f t="shared" si="77"/>
        <v>38831</v>
      </c>
      <c r="B120" s="1">
        <v>114</v>
      </c>
      <c r="C120" s="3">
        <v>27.87</v>
      </c>
      <c r="D120" s="3">
        <v>49.3</v>
      </c>
      <c r="E120" s="3">
        <v>4.1890000000000001</v>
      </c>
      <c r="F120" s="3">
        <v>55.98</v>
      </c>
      <c r="G120" s="3">
        <v>3.7269999999999999</v>
      </c>
      <c r="H120" s="3">
        <v>3.0840000000000001</v>
      </c>
      <c r="I120" s="3">
        <v>0.47099999999999997</v>
      </c>
      <c r="J120" s="3">
        <v>-0.255</v>
      </c>
      <c r="K120" s="3">
        <v>-0.185</v>
      </c>
      <c r="L120" s="3">
        <v>0.35</v>
      </c>
      <c r="M120" s="3">
        <v>2.2999999999999998</v>
      </c>
      <c r="N120" s="3">
        <v>0</v>
      </c>
      <c r="O120" s="3">
        <v>14.48</v>
      </c>
      <c r="P120" s="3">
        <v>1207</v>
      </c>
      <c r="Q120" s="3">
        <v>100.6</v>
      </c>
      <c r="R120" s="3">
        <v>319</v>
      </c>
      <c r="S120" s="3">
        <v>17.61</v>
      </c>
      <c r="T120" s="3">
        <v>16.399999999999999</v>
      </c>
      <c r="U120" s="3">
        <v>0.85699999999999998</v>
      </c>
      <c r="V120" s="3">
        <v>0.13700000000000001</v>
      </c>
      <c r="W120" s="3">
        <v>0.188</v>
      </c>
      <c r="X120" s="3">
        <v>0.65</v>
      </c>
      <c r="Y120" s="3">
        <v>4.4370000000000003</v>
      </c>
      <c r="Z120" s="3">
        <v>1408</v>
      </c>
      <c r="AA120" s="3">
        <v>-7.53</v>
      </c>
      <c r="AB120" s="3">
        <v>451</v>
      </c>
      <c r="AC120" s="3">
        <v>16.73</v>
      </c>
      <c r="AD120" s="3">
        <v>1600</v>
      </c>
      <c r="AE120" s="3">
        <v>-8.76</v>
      </c>
      <c r="AF120" s="3">
        <v>-9.2200000000000006</v>
      </c>
      <c r="AG120" s="3">
        <v>0.16300000000000001</v>
      </c>
      <c r="AH120" s="3">
        <v>-0.61399999999999999</v>
      </c>
      <c r="AI120" s="3">
        <v>-0.48199999999999998</v>
      </c>
      <c r="AJ120" s="3">
        <v>7.2999999999999995E-2</v>
      </c>
      <c r="AK120" s="3">
        <v>0.14199999999999999</v>
      </c>
      <c r="AL120" s="3">
        <v>0.51600000000000001</v>
      </c>
      <c r="AM120" s="3">
        <v>0.30099999999999999</v>
      </c>
      <c r="AN120" s="3">
        <v>6.0000000000000001E-3</v>
      </c>
      <c r="AO120" s="3">
        <v>0</v>
      </c>
      <c r="AP120" s="3">
        <v>2E-3</v>
      </c>
      <c r="AQ120" s="3">
        <v>3.0000000000000001E-3</v>
      </c>
      <c r="AR120" s="3">
        <v>3.1E-2</v>
      </c>
      <c r="AS120" s="3">
        <v>2656</v>
      </c>
      <c r="AT120" s="3">
        <v>2650</v>
      </c>
      <c r="AU120" s="3">
        <v>2652</v>
      </c>
      <c r="AV120" s="3">
        <v>0.47899999999999998</v>
      </c>
      <c r="AW120" s="3">
        <v>0.72599999999999998</v>
      </c>
      <c r="AX120" s="3">
        <v>10.15</v>
      </c>
      <c r="AY120" s="3">
        <v>11.53</v>
      </c>
      <c r="AZ120" s="3">
        <v>-8.2200000000000006</v>
      </c>
      <c r="BA120" s="3">
        <v>-8.58</v>
      </c>
      <c r="BB120" s="3">
        <v>13.22</v>
      </c>
      <c r="BC120" s="3">
        <v>2876</v>
      </c>
      <c r="BE120" s="6">
        <f t="shared" si="82"/>
        <v>858</v>
      </c>
      <c r="BG120" s="16">
        <v>26.73</v>
      </c>
      <c r="BH120" s="16">
        <f t="shared" si="46"/>
        <v>53.994599999999998</v>
      </c>
      <c r="BI120" s="17">
        <f t="shared" si="80"/>
        <v>27.31</v>
      </c>
      <c r="BJ120" s="17">
        <f t="shared" si="81"/>
        <v>54.23</v>
      </c>
      <c r="BL120" s="1">
        <f t="shared" si="47"/>
        <v>83.3</v>
      </c>
      <c r="BM120" s="1">
        <f t="shared" si="48"/>
        <v>42.3</v>
      </c>
      <c r="BN120" s="1">
        <f t="shared" si="49"/>
        <v>7.7</v>
      </c>
      <c r="BO120" s="49">
        <f t="shared" si="55"/>
        <v>0.127</v>
      </c>
      <c r="BP120" s="49">
        <f t="shared" si="56"/>
        <v>1.522</v>
      </c>
      <c r="BQ120" s="2">
        <f t="shared" si="78"/>
        <v>4.1890000000000001</v>
      </c>
      <c r="BR120" s="3">
        <v>0</v>
      </c>
      <c r="BT120" s="16">
        <f t="shared" si="50"/>
        <v>27.31</v>
      </c>
      <c r="BU120" s="16">
        <f t="shared" si="51"/>
        <v>54.23</v>
      </c>
      <c r="BV120" s="3">
        <f t="shared" si="52"/>
        <v>4.2</v>
      </c>
      <c r="BW120" s="3">
        <f t="shared" si="45"/>
        <v>3.7</v>
      </c>
      <c r="BX120" s="3">
        <f t="shared" si="45"/>
        <v>3.1</v>
      </c>
      <c r="BY120" s="3">
        <f t="shared" si="45"/>
        <v>0.5</v>
      </c>
      <c r="BZ120" s="3">
        <f t="shared" si="45"/>
        <v>-0.3</v>
      </c>
      <c r="CA120" s="3">
        <f t="shared" si="45"/>
        <v>-0.2</v>
      </c>
      <c r="CB120" s="3">
        <f t="shared" si="45"/>
        <v>0.4</v>
      </c>
      <c r="CC120" s="22">
        <f t="shared" si="53"/>
        <v>42.3</v>
      </c>
      <c r="CD120" s="1">
        <f t="shared" si="57"/>
        <v>14.5</v>
      </c>
      <c r="CE120" s="1">
        <f t="shared" si="58"/>
        <v>17.600000000000001</v>
      </c>
      <c r="CF120" s="1">
        <f t="shared" si="59"/>
        <v>16.399999999999999</v>
      </c>
      <c r="CG120" s="1">
        <f t="shared" si="60"/>
        <v>0.9</v>
      </c>
      <c r="CH120" s="1">
        <f t="shared" si="61"/>
        <v>0.1</v>
      </c>
      <c r="CI120" s="1">
        <f t="shared" si="62"/>
        <v>0.2</v>
      </c>
      <c r="CJ120" s="1">
        <f t="shared" si="63"/>
        <v>0.7</v>
      </c>
      <c r="CK120" s="2">
        <f t="shared" si="54"/>
        <v>83.3</v>
      </c>
      <c r="CL120" s="1">
        <f t="shared" si="64"/>
        <v>-7.5</v>
      </c>
      <c r="CM120" s="1">
        <f t="shared" si="65"/>
        <v>-8.8000000000000007</v>
      </c>
      <c r="CN120" s="1">
        <f t="shared" si="66"/>
        <v>-9.1999999999999993</v>
      </c>
      <c r="CO120" s="1">
        <f t="shared" si="67"/>
        <v>0.2</v>
      </c>
      <c r="CP120" s="1">
        <f t="shared" si="68"/>
        <v>-0.6</v>
      </c>
      <c r="CQ120" s="1">
        <f t="shared" si="69"/>
        <v>-0.5</v>
      </c>
      <c r="CR120" s="1">
        <f t="shared" si="70"/>
        <v>0.1</v>
      </c>
      <c r="CS120" s="2">
        <f t="shared" si="71"/>
        <v>7.7</v>
      </c>
      <c r="CT120" s="6">
        <f t="shared" si="72"/>
        <v>858</v>
      </c>
      <c r="CU120" s="1">
        <f>PPTest!K120</f>
        <v>0</v>
      </c>
      <c r="CV120" s="3">
        <f t="shared" si="73"/>
        <v>2.2999999999999998</v>
      </c>
      <c r="CW120" s="3">
        <f t="shared" si="74"/>
        <v>4.4400000000000004</v>
      </c>
      <c r="CX120" s="24">
        <f t="shared" si="75"/>
        <v>0.127</v>
      </c>
      <c r="CY120" s="24">
        <f t="shared" si="75"/>
        <v>1.522</v>
      </c>
      <c r="CZ120" s="16">
        <f t="shared" si="76"/>
        <v>13.22</v>
      </c>
    </row>
    <row r="121" spans="1:104" x14ac:dyDescent="0.2">
      <c r="A121" s="14">
        <f t="shared" si="77"/>
        <v>38832</v>
      </c>
      <c r="B121" s="1">
        <v>115</v>
      </c>
      <c r="C121" s="3">
        <v>26.7</v>
      </c>
      <c r="D121" s="3">
        <v>47.47</v>
      </c>
      <c r="E121" s="3">
        <v>4.4580000000000002</v>
      </c>
      <c r="F121" s="3">
        <v>60.44</v>
      </c>
      <c r="G121" s="3">
        <v>4.1639999999999997</v>
      </c>
      <c r="H121" s="3">
        <v>3.5529999999999999</v>
      </c>
      <c r="I121" s="3">
        <v>0.52800000000000002</v>
      </c>
      <c r="J121" s="3">
        <v>-0.19500000000000001</v>
      </c>
      <c r="K121" s="3">
        <v>-0.17399999999999999</v>
      </c>
      <c r="L121" s="3">
        <v>0.35199999999999998</v>
      </c>
      <c r="M121" s="3">
        <v>1.8</v>
      </c>
      <c r="N121" s="3">
        <v>0</v>
      </c>
      <c r="O121" s="3">
        <v>12.63</v>
      </c>
      <c r="P121" s="3">
        <v>1526</v>
      </c>
      <c r="Q121" s="3">
        <v>95.7</v>
      </c>
      <c r="R121" s="3">
        <v>501</v>
      </c>
      <c r="S121" s="3">
        <v>15.13</v>
      </c>
      <c r="T121" s="3">
        <v>14.51</v>
      </c>
      <c r="U121" s="3">
        <v>0.88400000000000001</v>
      </c>
      <c r="V121" s="3">
        <v>0.18099999999999999</v>
      </c>
      <c r="W121" s="3">
        <v>0.18099999999999999</v>
      </c>
      <c r="X121" s="3">
        <v>0.624</v>
      </c>
      <c r="Y121" s="3">
        <v>4.7160000000000002</v>
      </c>
      <c r="Z121" s="3">
        <v>1400</v>
      </c>
      <c r="AA121" s="3">
        <v>-6.1849999999999996</v>
      </c>
      <c r="AB121" s="3">
        <v>452</v>
      </c>
      <c r="AC121" s="3">
        <v>24.48</v>
      </c>
      <c r="AD121" s="3">
        <v>1500</v>
      </c>
      <c r="AE121" s="3">
        <v>-7.09</v>
      </c>
      <c r="AF121" s="3">
        <v>-7.72</v>
      </c>
      <c r="AG121" s="3">
        <v>0.316</v>
      </c>
      <c r="AH121" s="3">
        <v>-0.47799999999999998</v>
      </c>
      <c r="AI121" s="3">
        <v>-0.38</v>
      </c>
      <c r="AJ121" s="3">
        <v>0.16500000000000001</v>
      </c>
      <c r="AK121" s="3">
        <v>4.5999999999999999E-2</v>
      </c>
      <c r="AL121" s="3">
        <v>0.32400000000000001</v>
      </c>
      <c r="AM121" s="3">
        <v>0.14199999999999999</v>
      </c>
      <c r="AN121" s="3">
        <v>1.7000000000000001E-2</v>
      </c>
      <c r="AO121" s="3">
        <v>0.121</v>
      </c>
      <c r="AP121" s="3">
        <v>0.215</v>
      </c>
      <c r="AQ121" s="3">
        <v>0.10299999999999999</v>
      </c>
      <c r="AR121" s="3">
        <v>3.1E-2</v>
      </c>
      <c r="AS121" s="3">
        <v>2690</v>
      </c>
      <c r="AT121" s="3">
        <v>2690</v>
      </c>
      <c r="AU121" s="3">
        <v>2690</v>
      </c>
      <c r="AV121" s="3">
        <v>1.569</v>
      </c>
      <c r="AW121" s="3">
        <v>1.8240000000000001</v>
      </c>
      <c r="AX121" s="3">
        <v>11.1</v>
      </c>
      <c r="AY121" s="3">
        <v>11.95</v>
      </c>
      <c r="AZ121" s="3">
        <v>-6.8769999999999998</v>
      </c>
      <c r="BA121" s="3">
        <v>-7.21</v>
      </c>
      <c r="BB121" s="3">
        <v>13.23</v>
      </c>
      <c r="BC121" s="3">
        <v>2876</v>
      </c>
      <c r="BE121" s="6">
        <f t="shared" si="82"/>
        <v>820</v>
      </c>
      <c r="BG121" s="16">
        <v>26.95</v>
      </c>
      <c r="BH121" s="16">
        <f t="shared" si="46"/>
        <v>54.439</v>
      </c>
      <c r="BI121" s="17">
        <f t="shared" si="80"/>
        <v>26.17</v>
      </c>
      <c r="BJ121" s="17">
        <f t="shared" si="81"/>
        <v>52.22</v>
      </c>
      <c r="BL121" s="1">
        <f t="shared" si="47"/>
        <v>77.2</v>
      </c>
      <c r="BM121" s="1">
        <f t="shared" si="48"/>
        <v>46.2</v>
      </c>
      <c r="BN121" s="1">
        <f t="shared" si="49"/>
        <v>14.5</v>
      </c>
      <c r="BO121" s="49">
        <f t="shared" si="55"/>
        <v>0.21199999999999999</v>
      </c>
      <c r="BP121" s="49">
        <f t="shared" si="56"/>
        <v>1.25</v>
      </c>
      <c r="BQ121" s="2">
        <f t="shared" si="78"/>
        <v>4.4580000000000002</v>
      </c>
      <c r="BR121" s="3">
        <v>0</v>
      </c>
      <c r="BT121" s="16">
        <f t="shared" si="50"/>
        <v>26.17</v>
      </c>
      <c r="BU121" s="16">
        <f t="shared" si="51"/>
        <v>52.22</v>
      </c>
      <c r="BV121" s="3">
        <f t="shared" si="52"/>
        <v>4.5</v>
      </c>
      <c r="BW121" s="3">
        <f t="shared" si="45"/>
        <v>4.2</v>
      </c>
      <c r="BX121" s="3">
        <f t="shared" si="45"/>
        <v>3.6</v>
      </c>
      <c r="BY121" s="3">
        <f t="shared" si="45"/>
        <v>0.5</v>
      </c>
      <c r="BZ121" s="3">
        <f t="shared" si="45"/>
        <v>-0.2</v>
      </c>
      <c r="CA121" s="3">
        <f t="shared" si="45"/>
        <v>-0.2</v>
      </c>
      <c r="CB121" s="3">
        <f t="shared" si="45"/>
        <v>0.4</v>
      </c>
      <c r="CC121" s="22">
        <f t="shared" si="53"/>
        <v>46.2</v>
      </c>
      <c r="CD121" s="1">
        <f t="shared" si="57"/>
        <v>12.6</v>
      </c>
      <c r="CE121" s="1">
        <f t="shared" si="58"/>
        <v>15.1</v>
      </c>
      <c r="CF121" s="1">
        <f t="shared" si="59"/>
        <v>14.5</v>
      </c>
      <c r="CG121" s="1">
        <f t="shared" si="60"/>
        <v>0.9</v>
      </c>
      <c r="CH121" s="1">
        <f t="shared" si="61"/>
        <v>0.2</v>
      </c>
      <c r="CI121" s="1">
        <f t="shared" si="62"/>
        <v>0.2</v>
      </c>
      <c r="CJ121" s="1">
        <f t="shared" si="63"/>
        <v>0.6</v>
      </c>
      <c r="CK121" s="2">
        <f t="shared" si="54"/>
        <v>77.2</v>
      </c>
      <c r="CL121" s="1">
        <f t="shared" si="64"/>
        <v>-6.2</v>
      </c>
      <c r="CM121" s="1">
        <f t="shared" si="65"/>
        <v>-7.1</v>
      </c>
      <c r="CN121" s="1">
        <f t="shared" si="66"/>
        <v>-7.7</v>
      </c>
      <c r="CO121" s="1">
        <f t="shared" si="67"/>
        <v>0.3</v>
      </c>
      <c r="CP121" s="1">
        <f t="shared" si="68"/>
        <v>-0.5</v>
      </c>
      <c r="CQ121" s="1">
        <f t="shared" si="69"/>
        <v>-0.4</v>
      </c>
      <c r="CR121" s="1">
        <f t="shared" si="70"/>
        <v>0.2</v>
      </c>
      <c r="CS121" s="2">
        <f t="shared" si="71"/>
        <v>14.5</v>
      </c>
      <c r="CT121" s="6">
        <f t="shared" si="72"/>
        <v>820</v>
      </c>
      <c r="CU121" s="1">
        <f>PPTest!K121</f>
        <v>0</v>
      </c>
      <c r="CV121" s="3">
        <f t="shared" si="73"/>
        <v>1.8</v>
      </c>
      <c r="CW121" s="3">
        <f t="shared" si="74"/>
        <v>4.72</v>
      </c>
      <c r="CX121" s="24">
        <f t="shared" si="75"/>
        <v>0.21199999999999999</v>
      </c>
      <c r="CY121" s="24">
        <f t="shared" si="75"/>
        <v>1.25</v>
      </c>
      <c r="CZ121" s="16">
        <f t="shared" si="76"/>
        <v>13.23</v>
      </c>
    </row>
    <row r="122" spans="1:104" x14ac:dyDescent="0.2">
      <c r="A122" s="14">
        <f t="shared" si="77"/>
        <v>38833</v>
      </c>
      <c r="B122" s="1">
        <v>116</v>
      </c>
      <c r="C122" s="3">
        <v>14.41</v>
      </c>
      <c r="D122" s="3">
        <v>26.37</v>
      </c>
      <c r="E122" s="3">
        <v>2.7080000000000002</v>
      </c>
      <c r="F122" s="3">
        <v>83.7</v>
      </c>
      <c r="G122" s="3">
        <v>2.3279999999999998</v>
      </c>
      <c r="H122" s="3">
        <v>2.0499999999999998</v>
      </c>
      <c r="I122" s="3">
        <v>0.503</v>
      </c>
      <c r="J122" s="3">
        <v>-0.14499999999999999</v>
      </c>
      <c r="K122" s="3">
        <v>-0.183</v>
      </c>
      <c r="L122" s="3">
        <v>0.34300000000000003</v>
      </c>
      <c r="M122" s="3">
        <v>1.8540000000000001</v>
      </c>
      <c r="N122" s="3">
        <v>0</v>
      </c>
      <c r="O122" s="3">
        <v>8.3800000000000008</v>
      </c>
      <c r="P122" s="3">
        <v>1017</v>
      </c>
      <c r="Q122" s="3">
        <v>110.4</v>
      </c>
      <c r="R122" s="3">
        <v>0</v>
      </c>
      <c r="S122" s="3">
        <v>10.48</v>
      </c>
      <c r="T122" s="3">
        <v>10.02</v>
      </c>
      <c r="U122" s="3">
        <v>0.81</v>
      </c>
      <c r="V122" s="3">
        <v>0.16500000000000001</v>
      </c>
      <c r="W122" s="3">
        <v>0.1</v>
      </c>
      <c r="X122" s="3">
        <v>0.61799999999999999</v>
      </c>
      <c r="Y122" s="3">
        <v>4.9820000000000002</v>
      </c>
      <c r="Z122" s="3">
        <v>1204</v>
      </c>
      <c r="AA122" s="3">
        <v>-3.7229999999999999</v>
      </c>
      <c r="AB122" s="3">
        <v>453</v>
      </c>
      <c r="AC122" s="3">
        <v>48.81</v>
      </c>
      <c r="AD122" s="3">
        <v>938</v>
      </c>
      <c r="AE122" s="3">
        <v>-4.9980000000000002</v>
      </c>
      <c r="AF122" s="3">
        <v>-5.577</v>
      </c>
      <c r="AG122" s="3">
        <v>0.29899999999999999</v>
      </c>
      <c r="AH122" s="3">
        <v>-0.33600000000000002</v>
      </c>
      <c r="AI122" s="3">
        <v>-0.38100000000000001</v>
      </c>
      <c r="AJ122" s="3">
        <v>0.16300000000000001</v>
      </c>
      <c r="AK122" s="3">
        <v>3.5999999999999997E-2</v>
      </c>
      <c r="AL122" s="3">
        <v>0.13300000000000001</v>
      </c>
      <c r="AM122" s="3">
        <v>0.10299999999999999</v>
      </c>
      <c r="AN122" s="3">
        <v>3.3000000000000002E-2</v>
      </c>
      <c r="AO122" s="3">
        <v>0.20599999999999999</v>
      </c>
      <c r="AP122" s="3">
        <v>0.33200000000000002</v>
      </c>
      <c r="AQ122" s="3">
        <v>0.12</v>
      </c>
      <c r="AR122" s="3">
        <v>3.6999999999999998E-2</v>
      </c>
      <c r="AS122" s="3">
        <v>2714</v>
      </c>
      <c r="AT122" s="3">
        <v>2711</v>
      </c>
      <c r="AU122" s="3">
        <v>2713</v>
      </c>
      <c r="AV122" s="3">
        <v>1.1279999999999999</v>
      </c>
      <c r="AW122" s="3">
        <v>1.204</v>
      </c>
      <c r="AX122" s="3">
        <v>5.9379999999999997</v>
      </c>
      <c r="AY122" s="3">
        <v>6.7629999999999999</v>
      </c>
      <c r="AZ122" s="3">
        <v>-4.5599999999999996</v>
      </c>
      <c r="BA122" s="3">
        <v>-4.9349999999999996</v>
      </c>
      <c r="BB122" s="3">
        <v>13.21</v>
      </c>
      <c r="BC122" s="3">
        <v>2876</v>
      </c>
      <c r="BE122" s="6">
        <f t="shared" si="82"/>
        <v>797</v>
      </c>
      <c r="BG122" s="16">
        <v>27.17</v>
      </c>
      <c r="BH122" s="16">
        <f t="shared" si="46"/>
        <v>54.883400000000002</v>
      </c>
      <c r="BI122" s="17">
        <f t="shared" si="80"/>
        <v>14.12</v>
      </c>
      <c r="BJ122" s="17">
        <f t="shared" si="81"/>
        <v>29.01</v>
      </c>
      <c r="BL122" s="1">
        <f t="shared" si="47"/>
        <v>98.8</v>
      </c>
      <c r="BM122" s="1">
        <f t="shared" si="48"/>
        <v>66.7</v>
      </c>
      <c r="BN122" s="1">
        <f t="shared" si="49"/>
        <v>36</v>
      </c>
      <c r="BO122" s="49">
        <f t="shared" si="55"/>
        <v>0.39600000000000002</v>
      </c>
      <c r="BP122" s="49">
        <f t="shared" si="56"/>
        <v>0.70399999999999996</v>
      </c>
      <c r="BQ122" s="2">
        <f t="shared" si="78"/>
        <v>2.7080000000000002</v>
      </c>
      <c r="BR122" s="3">
        <v>0</v>
      </c>
      <c r="BT122" s="16">
        <f t="shared" si="50"/>
        <v>14.12</v>
      </c>
      <c r="BU122" s="16">
        <f t="shared" si="51"/>
        <v>29.01</v>
      </c>
      <c r="BV122" s="3">
        <f t="shared" si="52"/>
        <v>2.7</v>
      </c>
      <c r="BW122" s="3">
        <f t="shared" si="45"/>
        <v>2.2999999999999998</v>
      </c>
      <c r="BX122" s="3">
        <f t="shared" si="45"/>
        <v>2.1</v>
      </c>
      <c r="BY122" s="3">
        <f t="shared" si="45"/>
        <v>0.5</v>
      </c>
      <c r="BZ122" s="3">
        <f t="shared" si="45"/>
        <v>-0.1</v>
      </c>
      <c r="CA122" s="3">
        <f t="shared" si="45"/>
        <v>-0.2</v>
      </c>
      <c r="CB122" s="3">
        <f t="shared" si="45"/>
        <v>0.3</v>
      </c>
      <c r="CC122" s="22">
        <f t="shared" si="53"/>
        <v>66.7</v>
      </c>
      <c r="CD122" s="1">
        <f t="shared" si="57"/>
        <v>8.4</v>
      </c>
      <c r="CE122" s="1">
        <f t="shared" si="58"/>
        <v>10.5</v>
      </c>
      <c r="CF122" s="1">
        <f t="shared" si="59"/>
        <v>10</v>
      </c>
      <c r="CG122" s="1">
        <f t="shared" si="60"/>
        <v>0.8</v>
      </c>
      <c r="CH122" s="1">
        <f t="shared" si="61"/>
        <v>0.2</v>
      </c>
      <c r="CI122" s="1">
        <f t="shared" si="62"/>
        <v>0.1</v>
      </c>
      <c r="CJ122" s="1">
        <f t="shared" si="63"/>
        <v>0.6</v>
      </c>
      <c r="CK122" s="2">
        <f t="shared" si="54"/>
        <v>98.8</v>
      </c>
      <c r="CL122" s="1">
        <f t="shared" si="64"/>
        <v>-3.7</v>
      </c>
      <c r="CM122" s="1">
        <f t="shared" si="65"/>
        <v>-5</v>
      </c>
      <c r="CN122" s="1">
        <f t="shared" si="66"/>
        <v>-5.6</v>
      </c>
      <c r="CO122" s="1">
        <f t="shared" si="67"/>
        <v>0.3</v>
      </c>
      <c r="CP122" s="1">
        <f t="shared" si="68"/>
        <v>-0.3</v>
      </c>
      <c r="CQ122" s="1">
        <f t="shared" si="69"/>
        <v>-0.4</v>
      </c>
      <c r="CR122" s="1">
        <f t="shared" si="70"/>
        <v>0.2</v>
      </c>
      <c r="CS122" s="2">
        <f t="shared" si="71"/>
        <v>36</v>
      </c>
      <c r="CT122" s="6">
        <f t="shared" si="72"/>
        <v>797</v>
      </c>
      <c r="CU122" s="1">
        <f>PPTest!K122</f>
        <v>0</v>
      </c>
      <c r="CV122" s="3">
        <f t="shared" si="73"/>
        <v>1.85</v>
      </c>
      <c r="CW122" s="3">
        <f t="shared" si="74"/>
        <v>4.9800000000000004</v>
      </c>
      <c r="CX122" s="24">
        <f t="shared" si="75"/>
        <v>0.39600000000000002</v>
      </c>
      <c r="CY122" s="24">
        <f t="shared" si="75"/>
        <v>0.70399999999999996</v>
      </c>
      <c r="CZ122" s="16">
        <f t="shared" si="76"/>
        <v>13.21</v>
      </c>
    </row>
    <row r="123" spans="1:104" x14ac:dyDescent="0.2">
      <c r="A123" s="14">
        <f t="shared" si="77"/>
        <v>38834</v>
      </c>
      <c r="B123" s="1">
        <v>117</v>
      </c>
      <c r="C123" s="3">
        <v>22.29</v>
      </c>
      <c r="D123" s="3">
        <v>41.14</v>
      </c>
      <c r="E123" s="3">
        <v>2.609</v>
      </c>
      <c r="F123" s="3">
        <v>90.7</v>
      </c>
      <c r="G123" s="3">
        <v>2.2189999999999999</v>
      </c>
      <c r="H123" s="3">
        <v>2.1040000000000001</v>
      </c>
      <c r="I123" s="3">
        <v>0.51200000000000001</v>
      </c>
      <c r="J123" s="3">
        <v>-0.129</v>
      </c>
      <c r="K123" s="3">
        <v>-0.17699999999999999</v>
      </c>
      <c r="L123" s="3">
        <v>0.33600000000000002</v>
      </c>
      <c r="M123" s="3">
        <v>1.363</v>
      </c>
      <c r="N123" s="3">
        <v>0</v>
      </c>
      <c r="O123" s="3">
        <v>10</v>
      </c>
      <c r="P123" s="3">
        <v>1529</v>
      </c>
      <c r="Q123" s="3">
        <v>110.9</v>
      </c>
      <c r="R123" s="3">
        <v>205</v>
      </c>
      <c r="S123" s="3">
        <v>11.24</v>
      </c>
      <c r="T123" s="3">
        <v>10.67</v>
      </c>
      <c r="U123" s="3">
        <v>0.82199999999999995</v>
      </c>
      <c r="V123" s="3">
        <v>0.21</v>
      </c>
      <c r="W123" s="3">
        <v>0.13100000000000001</v>
      </c>
      <c r="X123" s="3">
        <v>0.58699999999999997</v>
      </c>
      <c r="Y123" s="3">
        <v>3.6659999999999999</v>
      </c>
      <c r="Z123" s="3">
        <v>958</v>
      </c>
      <c r="AA123" s="3">
        <v>-3.0920000000000001</v>
      </c>
      <c r="AB123" s="3">
        <v>452</v>
      </c>
      <c r="AC123" s="3">
        <v>57.15</v>
      </c>
      <c r="AD123" s="3">
        <v>1531</v>
      </c>
      <c r="AE123" s="3">
        <v>-4.1769999999999996</v>
      </c>
      <c r="AF123" s="3">
        <v>-4.5430000000000001</v>
      </c>
      <c r="AG123" s="3">
        <v>0.30199999999999999</v>
      </c>
      <c r="AH123" s="3">
        <v>-0.32900000000000001</v>
      </c>
      <c r="AI123" s="3">
        <v>-0.36</v>
      </c>
      <c r="AJ123" s="3">
        <v>0.17199999999999999</v>
      </c>
      <c r="AK123" s="3">
        <v>0.10299999999999999</v>
      </c>
      <c r="AL123" s="3">
        <v>0.36899999999999999</v>
      </c>
      <c r="AM123" s="3">
        <v>0.24399999999999999</v>
      </c>
      <c r="AN123" s="3">
        <v>1.4999999999999999E-2</v>
      </c>
      <c r="AO123" s="3">
        <v>7.2999999999999995E-2</v>
      </c>
      <c r="AP123" s="3">
        <v>0.10299999999999999</v>
      </c>
      <c r="AQ123" s="3">
        <v>0.04</v>
      </c>
      <c r="AR123" s="3">
        <v>5.1999999999999998E-2</v>
      </c>
      <c r="AS123" s="3">
        <v>2751</v>
      </c>
      <c r="AT123" s="3">
        <v>2750</v>
      </c>
      <c r="AU123" s="3">
        <v>2750</v>
      </c>
      <c r="AV123" s="3">
        <v>1.9159999999999999</v>
      </c>
      <c r="AW123" s="3">
        <v>1.948</v>
      </c>
      <c r="AX123" s="3">
        <v>7.46</v>
      </c>
      <c r="AY123" s="3">
        <v>8.11</v>
      </c>
      <c r="AZ123" s="3">
        <v>-3.1539999999999999</v>
      </c>
      <c r="BA123" s="3">
        <v>-3.5489999999999999</v>
      </c>
      <c r="BB123" s="3">
        <v>13.22</v>
      </c>
      <c r="BC123" s="3">
        <v>2876</v>
      </c>
      <c r="BE123" s="6">
        <f t="shared" si="82"/>
        <v>760</v>
      </c>
      <c r="BG123" s="16">
        <v>27.38</v>
      </c>
      <c r="BH123" s="16">
        <f t="shared" si="46"/>
        <v>55.307600000000001</v>
      </c>
      <c r="BI123" s="17">
        <f t="shared" si="80"/>
        <v>21.84</v>
      </c>
      <c r="BJ123" s="17">
        <f t="shared" si="81"/>
        <v>45.25</v>
      </c>
      <c r="BL123" s="1">
        <f t="shared" si="47"/>
        <v>99.6</v>
      </c>
      <c r="BM123" s="1">
        <f t="shared" si="48"/>
        <v>72.8</v>
      </c>
      <c r="BN123" s="1">
        <f t="shared" si="49"/>
        <v>43.3</v>
      </c>
      <c r="BO123" s="49">
        <f t="shared" si="55"/>
        <v>0.53200000000000003</v>
      </c>
      <c r="BP123" s="49">
        <f t="shared" si="56"/>
        <v>0.69699999999999995</v>
      </c>
      <c r="BQ123" s="2">
        <f t="shared" si="78"/>
        <v>2.609</v>
      </c>
      <c r="BR123" s="3">
        <v>0.2</v>
      </c>
      <c r="BT123" s="16">
        <f t="shared" si="50"/>
        <v>21.84</v>
      </c>
      <c r="BU123" s="16">
        <f t="shared" si="51"/>
        <v>45.25</v>
      </c>
      <c r="BV123" s="3">
        <f t="shared" si="52"/>
        <v>2.6</v>
      </c>
      <c r="BW123" s="3">
        <f t="shared" si="45"/>
        <v>2.2000000000000002</v>
      </c>
      <c r="BX123" s="3">
        <f t="shared" si="45"/>
        <v>2.1</v>
      </c>
      <c r="BY123" s="3">
        <f t="shared" si="45"/>
        <v>0.5</v>
      </c>
      <c r="BZ123" s="3">
        <f t="shared" si="45"/>
        <v>-0.1</v>
      </c>
      <c r="CA123" s="3">
        <f t="shared" si="45"/>
        <v>-0.2</v>
      </c>
      <c r="CB123" s="3">
        <f t="shared" si="45"/>
        <v>0.3</v>
      </c>
      <c r="CC123" s="22">
        <f t="shared" si="53"/>
        <v>72.8</v>
      </c>
      <c r="CD123" s="1">
        <f t="shared" si="57"/>
        <v>10</v>
      </c>
      <c r="CE123" s="1">
        <f t="shared" si="58"/>
        <v>11.2</v>
      </c>
      <c r="CF123" s="1">
        <f t="shared" si="59"/>
        <v>10.7</v>
      </c>
      <c r="CG123" s="1">
        <f t="shared" si="60"/>
        <v>0.8</v>
      </c>
      <c r="CH123" s="1">
        <f t="shared" si="61"/>
        <v>0.2</v>
      </c>
      <c r="CI123" s="1">
        <f t="shared" si="62"/>
        <v>0.1</v>
      </c>
      <c r="CJ123" s="1">
        <f t="shared" si="63"/>
        <v>0.6</v>
      </c>
      <c r="CK123" s="2">
        <f t="shared" si="54"/>
        <v>99.6</v>
      </c>
      <c r="CL123" s="1">
        <f t="shared" si="64"/>
        <v>-3.1</v>
      </c>
      <c r="CM123" s="1">
        <f t="shared" si="65"/>
        <v>-4.2</v>
      </c>
      <c r="CN123" s="1">
        <f t="shared" si="66"/>
        <v>-4.5</v>
      </c>
      <c r="CO123" s="1">
        <f t="shared" si="67"/>
        <v>0.3</v>
      </c>
      <c r="CP123" s="1">
        <f t="shared" si="68"/>
        <v>-0.3</v>
      </c>
      <c r="CQ123" s="1">
        <f t="shared" si="69"/>
        <v>-0.4</v>
      </c>
      <c r="CR123" s="1">
        <f t="shared" si="70"/>
        <v>0.2</v>
      </c>
      <c r="CS123" s="2">
        <f t="shared" si="71"/>
        <v>43.3</v>
      </c>
      <c r="CT123" s="6">
        <f t="shared" si="72"/>
        <v>760</v>
      </c>
      <c r="CU123" s="1">
        <f>PPTest!K123</f>
        <v>0</v>
      </c>
      <c r="CV123" s="3">
        <f t="shared" si="73"/>
        <v>1.36</v>
      </c>
      <c r="CW123" s="3">
        <f t="shared" si="74"/>
        <v>3.67</v>
      </c>
      <c r="CX123" s="24">
        <f t="shared" si="75"/>
        <v>0.53200000000000003</v>
      </c>
      <c r="CY123" s="24">
        <f t="shared" si="75"/>
        <v>0.69699999999999995</v>
      </c>
      <c r="CZ123" s="16">
        <f t="shared" si="76"/>
        <v>13.22</v>
      </c>
    </row>
    <row r="124" spans="1:104" x14ac:dyDescent="0.2">
      <c r="A124" s="14">
        <f t="shared" si="77"/>
        <v>38835</v>
      </c>
      <c r="B124" s="1">
        <v>118</v>
      </c>
      <c r="C124" s="3">
        <v>21.28</v>
      </c>
      <c r="D124" s="3">
        <v>38.89</v>
      </c>
      <c r="E124" s="3">
        <v>6.5069999999999997</v>
      </c>
      <c r="F124" s="3">
        <v>81.5</v>
      </c>
      <c r="G124" s="3">
        <v>6.0179999999999998</v>
      </c>
      <c r="H124" s="3">
        <v>5.4489999999999998</v>
      </c>
      <c r="I124" s="3">
        <v>0.59299999999999997</v>
      </c>
      <c r="J124" s="3">
        <v>-5.8000000000000003E-2</v>
      </c>
      <c r="K124" s="3">
        <v>-0.107</v>
      </c>
      <c r="L124" s="3">
        <v>0.39700000000000002</v>
      </c>
      <c r="M124" s="3">
        <v>1.431</v>
      </c>
      <c r="N124" s="3">
        <v>0</v>
      </c>
      <c r="O124" s="3">
        <v>15.24</v>
      </c>
      <c r="P124" s="3">
        <v>1340</v>
      </c>
      <c r="Q124" s="3">
        <v>109.9</v>
      </c>
      <c r="R124" s="3">
        <v>0</v>
      </c>
      <c r="S124" s="3">
        <v>16.71</v>
      </c>
      <c r="T124" s="3">
        <v>16.21</v>
      </c>
      <c r="U124" s="3">
        <v>0.93400000000000005</v>
      </c>
      <c r="V124" s="3">
        <v>0.27800000000000002</v>
      </c>
      <c r="W124" s="3">
        <v>0.187</v>
      </c>
      <c r="X124" s="3">
        <v>0.68600000000000005</v>
      </c>
      <c r="Y124" s="3">
        <v>3.1869999999999998</v>
      </c>
      <c r="Z124" s="3">
        <v>1304</v>
      </c>
      <c r="AA124" s="3">
        <v>-2.661</v>
      </c>
      <c r="AB124" s="3">
        <v>445</v>
      </c>
      <c r="AC124" s="3">
        <v>49.97</v>
      </c>
      <c r="AD124" s="3">
        <v>1340</v>
      </c>
      <c r="AE124" s="3">
        <v>-3.4159999999999999</v>
      </c>
      <c r="AF124" s="3">
        <v>-3.8839999999999999</v>
      </c>
      <c r="AG124" s="3">
        <v>0.34799999999999998</v>
      </c>
      <c r="AH124" s="3">
        <v>-0.28899999999999998</v>
      </c>
      <c r="AI124" s="3">
        <v>-0.32600000000000001</v>
      </c>
      <c r="AJ124" s="3">
        <v>0.2</v>
      </c>
      <c r="AK124" s="3">
        <v>0.10299999999999999</v>
      </c>
      <c r="AL124" s="3">
        <v>0.32400000000000001</v>
      </c>
      <c r="AM124" s="3">
        <v>0.2</v>
      </c>
      <c r="AN124" s="3">
        <v>3.6999999999999998E-2</v>
      </c>
      <c r="AO124" s="3">
        <v>9.7000000000000003E-2</v>
      </c>
      <c r="AP124" s="3">
        <v>0.125</v>
      </c>
      <c r="AQ124" s="3">
        <v>5.8999999999999997E-2</v>
      </c>
      <c r="AR124" s="3">
        <v>5.6000000000000001E-2</v>
      </c>
      <c r="AS124" s="3">
        <v>2797</v>
      </c>
      <c r="AT124" s="3">
        <v>2792</v>
      </c>
      <c r="AU124" s="3">
        <v>2795</v>
      </c>
      <c r="AV124" s="3">
        <v>3.669</v>
      </c>
      <c r="AW124" s="3">
        <v>3.9660000000000002</v>
      </c>
      <c r="AX124" s="3">
        <v>12.12</v>
      </c>
      <c r="AY124" s="3">
        <v>12.92</v>
      </c>
      <c r="AZ124" s="3">
        <v>-3.34</v>
      </c>
      <c r="BA124" s="3">
        <v>-3.5659999999999998</v>
      </c>
      <c r="BB124" s="3">
        <v>13.2</v>
      </c>
      <c r="BC124" s="3">
        <v>2876</v>
      </c>
      <c r="BE124" s="6">
        <f t="shared" si="82"/>
        <v>715</v>
      </c>
      <c r="BG124" s="16">
        <v>27.6</v>
      </c>
      <c r="BH124" s="16">
        <f t="shared" si="46"/>
        <v>55.752000000000002</v>
      </c>
      <c r="BI124" s="17">
        <f t="shared" si="80"/>
        <v>20.85</v>
      </c>
      <c r="BJ124" s="17">
        <f t="shared" si="81"/>
        <v>42.78</v>
      </c>
      <c r="BL124" s="1">
        <f t="shared" si="47"/>
        <v>98</v>
      </c>
      <c r="BM124" s="1">
        <f t="shared" si="48"/>
        <v>64.7</v>
      </c>
      <c r="BN124" s="1">
        <f t="shared" si="49"/>
        <v>37</v>
      </c>
      <c r="BO124" s="49">
        <f t="shared" si="55"/>
        <v>0.64100000000000001</v>
      </c>
      <c r="BP124" s="49">
        <f t="shared" si="56"/>
        <v>1.091</v>
      </c>
      <c r="BQ124" s="2">
        <f t="shared" si="78"/>
        <v>6.5069999999999997</v>
      </c>
      <c r="BR124" s="3">
        <v>1</v>
      </c>
      <c r="BT124" s="16">
        <f t="shared" si="50"/>
        <v>20.85</v>
      </c>
      <c r="BU124" s="16">
        <f t="shared" si="51"/>
        <v>42.78</v>
      </c>
      <c r="BV124" s="3">
        <f t="shared" si="52"/>
        <v>6.5</v>
      </c>
      <c r="BW124" s="3">
        <f t="shared" si="45"/>
        <v>6</v>
      </c>
      <c r="BX124" s="3">
        <f t="shared" si="45"/>
        <v>5.4</v>
      </c>
      <c r="BY124" s="3">
        <f t="shared" si="45"/>
        <v>0.6</v>
      </c>
      <c r="BZ124" s="3">
        <f t="shared" si="45"/>
        <v>-0.1</v>
      </c>
      <c r="CA124" s="3">
        <f t="shared" si="45"/>
        <v>-0.1</v>
      </c>
      <c r="CB124" s="3">
        <f t="shared" si="45"/>
        <v>0.4</v>
      </c>
      <c r="CC124" s="22">
        <f t="shared" si="53"/>
        <v>64.7</v>
      </c>
      <c r="CD124" s="1">
        <f t="shared" si="57"/>
        <v>15.2</v>
      </c>
      <c r="CE124" s="1">
        <f t="shared" si="58"/>
        <v>16.7</v>
      </c>
      <c r="CF124" s="1">
        <f t="shared" si="59"/>
        <v>16.2</v>
      </c>
      <c r="CG124" s="1">
        <f t="shared" si="60"/>
        <v>0.9</v>
      </c>
      <c r="CH124" s="1">
        <f t="shared" si="61"/>
        <v>0.3</v>
      </c>
      <c r="CI124" s="1">
        <f t="shared" si="62"/>
        <v>0.2</v>
      </c>
      <c r="CJ124" s="1">
        <f t="shared" si="63"/>
        <v>0.7</v>
      </c>
      <c r="CK124" s="2">
        <f t="shared" si="54"/>
        <v>98</v>
      </c>
      <c r="CL124" s="1">
        <f t="shared" si="64"/>
        <v>-2.7</v>
      </c>
      <c r="CM124" s="1">
        <f t="shared" si="65"/>
        <v>-3.4</v>
      </c>
      <c r="CN124" s="1">
        <f t="shared" si="66"/>
        <v>-3.9</v>
      </c>
      <c r="CO124" s="1">
        <f t="shared" si="67"/>
        <v>0.3</v>
      </c>
      <c r="CP124" s="1">
        <f t="shared" si="68"/>
        <v>-0.3</v>
      </c>
      <c r="CQ124" s="1">
        <f t="shared" si="69"/>
        <v>-0.3</v>
      </c>
      <c r="CR124" s="1">
        <f t="shared" si="70"/>
        <v>0.2</v>
      </c>
      <c r="CS124" s="2">
        <f t="shared" si="71"/>
        <v>37</v>
      </c>
      <c r="CT124" s="6">
        <f t="shared" si="72"/>
        <v>715</v>
      </c>
      <c r="CU124" s="1">
        <f>PPTest!K124</f>
        <v>0</v>
      </c>
      <c r="CV124" s="3">
        <f t="shared" si="73"/>
        <v>1.43</v>
      </c>
      <c r="CW124" s="3">
        <f t="shared" si="74"/>
        <v>3.19</v>
      </c>
      <c r="CX124" s="24">
        <f t="shared" si="75"/>
        <v>0.64100000000000001</v>
      </c>
      <c r="CY124" s="24">
        <f t="shared" si="75"/>
        <v>1.091</v>
      </c>
      <c r="CZ124" s="16">
        <f t="shared" si="76"/>
        <v>13.2</v>
      </c>
    </row>
    <row r="125" spans="1:104" x14ac:dyDescent="0.2">
      <c r="A125" s="14">
        <f t="shared" si="77"/>
        <v>38836</v>
      </c>
      <c r="B125" s="1">
        <v>119</v>
      </c>
      <c r="C125" s="3">
        <v>15.53</v>
      </c>
      <c r="D125" s="3">
        <v>30.31</v>
      </c>
      <c r="E125" s="3">
        <v>6.4329999999999998</v>
      </c>
      <c r="F125" s="3">
        <v>95.8</v>
      </c>
      <c r="G125" s="3">
        <v>6.1829999999999998</v>
      </c>
      <c r="H125" s="3">
        <v>5.7590000000000003</v>
      </c>
      <c r="I125" s="3">
        <v>0.54600000000000004</v>
      </c>
      <c r="J125" s="3">
        <v>-4.5999999999999999E-2</v>
      </c>
      <c r="K125" s="3">
        <v>-9.2999999999999999E-2</v>
      </c>
      <c r="L125" s="3">
        <v>0.40600000000000003</v>
      </c>
      <c r="M125" s="3">
        <v>1.7809999999999999</v>
      </c>
      <c r="N125" s="3">
        <v>19</v>
      </c>
      <c r="O125" s="3">
        <v>13.48</v>
      </c>
      <c r="P125" s="3">
        <v>1128</v>
      </c>
      <c r="Q125" s="3">
        <v>110.8</v>
      </c>
      <c r="R125" s="3">
        <v>2319</v>
      </c>
      <c r="S125" s="3">
        <v>16.3</v>
      </c>
      <c r="T125" s="3">
        <v>16.239999999999998</v>
      </c>
      <c r="U125" s="3">
        <v>0.996</v>
      </c>
      <c r="V125" s="3">
        <v>0.374</v>
      </c>
      <c r="W125" s="3">
        <v>0.26100000000000001</v>
      </c>
      <c r="X125" s="3">
        <v>0.82699999999999996</v>
      </c>
      <c r="Y125" s="3">
        <v>5.1150000000000002</v>
      </c>
      <c r="Z125" s="3">
        <v>1812</v>
      </c>
      <c r="AA125" s="3">
        <v>-9.9000000000000005E-2</v>
      </c>
      <c r="AB125" s="3">
        <v>2359</v>
      </c>
      <c r="AC125" s="3">
        <v>63.1</v>
      </c>
      <c r="AD125" s="3">
        <v>1129</v>
      </c>
      <c r="AE125" s="3">
        <v>-0.19500000000000001</v>
      </c>
      <c r="AF125" s="3">
        <v>-0.31900000000000001</v>
      </c>
      <c r="AG125" s="3">
        <v>0.217</v>
      </c>
      <c r="AH125" s="3">
        <v>-0.31900000000000001</v>
      </c>
      <c r="AI125" s="3">
        <v>-0.35299999999999998</v>
      </c>
      <c r="AJ125" s="3">
        <v>0.157</v>
      </c>
      <c r="AK125" s="3">
        <v>6.2E-2</v>
      </c>
      <c r="AL125" s="3">
        <v>0.157</v>
      </c>
      <c r="AM125" s="3">
        <v>0.107</v>
      </c>
      <c r="AN125" s="3">
        <v>6.5000000000000002E-2</v>
      </c>
      <c r="AO125" s="3">
        <v>0.17100000000000001</v>
      </c>
      <c r="AP125" s="3">
        <v>0.27</v>
      </c>
      <c r="AQ125" s="3">
        <v>0.124</v>
      </c>
      <c r="AR125" s="3">
        <v>4.4999999999999998E-2</v>
      </c>
      <c r="AS125" s="3">
        <v>6999</v>
      </c>
      <c r="AT125" s="3">
        <v>6999</v>
      </c>
      <c r="AU125" s="3">
        <v>6999</v>
      </c>
      <c r="AV125" s="3">
        <v>4.7919999999999998</v>
      </c>
      <c r="AW125" s="3">
        <v>4.9390000000000001</v>
      </c>
      <c r="AX125" s="3">
        <v>11.02</v>
      </c>
      <c r="AY125" s="3">
        <v>12.01</v>
      </c>
      <c r="AZ125" s="3">
        <v>0.57799999999999996</v>
      </c>
      <c r="BA125" s="3">
        <v>0.3</v>
      </c>
      <c r="BB125" s="3">
        <v>13.12</v>
      </c>
      <c r="BC125" s="3">
        <v>2876</v>
      </c>
      <c r="BE125" s="18">
        <v>660</v>
      </c>
      <c r="BG125" s="16">
        <v>27.81</v>
      </c>
      <c r="BH125" s="16">
        <f t="shared" si="46"/>
        <v>56.176199999999994</v>
      </c>
      <c r="BI125" s="17">
        <f t="shared" si="80"/>
        <v>15.22</v>
      </c>
      <c r="BJ125" s="17">
        <f t="shared" si="81"/>
        <v>33.340000000000003</v>
      </c>
      <c r="BL125" s="1">
        <f t="shared" si="47"/>
        <v>99.5</v>
      </c>
      <c r="BM125" s="1">
        <f t="shared" si="48"/>
        <v>77.3</v>
      </c>
      <c r="BN125" s="1">
        <f t="shared" si="49"/>
        <v>48.5</v>
      </c>
      <c r="BO125" s="49">
        <f t="shared" si="55"/>
        <v>0.749</v>
      </c>
      <c r="BP125" s="49">
        <f t="shared" si="56"/>
        <v>0.79500000000000004</v>
      </c>
      <c r="BQ125" s="2">
        <f t="shared" si="78"/>
        <v>6.4329999999999998</v>
      </c>
      <c r="BR125" s="3">
        <v>4.2</v>
      </c>
      <c r="BT125" s="16">
        <f t="shared" si="50"/>
        <v>15.22</v>
      </c>
      <c r="BU125" s="16">
        <f t="shared" si="51"/>
        <v>33.340000000000003</v>
      </c>
      <c r="BV125" s="3">
        <f t="shared" si="52"/>
        <v>6.4</v>
      </c>
      <c r="BW125" s="3">
        <f t="shared" si="45"/>
        <v>6.2</v>
      </c>
      <c r="BX125" s="3">
        <f t="shared" si="45"/>
        <v>5.8</v>
      </c>
      <c r="BY125" s="3">
        <f t="shared" si="45"/>
        <v>0.5</v>
      </c>
      <c r="BZ125" s="3">
        <f t="shared" si="45"/>
        <v>0</v>
      </c>
      <c r="CA125" s="3">
        <f t="shared" si="45"/>
        <v>-0.1</v>
      </c>
      <c r="CB125" s="3">
        <f t="shared" si="45"/>
        <v>0.4</v>
      </c>
      <c r="CC125" s="22">
        <f t="shared" si="53"/>
        <v>77.3</v>
      </c>
      <c r="CD125" s="1">
        <f t="shared" si="57"/>
        <v>13.5</v>
      </c>
      <c r="CE125" s="1">
        <f t="shared" si="58"/>
        <v>16.3</v>
      </c>
      <c r="CF125" s="1">
        <f t="shared" si="59"/>
        <v>16.2</v>
      </c>
      <c r="CG125" s="1">
        <f t="shared" si="60"/>
        <v>1</v>
      </c>
      <c r="CH125" s="1">
        <f t="shared" si="61"/>
        <v>0.4</v>
      </c>
      <c r="CI125" s="1">
        <f t="shared" si="62"/>
        <v>0.3</v>
      </c>
      <c r="CJ125" s="1">
        <f t="shared" si="63"/>
        <v>0.8</v>
      </c>
      <c r="CK125" s="2">
        <f t="shared" si="54"/>
        <v>99.5</v>
      </c>
      <c r="CL125" s="1">
        <f t="shared" si="64"/>
        <v>-0.1</v>
      </c>
      <c r="CM125" s="1">
        <f t="shared" si="65"/>
        <v>-0.2</v>
      </c>
      <c r="CN125" s="1">
        <f t="shared" si="66"/>
        <v>-0.3</v>
      </c>
      <c r="CO125" s="1">
        <f t="shared" si="67"/>
        <v>0.2</v>
      </c>
      <c r="CP125" s="1">
        <f t="shared" si="68"/>
        <v>-0.3</v>
      </c>
      <c r="CQ125" s="1">
        <f t="shared" si="69"/>
        <v>-0.4</v>
      </c>
      <c r="CR125" s="1">
        <f t="shared" si="70"/>
        <v>0.2</v>
      </c>
      <c r="CS125" s="2">
        <f t="shared" si="71"/>
        <v>48.5</v>
      </c>
      <c r="CT125" s="6">
        <f t="shared" si="72"/>
        <v>660</v>
      </c>
      <c r="CU125" s="1">
        <f>PPTest!K125</f>
        <v>4.4000000000000004</v>
      </c>
      <c r="CV125" s="3">
        <f t="shared" si="73"/>
        <v>1.78</v>
      </c>
      <c r="CW125" s="3">
        <f t="shared" si="74"/>
        <v>5.12</v>
      </c>
      <c r="CX125" s="24">
        <f t="shared" si="75"/>
        <v>0.749</v>
      </c>
      <c r="CY125" s="24">
        <f t="shared" si="75"/>
        <v>0.79500000000000004</v>
      </c>
      <c r="CZ125" s="16">
        <f t="shared" si="76"/>
        <v>13.12</v>
      </c>
    </row>
    <row r="126" spans="1:104" x14ac:dyDescent="0.2">
      <c r="A126" s="14">
        <f t="shared" si="77"/>
        <v>38837</v>
      </c>
      <c r="B126" s="1">
        <v>120</v>
      </c>
      <c r="C126" s="3">
        <v>26.63</v>
      </c>
      <c r="D126" s="3">
        <v>48.01</v>
      </c>
      <c r="E126" s="3">
        <v>1.115</v>
      </c>
      <c r="F126" s="3">
        <v>82.6</v>
      </c>
      <c r="G126" s="3">
        <v>1.1140000000000001</v>
      </c>
      <c r="H126" s="3">
        <v>1.018</v>
      </c>
      <c r="I126" s="3">
        <v>0.41299999999999998</v>
      </c>
      <c r="J126" s="3">
        <v>-0.15</v>
      </c>
      <c r="K126" s="3">
        <v>-0.192</v>
      </c>
      <c r="L126" s="3">
        <v>0.29899999999999999</v>
      </c>
      <c r="M126" s="3">
        <v>1.552</v>
      </c>
      <c r="N126" s="3">
        <v>0</v>
      </c>
      <c r="O126" s="3">
        <v>7.72</v>
      </c>
      <c r="P126" s="3">
        <v>1609</v>
      </c>
      <c r="Q126" s="3">
        <v>111.1</v>
      </c>
      <c r="R126" s="3">
        <v>503</v>
      </c>
      <c r="S126" s="3">
        <v>9.44</v>
      </c>
      <c r="T126" s="3">
        <v>9.6300000000000008</v>
      </c>
      <c r="U126" s="3">
        <v>0.77300000000000002</v>
      </c>
      <c r="V126" s="3">
        <v>0.16300000000000001</v>
      </c>
      <c r="W126" s="3">
        <v>0.13400000000000001</v>
      </c>
      <c r="X126" s="3">
        <v>0.56000000000000005</v>
      </c>
      <c r="Y126" s="3">
        <v>4.4770000000000003</v>
      </c>
      <c r="Z126" s="3">
        <v>1113</v>
      </c>
      <c r="AA126" s="3">
        <v>-4.21</v>
      </c>
      <c r="AB126" s="3">
        <v>0</v>
      </c>
      <c r="AC126" s="3">
        <v>37.01</v>
      </c>
      <c r="AD126" s="3">
        <v>1620</v>
      </c>
      <c r="AE126" s="3">
        <v>-5.0810000000000004</v>
      </c>
      <c r="AF126" s="3">
        <v>-5.3849999999999998</v>
      </c>
      <c r="AG126" s="3">
        <v>0.14099999999999999</v>
      </c>
      <c r="AH126" s="3">
        <v>-0.45</v>
      </c>
      <c r="AI126" s="3">
        <v>-0.46100000000000002</v>
      </c>
      <c r="AJ126" s="3">
        <v>3.6999999999999998E-2</v>
      </c>
      <c r="AK126" s="3">
        <v>4.7E-2</v>
      </c>
      <c r="AL126" s="3">
        <v>0.16800000000000001</v>
      </c>
      <c r="AM126" s="3">
        <v>0.106</v>
      </c>
      <c r="AN126" s="3">
        <v>5.8000000000000003E-2</v>
      </c>
      <c r="AO126" s="3">
        <v>0.17299999999999999</v>
      </c>
      <c r="AP126" s="3">
        <v>0.31</v>
      </c>
      <c r="AQ126" s="3">
        <v>9.7000000000000003E-2</v>
      </c>
      <c r="AR126" s="3">
        <v>4.2000000000000003E-2</v>
      </c>
      <c r="AS126" s="3">
        <v>2892</v>
      </c>
      <c r="AT126" s="3">
        <v>2889</v>
      </c>
      <c r="AU126" s="3">
        <v>2890</v>
      </c>
      <c r="AV126" s="3">
        <v>1.39</v>
      </c>
      <c r="AW126" s="3">
        <v>1.2969999999999999</v>
      </c>
      <c r="AX126" s="3">
        <v>8.51</v>
      </c>
      <c r="AY126" s="3">
        <v>9.15</v>
      </c>
      <c r="AZ126" s="3">
        <v>-4.4989999999999997</v>
      </c>
      <c r="BA126" s="3">
        <v>-5.1050000000000004</v>
      </c>
      <c r="BB126" s="3">
        <v>13.18</v>
      </c>
      <c r="BC126" s="3">
        <v>2876</v>
      </c>
      <c r="BE126" s="6">
        <f t="shared" ref="BE126:BE142" si="83">BE$2-AU126</f>
        <v>620</v>
      </c>
      <c r="BG126" s="16">
        <v>28.02</v>
      </c>
      <c r="BH126" s="16">
        <f t="shared" si="46"/>
        <v>56.6004</v>
      </c>
      <c r="BI126" s="17">
        <f t="shared" si="80"/>
        <v>26.1</v>
      </c>
      <c r="BJ126" s="17">
        <f t="shared" si="81"/>
        <v>52.81</v>
      </c>
      <c r="BL126" s="1">
        <f t="shared" si="47"/>
        <v>100</v>
      </c>
      <c r="BM126" s="1">
        <f t="shared" si="48"/>
        <v>65.7</v>
      </c>
      <c r="BN126" s="1">
        <f t="shared" si="49"/>
        <v>25.6</v>
      </c>
      <c r="BO126" s="49">
        <f t="shared" si="55"/>
        <v>0.26900000000000002</v>
      </c>
      <c r="BP126" s="49">
        <f t="shared" si="56"/>
        <v>0.78200000000000003</v>
      </c>
      <c r="BQ126" s="2">
        <f t="shared" si="78"/>
        <v>1.115</v>
      </c>
      <c r="BR126" s="3">
        <v>0.2</v>
      </c>
      <c r="BS126" s="21">
        <f>SUM(BR97:BR126)</f>
        <v>58.20000000000001</v>
      </c>
      <c r="BT126" s="16">
        <f t="shared" si="50"/>
        <v>26.1</v>
      </c>
      <c r="BU126" s="16">
        <f t="shared" si="51"/>
        <v>52.81</v>
      </c>
      <c r="BV126" s="3">
        <f t="shared" si="52"/>
        <v>1.1000000000000001</v>
      </c>
      <c r="BW126" s="3">
        <f t="shared" si="45"/>
        <v>1.1000000000000001</v>
      </c>
      <c r="BX126" s="3">
        <f t="shared" si="45"/>
        <v>1</v>
      </c>
      <c r="BY126" s="3">
        <f t="shared" si="45"/>
        <v>0.4</v>
      </c>
      <c r="BZ126" s="3">
        <f t="shared" si="45"/>
        <v>-0.2</v>
      </c>
      <c r="CA126" s="3">
        <f t="shared" si="45"/>
        <v>-0.2</v>
      </c>
      <c r="CB126" s="3">
        <f t="shared" si="45"/>
        <v>0.3</v>
      </c>
      <c r="CC126" s="22">
        <f t="shared" si="53"/>
        <v>65.7</v>
      </c>
      <c r="CD126" s="1">
        <f t="shared" si="57"/>
        <v>7.7</v>
      </c>
      <c r="CE126" s="1">
        <f t="shared" si="58"/>
        <v>9.4</v>
      </c>
      <c r="CF126" s="1">
        <f t="shared" si="59"/>
        <v>9.6</v>
      </c>
      <c r="CG126" s="1">
        <f t="shared" si="60"/>
        <v>0.8</v>
      </c>
      <c r="CH126" s="1">
        <f t="shared" si="61"/>
        <v>0.2</v>
      </c>
      <c r="CI126" s="1">
        <f t="shared" si="62"/>
        <v>0.1</v>
      </c>
      <c r="CJ126" s="1">
        <f t="shared" si="63"/>
        <v>0.6</v>
      </c>
      <c r="CK126" s="2">
        <f t="shared" si="54"/>
        <v>100</v>
      </c>
      <c r="CL126" s="1">
        <f t="shared" si="64"/>
        <v>-4.2</v>
      </c>
      <c r="CM126" s="1">
        <f t="shared" si="65"/>
        <v>-5.0999999999999996</v>
      </c>
      <c r="CN126" s="1">
        <f t="shared" si="66"/>
        <v>-5.4</v>
      </c>
      <c r="CO126" s="1">
        <f t="shared" si="67"/>
        <v>0.1</v>
      </c>
      <c r="CP126" s="1">
        <f t="shared" si="68"/>
        <v>-0.5</v>
      </c>
      <c r="CQ126" s="1">
        <f t="shared" si="69"/>
        <v>-0.5</v>
      </c>
      <c r="CR126" s="1">
        <f t="shared" si="70"/>
        <v>0</v>
      </c>
      <c r="CS126" s="2">
        <f t="shared" si="71"/>
        <v>25.6</v>
      </c>
      <c r="CT126" s="6">
        <f t="shared" si="72"/>
        <v>620</v>
      </c>
      <c r="CU126" s="1">
        <f>PPTest!K126</f>
        <v>0.2</v>
      </c>
      <c r="CV126" s="3">
        <f t="shared" si="73"/>
        <v>1.55</v>
      </c>
      <c r="CW126" s="3">
        <f t="shared" si="74"/>
        <v>4.4800000000000004</v>
      </c>
      <c r="CX126" s="24">
        <f t="shared" si="75"/>
        <v>0.26900000000000002</v>
      </c>
      <c r="CY126" s="24">
        <f t="shared" si="75"/>
        <v>0.78200000000000003</v>
      </c>
      <c r="CZ126" s="16">
        <f t="shared" si="76"/>
        <v>13.18</v>
      </c>
    </row>
    <row r="127" spans="1:104" x14ac:dyDescent="0.2">
      <c r="A127" s="14">
        <f t="shared" si="77"/>
        <v>38838</v>
      </c>
      <c r="B127" s="1">
        <v>121</v>
      </c>
      <c r="C127" s="3">
        <v>8.41</v>
      </c>
      <c r="D127" s="3">
        <v>15.84</v>
      </c>
      <c r="E127" s="3">
        <v>-1.903</v>
      </c>
      <c r="F127" s="3">
        <v>106.1</v>
      </c>
      <c r="G127" s="3">
        <v>-1.8540000000000001</v>
      </c>
      <c r="H127" s="3">
        <v>-1.8839999999999999</v>
      </c>
      <c r="I127" s="3">
        <v>0.45600000000000002</v>
      </c>
      <c r="J127" s="3">
        <v>-0.17399999999999999</v>
      </c>
      <c r="K127" s="3">
        <v>-0.22</v>
      </c>
      <c r="L127" s="3">
        <v>0.27</v>
      </c>
      <c r="M127" s="3">
        <v>1.9279999999999999</v>
      </c>
      <c r="N127" s="3">
        <v>2</v>
      </c>
      <c r="O127" s="3">
        <v>0.61599999999999999</v>
      </c>
      <c r="P127" s="3">
        <v>1652</v>
      </c>
      <c r="Q127" s="3">
        <v>110.9</v>
      </c>
      <c r="R127" s="3">
        <v>1314</v>
      </c>
      <c r="S127" s="3">
        <v>2.0030000000000001</v>
      </c>
      <c r="T127" s="3">
        <v>2.0259999999999998</v>
      </c>
      <c r="U127" s="3">
        <v>0.58899999999999997</v>
      </c>
      <c r="V127" s="3">
        <v>-3.4000000000000002E-2</v>
      </c>
      <c r="W127" s="3">
        <v>-0.10199999999999999</v>
      </c>
      <c r="X127" s="3">
        <v>0.38500000000000001</v>
      </c>
      <c r="Y127" s="3">
        <v>5.2480000000000002</v>
      </c>
      <c r="Z127" s="3">
        <v>949</v>
      </c>
      <c r="AA127" s="3">
        <v>-4.633</v>
      </c>
      <c r="AB127" s="3">
        <v>35</v>
      </c>
      <c r="AC127" s="3">
        <v>92.7</v>
      </c>
      <c r="AD127" s="3">
        <v>626</v>
      </c>
      <c r="AE127" s="3">
        <v>-5.4480000000000004</v>
      </c>
      <c r="AF127" s="3">
        <v>-5.609</v>
      </c>
      <c r="AG127" s="3">
        <v>0.29599999999999999</v>
      </c>
      <c r="AH127" s="3">
        <v>-0.35099999999999998</v>
      </c>
      <c r="AI127" s="3">
        <v>-0.374</v>
      </c>
      <c r="AJ127" s="3">
        <v>0.125</v>
      </c>
      <c r="AK127" s="3">
        <v>1.7000000000000001E-2</v>
      </c>
      <c r="AL127" s="3">
        <v>0.113</v>
      </c>
      <c r="AM127" s="3">
        <v>0.115</v>
      </c>
      <c r="AN127" s="3">
        <v>0.02</v>
      </c>
      <c r="AO127" s="3">
        <v>0.21</v>
      </c>
      <c r="AP127" s="3">
        <v>0.379</v>
      </c>
      <c r="AQ127" s="3">
        <v>0.13300000000000001</v>
      </c>
      <c r="AR127" s="3">
        <v>1.2E-2</v>
      </c>
      <c r="AS127" s="3">
        <v>2884</v>
      </c>
      <c r="AT127" s="3">
        <v>2877</v>
      </c>
      <c r="AU127" s="3">
        <v>2881</v>
      </c>
      <c r="AV127" s="3">
        <v>-1.7330000000000001</v>
      </c>
      <c r="AW127" s="3">
        <v>-1.776</v>
      </c>
      <c r="AX127" s="3">
        <v>0.80800000000000005</v>
      </c>
      <c r="AY127" s="3">
        <v>0.83699999999999997</v>
      </c>
      <c r="AZ127" s="3">
        <v>-5.2290000000000001</v>
      </c>
      <c r="BA127" s="3">
        <v>-5.5209999999999999</v>
      </c>
      <c r="BB127" s="3">
        <v>13.24</v>
      </c>
      <c r="BC127" s="3">
        <v>2876</v>
      </c>
      <c r="BE127" s="6">
        <f t="shared" si="83"/>
        <v>629</v>
      </c>
      <c r="BG127" s="16">
        <v>28.22</v>
      </c>
      <c r="BH127" s="16">
        <f t="shared" si="46"/>
        <v>57.004399999999997</v>
      </c>
      <c r="BI127" s="17">
        <f t="shared" si="80"/>
        <v>8.24</v>
      </c>
      <c r="BJ127" s="17">
        <f t="shared" si="81"/>
        <v>17.420000000000002</v>
      </c>
      <c r="BL127" s="1">
        <f t="shared" si="47"/>
        <v>99.6</v>
      </c>
      <c r="BM127" s="1">
        <f t="shared" si="48"/>
        <v>92</v>
      </c>
      <c r="BN127" s="1">
        <f t="shared" si="49"/>
        <v>74.599999999999994</v>
      </c>
      <c r="BO127" s="49">
        <f t="shared" si="55"/>
        <v>0.47599999999999998</v>
      </c>
      <c r="BP127" s="49">
        <f t="shared" si="56"/>
        <v>0.16200000000000001</v>
      </c>
      <c r="BR127" s="3">
        <v>4.5999999999999996</v>
      </c>
      <c r="BT127" s="16">
        <f t="shared" si="50"/>
        <v>8.24</v>
      </c>
      <c r="BU127" s="16">
        <f t="shared" si="51"/>
        <v>17.420000000000002</v>
      </c>
      <c r="BV127" s="3">
        <f t="shared" si="52"/>
        <v>-1.9</v>
      </c>
      <c r="BW127" s="3">
        <f t="shared" si="45"/>
        <v>-1.9</v>
      </c>
      <c r="BX127" s="3">
        <f t="shared" si="45"/>
        <v>-1.9</v>
      </c>
      <c r="BY127" s="3">
        <f t="shared" si="45"/>
        <v>0.5</v>
      </c>
      <c r="BZ127" s="3">
        <f t="shared" si="45"/>
        <v>-0.2</v>
      </c>
      <c r="CA127" s="3">
        <f t="shared" si="45"/>
        <v>-0.2</v>
      </c>
      <c r="CB127" s="3">
        <f t="shared" si="45"/>
        <v>0.3</v>
      </c>
      <c r="CC127" s="22">
        <f t="shared" si="53"/>
        <v>92</v>
      </c>
      <c r="CD127" s="1">
        <f t="shared" si="57"/>
        <v>0.6</v>
      </c>
      <c r="CE127" s="1">
        <f t="shared" si="58"/>
        <v>2</v>
      </c>
      <c r="CF127" s="1">
        <f t="shared" si="59"/>
        <v>2</v>
      </c>
      <c r="CG127" s="1">
        <f t="shared" si="60"/>
        <v>0.6</v>
      </c>
      <c r="CH127" s="1">
        <f t="shared" si="61"/>
        <v>0</v>
      </c>
      <c r="CI127" s="1">
        <f t="shared" si="62"/>
        <v>-0.1</v>
      </c>
      <c r="CJ127" s="1">
        <f t="shared" si="63"/>
        <v>0.4</v>
      </c>
      <c r="CK127" s="2">
        <f t="shared" si="54"/>
        <v>99.6</v>
      </c>
      <c r="CL127" s="1">
        <f t="shared" si="64"/>
        <v>-4.5999999999999996</v>
      </c>
      <c r="CM127" s="1">
        <f t="shared" si="65"/>
        <v>-5.4</v>
      </c>
      <c r="CN127" s="1">
        <f t="shared" si="66"/>
        <v>-5.6</v>
      </c>
      <c r="CO127" s="1">
        <f t="shared" si="67"/>
        <v>0.3</v>
      </c>
      <c r="CP127" s="1">
        <f t="shared" si="68"/>
        <v>-0.4</v>
      </c>
      <c r="CQ127" s="1">
        <f t="shared" si="69"/>
        <v>-0.4</v>
      </c>
      <c r="CR127" s="1">
        <f t="shared" si="70"/>
        <v>0.1</v>
      </c>
      <c r="CS127" s="2">
        <f t="shared" si="71"/>
        <v>74.599999999999994</v>
      </c>
      <c r="CT127" s="6">
        <f t="shared" si="72"/>
        <v>629</v>
      </c>
      <c r="CU127" s="1">
        <f>PPTest!K127</f>
        <v>4.8</v>
      </c>
      <c r="CV127" s="3">
        <f t="shared" si="73"/>
        <v>1.93</v>
      </c>
      <c r="CW127" s="3">
        <f t="shared" si="74"/>
        <v>5.25</v>
      </c>
      <c r="CX127" s="24">
        <f t="shared" si="75"/>
        <v>0.47599999999999998</v>
      </c>
      <c r="CY127" s="24">
        <f t="shared" si="75"/>
        <v>0.16200000000000001</v>
      </c>
      <c r="CZ127" s="16">
        <f t="shared" si="76"/>
        <v>13.24</v>
      </c>
    </row>
    <row r="128" spans="1:104" x14ac:dyDescent="0.2">
      <c r="A128" s="14">
        <f t="shared" si="77"/>
        <v>38839</v>
      </c>
      <c r="B128" s="1">
        <v>122</v>
      </c>
      <c r="C128" s="3">
        <v>18.48</v>
      </c>
      <c r="D128" s="3">
        <v>33.53</v>
      </c>
      <c r="E128" s="3">
        <v>-0.58199999999999996</v>
      </c>
      <c r="F128" s="3">
        <v>89.6</v>
      </c>
      <c r="G128" s="3">
        <v>-0.6</v>
      </c>
      <c r="H128" s="3">
        <v>-0.75</v>
      </c>
      <c r="I128" s="3">
        <v>0.46800000000000003</v>
      </c>
      <c r="J128" s="3">
        <v>-0.161</v>
      </c>
      <c r="K128" s="3">
        <v>-0.19400000000000001</v>
      </c>
      <c r="L128" s="3">
        <v>0.28499999999999998</v>
      </c>
      <c r="M128" s="3">
        <v>1.5229999999999999</v>
      </c>
      <c r="N128" s="3">
        <v>0</v>
      </c>
      <c r="O128" s="3">
        <v>6.21</v>
      </c>
      <c r="P128" s="3">
        <v>1507</v>
      </c>
      <c r="Q128" s="3">
        <v>108.5</v>
      </c>
      <c r="R128" s="3">
        <v>34</v>
      </c>
      <c r="S128" s="3">
        <v>8.7899999999999991</v>
      </c>
      <c r="T128" s="3">
        <v>8.25</v>
      </c>
      <c r="U128" s="3">
        <v>0.81200000000000006</v>
      </c>
      <c r="V128" s="3">
        <v>0.189</v>
      </c>
      <c r="W128" s="3">
        <v>0.15</v>
      </c>
      <c r="X128" s="3">
        <v>0.61399999999999999</v>
      </c>
      <c r="Y128" s="3">
        <v>3.9180000000000001</v>
      </c>
      <c r="Z128" s="3">
        <v>1647</v>
      </c>
      <c r="AA128" s="3">
        <v>-5.72</v>
      </c>
      <c r="AB128" s="3">
        <v>0</v>
      </c>
      <c r="AC128" s="3">
        <v>51.88</v>
      </c>
      <c r="AD128" s="3">
        <v>1709</v>
      </c>
      <c r="AE128" s="3">
        <v>-6.6289999999999996</v>
      </c>
      <c r="AF128" s="3">
        <v>-6.85</v>
      </c>
      <c r="AG128" s="3">
        <v>0.09</v>
      </c>
      <c r="AH128" s="3">
        <v>-0.51100000000000001</v>
      </c>
      <c r="AI128" s="3">
        <v>-0.504</v>
      </c>
      <c r="AJ128" s="3">
        <v>-2.4E-2</v>
      </c>
      <c r="AK128" s="3">
        <v>4.3999999999999997E-2</v>
      </c>
      <c r="AL128" s="3">
        <v>0.154</v>
      </c>
      <c r="AM128" s="3">
        <v>0.108</v>
      </c>
      <c r="AN128" s="3">
        <v>3.9E-2</v>
      </c>
      <c r="AO128" s="3">
        <v>0.17399999999999999</v>
      </c>
      <c r="AP128" s="3">
        <v>0.28799999999999998</v>
      </c>
      <c r="AQ128" s="3">
        <v>0.13700000000000001</v>
      </c>
      <c r="AR128" s="3">
        <v>5.6000000000000001E-2</v>
      </c>
      <c r="AS128" s="3">
        <v>2898</v>
      </c>
      <c r="AT128" s="3">
        <v>2895</v>
      </c>
      <c r="AU128" s="3">
        <v>2896</v>
      </c>
      <c r="AV128" s="3">
        <v>-0.501</v>
      </c>
      <c r="AW128" s="3">
        <v>-0.56399999999999995</v>
      </c>
      <c r="AX128" s="3">
        <v>5.1909999999999998</v>
      </c>
      <c r="AY128" s="3">
        <v>6.0209999999999999</v>
      </c>
      <c r="AZ128" s="3">
        <v>-6.008</v>
      </c>
      <c r="BA128" s="3">
        <v>-6.6070000000000002</v>
      </c>
      <c r="BB128" s="3">
        <v>13.24</v>
      </c>
      <c r="BC128" s="3">
        <v>2876</v>
      </c>
      <c r="BE128" s="6">
        <f t="shared" si="83"/>
        <v>614</v>
      </c>
      <c r="BG128" s="16">
        <v>28.42</v>
      </c>
      <c r="BH128" s="16">
        <f t="shared" si="46"/>
        <v>57.408400000000007</v>
      </c>
      <c r="BI128" s="17">
        <f t="shared" si="80"/>
        <v>18.11</v>
      </c>
      <c r="BJ128" s="17">
        <f t="shared" si="81"/>
        <v>36.880000000000003</v>
      </c>
      <c r="BL128" s="1">
        <f t="shared" si="47"/>
        <v>95.8</v>
      </c>
      <c r="BM128" s="1">
        <f t="shared" si="48"/>
        <v>71.8</v>
      </c>
      <c r="BN128" s="1">
        <f t="shared" si="49"/>
        <v>38.700000000000003</v>
      </c>
      <c r="BO128" s="49">
        <f t="shared" si="55"/>
        <v>0.36699999999999999</v>
      </c>
      <c r="BP128" s="49">
        <f t="shared" si="56"/>
        <v>0.58099999999999996</v>
      </c>
      <c r="BR128" s="3">
        <v>0</v>
      </c>
      <c r="BT128" s="16">
        <f t="shared" si="50"/>
        <v>18.11</v>
      </c>
      <c r="BU128" s="16">
        <f t="shared" si="51"/>
        <v>36.880000000000003</v>
      </c>
      <c r="BV128" s="3">
        <f t="shared" si="52"/>
        <v>-0.6</v>
      </c>
      <c r="BW128" s="3">
        <f t="shared" si="45"/>
        <v>-0.6</v>
      </c>
      <c r="BX128" s="3">
        <f t="shared" si="45"/>
        <v>-0.8</v>
      </c>
      <c r="BY128" s="3">
        <f t="shared" si="45"/>
        <v>0.5</v>
      </c>
      <c r="BZ128" s="3">
        <f t="shared" si="45"/>
        <v>-0.2</v>
      </c>
      <c r="CA128" s="3">
        <f t="shared" si="45"/>
        <v>-0.2</v>
      </c>
      <c r="CB128" s="3">
        <f t="shared" si="45"/>
        <v>0.3</v>
      </c>
      <c r="CC128" s="22">
        <f t="shared" si="53"/>
        <v>71.8</v>
      </c>
      <c r="CD128" s="1">
        <f t="shared" si="57"/>
        <v>6.2</v>
      </c>
      <c r="CE128" s="1">
        <f t="shared" si="58"/>
        <v>8.8000000000000007</v>
      </c>
      <c r="CF128" s="1">
        <f t="shared" si="59"/>
        <v>8.3000000000000007</v>
      </c>
      <c r="CG128" s="1">
        <f t="shared" si="60"/>
        <v>0.8</v>
      </c>
      <c r="CH128" s="1">
        <f t="shared" si="61"/>
        <v>0.2</v>
      </c>
      <c r="CI128" s="1">
        <f t="shared" si="62"/>
        <v>0.2</v>
      </c>
      <c r="CJ128" s="1">
        <f t="shared" si="63"/>
        <v>0.6</v>
      </c>
      <c r="CK128" s="2">
        <f t="shared" si="54"/>
        <v>95.8</v>
      </c>
      <c r="CL128" s="1">
        <f t="shared" si="64"/>
        <v>-5.7</v>
      </c>
      <c r="CM128" s="1">
        <f t="shared" si="65"/>
        <v>-6.6</v>
      </c>
      <c r="CN128" s="1">
        <f t="shared" si="66"/>
        <v>-6.9</v>
      </c>
      <c r="CO128" s="1">
        <f t="shared" si="67"/>
        <v>0.1</v>
      </c>
      <c r="CP128" s="1">
        <f t="shared" si="68"/>
        <v>-0.5</v>
      </c>
      <c r="CQ128" s="1">
        <f t="shared" si="69"/>
        <v>-0.5</v>
      </c>
      <c r="CR128" s="1">
        <f t="shared" si="70"/>
        <v>0</v>
      </c>
      <c r="CS128" s="2">
        <f t="shared" si="71"/>
        <v>38.700000000000003</v>
      </c>
      <c r="CT128" s="6">
        <f t="shared" si="72"/>
        <v>614</v>
      </c>
      <c r="CU128" s="1">
        <f>PPTest!K128</f>
        <v>0</v>
      </c>
      <c r="CV128" s="3">
        <f t="shared" si="73"/>
        <v>1.52</v>
      </c>
      <c r="CW128" s="3">
        <f t="shared" si="74"/>
        <v>3.92</v>
      </c>
      <c r="CX128" s="24">
        <f t="shared" si="75"/>
        <v>0.36699999999999999</v>
      </c>
      <c r="CY128" s="24">
        <f t="shared" si="75"/>
        <v>0.58099999999999996</v>
      </c>
      <c r="CZ128" s="16">
        <f t="shared" si="76"/>
        <v>13.24</v>
      </c>
    </row>
    <row r="129" spans="1:104" x14ac:dyDescent="0.2">
      <c r="A129" s="14">
        <f t="shared" si="77"/>
        <v>38840</v>
      </c>
      <c r="B129" s="1">
        <v>123</v>
      </c>
      <c r="C129" s="3">
        <v>27.37</v>
      </c>
      <c r="D129" s="3">
        <v>48.9</v>
      </c>
      <c r="E129" s="3">
        <v>1.0409999999999999</v>
      </c>
      <c r="F129" s="3">
        <v>73.099999999999994</v>
      </c>
      <c r="G129" s="3">
        <v>0.871</v>
      </c>
      <c r="H129" s="3">
        <v>0.64100000000000001</v>
      </c>
      <c r="I129" s="3">
        <v>0.51200000000000001</v>
      </c>
      <c r="J129" s="3">
        <v>-0.13600000000000001</v>
      </c>
      <c r="K129" s="3">
        <v>-0.154</v>
      </c>
      <c r="L129" s="3">
        <v>0.318</v>
      </c>
      <c r="M129" s="3">
        <v>1.8720000000000001</v>
      </c>
      <c r="N129" s="3">
        <v>0</v>
      </c>
      <c r="O129" s="3">
        <v>10.199999999999999</v>
      </c>
      <c r="P129" s="3">
        <v>1716</v>
      </c>
      <c r="Q129" s="3">
        <v>108.9</v>
      </c>
      <c r="R129" s="3">
        <v>423</v>
      </c>
      <c r="S129" s="3">
        <v>11.49</v>
      </c>
      <c r="T129" s="3">
        <v>12.07</v>
      </c>
      <c r="U129" s="3">
        <v>0.876</v>
      </c>
      <c r="V129" s="3">
        <v>0.20699999999999999</v>
      </c>
      <c r="W129" s="3">
        <v>0.17699999999999999</v>
      </c>
      <c r="X129" s="3">
        <v>0.64900000000000002</v>
      </c>
      <c r="Y129" s="3">
        <v>4.3170000000000002</v>
      </c>
      <c r="Z129" s="3">
        <v>920</v>
      </c>
      <c r="AA129" s="3">
        <v>-8.48</v>
      </c>
      <c r="AB129" s="3">
        <v>420</v>
      </c>
      <c r="AC129" s="3">
        <v>32.119999999999997</v>
      </c>
      <c r="AD129" s="3">
        <v>1704</v>
      </c>
      <c r="AE129" s="3">
        <v>-9.26</v>
      </c>
      <c r="AF129" s="3">
        <v>-9.48</v>
      </c>
      <c r="AG129" s="3">
        <v>5.2999999999999999E-2</v>
      </c>
      <c r="AH129" s="3">
        <v>-0.59299999999999997</v>
      </c>
      <c r="AI129" s="3">
        <v>-0.55900000000000005</v>
      </c>
      <c r="AJ129" s="3">
        <v>-7.6999999999999999E-2</v>
      </c>
      <c r="AK129" s="3">
        <v>0.128</v>
      </c>
      <c r="AL129" s="3">
        <v>0.41799999999999998</v>
      </c>
      <c r="AM129" s="3">
        <v>0.24</v>
      </c>
      <c r="AN129" s="3">
        <v>1.6E-2</v>
      </c>
      <c r="AO129" s="3">
        <v>2.5000000000000001E-2</v>
      </c>
      <c r="AP129" s="3">
        <v>2.5999999999999999E-2</v>
      </c>
      <c r="AQ129" s="3">
        <v>4.3999999999999997E-2</v>
      </c>
      <c r="AR129" s="3">
        <v>0.10199999999999999</v>
      </c>
      <c r="AS129" s="3">
        <v>2951</v>
      </c>
      <c r="AT129" s="3">
        <v>2937</v>
      </c>
      <c r="AU129" s="3">
        <v>2943</v>
      </c>
      <c r="AV129" s="3">
        <v>6.7000000000000004E-2</v>
      </c>
      <c r="AW129" s="3">
        <v>0.16800000000000001</v>
      </c>
      <c r="AX129" s="3">
        <v>9.43</v>
      </c>
      <c r="AY129" s="3">
        <v>10.199999999999999</v>
      </c>
      <c r="AZ129" s="3">
        <v>-9.2899999999999991</v>
      </c>
      <c r="BA129" s="3">
        <v>-9.52</v>
      </c>
      <c r="BB129" s="3">
        <v>13.2</v>
      </c>
      <c r="BC129" s="3">
        <v>2876</v>
      </c>
      <c r="BE129" s="6">
        <f t="shared" si="83"/>
        <v>567</v>
      </c>
      <c r="BG129" s="16">
        <v>28.61</v>
      </c>
      <c r="BH129" s="16">
        <f t="shared" si="46"/>
        <v>57.792200000000001</v>
      </c>
      <c r="BI129" s="17">
        <f t="shared" si="80"/>
        <v>26.82</v>
      </c>
      <c r="BJ129" s="17">
        <f t="shared" si="81"/>
        <v>53.79</v>
      </c>
      <c r="BL129" s="1">
        <f t="shared" si="47"/>
        <v>96.5</v>
      </c>
      <c r="BM129" s="1">
        <f t="shared" si="48"/>
        <v>57.3</v>
      </c>
      <c r="BN129" s="1">
        <f t="shared" si="49"/>
        <v>21.3</v>
      </c>
      <c r="BO129" s="49">
        <f t="shared" si="55"/>
        <v>0.26500000000000001</v>
      </c>
      <c r="BP129" s="49">
        <f t="shared" si="56"/>
        <v>0.97899999999999998</v>
      </c>
      <c r="BR129" s="3">
        <v>0</v>
      </c>
      <c r="BT129" s="16">
        <f t="shared" si="50"/>
        <v>26.82</v>
      </c>
      <c r="BU129" s="16">
        <f t="shared" si="51"/>
        <v>53.79</v>
      </c>
      <c r="BV129" s="3">
        <f t="shared" si="52"/>
        <v>1</v>
      </c>
      <c r="BW129" s="3">
        <f t="shared" si="45"/>
        <v>0.9</v>
      </c>
      <c r="BX129" s="3">
        <f t="shared" si="45"/>
        <v>0.6</v>
      </c>
      <c r="BY129" s="3">
        <f t="shared" si="45"/>
        <v>0.5</v>
      </c>
      <c r="BZ129" s="3">
        <f t="shared" si="45"/>
        <v>-0.1</v>
      </c>
      <c r="CA129" s="3">
        <f t="shared" si="45"/>
        <v>-0.2</v>
      </c>
      <c r="CB129" s="3">
        <f t="shared" si="45"/>
        <v>0.3</v>
      </c>
      <c r="CC129" s="22">
        <f t="shared" si="53"/>
        <v>57.3</v>
      </c>
      <c r="CD129" s="1">
        <f t="shared" si="57"/>
        <v>10.199999999999999</v>
      </c>
      <c r="CE129" s="1">
        <f t="shared" si="58"/>
        <v>11.5</v>
      </c>
      <c r="CF129" s="1">
        <f t="shared" si="59"/>
        <v>12.1</v>
      </c>
      <c r="CG129" s="1">
        <f t="shared" si="60"/>
        <v>0.9</v>
      </c>
      <c r="CH129" s="1">
        <f t="shared" si="61"/>
        <v>0.2</v>
      </c>
      <c r="CI129" s="1">
        <f t="shared" si="62"/>
        <v>0.2</v>
      </c>
      <c r="CJ129" s="1">
        <f t="shared" si="63"/>
        <v>0.6</v>
      </c>
      <c r="CK129" s="2">
        <f t="shared" si="54"/>
        <v>96.5</v>
      </c>
      <c r="CL129" s="1">
        <f t="shared" si="64"/>
        <v>-8.5</v>
      </c>
      <c r="CM129" s="1">
        <f t="shared" si="65"/>
        <v>-9.3000000000000007</v>
      </c>
      <c r="CN129" s="1">
        <f t="shared" si="66"/>
        <v>-9.5</v>
      </c>
      <c r="CO129" s="1">
        <f t="shared" si="67"/>
        <v>0.1</v>
      </c>
      <c r="CP129" s="1">
        <f t="shared" si="68"/>
        <v>-0.6</v>
      </c>
      <c r="CQ129" s="1">
        <f t="shared" si="69"/>
        <v>-0.6</v>
      </c>
      <c r="CR129" s="1">
        <f t="shared" si="70"/>
        <v>-0.1</v>
      </c>
      <c r="CS129" s="2">
        <f t="shared" si="71"/>
        <v>21.3</v>
      </c>
      <c r="CT129" s="6">
        <f t="shared" si="72"/>
        <v>567</v>
      </c>
      <c r="CU129" s="1">
        <f>PPTest!K129</f>
        <v>0</v>
      </c>
      <c r="CV129" s="3">
        <f t="shared" si="73"/>
        <v>1.87</v>
      </c>
      <c r="CW129" s="3">
        <f t="shared" si="74"/>
        <v>4.32</v>
      </c>
      <c r="CX129" s="24">
        <f t="shared" si="75"/>
        <v>0.26500000000000001</v>
      </c>
      <c r="CY129" s="24">
        <f t="shared" si="75"/>
        <v>0.97899999999999998</v>
      </c>
      <c r="CZ129" s="16">
        <f t="shared" si="76"/>
        <v>13.2</v>
      </c>
    </row>
    <row r="130" spans="1:104" x14ac:dyDescent="0.2">
      <c r="A130" s="14">
        <f t="shared" si="77"/>
        <v>38841</v>
      </c>
      <c r="B130" s="1">
        <v>124</v>
      </c>
      <c r="C130" s="3">
        <v>26.9</v>
      </c>
      <c r="D130" s="3">
        <v>48.78</v>
      </c>
      <c r="E130" s="3">
        <v>3.86</v>
      </c>
      <c r="F130" s="3">
        <v>68.599999999999994</v>
      </c>
      <c r="G130" s="3">
        <v>3.6880000000000002</v>
      </c>
      <c r="H130" s="3">
        <v>3.3769999999999998</v>
      </c>
      <c r="I130" s="3">
        <v>0.56299999999999994</v>
      </c>
      <c r="J130" s="3">
        <v>-9.5000000000000001E-2</v>
      </c>
      <c r="K130" s="3">
        <v>-0.11</v>
      </c>
      <c r="L130" s="3">
        <v>0.35599999999999998</v>
      </c>
      <c r="M130" s="3">
        <v>1.73</v>
      </c>
      <c r="N130" s="3">
        <v>0</v>
      </c>
      <c r="O130" s="3">
        <v>12.81</v>
      </c>
      <c r="P130" s="3">
        <v>1640</v>
      </c>
      <c r="Q130" s="3">
        <v>103.5</v>
      </c>
      <c r="R130" s="3">
        <v>409</v>
      </c>
      <c r="S130" s="3">
        <v>14.28</v>
      </c>
      <c r="T130" s="3">
        <v>14.14</v>
      </c>
      <c r="U130" s="3">
        <v>1.0940000000000001</v>
      </c>
      <c r="V130" s="3">
        <v>0.35699999999999998</v>
      </c>
      <c r="W130" s="3">
        <v>0.28299999999999997</v>
      </c>
      <c r="X130" s="3">
        <v>0.77600000000000002</v>
      </c>
      <c r="Y130" s="3">
        <v>3.8119999999999998</v>
      </c>
      <c r="Z130" s="3">
        <v>1344</v>
      </c>
      <c r="AA130" s="3">
        <v>-6.3940000000000001</v>
      </c>
      <c r="AB130" s="3">
        <v>439</v>
      </c>
      <c r="AC130" s="3">
        <v>34.86</v>
      </c>
      <c r="AD130" s="3">
        <v>1128</v>
      </c>
      <c r="AE130" s="3">
        <v>-7.23</v>
      </c>
      <c r="AF130" s="3">
        <v>-7.52</v>
      </c>
      <c r="AG130" s="3">
        <v>0.12</v>
      </c>
      <c r="AH130" s="3">
        <v>-0.39900000000000002</v>
      </c>
      <c r="AI130" s="3">
        <v>-0.38500000000000001</v>
      </c>
      <c r="AJ130" s="3">
        <v>9.8000000000000004E-2</v>
      </c>
      <c r="AK130" s="3">
        <v>6.3E-2</v>
      </c>
      <c r="AL130" s="3">
        <v>0.28999999999999998</v>
      </c>
      <c r="AM130" s="3">
        <v>0.27300000000000002</v>
      </c>
      <c r="AN130" s="3">
        <v>1.6E-2</v>
      </c>
      <c r="AO130" s="3">
        <v>9.1999999999999998E-2</v>
      </c>
      <c r="AP130" s="3">
        <v>0.13100000000000001</v>
      </c>
      <c r="AQ130" s="3">
        <v>5.8000000000000003E-2</v>
      </c>
      <c r="AR130" s="3">
        <v>7.8E-2</v>
      </c>
      <c r="AS130" s="3">
        <v>2970</v>
      </c>
      <c r="AT130" s="3">
        <v>2968</v>
      </c>
      <c r="AU130" s="3">
        <v>2969</v>
      </c>
      <c r="AV130" s="3">
        <v>2.5099999999999998</v>
      </c>
      <c r="AW130" s="3">
        <v>2.6680000000000001</v>
      </c>
      <c r="AX130" s="3">
        <v>12.34</v>
      </c>
      <c r="AY130" s="3">
        <v>12.83</v>
      </c>
      <c r="AZ130" s="3">
        <v>-7.47</v>
      </c>
      <c r="BA130" s="3">
        <v>-7.71</v>
      </c>
      <c r="BB130" s="3">
        <v>13.15</v>
      </c>
      <c r="BC130" s="3">
        <v>2876</v>
      </c>
      <c r="BE130" s="6">
        <f t="shared" si="83"/>
        <v>541</v>
      </c>
      <c r="BG130" s="16">
        <v>28.8</v>
      </c>
      <c r="BH130" s="16">
        <f t="shared" si="46"/>
        <v>58.176000000000002</v>
      </c>
      <c r="BI130" s="17">
        <f t="shared" si="80"/>
        <v>26.36</v>
      </c>
      <c r="BJ130" s="17">
        <f t="shared" si="81"/>
        <v>53.66</v>
      </c>
      <c r="BL130" s="1">
        <f t="shared" si="47"/>
        <v>87.9</v>
      </c>
      <c r="BM130" s="1">
        <f t="shared" si="48"/>
        <v>53.4</v>
      </c>
      <c r="BN130" s="1">
        <f t="shared" si="49"/>
        <v>23.7</v>
      </c>
      <c r="BO130" s="49">
        <f t="shared" si="55"/>
        <v>0.35</v>
      </c>
      <c r="BP130" s="49">
        <f t="shared" si="56"/>
        <v>1.127</v>
      </c>
      <c r="BR130" s="3">
        <v>0</v>
      </c>
      <c r="BT130" s="16">
        <f t="shared" si="50"/>
        <v>26.36</v>
      </c>
      <c r="BU130" s="16">
        <f t="shared" si="51"/>
        <v>53.66</v>
      </c>
      <c r="BV130" s="3">
        <f t="shared" si="52"/>
        <v>3.9</v>
      </c>
      <c r="BW130" s="3">
        <f t="shared" ref="BW130:CB172" si="84">ROUND(G130,1)</f>
        <v>3.7</v>
      </c>
      <c r="BX130" s="3">
        <f t="shared" si="84"/>
        <v>3.4</v>
      </c>
      <c r="BY130" s="3">
        <f t="shared" si="84"/>
        <v>0.6</v>
      </c>
      <c r="BZ130" s="3">
        <f t="shared" si="84"/>
        <v>-0.1</v>
      </c>
      <c r="CA130" s="3">
        <f t="shared" si="84"/>
        <v>-0.1</v>
      </c>
      <c r="CB130" s="3">
        <f t="shared" si="84"/>
        <v>0.4</v>
      </c>
      <c r="CC130" s="22">
        <f t="shared" si="53"/>
        <v>53.4</v>
      </c>
      <c r="CD130" s="1">
        <f t="shared" si="57"/>
        <v>12.8</v>
      </c>
      <c r="CE130" s="1">
        <f t="shared" si="58"/>
        <v>14.3</v>
      </c>
      <c r="CF130" s="1">
        <f t="shared" si="59"/>
        <v>14.1</v>
      </c>
      <c r="CG130" s="1">
        <f t="shared" si="60"/>
        <v>1.1000000000000001</v>
      </c>
      <c r="CH130" s="1">
        <f t="shared" si="61"/>
        <v>0.4</v>
      </c>
      <c r="CI130" s="1">
        <f t="shared" si="62"/>
        <v>0.3</v>
      </c>
      <c r="CJ130" s="1">
        <f t="shared" si="63"/>
        <v>0.8</v>
      </c>
      <c r="CK130" s="2">
        <f t="shared" si="54"/>
        <v>87.9</v>
      </c>
      <c r="CL130" s="1">
        <f t="shared" si="64"/>
        <v>-6.4</v>
      </c>
      <c r="CM130" s="1">
        <f t="shared" si="65"/>
        <v>-7.2</v>
      </c>
      <c r="CN130" s="1">
        <f t="shared" si="66"/>
        <v>-7.5</v>
      </c>
      <c r="CO130" s="1">
        <f t="shared" si="67"/>
        <v>0.1</v>
      </c>
      <c r="CP130" s="1">
        <f t="shared" si="68"/>
        <v>-0.4</v>
      </c>
      <c r="CQ130" s="1">
        <f t="shared" si="69"/>
        <v>-0.4</v>
      </c>
      <c r="CR130" s="1">
        <f t="shared" si="70"/>
        <v>0.1</v>
      </c>
      <c r="CS130" s="2">
        <f t="shared" si="71"/>
        <v>23.7</v>
      </c>
      <c r="CT130" s="6">
        <f t="shared" si="72"/>
        <v>541</v>
      </c>
      <c r="CU130" s="1">
        <f>PPTest!K130</f>
        <v>0</v>
      </c>
      <c r="CV130" s="3">
        <f t="shared" si="73"/>
        <v>1.73</v>
      </c>
      <c r="CW130" s="3">
        <f t="shared" si="74"/>
        <v>3.81</v>
      </c>
      <c r="CX130" s="24">
        <f t="shared" si="75"/>
        <v>0.35</v>
      </c>
      <c r="CY130" s="24">
        <f t="shared" si="75"/>
        <v>1.127</v>
      </c>
      <c r="CZ130" s="16">
        <f t="shared" si="76"/>
        <v>13.15</v>
      </c>
    </row>
    <row r="131" spans="1:104" x14ac:dyDescent="0.2">
      <c r="A131" s="14">
        <f t="shared" si="77"/>
        <v>38842</v>
      </c>
      <c r="B131" s="1">
        <v>125</v>
      </c>
      <c r="C131" s="3">
        <v>23.68</v>
      </c>
      <c r="D131" s="3">
        <v>42.69</v>
      </c>
      <c r="E131" s="3">
        <v>7.23</v>
      </c>
      <c r="F131" s="3">
        <v>62.33</v>
      </c>
      <c r="G131" s="3">
        <v>6.9630000000000001</v>
      </c>
      <c r="H131" s="3">
        <v>6.6230000000000002</v>
      </c>
      <c r="I131" s="3">
        <v>0.56899999999999995</v>
      </c>
      <c r="J131" s="3">
        <v>-3.7999999999999999E-2</v>
      </c>
      <c r="K131" s="3">
        <v>-7.0000000000000007E-2</v>
      </c>
      <c r="L131" s="3">
        <v>0.39500000000000002</v>
      </c>
      <c r="M131" s="3">
        <v>1.722</v>
      </c>
      <c r="N131" s="3">
        <v>0</v>
      </c>
      <c r="O131" s="3">
        <v>14.33</v>
      </c>
      <c r="P131" s="3">
        <v>1532</v>
      </c>
      <c r="Q131" s="3">
        <v>104.2</v>
      </c>
      <c r="R131" s="3">
        <v>417</v>
      </c>
      <c r="S131" s="3">
        <v>16.34</v>
      </c>
      <c r="T131" s="3">
        <v>16.75</v>
      </c>
      <c r="U131" s="3">
        <v>1.1020000000000001</v>
      </c>
      <c r="V131" s="3">
        <v>0.39900000000000002</v>
      </c>
      <c r="W131" s="3">
        <v>0.29699999999999999</v>
      </c>
      <c r="X131" s="3">
        <v>0.78500000000000003</v>
      </c>
      <c r="Y131" s="3">
        <v>5.1420000000000003</v>
      </c>
      <c r="Z131" s="3">
        <v>1227</v>
      </c>
      <c r="AA131" s="3">
        <v>-2.9390000000000001</v>
      </c>
      <c r="AB131" s="3">
        <v>413</v>
      </c>
      <c r="AC131" s="3">
        <v>34.31</v>
      </c>
      <c r="AD131" s="3">
        <v>1131</v>
      </c>
      <c r="AE131" s="3">
        <v>-3.819</v>
      </c>
      <c r="AF131" s="3">
        <v>-3.9790000000000001</v>
      </c>
      <c r="AG131" s="3">
        <v>0.10100000000000001</v>
      </c>
      <c r="AH131" s="3">
        <v>-0.38900000000000001</v>
      </c>
      <c r="AI131" s="3">
        <v>-0.378</v>
      </c>
      <c r="AJ131" s="3">
        <v>8.6999999999999994E-2</v>
      </c>
      <c r="AK131" s="3">
        <v>3.1E-2</v>
      </c>
      <c r="AL131" s="3">
        <v>0.19800000000000001</v>
      </c>
      <c r="AM131" s="3">
        <v>0.20200000000000001</v>
      </c>
      <c r="AN131" s="3">
        <v>3.2000000000000001E-2</v>
      </c>
      <c r="AO131" s="3">
        <v>0.14000000000000001</v>
      </c>
      <c r="AP131" s="3">
        <v>0.20100000000000001</v>
      </c>
      <c r="AQ131" s="3">
        <v>0.13400000000000001</v>
      </c>
      <c r="AR131" s="3">
        <v>6.3E-2</v>
      </c>
      <c r="AS131" s="3">
        <v>3049</v>
      </c>
      <c r="AT131" s="3">
        <v>3017</v>
      </c>
      <c r="AU131" s="3">
        <v>3029</v>
      </c>
      <c r="AV131" s="3">
        <v>5.1740000000000004</v>
      </c>
      <c r="AW131" s="3">
        <v>5.3810000000000002</v>
      </c>
      <c r="AX131" s="3">
        <v>13.65</v>
      </c>
      <c r="AY131" s="3">
        <v>14.14</v>
      </c>
      <c r="AZ131" s="3">
        <v>-3.7759999999999998</v>
      </c>
      <c r="BA131" s="3">
        <v>-4.0049999999999999</v>
      </c>
      <c r="BB131" s="3">
        <v>13.09</v>
      </c>
      <c r="BC131" s="3">
        <v>2876</v>
      </c>
      <c r="BE131" s="6">
        <f t="shared" si="83"/>
        <v>481</v>
      </c>
      <c r="BG131" s="16">
        <v>28.99</v>
      </c>
      <c r="BH131" s="16">
        <f t="shared" si="46"/>
        <v>58.559799999999996</v>
      </c>
      <c r="BI131" s="17">
        <f t="shared" si="80"/>
        <v>23.21</v>
      </c>
      <c r="BJ131" s="17">
        <f t="shared" si="81"/>
        <v>46.96</v>
      </c>
      <c r="BL131" s="1">
        <f t="shared" si="47"/>
        <v>89</v>
      </c>
      <c r="BM131" s="1">
        <f t="shared" si="48"/>
        <v>47.9</v>
      </c>
      <c r="BN131" s="1">
        <f t="shared" si="49"/>
        <v>23.2</v>
      </c>
      <c r="BO131" s="49">
        <f t="shared" si="55"/>
        <v>0.379</v>
      </c>
      <c r="BP131" s="49">
        <f t="shared" si="56"/>
        <v>1.2549999999999999</v>
      </c>
      <c r="BR131" s="3">
        <v>0</v>
      </c>
      <c r="BT131" s="16">
        <f t="shared" si="50"/>
        <v>23.21</v>
      </c>
      <c r="BU131" s="16">
        <f t="shared" si="51"/>
        <v>46.96</v>
      </c>
      <c r="BV131" s="3">
        <f t="shared" si="52"/>
        <v>7.2</v>
      </c>
      <c r="BW131" s="3">
        <f t="shared" si="84"/>
        <v>7</v>
      </c>
      <c r="BX131" s="3">
        <f t="shared" si="84"/>
        <v>6.6</v>
      </c>
      <c r="BY131" s="3">
        <f t="shared" si="84"/>
        <v>0.6</v>
      </c>
      <c r="BZ131" s="3">
        <f t="shared" si="84"/>
        <v>0</v>
      </c>
      <c r="CA131" s="3">
        <f t="shared" si="84"/>
        <v>-0.1</v>
      </c>
      <c r="CB131" s="3">
        <f t="shared" si="84"/>
        <v>0.4</v>
      </c>
      <c r="CC131" s="22">
        <f t="shared" si="53"/>
        <v>47.9</v>
      </c>
      <c r="CD131" s="1">
        <f t="shared" si="57"/>
        <v>14.3</v>
      </c>
      <c r="CE131" s="1">
        <f t="shared" si="58"/>
        <v>16.3</v>
      </c>
      <c r="CF131" s="1">
        <f t="shared" si="59"/>
        <v>16.8</v>
      </c>
      <c r="CG131" s="1">
        <f t="shared" si="60"/>
        <v>1.1000000000000001</v>
      </c>
      <c r="CH131" s="1">
        <f t="shared" si="61"/>
        <v>0.4</v>
      </c>
      <c r="CI131" s="1">
        <f t="shared" si="62"/>
        <v>0.3</v>
      </c>
      <c r="CJ131" s="1">
        <f t="shared" si="63"/>
        <v>0.8</v>
      </c>
      <c r="CK131" s="2">
        <f t="shared" si="54"/>
        <v>89</v>
      </c>
      <c r="CL131" s="1">
        <f t="shared" si="64"/>
        <v>-2.9</v>
      </c>
      <c r="CM131" s="1">
        <f t="shared" si="65"/>
        <v>-3.8</v>
      </c>
      <c r="CN131" s="1">
        <f t="shared" si="66"/>
        <v>-4</v>
      </c>
      <c r="CO131" s="1">
        <f t="shared" si="67"/>
        <v>0.1</v>
      </c>
      <c r="CP131" s="1">
        <f t="shared" si="68"/>
        <v>-0.4</v>
      </c>
      <c r="CQ131" s="1">
        <f t="shared" si="69"/>
        <v>-0.4</v>
      </c>
      <c r="CR131" s="1">
        <f t="shared" si="70"/>
        <v>0.1</v>
      </c>
      <c r="CS131" s="2">
        <f t="shared" si="71"/>
        <v>23.2</v>
      </c>
      <c r="CT131" s="6">
        <f t="shared" si="72"/>
        <v>481</v>
      </c>
      <c r="CU131" s="1">
        <f>PPTest!K131</f>
        <v>0</v>
      </c>
      <c r="CV131" s="3">
        <f t="shared" si="73"/>
        <v>1.72</v>
      </c>
      <c r="CW131" s="3">
        <f t="shared" si="74"/>
        <v>5.14</v>
      </c>
      <c r="CX131" s="24">
        <f t="shared" si="75"/>
        <v>0.379</v>
      </c>
      <c r="CY131" s="24">
        <f t="shared" si="75"/>
        <v>1.2549999999999999</v>
      </c>
      <c r="CZ131" s="16">
        <f t="shared" si="76"/>
        <v>13.09</v>
      </c>
    </row>
    <row r="132" spans="1:104" x14ac:dyDescent="0.2">
      <c r="A132" s="14">
        <f t="shared" si="77"/>
        <v>38843</v>
      </c>
      <c r="B132" s="1">
        <v>126</v>
      </c>
      <c r="C132" s="3">
        <v>16.59</v>
      </c>
      <c r="D132" s="3">
        <v>30.82</v>
      </c>
      <c r="E132" s="3">
        <v>4.0730000000000004</v>
      </c>
      <c r="F132" s="3">
        <v>78.8</v>
      </c>
      <c r="G132" s="3">
        <v>3.7719999999999998</v>
      </c>
      <c r="H132" s="3">
        <v>3.5760000000000001</v>
      </c>
      <c r="I132" s="3">
        <v>0.6</v>
      </c>
      <c r="J132" s="3">
        <v>-8.3000000000000004E-2</v>
      </c>
      <c r="K132" s="3">
        <v>-0.11700000000000001</v>
      </c>
      <c r="L132" s="3">
        <v>0.35</v>
      </c>
      <c r="M132" s="3">
        <v>1.758</v>
      </c>
      <c r="N132" s="3">
        <v>0</v>
      </c>
      <c r="O132" s="3">
        <v>8.1300000000000008</v>
      </c>
      <c r="P132" s="3">
        <v>1223</v>
      </c>
      <c r="Q132" s="3">
        <v>102.5</v>
      </c>
      <c r="R132" s="3">
        <v>2344</v>
      </c>
      <c r="S132" s="3">
        <v>11.56</v>
      </c>
      <c r="T132" s="3">
        <v>11.24</v>
      </c>
      <c r="U132" s="3">
        <v>1.091</v>
      </c>
      <c r="V132" s="3">
        <v>0.34399999999999997</v>
      </c>
      <c r="W132" s="3">
        <v>0.27600000000000002</v>
      </c>
      <c r="X132" s="3">
        <v>0.70599999999999996</v>
      </c>
      <c r="Y132" s="3">
        <v>5.2750000000000004</v>
      </c>
      <c r="Z132" s="3">
        <v>1216</v>
      </c>
      <c r="AA132" s="3">
        <v>-1.079</v>
      </c>
      <c r="AB132" s="3">
        <v>500</v>
      </c>
      <c r="AC132" s="3">
        <v>54.23</v>
      </c>
      <c r="AD132" s="3">
        <v>951</v>
      </c>
      <c r="AE132" s="3">
        <v>-2.4169999999999998</v>
      </c>
      <c r="AF132" s="3">
        <v>-2.6989999999999998</v>
      </c>
      <c r="AG132" s="3">
        <v>0.189</v>
      </c>
      <c r="AH132" s="3">
        <v>-0.434</v>
      </c>
      <c r="AI132" s="3">
        <v>-0.438</v>
      </c>
      <c r="AJ132" s="3">
        <v>3.7999999999999999E-2</v>
      </c>
      <c r="AK132" s="3">
        <v>5.2999999999999999E-2</v>
      </c>
      <c r="AL132" s="3">
        <v>0.11899999999999999</v>
      </c>
      <c r="AM132" s="3">
        <v>7.3999999999999996E-2</v>
      </c>
      <c r="AN132" s="3">
        <v>4.7E-2</v>
      </c>
      <c r="AO132" s="3">
        <v>0.17899999999999999</v>
      </c>
      <c r="AP132" s="3">
        <v>0.32800000000000001</v>
      </c>
      <c r="AQ132" s="3">
        <v>0.14000000000000001</v>
      </c>
      <c r="AR132" s="3">
        <v>0.06</v>
      </c>
      <c r="AS132" s="3">
        <v>3039</v>
      </c>
      <c r="AT132" s="3">
        <v>3033</v>
      </c>
      <c r="AU132" s="3">
        <v>3036</v>
      </c>
      <c r="AV132" s="3">
        <v>3.5739999999999998</v>
      </c>
      <c r="AW132" s="3">
        <v>3.4980000000000002</v>
      </c>
      <c r="AX132" s="3">
        <v>8.3000000000000007</v>
      </c>
      <c r="AY132" s="3">
        <v>9</v>
      </c>
      <c r="AZ132" s="3">
        <v>-1.2549999999999999</v>
      </c>
      <c r="BA132" s="3">
        <v>-1.82</v>
      </c>
      <c r="BB132" s="3">
        <v>13.12</v>
      </c>
      <c r="BC132" s="3">
        <v>2876</v>
      </c>
      <c r="BE132" s="6">
        <f t="shared" si="83"/>
        <v>474</v>
      </c>
      <c r="BG132" s="16">
        <v>29.17</v>
      </c>
      <c r="BH132" s="16">
        <f t="shared" si="46"/>
        <v>58.923400000000001</v>
      </c>
      <c r="BI132" s="17">
        <f t="shared" si="80"/>
        <v>16.260000000000002</v>
      </c>
      <c r="BJ132" s="17">
        <f t="shared" si="81"/>
        <v>33.9</v>
      </c>
      <c r="BL132" s="1">
        <f t="shared" si="47"/>
        <v>86.3</v>
      </c>
      <c r="BM132" s="1">
        <f t="shared" si="48"/>
        <v>62.3</v>
      </c>
      <c r="BN132" s="1">
        <f t="shared" si="49"/>
        <v>40.700000000000003</v>
      </c>
      <c r="BO132" s="49">
        <f t="shared" si="55"/>
        <v>0.44</v>
      </c>
      <c r="BP132" s="49">
        <f t="shared" si="56"/>
        <v>0.64100000000000001</v>
      </c>
      <c r="BR132" s="3">
        <v>0.2</v>
      </c>
      <c r="BT132" s="16">
        <f t="shared" si="50"/>
        <v>16.260000000000002</v>
      </c>
      <c r="BU132" s="16">
        <f t="shared" si="51"/>
        <v>33.9</v>
      </c>
      <c r="BV132" s="3">
        <f t="shared" si="52"/>
        <v>4.0999999999999996</v>
      </c>
      <c r="BW132" s="3">
        <f t="shared" si="84"/>
        <v>3.8</v>
      </c>
      <c r="BX132" s="3">
        <f t="shared" si="84"/>
        <v>3.6</v>
      </c>
      <c r="BY132" s="3">
        <f t="shared" si="84"/>
        <v>0.6</v>
      </c>
      <c r="BZ132" s="3">
        <f t="shared" si="84"/>
        <v>-0.1</v>
      </c>
      <c r="CA132" s="3">
        <f t="shared" si="84"/>
        <v>-0.1</v>
      </c>
      <c r="CB132" s="3">
        <f t="shared" si="84"/>
        <v>0.4</v>
      </c>
      <c r="CC132" s="22">
        <f t="shared" si="53"/>
        <v>62.3</v>
      </c>
      <c r="CD132" s="1">
        <f t="shared" si="57"/>
        <v>8.1</v>
      </c>
      <c r="CE132" s="1">
        <f t="shared" si="58"/>
        <v>11.6</v>
      </c>
      <c r="CF132" s="1">
        <f t="shared" si="59"/>
        <v>11.2</v>
      </c>
      <c r="CG132" s="1">
        <f t="shared" si="60"/>
        <v>1.1000000000000001</v>
      </c>
      <c r="CH132" s="1">
        <f t="shared" si="61"/>
        <v>0.3</v>
      </c>
      <c r="CI132" s="1">
        <f t="shared" si="62"/>
        <v>0.3</v>
      </c>
      <c r="CJ132" s="1">
        <f t="shared" si="63"/>
        <v>0.7</v>
      </c>
      <c r="CK132" s="2">
        <f t="shared" si="54"/>
        <v>86.3</v>
      </c>
      <c r="CL132" s="1">
        <f t="shared" si="64"/>
        <v>-1.1000000000000001</v>
      </c>
      <c r="CM132" s="1">
        <f t="shared" si="65"/>
        <v>-2.4</v>
      </c>
      <c r="CN132" s="1">
        <f t="shared" si="66"/>
        <v>-2.7</v>
      </c>
      <c r="CO132" s="1">
        <f t="shared" si="67"/>
        <v>0.2</v>
      </c>
      <c r="CP132" s="1">
        <f t="shared" si="68"/>
        <v>-0.4</v>
      </c>
      <c r="CQ132" s="1">
        <f t="shared" si="69"/>
        <v>-0.4</v>
      </c>
      <c r="CR132" s="1">
        <f t="shared" si="70"/>
        <v>0</v>
      </c>
      <c r="CS132" s="2">
        <f t="shared" si="71"/>
        <v>40.700000000000003</v>
      </c>
      <c r="CT132" s="6">
        <f t="shared" si="72"/>
        <v>474</v>
      </c>
      <c r="CU132" s="1">
        <f>PPTest!K132</f>
        <v>0.2</v>
      </c>
      <c r="CV132" s="3">
        <f t="shared" si="73"/>
        <v>1.76</v>
      </c>
      <c r="CW132" s="3">
        <f t="shared" si="74"/>
        <v>5.28</v>
      </c>
      <c r="CX132" s="24">
        <f t="shared" si="75"/>
        <v>0.44</v>
      </c>
      <c r="CY132" s="24">
        <f t="shared" si="75"/>
        <v>0.64100000000000001</v>
      </c>
      <c r="CZ132" s="16">
        <f t="shared" si="76"/>
        <v>13.12</v>
      </c>
    </row>
    <row r="133" spans="1:104" x14ac:dyDescent="0.2">
      <c r="A133" s="14">
        <f t="shared" si="77"/>
        <v>38844</v>
      </c>
      <c r="B133" s="1">
        <v>127</v>
      </c>
      <c r="C133" s="3">
        <v>15.85</v>
      </c>
      <c r="D133" s="3">
        <v>29.13</v>
      </c>
      <c r="E133" s="3">
        <v>1.631</v>
      </c>
      <c r="F133" s="3">
        <v>93.9</v>
      </c>
      <c r="G133" s="3">
        <v>1.478</v>
      </c>
      <c r="H133" s="3">
        <v>1.417</v>
      </c>
      <c r="I133" s="3">
        <v>0.67800000000000005</v>
      </c>
      <c r="J133" s="3">
        <v>-0.115</v>
      </c>
      <c r="K133" s="3">
        <v>-0.157</v>
      </c>
      <c r="L133" s="3">
        <v>0.30599999999999999</v>
      </c>
      <c r="M133" s="3">
        <v>2.4430000000000001</v>
      </c>
      <c r="N133" s="3">
        <v>0</v>
      </c>
      <c r="O133" s="3">
        <v>6.9029999999999996</v>
      </c>
      <c r="P133" s="3">
        <v>1411</v>
      </c>
      <c r="Q133" s="3">
        <v>110.6</v>
      </c>
      <c r="R133" s="3">
        <v>2118</v>
      </c>
      <c r="S133" s="3">
        <v>9.7200000000000006</v>
      </c>
      <c r="T133" s="3">
        <v>9.93</v>
      </c>
      <c r="U133" s="3">
        <v>1.159</v>
      </c>
      <c r="V133" s="3">
        <v>0.378</v>
      </c>
      <c r="W133" s="3">
        <v>0.28699999999999998</v>
      </c>
      <c r="X133" s="3">
        <v>0.751</v>
      </c>
      <c r="Y133" s="3">
        <v>7.63</v>
      </c>
      <c r="Z133" s="3">
        <v>1635</v>
      </c>
      <c r="AA133" s="3">
        <v>-2.6840000000000002</v>
      </c>
      <c r="AB133" s="3">
        <v>0</v>
      </c>
      <c r="AC133" s="3">
        <v>63.06</v>
      </c>
      <c r="AD133" s="3">
        <v>1913</v>
      </c>
      <c r="AE133" s="3">
        <v>-3.206</v>
      </c>
      <c r="AF133" s="3">
        <v>-3.2629999999999999</v>
      </c>
      <c r="AG133" s="3">
        <v>0.187</v>
      </c>
      <c r="AH133" s="3">
        <v>-0.48099999999999998</v>
      </c>
      <c r="AI133" s="3">
        <v>-0.51300000000000001</v>
      </c>
      <c r="AJ133" s="3">
        <v>-3.5999999999999997E-2</v>
      </c>
      <c r="AK133" s="3">
        <v>2.7E-2</v>
      </c>
      <c r="AL133" s="3">
        <v>4.2000000000000003E-2</v>
      </c>
      <c r="AM133" s="3">
        <v>5.1999999999999998E-2</v>
      </c>
      <c r="AN133" s="3">
        <v>4.9000000000000002E-2</v>
      </c>
      <c r="AO133" s="3">
        <v>0.23300000000000001</v>
      </c>
      <c r="AP133" s="3">
        <v>0.39800000000000002</v>
      </c>
      <c r="AQ133" s="3">
        <v>0.16300000000000001</v>
      </c>
      <c r="AR133" s="3">
        <v>3.5000000000000003E-2</v>
      </c>
      <c r="AS133" s="3">
        <v>3079</v>
      </c>
      <c r="AT133" s="3">
        <v>3064</v>
      </c>
      <c r="AU133" s="3">
        <v>3072</v>
      </c>
      <c r="AV133" s="3">
        <v>1.62</v>
      </c>
      <c r="AW133" s="3">
        <v>1.5549999999999999</v>
      </c>
      <c r="AX133" s="3">
        <v>6.8129999999999997</v>
      </c>
      <c r="AY133" s="3">
        <v>7.56</v>
      </c>
      <c r="AZ133" s="3">
        <v>-2.222</v>
      </c>
      <c r="BA133" s="3">
        <v>-2.58</v>
      </c>
      <c r="BB133" s="3">
        <v>13.16</v>
      </c>
      <c r="BC133" s="3">
        <v>2876</v>
      </c>
      <c r="BE133" s="6">
        <f t="shared" si="83"/>
        <v>438</v>
      </c>
      <c r="BG133" s="16">
        <v>29.35</v>
      </c>
      <c r="BH133" s="16">
        <f t="shared" si="46"/>
        <v>59.287000000000006</v>
      </c>
      <c r="BI133" s="17">
        <f t="shared" si="80"/>
        <v>15.53</v>
      </c>
      <c r="BJ133" s="17">
        <f t="shared" si="81"/>
        <v>32.04</v>
      </c>
      <c r="BL133" s="1">
        <f t="shared" si="47"/>
        <v>99.2</v>
      </c>
      <c r="BM133" s="1">
        <f t="shared" si="48"/>
        <v>75.599999999999994</v>
      </c>
      <c r="BN133" s="1">
        <f t="shared" si="49"/>
        <v>48.5</v>
      </c>
      <c r="BO133" s="49">
        <f t="shared" si="55"/>
        <v>0.48199999999999998</v>
      </c>
      <c r="BP133" s="49">
        <f t="shared" si="56"/>
        <v>0.51200000000000001</v>
      </c>
      <c r="BR133" s="3">
        <v>0.8</v>
      </c>
      <c r="BT133" s="16">
        <f t="shared" si="50"/>
        <v>15.53</v>
      </c>
      <c r="BU133" s="16">
        <f t="shared" si="51"/>
        <v>32.04</v>
      </c>
      <c r="BV133" s="3">
        <f t="shared" si="52"/>
        <v>1.6</v>
      </c>
      <c r="BW133" s="3">
        <f t="shared" si="84"/>
        <v>1.5</v>
      </c>
      <c r="BX133" s="3">
        <f t="shared" si="84"/>
        <v>1.4</v>
      </c>
      <c r="BY133" s="3">
        <f t="shared" si="84"/>
        <v>0.7</v>
      </c>
      <c r="BZ133" s="3">
        <f t="shared" si="84"/>
        <v>-0.1</v>
      </c>
      <c r="CA133" s="3">
        <f t="shared" si="84"/>
        <v>-0.2</v>
      </c>
      <c r="CB133" s="3">
        <f t="shared" si="84"/>
        <v>0.3</v>
      </c>
      <c r="CC133" s="22">
        <f t="shared" si="53"/>
        <v>75.599999999999994</v>
      </c>
      <c r="CD133" s="1">
        <f t="shared" si="57"/>
        <v>6.9</v>
      </c>
      <c r="CE133" s="1">
        <f t="shared" si="58"/>
        <v>9.6999999999999993</v>
      </c>
      <c r="CF133" s="1">
        <f t="shared" si="59"/>
        <v>9.9</v>
      </c>
      <c r="CG133" s="1">
        <f t="shared" si="60"/>
        <v>1.2</v>
      </c>
      <c r="CH133" s="1">
        <f t="shared" si="61"/>
        <v>0.4</v>
      </c>
      <c r="CI133" s="1">
        <f t="shared" si="62"/>
        <v>0.3</v>
      </c>
      <c r="CJ133" s="1">
        <f t="shared" si="63"/>
        <v>0.8</v>
      </c>
      <c r="CK133" s="2">
        <f t="shared" si="54"/>
        <v>99.2</v>
      </c>
      <c r="CL133" s="1">
        <f t="shared" si="64"/>
        <v>-2.7</v>
      </c>
      <c r="CM133" s="1">
        <f t="shared" si="65"/>
        <v>-3.2</v>
      </c>
      <c r="CN133" s="1">
        <f t="shared" si="66"/>
        <v>-3.3</v>
      </c>
      <c r="CO133" s="1">
        <f t="shared" si="67"/>
        <v>0.2</v>
      </c>
      <c r="CP133" s="1">
        <f t="shared" si="68"/>
        <v>-0.5</v>
      </c>
      <c r="CQ133" s="1">
        <f t="shared" si="69"/>
        <v>-0.5</v>
      </c>
      <c r="CR133" s="1">
        <f t="shared" si="70"/>
        <v>0</v>
      </c>
      <c r="CS133" s="2">
        <f t="shared" si="71"/>
        <v>48.5</v>
      </c>
      <c r="CT133" s="6">
        <f t="shared" si="72"/>
        <v>438</v>
      </c>
      <c r="CU133" s="1">
        <f>PPTest!K133</f>
        <v>0.8</v>
      </c>
      <c r="CV133" s="3">
        <f t="shared" si="73"/>
        <v>2.44</v>
      </c>
      <c r="CW133" s="3">
        <f t="shared" si="74"/>
        <v>7.63</v>
      </c>
      <c r="CX133" s="24">
        <f t="shared" si="75"/>
        <v>0.48199999999999998</v>
      </c>
      <c r="CY133" s="24">
        <f t="shared" si="75"/>
        <v>0.51200000000000001</v>
      </c>
      <c r="CZ133" s="16">
        <f t="shared" si="76"/>
        <v>13.16</v>
      </c>
    </row>
    <row r="134" spans="1:104" x14ac:dyDescent="0.2">
      <c r="A134" s="14">
        <f t="shared" si="77"/>
        <v>38845</v>
      </c>
      <c r="B134" s="1">
        <v>128</v>
      </c>
      <c r="C134" s="3">
        <v>21.66</v>
      </c>
      <c r="D134" s="3">
        <v>38.78</v>
      </c>
      <c r="E134" s="3">
        <v>-1.1859999999999999</v>
      </c>
      <c r="F134" s="3">
        <v>87.4</v>
      </c>
      <c r="G134" s="3">
        <v>-1.105</v>
      </c>
      <c r="H134" s="3">
        <v>-1.095</v>
      </c>
      <c r="I134" s="3">
        <v>0.56200000000000006</v>
      </c>
      <c r="J134" s="3">
        <v>-0.16200000000000001</v>
      </c>
      <c r="K134" s="3">
        <v>-0.20599999999999999</v>
      </c>
      <c r="L134" s="3">
        <v>0.25600000000000001</v>
      </c>
      <c r="M134" s="3">
        <v>2.1619999999999999</v>
      </c>
      <c r="N134" s="3">
        <v>4</v>
      </c>
      <c r="O134" s="3">
        <v>3.145</v>
      </c>
      <c r="P134" s="3">
        <v>1554</v>
      </c>
      <c r="Q134" s="3">
        <v>111.1</v>
      </c>
      <c r="R134" s="3">
        <v>254</v>
      </c>
      <c r="S134" s="3">
        <v>6.6310000000000002</v>
      </c>
      <c r="T134" s="3">
        <v>6.649</v>
      </c>
      <c r="U134" s="3">
        <v>0.93</v>
      </c>
      <c r="V134" s="3">
        <v>0.253</v>
      </c>
      <c r="W134" s="3">
        <v>0.14899999999999999</v>
      </c>
      <c r="X134" s="3">
        <v>0.61299999999999999</v>
      </c>
      <c r="Y134" s="3">
        <v>6.0060000000000002</v>
      </c>
      <c r="Z134" s="3">
        <v>1158</v>
      </c>
      <c r="AA134" s="3">
        <v>-5.7850000000000001</v>
      </c>
      <c r="AB134" s="3">
        <v>2357</v>
      </c>
      <c r="AC134" s="3">
        <v>51.95</v>
      </c>
      <c r="AD134" s="3">
        <v>1442</v>
      </c>
      <c r="AE134" s="3">
        <v>-7.61</v>
      </c>
      <c r="AF134" s="3">
        <v>-7.94</v>
      </c>
      <c r="AG134" s="3">
        <v>0.26500000000000001</v>
      </c>
      <c r="AH134" s="3">
        <v>-0.441</v>
      </c>
      <c r="AI134" s="3">
        <v>-0.441</v>
      </c>
      <c r="AJ134" s="3">
        <v>1.2999999999999999E-2</v>
      </c>
      <c r="AK134" s="3">
        <v>2.5000000000000001E-2</v>
      </c>
      <c r="AL134" s="3">
        <v>4.7E-2</v>
      </c>
      <c r="AM134" s="3">
        <v>3.5999999999999997E-2</v>
      </c>
      <c r="AN134" s="3">
        <v>3.1E-2</v>
      </c>
      <c r="AO134" s="3">
        <v>0.20100000000000001</v>
      </c>
      <c r="AP134" s="3">
        <v>0.42599999999999999</v>
      </c>
      <c r="AQ134" s="3">
        <v>0.18099999999999999</v>
      </c>
      <c r="AR134" s="3">
        <v>5.2999999999999999E-2</v>
      </c>
      <c r="AS134" s="3">
        <v>3065</v>
      </c>
      <c r="AT134" s="3">
        <v>3059</v>
      </c>
      <c r="AU134" s="3">
        <v>3062</v>
      </c>
      <c r="AV134" s="3">
        <v>-0.375</v>
      </c>
      <c r="AW134" s="3">
        <v>-0.52700000000000002</v>
      </c>
      <c r="AX134" s="3">
        <v>4.4820000000000002</v>
      </c>
      <c r="AY134" s="3">
        <v>5.0940000000000003</v>
      </c>
      <c r="AZ134" s="3">
        <v>-6.9420000000000002</v>
      </c>
      <c r="BA134" s="3">
        <v>-7.68</v>
      </c>
      <c r="BB134" s="3">
        <v>13.19</v>
      </c>
      <c r="BC134" s="3">
        <v>2876</v>
      </c>
      <c r="BE134" s="6">
        <f t="shared" si="83"/>
        <v>448</v>
      </c>
      <c r="BG134" s="16">
        <v>29.53</v>
      </c>
      <c r="BH134" s="16">
        <f t="shared" si="46"/>
        <v>59.650600000000004</v>
      </c>
      <c r="BI134" s="17">
        <f t="shared" si="80"/>
        <v>21.23</v>
      </c>
      <c r="BJ134" s="17">
        <f t="shared" si="81"/>
        <v>42.66</v>
      </c>
      <c r="BL134" s="1">
        <f t="shared" si="47"/>
        <v>100</v>
      </c>
      <c r="BM134" s="1">
        <f t="shared" si="48"/>
        <v>69.900000000000006</v>
      </c>
      <c r="BN134" s="1">
        <f t="shared" si="49"/>
        <v>38.700000000000003</v>
      </c>
      <c r="BO134" s="49">
        <f t="shared" si="55"/>
        <v>0.29599999999999999</v>
      </c>
      <c r="BP134" s="49">
        <f t="shared" si="56"/>
        <v>0.46899999999999997</v>
      </c>
      <c r="BR134" s="3">
        <v>1.6</v>
      </c>
      <c r="BT134" s="16">
        <f t="shared" si="50"/>
        <v>21.23</v>
      </c>
      <c r="BU134" s="16">
        <f t="shared" si="51"/>
        <v>42.66</v>
      </c>
      <c r="BV134" s="3">
        <f t="shared" si="52"/>
        <v>-1.2</v>
      </c>
      <c r="BW134" s="3">
        <f t="shared" si="84"/>
        <v>-1.1000000000000001</v>
      </c>
      <c r="BX134" s="3">
        <f t="shared" si="84"/>
        <v>-1.1000000000000001</v>
      </c>
      <c r="BY134" s="3">
        <f t="shared" si="84"/>
        <v>0.6</v>
      </c>
      <c r="BZ134" s="3">
        <f t="shared" si="84"/>
        <v>-0.2</v>
      </c>
      <c r="CA134" s="3">
        <f t="shared" si="84"/>
        <v>-0.2</v>
      </c>
      <c r="CB134" s="3">
        <f t="shared" si="84"/>
        <v>0.3</v>
      </c>
      <c r="CC134" s="22">
        <f t="shared" si="53"/>
        <v>69.900000000000006</v>
      </c>
      <c r="CD134" s="1">
        <f t="shared" si="57"/>
        <v>3.1</v>
      </c>
      <c r="CE134" s="1">
        <f t="shared" si="58"/>
        <v>6.6</v>
      </c>
      <c r="CF134" s="1">
        <f t="shared" si="59"/>
        <v>6.6</v>
      </c>
      <c r="CG134" s="1">
        <f t="shared" si="60"/>
        <v>0.9</v>
      </c>
      <c r="CH134" s="1">
        <f t="shared" si="61"/>
        <v>0.3</v>
      </c>
      <c r="CI134" s="1">
        <f t="shared" si="62"/>
        <v>0.1</v>
      </c>
      <c r="CJ134" s="1">
        <f t="shared" si="63"/>
        <v>0.6</v>
      </c>
      <c r="CK134" s="2">
        <f t="shared" si="54"/>
        <v>100</v>
      </c>
      <c r="CL134" s="1">
        <f t="shared" si="64"/>
        <v>-5.8</v>
      </c>
      <c r="CM134" s="1">
        <f t="shared" si="65"/>
        <v>-7.6</v>
      </c>
      <c r="CN134" s="1">
        <f t="shared" si="66"/>
        <v>-7.9</v>
      </c>
      <c r="CO134" s="1">
        <f t="shared" si="67"/>
        <v>0.3</v>
      </c>
      <c r="CP134" s="1">
        <f t="shared" si="68"/>
        <v>-0.4</v>
      </c>
      <c r="CQ134" s="1">
        <f t="shared" si="69"/>
        <v>-0.4</v>
      </c>
      <c r="CR134" s="1">
        <f t="shared" si="70"/>
        <v>0</v>
      </c>
      <c r="CS134" s="2">
        <f t="shared" si="71"/>
        <v>38.700000000000003</v>
      </c>
      <c r="CT134" s="6">
        <f t="shared" si="72"/>
        <v>448</v>
      </c>
      <c r="CU134" s="1">
        <f>PPTest!K134</f>
        <v>4</v>
      </c>
      <c r="CV134" s="3">
        <f t="shared" si="73"/>
        <v>2.16</v>
      </c>
      <c r="CW134" s="3">
        <f t="shared" si="74"/>
        <v>6.01</v>
      </c>
      <c r="CX134" s="24">
        <f t="shared" si="75"/>
        <v>0.29599999999999999</v>
      </c>
      <c r="CY134" s="24">
        <f t="shared" si="75"/>
        <v>0.46899999999999997</v>
      </c>
      <c r="CZ134" s="16">
        <f t="shared" si="76"/>
        <v>13.19</v>
      </c>
    </row>
    <row r="135" spans="1:104" x14ac:dyDescent="0.2">
      <c r="A135" s="14">
        <f t="shared" si="77"/>
        <v>38846</v>
      </c>
      <c r="B135" s="1">
        <v>129</v>
      </c>
      <c r="C135" s="3">
        <v>24.97</v>
      </c>
      <c r="D135" s="3">
        <v>44.85</v>
      </c>
      <c r="E135" s="3">
        <v>-0.70799999999999996</v>
      </c>
      <c r="F135" s="3">
        <v>76.8</v>
      </c>
      <c r="G135" s="3">
        <v>-0.78600000000000003</v>
      </c>
      <c r="H135" s="3">
        <v>-0.96399999999999997</v>
      </c>
      <c r="I135" s="3">
        <v>0.502</v>
      </c>
      <c r="J135" s="3">
        <v>-7.2999999999999995E-2</v>
      </c>
      <c r="K135" s="3">
        <v>-0.156</v>
      </c>
      <c r="L135" s="3">
        <v>0.29799999999999999</v>
      </c>
      <c r="M135" s="3">
        <v>1.6870000000000001</v>
      </c>
      <c r="N135" s="3">
        <v>0</v>
      </c>
      <c r="O135" s="3">
        <v>6.6950000000000003</v>
      </c>
      <c r="P135" s="3">
        <v>1553</v>
      </c>
      <c r="Q135" s="3">
        <v>106.7</v>
      </c>
      <c r="R135" s="3">
        <v>249</v>
      </c>
      <c r="S135" s="3">
        <v>9.02</v>
      </c>
      <c r="T135" s="3">
        <v>8.42</v>
      </c>
      <c r="U135" s="3">
        <v>0.873</v>
      </c>
      <c r="V135" s="3">
        <v>0.26</v>
      </c>
      <c r="W135" s="3">
        <v>0.192</v>
      </c>
      <c r="X135" s="3">
        <v>0.60099999999999998</v>
      </c>
      <c r="Y135" s="3">
        <v>4.1710000000000003</v>
      </c>
      <c r="Z135" s="3">
        <v>1425</v>
      </c>
      <c r="AA135" s="3">
        <v>-8.89</v>
      </c>
      <c r="AB135" s="3">
        <v>443</v>
      </c>
      <c r="AC135" s="3">
        <v>41.37</v>
      </c>
      <c r="AD135" s="3">
        <v>1738</v>
      </c>
      <c r="AE135" s="3">
        <v>-9.57</v>
      </c>
      <c r="AF135" s="3">
        <v>-9.84</v>
      </c>
      <c r="AG135" s="3">
        <v>0.14000000000000001</v>
      </c>
      <c r="AH135" s="3">
        <v>-0.50700000000000001</v>
      </c>
      <c r="AI135" s="3">
        <v>-0.53</v>
      </c>
      <c r="AJ135" s="3">
        <v>-7.2999999999999995E-2</v>
      </c>
      <c r="AK135" s="3">
        <v>4.9000000000000002E-2</v>
      </c>
      <c r="AL135" s="3">
        <v>0.36099999999999999</v>
      </c>
      <c r="AM135" s="3">
        <v>0.13400000000000001</v>
      </c>
      <c r="AN135" s="3">
        <v>2.1999999999999999E-2</v>
      </c>
      <c r="AO135" s="3">
        <v>0.109</v>
      </c>
      <c r="AP135" s="3">
        <v>0.16800000000000001</v>
      </c>
      <c r="AQ135" s="3">
        <v>9.9000000000000005E-2</v>
      </c>
      <c r="AR135" s="3">
        <v>5.8999999999999997E-2</v>
      </c>
      <c r="AS135" s="3">
        <v>3095</v>
      </c>
      <c r="AT135" s="3">
        <v>3080</v>
      </c>
      <c r="AU135" s="3">
        <v>3086</v>
      </c>
      <c r="AV135" s="3">
        <v>-1.022</v>
      </c>
      <c r="AW135" s="3">
        <v>-1.0069999999999999</v>
      </c>
      <c r="AX135" s="3">
        <v>6.3970000000000002</v>
      </c>
      <c r="AY135" s="3">
        <v>7.03</v>
      </c>
      <c r="AZ135" s="3">
        <v>-9.93</v>
      </c>
      <c r="BA135" s="3">
        <v>-10.23</v>
      </c>
      <c r="BB135" s="3">
        <v>13.18</v>
      </c>
      <c r="BC135" s="3">
        <v>2876</v>
      </c>
      <c r="BE135" s="6">
        <f t="shared" si="83"/>
        <v>424</v>
      </c>
      <c r="BG135" s="16">
        <v>29.69</v>
      </c>
      <c r="BH135" s="16">
        <f t="shared" ref="BH135:BH198" si="85">BG135*$BH$1</f>
        <v>59.973800000000004</v>
      </c>
      <c r="BI135" s="17">
        <f t="shared" si="80"/>
        <v>24.47</v>
      </c>
      <c r="BJ135" s="17">
        <f t="shared" si="81"/>
        <v>49.34</v>
      </c>
      <c r="BL135" s="1">
        <f t="shared" ref="BL135:BL198" si="86">ROUND(IF(Q135&gt;BL$2,100,IF(Q135&gt;BL$3,BM$1*Q135+BM$2, Q135*BM$3+BM$4)),1)</f>
        <v>93</v>
      </c>
      <c r="BM135" s="1">
        <f t="shared" ref="BM135:BM198" si="87">ROUND(IF(F135&gt;BL$2,100, IF(F135&gt;BL$3,BM$1*F135+BM$2, F135*BM$3+BM$4)),1)</f>
        <v>60.6</v>
      </c>
      <c r="BN135" s="1">
        <f t="shared" ref="BN135:BN198" si="88">ROUND(IF(AC135&gt;BL$2,100,IF(AC135&gt;BL$3,BM$1*AC135+BM$2, AC135*BM$3+BM$4)),1)</f>
        <v>29.4</v>
      </c>
      <c r="BO135" s="49">
        <f t="shared" si="55"/>
        <v>0.28799999999999998</v>
      </c>
      <c r="BP135" s="49">
        <f t="shared" si="56"/>
        <v>0.69199999999999995</v>
      </c>
      <c r="BR135" s="3">
        <v>0</v>
      </c>
      <c r="BT135" s="16">
        <f t="shared" ref="BT135:BT198" si="89">BI135</f>
        <v>24.47</v>
      </c>
      <c r="BU135" s="16">
        <f t="shared" ref="BU135:BU198" si="90">BJ135</f>
        <v>49.34</v>
      </c>
      <c r="BV135" s="3">
        <f t="shared" ref="BV135:BV198" si="91">ROUND(E135,1)</f>
        <v>-0.7</v>
      </c>
      <c r="BW135" s="3">
        <f t="shared" si="84"/>
        <v>-0.8</v>
      </c>
      <c r="BX135" s="3">
        <f t="shared" si="84"/>
        <v>-1</v>
      </c>
      <c r="BY135" s="3">
        <f t="shared" si="84"/>
        <v>0.5</v>
      </c>
      <c r="BZ135" s="3">
        <f t="shared" si="84"/>
        <v>-0.1</v>
      </c>
      <c r="CA135" s="3">
        <f t="shared" si="84"/>
        <v>-0.2</v>
      </c>
      <c r="CB135" s="3">
        <f t="shared" si="84"/>
        <v>0.3</v>
      </c>
      <c r="CC135" s="22">
        <f t="shared" ref="CC135:CC198" si="92">ROUND(BM135,1)</f>
        <v>60.6</v>
      </c>
      <c r="CD135" s="1">
        <f t="shared" si="57"/>
        <v>6.7</v>
      </c>
      <c r="CE135" s="1">
        <f t="shared" si="58"/>
        <v>9</v>
      </c>
      <c r="CF135" s="1">
        <f t="shared" si="59"/>
        <v>8.4</v>
      </c>
      <c r="CG135" s="1">
        <f t="shared" si="60"/>
        <v>0.9</v>
      </c>
      <c r="CH135" s="1">
        <f t="shared" si="61"/>
        <v>0.3</v>
      </c>
      <c r="CI135" s="1">
        <f t="shared" si="62"/>
        <v>0.2</v>
      </c>
      <c r="CJ135" s="1">
        <f t="shared" si="63"/>
        <v>0.6</v>
      </c>
      <c r="CK135" s="2">
        <f t="shared" ref="CK135:CK198" si="93">ROUND(BL135,1)</f>
        <v>93</v>
      </c>
      <c r="CL135" s="1">
        <f t="shared" si="64"/>
        <v>-8.9</v>
      </c>
      <c r="CM135" s="1">
        <f t="shared" si="65"/>
        <v>-9.6</v>
      </c>
      <c r="CN135" s="1">
        <f t="shared" si="66"/>
        <v>-9.8000000000000007</v>
      </c>
      <c r="CO135" s="1">
        <f t="shared" si="67"/>
        <v>0.1</v>
      </c>
      <c r="CP135" s="1">
        <f t="shared" si="68"/>
        <v>-0.5</v>
      </c>
      <c r="CQ135" s="1">
        <f t="shared" si="69"/>
        <v>-0.5</v>
      </c>
      <c r="CR135" s="1">
        <f t="shared" si="70"/>
        <v>-0.1</v>
      </c>
      <c r="CS135" s="2">
        <f t="shared" si="71"/>
        <v>29.4</v>
      </c>
      <c r="CT135" s="6">
        <f t="shared" si="72"/>
        <v>424</v>
      </c>
      <c r="CU135" s="1">
        <f>PPTest!K135</f>
        <v>0</v>
      </c>
      <c r="CV135" s="3">
        <f t="shared" si="73"/>
        <v>1.69</v>
      </c>
      <c r="CW135" s="3">
        <f t="shared" si="74"/>
        <v>4.17</v>
      </c>
      <c r="CX135" s="24">
        <f t="shared" si="75"/>
        <v>0.28799999999999998</v>
      </c>
      <c r="CY135" s="24">
        <f t="shared" si="75"/>
        <v>0.69199999999999995</v>
      </c>
      <c r="CZ135" s="16">
        <f t="shared" si="76"/>
        <v>13.18</v>
      </c>
    </row>
    <row r="136" spans="1:104" x14ac:dyDescent="0.2">
      <c r="A136" s="14">
        <f t="shared" si="77"/>
        <v>38847</v>
      </c>
      <c r="B136" s="1">
        <v>130</v>
      </c>
      <c r="C136" s="3">
        <v>21.74</v>
      </c>
      <c r="D136" s="3">
        <v>39.39</v>
      </c>
      <c r="E136" s="3">
        <v>2.556</v>
      </c>
      <c r="F136" s="3">
        <v>72.7</v>
      </c>
      <c r="G136" s="3">
        <v>2.4220000000000002</v>
      </c>
      <c r="H136" s="3">
        <v>2.2559999999999998</v>
      </c>
      <c r="I136" s="3">
        <v>0.51</v>
      </c>
      <c r="J136" s="3">
        <v>9.5000000000000001E-2</v>
      </c>
      <c r="K136" s="3">
        <v>-9.9000000000000005E-2</v>
      </c>
      <c r="L136" s="3">
        <v>0.34399999999999997</v>
      </c>
      <c r="M136" s="3">
        <v>1.839</v>
      </c>
      <c r="N136" s="3">
        <v>0</v>
      </c>
      <c r="O136" s="3">
        <v>9.8000000000000007</v>
      </c>
      <c r="P136" s="3">
        <v>1240</v>
      </c>
      <c r="Q136" s="3">
        <v>103.4</v>
      </c>
      <c r="R136" s="3">
        <v>419</v>
      </c>
      <c r="S136" s="3">
        <v>11.83</v>
      </c>
      <c r="T136" s="3">
        <v>12.3</v>
      </c>
      <c r="U136" s="3">
        <v>0.89700000000000002</v>
      </c>
      <c r="V136" s="3">
        <v>0.77</v>
      </c>
      <c r="W136" s="3">
        <v>0.28100000000000003</v>
      </c>
      <c r="X136" s="3">
        <v>0.70499999999999996</v>
      </c>
      <c r="Y136" s="3">
        <v>4.2510000000000003</v>
      </c>
      <c r="Z136" s="3">
        <v>1118</v>
      </c>
      <c r="AA136" s="3">
        <v>-6.9109999999999996</v>
      </c>
      <c r="AB136" s="3">
        <v>405</v>
      </c>
      <c r="AC136" s="3">
        <v>38.96</v>
      </c>
      <c r="AD136" s="3">
        <v>925</v>
      </c>
      <c r="AE136" s="3">
        <v>-7.55</v>
      </c>
      <c r="AF136" s="3">
        <v>-7.69</v>
      </c>
      <c r="AG136" s="3">
        <v>0.187</v>
      </c>
      <c r="AH136" s="3">
        <v>-0.29799999999999999</v>
      </c>
      <c r="AI136" s="3">
        <v>-0.40400000000000003</v>
      </c>
      <c r="AJ136" s="3">
        <v>0.04</v>
      </c>
      <c r="AK136" s="3">
        <v>0.112</v>
      </c>
      <c r="AL136" s="3">
        <v>0.40100000000000002</v>
      </c>
      <c r="AM136" s="3">
        <v>0.224</v>
      </c>
      <c r="AN136" s="3">
        <v>5.2999999999999999E-2</v>
      </c>
      <c r="AO136" s="3">
        <v>0.06</v>
      </c>
      <c r="AP136" s="3">
        <v>5.0999999999999997E-2</v>
      </c>
      <c r="AQ136" s="3">
        <v>4.2000000000000003E-2</v>
      </c>
      <c r="AR136" s="3">
        <v>5.7000000000000002E-2</v>
      </c>
      <c r="AS136" s="3">
        <v>3123</v>
      </c>
      <c r="AT136" s="3">
        <v>3112</v>
      </c>
      <c r="AU136" s="3">
        <v>3116</v>
      </c>
      <c r="AV136" s="3">
        <v>1.855</v>
      </c>
      <c r="AW136" s="3">
        <v>1.956</v>
      </c>
      <c r="AX136" s="3">
        <v>10.79</v>
      </c>
      <c r="AY136" s="3">
        <v>11.2</v>
      </c>
      <c r="AZ136" s="3">
        <v>-7.68</v>
      </c>
      <c r="BA136" s="3">
        <v>-7.91</v>
      </c>
      <c r="BB136" s="3">
        <v>13.14</v>
      </c>
      <c r="BC136" s="3">
        <v>2876</v>
      </c>
      <c r="BE136" s="6">
        <f t="shared" si="83"/>
        <v>394</v>
      </c>
      <c r="BG136" s="16">
        <v>29.87</v>
      </c>
      <c r="BH136" s="16">
        <f t="shared" si="85"/>
        <v>60.337400000000002</v>
      </c>
      <c r="BI136" s="17">
        <f t="shared" si="80"/>
        <v>21.31</v>
      </c>
      <c r="BJ136" s="17">
        <f t="shared" si="81"/>
        <v>43.33</v>
      </c>
      <c r="BL136" s="1">
        <f t="shared" si="86"/>
        <v>87.7</v>
      </c>
      <c r="BM136" s="1">
        <f t="shared" si="87"/>
        <v>57</v>
      </c>
      <c r="BN136" s="1">
        <f t="shared" si="88"/>
        <v>27.3</v>
      </c>
      <c r="BO136" s="49">
        <f t="shared" ref="BO136:BO199" si="94">ROUND((0.6105*(EXP((17.273*O136)/(O136+237.3))))*BN136/100,3)</f>
        <v>0.33100000000000002</v>
      </c>
      <c r="BP136" s="49">
        <f t="shared" ref="BP136:BP199" si="95">ROUND((100-BN136)*BO136/BN136,3)</f>
        <v>0.88100000000000001</v>
      </c>
      <c r="BR136" s="3">
        <v>0</v>
      </c>
      <c r="BT136" s="16">
        <f t="shared" si="89"/>
        <v>21.31</v>
      </c>
      <c r="BU136" s="16">
        <f t="shared" si="90"/>
        <v>43.33</v>
      </c>
      <c r="BV136" s="3">
        <f t="shared" si="91"/>
        <v>2.6</v>
      </c>
      <c r="BW136" s="3">
        <f t="shared" si="84"/>
        <v>2.4</v>
      </c>
      <c r="BX136" s="3">
        <f t="shared" si="84"/>
        <v>2.2999999999999998</v>
      </c>
      <c r="BY136" s="3">
        <f t="shared" si="84"/>
        <v>0.5</v>
      </c>
      <c r="BZ136" s="3">
        <f t="shared" si="84"/>
        <v>0.1</v>
      </c>
      <c r="CA136" s="3">
        <f t="shared" si="84"/>
        <v>-0.1</v>
      </c>
      <c r="CB136" s="3">
        <f t="shared" si="84"/>
        <v>0.3</v>
      </c>
      <c r="CC136" s="22">
        <f t="shared" si="92"/>
        <v>57</v>
      </c>
      <c r="CD136" s="1">
        <f t="shared" ref="CD136:CD199" si="96">ROUND(O136,1)</f>
        <v>9.8000000000000007</v>
      </c>
      <c r="CE136" s="1">
        <f t="shared" ref="CE136:CE199" si="97">ROUND(S136,1)</f>
        <v>11.8</v>
      </c>
      <c r="CF136" s="1">
        <f t="shared" ref="CF136:CF199" si="98">ROUND(T136,1)</f>
        <v>12.3</v>
      </c>
      <c r="CG136" s="1">
        <f t="shared" ref="CG136:CG199" si="99">ROUND(U136,1)</f>
        <v>0.9</v>
      </c>
      <c r="CH136" s="1">
        <f t="shared" ref="CH136:CH199" si="100">ROUND(V136,1)</f>
        <v>0.8</v>
      </c>
      <c r="CI136" s="1">
        <f t="shared" ref="CI136:CI199" si="101">ROUND(W136,1)</f>
        <v>0.3</v>
      </c>
      <c r="CJ136" s="1">
        <f t="shared" ref="CJ136:CJ199" si="102">ROUND(X136,1)</f>
        <v>0.7</v>
      </c>
      <c r="CK136" s="2">
        <f t="shared" si="93"/>
        <v>87.7</v>
      </c>
      <c r="CL136" s="1">
        <f t="shared" ref="CL136:CL199" si="103">ROUND(AA136,1)</f>
        <v>-6.9</v>
      </c>
      <c r="CM136" s="1">
        <f t="shared" ref="CM136:CM199" si="104">ROUND(AE136,1)</f>
        <v>-7.6</v>
      </c>
      <c r="CN136" s="1">
        <f t="shared" ref="CN136:CN199" si="105">ROUND(AF136,1)</f>
        <v>-7.7</v>
      </c>
      <c r="CO136" s="1">
        <f t="shared" ref="CO136:CO199" si="106">ROUND(AG136,1)</f>
        <v>0.2</v>
      </c>
      <c r="CP136" s="1">
        <f t="shared" ref="CP136:CP199" si="107">ROUND(AH136,1)</f>
        <v>-0.3</v>
      </c>
      <c r="CQ136" s="1">
        <f t="shared" ref="CQ136:CQ199" si="108">ROUND(AI136,1)</f>
        <v>-0.4</v>
      </c>
      <c r="CR136" s="1">
        <f t="shared" ref="CR136:CR199" si="109">ROUND(AJ136,1)</f>
        <v>0</v>
      </c>
      <c r="CS136" s="2">
        <f t="shared" ref="CS136:CS199" si="110">ROUND(BN136,1)</f>
        <v>27.3</v>
      </c>
      <c r="CT136" s="6">
        <f t="shared" ref="CT136:CT199" si="111">BE136</f>
        <v>394</v>
      </c>
      <c r="CU136" s="1">
        <f>PPTest!K136</f>
        <v>0</v>
      </c>
      <c r="CV136" s="3">
        <f t="shared" ref="CV136:CV199" si="112">ROUND(M136,2)</f>
        <v>1.84</v>
      </c>
      <c r="CW136" s="3">
        <f t="shared" ref="CW136:CW199" si="113">ROUND(Y136,2)</f>
        <v>4.25</v>
      </c>
      <c r="CX136" s="24">
        <f t="shared" ref="CX136:CY199" si="114">BO136</f>
        <v>0.33100000000000002</v>
      </c>
      <c r="CY136" s="24">
        <f t="shared" si="114"/>
        <v>0.88100000000000001</v>
      </c>
      <c r="CZ136" s="16">
        <f t="shared" ref="CZ136:CZ199" si="115">BB136</f>
        <v>13.14</v>
      </c>
    </row>
    <row r="137" spans="1:104" x14ac:dyDescent="0.2">
      <c r="A137" s="14">
        <f t="shared" ref="A137:A200" si="116">A136+1</f>
        <v>38848</v>
      </c>
      <c r="B137" s="1">
        <v>131</v>
      </c>
      <c r="C137" s="3">
        <v>13.17</v>
      </c>
      <c r="D137" s="3">
        <v>25.13</v>
      </c>
      <c r="E137" s="3">
        <v>3.48</v>
      </c>
      <c r="F137" s="3">
        <v>88.2</v>
      </c>
      <c r="G137" s="3">
        <v>3.2690000000000001</v>
      </c>
      <c r="H137" s="3">
        <v>2.968</v>
      </c>
      <c r="I137" s="3">
        <v>0.52100000000000002</v>
      </c>
      <c r="J137" s="3">
        <v>0.10199999999999999</v>
      </c>
      <c r="K137" s="3">
        <v>-9.5000000000000001E-2</v>
      </c>
      <c r="L137" s="3">
        <v>0.34399999999999997</v>
      </c>
      <c r="M137" s="3">
        <v>1.671</v>
      </c>
      <c r="N137" s="3">
        <v>3</v>
      </c>
      <c r="O137" s="3">
        <v>10.74</v>
      </c>
      <c r="P137" s="3">
        <v>939</v>
      </c>
      <c r="Q137" s="3">
        <v>110.8</v>
      </c>
      <c r="R137" s="3">
        <v>1851</v>
      </c>
      <c r="S137" s="3">
        <v>12.79</v>
      </c>
      <c r="T137" s="3">
        <v>12.73</v>
      </c>
      <c r="U137" s="3">
        <v>0.98499999999999999</v>
      </c>
      <c r="V137" s="3">
        <v>0.71</v>
      </c>
      <c r="W137" s="3">
        <v>0.26900000000000002</v>
      </c>
      <c r="X137" s="3">
        <v>0.68899999999999995</v>
      </c>
      <c r="Y137" s="3">
        <v>4.9960000000000004</v>
      </c>
      <c r="Z137" s="3">
        <v>1732</v>
      </c>
      <c r="AA137" s="3">
        <v>-2.004</v>
      </c>
      <c r="AB137" s="3">
        <v>24</v>
      </c>
      <c r="AC137" s="3">
        <v>46.98</v>
      </c>
      <c r="AD137" s="3">
        <v>922</v>
      </c>
      <c r="AE137" s="3">
        <v>-2.8559999999999999</v>
      </c>
      <c r="AF137" s="3">
        <v>-2.8969999999999998</v>
      </c>
      <c r="AG137" s="3">
        <v>0.28000000000000003</v>
      </c>
      <c r="AH137" s="3">
        <v>-0.23799999999999999</v>
      </c>
      <c r="AI137" s="3">
        <v>-0.28999999999999998</v>
      </c>
      <c r="AJ137" s="3">
        <v>6.4000000000000001E-2</v>
      </c>
      <c r="AK137" s="3">
        <v>0.09</v>
      </c>
      <c r="AL137" s="3">
        <v>0.17599999999999999</v>
      </c>
      <c r="AM137" s="3">
        <v>0.107</v>
      </c>
      <c r="AN137" s="3">
        <v>0.06</v>
      </c>
      <c r="AO137" s="3">
        <v>0.17799999999999999</v>
      </c>
      <c r="AP137" s="3">
        <v>0.23599999999999999</v>
      </c>
      <c r="AQ137" s="3">
        <v>0.10299999999999999</v>
      </c>
      <c r="AR137" s="3">
        <v>4.9000000000000002E-2</v>
      </c>
      <c r="AS137" s="3">
        <v>3147</v>
      </c>
      <c r="AT137" s="3">
        <v>3143</v>
      </c>
      <c r="AU137" s="3">
        <v>3145</v>
      </c>
      <c r="AV137" s="3">
        <v>2.629</v>
      </c>
      <c r="AW137" s="3">
        <v>2.6709999999999998</v>
      </c>
      <c r="AX137" s="3">
        <v>10.37</v>
      </c>
      <c r="AY137" s="3">
        <v>10.82</v>
      </c>
      <c r="AZ137" s="3">
        <v>-2.9460000000000002</v>
      </c>
      <c r="BA137" s="3">
        <v>-3.1389999999999998</v>
      </c>
      <c r="BB137" s="3">
        <v>13.05</v>
      </c>
      <c r="BC137" s="3">
        <v>2876</v>
      </c>
      <c r="BE137" s="6">
        <f t="shared" si="83"/>
        <v>365</v>
      </c>
      <c r="BG137" s="16">
        <v>30.03</v>
      </c>
      <c r="BH137" s="16">
        <f t="shared" si="85"/>
        <v>60.660600000000002</v>
      </c>
      <c r="BI137" s="17">
        <f t="shared" si="80"/>
        <v>12.91</v>
      </c>
      <c r="BJ137" s="17">
        <f t="shared" si="81"/>
        <v>27.64</v>
      </c>
      <c r="BL137" s="1">
        <f t="shared" si="86"/>
        <v>99.5</v>
      </c>
      <c r="BM137" s="1">
        <f t="shared" si="87"/>
        <v>70.599999999999994</v>
      </c>
      <c r="BN137" s="1">
        <f t="shared" si="88"/>
        <v>34.299999999999997</v>
      </c>
      <c r="BO137" s="49">
        <f t="shared" si="94"/>
        <v>0.442</v>
      </c>
      <c r="BP137" s="49">
        <f t="shared" si="95"/>
        <v>0.84699999999999998</v>
      </c>
      <c r="BR137" s="3">
        <v>4</v>
      </c>
      <c r="BT137" s="16">
        <f t="shared" si="89"/>
        <v>12.91</v>
      </c>
      <c r="BU137" s="16">
        <f t="shared" si="90"/>
        <v>27.64</v>
      </c>
      <c r="BV137" s="3">
        <f t="shared" si="91"/>
        <v>3.5</v>
      </c>
      <c r="BW137" s="3">
        <f t="shared" si="84"/>
        <v>3.3</v>
      </c>
      <c r="BX137" s="3">
        <f t="shared" si="84"/>
        <v>3</v>
      </c>
      <c r="BY137" s="3">
        <f t="shared" si="84"/>
        <v>0.5</v>
      </c>
      <c r="BZ137" s="3">
        <f t="shared" si="84"/>
        <v>0.1</v>
      </c>
      <c r="CA137" s="3">
        <f t="shared" si="84"/>
        <v>-0.1</v>
      </c>
      <c r="CB137" s="3">
        <f t="shared" si="84"/>
        <v>0.3</v>
      </c>
      <c r="CC137" s="22">
        <f t="shared" si="92"/>
        <v>70.599999999999994</v>
      </c>
      <c r="CD137" s="1">
        <f t="shared" si="96"/>
        <v>10.7</v>
      </c>
      <c r="CE137" s="1">
        <f t="shared" si="97"/>
        <v>12.8</v>
      </c>
      <c r="CF137" s="1">
        <f t="shared" si="98"/>
        <v>12.7</v>
      </c>
      <c r="CG137" s="1">
        <f t="shared" si="99"/>
        <v>1</v>
      </c>
      <c r="CH137" s="1">
        <f t="shared" si="100"/>
        <v>0.7</v>
      </c>
      <c r="CI137" s="1">
        <f t="shared" si="101"/>
        <v>0.3</v>
      </c>
      <c r="CJ137" s="1">
        <f t="shared" si="102"/>
        <v>0.7</v>
      </c>
      <c r="CK137" s="2">
        <f t="shared" si="93"/>
        <v>99.5</v>
      </c>
      <c r="CL137" s="1">
        <f t="shared" si="103"/>
        <v>-2</v>
      </c>
      <c r="CM137" s="1">
        <f t="shared" si="104"/>
        <v>-2.9</v>
      </c>
      <c r="CN137" s="1">
        <f t="shared" si="105"/>
        <v>-2.9</v>
      </c>
      <c r="CO137" s="1">
        <f t="shared" si="106"/>
        <v>0.3</v>
      </c>
      <c r="CP137" s="1">
        <f t="shared" si="107"/>
        <v>-0.2</v>
      </c>
      <c r="CQ137" s="1">
        <f t="shared" si="108"/>
        <v>-0.3</v>
      </c>
      <c r="CR137" s="1">
        <f t="shared" si="109"/>
        <v>0.1</v>
      </c>
      <c r="CS137" s="2">
        <f t="shared" si="110"/>
        <v>34.299999999999997</v>
      </c>
      <c r="CT137" s="6">
        <f t="shared" si="111"/>
        <v>365</v>
      </c>
      <c r="CU137" s="1">
        <f>PPTest!K137</f>
        <v>3</v>
      </c>
      <c r="CV137" s="3">
        <f t="shared" si="112"/>
        <v>1.67</v>
      </c>
      <c r="CW137" s="3">
        <f t="shared" si="113"/>
        <v>5</v>
      </c>
      <c r="CX137" s="24">
        <f t="shared" si="114"/>
        <v>0.442</v>
      </c>
      <c r="CY137" s="24">
        <f t="shared" si="114"/>
        <v>0.84699999999999998</v>
      </c>
      <c r="CZ137" s="16">
        <f t="shared" si="115"/>
        <v>13.05</v>
      </c>
    </row>
    <row r="138" spans="1:104" x14ac:dyDescent="0.2">
      <c r="A138" s="14">
        <f t="shared" si="116"/>
        <v>38849</v>
      </c>
      <c r="B138" s="1">
        <v>132</v>
      </c>
      <c r="C138" s="3">
        <v>19.670000000000002</v>
      </c>
      <c r="D138" s="3">
        <v>35.58</v>
      </c>
      <c r="E138" s="3">
        <v>0.17199999999999999</v>
      </c>
      <c r="F138" s="3">
        <v>96.8</v>
      </c>
      <c r="G138" s="3">
        <v>0.33200000000000002</v>
      </c>
      <c r="H138" s="3">
        <v>0.17799999999999999</v>
      </c>
      <c r="I138" s="3">
        <v>0.503</v>
      </c>
      <c r="J138" s="3">
        <v>0.14599999999999999</v>
      </c>
      <c r="K138" s="3">
        <v>-0.15</v>
      </c>
      <c r="L138" s="3">
        <v>0.28899999999999998</v>
      </c>
      <c r="M138" s="3">
        <v>1.623</v>
      </c>
      <c r="N138" s="3">
        <v>0</v>
      </c>
      <c r="O138" s="3">
        <v>3.9830000000000001</v>
      </c>
      <c r="P138" s="3">
        <v>1349</v>
      </c>
      <c r="Q138" s="3">
        <v>110.9</v>
      </c>
      <c r="R138" s="3">
        <v>255</v>
      </c>
      <c r="S138" s="3">
        <v>7.14</v>
      </c>
      <c r="T138" s="3">
        <v>7.41</v>
      </c>
      <c r="U138" s="3">
        <v>0.81799999999999995</v>
      </c>
      <c r="V138" s="3">
        <v>1.258</v>
      </c>
      <c r="W138" s="3">
        <v>0.20699999999999999</v>
      </c>
      <c r="X138" s="3">
        <v>0.61899999999999999</v>
      </c>
      <c r="Y138" s="3">
        <v>4.8490000000000002</v>
      </c>
      <c r="Z138" s="3">
        <v>1044</v>
      </c>
      <c r="AA138" s="3">
        <v>-3.2240000000000002</v>
      </c>
      <c r="AB138" s="3">
        <v>2339</v>
      </c>
      <c r="AC138" s="3">
        <v>58.71</v>
      </c>
      <c r="AD138" s="3">
        <v>1044</v>
      </c>
      <c r="AE138" s="3">
        <v>-3.7709999999999999</v>
      </c>
      <c r="AF138" s="3">
        <v>-3.931</v>
      </c>
      <c r="AG138" s="3">
        <v>0.27400000000000002</v>
      </c>
      <c r="AH138" s="3">
        <v>-0.28000000000000003</v>
      </c>
      <c r="AI138" s="3">
        <v>-0.35299999999999998</v>
      </c>
      <c r="AJ138" s="3">
        <v>0.1</v>
      </c>
      <c r="AK138" s="3">
        <v>4.3999999999999997E-2</v>
      </c>
      <c r="AL138" s="3">
        <v>5.8999999999999997E-2</v>
      </c>
      <c r="AM138" s="3">
        <v>6.3E-2</v>
      </c>
      <c r="AN138" s="3">
        <v>0.09</v>
      </c>
      <c r="AO138" s="3">
        <v>0.19700000000000001</v>
      </c>
      <c r="AP138" s="3">
        <v>0.32200000000000001</v>
      </c>
      <c r="AQ138" s="3">
        <v>0.16300000000000001</v>
      </c>
      <c r="AR138" s="3">
        <v>6.3E-2</v>
      </c>
      <c r="AS138" s="3">
        <v>3270</v>
      </c>
      <c r="AT138" s="3">
        <v>3205</v>
      </c>
      <c r="AU138" s="3">
        <v>3224</v>
      </c>
      <c r="AV138" s="3">
        <v>1.044</v>
      </c>
      <c r="AW138" s="3">
        <v>0.96199999999999997</v>
      </c>
      <c r="AX138" s="3">
        <v>4.8159999999999998</v>
      </c>
      <c r="AY138" s="3">
        <v>5.5229999999999997</v>
      </c>
      <c r="AZ138" s="3">
        <v>-3.1739999999999999</v>
      </c>
      <c r="BA138" s="3">
        <v>-3.6419999999999999</v>
      </c>
      <c r="BB138" s="3">
        <v>13.17</v>
      </c>
      <c r="BC138" s="3">
        <v>2876</v>
      </c>
      <c r="BE138" s="6">
        <f t="shared" si="83"/>
        <v>286</v>
      </c>
      <c r="BG138" s="16">
        <v>30.19</v>
      </c>
      <c r="BH138" s="16">
        <f t="shared" si="85"/>
        <v>60.983800000000002</v>
      </c>
      <c r="BI138" s="17">
        <f t="shared" si="80"/>
        <v>19.28</v>
      </c>
      <c r="BJ138" s="17">
        <f t="shared" si="81"/>
        <v>39.14</v>
      </c>
      <c r="BL138" s="1">
        <f t="shared" si="86"/>
        <v>99.6</v>
      </c>
      <c r="BM138" s="1">
        <f t="shared" si="87"/>
        <v>78.2</v>
      </c>
      <c r="BN138" s="1">
        <f t="shared" si="88"/>
        <v>44.7</v>
      </c>
      <c r="BO138" s="49">
        <f t="shared" si="94"/>
        <v>0.36299999999999999</v>
      </c>
      <c r="BP138" s="49">
        <f t="shared" si="95"/>
        <v>0.44900000000000001</v>
      </c>
      <c r="BR138" s="3">
        <v>0.6</v>
      </c>
      <c r="BT138" s="16">
        <f t="shared" si="89"/>
        <v>19.28</v>
      </c>
      <c r="BU138" s="16">
        <f t="shared" si="90"/>
        <v>39.14</v>
      </c>
      <c r="BV138" s="3">
        <f t="shared" si="91"/>
        <v>0.2</v>
      </c>
      <c r="BW138" s="3">
        <f t="shared" si="84"/>
        <v>0.3</v>
      </c>
      <c r="BX138" s="3">
        <f t="shared" si="84"/>
        <v>0.2</v>
      </c>
      <c r="BY138" s="3">
        <f t="shared" si="84"/>
        <v>0.5</v>
      </c>
      <c r="BZ138" s="3">
        <f t="shared" si="84"/>
        <v>0.1</v>
      </c>
      <c r="CA138" s="3">
        <f t="shared" si="84"/>
        <v>-0.2</v>
      </c>
      <c r="CB138" s="3">
        <f t="shared" si="84"/>
        <v>0.3</v>
      </c>
      <c r="CC138" s="22">
        <f t="shared" si="92"/>
        <v>78.2</v>
      </c>
      <c r="CD138" s="1">
        <f t="shared" si="96"/>
        <v>4</v>
      </c>
      <c r="CE138" s="1">
        <f t="shared" si="97"/>
        <v>7.1</v>
      </c>
      <c r="CF138" s="1">
        <f t="shared" si="98"/>
        <v>7.4</v>
      </c>
      <c r="CG138" s="1">
        <f t="shared" si="99"/>
        <v>0.8</v>
      </c>
      <c r="CH138" s="1">
        <f t="shared" si="100"/>
        <v>1.3</v>
      </c>
      <c r="CI138" s="1">
        <f t="shared" si="101"/>
        <v>0.2</v>
      </c>
      <c r="CJ138" s="1">
        <f t="shared" si="102"/>
        <v>0.6</v>
      </c>
      <c r="CK138" s="2">
        <f t="shared" si="93"/>
        <v>99.6</v>
      </c>
      <c r="CL138" s="1">
        <f t="shared" si="103"/>
        <v>-3.2</v>
      </c>
      <c r="CM138" s="1">
        <f t="shared" si="104"/>
        <v>-3.8</v>
      </c>
      <c r="CN138" s="1">
        <f t="shared" si="105"/>
        <v>-3.9</v>
      </c>
      <c r="CO138" s="1">
        <f t="shared" si="106"/>
        <v>0.3</v>
      </c>
      <c r="CP138" s="1">
        <f t="shared" si="107"/>
        <v>-0.3</v>
      </c>
      <c r="CQ138" s="1">
        <f t="shared" si="108"/>
        <v>-0.4</v>
      </c>
      <c r="CR138" s="1">
        <f t="shared" si="109"/>
        <v>0.1</v>
      </c>
      <c r="CS138" s="2">
        <f t="shared" si="110"/>
        <v>44.7</v>
      </c>
      <c r="CT138" s="6">
        <f t="shared" si="111"/>
        <v>286</v>
      </c>
      <c r="CU138" s="1">
        <f>PPTest!K138</f>
        <v>0</v>
      </c>
      <c r="CV138" s="3">
        <f t="shared" si="112"/>
        <v>1.62</v>
      </c>
      <c r="CW138" s="3">
        <f t="shared" si="113"/>
        <v>4.8499999999999996</v>
      </c>
      <c r="CX138" s="24">
        <f t="shared" si="114"/>
        <v>0.36299999999999999</v>
      </c>
      <c r="CY138" s="24">
        <f t="shared" si="114"/>
        <v>0.44900000000000001</v>
      </c>
      <c r="CZ138" s="16">
        <f t="shared" si="115"/>
        <v>13.17</v>
      </c>
    </row>
    <row r="139" spans="1:104" x14ac:dyDescent="0.2">
      <c r="A139" s="14">
        <f t="shared" si="116"/>
        <v>38850</v>
      </c>
      <c r="B139" s="1">
        <v>133</v>
      </c>
      <c r="C139" s="3">
        <v>24.91</v>
      </c>
      <c r="D139" s="3">
        <v>44.81</v>
      </c>
      <c r="E139" s="3">
        <v>1.7889999999999999</v>
      </c>
      <c r="F139" s="3">
        <v>81.599999999999994</v>
      </c>
      <c r="G139" s="3">
        <v>1.7250000000000001</v>
      </c>
      <c r="H139" s="3">
        <v>1.613</v>
      </c>
      <c r="I139" s="3">
        <v>0.41299999999999998</v>
      </c>
      <c r="J139" s="3">
        <v>0.43099999999999999</v>
      </c>
      <c r="K139" s="3">
        <v>-0.126</v>
      </c>
      <c r="L139" s="3">
        <v>0.314</v>
      </c>
      <c r="M139" s="3">
        <v>1.5640000000000001</v>
      </c>
      <c r="N139" s="3">
        <v>0</v>
      </c>
      <c r="O139" s="3">
        <v>9.67</v>
      </c>
      <c r="P139" s="3">
        <v>1637</v>
      </c>
      <c r="Q139" s="3">
        <v>110.9</v>
      </c>
      <c r="R139" s="3">
        <v>23</v>
      </c>
      <c r="S139" s="3">
        <v>11.51</v>
      </c>
      <c r="T139" s="3">
        <v>11.99</v>
      </c>
      <c r="U139" s="3">
        <v>0.81</v>
      </c>
      <c r="V139" s="3">
        <v>1.988</v>
      </c>
      <c r="W139" s="3">
        <v>0.26600000000000001</v>
      </c>
      <c r="X139" s="3">
        <v>0.66300000000000003</v>
      </c>
      <c r="Y139" s="3">
        <v>3.7450000000000001</v>
      </c>
      <c r="Z139" s="3">
        <v>1300</v>
      </c>
      <c r="AA139" s="3">
        <v>-6.11</v>
      </c>
      <c r="AB139" s="3">
        <v>441</v>
      </c>
      <c r="AC139" s="3">
        <v>45.99</v>
      </c>
      <c r="AD139" s="3">
        <v>940</v>
      </c>
      <c r="AE139" s="3">
        <v>-6.8710000000000004</v>
      </c>
      <c r="AF139" s="3">
        <v>-7.03</v>
      </c>
      <c r="AG139" s="3">
        <v>-0.05</v>
      </c>
      <c r="AH139" s="3">
        <v>-0.312</v>
      </c>
      <c r="AI139" s="3">
        <v>-0.501</v>
      </c>
      <c r="AJ139" s="3">
        <v>-5.8999999999999997E-2</v>
      </c>
      <c r="AK139" s="3">
        <v>0.129</v>
      </c>
      <c r="AL139" s="3">
        <v>0.41899999999999998</v>
      </c>
      <c r="AM139" s="3">
        <v>0.127</v>
      </c>
      <c r="AN139" s="3">
        <v>2.3E-2</v>
      </c>
      <c r="AO139" s="3">
        <v>5.7000000000000002E-2</v>
      </c>
      <c r="AP139" s="3">
        <v>0.09</v>
      </c>
      <c r="AQ139" s="3">
        <v>0.06</v>
      </c>
      <c r="AR139" s="3">
        <v>9.5000000000000001E-2</v>
      </c>
      <c r="AS139" s="3">
        <v>3185</v>
      </c>
      <c r="AT139" s="3">
        <v>3181</v>
      </c>
      <c r="AU139" s="3">
        <v>3184</v>
      </c>
      <c r="AV139" s="3">
        <v>1.702</v>
      </c>
      <c r="AW139" s="3">
        <v>1.7230000000000001</v>
      </c>
      <c r="AX139" s="3">
        <v>8.49</v>
      </c>
      <c r="AY139" s="3">
        <v>8.93</v>
      </c>
      <c r="AZ139" s="3">
        <v>-6.431</v>
      </c>
      <c r="BA139" s="3">
        <v>-6.78</v>
      </c>
      <c r="BB139" s="3">
        <v>13.13</v>
      </c>
      <c r="BC139" s="3">
        <v>2876</v>
      </c>
      <c r="BE139" s="6">
        <f t="shared" si="83"/>
        <v>326</v>
      </c>
      <c r="BG139" s="16">
        <v>30.35</v>
      </c>
      <c r="BH139" s="16">
        <f t="shared" si="85"/>
        <v>61.307000000000002</v>
      </c>
      <c r="BI139" s="17">
        <f t="shared" si="80"/>
        <v>24.41</v>
      </c>
      <c r="BJ139" s="17">
        <f t="shared" si="81"/>
        <v>49.29</v>
      </c>
      <c r="BL139" s="1">
        <f t="shared" si="86"/>
        <v>99.6</v>
      </c>
      <c r="BM139" s="1">
        <f t="shared" si="87"/>
        <v>64.8</v>
      </c>
      <c r="BN139" s="1">
        <f t="shared" si="88"/>
        <v>33.5</v>
      </c>
      <c r="BO139" s="49">
        <f t="shared" si="94"/>
        <v>0.40200000000000002</v>
      </c>
      <c r="BP139" s="49">
        <f t="shared" si="95"/>
        <v>0.79800000000000004</v>
      </c>
      <c r="BR139" s="3">
        <v>0</v>
      </c>
      <c r="BT139" s="16">
        <f t="shared" si="89"/>
        <v>24.41</v>
      </c>
      <c r="BU139" s="16">
        <f t="shared" si="90"/>
        <v>49.29</v>
      </c>
      <c r="BV139" s="3">
        <f t="shared" si="91"/>
        <v>1.8</v>
      </c>
      <c r="BW139" s="3">
        <f t="shared" si="84"/>
        <v>1.7</v>
      </c>
      <c r="BX139" s="3">
        <f t="shared" si="84"/>
        <v>1.6</v>
      </c>
      <c r="BY139" s="3">
        <f t="shared" si="84"/>
        <v>0.4</v>
      </c>
      <c r="BZ139" s="3">
        <f t="shared" si="84"/>
        <v>0.4</v>
      </c>
      <c r="CA139" s="3">
        <f t="shared" si="84"/>
        <v>-0.1</v>
      </c>
      <c r="CB139" s="3">
        <f t="shared" si="84"/>
        <v>0.3</v>
      </c>
      <c r="CC139" s="22">
        <f t="shared" si="92"/>
        <v>64.8</v>
      </c>
      <c r="CD139" s="1">
        <f t="shared" si="96"/>
        <v>9.6999999999999993</v>
      </c>
      <c r="CE139" s="1">
        <f t="shared" si="97"/>
        <v>11.5</v>
      </c>
      <c r="CF139" s="1">
        <f t="shared" si="98"/>
        <v>12</v>
      </c>
      <c r="CG139" s="1">
        <f t="shared" si="99"/>
        <v>0.8</v>
      </c>
      <c r="CH139" s="1">
        <f t="shared" si="100"/>
        <v>2</v>
      </c>
      <c r="CI139" s="1">
        <f t="shared" si="101"/>
        <v>0.3</v>
      </c>
      <c r="CJ139" s="1">
        <f t="shared" si="102"/>
        <v>0.7</v>
      </c>
      <c r="CK139" s="2">
        <f t="shared" si="93"/>
        <v>99.6</v>
      </c>
      <c r="CL139" s="1">
        <f t="shared" si="103"/>
        <v>-6.1</v>
      </c>
      <c r="CM139" s="1">
        <f t="shared" si="104"/>
        <v>-6.9</v>
      </c>
      <c r="CN139" s="1">
        <f t="shared" si="105"/>
        <v>-7</v>
      </c>
      <c r="CO139" s="1">
        <f t="shared" si="106"/>
        <v>-0.1</v>
      </c>
      <c r="CP139" s="1">
        <f t="shared" si="107"/>
        <v>-0.3</v>
      </c>
      <c r="CQ139" s="1">
        <f t="shared" si="108"/>
        <v>-0.5</v>
      </c>
      <c r="CR139" s="1">
        <f t="shared" si="109"/>
        <v>-0.1</v>
      </c>
      <c r="CS139" s="2">
        <f t="shared" si="110"/>
        <v>33.5</v>
      </c>
      <c r="CT139" s="6">
        <f t="shared" si="111"/>
        <v>326</v>
      </c>
      <c r="CU139" s="1">
        <f>PPTest!K139</f>
        <v>0</v>
      </c>
      <c r="CV139" s="3">
        <f t="shared" si="112"/>
        <v>1.56</v>
      </c>
      <c r="CW139" s="3">
        <f t="shared" si="113"/>
        <v>3.75</v>
      </c>
      <c r="CX139" s="24">
        <f t="shared" si="114"/>
        <v>0.40200000000000002</v>
      </c>
      <c r="CY139" s="24">
        <f t="shared" si="114"/>
        <v>0.79800000000000004</v>
      </c>
      <c r="CZ139" s="16">
        <f t="shared" si="115"/>
        <v>13.13</v>
      </c>
    </row>
    <row r="140" spans="1:104" x14ac:dyDescent="0.2">
      <c r="A140" s="14">
        <f t="shared" si="116"/>
        <v>38851</v>
      </c>
      <c r="B140" s="1">
        <v>134</v>
      </c>
      <c r="C140" s="3">
        <v>28.08</v>
      </c>
      <c r="D140" s="3">
        <v>51.07</v>
      </c>
      <c r="E140" s="3">
        <v>6.4880000000000004</v>
      </c>
      <c r="F140" s="3">
        <v>67.86</v>
      </c>
      <c r="G140" s="3">
        <v>6.3239999999999998</v>
      </c>
      <c r="H140" s="3">
        <v>6.0730000000000004</v>
      </c>
      <c r="I140" s="3">
        <v>0.47599999999999998</v>
      </c>
      <c r="J140" s="3">
        <v>1.0109999999999999</v>
      </c>
      <c r="K140" s="3">
        <v>-7.4999999999999997E-2</v>
      </c>
      <c r="L140" s="3">
        <v>0.35799999999999998</v>
      </c>
      <c r="M140" s="3">
        <v>1.7430000000000001</v>
      </c>
      <c r="N140" s="3">
        <v>0</v>
      </c>
      <c r="O140" s="3">
        <v>16.14</v>
      </c>
      <c r="P140" s="3">
        <v>1601</v>
      </c>
      <c r="Q140" s="3">
        <v>106.2</v>
      </c>
      <c r="R140" s="3">
        <v>415</v>
      </c>
      <c r="S140" s="3">
        <v>18.27</v>
      </c>
      <c r="T140" s="3">
        <v>18.600000000000001</v>
      </c>
      <c r="U140" s="3">
        <v>1.143</v>
      </c>
      <c r="V140" s="3">
        <v>4.0019999999999998</v>
      </c>
      <c r="W140" s="3">
        <v>0.48599999999999999</v>
      </c>
      <c r="X140" s="3">
        <v>0.89400000000000002</v>
      </c>
      <c r="Y140" s="3">
        <v>4.2640000000000002</v>
      </c>
      <c r="Z140" s="3">
        <v>1257</v>
      </c>
      <c r="AA140" s="3">
        <v>-4.2930000000000001</v>
      </c>
      <c r="AB140" s="3">
        <v>414</v>
      </c>
      <c r="AC140" s="3">
        <v>33.590000000000003</v>
      </c>
      <c r="AD140" s="3">
        <v>907</v>
      </c>
      <c r="AE140" s="3">
        <v>-5.1100000000000003</v>
      </c>
      <c r="AF140" s="3">
        <v>-5.2309999999999999</v>
      </c>
      <c r="AG140" s="3">
        <v>4.1000000000000002E-2</v>
      </c>
      <c r="AH140" s="3">
        <v>-0.26300000000000001</v>
      </c>
      <c r="AI140" s="3">
        <v>-0.40200000000000002</v>
      </c>
      <c r="AJ140" s="3">
        <v>3.9E-2</v>
      </c>
      <c r="AK140" s="3">
        <v>8.5999999999999993E-2</v>
      </c>
      <c r="AL140" s="3">
        <v>0.36899999999999999</v>
      </c>
      <c r="AM140" s="3">
        <v>0.214</v>
      </c>
      <c r="AN140" s="3">
        <v>3.3000000000000002E-2</v>
      </c>
      <c r="AO140" s="3">
        <v>0.06</v>
      </c>
      <c r="AP140" s="3">
        <v>9.9000000000000005E-2</v>
      </c>
      <c r="AQ140" s="3">
        <v>6.6000000000000003E-2</v>
      </c>
      <c r="AR140" s="3">
        <v>7.3999999999999996E-2</v>
      </c>
      <c r="AS140" s="3">
        <v>3247</v>
      </c>
      <c r="AT140" s="3">
        <v>3236</v>
      </c>
      <c r="AU140" s="3">
        <v>3241</v>
      </c>
      <c r="AV140" s="3">
        <v>5.5110000000000001</v>
      </c>
      <c r="AW140" s="3">
        <v>5.6150000000000002</v>
      </c>
      <c r="AX140" s="3">
        <v>16.54</v>
      </c>
      <c r="AY140" s="3">
        <v>16.93</v>
      </c>
      <c r="AZ140" s="3">
        <v>-5.2080000000000002</v>
      </c>
      <c r="BA140" s="3">
        <v>-5.4560000000000004</v>
      </c>
      <c r="BB140" s="3">
        <v>13.02</v>
      </c>
      <c r="BC140" s="3">
        <v>2876</v>
      </c>
      <c r="BE140" s="6">
        <f t="shared" si="83"/>
        <v>269</v>
      </c>
      <c r="BG140" s="16">
        <v>30.5</v>
      </c>
      <c r="BH140" s="16">
        <f t="shared" si="85"/>
        <v>61.61</v>
      </c>
      <c r="BI140" s="17">
        <f t="shared" si="80"/>
        <v>27.52</v>
      </c>
      <c r="BJ140" s="17">
        <f t="shared" si="81"/>
        <v>56.18</v>
      </c>
      <c r="BL140" s="1">
        <f t="shared" si="86"/>
        <v>92.2</v>
      </c>
      <c r="BM140" s="1">
        <f t="shared" si="87"/>
        <v>52.7</v>
      </c>
      <c r="BN140" s="1">
        <f t="shared" si="88"/>
        <v>22.6</v>
      </c>
      <c r="BO140" s="49">
        <f t="shared" si="94"/>
        <v>0.41399999999999998</v>
      </c>
      <c r="BP140" s="49">
        <f t="shared" si="95"/>
        <v>1.4179999999999999</v>
      </c>
      <c r="BR140" s="3">
        <v>0</v>
      </c>
      <c r="BT140" s="16">
        <f t="shared" si="89"/>
        <v>27.52</v>
      </c>
      <c r="BU140" s="16">
        <f t="shared" si="90"/>
        <v>56.18</v>
      </c>
      <c r="BV140" s="3">
        <f t="shared" si="91"/>
        <v>6.5</v>
      </c>
      <c r="BW140" s="3">
        <f t="shared" si="84"/>
        <v>6.3</v>
      </c>
      <c r="BX140" s="3">
        <f t="shared" si="84"/>
        <v>6.1</v>
      </c>
      <c r="BY140" s="3">
        <f t="shared" si="84"/>
        <v>0.5</v>
      </c>
      <c r="BZ140" s="3">
        <f t="shared" si="84"/>
        <v>1</v>
      </c>
      <c r="CA140" s="3">
        <f t="shared" si="84"/>
        <v>-0.1</v>
      </c>
      <c r="CB140" s="3">
        <f t="shared" si="84"/>
        <v>0.4</v>
      </c>
      <c r="CC140" s="22">
        <f t="shared" si="92"/>
        <v>52.7</v>
      </c>
      <c r="CD140" s="1">
        <f t="shared" si="96"/>
        <v>16.100000000000001</v>
      </c>
      <c r="CE140" s="1">
        <f t="shared" si="97"/>
        <v>18.3</v>
      </c>
      <c r="CF140" s="1">
        <f t="shared" si="98"/>
        <v>18.600000000000001</v>
      </c>
      <c r="CG140" s="1">
        <f t="shared" si="99"/>
        <v>1.1000000000000001</v>
      </c>
      <c r="CH140" s="1">
        <f t="shared" si="100"/>
        <v>4</v>
      </c>
      <c r="CI140" s="1">
        <f t="shared" si="101"/>
        <v>0.5</v>
      </c>
      <c r="CJ140" s="1">
        <f t="shared" si="102"/>
        <v>0.9</v>
      </c>
      <c r="CK140" s="2">
        <f t="shared" si="93"/>
        <v>92.2</v>
      </c>
      <c r="CL140" s="1">
        <f t="shared" si="103"/>
        <v>-4.3</v>
      </c>
      <c r="CM140" s="1">
        <f t="shared" si="104"/>
        <v>-5.0999999999999996</v>
      </c>
      <c r="CN140" s="1">
        <f t="shared" si="105"/>
        <v>-5.2</v>
      </c>
      <c r="CO140" s="1">
        <f t="shared" si="106"/>
        <v>0</v>
      </c>
      <c r="CP140" s="1">
        <f t="shared" si="107"/>
        <v>-0.3</v>
      </c>
      <c r="CQ140" s="1">
        <f t="shared" si="108"/>
        <v>-0.4</v>
      </c>
      <c r="CR140" s="1">
        <f t="shared" si="109"/>
        <v>0</v>
      </c>
      <c r="CS140" s="2">
        <f t="shared" si="110"/>
        <v>22.6</v>
      </c>
      <c r="CT140" s="6">
        <f t="shared" si="111"/>
        <v>269</v>
      </c>
      <c r="CU140" s="1">
        <f>PPTest!K140</f>
        <v>0</v>
      </c>
      <c r="CV140" s="3">
        <f t="shared" si="112"/>
        <v>1.74</v>
      </c>
      <c r="CW140" s="3">
        <f t="shared" si="113"/>
        <v>4.26</v>
      </c>
      <c r="CX140" s="24">
        <f t="shared" si="114"/>
        <v>0.41399999999999998</v>
      </c>
      <c r="CY140" s="24">
        <f t="shared" si="114"/>
        <v>1.4179999999999999</v>
      </c>
      <c r="CZ140" s="16">
        <f t="shared" si="115"/>
        <v>13.02</v>
      </c>
    </row>
    <row r="141" spans="1:104" x14ac:dyDescent="0.2">
      <c r="A141" s="14">
        <f t="shared" si="116"/>
        <v>38852</v>
      </c>
      <c r="B141" s="1">
        <v>135</v>
      </c>
      <c r="C141" s="3">
        <v>30.79</v>
      </c>
      <c r="D141" s="3">
        <v>55.96</v>
      </c>
      <c r="E141" s="3">
        <v>11.03</v>
      </c>
      <c r="F141" s="3">
        <v>64.36</v>
      </c>
      <c r="G141" s="3">
        <v>10.78</v>
      </c>
      <c r="H141" s="3">
        <v>10.47</v>
      </c>
      <c r="I141" s="3">
        <v>0.59599999999999997</v>
      </c>
      <c r="J141" s="3">
        <v>1.577</v>
      </c>
      <c r="K141" s="3">
        <v>-6.5000000000000002E-2</v>
      </c>
      <c r="L141" s="3">
        <v>0.36699999999999999</v>
      </c>
      <c r="M141" s="3">
        <v>1.958</v>
      </c>
      <c r="N141" s="3">
        <v>0</v>
      </c>
      <c r="O141" s="3">
        <v>22.42</v>
      </c>
      <c r="P141" s="3">
        <v>1610</v>
      </c>
      <c r="Q141" s="3">
        <v>106.3</v>
      </c>
      <c r="R141" s="3">
        <v>429</v>
      </c>
      <c r="S141" s="3">
        <v>24.17</v>
      </c>
      <c r="T141" s="3">
        <v>24.73</v>
      </c>
      <c r="U141" s="3">
        <v>1.1719999999999999</v>
      </c>
      <c r="V141" s="3">
        <v>4.8390000000000004</v>
      </c>
      <c r="W141" s="3">
        <v>0.46400000000000002</v>
      </c>
      <c r="X141" s="3">
        <v>0.92100000000000004</v>
      </c>
      <c r="Y141" s="3">
        <v>4.5430000000000001</v>
      </c>
      <c r="Z141" s="3">
        <v>1051</v>
      </c>
      <c r="AA141" s="3">
        <v>-1.278</v>
      </c>
      <c r="AB141" s="3">
        <v>412</v>
      </c>
      <c r="AC141" s="3">
        <v>30.54</v>
      </c>
      <c r="AD141" s="3">
        <v>1611</v>
      </c>
      <c r="AE141" s="3">
        <v>-2.0950000000000002</v>
      </c>
      <c r="AF141" s="3">
        <v>-2.2410000000000001</v>
      </c>
      <c r="AG141" s="3">
        <v>-0.112</v>
      </c>
      <c r="AH141" s="3">
        <v>-0.221</v>
      </c>
      <c r="AI141" s="3">
        <v>-0.73199999999999998</v>
      </c>
      <c r="AJ141" s="3">
        <v>-0.28299999999999997</v>
      </c>
      <c r="AK141" s="3">
        <v>7.8E-2</v>
      </c>
      <c r="AL141" s="3">
        <v>0.34499999999999997</v>
      </c>
      <c r="AM141" s="3">
        <v>0.26400000000000001</v>
      </c>
      <c r="AN141" s="3">
        <v>3.5999999999999997E-2</v>
      </c>
      <c r="AO141" s="3">
        <v>7.5999999999999998E-2</v>
      </c>
      <c r="AP141" s="3">
        <v>9.5000000000000001E-2</v>
      </c>
      <c r="AQ141" s="3">
        <v>4.7E-2</v>
      </c>
      <c r="AR141" s="3">
        <v>5.8999999999999997E-2</v>
      </c>
      <c r="AS141" s="3">
        <v>3333</v>
      </c>
      <c r="AT141" s="3">
        <v>3328</v>
      </c>
      <c r="AU141" s="3">
        <v>3330</v>
      </c>
      <c r="AV141" s="3">
        <v>9.59</v>
      </c>
      <c r="AW141" s="3">
        <v>9.7100000000000009</v>
      </c>
      <c r="AX141" s="3">
        <v>22.29</v>
      </c>
      <c r="AY141" s="3">
        <v>22.88</v>
      </c>
      <c r="AZ141" s="3">
        <v>-2.222</v>
      </c>
      <c r="BA141" s="3">
        <v>-2.4409999999999998</v>
      </c>
      <c r="BB141" s="3">
        <v>12.92</v>
      </c>
      <c r="BC141" s="3">
        <v>2876</v>
      </c>
      <c r="BE141" s="6">
        <f t="shared" si="83"/>
        <v>180</v>
      </c>
      <c r="BG141" s="16">
        <v>30.66</v>
      </c>
      <c r="BH141" s="16">
        <f t="shared" si="85"/>
        <v>61.933199999999999</v>
      </c>
      <c r="BI141" s="17">
        <f t="shared" si="80"/>
        <v>30.17</v>
      </c>
      <c r="BJ141" s="17">
        <f t="shared" si="81"/>
        <v>61.56</v>
      </c>
      <c r="BL141" s="1">
        <f t="shared" si="86"/>
        <v>92.3</v>
      </c>
      <c r="BM141" s="1">
        <f t="shared" si="87"/>
        <v>49.6</v>
      </c>
      <c r="BN141" s="1">
        <f t="shared" si="88"/>
        <v>19.899999999999999</v>
      </c>
      <c r="BO141" s="49">
        <f t="shared" si="94"/>
        <v>0.54</v>
      </c>
      <c r="BP141" s="49">
        <f t="shared" si="95"/>
        <v>2.1739999999999999</v>
      </c>
      <c r="BR141" s="3">
        <v>0</v>
      </c>
      <c r="BT141" s="16">
        <f t="shared" si="89"/>
        <v>30.17</v>
      </c>
      <c r="BU141" s="16">
        <f t="shared" si="90"/>
        <v>61.56</v>
      </c>
      <c r="BV141" s="3">
        <f t="shared" si="91"/>
        <v>11</v>
      </c>
      <c r="BW141" s="3">
        <f t="shared" si="84"/>
        <v>10.8</v>
      </c>
      <c r="BX141" s="3">
        <f t="shared" si="84"/>
        <v>10.5</v>
      </c>
      <c r="BY141" s="3">
        <f t="shared" si="84"/>
        <v>0.6</v>
      </c>
      <c r="BZ141" s="3">
        <f t="shared" si="84"/>
        <v>1.6</v>
      </c>
      <c r="CA141" s="3">
        <f t="shared" si="84"/>
        <v>-0.1</v>
      </c>
      <c r="CB141" s="3">
        <f t="shared" si="84"/>
        <v>0.4</v>
      </c>
      <c r="CC141" s="22">
        <f t="shared" si="92"/>
        <v>49.6</v>
      </c>
      <c r="CD141" s="1">
        <f t="shared" si="96"/>
        <v>22.4</v>
      </c>
      <c r="CE141" s="1">
        <f t="shared" si="97"/>
        <v>24.2</v>
      </c>
      <c r="CF141" s="1">
        <f t="shared" si="98"/>
        <v>24.7</v>
      </c>
      <c r="CG141" s="1">
        <f t="shared" si="99"/>
        <v>1.2</v>
      </c>
      <c r="CH141" s="1">
        <f t="shared" si="100"/>
        <v>4.8</v>
      </c>
      <c r="CI141" s="1">
        <f t="shared" si="101"/>
        <v>0.5</v>
      </c>
      <c r="CJ141" s="1">
        <f t="shared" si="102"/>
        <v>0.9</v>
      </c>
      <c r="CK141" s="2">
        <f t="shared" si="93"/>
        <v>92.3</v>
      </c>
      <c r="CL141" s="1">
        <f t="shared" si="103"/>
        <v>-1.3</v>
      </c>
      <c r="CM141" s="1">
        <f t="shared" si="104"/>
        <v>-2.1</v>
      </c>
      <c r="CN141" s="1">
        <f t="shared" si="105"/>
        <v>-2.2000000000000002</v>
      </c>
      <c r="CO141" s="1">
        <f t="shared" si="106"/>
        <v>-0.1</v>
      </c>
      <c r="CP141" s="1">
        <f t="shared" si="107"/>
        <v>-0.2</v>
      </c>
      <c r="CQ141" s="1">
        <f t="shared" si="108"/>
        <v>-0.7</v>
      </c>
      <c r="CR141" s="1">
        <f t="shared" si="109"/>
        <v>-0.3</v>
      </c>
      <c r="CS141" s="2">
        <f t="shared" si="110"/>
        <v>19.899999999999999</v>
      </c>
      <c r="CT141" s="6">
        <f t="shared" si="111"/>
        <v>180</v>
      </c>
      <c r="CU141" s="1">
        <f>PPTest!K141</f>
        <v>0</v>
      </c>
      <c r="CV141" s="3">
        <f t="shared" si="112"/>
        <v>1.96</v>
      </c>
      <c r="CW141" s="3">
        <f t="shared" si="113"/>
        <v>4.54</v>
      </c>
      <c r="CX141" s="24">
        <f t="shared" si="114"/>
        <v>0.54</v>
      </c>
      <c r="CY141" s="24">
        <f t="shared" si="114"/>
        <v>2.1739999999999999</v>
      </c>
      <c r="CZ141" s="16">
        <f t="shared" si="115"/>
        <v>12.92</v>
      </c>
    </row>
    <row r="142" spans="1:104" x14ac:dyDescent="0.2">
      <c r="A142" s="14">
        <f t="shared" si="116"/>
        <v>38853</v>
      </c>
      <c r="B142" s="1">
        <v>136</v>
      </c>
      <c r="C142" s="3">
        <v>30.54</v>
      </c>
      <c r="D142" s="3">
        <v>55.56</v>
      </c>
      <c r="E142" s="3">
        <v>12.68</v>
      </c>
      <c r="F142" s="3">
        <v>66.55</v>
      </c>
      <c r="G142" s="3">
        <v>12.4</v>
      </c>
      <c r="H142" s="3">
        <v>12.05</v>
      </c>
      <c r="I142" s="3">
        <v>1.5069999999999999</v>
      </c>
      <c r="J142" s="3">
        <v>2.1850000000000001</v>
      </c>
      <c r="K142" s="3">
        <v>-6.3E-2</v>
      </c>
      <c r="L142" s="3">
        <v>0.374</v>
      </c>
      <c r="M142" s="3">
        <v>1.845</v>
      </c>
      <c r="N142" s="3">
        <v>0</v>
      </c>
      <c r="O142" s="3">
        <v>24.54</v>
      </c>
      <c r="P142" s="3">
        <v>1630</v>
      </c>
      <c r="Q142" s="3">
        <v>100.4</v>
      </c>
      <c r="R142" s="3">
        <v>437</v>
      </c>
      <c r="S142" s="3">
        <v>26.28</v>
      </c>
      <c r="T142" s="3">
        <v>26.25</v>
      </c>
      <c r="U142" s="3">
        <v>4.0609999999999999</v>
      </c>
      <c r="V142" s="3">
        <v>5.7290000000000001</v>
      </c>
      <c r="W142" s="3">
        <v>0.46500000000000002</v>
      </c>
      <c r="X142" s="3">
        <v>0.91700000000000004</v>
      </c>
      <c r="Y142" s="3">
        <v>3.7589999999999999</v>
      </c>
      <c r="Z142" s="3">
        <v>1149</v>
      </c>
      <c r="AA142" s="3">
        <v>2.1259999999999999</v>
      </c>
      <c r="AB142" s="3">
        <v>437</v>
      </c>
      <c r="AC142" s="3">
        <v>30.59</v>
      </c>
      <c r="AD142" s="3">
        <v>1538</v>
      </c>
      <c r="AE142" s="3">
        <v>1.137</v>
      </c>
      <c r="AF142" s="3">
        <v>0.84299999999999997</v>
      </c>
      <c r="AG142" s="3">
        <v>0.28799999999999998</v>
      </c>
      <c r="AH142" s="3">
        <v>-8.0000000000000002E-3</v>
      </c>
      <c r="AI142" s="3">
        <v>-0.82599999999999996</v>
      </c>
      <c r="AJ142" s="3">
        <v>-0.36299999999999999</v>
      </c>
      <c r="AK142" s="3">
        <v>3.3000000000000002E-2</v>
      </c>
      <c r="AL142" s="3">
        <v>0.33700000000000002</v>
      </c>
      <c r="AM142" s="3">
        <v>0.26900000000000002</v>
      </c>
      <c r="AN142" s="3">
        <v>2.5999999999999999E-2</v>
      </c>
      <c r="AO142" s="3">
        <v>0.126</v>
      </c>
      <c r="AP142" s="3">
        <v>0.13400000000000001</v>
      </c>
      <c r="AQ142" s="3">
        <v>5.0999999999999997E-2</v>
      </c>
      <c r="AR142" s="3">
        <v>2.4E-2</v>
      </c>
      <c r="AS142" s="3">
        <v>3475</v>
      </c>
      <c r="AT142" s="3">
        <v>3471</v>
      </c>
      <c r="AU142" s="3">
        <v>3473</v>
      </c>
      <c r="AV142" s="3">
        <v>11.77</v>
      </c>
      <c r="AW142" s="3">
        <v>11.76</v>
      </c>
      <c r="AX142" s="3">
        <v>25.67</v>
      </c>
      <c r="AY142" s="3">
        <v>25.77</v>
      </c>
      <c r="AZ142" s="3">
        <v>1.3160000000000001</v>
      </c>
      <c r="BA142" s="3">
        <v>1.105</v>
      </c>
      <c r="BB142" s="3">
        <v>12.86</v>
      </c>
      <c r="BC142" s="3">
        <v>2876</v>
      </c>
      <c r="BE142" s="6">
        <f t="shared" si="83"/>
        <v>37</v>
      </c>
      <c r="BG142" s="16">
        <v>30.8</v>
      </c>
      <c r="BH142" s="16">
        <f t="shared" si="85"/>
        <v>62.216000000000001</v>
      </c>
      <c r="BI142" s="17">
        <f t="shared" si="80"/>
        <v>29.93</v>
      </c>
      <c r="BJ142" s="17">
        <f t="shared" si="81"/>
        <v>61.12</v>
      </c>
      <c r="BL142" s="1">
        <f t="shared" si="86"/>
        <v>82.9</v>
      </c>
      <c r="BM142" s="1">
        <f t="shared" si="87"/>
        <v>51.6</v>
      </c>
      <c r="BN142" s="1">
        <f t="shared" si="88"/>
        <v>19.899999999999999</v>
      </c>
      <c r="BO142" s="49">
        <f t="shared" si="94"/>
        <v>0.61299999999999999</v>
      </c>
      <c r="BP142" s="49">
        <f t="shared" si="95"/>
        <v>2.4670000000000001</v>
      </c>
      <c r="BR142" s="3">
        <v>0</v>
      </c>
      <c r="BT142" s="16">
        <f t="shared" si="89"/>
        <v>29.93</v>
      </c>
      <c r="BU142" s="16">
        <f t="shared" si="90"/>
        <v>61.12</v>
      </c>
      <c r="BV142" s="3">
        <f t="shared" si="91"/>
        <v>12.7</v>
      </c>
      <c r="BW142" s="3">
        <f t="shared" si="84"/>
        <v>12.4</v>
      </c>
      <c r="BX142" s="3">
        <f t="shared" si="84"/>
        <v>12.1</v>
      </c>
      <c r="BY142" s="3">
        <f t="shared" si="84"/>
        <v>1.5</v>
      </c>
      <c r="BZ142" s="3">
        <f t="shared" si="84"/>
        <v>2.2000000000000002</v>
      </c>
      <c r="CA142" s="3">
        <f t="shared" si="84"/>
        <v>-0.1</v>
      </c>
      <c r="CB142" s="3">
        <f t="shared" si="84"/>
        <v>0.4</v>
      </c>
      <c r="CC142" s="22">
        <f t="shared" si="92"/>
        <v>51.6</v>
      </c>
      <c r="CD142" s="1">
        <f t="shared" si="96"/>
        <v>24.5</v>
      </c>
      <c r="CE142" s="1">
        <f t="shared" si="97"/>
        <v>26.3</v>
      </c>
      <c r="CF142" s="1">
        <f t="shared" si="98"/>
        <v>26.3</v>
      </c>
      <c r="CG142" s="1">
        <f t="shared" si="99"/>
        <v>4.0999999999999996</v>
      </c>
      <c r="CH142" s="1">
        <f t="shared" si="100"/>
        <v>5.7</v>
      </c>
      <c r="CI142" s="1">
        <f t="shared" si="101"/>
        <v>0.5</v>
      </c>
      <c r="CJ142" s="1">
        <f t="shared" si="102"/>
        <v>0.9</v>
      </c>
      <c r="CK142" s="2">
        <f t="shared" si="93"/>
        <v>82.9</v>
      </c>
      <c r="CL142" s="1">
        <f t="shared" si="103"/>
        <v>2.1</v>
      </c>
      <c r="CM142" s="1">
        <f t="shared" si="104"/>
        <v>1.1000000000000001</v>
      </c>
      <c r="CN142" s="1">
        <f t="shared" si="105"/>
        <v>0.8</v>
      </c>
      <c r="CO142" s="1">
        <f t="shared" si="106"/>
        <v>0.3</v>
      </c>
      <c r="CP142" s="1">
        <f t="shared" si="107"/>
        <v>0</v>
      </c>
      <c r="CQ142" s="1">
        <f t="shared" si="108"/>
        <v>-0.8</v>
      </c>
      <c r="CR142" s="1">
        <f t="shared" si="109"/>
        <v>-0.4</v>
      </c>
      <c r="CS142" s="2">
        <f t="shared" si="110"/>
        <v>19.899999999999999</v>
      </c>
      <c r="CT142" s="6">
        <f t="shared" si="111"/>
        <v>37</v>
      </c>
      <c r="CU142" s="1">
        <f>PPTest!K142</f>
        <v>0</v>
      </c>
      <c r="CV142" s="3">
        <f t="shared" si="112"/>
        <v>1.85</v>
      </c>
      <c r="CW142" s="3">
        <f t="shared" si="113"/>
        <v>3.76</v>
      </c>
      <c r="CX142" s="24">
        <f t="shared" si="114"/>
        <v>0.61299999999999999</v>
      </c>
      <c r="CY142" s="24">
        <f t="shared" si="114"/>
        <v>2.4670000000000001</v>
      </c>
      <c r="CZ142" s="16">
        <f t="shared" si="115"/>
        <v>12.86</v>
      </c>
    </row>
    <row r="143" spans="1:104" x14ac:dyDescent="0.2">
      <c r="A143" s="14">
        <f t="shared" si="116"/>
        <v>38854</v>
      </c>
      <c r="B143" s="1">
        <v>137</v>
      </c>
      <c r="C143" s="3">
        <v>25.73</v>
      </c>
      <c r="D143" s="3">
        <v>47.11</v>
      </c>
      <c r="E143" s="3">
        <v>11.79</v>
      </c>
      <c r="F143" s="3">
        <v>74.5</v>
      </c>
      <c r="G143" s="3">
        <v>11.47</v>
      </c>
      <c r="H143" s="3">
        <v>11.28</v>
      </c>
      <c r="I143" s="3">
        <v>2.8109999999999999</v>
      </c>
      <c r="J143" s="3">
        <v>2.4239999999999999</v>
      </c>
      <c r="K143" s="3">
        <v>-5.2999999999999999E-2</v>
      </c>
      <c r="L143" s="3">
        <v>0.40600000000000003</v>
      </c>
      <c r="M143" s="3">
        <v>1.8420000000000001</v>
      </c>
      <c r="N143" s="3">
        <v>0</v>
      </c>
      <c r="O143" s="3">
        <v>24.49</v>
      </c>
      <c r="P143" s="3">
        <v>1400</v>
      </c>
      <c r="Q143" s="3">
        <v>105.9</v>
      </c>
      <c r="R143" s="3">
        <v>433</v>
      </c>
      <c r="S143" s="3">
        <v>27.5</v>
      </c>
      <c r="T143" s="3">
        <v>27.99</v>
      </c>
      <c r="U143" s="3">
        <v>9.27</v>
      </c>
      <c r="V143" s="3">
        <v>6.3520000000000003</v>
      </c>
      <c r="W143" s="3">
        <v>0.52500000000000002</v>
      </c>
      <c r="X143" s="3">
        <v>0.93300000000000005</v>
      </c>
      <c r="Y143" s="3">
        <v>4.7160000000000002</v>
      </c>
      <c r="Z143" s="3">
        <v>1232</v>
      </c>
      <c r="AA143" s="3">
        <v>1.4970000000000001</v>
      </c>
      <c r="AB143" s="3">
        <v>431</v>
      </c>
      <c r="AC143" s="3">
        <v>34.93</v>
      </c>
      <c r="AD143" s="3">
        <v>1351</v>
      </c>
      <c r="AE143" s="3">
        <v>0.61</v>
      </c>
      <c r="AF143" s="3">
        <v>0.50800000000000001</v>
      </c>
      <c r="AG143" s="3">
        <v>0.45300000000000001</v>
      </c>
      <c r="AH143" s="3">
        <v>0.1</v>
      </c>
      <c r="AI143" s="3">
        <v>-0.82399999999999995</v>
      </c>
      <c r="AJ143" s="3">
        <v>-0.32700000000000001</v>
      </c>
      <c r="AK143" s="3">
        <v>4.0000000000000001E-3</v>
      </c>
      <c r="AL143" s="3">
        <v>0.27800000000000002</v>
      </c>
      <c r="AM143" s="3">
        <v>0.40699999999999997</v>
      </c>
      <c r="AN143" s="3">
        <v>2.9000000000000001E-2</v>
      </c>
      <c r="AO143" s="3">
        <v>8.1000000000000003E-2</v>
      </c>
      <c r="AP143" s="3">
        <v>0.13200000000000001</v>
      </c>
      <c r="AQ143" s="3">
        <v>4.9000000000000002E-2</v>
      </c>
      <c r="AR143" s="3">
        <v>2.1000000000000001E-2</v>
      </c>
      <c r="AS143" s="3">
        <v>3524</v>
      </c>
      <c r="AT143" s="3">
        <v>3523</v>
      </c>
      <c r="AU143" s="3">
        <v>3524</v>
      </c>
      <c r="AV143" s="3">
        <v>11.52</v>
      </c>
      <c r="AW143" s="3">
        <v>11.48</v>
      </c>
      <c r="AX143" s="3">
        <v>26.44</v>
      </c>
      <c r="AY143" s="3">
        <v>26.63</v>
      </c>
      <c r="AZ143" s="3">
        <v>0.59699999999999998</v>
      </c>
      <c r="BA143" s="3">
        <v>0.42099999999999999</v>
      </c>
      <c r="BB143" s="3">
        <v>12.86</v>
      </c>
      <c r="BC143" s="3">
        <v>2876</v>
      </c>
      <c r="BE143" s="6">
        <v>0</v>
      </c>
      <c r="BG143" s="16">
        <v>30.94</v>
      </c>
      <c r="BH143" s="16">
        <f t="shared" si="85"/>
        <v>62.498800000000003</v>
      </c>
      <c r="BI143" s="17">
        <f t="shared" si="80"/>
        <v>25.22</v>
      </c>
      <c r="BJ143" s="17">
        <f t="shared" si="81"/>
        <v>51.82</v>
      </c>
      <c r="BL143" s="1">
        <f t="shared" si="86"/>
        <v>91.7</v>
      </c>
      <c r="BM143" s="1">
        <f t="shared" si="87"/>
        <v>58.6</v>
      </c>
      <c r="BN143" s="1">
        <f t="shared" si="88"/>
        <v>23.7</v>
      </c>
      <c r="BO143" s="49">
        <f t="shared" si="94"/>
        <v>0.72799999999999998</v>
      </c>
      <c r="BP143" s="49">
        <f t="shared" si="95"/>
        <v>2.3439999999999999</v>
      </c>
      <c r="BR143" s="3">
        <v>1.2</v>
      </c>
      <c r="BT143" s="16">
        <f t="shared" si="89"/>
        <v>25.22</v>
      </c>
      <c r="BU143" s="16">
        <f t="shared" si="90"/>
        <v>51.82</v>
      </c>
      <c r="BV143" s="3">
        <f t="shared" si="91"/>
        <v>11.8</v>
      </c>
      <c r="BW143" s="3">
        <f t="shared" si="84"/>
        <v>11.5</v>
      </c>
      <c r="BX143" s="3">
        <f t="shared" si="84"/>
        <v>11.3</v>
      </c>
      <c r="BY143" s="3">
        <f t="shared" si="84"/>
        <v>2.8</v>
      </c>
      <c r="BZ143" s="3">
        <f t="shared" si="84"/>
        <v>2.4</v>
      </c>
      <c r="CA143" s="3">
        <f t="shared" si="84"/>
        <v>-0.1</v>
      </c>
      <c r="CB143" s="3">
        <f t="shared" si="84"/>
        <v>0.4</v>
      </c>
      <c r="CC143" s="22">
        <f t="shared" si="92"/>
        <v>58.6</v>
      </c>
      <c r="CD143" s="1">
        <f t="shared" si="96"/>
        <v>24.5</v>
      </c>
      <c r="CE143" s="1">
        <f t="shared" si="97"/>
        <v>27.5</v>
      </c>
      <c r="CF143" s="1">
        <f t="shared" si="98"/>
        <v>28</v>
      </c>
      <c r="CG143" s="1">
        <f t="shared" si="99"/>
        <v>9.3000000000000007</v>
      </c>
      <c r="CH143" s="1">
        <f t="shared" si="100"/>
        <v>6.4</v>
      </c>
      <c r="CI143" s="1">
        <f t="shared" si="101"/>
        <v>0.5</v>
      </c>
      <c r="CJ143" s="1">
        <f t="shared" si="102"/>
        <v>0.9</v>
      </c>
      <c r="CK143" s="2">
        <f t="shared" si="93"/>
        <v>91.7</v>
      </c>
      <c r="CL143" s="1">
        <f t="shared" si="103"/>
        <v>1.5</v>
      </c>
      <c r="CM143" s="1">
        <f t="shared" si="104"/>
        <v>0.6</v>
      </c>
      <c r="CN143" s="1">
        <f t="shared" si="105"/>
        <v>0.5</v>
      </c>
      <c r="CO143" s="1">
        <f t="shared" si="106"/>
        <v>0.5</v>
      </c>
      <c r="CP143" s="1">
        <f t="shared" si="107"/>
        <v>0.1</v>
      </c>
      <c r="CQ143" s="1">
        <f t="shared" si="108"/>
        <v>-0.8</v>
      </c>
      <c r="CR143" s="1">
        <f t="shared" si="109"/>
        <v>-0.3</v>
      </c>
      <c r="CS143" s="2">
        <f t="shared" si="110"/>
        <v>23.7</v>
      </c>
      <c r="CT143" s="6">
        <f t="shared" si="111"/>
        <v>0</v>
      </c>
      <c r="CU143" s="1">
        <f>PPTest!K143</f>
        <v>0</v>
      </c>
      <c r="CV143" s="3">
        <f t="shared" si="112"/>
        <v>1.84</v>
      </c>
      <c r="CW143" s="3">
        <f t="shared" si="113"/>
        <v>4.72</v>
      </c>
      <c r="CX143" s="24">
        <f t="shared" si="114"/>
        <v>0.72799999999999998</v>
      </c>
      <c r="CY143" s="24">
        <f t="shared" si="114"/>
        <v>2.3439999999999999</v>
      </c>
      <c r="CZ143" s="16">
        <f t="shared" si="115"/>
        <v>12.86</v>
      </c>
    </row>
    <row r="144" spans="1:104" x14ac:dyDescent="0.2">
      <c r="A144" s="14">
        <f t="shared" si="116"/>
        <v>38855</v>
      </c>
      <c r="B144" s="1">
        <v>138</v>
      </c>
      <c r="C144" s="3">
        <v>28.7</v>
      </c>
      <c r="D144" s="3">
        <v>52.05</v>
      </c>
      <c r="E144" s="3">
        <v>11.08</v>
      </c>
      <c r="F144" s="3">
        <v>75.7</v>
      </c>
      <c r="G144" s="3">
        <v>11.12</v>
      </c>
      <c r="H144" s="3">
        <v>11.19</v>
      </c>
      <c r="I144" s="3">
        <v>5.4740000000000002</v>
      </c>
      <c r="J144" s="3">
        <v>3.2549999999999999</v>
      </c>
      <c r="K144" s="3">
        <v>-6.5000000000000002E-2</v>
      </c>
      <c r="L144" s="3">
        <v>0.46200000000000002</v>
      </c>
      <c r="M144" s="3">
        <v>1.8859999999999999</v>
      </c>
      <c r="N144" s="3">
        <v>0</v>
      </c>
      <c r="O144" s="3">
        <v>22.31</v>
      </c>
      <c r="P144" s="3">
        <v>1509</v>
      </c>
      <c r="Q144" s="3">
        <v>106.6</v>
      </c>
      <c r="R144" s="3">
        <v>406</v>
      </c>
      <c r="S144" s="3">
        <v>24.7</v>
      </c>
      <c r="T144" s="3">
        <v>26.13</v>
      </c>
      <c r="U144" s="3">
        <v>13.1</v>
      </c>
      <c r="V144" s="3">
        <v>7.6</v>
      </c>
      <c r="W144" s="3">
        <v>0.54900000000000004</v>
      </c>
      <c r="X144" s="3">
        <v>1.0449999999999999</v>
      </c>
      <c r="Y144" s="3">
        <v>3.7589999999999999</v>
      </c>
      <c r="Z144" s="3">
        <v>1007</v>
      </c>
      <c r="AA144" s="3">
        <v>2.4249999999999998</v>
      </c>
      <c r="AB144" s="3">
        <v>405</v>
      </c>
      <c r="AC144" s="3">
        <v>33.799999999999997</v>
      </c>
      <c r="AD144" s="3">
        <v>1521</v>
      </c>
      <c r="AE144" s="3">
        <v>1.85</v>
      </c>
      <c r="AF144" s="3">
        <v>1.7230000000000001</v>
      </c>
      <c r="AG144" s="3">
        <v>1.3460000000000001</v>
      </c>
      <c r="AH144" s="3">
        <v>0.51500000000000001</v>
      </c>
      <c r="AI144" s="3">
        <v>-0.56799999999999995</v>
      </c>
      <c r="AJ144" s="3">
        <v>8.0000000000000002E-3</v>
      </c>
      <c r="AK144" s="3">
        <v>8.0000000000000002E-3</v>
      </c>
      <c r="AL144" s="3">
        <v>0.32400000000000001</v>
      </c>
      <c r="AM144" s="3">
        <v>0.29699999999999999</v>
      </c>
      <c r="AN144" s="3">
        <v>1.4999999999999999E-2</v>
      </c>
      <c r="AO144" s="3">
        <v>8.1000000000000003E-2</v>
      </c>
      <c r="AP144" s="3">
        <v>0.158</v>
      </c>
      <c r="AQ144" s="3">
        <v>8.3000000000000004E-2</v>
      </c>
      <c r="AR144" s="3">
        <v>3.3000000000000002E-2</v>
      </c>
      <c r="AS144" s="3">
        <v>3518</v>
      </c>
      <c r="AT144" s="3">
        <v>3516</v>
      </c>
      <c r="AU144" s="3">
        <v>3517</v>
      </c>
      <c r="AV144" s="3">
        <v>11.91</v>
      </c>
      <c r="AW144" s="3">
        <v>11.79</v>
      </c>
      <c r="AX144" s="3">
        <v>25.98</v>
      </c>
      <c r="AY144" s="3">
        <v>26.18</v>
      </c>
      <c r="AZ144" s="3">
        <v>2.0550000000000002</v>
      </c>
      <c r="BA144" s="3">
        <v>1.865</v>
      </c>
      <c r="BB144" s="3">
        <v>12.83</v>
      </c>
      <c r="BC144" s="3">
        <v>2876</v>
      </c>
      <c r="BE144" s="6"/>
      <c r="BG144" s="16">
        <v>31.08</v>
      </c>
      <c r="BH144" s="16">
        <f t="shared" si="85"/>
        <v>62.781599999999997</v>
      </c>
      <c r="BI144" s="17">
        <f t="shared" si="80"/>
        <v>28.13</v>
      </c>
      <c r="BJ144" s="17">
        <f t="shared" si="81"/>
        <v>57.26</v>
      </c>
      <c r="BL144" s="1">
        <f t="shared" si="86"/>
        <v>92.8</v>
      </c>
      <c r="BM144" s="1">
        <f t="shared" si="87"/>
        <v>59.6</v>
      </c>
      <c r="BN144" s="1">
        <f t="shared" si="88"/>
        <v>22.7</v>
      </c>
      <c r="BO144" s="49">
        <f t="shared" si="94"/>
        <v>0.61099999999999999</v>
      </c>
      <c r="BP144" s="49">
        <f t="shared" si="95"/>
        <v>2.081</v>
      </c>
      <c r="BR144" s="3">
        <v>0</v>
      </c>
      <c r="BT144" s="16">
        <f t="shared" si="89"/>
        <v>28.13</v>
      </c>
      <c r="BU144" s="16">
        <f t="shared" si="90"/>
        <v>57.26</v>
      </c>
      <c r="BV144" s="3">
        <f t="shared" si="91"/>
        <v>11.1</v>
      </c>
      <c r="BW144" s="3">
        <f t="shared" si="84"/>
        <v>11.1</v>
      </c>
      <c r="BX144" s="3">
        <f t="shared" si="84"/>
        <v>11.2</v>
      </c>
      <c r="BY144" s="3">
        <f t="shared" si="84"/>
        <v>5.5</v>
      </c>
      <c r="BZ144" s="3">
        <f t="shared" si="84"/>
        <v>3.3</v>
      </c>
      <c r="CA144" s="3">
        <f t="shared" si="84"/>
        <v>-0.1</v>
      </c>
      <c r="CB144" s="3">
        <f t="shared" si="84"/>
        <v>0.5</v>
      </c>
      <c r="CC144" s="22">
        <f t="shared" si="92"/>
        <v>59.6</v>
      </c>
      <c r="CD144" s="1">
        <f t="shared" si="96"/>
        <v>22.3</v>
      </c>
      <c r="CE144" s="1">
        <f t="shared" si="97"/>
        <v>24.7</v>
      </c>
      <c r="CF144" s="1">
        <f t="shared" si="98"/>
        <v>26.1</v>
      </c>
      <c r="CG144" s="1">
        <f t="shared" si="99"/>
        <v>13.1</v>
      </c>
      <c r="CH144" s="1">
        <f t="shared" si="100"/>
        <v>7.6</v>
      </c>
      <c r="CI144" s="1">
        <f t="shared" si="101"/>
        <v>0.5</v>
      </c>
      <c r="CJ144" s="1">
        <f t="shared" si="102"/>
        <v>1</v>
      </c>
      <c r="CK144" s="2">
        <f t="shared" si="93"/>
        <v>92.8</v>
      </c>
      <c r="CL144" s="1">
        <f t="shared" si="103"/>
        <v>2.4</v>
      </c>
      <c r="CM144" s="1">
        <f t="shared" si="104"/>
        <v>1.9</v>
      </c>
      <c r="CN144" s="1">
        <f t="shared" si="105"/>
        <v>1.7</v>
      </c>
      <c r="CO144" s="1">
        <f t="shared" si="106"/>
        <v>1.3</v>
      </c>
      <c r="CP144" s="1">
        <f t="shared" si="107"/>
        <v>0.5</v>
      </c>
      <c r="CQ144" s="1">
        <f t="shared" si="108"/>
        <v>-0.6</v>
      </c>
      <c r="CR144" s="1">
        <f t="shared" si="109"/>
        <v>0</v>
      </c>
      <c r="CS144" s="2">
        <f t="shared" si="110"/>
        <v>22.7</v>
      </c>
      <c r="CT144" s="6">
        <f t="shared" si="111"/>
        <v>0</v>
      </c>
      <c r="CU144" s="1">
        <f>PPTest!K144</f>
        <v>0</v>
      </c>
      <c r="CV144" s="3">
        <f t="shared" si="112"/>
        <v>1.89</v>
      </c>
      <c r="CW144" s="3">
        <f t="shared" si="113"/>
        <v>3.76</v>
      </c>
      <c r="CX144" s="24">
        <f t="shared" si="114"/>
        <v>0.61099999999999999</v>
      </c>
      <c r="CY144" s="24">
        <f t="shared" si="114"/>
        <v>2.081</v>
      </c>
      <c r="CZ144" s="16">
        <f t="shared" si="115"/>
        <v>12.83</v>
      </c>
    </row>
    <row r="145" spans="1:104" x14ac:dyDescent="0.2">
      <c r="A145" s="14">
        <f t="shared" si="116"/>
        <v>38856</v>
      </c>
      <c r="B145" s="1">
        <v>139</v>
      </c>
      <c r="C145" s="3">
        <v>24.36</v>
      </c>
      <c r="D145" s="3">
        <v>44.77</v>
      </c>
      <c r="E145" s="3">
        <v>10.49</v>
      </c>
      <c r="F145" s="3">
        <v>72.3</v>
      </c>
      <c r="G145" s="3">
        <v>10.57</v>
      </c>
      <c r="H145" s="3">
        <v>10.67</v>
      </c>
      <c r="I145" s="3">
        <v>7.12</v>
      </c>
      <c r="J145" s="3">
        <v>3.2309999999999999</v>
      </c>
      <c r="K145" s="3">
        <v>-4.1000000000000002E-2</v>
      </c>
      <c r="L145" s="3">
        <v>0.627</v>
      </c>
      <c r="M145" s="3">
        <v>1.9119999999999999</v>
      </c>
      <c r="N145" s="3">
        <v>0</v>
      </c>
      <c r="O145" s="3">
        <v>21</v>
      </c>
      <c r="P145" s="3">
        <v>1340</v>
      </c>
      <c r="Q145" s="3">
        <v>106.6</v>
      </c>
      <c r="R145" s="3">
        <v>349</v>
      </c>
      <c r="S145" s="3">
        <v>25.04</v>
      </c>
      <c r="T145" s="3">
        <v>26.54</v>
      </c>
      <c r="U145" s="3">
        <v>14.82</v>
      </c>
      <c r="V145" s="3">
        <v>7.31</v>
      </c>
      <c r="W145" s="3">
        <v>0.55300000000000005</v>
      </c>
      <c r="X145" s="3">
        <v>1.165</v>
      </c>
      <c r="Y145" s="3">
        <v>4.3440000000000003</v>
      </c>
      <c r="Z145" s="3">
        <v>1504</v>
      </c>
      <c r="AA145" s="3">
        <v>0.59699999999999998</v>
      </c>
      <c r="AB145" s="3">
        <v>344</v>
      </c>
      <c r="AC145" s="3">
        <v>31.15</v>
      </c>
      <c r="AD145" s="3">
        <v>1040</v>
      </c>
      <c r="AE145" s="3">
        <v>7.0000000000000001E-3</v>
      </c>
      <c r="AF145" s="3">
        <v>-3.5999999999999997E-2</v>
      </c>
      <c r="AG145" s="3">
        <v>1.76</v>
      </c>
      <c r="AH145" s="3">
        <v>0.54900000000000004</v>
      </c>
      <c r="AI145" s="3">
        <v>-0.502</v>
      </c>
      <c r="AJ145" s="3">
        <v>0.24299999999999999</v>
      </c>
      <c r="AK145" s="3">
        <v>1.4E-2</v>
      </c>
      <c r="AL145" s="3">
        <v>0.28100000000000003</v>
      </c>
      <c r="AM145" s="3">
        <v>0.33100000000000002</v>
      </c>
      <c r="AN145" s="3">
        <v>4.2999999999999997E-2</v>
      </c>
      <c r="AO145" s="3">
        <v>0.09</v>
      </c>
      <c r="AP145" s="3">
        <v>0.13300000000000001</v>
      </c>
      <c r="AQ145" s="3">
        <v>7.8E-2</v>
      </c>
      <c r="AR145" s="3">
        <v>0.03</v>
      </c>
      <c r="AS145" s="3">
        <v>3515</v>
      </c>
      <c r="AT145" s="3">
        <v>3513</v>
      </c>
      <c r="AU145" s="3">
        <v>3515</v>
      </c>
      <c r="AV145" s="3">
        <v>11.31</v>
      </c>
      <c r="AW145" s="3">
        <v>11.25</v>
      </c>
      <c r="AX145" s="3">
        <v>25.05</v>
      </c>
      <c r="AY145" s="3">
        <v>25.38</v>
      </c>
      <c r="AZ145" s="3">
        <v>0.16500000000000001</v>
      </c>
      <c r="BA145" s="3">
        <v>-9.7000000000000003E-2</v>
      </c>
      <c r="BB145" s="3">
        <v>12.86</v>
      </c>
      <c r="BC145" s="3">
        <v>2876</v>
      </c>
      <c r="BE145" s="6"/>
      <c r="BG145" s="16">
        <v>31.21</v>
      </c>
      <c r="BH145" s="16">
        <f t="shared" si="85"/>
        <v>63.044200000000004</v>
      </c>
      <c r="BI145" s="17">
        <f t="shared" si="80"/>
        <v>23.87</v>
      </c>
      <c r="BJ145" s="17">
        <f t="shared" si="81"/>
        <v>49.25</v>
      </c>
      <c r="BL145" s="1">
        <f t="shared" si="86"/>
        <v>92.8</v>
      </c>
      <c r="BM145" s="1">
        <f t="shared" si="87"/>
        <v>56.6</v>
      </c>
      <c r="BN145" s="1">
        <f t="shared" si="88"/>
        <v>20.399999999999999</v>
      </c>
      <c r="BO145" s="49">
        <f t="shared" si="94"/>
        <v>0.50700000000000001</v>
      </c>
      <c r="BP145" s="49">
        <f t="shared" si="95"/>
        <v>1.978</v>
      </c>
      <c r="BR145" s="3">
        <v>0</v>
      </c>
      <c r="BT145" s="16">
        <f t="shared" si="89"/>
        <v>23.87</v>
      </c>
      <c r="BU145" s="16">
        <f t="shared" si="90"/>
        <v>49.25</v>
      </c>
      <c r="BV145" s="3">
        <f t="shared" si="91"/>
        <v>10.5</v>
      </c>
      <c r="BW145" s="3">
        <f t="shared" si="84"/>
        <v>10.6</v>
      </c>
      <c r="BX145" s="3">
        <f t="shared" si="84"/>
        <v>10.7</v>
      </c>
      <c r="BY145" s="3">
        <f t="shared" si="84"/>
        <v>7.1</v>
      </c>
      <c r="BZ145" s="3">
        <f t="shared" si="84"/>
        <v>3.2</v>
      </c>
      <c r="CA145" s="3">
        <f t="shared" si="84"/>
        <v>0</v>
      </c>
      <c r="CB145" s="3">
        <f t="shared" si="84"/>
        <v>0.6</v>
      </c>
      <c r="CC145" s="22">
        <f t="shared" si="92"/>
        <v>56.6</v>
      </c>
      <c r="CD145" s="1">
        <f t="shared" si="96"/>
        <v>21</v>
      </c>
      <c r="CE145" s="1">
        <f t="shared" si="97"/>
        <v>25</v>
      </c>
      <c r="CF145" s="1">
        <f t="shared" si="98"/>
        <v>26.5</v>
      </c>
      <c r="CG145" s="1">
        <f t="shared" si="99"/>
        <v>14.8</v>
      </c>
      <c r="CH145" s="1">
        <f t="shared" si="100"/>
        <v>7.3</v>
      </c>
      <c r="CI145" s="1">
        <f t="shared" si="101"/>
        <v>0.6</v>
      </c>
      <c r="CJ145" s="1">
        <f t="shared" si="102"/>
        <v>1.2</v>
      </c>
      <c r="CK145" s="2">
        <f t="shared" si="93"/>
        <v>92.8</v>
      </c>
      <c r="CL145" s="1">
        <f t="shared" si="103"/>
        <v>0.6</v>
      </c>
      <c r="CM145" s="1">
        <f t="shared" si="104"/>
        <v>0</v>
      </c>
      <c r="CN145" s="1">
        <f t="shared" si="105"/>
        <v>0</v>
      </c>
      <c r="CO145" s="1">
        <f t="shared" si="106"/>
        <v>1.8</v>
      </c>
      <c r="CP145" s="1">
        <f t="shared" si="107"/>
        <v>0.5</v>
      </c>
      <c r="CQ145" s="1">
        <f t="shared" si="108"/>
        <v>-0.5</v>
      </c>
      <c r="CR145" s="1">
        <f t="shared" si="109"/>
        <v>0.2</v>
      </c>
      <c r="CS145" s="2">
        <f t="shared" si="110"/>
        <v>20.399999999999999</v>
      </c>
      <c r="CT145" s="6">
        <f t="shared" si="111"/>
        <v>0</v>
      </c>
      <c r="CU145" s="1">
        <f>PPTest!K145</f>
        <v>0</v>
      </c>
      <c r="CV145" s="3">
        <f t="shared" si="112"/>
        <v>1.91</v>
      </c>
      <c r="CW145" s="3">
        <f t="shared" si="113"/>
        <v>4.34</v>
      </c>
      <c r="CX145" s="24">
        <f t="shared" si="114"/>
        <v>0.50700000000000001</v>
      </c>
      <c r="CY145" s="24">
        <f t="shared" si="114"/>
        <v>1.978</v>
      </c>
      <c r="CZ145" s="16">
        <f t="shared" si="115"/>
        <v>12.86</v>
      </c>
    </row>
    <row r="146" spans="1:104" x14ac:dyDescent="0.2">
      <c r="A146" s="14">
        <f t="shared" si="116"/>
        <v>38857</v>
      </c>
      <c r="B146" s="1">
        <v>140</v>
      </c>
      <c r="C146" s="3">
        <v>4.2779999999999996</v>
      </c>
      <c r="D146" s="3">
        <v>11.66</v>
      </c>
      <c r="E146" s="3">
        <v>6.56</v>
      </c>
      <c r="F146" s="3">
        <v>106.1</v>
      </c>
      <c r="G146" s="3">
        <v>6.4459999999999997</v>
      </c>
      <c r="H146" s="3">
        <v>6.2610000000000001</v>
      </c>
      <c r="I146" s="3">
        <v>5.0460000000000003</v>
      </c>
      <c r="J146" s="3">
        <v>2.3780000000000001</v>
      </c>
      <c r="K146" s="3">
        <v>-1.4999999999999999E-2</v>
      </c>
      <c r="L146" s="3">
        <v>0.86599999999999999</v>
      </c>
      <c r="M146" s="3">
        <v>1.375</v>
      </c>
      <c r="N146" s="3">
        <v>16</v>
      </c>
      <c r="O146" s="3">
        <v>9.24</v>
      </c>
      <c r="P146" s="3">
        <v>835</v>
      </c>
      <c r="Q146" s="3">
        <v>110.3</v>
      </c>
      <c r="R146" s="3">
        <v>923</v>
      </c>
      <c r="S146" s="3">
        <v>9.3800000000000008</v>
      </c>
      <c r="T146" s="3">
        <v>9.6</v>
      </c>
      <c r="U146" s="3">
        <v>6.0259999999999998</v>
      </c>
      <c r="V146" s="3">
        <v>3.57</v>
      </c>
      <c r="W146" s="3">
        <v>0.127</v>
      </c>
      <c r="X146" s="3">
        <v>0.99299999999999999</v>
      </c>
      <c r="Y146" s="3">
        <v>4.3570000000000002</v>
      </c>
      <c r="Z146" s="3">
        <v>1606</v>
      </c>
      <c r="AA146" s="3">
        <v>4.0389999999999997</v>
      </c>
      <c r="AB146" s="3">
        <v>2332</v>
      </c>
      <c r="AC146" s="3">
        <v>97.3</v>
      </c>
      <c r="AD146" s="3">
        <v>826</v>
      </c>
      <c r="AE146" s="3">
        <v>2.835</v>
      </c>
      <c r="AF146" s="3">
        <v>2.617</v>
      </c>
      <c r="AG146" s="3">
        <v>4.2619999999999996</v>
      </c>
      <c r="AH146" s="3">
        <v>1.4450000000000001</v>
      </c>
      <c r="AI146" s="3">
        <v>-0.157</v>
      </c>
      <c r="AJ146" s="3">
        <v>0.69799999999999995</v>
      </c>
      <c r="AK146" s="3">
        <v>4.2999999999999997E-2</v>
      </c>
      <c r="AL146" s="3">
        <v>0.17399999999999999</v>
      </c>
      <c r="AM146" s="3">
        <v>0.14199999999999999</v>
      </c>
      <c r="AN146" s="3">
        <v>7.0999999999999994E-2</v>
      </c>
      <c r="AO146" s="3">
        <v>0.23100000000000001</v>
      </c>
      <c r="AP146" s="3">
        <v>0.27200000000000002</v>
      </c>
      <c r="AQ146" s="3">
        <v>0.05</v>
      </c>
      <c r="AR146" s="3">
        <v>1.7999999999999999E-2</v>
      </c>
      <c r="AS146" s="3">
        <v>3521</v>
      </c>
      <c r="AT146" s="3">
        <v>3518</v>
      </c>
      <c r="AU146" s="3">
        <v>3520</v>
      </c>
      <c r="AV146" s="3">
        <v>6.5179999999999998</v>
      </c>
      <c r="AW146" s="3">
        <v>6.4039999999999999</v>
      </c>
      <c r="AX146" s="3">
        <v>8.5299999999999994</v>
      </c>
      <c r="AY146" s="3">
        <v>8.5399999999999991</v>
      </c>
      <c r="AZ146" s="3">
        <v>3.6709999999999998</v>
      </c>
      <c r="BA146" s="3">
        <v>3.4710000000000001</v>
      </c>
      <c r="BB146" s="3">
        <v>12.77</v>
      </c>
      <c r="BC146" s="3">
        <v>2876</v>
      </c>
      <c r="BE146" s="6"/>
      <c r="BG146" s="16">
        <v>31.34</v>
      </c>
      <c r="BH146" s="16">
        <f t="shared" si="85"/>
        <v>63.306800000000003</v>
      </c>
      <c r="BI146" s="17">
        <f t="shared" si="80"/>
        <v>4.1900000000000004</v>
      </c>
      <c r="BJ146" s="17">
        <f t="shared" si="81"/>
        <v>12.83</v>
      </c>
      <c r="BL146" s="1">
        <f t="shared" si="86"/>
        <v>98.7</v>
      </c>
      <c r="BM146" s="1">
        <f t="shared" si="87"/>
        <v>92</v>
      </c>
      <c r="BN146" s="1">
        <f t="shared" si="88"/>
        <v>78.599999999999994</v>
      </c>
      <c r="BO146" s="49">
        <f t="shared" si="94"/>
        <v>0.91700000000000004</v>
      </c>
      <c r="BP146" s="49">
        <f t="shared" si="95"/>
        <v>0.25</v>
      </c>
      <c r="BR146" s="3">
        <v>13.4</v>
      </c>
      <c r="BT146" s="16">
        <f t="shared" si="89"/>
        <v>4.1900000000000004</v>
      </c>
      <c r="BU146" s="16">
        <f t="shared" si="90"/>
        <v>12.83</v>
      </c>
      <c r="BV146" s="3">
        <f t="shared" si="91"/>
        <v>6.6</v>
      </c>
      <c r="BW146" s="3">
        <f t="shared" si="84"/>
        <v>6.4</v>
      </c>
      <c r="BX146" s="3">
        <f t="shared" si="84"/>
        <v>6.3</v>
      </c>
      <c r="BY146" s="3">
        <f t="shared" si="84"/>
        <v>5</v>
      </c>
      <c r="BZ146" s="3">
        <f t="shared" si="84"/>
        <v>2.4</v>
      </c>
      <c r="CA146" s="3">
        <f t="shared" si="84"/>
        <v>0</v>
      </c>
      <c r="CB146" s="3">
        <f t="shared" si="84"/>
        <v>0.9</v>
      </c>
      <c r="CC146" s="22">
        <f t="shared" si="92"/>
        <v>92</v>
      </c>
      <c r="CD146" s="1">
        <f t="shared" si="96"/>
        <v>9.1999999999999993</v>
      </c>
      <c r="CE146" s="1">
        <f t="shared" si="97"/>
        <v>9.4</v>
      </c>
      <c r="CF146" s="1">
        <f t="shared" si="98"/>
        <v>9.6</v>
      </c>
      <c r="CG146" s="1">
        <f t="shared" si="99"/>
        <v>6</v>
      </c>
      <c r="CH146" s="1">
        <f t="shared" si="100"/>
        <v>3.6</v>
      </c>
      <c r="CI146" s="1">
        <f t="shared" si="101"/>
        <v>0.1</v>
      </c>
      <c r="CJ146" s="1">
        <f t="shared" si="102"/>
        <v>1</v>
      </c>
      <c r="CK146" s="2">
        <f t="shared" si="93"/>
        <v>98.7</v>
      </c>
      <c r="CL146" s="1">
        <f t="shared" si="103"/>
        <v>4</v>
      </c>
      <c r="CM146" s="1">
        <f t="shared" si="104"/>
        <v>2.8</v>
      </c>
      <c r="CN146" s="1">
        <f t="shared" si="105"/>
        <v>2.6</v>
      </c>
      <c r="CO146" s="1">
        <f t="shared" si="106"/>
        <v>4.3</v>
      </c>
      <c r="CP146" s="1">
        <f t="shared" si="107"/>
        <v>1.4</v>
      </c>
      <c r="CQ146" s="1">
        <f t="shared" si="108"/>
        <v>-0.2</v>
      </c>
      <c r="CR146" s="1">
        <f t="shared" si="109"/>
        <v>0.7</v>
      </c>
      <c r="CS146" s="2">
        <f t="shared" si="110"/>
        <v>78.599999999999994</v>
      </c>
      <c r="CT146" s="6">
        <f t="shared" si="111"/>
        <v>0</v>
      </c>
      <c r="CU146" s="1">
        <f>PPTest!K146</f>
        <v>16</v>
      </c>
      <c r="CV146" s="3">
        <f t="shared" si="112"/>
        <v>1.38</v>
      </c>
      <c r="CW146" s="3">
        <f t="shared" si="113"/>
        <v>4.3600000000000003</v>
      </c>
      <c r="CX146" s="24">
        <f t="shared" si="114"/>
        <v>0.91700000000000004</v>
      </c>
      <c r="CY146" s="24">
        <f t="shared" si="114"/>
        <v>0.25</v>
      </c>
      <c r="CZ146" s="16">
        <f t="shared" si="115"/>
        <v>12.77</v>
      </c>
    </row>
    <row r="147" spans="1:104" x14ac:dyDescent="0.2">
      <c r="A147" s="14">
        <f t="shared" si="116"/>
        <v>38858</v>
      </c>
      <c r="B147" s="1">
        <v>141</v>
      </c>
      <c r="C147" s="3">
        <v>24.08</v>
      </c>
      <c r="D147" s="3">
        <v>44.16</v>
      </c>
      <c r="E147" s="3">
        <v>7.49</v>
      </c>
      <c r="F147" s="3">
        <v>92.6</v>
      </c>
      <c r="G147" s="3">
        <v>7.63</v>
      </c>
      <c r="H147" s="3">
        <v>7.66</v>
      </c>
      <c r="I147" s="3">
        <v>6.8540000000000001</v>
      </c>
      <c r="J147" s="3">
        <v>3.24</v>
      </c>
      <c r="K147" s="3">
        <v>-1.4E-2</v>
      </c>
      <c r="L147" s="3">
        <v>1.022</v>
      </c>
      <c r="M147" s="3">
        <v>1.498</v>
      </c>
      <c r="N147" s="3">
        <v>1</v>
      </c>
      <c r="O147" s="3">
        <v>14.41</v>
      </c>
      <c r="P147" s="3">
        <v>1349</v>
      </c>
      <c r="Q147" s="3">
        <v>110.9</v>
      </c>
      <c r="R147" s="3">
        <v>430</v>
      </c>
      <c r="S147" s="3">
        <v>17.920000000000002</v>
      </c>
      <c r="T147" s="3">
        <v>18.97</v>
      </c>
      <c r="U147" s="3">
        <v>13.88</v>
      </c>
      <c r="V147" s="3">
        <v>7.04</v>
      </c>
      <c r="W147" s="3">
        <v>0.35799999999999998</v>
      </c>
      <c r="X147" s="3">
        <v>1.343</v>
      </c>
      <c r="Y147" s="3">
        <v>5.2619999999999996</v>
      </c>
      <c r="Z147" s="3">
        <v>1100</v>
      </c>
      <c r="AA147" s="3">
        <v>-0.18</v>
      </c>
      <c r="AB147" s="3">
        <v>408</v>
      </c>
      <c r="AC147" s="3">
        <v>57.62</v>
      </c>
      <c r="AD147" s="3">
        <v>1238</v>
      </c>
      <c r="AE147" s="3">
        <v>-0.70299999999999996</v>
      </c>
      <c r="AF147" s="3">
        <v>-0.78500000000000003</v>
      </c>
      <c r="AG147" s="3">
        <v>2.641</v>
      </c>
      <c r="AH147" s="3">
        <v>0.57299999999999995</v>
      </c>
      <c r="AI147" s="3">
        <v>-0.27800000000000002</v>
      </c>
      <c r="AJ147" s="3">
        <v>0.70699999999999996</v>
      </c>
      <c r="AK147" s="3">
        <v>8.5000000000000006E-2</v>
      </c>
      <c r="AL147" s="3">
        <v>0.24399999999999999</v>
      </c>
      <c r="AM147" s="3">
        <v>0.24</v>
      </c>
      <c r="AN147" s="3">
        <v>0.11600000000000001</v>
      </c>
      <c r="AO147" s="3">
        <v>0.11899999999999999</v>
      </c>
      <c r="AP147" s="3">
        <v>0.106</v>
      </c>
      <c r="AQ147" s="3">
        <v>0.05</v>
      </c>
      <c r="AR147" s="3">
        <v>0.04</v>
      </c>
      <c r="AS147" s="3">
        <v>3513</v>
      </c>
      <c r="AT147" s="3">
        <v>3507</v>
      </c>
      <c r="AU147" s="3">
        <v>3510</v>
      </c>
      <c r="AV147" s="3">
        <v>8.49</v>
      </c>
      <c r="AW147" s="3">
        <v>8.43</v>
      </c>
      <c r="AX147" s="3">
        <v>18.239999999999998</v>
      </c>
      <c r="AY147" s="3">
        <v>18.59</v>
      </c>
      <c r="AZ147" s="3">
        <v>-0.22700000000000001</v>
      </c>
      <c r="BA147" s="3">
        <v>-0.504</v>
      </c>
      <c r="BB147" s="3">
        <v>12.92</v>
      </c>
      <c r="BC147" s="3">
        <v>2876</v>
      </c>
      <c r="BE147" s="6"/>
      <c r="BG147" s="16">
        <v>31.47</v>
      </c>
      <c r="BH147" s="16">
        <f t="shared" si="85"/>
        <v>63.569400000000002</v>
      </c>
      <c r="BI147" s="17">
        <f t="shared" si="80"/>
        <v>23.6</v>
      </c>
      <c r="BJ147" s="17">
        <f t="shared" si="81"/>
        <v>48.58</v>
      </c>
      <c r="BL147" s="1">
        <f t="shared" si="86"/>
        <v>99.6</v>
      </c>
      <c r="BM147" s="1">
        <f t="shared" si="87"/>
        <v>74.5</v>
      </c>
      <c r="BN147" s="1">
        <f t="shared" si="88"/>
        <v>43.7</v>
      </c>
      <c r="BO147" s="49">
        <f t="shared" si="94"/>
        <v>0.71699999999999997</v>
      </c>
      <c r="BP147" s="49">
        <f t="shared" si="95"/>
        <v>0.92400000000000004</v>
      </c>
      <c r="BR147" s="3">
        <v>1</v>
      </c>
      <c r="BT147" s="16">
        <f t="shared" si="89"/>
        <v>23.6</v>
      </c>
      <c r="BU147" s="16">
        <f t="shared" si="90"/>
        <v>48.58</v>
      </c>
      <c r="BV147" s="3">
        <f t="shared" si="91"/>
        <v>7.5</v>
      </c>
      <c r="BW147" s="3">
        <f t="shared" si="84"/>
        <v>7.6</v>
      </c>
      <c r="BX147" s="3">
        <f t="shared" si="84"/>
        <v>7.7</v>
      </c>
      <c r="BY147" s="3">
        <f t="shared" si="84"/>
        <v>6.9</v>
      </c>
      <c r="BZ147" s="3">
        <f t="shared" si="84"/>
        <v>3.2</v>
      </c>
      <c r="CA147" s="3">
        <f t="shared" si="84"/>
        <v>0</v>
      </c>
      <c r="CB147" s="3">
        <f t="shared" si="84"/>
        <v>1</v>
      </c>
      <c r="CC147" s="22">
        <f t="shared" si="92"/>
        <v>74.5</v>
      </c>
      <c r="CD147" s="1">
        <f t="shared" si="96"/>
        <v>14.4</v>
      </c>
      <c r="CE147" s="1">
        <f t="shared" si="97"/>
        <v>17.899999999999999</v>
      </c>
      <c r="CF147" s="1">
        <f t="shared" si="98"/>
        <v>19</v>
      </c>
      <c r="CG147" s="1">
        <f t="shared" si="99"/>
        <v>13.9</v>
      </c>
      <c r="CH147" s="1">
        <f t="shared" si="100"/>
        <v>7</v>
      </c>
      <c r="CI147" s="1">
        <f t="shared" si="101"/>
        <v>0.4</v>
      </c>
      <c r="CJ147" s="1">
        <f t="shared" si="102"/>
        <v>1.3</v>
      </c>
      <c r="CK147" s="2">
        <f t="shared" si="93"/>
        <v>99.6</v>
      </c>
      <c r="CL147" s="1">
        <f t="shared" si="103"/>
        <v>-0.2</v>
      </c>
      <c r="CM147" s="1">
        <f t="shared" si="104"/>
        <v>-0.7</v>
      </c>
      <c r="CN147" s="1">
        <f t="shared" si="105"/>
        <v>-0.8</v>
      </c>
      <c r="CO147" s="1">
        <f t="shared" si="106"/>
        <v>2.6</v>
      </c>
      <c r="CP147" s="1">
        <f t="shared" si="107"/>
        <v>0.6</v>
      </c>
      <c r="CQ147" s="1">
        <f t="shared" si="108"/>
        <v>-0.3</v>
      </c>
      <c r="CR147" s="1">
        <f t="shared" si="109"/>
        <v>0.7</v>
      </c>
      <c r="CS147" s="2">
        <f t="shared" si="110"/>
        <v>43.7</v>
      </c>
      <c r="CT147" s="6">
        <f t="shared" si="111"/>
        <v>0</v>
      </c>
      <c r="CU147" s="1">
        <f>PPTest!K147</f>
        <v>1</v>
      </c>
      <c r="CV147" s="3">
        <f t="shared" si="112"/>
        <v>1.5</v>
      </c>
      <c r="CW147" s="3">
        <f t="shared" si="113"/>
        <v>5.26</v>
      </c>
      <c r="CX147" s="24">
        <f t="shared" si="114"/>
        <v>0.71699999999999997</v>
      </c>
      <c r="CY147" s="24">
        <f t="shared" si="114"/>
        <v>0.92400000000000004</v>
      </c>
      <c r="CZ147" s="16">
        <f t="shared" si="115"/>
        <v>12.92</v>
      </c>
    </row>
    <row r="148" spans="1:104" x14ac:dyDescent="0.2">
      <c r="A148" s="14">
        <f t="shared" si="116"/>
        <v>38859</v>
      </c>
      <c r="B148" s="1">
        <v>142</v>
      </c>
      <c r="C148" s="3">
        <v>15.61</v>
      </c>
      <c r="D148" s="3">
        <v>29.41</v>
      </c>
      <c r="E148" s="3">
        <v>8.52</v>
      </c>
      <c r="F148" s="3">
        <v>99.4</v>
      </c>
      <c r="G148" s="3">
        <v>8.51</v>
      </c>
      <c r="H148" s="3">
        <v>8.4499999999999993</v>
      </c>
      <c r="I148" s="3">
        <v>7.82</v>
      </c>
      <c r="J148" s="3">
        <v>3.2839999999999998</v>
      </c>
      <c r="K148" s="3">
        <v>8.0000000000000002E-3</v>
      </c>
      <c r="L148" s="3">
        <v>1.242</v>
      </c>
      <c r="M148" s="3">
        <v>1.45</v>
      </c>
      <c r="N148" s="3">
        <v>5</v>
      </c>
      <c r="O148" s="3">
        <v>15.91</v>
      </c>
      <c r="P148" s="3">
        <v>1042</v>
      </c>
      <c r="Q148" s="3">
        <v>110.7</v>
      </c>
      <c r="R148" s="3">
        <v>354</v>
      </c>
      <c r="S148" s="3">
        <v>18.63</v>
      </c>
      <c r="T148" s="3">
        <v>19.46</v>
      </c>
      <c r="U148" s="3">
        <v>15.39</v>
      </c>
      <c r="V148" s="3">
        <v>5.1310000000000002</v>
      </c>
      <c r="W148" s="3">
        <v>0.374</v>
      </c>
      <c r="X148" s="3">
        <v>1.538</v>
      </c>
      <c r="Y148" s="3">
        <v>5.0620000000000003</v>
      </c>
      <c r="Z148" s="3">
        <v>952</v>
      </c>
      <c r="AA148" s="3">
        <v>1.9870000000000001</v>
      </c>
      <c r="AB148" s="3">
        <v>414</v>
      </c>
      <c r="AC148" s="3">
        <v>61.97</v>
      </c>
      <c r="AD148" s="3">
        <v>1041</v>
      </c>
      <c r="AE148" s="3">
        <v>1.6</v>
      </c>
      <c r="AF148" s="3">
        <v>1.623</v>
      </c>
      <c r="AG148" s="3">
        <v>3.4990000000000001</v>
      </c>
      <c r="AH148" s="3">
        <v>1.284</v>
      </c>
      <c r="AI148" s="3">
        <v>-0.47499999999999998</v>
      </c>
      <c r="AJ148" s="3">
        <v>0.75800000000000001</v>
      </c>
      <c r="AK148" s="3">
        <v>0.19900000000000001</v>
      </c>
      <c r="AL148" s="3">
        <v>0.375</v>
      </c>
      <c r="AM148" s="3">
        <v>0.27700000000000002</v>
      </c>
      <c r="AN148" s="3">
        <v>5.8000000000000003E-2</v>
      </c>
      <c r="AO148" s="3">
        <v>2.4E-2</v>
      </c>
      <c r="AP148" s="3">
        <v>1.4999999999999999E-2</v>
      </c>
      <c r="AQ148" s="3">
        <v>8.0000000000000002E-3</v>
      </c>
      <c r="AR148" s="3">
        <v>4.2999999999999997E-2</v>
      </c>
      <c r="AS148" s="3">
        <v>3533</v>
      </c>
      <c r="AT148" s="3">
        <v>3520</v>
      </c>
      <c r="AU148" s="3">
        <v>3524</v>
      </c>
      <c r="AV148" s="3">
        <v>8.9600000000000009</v>
      </c>
      <c r="AW148" s="3">
        <v>8.91</v>
      </c>
      <c r="AX148" s="3">
        <v>18.38</v>
      </c>
      <c r="AY148" s="3">
        <v>18.850000000000001</v>
      </c>
      <c r="AZ148" s="3">
        <v>2.1579999999999999</v>
      </c>
      <c r="BA148" s="3">
        <v>1.948</v>
      </c>
      <c r="BB148" s="3">
        <v>12.92</v>
      </c>
      <c r="BC148" s="3">
        <v>2876</v>
      </c>
      <c r="BE148" s="6"/>
      <c r="BG148" s="16">
        <v>31.59</v>
      </c>
      <c r="BH148" s="16">
        <f t="shared" si="85"/>
        <v>63.811799999999998</v>
      </c>
      <c r="BI148" s="17">
        <f t="shared" si="80"/>
        <v>15.3</v>
      </c>
      <c r="BJ148" s="17">
        <f t="shared" si="81"/>
        <v>32.35</v>
      </c>
      <c r="BL148" s="1">
        <f t="shared" si="86"/>
        <v>99.3</v>
      </c>
      <c r="BM148" s="1">
        <f t="shared" si="87"/>
        <v>81.3</v>
      </c>
      <c r="BN148" s="1">
        <f t="shared" si="88"/>
        <v>47.5</v>
      </c>
      <c r="BO148" s="49">
        <f t="shared" si="94"/>
        <v>0.85799999999999998</v>
      </c>
      <c r="BP148" s="49">
        <f t="shared" si="95"/>
        <v>0.94799999999999995</v>
      </c>
      <c r="BR148" s="3">
        <v>10</v>
      </c>
      <c r="BT148" s="16">
        <f t="shared" si="89"/>
        <v>15.3</v>
      </c>
      <c r="BU148" s="16">
        <f t="shared" si="90"/>
        <v>32.35</v>
      </c>
      <c r="BV148" s="3">
        <f t="shared" si="91"/>
        <v>8.5</v>
      </c>
      <c r="BW148" s="3">
        <f t="shared" si="84"/>
        <v>8.5</v>
      </c>
      <c r="BX148" s="3">
        <f t="shared" si="84"/>
        <v>8.5</v>
      </c>
      <c r="BY148" s="3">
        <f t="shared" si="84"/>
        <v>7.8</v>
      </c>
      <c r="BZ148" s="3">
        <f t="shared" si="84"/>
        <v>3.3</v>
      </c>
      <c r="CA148" s="3">
        <f t="shared" si="84"/>
        <v>0</v>
      </c>
      <c r="CB148" s="3">
        <f t="shared" si="84"/>
        <v>1.2</v>
      </c>
      <c r="CC148" s="22">
        <f t="shared" si="92"/>
        <v>81.3</v>
      </c>
      <c r="CD148" s="1">
        <f t="shared" si="96"/>
        <v>15.9</v>
      </c>
      <c r="CE148" s="1">
        <f t="shared" si="97"/>
        <v>18.600000000000001</v>
      </c>
      <c r="CF148" s="1">
        <f t="shared" si="98"/>
        <v>19.5</v>
      </c>
      <c r="CG148" s="1">
        <f t="shared" si="99"/>
        <v>15.4</v>
      </c>
      <c r="CH148" s="1">
        <f t="shared" si="100"/>
        <v>5.0999999999999996</v>
      </c>
      <c r="CI148" s="1">
        <f t="shared" si="101"/>
        <v>0.4</v>
      </c>
      <c r="CJ148" s="1">
        <f t="shared" si="102"/>
        <v>1.5</v>
      </c>
      <c r="CK148" s="2">
        <f t="shared" si="93"/>
        <v>99.3</v>
      </c>
      <c r="CL148" s="1">
        <f t="shared" si="103"/>
        <v>2</v>
      </c>
      <c r="CM148" s="1">
        <f t="shared" si="104"/>
        <v>1.6</v>
      </c>
      <c r="CN148" s="1">
        <f t="shared" si="105"/>
        <v>1.6</v>
      </c>
      <c r="CO148" s="1">
        <f t="shared" si="106"/>
        <v>3.5</v>
      </c>
      <c r="CP148" s="1">
        <f t="shared" si="107"/>
        <v>1.3</v>
      </c>
      <c r="CQ148" s="1">
        <f t="shared" si="108"/>
        <v>-0.5</v>
      </c>
      <c r="CR148" s="1">
        <f t="shared" si="109"/>
        <v>0.8</v>
      </c>
      <c r="CS148" s="2">
        <f t="shared" si="110"/>
        <v>47.5</v>
      </c>
      <c r="CT148" s="6">
        <f t="shared" si="111"/>
        <v>0</v>
      </c>
      <c r="CU148" s="1">
        <f>PPTest!K148</f>
        <v>5</v>
      </c>
      <c r="CV148" s="3">
        <f t="shared" si="112"/>
        <v>1.45</v>
      </c>
      <c r="CW148" s="3">
        <f t="shared" si="113"/>
        <v>5.0599999999999996</v>
      </c>
      <c r="CX148" s="24">
        <f t="shared" si="114"/>
        <v>0.85799999999999998</v>
      </c>
      <c r="CY148" s="24">
        <f t="shared" si="114"/>
        <v>0.94799999999999995</v>
      </c>
      <c r="CZ148" s="16">
        <f t="shared" si="115"/>
        <v>12.92</v>
      </c>
    </row>
    <row r="149" spans="1:104" x14ac:dyDescent="0.2">
      <c r="A149" s="14">
        <f t="shared" si="116"/>
        <v>38860</v>
      </c>
      <c r="B149" s="1">
        <v>143</v>
      </c>
      <c r="C149" s="3">
        <v>19.559999999999999</v>
      </c>
      <c r="D149" s="3">
        <v>36.94</v>
      </c>
      <c r="E149" s="3">
        <v>6.5730000000000004</v>
      </c>
      <c r="F149" s="3">
        <v>101.5</v>
      </c>
      <c r="G149" s="3">
        <v>6.6580000000000004</v>
      </c>
      <c r="H149" s="3">
        <v>6.6559999999999997</v>
      </c>
      <c r="I149" s="3">
        <v>7.74</v>
      </c>
      <c r="J149" s="3">
        <v>3.3090000000000002</v>
      </c>
      <c r="K149" s="3">
        <v>-8.9999999999999993E-3</v>
      </c>
      <c r="L149" s="3">
        <v>1.4670000000000001</v>
      </c>
      <c r="M149" s="3">
        <v>1.2130000000000001</v>
      </c>
      <c r="N149" s="3">
        <v>8</v>
      </c>
      <c r="O149" s="3">
        <v>12.08</v>
      </c>
      <c r="P149" s="3">
        <v>1244</v>
      </c>
      <c r="Q149" s="3">
        <v>110.8</v>
      </c>
      <c r="R149" s="3">
        <v>2206</v>
      </c>
      <c r="S149" s="3">
        <v>15.85</v>
      </c>
      <c r="T149" s="3">
        <v>16.66</v>
      </c>
      <c r="U149" s="3">
        <v>15.48</v>
      </c>
      <c r="V149" s="3">
        <v>5.6630000000000003</v>
      </c>
      <c r="W149" s="3">
        <v>0.39</v>
      </c>
      <c r="X149" s="3">
        <v>1.7929999999999999</v>
      </c>
      <c r="Y149" s="3">
        <v>4.4770000000000003</v>
      </c>
      <c r="Z149" s="3">
        <v>1528</v>
      </c>
      <c r="AA149" s="3">
        <v>0.97599999999999998</v>
      </c>
      <c r="AB149" s="3">
        <v>2358</v>
      </c>
      <c r="AC149" s="3">
        <v>65.41</v>
      </c>
      <c r="AD149" s="3">
        <v>1025</v>
      </c>
      <c r="AE149" s="3">
        <v>0.65600000000000003</v>
      </c>
      <c r="AF149" s="3">
        <v>0.54</v>
      </c>
      <c r="AG149" s="3">
        <v>4.399</v>
      </c>
      <c r="AH149" s="3">
        <v>1.8029999999999999</v>
      </c>
      <c r="AI149" s="3">
        <v>-0.29199999999999998</v>
      </c>
      <c r="AJ149" s="3">
        <v>1.212</v>
      </c>
      <c r="AK149" s="3">
        <v>0.09</v>
      </c>
      <c r="AL149" s="3">
        <v>0.126</v>
      </c>
      <c r="AM149" s="3">
        <v>0.18</v>
      </c>
      <c r="AN149" s="3">
        <v>9.8000000000000004E-2</v>
      </c>
      <c r="AO149" s="3">
        <v>0.19900000000000001</v>
      </c>
      <c r="AP149" s="3">
        <v>0.17899999999999999</v>
      </c>
      <c r="AQ149" s="3">
        <v>7.4999999999999997E-2</v>
      </c>
      <c r="AR149" s="3">
        <v>5.2999999999999999E-2</v>
      </c>
      <c r="AS149" s="3">
        <v>3519</v>
      </c>
      <c r="AT149" s="3">
        <v>3516</v>
      </c>
      <c r="AU149" s="3">
        <v>3518</v>
      </c>
      <c r="AV149" s="3">
        <v>7.93</v>
      </c>
      <c r="AW149" s="3">
        <v>7.72</v>
      </c>
      <c r="AX149" s="3">
        <v>14.95</v>
      </c>
      <c r="AY149" s="3">
        <v>15.15</v>
      </c>
      <c r="AZ149" s="3">
        <v>1.2130000000000001</v>
      </c>
      <c r="BA149" s="3">
        <v>0.92100000000000004</v>
      </c>
      <c r="BB149" s="3">
        <v>12.95</v>
      </c>
      <c r="BC149" s="3">
        <v>2876</v>
      </c>
      <c r="BE149" s="6"/>
      <c r="BG149" s="16">
        <v>31.71</v>
      </c>
      <c r="BH149" s="16">
        <f t="shared" si="85"/>
        <v>64.054200000000009</v>
      </c>
      <c r="BI149" s="17">
        <f t="shared" si="80"/>
        <v>19.170000000000002</v>
      </c>
      <c r="BJ149" s="17">
        <f t="shared" si="81"/>
        <v>40.630000000000003</v>
      </c>
      <c r="BL149" s="1">
        <f t="shared" si="86"/>
        <v>99.5</v>
      </c>
      <c r="BM149" s="1">
        <f t="shared" si="87"/>
        <v>84.7</v>
      </c>
      <c r="BN149" s="1">
        <f t="shared" si="88"/>
        <v>50.6</v>
      </c>
      <c r="BO149" s="49">
        <f t="shared" si="94"/>
        <v>0.71299999999999997</v>
      </c>
      <c r="BP149" s="49">
        <f t="shared" si="95"/>
        <v>0.69599999999999995</v>
      </c>
      <c r="BR149" s="3">
        <v>6</v>
      </c>
      <c r="BT149" s="16">
        <f t="shared" si="89"/>
        <v>19.170000000000002</v>
      </c>
      <c r="BU149" s="16">
        <f t="shared" si="90"/>
        <v>40.630000000000003</v>
      </c>
      <c r="BV149" s="3">
        <f t="shared" si="91"/>
        <v>6.6</v>
      </c>
      <c r="BW149" s="3">
        <f t="shared" si="84"/>
        <v>6.7</v>
      </c>
      <c r="BX149" s="3">
        <f t="shared" si="84"/>
        <v>6.7</v>
      </c>
      <c r="BY149" s="3">
        <f t="shared" si="84"/>
        <v>7.7</v>
      </c>
      <c r="BZ149" s="3">
        <f t="shared" si="84"/>
        <v>3.3</v>
      </c>
      <c r="CA149" s="3">
        <f t="shared" si="84"/>
        <v>0</v>
      </c>
      <c r="CB149" s="3">
        <f t="shared" si="84"/>
        <v>1.5</v>
      </c>
      <c r="CC149" s="22">
        <f t="shared" si="92"/>
        <v>84.7</v>
      </c>
      <c r="CD149" s="1">
        <f t="shared" si="96"/>
        <v>12.1</v>
      </c>
      <c r="CE149" s="1">
        <f t="shared" si="97"/>
        <v>15.9</v>
      </c>
      <c r="CF149" s="1">
        <f t="shared" si="98"/>
        <v>16.7</v>
      </c>
      <c r="CG149" s="1">
        <f t="shared" si="99"/>
        <v>15.5</v>
      </c>
      <c r="CH149" s="1">
        <f t="shared" si="100"/>
        <v>5.7</v>
      </c>
      <c r="CI149" s="1">
        <f t="shared" si="101"/>
        <v>0.4</v>
      </c>
      <c r="CJ149" s="1">
        <f t="shared" si="102"/>
        <v>1.8</v>
      </c>
      <c r="CK149" s="2">
        <f t="shared" si="93"/>
        <v>99.5</v>
      </c>
      <c r="CL149" s="1">
        <f t="shared" si="103"/>
        <v>1</v>
      </c>
      <c r="CM149" s="1">
        <f t="shared" si="104"/>
        <v>0.7</v>
      </c>
      <c r="CN149" s="1">
        <f t="shared" si="105"/>
        <v>0.5</v>
      </c>
      <c r="CO149" s="1">
        <f t="shared" si="106"/>
        <v>4.4000000000000004</v>
      </c>
      <c r="CP149" s="1">
        <f t="shared" si="107"/>
        <v>1.8</v>
      </c>
      <c r="CQ149" s="1">
        <f t="shared" si="108"/>
        <v>-0.3</v>
      </c>
      <c r="CR149" s="1">
        <f t="shared" si="109"/>
        <v>1.2</v>
      </c>
      <c r="CS149" s="2">
        <f t="shared" si="110"/>
        <v>50.6</v>
      </c>
      <c r="CT149" s="6">
        <f t="shared" si="111"/>
        <v>0</v>
      </c>
      <c r="CU149" s="1">
        <f>PPTest!K149</f>
        <v>8</v>
      </c>
      <c r="CV149" s="3">
        <f t="shared" si="112"/>
        <v>1.21</v>
      </c>
      <c r="CW149" s="3">
        <f t="shared" si="113"/>
        <v>4.4800000000000004</v>
      </c>
      <c r="CX149" s="24">
        <f t="shared" si="114"/>
        <v>0.71299999999999997</v>
      </c>
      <c r="CY149" s="24">
        <f t="shared" si="114"/>
        <v>0.69599999999999995</v>
      </c>
      <c r="CZ149" s="16">
        <f t="shared" si="115"/>
        <v>12.95</v>
      </c>
    </row>
    <row r="150" spans="1:104" x14ac:dyDescent="0.2">
      <c r="A150" s="14">
        <f t="shared" si="116"/>
        <v>38861</v>
      </c>
      <c r="B150" s="1">
        <v>144</v>
      </c>
      <c r="C150" s="3">
        <v>7.91</v>
      </c>
      <c r="D150" s="3">
        <v>15.81</v>
      </c>
      <c r="E150" s="3">
        <v>4.1040000000000001</v>
      </c>
      <c r="F150" s="3">
        <v>109.1</v>
      </c>
      <c r="G150" s="3">
        <v>4.0620000000000003</v>
      </c>
      <c r="H150" s="3">
        <v>4.03</v>
      </c>
      <c r="I150" s="3">
        <v>5.4649999999999999</v>
      </c>
      <c r="J150" s="3">
        <v>2.347</v>
      </c>
      <c r="K150" s="3">
        <v>-5.7000000000000002E-2</v>
      </c>
      <c r="L150" s="3">
        <v>1.7290000000000001</v>
      </c>
      <c r="M150" s="3">
        <v>0.96899999999999997</v>
      </c>
      <c r="N150" s="3">
        <v>20</v>
      </c>
      <c r="O150" s="3">
        <v>8.19</v>
      </c>
      <c r="P150" s="3">
        <v>1211</v>
      </c>
      <c r="Q150" s="3">
        <v>110.8</v>
      </c>
      <c r="R150" s="3">
        <v>320</v>
      </c>
      <c r="S150" s="3">
        <v>9.69</v>
      </c>
      <c r="T150" s="3">
        <v>10.14</v>
      </c>
      <c r="U150" s="3">
        <v>7.91</v>
      </c>
      <c r="V150" s="3">
        <v>3.762</v>
      </c>
      <c r="W150" s="3">
        <v>0.22700000000000001</v>
      </c>
      <c r="X150" s="3">
        <v>1.9750000000000001</v>
      </c>
      <c r="Y150" s="3">
        <v>4.9420000000000002</v>
      </c>
      <c r="Z150" s="3">
        <v>1511</v>
      </c>
      <c r="AA150" s="3">
        <v>-0.104</v>
      </c>
      <c r="AB150" s="3">
        <v>220</v>
      </c>
      <c r="AC150" s="3">
        <v>96.6</v>
      </c>
      <c r="AD150" s="3">
        <v>1134</v>
      </c>
      <c r="AE150" s="3">
        <v>-0.432</v>
      </c>
      <c r="AF150" s="3">
        <v>-0.46700000000000003</v>
      </c>
      <c r="AG150" s="3">
        <v>3.4590000000000001</v>
      </c>
      <c r="AH150" s="3">
        <v>0.85099999999999998</v>
      </c>
      <c r="AI150" s="3">
        <v>-0.224</v>
      </c>
      <c r="AJ150" s="3">
        <v>1.4059999999999999</v>
      </c>
      <c r="AK150" s="3">
        <v>0.121</v>
      </c>
      <c r="AL150" s="3">
        <v>0.24299999999999999</v>
      </c>
      <c r="AM150" s="3">
        <v>0.19400000000000001</v>
      </c>
      <c r="AN150" s="3">
        <v>5.1999999999999998E-2</v>
      </c>
      <c r="AO150" s="3">
        <v>0.11</v>
      </c>
      <c r="AP150" s="3">
        <v>0.155</v>
      </c>
      <c r="AQ150" s="3">
        <v>7.5999999999999998E-2</v>
      </c>
      <c r="AR150" s="3">
        <v>4.9000000000000002E-2</v>
      </c>
      <c r="AS150" s="3">
        <v>3527</v>
      </c>
      <c r="AT150" s="3">
        <v>3523</v>
      </c>
      <c r="AU150" s="3">
        <v>3525</v>
      </c>
      <c r="AV150" s="3">
        <v>4.3600000000000003</v>
      </c>
      <c r="AW150" s="3">
        <v>4.2779999999999996</v>
      </c>
      <c r="AX150" s="3">
        <v>9.4700000000000006</v>
      </c>
      <c r="AY150" s="3">
        <v>9.5399999999999991</v>
      </c>
      <c r="AZ150" s="3">
        <v>-0.20699999999999999</v>
      </c>
      <c r="BA150" s="3">
        <v>-0.374</v>
      </c>
      <c r="BB150" s="3">
        <v>13.01</v>
      </c>
      <c r="BC150" s="3">
        <v>2876</v>
      </c>
      <c r="BE150" s="6"/>
      <c r="BG150" s="16">
        <v>31.82</v>
      </c>
      <c r="BH150" s="16">
        <f t="shared" si="85"/>
        <v>64.276399999999995</v>
      </c>
      <c r="BI150" s="17">
        <f t="shared" si="80"/>
        <v>7.75</v>
      </c>
      <c r="BJ150" s="17">
        <f t="shared" si="81"/>
        <v>17.39</v>
      </c>
      <c r="BL150" s="1">
        <f t="shared" si="86"/>
        <v>99.5</v>
      </c>
      <c r="BM150" s="1">
        <f t="shared" si="87"/>
        <v>96.8</v>
      </c>
      <c r="BN150" s="1">
        <f t="shared" si="88"/>
        <v>78</v>
      </c>
      <c r="BO150" s="49">
        <f t="shared" si="94"/>
        <v>0.84699999999999998</v>
      </c>
      <c r="BP150" s="49">
        <f t="shared" si="95"/>
        <v>0.23899999999999999</v>
      </c>
      <c r="BR150" s="3">
        <v>14.8</v>
      </c>
      <c r="BT150" s="16">
        <f t="shared" si="89"/>
        <v>7.75</v>
      </c>
      <c r="BU150" s="16">
        <f t="shared" si="90"/>
        <v>17.39</v>
      </c>
      <c r="BV150" s="3">
        <f t="shared" si="91"/>
        <v>4.0999999999999996</v>
      </c>
      <c r="BW150" s="3">
        <f t="shared" si="84"/>
        <v>4.0999999999999996</v>
      </c>
      <c r="BX150" s="3">
        <f t="shared" si="84"/>
        <v>4</v>
      </c>
      <c r="BY150" s="3">
        <f t="shared" si="84"/>
        <v>5.5</v>
      </c>
      <c r="BZ150" s="3">
        <f t="shared" si="84"/>
        <v>2.2999999999999998</v>
      </c>
      <c r="CA150" s="3">
        <f t="shared" si="84"/>
        <v>-0.1</v>
      </c>
      <c r="CB150" s="3">
        <f t="shared" si="84"/>
        <v>1.7</v>
      </c>
      <c r="CC150" s="22">
        <f t="shared" si="92"/>
        <v>96.8</v>
      </c>
      <c r="CD150" s="1">
        <f t="shared" si="96"/>
        <v>8.1999999999999993</v>
      </c>
      <c r="CE150" s="1">
        <f t="shared" si="97"/>
        <v>9.6999999999999993</v>
      </c>
      <c r="CF150" s="1">
        <f t="shared" si="98"/>
        <v>10.1</v>
      </c>
      <c r="CG150" s="1">
        <f t="shared" si="99"/>
        <v>7.9</v>
      </c>
      <c r="CH150" s="1">
        <f t="shared" si="100"/>
        <v>3.8</v>
      </c>
      <c r="CI150" s="1">
        <f t="shared" si="101"/>
        <v>0.2</v>
      </c>
      <c r="CJ150" s="1">
        <f t="shared" si="102"/>
        <v>2</v>
      </c>
      <c r="CK150" s="2">
        <f t="shared" si="93"/>
        <v>99.5</v>
      </c>
      <c r="CL150" s="1">
        <f t="shared" si="103"/>
        <v>-0.1</v>
      </c>
      <c r="CM150" s="1">
        <f t="shared" si="104"/>
        <v>-0.4</v>
      </c>
      <c r="CN150" s="1">
        <f t="shared" si="105"/>
        <v>-0.5</v>
      </c>
      <c r="CO150" s="1">
        <f t="shared" si="106"/>
        <v>3.5</v>
      </c>
      <c r="CP150" s="1">
        <f t="shared" si="107"/>
        <v>0.9</v>
      </c>
      <c r="CQ150" s="1">
        <f t="shared" si="108"/>
        <v>-0.2</v>
      </c>
      <c r="CR150" s="1">
        <f t="shared" si="109"/>
        <v>1.4</v>
      </c>
      <c r="CS150" s="2">
        <f t="shared" si="110"/>
        <v>78</v>
      </c>
      <c r="CT150" s="6">
        <f t="shared" si="111"/>
        <v>0</v>
      </c>
      <c r="CU150" s="1">
        <f>PPTest!K150</f>
        <v>20</v>
      </c>
      <c r="CV150" s="3">
        <f t="shared" si="112"/>
        <v>0.97</v>
      </c>
      <c r="CW150" s="3">
        <f t="shared" si="113"/>
        <v>4.9400000000000004</v>
      </c>
      <c r="CX150" s="24">
        <f t="shared" si="114"/>
        <v>0.84699999999999998</v>
      </c>
      <c r="CY150" s="24">
        <f t="shared" si="114"/>
        <v>0.23899999999999999</v>
      </c>
      <c r="CZ150" s="16">
        <f t="shared" si="115"/>
        <v>13.01</v>
      </c>
    </row>
    <row r="151" spans="1:104" x14ac:dyDescent="0.2">
      <c r="A151" s="14">
        <f t="shared" si="116"/>
        <v>38862</v>
      </c>
      <c r="B151" s="1">
        <v>145</v>
      </c>
      <c r="C151" s="3">
        <v>14.35</v>
      </c>
      <c r="D151" s="3">
        <v>27.14</v>
      </c>
      <c r="E151" s="3">
        <v>3.016</v>
      </c>
      <c r="F151" s="3">
        <v>104.7</v>
      </c>
      <c r="G151" s="3">
        <v>3.206</v>
      </c>
      <c r="H151" s="3">
        <v>3.206</v>
      </c>
      <c r="I151" s="3">
        <v>4.5810000000000004</v>
      </c>
      <c r="J151" s="3">
        <v>2.3519999999999999</v>
      </c>
      <c r="K151" s="3">
        <v>-7.1999999999999995E-2</v>
      </c>
      <c r="L151" s="3">
        <v>1.9910000000000001</v>
      </c>
      <c r="M151" s="3">
        <v>0.98599999999999999</v>
      </c>
      <c r="N151" s="3">
        <v>1</v>
      </c>
      <c r="O151" s="3">
        <v>6.9240000000000004</v>
      </c>
      <c r="P151" s="3">
        <v>1419</v>
      </c>
      <c r="Q151" s="3">
        <v>110.9</v>
      </c>
      <c r="R151" s="3">
        <v>242</v>
      </c>
      <c r="S151" s="3">
        <v>9.4499999999999993</v>
      </c>
      <c r="T151" s="3">
        <v>10.33</v>
      </c>
      <c r="U151" s="3">
        <v>8.1300000000000008</v>
      </c>
      <c r="V151" s="3">
        <v>4.2039999999999997</v>
      </c>
      <c r="W151" s="3">
        <v>0.21</v>
      </c>
      <c r="X151" s="3">
        <v>2.278</v>
      </c>
      <c r="Y151" s="3">
        <v>2.9609999999999999</v>
      </c>
      <c r="Z151" s="3">
        <v>1150</v>
      </c>
      <c r="AA151" s="3">
        <v>-0.57999999999999996</v>
      </c>
      <c r="AB151" s="3">
        <v>226</v>
      </c>
      <c r="AC151" s="3">
        <v>81.2</v>
      </c>
      <c r="AD151" s="3">
        <v>1139</v>
      </c>
      <c r="AE151" s="3">
        <v>-1.1220000000000001</v>
      </c>
      <c r="AF151" s="3">
        <v>-1.2470000000000001</v>
      </c>
      <c r="AG151" s="3">
        <v>1.839</v>
      </c>
      <c r="AH151" s="3">
        <v>0.82599999999999996</v>
      </c>
      <c r="AI151" s="3">
        <v>-0.33</v>
      </c>
      <c r="AJ151" s="3">
        <v>1.641</v>
      </c>
      <c r="AK151" s="3">
        <v>0.123</v>
      </c>
      <c r="AL151" s="3">
        <v>0.317</v>
      </c>
      <c r="AM151" s="3">
        <v>0.221</v>
      </c>
      <c r="AN151" s="3">
        <v>2.5999999999999999E-2</v>
      </c>
      <c r="AO151" s="3">
        <v>7.8E-2</v>
      </c>
      <c r="AP151" s="3">
        <v>0.13100000000000001</v>
      </c>
      <c r="AQ151" s="3">
        <v>6.6000000000000003E-2</v>
      </c>
      <c r="AR151" s="3">
        <v>3.7999999999999999E-2</v>
      </c>
      <c r="AS151" s="3">
        <v>3519</v>
      </c>
      <c r="AT151" s="3">
        <v>3516</v>
      </c>
      <c r="AU151" s="3">
        <v>3517</v>
      </c>
      <c r="AV151" s="3">
        <v>4.0780000000000003</v>
      </c>
      <c r="AW151" s="3">
        <v>3.9489999999999998</v>
      </c>
      <c r="AX151" s="3">
        <v>8.81</v>
      </c>
      <c r="AY151" s="3">
        <v>9.18</v>
      </c>
      <c r="AZ151" s="3">
        <v>-0.434</v>
      </c>
      <c r="BA151" s="3">
        <v>-0.76500000000000001</v>
      </c>
      <c r="BB151" s="3">
        <v>13.08</v>
      </c>
      <c r="BC151" s="3">
        <v>2876</v>
      </c>
      <c r="BE151" s="6"/>
      <c r="BG151" s="16">
        <v>31.94</v>
      </c>
      <c r="BH151" s="16">
        <f t="shared" si="85"/>
        <v>64.518799999999999</v>
      </c>
      <c r="BI151" s="17">
        <f t="shared" si="80"/>
        <v>14.06</v>
      </c>
      <c r="BJ151" s="17">
        <f t="shared" si="81"/>
        <v>29.85</v>
      </c>
      <c r="BL151" s="1">
        <f t="shared" si="86"/>
        <v>99.6</v>
      </c>
      <c r="BM151" s="1">
        <f t="shared" si="87"/>
        <v>89.8</v>
      </c>
      <c r="BN151" s="1">
        <f t="shared" si="88"/>
        <v>64.5</v>
      </c>
      <c r="BO151" s="49">
        <f t="shared" si="94"/>
        <v>0.64300000000000002</v>
      </c>
      <c r="BP151" s="49">
        <f t="shared" si="95"/>
        <v>0.35399999999999998</v>
      </c>
      <c r="BR151" s="3">
        <v>0.2</v>
      </c>
      <c r="BT151" s="16">
        <f t="shared" si="89"/>
        <v>14.06</v>
      </c>
      <c r="BU151" s="16">
        <f t="shared" si="90"/>
        <v>29.85</v>
      </c>
      <c r="BV151" s="3">
        <f t="shared" si="91"/>
        <v>3</v>
      </c>
      <c r="BW151" s="3">
        <f t="shared" si="84"/>
        <v>3.2</v>
      </c>
      <c r="BX151" s="3">
        <f t="shared" si="84"/>
        <v>3.2</v>
      </c>
      <c r="BY151" s="3">
        <f t="shared" si="84"/>
        <v>4.5999999999999996</v>
      </c>
      <c r="BZ151" s="3">
        <f t="shared" si="84"/>
        <v>2.4</v>
      </c>
      <c r="CA151" s="3">
        <f t="shared" si="84"/>
        <v>-0.1</v>
      </c>
      <c r="CB151" s="3">
        <f t="shared" si="84"/>
        <v>2</v>
      </c>
      <c r="CC151" s="22">
        <f t="shared" si="92"/>
        <v>89.8</v>
      </c>
      <c r="CD151" s="1">
        <f t="shared" si="96"/>
        <v>6.9</v>
      </c>
      <c r="CE151" s="1">
        <f t="shared" si="97"/>
        <v>9.5</v>
      </c>
      <c r="CF151" s="1">
        <f t="shared" si="98"/>
        <v>10.3</v>
      </c>
      <c r="CG151" s="1">
        <f t="shared" si="99"/>
        <v>8.1</v>
      </c>
      <c r="CH151" s="1">
        <f t="shared" si="100"/>
        <v>4.2</v>
      </c>
      <c r="CI151" s="1">
        <f t="shared" si="101"/>
        <v>0.2</v>
      </c>
      <c r="CJ151" s="1">
        <f t="shared" si="102"/>
        <v>2.2999999999999998</v>
      </c>
      <c r="CK151" s="2">
        <f t="shared" si="93"/>
        <v>99.6</v>
      </c>
      <c r="CL151" s="1">
        <f t="shared" si="103"/>
        <v>-0.6</v>
      </c>
      <c r="CM151" s="1">
        <f t="shared" si="104"/>
        <v>-1.1000000000000001</v>
      </c>
      <c r="CN151" s="1">
        <f t="shared" si="105"/>
        <v>-1.2</v>
      </c>
      <c r="CO151" s="1">
        <f t="shared" si="106"/>
        <v>1.8</v>
      </c>
      <c r="CP151" s="1">
        <f t="shared" si="107"/>
        <v>0.8</v>
      </c>
      <c r="CQ151" s="1">
        <f t="shared" si="108"/>
        <v>-0.3</v>
      </c>
      <c r="CR151" s="1">
        <f t="shared" si="109"/>
        <v>1.6</v>
      </c>
      <c r="CS151" s="2">
        <f t="shared" si="110"/>
        <v>64.5</v>
      </c>
      <c r="CT151" s="6">
        <f t="shared" si="111"/>
        <v>0</v>
      </c>
      <c r="CU151" s="1">
        <f>PPTest!K151</f>
        <v>1</v>
      </c>
      <c r="CV151" s="3">
        <f t="shared" si="112"/>
        <v>0.99</v>
      </c>
      <c r="CW151" s="3">
        <f t="shared" si="113"/>
        <v>2.96</v>
      </c>
      <c r="CX151" s="24">
        <f t="shared" si="114"/>
        <v>0.64300000000000002</v>
      </c>
      <c r="CY151" s="24">
        <f t="shared" si="114"/>
        <v>0.35399999999999998</v>
      </c>
      <c r="CZ151" s="16">
        <f t="shared" si="115"/>
        <v>13.08</v>
      </c>
    </row>
    <row r="152" spans="1:104" x14ac:dyDescent="0.2">
      <c r="A152" s="14">
        <f t="shared" si="116"/>
        <v>38863</v>
      </c>
      <c r="B152" s="1">
        <v>146</v>
      </c>
      <c r="C152" s="3">
        <v>8.5</v>
      </c>
      <c r="D152" s="3">
        <v>16.77</v>
      </c>
      <c r="E152" s="3">
        <v>2.895</v>
      </c>
      <c r="F152" s="3">
        <v>109.1</v>
      </c>
      <c r="G152" s="3">
        <v>3.0680000000000001</v>
      </c>
      <c r="H152" s="3">
        <v>3.0190000000000001</v>
      </c>
      <c r="I152" s="3">
        <v>4.4880000000000004</v>
      </c>
      <c r="J152" s="3">
        <v>2.2130000000000001</v>
      </c>
      <c r="K152" s="3">
        <v>-5.6000000000000001E-2</v>
      </c>
      <c r="L152" s="3">
        <v>2.2930000000000001</v>
      </c>
      <c r="M152" s="3">
        <v>0.84599999999999997</v>
      </c>
      <c r="N152" s="3">
        <v>11</v>
      </c>
      <c r="O152" s="3">
        <v>6.194</v>
      </c>
      <c r="P152" s="3">
        <v>1455</v>
      </c>
      <c r="Q152" s="3">
        <v>110.8</v>
      </c>
      <c r="R152" s="3">
        <v>3</v>
      </c>
      <c r="S152" s="3">
        <v>7.82</v>
      </c>
      <c r="T152" s="3">
        <v>8.01</v>
      </c>
      <c r="U152" s="3">
        <v>7.29</v>
      </c>
      <c r="V152" s="3">
        <v>3.6680000000000001</v>
      </c>
      <c r="W152" s="3">
        <v>0.15</v>
      </c>
      <c r="X152" s="3">
        <v>2.5350000000000001</v>
      </c>
      <c r="Y152" s="3">
        <v>3.1339999999999999</v>
      </c>
      <c r="Z152" s="3">
        <v>1356</v>
      </c>
      <c r="AA152" s="3">
        <v>6.0999999999999999E-2</v>
      </c>
      <c r="AB152" s="3">
        <v>19</v>
      </c>
      <c r="AC152" s="3">
        <v>98.2</v>
      </c>
      <c r="AD152" s="3">
        <v>1346</v>
      </c>
      <c r="AE152" s="3">
        <v>-5.8000000000000003E-2</v>
      </c>
      <c r="AF152" s="3">
        <v>-1.4999999999999999E-2</v>
      </c>
      <c r="AG152" s="3">
        <v>1.9710000000000001</v>
      </c>
      <c r="AH152" s="3">
        <v>1.1990000000000001</v>
      </c>
      <c r="AI152" s="3">
        <v>-0.223</v>
      </c>
      <c r="AJ152" s="3">
        <v>2.0209999999999999</v>
      </c>
      <c r="AK152" s="3">
        <v>0.20300000000000001</v>
      </c>
      <c r="AL152" s="3">
        <v>0.33500000000000002</v>
      </c>
      <c r="AM152" s="3">
        <v>0.222</v>
      </c>
      <c r="AN152" s="3">
        <v>0.03</v>
      </c>
      <c r="AO152" s="3">
        <v>4.9000000000000002E-2</v>
      </c>
      <c r="AP152" s="3">
        <v>7.3999999999999996E-2</v>
      </c>
      <c r="AQ152" s="3">
        <v>3.5000000000000003E-2</v>
      </c>
      <c r="AR152" s="3">
        <v>5.2999999999999999E-2</v>
      </c>
      <c r="AS152" s="3">
        <v>3554</v>
      </c>
      <c r="AT152" s="3">
        <v>3539</v>
      </c>
      <c r="AU152" s="3">
        <v>3545</v>
      </c>
      <c r="AV152" s="3">
        <v>3.4980000000000002</v>
      </c>
      <c r="AW152" s="3">
        <v>3.4460000000000002</v>
      </c>
      <c r="AX152" s="3">
        <v>7.57</v>
      </c>
      <c r="AY152" s="3">
        <v>7.73</v>
      </c>
      <c r="AZ152" s="3">
        <v>6.2E-2</v>
      </c>
      <c r="BA152" s="3">
        <v>-0.125</v>
      </c>
      <c r="BB152" s="3">
        <v>13.05</v>
      </c>
      <c r="BC152" s="3">
        <v>2876</v>
      </c>
      <c r="BE152" s="6"/>
      <c r="BG152" s="16">
        <v>32.04</v>
      </c>
      <c r="BH152" s="16">
        <f t="shared" si="85"/>
        <v>64.720799999999997</v>
      </c>
      <c r="BI152" s="17">
        <f t="shared" si="80"/>
        <v>8.33</v>
      </c>
      <c r="BJ152" s="17">
        <f t="shared" si="81"/>
        <v>18.45</v>
      </c>
      <c r="BL152" s="1">
        <f t="shared" si="86"/>
        <v>99.5</v>
      </c>
      <c r="BM152" s="1">
        <f t="shared" si="87"/>
        <v>96.8</v>
      </c>
      <c r="BN152" s="1">
        <f t="shared" si="88"/>
        <v>79.400000000000006</v>
      </c>
      <c r="BO152" s="49">
        <f t="shared" si="94"/>
        <v>0.752</v>
      </c>
      <c r="BP152" s="49">
        <f t="shared" si="95"/>
        <v>0.19500000000000001</v>
      </c>
      <c r="BR152" s="3">
        <v>4</v>
      </c>
      <c r="BT152" s="16">
        <f t="shared" si="89"/>
        <v>8.33</v>
      </c>
      <c r="BU152" s="16">
        <f t="shared" si="90"/>
        <v>18.45</v>
      </c>
      <c r="BV152" s="3">
        <f t="shared" si="91"/>
        <v>2.9</v>
      </c>
      <c r="BW152" s="3">
        <f t="shared" si="84"/>
        <v>3.1</v>
      </c>
      <c r="BX152" s="3">
        <f t="shared" si="84"/>
        <v>3</v>
      </c>
      <c r="BY152" s="3">
        <f t="shared" si="84"/>
        <v>4.5</v>
      </c>
      <c r="BZ152" s="3">
        <f t="shared" si="84"/>
        <v>2.2000000000000002</v>
      </c>
      <c r="CA152" s="3">
        <f t="shared" si="84"/>
        <v>-0.1</v>
      </c>
      <c r="CB152" s="3">
        <f t="shared" si="84"/>
        <v>2.2999999999999998</v>
      </c>
      <c r="CC152" s="22">
        <f t="shared" si="92"/>
        <v>96.8</v>
      </c>
      <c r="CD152" s="1">
        <f t="shared" si="96"/>
        <v>6.2</v>
      </c>
      <c r="CE152" s="1">
        <f t="shared" si="97"/>
        <v>7.8</v>
      </c>
      <c r="CF152" s="1">
        <f t="shared" si="98"/>
        <v>8</v>
      </c>
      <c r="CG152" s="1">
        <f t="shared" si="99"/>
        <v>7.3</v>
      </c>
      <c r="CH152" s="1">
        <f t="shared" si="100"/>
        <v>3.7</v>
      </c>
      <c r="CI152" s="1">
        <f t="shared" si="101"/>
        <v>0.2</v>
      </c>
      <c r="CJ152" s="1">
        <f t="shared" si="102"/>
        <v>2.5</v>
      </c>
      <c r="CK152" s="2">
        <f t="shared" si="93"/>
        <v>99.5</v>
      </c>
      <c r="CL152" s="1">
        <f t="shared" si="103"/>
        <v>0.1</v>
      </c>
      <c r="CM152" s="1">
        <f t="shared" si="104"/>
        <v>-0.1</v>
      </c>
      <c r="CN152" s="1">
        <f t="shared" si="105"/>
        <v>0</v>
      </c>
      <c r="CO152" s="1">
        <f t="shared" si="106"/>
        <v>2</v>
      </c>
      <c r="CP152" s="1">
        <f t="shared" si="107"/>
        <v>1.2</v>
      </c>
      <c r="CQ152" s="1">
        <f t="shared" si="108"/>
        <v>-0.2</v>
      </c>
      <c r="CR152" s="1">
        <f t="shared" si="109"/>
        <v>2</v>
      </c>
      <c r="CS152" s="2">
        <f t="shared" si="110"/>
        <v>79.400000000000006</v>
      </c>
      <c r="CT152" s="6">
        <f t="shared" si="111"/>
        <v>0</v>
      </c>
      <c r="CU152" s="1">
        <f>PPTest!K152</f>
        <v>11</v>
      </c>
      <c r="CV152" s="3">
        <f t="shared" si="112"/>
        <v>0.85</v>
      </c>
      <c r="CW152" s="3">
        <f t="shared" si="113"/>
        <v>3.13</v>
      </c>
      <c r="CX152" s="24">
        <f t="shared" si="114"/>
        <v>0.752</v>
      </c>
      <c r="CY152" s="24">
        <f t="shared" si="114"/>
        <v>0.19500000000000001</v>
      </c>
      <c r="CZ152" s="16">
        <f t="shared" si="115"/>
        <v>13.05</v>
      </c>
    </row>
    <row r="153" spans="1:104" x14ac:dyDescent="0.2">
      <c r="A153" s="14">
        <f t="shared" si="116"/>
        <v>38864</v>
      </c>
      <c r="B153" s="1">
        <v>147</v>
      </c>
      <c r="C153" s="3">
        <v>12.96</v>
      </c>
      <c r="D153" s="3">
        <v>24.62</v>
      </c>
      <c r="E153" s="3">
        <v>3.605</v>
      </c>
      <c r="F153" s="3">
        <v>105.5</v>
      </c>
      <c r="G153" s="3">
        <v>3.702</v>
      </c>
      <c r="H153" s="3">
        <v>3.6989999999999998</v>
      </c>
      <c r="I153" s="3">
        <v>4.6440000000000001</v>
      </c>
      <c r="J153" s="3">
        <v>2.8250000000000002</v>
      </c>
      <c r="K153" s="3">
        <v>0.115</v>
      </c>
      <c r="L153" s="3">
        <v>2.577</v>
      </c>
      <c r="M153" s="3">
        <v>1.0820000000000001</v>
      </c>
      <c r="N153" s="3">
        <v>5</v>
      </c>
      <c r="O153" s="3">
        <v>8.77</v>
      </c>
      <c r="P153" s="3">
        <v>1730</v>
      </c>
      <c r="Q153" s="3">
        <v>110.9</v>
      </c>
      <c r="R153" s="3">
        <v>2359</v>
      </c>
      <c r="S153" s="3">
        <v>10.31</v>
      </c>
      <c r="T153" s="3">
        <v>11.01</v>
      </c>
      <c r="U153" s="3">
        <v>7.65</v>
      </c>
      <c r="V153" s="3">
        <v>4.5149999999999997</v>
      </c>
      <c r="W153" s="3">
        <v>0.38500000000000001</v>
      </c>
      <c r="X153" s="3">
        <v>2.851</v>
      </c>
      <c r="Y153" s="3">
        <v>3.7589999999999999</v>
      </c>
      <c r="Z153" s="3">
        <v>1031</v>
      </c>
      <c r="AA153" s="3">
        <v>-0.47799999999999998</v>
      </c>
      <c r="AB153" s="3">
        <v>0</v>
      </c>
      <c r="AC153" s="3">
        <v>79.2</v>
      </c>
      <c r="AD153" s="3">
        <v>1821</v>
      </c>
      <c r="AE153" s="3">
        <v>-0.89600000000000002</v>
      </c>
      <c r="AF153" s="3">
        <v>-0.91900000000000004</v>
      </c>
      <c r="AG153" s="3">
        <v>1.698</v>
      </c>
      <c r="AH153" s="3">
        <v>1.417</v>
      </c>
      <c r="AI153" s="3">
        <v>-0.11899999999999999</v>
      </c>
      <c r="AJ153" s="3">
        <v>2.3359999999999999</v>
      </c>
      <c r="AK153" s="3">
        <v>0.21</v>
      </c>
      <c r="AL153" s="3">
        <v>0.42599999999999999</v>
      </c>
      <c r="AM153" s="3">
        <v>0.19</v>
      </c>
      <c r="AN153" s="3">
        <v>0.03</v>
      </c>
      <c r="AO153" s="3">
        <v>2.5000000000000001E-2</v>
      </c>
      <c r="AP153" s="3">
        <v>1.7999999999999999E-2</v>
      </c>
      <c r="AQ153" s="3">
        <v>1.6E-2</v>
      </c>
      <c r="AR153" s="3">
        <v>8.4000000000000005E-2</v>
      </c>
      <c r="AS153" s="3">
        <v>3544</v>
      </c>
      <c r="AT153" s="3">
        <v>3531</v>
      </c>
      <c r="AU153" s="3">
        <v>3536</v>
      </c>
      <c r="AV153" s="3">
        <v>4.3449999999999998</v>
      </c>
      <c r="AW153" s="3">
        <v>4.2450000000000001</v>
      </c>
      <c r="AX153" s="3">
        <v>8.81</v>
      </c>
      <c r="AY153" s="3">
        <v>9.5</v>
      </c>
      <c r="AZ153" s="3">
        <v>0.308</v>
      </c>
      <c r="BA153" s="3">
        <v>-0.25600000000000001</v>
      </c>
      <c r="BB153" s="3">
        <v>13.1</v>
      </c>
      <c r="BC153" s="3">
        <v>2876</v>
      </c>
      <c r="BE153" s="6"/>
      <c r="BG153" s="16">
        <v>32.14</v>
      </c>
      <c r="BH153" s="16">
        <f t="shared" si="85"/>
        <v>64.922799999999995</v>
      </c>
      <c r="BI153" s="17">
        <f t="shared" si="80"/>
        <v>12.7</v>
      </c>
      <c r="BJ153" s="17">
        <f t="shared" si="81"/>
        <v>27.08</v>
      </c>
      <c r="BL153" s="1">
        <f t="shared" si="86"/>
        <v>99.6</v>
      </c>
      <c r="BM153" s="1">
        <f t="shared" si="87"/>
        <v>91</v>
      </c>
      <c r="BN153" s="1">
        <f t="shared" si="88"/>
        <v>62.7</v>
      </c>
      <c r="BO153" s="49">
        <f t="shared" si="94"/>
        <v>0.70799999999999996</v>
      </c>
      <c r="BP153" s="49">
        <f t="shared" si="95"/>
        <v>0.42099999999999999</v>
      </c>
      <c r="BR153" s="3">
        <v>3.8</v>
      </c>
      <c r="BT153" s="16">
        <f t="shared" si="89"/>
        <v>12.7</v>
      </c>
      <c r="BU153" s="16">
        <f t="shared" si="90"/>
        <v>27.08</v>
      </c>
      <c r="BV153" s="3">
        <f t="shared" si="91"/>
        <v>3.6</v>
      </c>
      <c r="BW153" s="3">
        <f t="shared" si="84"/>
        <v>3.7</v>
      </c>
      <c r="BX153" s="3">
        <f t="shared" si="84"/>
        <v>3.7</v>
      </c>
      <c r="BY153" s="3">
        <f t="shared" si="84"/>
        <v>4.5999999999999996</v>
      </c>
      <c r="BZ153" s="3">
        <f t="shared" si="84"/>
        <v>2.8</v>
      </c>
      <c r="CA153" s="3">
        <f t="shared" si="84"/>
        <v>0.1</v>
      </c>
      <c r="CB153" s="3">
        <f t="shared" si="84"/>
        <v>2.6</v>
      </c>
      <c r="CC153" s="22">
        <f t="shared" si="92"/>
        <v>91</v>
      </c>
      <c r="CD153" s="1">
        <f t="shared" si="96"/>
        <v>8.8000000000000007</v>
      </c>
      <c r="CE153" s="1">
        <f t="shared" si="97"/>
        <v>10.3</v>
      </c>
      <c r="CF153" s="1">
        <f t="shared" si="98"/>
        <v>11</v>
      </c>
      <c r="CG153" s="1">
        <f t="shared" si="99"/>
        <v>7.7</v>
      </c>
      <c r="CH153" s="1">
        <f t="shared" si="100"/>
        <v>4.5</v>
      </c>
      <c r="CI153" s="1">
        <f t="shared" si="101"/>
        <v>0.4</v>
      </c>
      <c r="CJ153" s="1">
        <f t="shared" si="102"/>
        <v>2.9</v>
      </c>
      <c r="CK153" s="2">
        <f t="shared" si="93"/>
        <v>99.6</v>
      </c>
      <c r="CL153" s="1">
        <f t="shared" si="103"/>
        <v>-0.5</v>
      </c>
      <c r="CM153" s="1">
        <f t="shared" si="104"/>
        <v>-0.9</v>
      </c>
      <c r="CN153" s="1">
        <f t="shared" si="105"/>
        <v>-0.9</v>
      </c>
      <c r="CO153" s="1">
        <f t="shared" si="106"/>
        <v>1.7</v>
      </c>
      <c r="CP153" s="1">
        <f t="shared" si="107"/>
        <v>1.4</v>
      </c>
      <c r="CQ153" s="1">
        <f t="shared" si="108"/>
        <v>-0.1</v>
      </c>
      <c r="CR153" s="1">
        <f t="shared" si="109"/>
        <v>2.2999999999999998</v>
      </c>
      <c r="CS153" s="2">
        <f t="shared" si="110"/>
        <v>62.7</v>
      </c>
      <c r="CT153" s="6">
        <f t="shared" si="111"/>
        <v>0</v>
      </c>
      <c r="CU153" s="1">
        <f>PPTest!K153</f>
        <v>5</v>
      </c>
      <c r="CV153" s="3">
        <f t="shared" si="112"/>
        <v>1.08</v>
      </c>
      <c r="CW153" s="3">
        <f t="shared" si="113"/>
        <v>3.76</v>
      </c>
      <c r="CX153" s="24">
        <f t="shared" si="114"/>
        <v>0.70799999999999996</v>
      </c>
      <c r="CY153" s="24">
        <f t="shared" si="114"/>
        <v>0.42099999999999999</v>
      </c>
      <c r="CZ153" s="16">
        <f t="shared" si="115"/>
        <v>13.1</v>
      </c>
    </row>
    <row r="154" spans="1:104" x14ac:dyDescent="0.2">
      <c r="A154" s="14">
        <f t="shared" si="116"/>
        <v>38865</v>
      </c>
      <c r="B154" s="1">
        <v>148</v>
      </c>
      <c r="C154" s="3">
        <v>17.43</v>
      </c>
      <c r="D154" s="3">
        <v>32.119999999999997</v>
      </c>
      <c r="E154" s="3">
        <v>4.3129999999999997</v>
      </c>
      <c r="F154" s="3">
        <v>99.5</v>
      </c>
      <c r="G154" s="3">
        <v>4.5679999999999996</v>
      </c>
      <c r="H154" s="3">
        <v>4.5730000000000004</v>
      </c>
      <c r="I154" s="3">
        <v>5.2789999999999999</v>
      </c>
      <c r="J154" s="3">
        <v>3.524</v>
      </c>
      <c r="K154" s="3">
        <v>0.38500000000000001</v>
      </c>
      <c r="L154" s="3">
        <v>2.863</v>
      </c>
      <c r="M154" s="3">
        <v>1.3049999999999999</v>
      </c>
      <c r="N154" s="3">
        <v>0</v>
      </c>
      <c r="O154" s="3">
        <v>11.14</v>
      </c>
      <c r="P154" s="3">
        <v>1639</v>
      </c>
      <c r="Q154" s="3">
        <v>111</v>
      </c>
      <c r="R154" s="3">
        <v>231</v>
      </c>
      <c r="S154" s="3">
        <v>14.71</v>
      </c>
      <c r="T154" s="3">
        <v>14.4</v>
      </c>
      <c r="U154" s="3">
        <v>11.33</v>
      </c>
      <c r="V154" s="3">
        <v>6.9039999999999999</v>
      </c>
      <c r="W154" s="3">
        <v>0.81899999999999995</v>
      </c>
      <c r="X154" s="3">
        <v>3.339</v>
      </c>
      <c r="Y154" s="3">
        <v>3.5859999999999999</v>
      </c>
      <c r="Z154" s="3">
        <v>1514</v>
      </c>
      <c r="AA154" s="3">
        <v>-1.1870000000000001</v>
      </c>
      <c r="AB154" s="3">
        <v>236</v>
      </c>
      <c r="AC154" s="3">
        <v>62.81</v>
      </c>
      <c r="AD154" s="3">
        <v>1734</v>
      </c>
      <c r="AE154" s="3">
        <v>-1.5289999999999999</v>
      </c>
      <c r="AF154" s="3">
        <v>-1.627</v>
      </c>
      <c r="AG154" s="3">
        <v>1.52</v>
      </c>
      <c r="AH154" s="3">
        <v>1.17</v>
      </c>
      <c r="AI154" s="3">
        <v>0.11600000000000001</v>
      </c>
      <c r="AJ154" s="3">
        <v>2.5569999999999999</v>
      </c>
      <c r="AK154" s="3">
        <v>4.2000000000000003E-2</v>
      </c>
      <c r="AL154" s="3">
        <v>0.31</v>
      </c>
      <c r="AM154" s="3">
        <v>0.16700000000000001</v>
      </c>
      <c r="AN154" s="3">
        <v>3.3000000000000002E-2</v>
      </c>
      <c r="AO154" s="3">
        <v>9.8000000000000004E-2</v>
      </c>
      <c r="AP154" s="3">
        <v>0.192</v>
      </c>
      <c r="AQ154" s="3">
        <v>0.105</v>
      </c>
      <c r="AR154" s="3">
        <v>5.2999999999999999E-2</v>
      </c>
      <c r="AS154" s="3">
        <v>3512</v>
      </c>
      <c r="AT154" s="3">
        <v>3511</v>
      </c>
      <c r="AU154" s="3">
        <v>3511</v>
      </c>
      <c r="AV154" s="3">
        <v>5.2450000000000001</v>
      </c>
      <c r="AW154" s="3">
        <v>5.202</v>
      </c>
      <c r="AX154" s="3">
        <v>13.27</v>
      </c>
      <c r="AY154" s="3">
        <v>14</v>
      </c>
      <c r="AZ154" s="3">
        <v>-1.3580000000000001</v>
      </c>
      <c r="BA154" s="3">
        <v>-1.6419999999999999</v>
      </c>
      <c r="BB154" s="3">
        <v>13.07</v>
      </c>
      <c r="BC154" s="3">
        <v>2876</v>
      </c>
      <c r="BE154" s="6"/>
      <c r="BG154" s="16">
        <v>32.24</v>
      </c>
      <c r="BH154" s="16">
        <f t="shared" si="85"/>
        <v>65.124800000000008</v>
      </c>
      <c r="BI154" s="17">
        <f t="shared" si="80"/>
        <v>17.079999999999998</v>
      </c>
      <c r="BJ154" s="17">
        <f t="shared" si="81"/>
        <v>35.33</v>
      </c>
      <c r="BL154" s="1">
        <f t="shared" si="86"/>
        <v>99.8</v>
      </c>
      <c r="BM154" s="1">
        <f t="shared" si="87"/>
        <v>81.5</v>
      </c>
      <c r="BN154" s="1">
        <f t="shared" si="88"/>
        <v>48.3</v>
      </c>
      <c r="BO154" s="49">
        <f t="shared" si="94"/>
        <v>0.64</v>
      </c>
      <c r="BP154" s="49">
        <f t="shared" si="95"/>
        <v>0.68500000000000005</v>
      </c>
      <c r="BR154" s="3">
        <v>0</v>
      </c>
      <c r="BT154" s="16">
        <f t="shared" si="89"/>
        <v>17.079999999999998</v>
      </c>
      <c r="BU154" s="16">
        <f t="shared" si="90"/>
        <v>35.33</v>
      </c>
      <c r="BV154" s="3">
        <f t="shared" si="91"/>
        <v>4.3</v>
      </c>
      <c r="BW154" s="3">
        <f t="shared" si="84"/>
        <v>4.5999999999999996</v>
      </c>
      <c r="BX154" s="3">
        <f t="shared" si="84"/>
        <v>4.5999999999999996</v>
      </c>
      <c r="BY154" s="3">
        <f t="shared" si="84"/>
        <v>5.3</v>
      </c>
      <c r="BZ154" s="3">
        <f t="shared" si="84"/>
        <v>3.5</v>
      </c>
      <c r="CA154" s="3">
        <f t="shared" si="84"/>
        <v>0.4</v>
      </c>
      <c r="CB154" s="3">
        <f t="shared" si="84"/>
        <v>2.9</v>
      </c>
      <c r="CC154" s="22">
        <f t="shared" si="92"/>
        <v>81.5</v>
      </c>
      <c r="CD154" s="1">
        <f t="shared" si="96"/>
        <v>11.1</v>
      </c>
      <c r="CE154" s="1">
        <f t="shared" si="97"/>
        <v>14.7</v>
      </c>
      <c r="CF154" s="1">
        <f t="shared" si="98"/>
        <v>14.4</v>
      </c>
      <c r="CG154" s="1">
        <f t="shared" si="99"/>
        <v>11.3</v>
      </c>
      <c r="CH154" s="1">
        <f t="shared" si="100"/>
        <v>6.9</v>
      </c>
      <c r="CI154" s="1">
        <f t="shared" si="101"/>
        <v>0.8</v>
      </c>
      <c r="CJ154" s="1">
        <f t="shared" si="102"/>
        <v>3.3</v>
      </c>
      <c r="CK154" s="2">
        <f t="shared" si="93"/>
        <v>99.8</v>
      </c>
      <c r="CL154" s="1">
        <f t="shared" si="103"/>
        <v>-1.2</v>
      </c>
      <c r="CM154" s="1">
        <f t="shared" si="104"/>
        <v>-1.5</v>
      </c>
      <c r="CN154" s="1">
        <f t="shared" si="105"/>
        <v>-1.6</v>
      </c>
      <c r="CO154" s="1">
        <f t="shared" si="106"/>
        <v>1.5</v>
      </c>
      <c r="CP154" s="1">
        <f t="shared" si="107"/>
        <v>1.2</v>
      </c>
      <c r="CQ154" s="1">
        <f t="shared" si="108"/>
        <v>0.1</v>
      </c>
      <c r="CR154" s="1">
        <f t="shared" si="109"/>
        <v>2.6</v>
      </c>
      <c r="CS154" s="2">
        <f t="shared" si="110"/>
        <v>48.3</v>
      </c>
      <c r="CT154" s="6">
        <f t="shared" si="111"/>
        <v>0</v>
      </c>
      <c r="CU154" s="1">
        <f>PPTest!K154</f>
        <v>0</v>
      </c>
      <c r="CV154" s="3">
        <f t="shared" si="112"/>
        <v>1.31</v>
      </c>
      <c r="CW154" s="3">
        <f t="shared" si="113"/>
        <v>3.59</v>
      </c>
      <c r="CX154" s="24">
        <f t="shared" si="114"/>
        <v>0.64</v>
      </c>
      <c r="CY154" s="24">
        <f t="shared" si="114"/>
        <v>0.68500000000000005</v>
      </c>
      <c r="CZ154" s="16">
        <f t="shared" si="115"/>
        <v>13.07</v>
      </c>
    </row>
    <row r="155" spans="1:104" x14ac:dyDescent="0.2">
      <c r="A155" s="14">
        <f t="shared" si="116"/>
        <v>38866</v>
      </c>
      <c r="B155" s="1">
        <v>149</v>
      </c>
      <c r="C155" s="3">
        <v>12.56</v>
      </c>
      <c r="D155" s="3">
        <v>23.74</v>
      </c>
      <c r="E155" s="3">
        <v>4.2789999999999999</v>
      </c>
      <c r="F155" s="3">
        <v>108</v>
      </c>
      <c r="G155" s="3">
        <v>4.4370000000000003</v>
      </c>
      <c r="H155" s="3">
        <v>4.4160000000000004</v>
      </c>
      <c r="I155" s="3">
        <v>6.2080000000000002</v>
      </c>
      <c r="J155" s="3">
        <v>3.95</v>
      </c>
      <c r="K155" s="3">
        <v>0.97499999999999998</v>
      </c>
      <c r="L155" s="3">
        <v>3.2610000000000001</v>
      </c>
      <c r="M155" s="3">
        <v>1.5429999999999999</v>
      </c>
      <c r="N155" s="3">
        <v>3</v>
      </c>
      <c r="O155" s="3">
        <v>8.75</v>
      </c>
      <c r="P155" s="3">
        <v>1408</v>
      </c>
      <c r="Q155" s="3">
        <v>110.9</v>
      </c>
      <c r="R155" s="3">
        <v>2359</v>
      </c>
      <c r="S155" s="3">
        <v>12.65</v>
      </c>
      <c r="T155" s="3">
        <v>17.29</v>
      </c>
      <c r="U155" s="3">
        <v>9.81</v>
      </c>
      <c r="V155" s="3">
        <v>5.6280000000000001</v>
      </c>
      <c r="W155" s="3">
        <v>1.35</v>
      </c>
      <c r="X155" s="3">
        <v>3.5870000000000002</v>
      </c>
      <c r="Y155" s="3">
        <v>3.9049999999999998</v>
      </c>
      <c r="Z155" s="3">
        <v>1251</v>
      </c>
      <c r="AA155" s="3">
        <v>-0.75600000000000001</v>
      </c>
      <c r="AB155" s="3">
        <v>2359</v>
      </c>
      <c r="AC155" s="3">
        <v>91</v>
      </c>
      <c r="AD155" s="3">
        <v>1425</v>
      </c>
      <c r="AE155" s="3">
        <v>-1.206</v>
      </c>
      <c r="AF155" s="3">
        <v>-1.2170000000000001</v>
      </c>
      <c r="AG155" s="3">
        <v>2.0640000000000001</v>
      </c>
      <c r="AH155" s="3">
        <v>2.7559999999999998</v>
      </c>
      <c r="AI155" s="3">
        <v>0.55300000000000005</v>
      </c>
      <c r="AJ155" s="3">
        <v>2.9279999999999999</v>
      </c>
      <c r="AK155" s="3">
        <v>1.4999999999999999E-2</v>
      </c>
      <c r="AL155" s="3">
        <v>0.17199999999999999</v>
      </c>
      <c r="AM155" s="3">
        <v>7.6999999999999999E-2</v>
      </c>
      <c r="AN155" s="3">
        <v>1.2999999999999999E-2</v>
      </c>
      <c r="AO155" s="3">
        <v>0.161</v>
      </c>
      <c r="AP155" s="3">
        <v>0.378</v>
      </c>
      <c r="AQ155" s="3">
        <v>0.154</v>
      </c>
      <c r="AR155" s="3">
        <v>2.9000000000000001E-2</v>
      </c>
      <c r="AS155" s="3">
        <v>3546</v>
      </c>
      <c r="AT155" s="3">
        <v>3527</v>
      </c>
      <c r="AU155" s="3">
        <v>3535</v>
      </c>
      <c r="AV155" s="3">
        <v>5.4020000000000001</v>
      </c>
      <c r="AW155" s="3">
        <v>5.2569999999999997</v>
      </c>
      <c r="AX155" s="3">
        <v>10.25</v>
      </c>
      <c r="AY155" s="3">
        <v>10.51</v>
      </c>
      <c r="AZ155" s="3">
        <v>6.0999999999999999E-2</v>
      </c>
      <c r="BA155" s="3">
        <v>-0.54200000000000004</v>
      </c>
      <c r="BB155" s="3">
        <v>13.08</v>
      </c>
      <c r="BC155" s="3">
        <v>2876</v>
      </c>
      <c r="BE155" s="6"/>
      <c r="BG155" s="16">
        <v>32.340000000000003</v>
      </c>
      <c r="BH155" s="16">
        <f t="shared" si="85"/>
        <v>65.326800000000006</v>
      </c>
      <c r="BI155" s="17">
        <f t="shared" si="80"/>
        <v>12.31</v>
      </c>
      <c r="BJ155" s="17">
        <f t="shared" si="81"/>
        <v>26.11</v>
      </c>
      <c r="BL155" s="1">
        <f t="shared" si="86"/>
        <v>99.6</v>
      </c>
      <c r="BM155" s="1">
        <f t="shared" si="87"/>
        <v>95</v>
      </c>
      <c r="BN155" s="1">
        <f t="shared" si="88"/>
        <v>73.099999999999994</v>
      </c>
      <c r="BO155" s="49">
        <f t="shared" si="94"/>
        <v>0.82499999999999996</v>
      </c>
      <c r="BP155" s="49">
        <f t="shared" si="95"/>
        <v>0.30399999999999999</v>
      </c>
      <c r="BR155" s="3">
        <v>3.6</v>
      </c>
      <c r="BT155" s="16">
        <f t="shared" si="89"/>
        <v>12.31</v>
      </c>
      <c r="BU155" s="16">
        <f t="shared" si="90"/>
        <v>26.11</v>
      </c>
      <c r="BV155" s="3">
        <f t="shared" si="91"/>
        <v>4.3</v>
      </c>
      <c r="BW155" s="3">
        <f t="shared" si="84"/>
        <v>4.4000000000000004</v>
      </c>
      <c r="BX155" s="3">
        <f t="shared" si="84"/>
        <v>4.4000000000000004</v>
      </c>
      <c r="BY155" s="3">
        <f t="shared" si="84"/>
        <v>6.2</v>
      </c>
      <c r="BZ155" s="3">
        <f t="shared" si="84"/>
        <v>4</v>
      </c>
      <c r="CA155" s="3">
        <f t="shared" si="84"/>
        <v>1</v>
      </c>
      <c r="CB155" s="3">
        <f t="shared" si="84"/>
        <v>3.3</v>
      </c>
      <c r="CC155" s="22">
        <f t="shared" si="92"/>
        <v>95</v>
      </c>
      <c r="CD155" s="1">
        <f t="shared" si="96"/>
        <v>8.8000000000000007</v>
      </c>
      <c r="CE155" s="1">
        <f t="shared" si="97"/>
        <v>12.7</v>
      </c>
      <c r="CF155" s="1">
        <f t="shared" si="98"/>
        <v>17.3</v>
      </c>
      <c r="CG155" s="1">
        <f t="shared" si="99"/>
        <v>9.8000000000000007</v>
      </c>
      <c r="CH155" s="1">
        <f t="shared" si="100"/>
        <v>5.6</v>
      </c>
      <c r="CI155" s="1">
        <f t="shared" si="101"/>
        <v>1.4</v>
      </c>
      <c r="CJ155" s="1">
        <f t="shared" si="102"/>
        <v>3.6</v>
      </c>
      <c r="CK155" s="2">
        <f t="shared" si="93"/>
        <v>99.6</v>
      </c>
      <c r="CL155" s="1">
        <f t="shared" si="103"/>
        <v>-0.8</v>
      </c>
      <c r="CM155" s="1">
        <f t="shared" si="104"/>
        <v>-1.2</v>
      </c>
      <c r="CN155" s="1">
        <f t="shared" si="105"/>
        <v>-1.2</v>
      </c>
      <c r="CO155" s="1">
        <f t="shared" si="106"/>
        <v>2.1</v>
      </c>
      <c r="CP155" s="1">
        <f t="shared" si="107"/>
        <v>2.8</v>
      </c>
      <c r="CQ155" s="1">
        <f t="shared" si="108"/>
        <v>0.6</v>
      </c>
      <c r="CR155" s="1">
        <f t="shared" si="109"/>
        <v>2.9</v>
      </c>
      <c r="CS155" s="2">
        <f t="shared" si="110"/>
        <v>73.099999999999994</v>
      </c>
      <c r="CT155" s="6">
        <f t="shared" si="111"/>
        <v>0</v>
      </c>
      <c r="CU155" s="1">
        <f>PPTest!K155</f>
        <v>3</v>
      </c>
      <c r="CV155" s="3">
        <f t="shared" si="112"/>
        <v>1.54</v>
      </c>
      <c r="CW155" s="3">
        <f t="shared" si="113"/>
        <v>3.91</v>
      </c>
      <c r="CX155" s="24">
        <f t="shared" si="114"/>
        <v>0.82499999999999996</v>
      </c>
      <c r="CY155" s="24">
        <f t="shared" si="114"/>
        <v>0.30399999999999999</v>
      </c>
      <c r="CZ155" s="16">
        <f t="shared" si="115"/>
        <v>13.08</v>
      </c>
    </row>
    <row r="156" spans="1:104" x14ac:dyDescent="0.2">
      <c r="A156" s="14">
        <f t="shared" si="116"/>
        <v>38867</v>
      </c>
      <c r="B156" s="1">
        <v>150</v>
      </c>
      <c r="C156" s="3">
        <v>26.58</v>
      </c>
      <c r="D156" s="3">
        <v>48.18</v>
      </c>
      <c r="E156" s="3">
        <v>7.03</v>
      </c>
      <c r="F156" s="3">
        <v>84</v>
      </c>
      <c r="G156" s="3">
        <v>7.31</v>
      </c>
      <c r="H156" s="3">
        <v>7.44</v>
      </c>
      <c r="I156" s="3">
        <v>7.38</v>
      </c>
      <c r="J156" s="3">
        <v>5.5190000000000001</v>
      </c>
      <c r="K156" s="3">
        <v>2.98</v>
      </c>
      <c r="L156" s="3">
        <v>3.839</v>
      </c>
      <c r="M156" s="3">
        <v>1.534</v>
      </c>
      <c r="N156" s="3">
        <v>0</v>
      </c>
      <c r="O156" s="3">
        <v>14.76</v>
      </c>
      <c r="P156" s="3">
        <v>1653</v>
      </c>
      <c r="Q156" s="3">
        <v>111</v>
      </c>
      <c r="R156" s="3">
        <v>7</v>
      </c>
      <c r="S156" s="3">
        <v>17.48</v>
      </c>
      <c r="T156" s="3">
        <v>18.899999999999999</v>
      </c>
      <c r="U156" s="3">
        <v>15.95</v>
      </c>
      <c r="V156" s="3">
        <v>8.76</v>
      </c>
      <c r="W156" s="3">
        <v>3.9849999999999999</v>
      </c>
      <c r="X156" s="3">
        <v>4.1580000000000004</v>
      </c>
      <c r="Y156" s="3">
        <v>4.2110000000000003</v>
      </c>
      <c r="Z156" s="3">
        <v>1119</v>
      </c>
      <c r="AA156" s="3">
        <v>-0.97699999999999998</v>
      </c>
      <c r="AB156" s="3">
        <v>47</v>
      </c>
      <c r="AC156" s="3">
        <v>34.57</v>
      </c>
      <c r="AD156" s="3">
        <v>1703</v>
      </c>
      <c r="AE156" s="3">
        <v>-1.2549999999999999</v>
      </c>
      <c r="AF156" s="3">
        <v>-1.266</v>
      </c>
      <c r="AG156" s="3">
        <v>2.069</v>
      </c>
      <c r="AH156" s="3">
        <v>2.4990000000000001</v>
      </c>
      <c r="AI156" s="3">
        <v>1.331</v>
      </c>
      <c r="AJ156" s="3">
        <v>3.3420000000000001</v>
      </c>
      <c r="AK156" s="3">
        <v>4.2000000000000003E-2</v>
      </c>
      <c r="AL156" s="3">
        <v>0.308</v>
      </c>
      <c r="AM156" s="3">
        <v>0.183</v>
      </c>
      <c r="AN156" s="3">
        <v>3.9E-2</v>
      </c>
      <c r="AO156" s="3">
        <v>0.09</v>
      </c>
      <c r="AP156" s="3">
        <v>0.17799999999999999</v>
      </c>
      <c r="AQ156" s="3">
        <v>0.109</v>
      </c>
      <c r="AR156" s="3">
        <v>5.1999999999999998E-2</v>
      </c>
      <c r="AS156" s="3">
        <v>3513</v>
      </c>
      <c r="AT156" s="3">
        <v>3512</v>
      </c>
      <c r="AU156" s="3">
        <v>3512</v>
      </c>
      <c r="AV156" s="3">
        <v>8.1199999999999992</v>
      </c>
      <c r="AW156" s="3">
        <v>8.08</v>
      </c>
      <c r="AX156" s="3">
        <v>16.75</v>
      </c>
      <c r="AY156" s="3">
        <v>17.010000000000002</v>
      </c>
      <c r="AZ156" s="3">
        <v>-0.84199999999999997</v>
      </c>
      <c r="BA156" s="3">
        <v>-1.06</v>
      </c>
      <c r="BB156" s="3">
        <v>12.99</v>
      </c>
      <c r="BC156" s="3">
        <v>2876</v>
      </c>
      <c r="BE156" s="6"/>
      <c r="BG156" s="16">
        <v>32.42</v>
      </c>
      <c r="BH156" s="16">
        <f t="shared" si="85"/>
        <v>65.488399999999999</v>
      </c>
      <c r="BI156" s="17">
        <f t="shared" si="80"/>
        <v>26.05</v>
      </c>
      <c r="BJ156" s="17">
        <f t="shared" si="81"/>
        <v>53</v>
      </c>
      <c r="BL156" s="1">
        <f t="shared" si="86"/>
        <v>99.8</v>
      </c>
      <c r="BM156" s="1">
        <f t="shared" si="87"/>
        <v>66.900000000000006</v>
      </c>
      <c r="BN156" s="1">
        <f t="shared" si="88"/>
        <v>23.4</v>
      </c>
      <c r="BO156" s="49">
        <f t="shared" si="94"/>
        <v>0.39300000000000002</v>
      </c>
      <c r="BP156" s="49">
        <f t="shared" si="95"/>
        <v>1.286</v>
      </c>
      <c r="BR156" s="3">
        <v>0</v>
      </c>
      <c r="BT156" s="16">
        <f t="shared" si="89"/>
        <v>26.05</v>
      </c>
      <c r="BU156" s="16">
        <f t="shared" si="90"/>
        <v>53</v>
      </c>
      <c r="BV156" s="3">
        <f t="shared" si="91"/>
        <v>7</v>
      </c>
      <c r="BW156" s="3">
        <f t="shared" si="84"/>
        <v>7.3</v>
      </c>
      <c r="BX156" s="3">
        <f t="shared" si="84"/>
        <v>7.4</v>
      </c>
      <c r="BY156" s="3">
        <f t="shared" si="84"/>
        <v>7.4</v>
      </c>
      <c r="BZ156" s="3">
        <f t="shared" si="84"/>
        <v>5.5</v>
      </c>
      <c r="CA156" s="3">
        <f t="shared" si="84"/>
        <v>3</v>
      </c>
      <c r="CB156" s="3">
        <f t="shared" si="84"/>
        <v>3.8</v>
      </c>
      <c r="CC156" s="22">
        <f t="shared" si="92"/>
        <v>66.900000000000006</v>
      </c>
      <c r="CD156" s="1">
        <f t="shared" si="96"/>
        <v>14.8</v>
      </c>
      <c r="CE156" s="1">
        <f t="shared" si="97"/>
        <v>17.5</v>
      </c>
      <c r="CF156" s="1">
        <f t="shared" si="98"/>
        <v>18.899999999999999</v>
      </c>
      <c r="CG156" s="1">
        <f t="shared" si="99"/>
        <v>16</v>
      </c>
      <c r="CH156" s="1">
        <f t="shared" si="100"/>
        <v>8.8000000000000007</v>
      </c>
      <c r="CI156" s="1">
        <f t="shared" si="101"/>
        <v>4</v>
      </c>
      <c r="CJ156" s="1">
        <f t="shared" si="102"/>
        <v>4.2</v>
      </c>
      <c r="CK156" s="2">
        <f t="shared" si="93"/>
        <v>99.8</v>
      </c>
      <c r="CL156" s="1">
        <f t="shared" si="103"/>
        <v>-1</v>
      </c>
      <c r="CM156" s="1">
        <f t="shared" si="104"/>
        <v>-1.3</v>
      </c>
      <c r="CN156" s="1">
        <f t="shared" si="105"/>
        <v>-1.3</v>
      </c>
      <c r="CO156" s="1">
        <f t="shared" si="106"/>
        <v>2.1</v>
      </c>
      <c r="CP156" s="1">
        <f t="shared" si="107"/>
        <v>2.5</v>
      </c>
      <c r="CQ156" s="1">
        <f t="shared" si="108"/>
        <v>1.3</v>
      </c>
      <c r="CR156" s="1">
        <f t="shared" si="109"/>
        <v>3.3</v>
      </c>
      <c r="CS156" s="2">
        <f t="shared" si="110"/>
        <v>23.4</v>
      </c>
      <c r="CT156" s="6">
        <f t="shared" si="111"/>
        <v>0</v>
      </c>
      <c r="CU156" s="1">
        <f>PPTest!K156</f>
        <v>0</v>
      </c>
      <c r="CV156" s="3">
        <f t="shared" si="112"/>
        <v>1.53</v>
      </c>
      <c r="CW156" s="3">
        <f t="shared" si="113"/>
        <v>4.21</v>
      </c>
      <c r="CX156" s="24">
        <f t="shared" si="114"/>
        <v>0.39300000000000002</v>
      </c>
      <c r="CY156" s="24">
        <f t="shared" si="114"/>
        <v>1.286</v>
      </c>
      <c r="CZ156" s="16">
        <f t="shared" si="115"/>
        <v>12.99</v>
      </c>
    </row>
    <row r="157" spans="1:104" x14ac:dyDescent="0.2">
      <c r="A157" s="14">
        <f t="shared" si="116"/>
        <v>38868</v>
      </c>
      <c r="B157" s="1">
        <v>151</v>
      </c>
      <c r="C157" s="3">
        <v>25.76</v>
      </c>
      <c r="D157" s="3">
        <v>47.09</v>
      </c>
      <c r="E157" s="3">
        <v>11.03</v>
      </c>
      <c r="F157" s="3">
        <v>68.63</v>
      </c>
      <c r="G157" s="3">
        <v>11.05</v>
      </c>
      <c r="H157" s="3">
        <v>11.05</v>
      </c>
      <c r="I157" s="3">
        <v>9.6300000000000008</v>
      </c>
      <c r="J157" s="3">
        <v>7.28</v>
      </c>
      <c r="K157" s="3">
        <v>4.54</v>
      </c>
      <c r="L157" s="3">
        <v>4.5679999999999996</v>
      </c>
      <c r="M157" s="3">
        <v>1.577</v>
      </c>
      <c r="N157" s="3">
        <v>0</v>
      </c>
      <c r="O157" s="3">
        <v>17.38</v>
      </c>
      <c r="P157" s="3">
        <v>1456</v>
      </c>
      <c r="Q157" s="3">
        <v>106.3</v>
      </c>
      <c r="R157" s="3">
        <v>413</v>
      </c>
      <c r="S157" s="3">
        <v>20.420000000000002</v>
      </c>
      <c r="T157" s="3">
        <v>21.63</v>
      </c>
      <c r="U157" s="3">
        <v>19.149999999999999</v>
      </c>
      <c r="V157" s="3">
        <v>10.09</v>
      </c>
      <c r="W157" s="3">
        <v>5.4189999999999996</v>
      </c>
      <c r="X157" s="3">
        <v>5.0780000000000003</v>
      </c>
      <c r="Y157" s="3">
        <v>5.4340000000000002</v>
      </c>
      <c r="Z157" s="3">
        <v>1036</v>
      </c>
      <c r="AA157" s="3">
        <v>1.615</v>
      </c>
      <c r="AB157" s="3">
        <v>412</v>
      </c>
      <c r="AC157" s="3">
        <v>40.76</v>
      </c>
      <c r="AD157" s="3">
        <v>1231</v>
      </c>
      <c r="AE157" s="3">
        <v>0.624</v>
      </c>
      <c r="AF157" s="3">
        <v>0.53500000000000003</v>
      </c>
      <c r="AG157" s="3">
        <v>3.2519999999999998</v>
      </c>
      <c r="AH157" s="3">
        <v>4.3220000000000001</v>
      </c>
      <c r="AI157" s="3">
        <v>3.9470000000000001</v>
      </c>
      <c r="AJ157" s="3">
        <v>4.0039999999999996</v>
      </c>
      <c r="AK157" s="3">
        <v>6.8000000000000005E-2</v>
      </c>
      <c r="AL157" s="3">
        <v>0.31</v>
      </c>
      <c r="AM157" s="3">
        <v>0.24</v>
      </c>
      <c r="AN157" s="3">
        <v>0.11700000000000001</v>
      </c>
      <c r="AO157" s="3">
        <v>9.9000000000000005E-2</v>
      </c>
      <c r="AP157" s="3">
        <v>8.7999999999999995E-2</v>
      </c>
      <c r="AQ157" s="3">
        <v>4.3999999999999997E-2</v>
      </c>
      <c r="AR157" s="3">
        <v>3.3000000000000002E-2</v>
      </c>
      <c r="AS157" s="3">
        <v>3517</v>
      </c>
      <c r="AT157" s="3">
        <v>3515</v>
      </c>
      <c r="AU157" s="3">
        <v>3516</v>
      </c>
      <c r="AV157" s="3">
        <v>11.4</v>
      </c>
      <c r="AW157" s="3">
        <v>11.4</v>
      </c>
      <c r="AX157" s="3">
        <v>21.06</v>
      </c>
      <c r="AY157" s="3">
        <v>21.32</v>
      </c>
      <c r="AZ157" s="3">
        <v>1.274</v>
      </c>
      <c r="BA157" s="3">
        <v>1.004</v>
      </c>
      <c r="BB157" s="3">
        <v>12.94</v>
      </c>
      <c r="BC157" s="3">
        <v>2876</v>
      </c>
      <c r="BE157" s="6"/>
      <c r="BG157" s="16">
        <v>32.51</v>
      </c>
      <c r="BH157" s="16">
        <f t="shared" si="85"/>
        <v>65.670199999999994</v>
      </c>
      <c r="BI157" s="17">
        <f t="shared" si="80"/>
        <v>25.24</v>
      </c>
      <c r="BJ157" s="17">
        <f t="shared" si="81"/>
        <v>51.8</v>
      </c>
      <c r="BL157" s="1">
        <f t="shared" si="86"/>
        <v>92.3</v>
      </c>
      <c r="BM157" s="1">
        <f t="shared" si="87"/>
        <v>53.4</v>
      </c>
      <c r="BN157" s="1">
        <f t="shared" si="88"/>
        <v>28.9</v>
      </c>
      <c r="BO157" s="49">
        <f t="shared" si="94"/>
        <v>0.57299999999999995</v>
      </c>
      <c r="BP157" s="49">
        <f t="shared" si="95"/>
        <v>1.41</v>
      </c>
      <c r="BR157" s="3">
        <v>0</v>
      </c>
      <c r="BT157" s="16">
        <f t="shared" si="89"/>
        <v>25.24</v>
      </c>
      <c r="BU157" s="16">
        <f t="shared" si="90"/>
        <v>51.8</v>
      </c>
      <c r="BV157" s="3">
        <f t="shared" si="91"/>
        <v>11</v>
      </c>
      <c r="BW157" s="3">
        <f t="shared" si="84"/>
        <v>11.1</v>
      </c>
      <c r="BX157" s="3">
        <f t="shared" si="84"/>
        <v>11.1</v>
      </c>
      <c r="BY157" s="3">
        <f t="shared" si="84"/>
        <v>9.6</v>
      </c>
      <c r="BZ157" s="3">
        <f t="shared" si="84"/>
        <v>7.3</v>
      </c>
      <c r="CA157" s="3">
        <f t="shared" si="84"/>
        <v>4.5</v>
      </c>
      <c r="CB157" s="3">
        <f t="shared" si="84"/>
        <v>4.5999999999999996</v>
      </c>
      <c r="CC157" s="22">
        <f t="shared" si="92"/>
        <v>53.4</v>
      </c>
      <c r="CD157" s="1">
        <f t="shared" si="96"/>
        <v>17.399999999999999</v>
      </c>
      <c r="CE157" s="1">
        <f t="shared" si="97"/>
        <v>20.399999999999999</v>
      </c>
      <c r="CF157" s="1">
        <f t="shared" si="98"/>
        <v>21.6</v>
      </c>
      <c r="CG157" s="1">
        <f t="shared" si="99"/>
        <v>19.2</v>
      </c>
      <c r="CH157" s="1">
        <f t="shared" si="100"/>
        <v>10.1</v>
      </c>
      <c r="CI157" s="1">
        <f t="shared" si="101"/>
        <v>5.4</v>
      </c>
      <c r="CJ157" s="1">
        <f t="shared" si="102"/>
        <v>5.0999999999999996</v>
      </c>
      <c r="CK157" s="2">
        <f t="shared" si="93"/>
        <v>92.3</v>
      </c>
      <c r="CL157" s="1">
        <f t="shared" si="103"/>
        <v>1.6</v>
      </c>
      <c r="CM157" s="1">
        <f t="shared" si="104"/>
        <v>0.6</v>
      </c>
      <c r="CN157" s="1">
        <f t="shared" si="105"/>
        <v>0.5</v>
      </c>
      <c r="CO157" s="1">
        <f t="shared" si="106"/>
        <v>3.3</v>
      </c>
      <c r="CP157" s="1">
        <f t="shared" si="107"/>
        <v>4.3</v>
      </c>
      <c r="CQ157" s="1">
        <f t="shared" si="108"/>
        <v>3.9</v>
      </c>
      <c r="CR157" s="1">
        <f t="shared" si="109"/>
        <v>4</v>
      </c>
      <c r="CS157" s="2">
        <f t="shared" si="110"/>
        <v>28.9</v>
      </c>
      <c r="CT157" s="6">
        <f t="shared" si="111"/>
        <v>0</v>
      </c>
      <c r="CU157" s="1">
        <f>PPTest!K157</f>
        <v>0</v>
      </c>
      <c r="CV157" s="3">
        <f t="shared" si="112"/>
        <v>1.58</v>
      </c>
      <c r="CW157" s="3">
        <f t="shared" si="113"/>
        <v>5.43</v>
      </c>
      <c r="CX157" s="24">
        <f t="shared" si="114"/>
        <v>0.57299999999999995</v>
      </c>
      <c r="CY157" s="24">
        <f t="shared" si="114"/>
        <v>1.41</v>
      </c>
      <c r="CZ157" s="16">
        <f t="shared" si="115"/>
        <v>12.94</v>
      </c>
    </row>
    <row r="158" spans="1:104" x14ac:dyDescent="0.2">
      <c r="A158" s="14">
        <f t="shared" si="116"/>
        <v>38869</v>
      </c>
      <c r="B158" s="1">
        <v>152</v>
      </c>
      <c r="C158" s="3">
        <v>20.53</v>
      </c>
      <c r="D158" s="3">
        <v>39.020000000000003</v>
      </c>
      <c r="E158" s="3">
        <v>12.41</v>
      </c>
      <c r="F158" s="3">
        <v>84</v>
      </c>
      <c r="G158" s="3">
        <v>12.39</v>
      </c>
      <c r="H158" s="3">
        <v>12.36</v>
      </c>
      <c r="I158" s="3">
        <v>11.8</v>
      </c>
      <c r="J158" s="3">
        <v>9.48</v>
      </c>
      <c r="K158" s="3">
        <v>7.3</v>
      </c>
      <c r="L158" s="3">
        <v>5.508</v>
      </c>
      <c r="M158" s="3">
        <v>1.5640000000000001</v>
      </c>
      <c r="N158" s="3">
        <v>4</v>
      </c>
      <c r="O158" s="3">
        <v>18.690000000000001</v>
      </c>
      <c r="P158" s="3">
        <v>1152</v>
      </c>
      <c r="Q158" s="3">
        <v>109.5</v>
      </c>
      <c r="R158" s="3">
        <v>324</v>
      </c>
      <c r="S158" s="3">
        <v>22.79</v>
      </c>
      <c r="T158" s="3">
        <v>22.89</v>
      </c>
      <c r="U158" s="3">
        <v>19.38</v>
      </c>
      <c r="V158" s="3">
        <v>11.97</v>
      </c>
      <c r="W158" s="3">
        <v>9.31</v>
      </c>
      <c r="X158" s="3">
        <v>6.008</v>
      </c>
      <c r="Y158" s="3">
        <v>5.1420000000000003</v>
      </c>
      <c r="Z158" s="3">
        <v>1236</v>
      </c>
      <c r="AA158" s="3">
        <v>6.8769999999999998</v>
      </c>
      <c r="AB158" s="3">
        <v>324</v>
      </c>
      <c r="AC158" s="3">
        <v>45.65</v>
      </c>
      <c r="AD158" s="3">
        <v>1155</v>
      </c>
      <c r="AE158" s="3">
        <v>6.4809999999999999</v>
      </c>
      <c r="AF158" s="3">
        <v>6.4630000000000001</v>
      </c>
      <c r="AG158" s="3">
        <v>7.79</v>
      </c>
      <c r="AH158" s="3">
        <v>7.2</v>
      </c>
      <c r="AI158" s="3">
        <v>5.399</v>
      </c>
      <c r="AJ158" s="3">
        <v>5.0049999999999999</v>
      </c>
      <c r="AK158" s="3">
        <v>0.14099999999999999</v>
      </c>
      <c r="AL158" s="3">
        <v>0.29199999999999998</v>
      </c>
      <c r="AM158" s="3">
        <v>0.21</v>
      </c>
      <c r="AN158" s="3">
        <v>0.11799999999999999</v>
      </c>
      <c r="AO158" s="3">
        <v>7.9000000000000001E-2</v>
      </c>
      <c r="AP158" s="3">
        <v>7.0999999999999994E-2</v>
      </c>
      <c r="AQ158" s="3">
        <v>3.3000000000000002E-2</v>
      </c>
      <c r="AR158" s="3">
        <v>5.6000000000000001E-2</v>
      </c>
      <c r="AS158" s="3">
        <v>3510</v>
      </c>
      <c r="AT158" s="3">
        <v>3508</v>
      </c>
      <c r="AU158" s="3">
        <v>3509</v>
      </c>
      <c r="AV158" s="3">
        <v>13.07</v>
      </c>
      <c r="AW158" s="3">
        <v>13</v>
      </c>
      <c r="AX158" s="3">
        <v>21.43</v>
      </c>
      <c r="AY158" s="3">
        <v>21.61</v>
      </c>
      <c r="AZ158" s="3">
        <v>7.31</v>
      </c>
      <c r="BA158" s="3">
        <v>7.11</v>
      </c>
      <c r="BB158" s="3">
        <v>12.91</v>
      </c>
      <c r="BC158" s="3">
        <v>2876</v>
      </c>
      <c r="BE158" s="6"/>
      <c r="BG158" s="16">
        <v>32.590000000000003</v>
      </c>
      <c r="BH158" s="16">
        <f t="shared" si="85"/>
        <v>65.831800000000001</v>
      </c>
      <c r="BI158" s="17">
        <f t="shared" si="80"/>
        <v>20.12</v>
      </c>
      <c r="BJ158" s="17">
        <f t="shared" si="81"/>
        <v>42.92</v>
      </c>
      <c r="BL158" s="1">
        <f t="shared" si="86"/>
        <v>97.4</v>
      </c>
      <c r="BM158" s="1">
        <f t="shared" si="87"/>
        <v>66.900000000000006</v>
      </c>
      <c r="BN158" s="1">
        <f t="shared" si="88"/>
        <v>33.200000000000003</v>
      </c>
      <c r="BO158" s="49">
        <f t="shared" si="94"/>
        <v>0.71499999999999997</v>
      </c>
      <c r="BP158" s="49">
        <f t="shared" si="95"/>
        <v>1.4390000000000001</v>
      </c>
      <c r="BR158" s="3">
        <v>3.4</v>
      </c>
      <c r="BT158" s="16">
        <f t="shared" si="89"/>
        <v>20.12</v>
      </c>
      <c r="BU158" s="16">
        <f t="shared" si="90"/>
        <v>42.92</v>
      </c>
      <c r="BV158" s="3">
        <f t="shared" si="91"/>
        <v>12.4</v>
      </c>
      <c r="BW158" s="3">
        <f t="shared" si="84"/>
        <v>12.4</v>
      </c>
      <c r="BX158" s="3">
        <f t="shared" si="84"/>
        <v>12.4</v>
      </c>
      <c r="BY158" s="3">
        <f t="shared" si="84"/>
        <v>11.8</v>
      </c>
      <c r="BZ158" s="3">
        <f t="shared" si="84"/>
        <v>9.5</v>
      </c>
      <c r="CA158" s="3">
        <f t="shared" si="84"/>
        <v>7.3</v>
      </c>
      <c r="CB158" s="3">
        <f t="shared" si="84"/>
        <v>5.5</v>
      </c>
      <c r="CC158" s="22">
        <f t="shared" si="92"/>
        <v>66.900000000000006</v>
      </c>
      <c r="CD158" s="1">
        <f t="shared" si="96"/>
        <v>18.7</v>
      </c>
      <c r="CE158" s="1">
        <f t="shared" si="97"/>
        <v>22.8</v>
      </c>
      <c r="CF158" s="1">
        <f t="shared" si="98"/>
        <v>22.9</v>
      </c>
      <c r="CG158" s="1">
        <f t="shared" si="99"/>
        <v>19.399999999999999</v>
      </c>
      <c r="CH158" s="1">
        <f t="shared" si="100"/>
        <v>12</v>
      </c>
      <c r="CI158" s="1">
        <f t="shared" si="101"/>
        <v>9.3000000000000007</v>
      </c>
      <c r="CJ158" s="1">
        <f t="shared" si="102"/>
        <v>6</v>
      </c>
      <c r="CK158" s="2">
        <f t="shared" si="93"/>
        <v>97.4</v>
      </c>
      <c r="CL158" s="1">
        <f t="shared" si="103"/>
        <v>6.9</v>
      </c>
      <c r="CM158" s="1">
        <f t="shared" si="104"/>
        <v>6.5</v>
      </c>
      <c r="CN158" s="1">
        <f t="shared" si="105"/>
        <v>6.5</v>
      </c>
      <c r="CO158" s="1">
        <f t="shared" si="106"/>
        <v>7.8</v>
      </c>
      <c r="CP158" s="1">
        <f t="shared" si="107"/>
        <v>7.2</v>
      </c>
      <c r="CQ158" s="1">
        <f t="shared" si="108"/>
        <v>5.4</v>
      </c>
      <c r="CR158" s="1">
        <f t="shared" si="109"/>
        <v>5</v>
      </c>
      <c r="CS158" s="2">
        <f t="shared" si="110"/>
        <v>33.200000000000003</v>
      </c>
      <c r="CT158" s="6">
        <f t="shared" si="111"/>
        <v>0</v>
      </c>
      <c r="CU158" s="1">
        <f>PPTest!K158</f>
        <v>4</v>
      </c>
      <c r="CV158" s="3">
        <f t="shared" si="112"/>
        <v>1.56</v>
      </c>
      <c r="CW158" s="3">
        <f t="shared" si="113"/>
        <v>5.14</v>
      </c>
      <c r="CX158" s="24">
        <f t="shared" si="114"/>
        <v>0.71499999999999997</v>
      </c>
      <c r="CY158" s="24">
        <f t="shared" si="114"/>
        <v>1.4390000000000001</v>
      </c>
      <c r="CZ158" s="16">
        <f t="shared" si="115"/>
        <v>12.91</v>
      </c>
    </row>
    <row r="159" spans="1:104" x14ac:dyDescent="0.2">
      <c r="A159" s="14">
        <f t="shared" si="116"/>
        <v>38870</v>
      </c>
      <c r="B159" s="1">
        <v>153</v>
      </c>
      <c r="C159" s="3">
        <v>10.039999999999999</v>
      </c>
      <c r="D159" s="3">
        <v>19.52</v>
      </c>
      <c r="E159" s="3">
        <v>9.82</v>
      </c>
      <c r="F159" s="3">
        <v>99.3</v>
      </c>
      <c r="G159" s="3">
        <v>9.7200000000000006</v>
      </c>
      <c r="H159" s="3">
        <v>9.65</v>
      </c>
      <c r="I159" s="3">
        <v>9.85</v>
      </c>
      <c r="J159" s="3">
        <v>10.220000000000001</v>
      </c>
      <c r="K159" s="3">
        <v>10.01</v>
      </c>
      <c r="L159" s="3">
        <v>6.524</v>
      </c>
      <c r="M159" s="3">
        <v>1.3460000000000001</v>
      </c>
      <c r="N159" s="3">
        <v>6</v>
      </c>
      <c r="O159" s="3">
        <v>14.13</v>
      </c>
      <c r="P159" s="3">
        <v>1616</v>
      </c>
      <c r="Q159" s="3">
        <v>110.4</v>
      </c>
      <c r="R159" s="3">
        <v>2053</v>
      </c>
      <c r="S159" s="3">
        <v>16.59</v>
      </c>
      <c r="T159" s="3">
        <v>14.9</v>
      </c>
      <c r="U159" s="3">
        <v>12.12</v>
      </c>
      <c r="V159" s="3">
        <v>11.4</v>
      </c>
      <c r="W159" s="3">
        <v>10.37</v>
      </c>
      <c r="X159" s="3">
        <v>6.9909999999999997</v>
      </c>
      <c r="Y159" s="3">
        <v>4.1980000000000004</v>
      </c>
      <c r="Z159" s="3">
        <v>1710</v>
      </c>
      <c r="AA159" s="3">
        <v>5.7359999999999998</v>
      </c>
      <c r="AB159" s="3">
        <v>2341</v>
      </c>
      <c r="AC159" s="3">
        <v>71.599999999999994</v>
      </c>
      <c r="AD159" s="3">
        <v>1623</v>
      </c>
      <c r="AE159" s="3">
        <v>5.16</v>
      </c>
      <c r="AF159" s="3">
        <v>5.0140000000000002</v>
      </c>
      <c r="AG159" s="3">
        <v>6.4859999999999998</v>
      </c>
      <c r="AH159" s="3">
        <v>9.43</v>
      </c>
      <c r="AI159" s="3">
        <v>9.31</v>
      </c>
      <c r="AJ159" s="3">
        <v>5.9960000000000004</v>
      </c>
      <c r="AK159" s="3">
        <v>6.0999999999999999E-2</v>
      </c>
      <c r="AL159" s="3">
        <v>9.2999999999999999E-2</v>
      </c>
      <c r="AM159" s="3">
        <v>0.126</v>
      </c>
      <c r="AN159" s="3">
        <v>0.151</v>
      </c>
      <c r="AO159" s="3">
        <v>0.20100000000000001</v>
      </c>
      <c r="AP159" s="3">
        <v>0.2</v>
      </c>
      <c r="AQ159" s="3">
        <v>9.7000000000000003E-2</v>
      </c>
      <c r="AR159" s="3">
        <v>6.9000000000000006E-2</v>
      </c>
      <c r="AS159" s="3">
        <v>3512</v>
      </c>
      <c r="AT159" s="3">
        <v>3507</v>
      </c>
      <c r="AU159" s="3">
        <v>3510</v>
      </c>
      <c r="AV159" s="3">
        <v>10.24</v>
      </c>
      <c r="AW159" s="3">
        <v>10.050000000000001</v>
      </c>
      <c r="AX159" s="3">
        <v>13.31</v>
      </c>
      <c r="AY159" s="3">
        <v>13.56</v>
      </c>
      <c r="AZ159" s="3">
        <v>5.8049999999999997</v>
      </c>
      <c r="BA159" s="3">
        <v>5.4450000000000003</v>
      </c>
      <c r="BB159" s="3">
        <v>12.98</v>
      </c>
      <c r="BC159" s="3">
        <v>2876</v>
      </c>
      <c r="BE159" s="6"/>
      <c r="BG159" s="16">
        <v>32.659999999999997</v>
      </c>
      <c r="BH159" s="16">
        <f t="shared" si="85"/>
        <v>65.973199999999991</v>
      </c>
      <c r="BI159" s="17">
        <f t="shared" si="80"/>
        <v>9.84</v>
      </c>
      <c r="BJ159" s="17">
        <f t="shared" si="81"/>
        <v>21.47</v>
      </c>
      <c r="BL159" s="1">
        <f t="shared" si="86"/>
        <v>98.8</v>
      </c>
      <c r="BM159" s="1">
        <f t="shared" si="87"/>
        <v>81.2</v>
      </c>
      <c r="BN159" s="1">
        <f t="shared" si="88"/>
        <v>56</v>
      </c>
      <c r="BO159" s="49">
        <f t="shared" si="94"/>
        <v>0.90300000000000002</v>
      </c>
      <c r="BP159" s="49">
        <f t="shared" si="95"/>
        <v>0.71</v>
      </c>
      <c r="BR159" s="3">
        <v>1.2</v>
      </c>
      <c r="BT159" s="16">
        <f t="shared" si="89"/>
        <v>9.84</v>
      </c>
      <c r="BU159" s="16">
        <f t="shared" si="90"/>
        <v>21.47</v>
      </c>
      <c r="BV159" s="3">
        <f t="shared" si="91"/>
        <v>9.8000000000000007</v>
      </c>
      <c r="BW159" s="3">
        <f t="shared" si="84"/>
        <v>9.6999999999999993</v>
      </c>
      <c r="BX159" s="3">
        <f t="shared" si="84"/>
        <v>9.6999999999999993</v>
      </c>
      <c r="BY159" s="3">
        <f t="shared" si="84"/>
        <v>9.9</v>
      </c>
      <c r="BZ159" s="3">
        <f t="shared" si="84"/>
        <v>10.199999999999999</v>
      </c>
      <c r="CA159" s="3">
        <f t="shared" si="84"/>
        <v>10</v>
      </c>
      <c r="CB159" s="3">
        <f t="shared" si="84"/>
        <v>6.5</v>
      </c>
      <c r="CC159" s="22">
        <f t="shared" si="92"/>
        <v>81.2</v>
      </c>
      <c r="CD159" s="1">
        <f t="shared" si="96"/>
        <v>14.1</v>
      </c>
      <c r="CE159" s="1">
        <f t="shared" si="97"/>
        <v>16.600000000000001</v>
      </c>
      <c r="CF159" s="1">
        <f t="shared" si="98"/>
        <v>14.9</v>
      </c>
      <c r="CG159" s="1">
        <f t="shared" si="99"/>
        <v>12.1</v>
      </c>
      <c r="CH159" s="1">
        <f t="shared" si="100"/>
        <v>11.4</v>
      </c>
      <c r="CI159" s="1">
        <f t="shared" si="101"/>
        <v>10.4</v>
      </c>
      <c r="CJ159" s="1">
        <f t="shared" si="102"/>
        <v>7</v>
      </c>
      <c r="CK159" s="2">
        <f t="shared" si="93"/>
        <v>98.8</v>
      </c>
      <c r="CL159" s="1">
        <f t="shared" si="103"/>
        <v>5.7</v>
      </c>
      <c r="CM159" s="1">
        <f t="shared" si="104"/>
        <v>5.2</v>
      </c>
      <c r="CN159" s="1">
        <f t="shared" si="105"/>
        <v>5</v>
      </c>
      <c r="CO159" s="1">
        <f t="shared" si="106"/>
        <v>6.5</v>
      </c>
      <c r="CP159" s="1">
        <f t="shared" si="107"/>
        <v>9.4</v>
      </c>
      <c r="CQ159" s="1">
        <f t="shared" si="108"/>
        <v>9.3000000000000007</v>
      </c>
      <c r="CR159" s="1">
        <f t="shared" si="109"/>
        <v>6</v>
      </c>
      <c r="CS159" s="2">
        <f t="shared" si="110"/>
        <v>56</v>
      </c>
      <c r="CT159" s="6">
        <f t="shared" si="111"/>
        <v>0</v>
      </c>
      <c r="CU159" s="1">
        <f>PPTest!K159</f>
        <v>6</v>
      </c>
      <c r="CV159" s="3">
        <f t="shared" si="112"/>
        <v>1.35</v>
      </c>
      <c r="CW159" s="3">
        <f t="shared" si="113"/>
        <v>4.2</v>
      </c>
      <c r="CX159" s="24">
        <f t="shared" si="114"/>
        <v>0.90300000000000002</v>
      </c>
      <c r="CY159" s="24">
        <f t="shared" si="114"/>
        <v>0.71</v>
      </c>
      <c r="CZ159" s="16">
        <f t="shared" si="115"/>
        <v>12.98</v>
      </c>
    </row>
    <row r="160" spans="1:104" x14ac:dyDescent="0.2">
      <c r="A160" s="14">
        <f t="shared" si="116"/>
        <v>38871</v>
      </c>
      <c r="B160" s="1">
        <v>154</v>
      </c>
      <c r="C160" s="3">
        <v>19.09</v>
      </c>
      <c r="D160" s="3">
        <v>35.06</v>
      </c>
      <c r="E160" s="3">
        <v>6.16</v>
      </c>
      <c r="F160" s="3">
        <v>87.7</v>
      </c>
      <c r="G160" s="3">
        <v>6.2350000000000003</v>
      </c>
      <c r="H160" s="3">
        <v>6.28</v>
      </c>
      <c r="I160" s="3">
        <v>7.07</v>
      </c>
      <c r="J160" s="3">
        <v>9.33</v>
      </c>
      <c r="K160" s="3">
        <v>9.5500000000000007</v>
      </c>
      <c r="L160" s="3">
        <v>7.41</v>
      </c>
      <c r="M160" s="3">
        <v>1.6080000000000001</v>
      </c>
      <c r="N160" s="3">
        <v>0</v>
      </c>
      <c r="O160" s="3">
        <v>12.36</v>
      </c>
      <c r="P160" s="3">
        <v>1749</v>
      </c>
      <c r="Q160" s="3">
        <v>109</v>
      </c>
      <c r="R160" s="3">
        <v>358</v>
      </c>
      <c r="S160" s="3">
        <v>13.96</v>
      </c>
      <c r="T160" s="3">
        <v>14</v>
      </c>
      <c r="U160" s="3">
        <v>13.3</v>
      </c>
      <c r="V160" s="3">
        <v>11.08</v>
      </c>
      <c r="W160" s="3">
        <v>10.28</v>
      </c>
      <c r="X160" s="3">
        <v>7.75</v>
      </c>
      <c r="Y160" s="3">
        <v>3.7050000000000001</v>
      </c>
      <c r="Z160" s="3">
        <v>737</v>
      </c>
      <c r="AA160" s="3">
        <v>0.3</v>
      </c>
      <c r="AB160" s="3">
        <v>2255</v>
      </c>
      <c r="AC160" s="3">
        <v>56.38</v>
      </c>
      <c r="AD160" s="3">
        <v>1731</v>
      </c>
      <c r="AE160" s="3">
        <v>-0.09</v>
      </c>
      <c r="AF160" s="3">
        <v>-0.09</v>
      </c>
      <c r="AG160" s="3">
        <v>2.8879999999999999</v>
      </c>
      <c r="AH160" s="3">
        <v>7.98</v>
      </c>
      <c r="AI160" s="3">
        <v>8.7200000000000006</v>
      </c>
      <c r="AJ160" s="3">
        <v>6.8380000000000001</v>
      </c>
      <c r="AK160" s="3">
        <v>6.5000000000000002E-2</v>
      </c>
      <c r="AL160" s="3">
        <v>0.188</v>
      </c>
      <c r="AM160" s="3">
        <v>6.7000000000000004E-2</v>
      </c>
      <c r="AN160" s="3">
        <v>4.9000000000000002E-2</v>
      </c>
      <c r="AO160" s="3">
        <v>0.16900000000000001</v>
      </c>
      <c r="AP160" s="3">
        <v>0.24399999999999999</v>
      </c>
      <c r="AQ160" s="3">
        <v>0.14199999999999999</v>
      </c>
      <c r="AR160" s="3">
        <v>7.4999999999999997E-2</v>
      </c>
      <c r="AS160" s="3">
        <v>3517</v>
      </c>
      <c r="AT160" s="3">
        <v>3514</v>
      </c>
      <c r="AU160" s="3">
        <v>3515</v>
      </c>
      <c r="AV160" s="3">
        <v>7.26</v>
      </c>
      <c r="AW160" s="3">
        <v>7.07</v>
      </c>
      <c r="AX160" s="3">
        <v>12.96</v>
      </c>
      <c r="AY160" s="3">
        <v>13.29</v>
      </c>
      <c r="AZ160" s="3">
        <v>0.57399999999999995</v>
      </c>
      <c r="BA160" s="3">
        <v>0.29199999999999998</v>
      </c>
      <c r="BB160" s="3">
        <v>13.04</v>
      </c>
      <c r="BC160" s="3">
        <v>2876</v>
      </c>
      <c r="BE160" s="6"/>
      <c r="BG160" s="16">
        <v>32.74</v>
      </c>
      <c r="BH160" s="16">
        <f t="shared" si="85"/>
        <v>66.134799999999998</v>
      </c>
      <c r="BI160" s="17">
        <f t="shared" si="80"/>
        <v>18.71</v>
      </c>
      <c r="BJ160" s="17">
        <f t="shared" si="81"/>
        <v>38.57</v>
      </c>
      <c r="BL160" s="1">
        <f t="shared" si="86"/>
        <v>96.6</v>
      </c>
      <c r="BM160" s="1">
        <f t="shared" si="87"/>
        <v>70.2</v>
      </c>
      <c r="BN160" s="1">
        <f t="shared" si="88"/>
        <v>42.6</v>
      </c>
      <c r="BO160" s="49">
        <f t="shared" si="94"/>
        <v>0.61199999999999999</v>
      </c>
      <c r="BP160" s="49">
        <f t="shared" si="95"/>
        <v>0.82499999999999996</v>
      </c>
      <c r="BR160" s="3">
        <v>0</v>
      </c>
      <c r="BT160" s="16">
        <f t="shared" si="89"/>
        <v>18.71</v>
      </c>
      <c r="BU160" s="16">
        <f t="shared" si="90"/>
        <v>38.57</v>
      </c>
      <c r="BV160" s="3">
        <f t="shared" si="91"/>
        <v>6.2</v>
      </c>
      <c r="BW160" s="3">
        <f t="shared" si="84"/>
        <v>6.2</v>
      </c>
      <c r="BX160" s="3">
        <f t="shared" si="84"/>
        <v>6.3</v>
      </c>
      <c r="BY160" s="3">
        <f t="shared" si="84"/>
        <v>7.1</v>
      </c>
      <c r="BZ160" s="3">
        <f t="shared" si="84"/>
        <v>9.3000000000000007</v>
      </c>
      <c r="CA160" s="3">
        <f t="shared" si="84"/>
        <v>9.6</v>
      </c>
      <c r="CB160" s="3">
        <f t="shared" si="84"/>
        <v>7.4</v>
      </c>
      <c r="CC160" s="22">
        <f t="shared" si="92"/>
        <v>70.2</v>
      </c>
      <c r="CD160" s="1">
        <f t="shared" si="96"/>
        <v>12.4</v>
      </c>
      <c r="CE160" s="1">
        <f t="shared" si="97"/>
        <v>14</v>
      </c>
      <c r="CF160" s="1">
        <f t="shared" si="98"/>
        <v>14</v>
      </c>
      <c r="CG160" s="1">
        <f t="shared" si="99"/>
        <v>13.3</v>
      </c>
      <c r="CH160" s="1">
        <f t="shared" si="100"/>
        <v>11.1</v>
      </c>
      <c r="CI160" s="1">
        <f t="shared" si="101"/>
        <v>10.3</v>
      </c>
      <c r="CJ160" s="1">
        <f t="shared" si="102"/>
        <v>7.8</v>
      </c>
      <c r="CK160" s="2">
        <f t="shared" si="93"/>
        <v>96.6</v>
      </c>
      <c r="CL160" s="1">
        <f t="shared" si="103"/>
        <v>0.3</v>
      </c>
      <c r="CM160" s="1">
        <f t="shared" si="104"/>
        <v>-0.1</v>
      </c>
      <c r="CN160" s="1">
        <f t="shared" si="105"/>
        <v>-0.1</v>
      </c>
      <c r="CO160" s="1">
        <f t="shared" si="106"/>
        <v>2.9</v>
      </c>
      <c r="CP160" s="1">
        <f t="shared" si="107"/>
        <v>8</v>
      </c>
      <c r="CQ160" s="1">
        <f t="shared" si="108"/>
        <v>8.6999999999999993</v>
      </c>
      <c r="CR160" s="1">
        <f t="shared" si="109"/>
        <v>6.8</v>
      </c>
      <c r="CS160" s="2">
        <f t="shared" si="110"/>
        <v>42.6</v>
      </c>
      <c r="CT160" s="6">
        <f t="shared" si="111"/>
        <v>0</v>
      </c>
      <c r="CU160" s="1">
        <f>PPTest!K160</f>
        <v>0</v>
      </c>
      <c r="CV160" s="3">
        <f t="shared" si="112"/>
        <v>1.61</v>
      </c>
      <c r="CW160" s="3">
        <f t="shared" si="113"/>
        <v>3.71</v>
      </c>
      <c r="CX160" s="24">
        <f t="shared" si="114"/>
        <v>0.61199999999999999</v>
      </c>
      <c r="CY160" s="24">
        <f t="shared" si="114"/>
        <v>0.82499999999999996</v>
      </c>
      <c r="CZ160" s="16">
        <f t="shared" si="115"/>
        <v>13.04</v>
      </c>
    </row>
    <row r="161" spans="1:104" x14ac:dyDescent="0.2">
      <c r="A161" s="14">
        <f t="shared" si="116"/>
        <v>38872</v>
      </c>
      <c r="B161" s="1">
        <v>155</v>
      </c>
      <c r="C161" s="3">
        <v>9.94</v>
      </c>
      <c r="D161" s="3">
        <v>19.059999999999999</v>
      </c>
      <c r="E161" s="3">
        <v>6.6639999999999997</v>
      </c>
      <c r="F161" s="3">
        <v>97.7</v>
      </c>
      <c r="G161" s="3">
        <v>6.7309999999999999</v>
      </c>
      <c r="H161" s="3">
        <v>6.7770000000000001</v>
      </c>
      <c r="I161" s="3">
        <v>7.63</v>
      </c>
      <c r="J161" s="3">
        <v>8.41</v>
      </c>
      <c r="K161" s="3">
        <v>8.6300000000000008</v>
      </c>
      <c r="L161" s="3">
        <v>7.94</v>
      </c>
      <c r="M161" s="3">
        <v>1.756</v>
      </c>
      <c r="N161" s="3">
        <v>0</v>
      </c>
      <c r="O161" s="3">
        <v>9.5299999999999994</v>
      </c>
      <c r="P161" s="3">
        <v>831</v>
      </c>
      <c r="Q161" s="3">
        <v>108.2</v>
      </c>
      <c r="R161" s="3">
        <v>12</v>
      </c>
      <c r="S161" s="3">
        <v>12.1</v>
      </c>
      <c r="T161" s="3">
        <v>12.37</v>
      </c>
      <c r="U161" s="3">
        <v>11.77</v>
      </c>
      <c r="V161" s="3">
        <v>9.33</v>
      </c>
      <c r="W161" s="3">
        <v>8.9700000000000006</v>
      </c>
      <c r="X161" s="3">
        <v>8.1300000000000008</v>
      </c>
      <c r="Y161" s="3">
        <v>5.1020000000000003</v>
      </c>
      <c r="Z161" s="3">
        <v>1917</v>
      </c>
      <c r="AA161" s="3">
        <v>0.88400000000000001</v>
      </c>
      <c r="AB161" s="3">
        <v>8</v>
      </c>
      <c r="AC161" s="3">
        <v>70.2</v>
      </c>
      <c r="AD161" s="3">
        <v>833</v>
      </c>
      <c r="AE161" s="3">
        <v>0.45200000000000001</v>
      </c>
      <c r="AF161" s="3">
        <v>0.42899999999999999</v>
      </c>
      <c r="AG161" s="3">
        <v>3.2949999999999999</v>
      </c>
      <c r="AH161" s="3">
        <v>7.23</v>
      </c>
      <c r="AI161" s="3">
        <v>8.41</v>
      </c>
      <c r="AJ161" s="3">
        <v>7.6</v>
      </c>
      <c r="AK161" s="3">
        <v>2.4E-2</v>
      </c>
      <c r="AL161" s="3">
        <v>0.16800000000000001</v>
      </c>
      <c r="AM161" s="3">
        <v>0.108</v>
      </c>
      <c r="AN161" s="3">
        <v>2.1999999999999999E-2</v>
      </c>
      <c r="AO161" s="3">
        <v>0.151</v>
      </c>
      <c r="AP161" s="3">
        <v>0.33700000000000002</v>
      </c>
      <c r="AQ161" s="3">
        <v>0.158</v>
      </c>
      <c r="AR161" s="3">
        <v>3.2000000000000001E-2</v>
      </c>
      <c r="AS161" s="3">
        <v>3512</v>
      </c>
      <c r="AT161" s="3">
        <v>3509</v>
      </c>
      <c r="AU161" s="3">
        <v>3511</v>
      </c>
      <c r="AV161" s="3">
        <v>6.9649999999999999</v>
      </c>
      <c r="AW161" s="3">
        <v>6.9720000000000004</v>
      </c>
      <c r="AX161" s="3">
        <v>11.36</v>
      </c>
      <c r="AY161" s="3">
        <v>11.38</v>
      </c>
      <c r="AZ161" s="3">
        <v>0.55400000000000005</v>
      </c>
      <c r="BA161" s="3">
        <v>0.36599999999999999</v>
      </c>
      <c r="BB161" s="3">
        <v>13.04</v>
      </c>
      <c r="BC161" s="3">
        <v>2876</v>
      </c>
      <c r="BE161" s="6"/>
      <c r="BG161" s="16">
        <v>32.799999999999997</v>
      </c>
      <c r="BH161" s="16">
        <f t="shared" si="85"/>
        <v>66.256</v>
      </c>
      <c r="BI161" s="17">
        <f t="shared" si="80"/>
        <v>9.74</v>
      </c>
      <c r="BJ161" s="17">
        <f t="shared" si="81"/>
        <v>20.97</v>
      </c>
      <c r="BL161" s="1">
        <f t="shared" si="86"/>
        <v>95.3</v>
      </c>
      <c r="BM161" s="1">
        <f t="shared" si="87"/>
        <v>79</v>
      </c>
      <c r="BN161" s="1">
        <f t="shared" si="88"/>
        <v>54.8</v>
      </c>
      <c r="BO161" s="49">
        <f t="shared" si="94"/>
        <v>0.65200000000000002</v>
      </c>
      <c r="BP161" s="49">
        <f t="shared" si="95"/>
        <v>0.53800000000000003</v>
      </c>
      <c r="BR161" s="3">
        <v>2</v>
      </c>
      <c r="BT161" s="16">
        <f t="shared" si="89"/>
        <v>9.74</v>
      </c>
      <c r="BU161" s="16">
        <f t="shared" si="90"/>
        <v>20.97</v>
      </c>
      <c r="BV161" s="3">
        <f t="shared" si="91"/>
        <v>6.7</v>
      </c>
      <c r="BW161" s="3">
        <f t="shared" si="84"/>
        <v>6.7</v>
      </c>
      <c r="BX161" s="3">
        <f t="shared" si="84"/>
        <v>6.8</v>
      </c>
      <c r="BY161" s="3">
        <f t="shared" si="84"/>
        <v>7.6</v>
      </c>
      <c r="BZ161" s="3">
        <f t="shared" si="84"/>
        <v>8.4</v>
      </c>
      <c r="CA161" s="3">
        <f t="shared" si="84"/>
        <v>8.6</v>
      </c>
      <c r="CB161" s="3">
        <f t="shared" si="84"/>
        <v>7.9</v>
      </c>
      <c r="CC161" s="22">
        <f t="shared" si="92"/>
        <v>79</v>
      </c>
      <c r="CD161" s="1">
        <f t="shared" si="96"/>
        <v>9.5</v>
      </c>
      <c r="CE161" s="1">
        <f t="shared" si="97"/>
        <v>12.1</v>
      </c>
      <c r="CF161" s="1">
        <f t="shared" si="98"/>
        <v>12.4</v>
      </c>
      <c r="CG161" s="1">
        <f t="shared" si="99"/>
        <v>11.8</v>
      </c>
      <c r="CH161" s="1">
        <f t="shared" si="100"/>
        <v>9.3000000000000007</v>
      </c>
      <c r="CI161" s="1">
        <f t="shared" si="101"/>
        <v>9</v>
      </c>
      <c r="CJ161" s="1">
        <f t="shared" si="102"/>
        <v>8.1</v>
      </c>
      <c r="CK161" s="2">
        <f t="shared" si="93"/>
        <v>95.3</v>
      </c>
      <c r="CL161" s="1">
        <f t="shared" si="103"/>
        <v>0.9</v>
      </c>
      <c r="CM161" s="1">
        <f t="shared" si="104"/>
        <v>0.5</v>
      </c>
      <c r="CN161" s="1">
        <f t="shared" si="105"/>
        <v>0.4</v>
      </c>
      <c r="CO161" s="1">
        <f t="shared" si="106"/>
        <v>3.3</v>
      </c>
      <c r="CP161" s="1">
        <f t="shared" si="107"/>
        <v>7.2</v>
      </c>
      <c r="CQ161" s="1">
        <f t="shared" si="108"/>
        <v>8.4</v>
      </c>
      <c r="CR161" s="1">
        <f t="shared" si="109"/>
        <v>7.6</v>
      </c>
      <c r="CS161" s="2">
        <f t="shared" si="110"/>
        <v>54.8</v>
      </c>
      <c r="CT161" s="6">
        <f t="shared" si="111"/>
        <v>0</v>
      </c>
      <c r="CU161" s="1">
        <f>PPTest!K161</f>
        <v>0</v>
      </c>
      <c r="CV161" s="3">
        <f t="shared" si="112"/>
        <v>1.76</v>
      </c>
      <c r="CW161" s="3">
        <f t="shared" si="113"/>
        <v>5.0999999999999996</v>
      </c>
      <c r="CX161" s="24">
        <f t="shared" si="114"/>
        <v>0.65200000000000002</v>
      </c>
      <c r="CY161" s="24">
        <f t="shared" si="114"/>
        <v>0.53800000000000003</v>
      </c>
      <c r="CZ161" s="16">
        <f t="shared" si="115"/>
        <v>13.04</v>
      </c>
    </row>
    <row r="162" spans="1:104" x14ac:dyDescent="0.2">
      <c r="A162" s="14">
        <f t="shared" si="116"/>
        <v>38873</v>
      </c>
      <c r="B162" s="1">
        <v>156</v>
      </c>
      <c r="C162" s="3">
        <v>18.52</v>
      </c>
      <c r="D162" s="3">
        <v>34.03</v>
      </c>
      <c r="E162" s="3">
        <v>7.38</v>
      </c>
      <c r="F162" s="3">
        <v>89.1</v>
      </c>
      <c r="G162" s="3">
        <v>7.35</v>
      </c>
      <c r="H162" s="3">
        <v>7.36</v>
      </c>
      <c r="I162" s="3">
        <v>7.41</v>
      </c>
      <c r="J162" s="3">
        <v>8.89</v>
      </c>
      <c r="K162" s="3">
        <v>8.3000000000000007</v>
      </c>
      <c r="L162" s="3">
        <v>8</v>
      </c>
      <c r="M162" s="3">
        <v>2.0139999999999998</v>
      </c>
      <c r="N162" s="3">
        <v>0</v>
      </c>
      <c r="O162" s="3">
        <v>13.43</v>
      </c>
      <c r="P162" s="3">
        <v>1625</v>
      </c>
      <c r="Q162" s="3">
        <v>109.2</v>
      </c>
      <c r="R162" s="3">
        <v>424</v>
      </c>
      <c r="S162" s="3">
        <v>15.24</v>
      </c>
      <c r="T162" s="3">
        <v>16.329999999999998</v>
      </c>
      <c r="U162" s="3">
        <v>12.36</v>
      </c>
      <c r="V162" s="3">
        <v>11.34</v>
      </c>
      <c r="W162" s="3">
        <v>8.5500000000000007</v>
      </c>
      <c r="X162" s="3">
        <v>8.26</v>
      </c>
      <c r="Y162" s="3">
        <v>5.8730000000000002</v>
      </c>
      <c r="Z162" s="3">
        <v>1333</v>
      </c>
      <c r="AA162" s="3">
        <v>4.0000000000000001E-3</v>
      </c>
      <c r="AB162" s="3">
        <v>2358</v>
      </c>
      <c r="AC162" s="3">
        <v>49.35</v>
      </c>
      <c r="AD162" s="3">
        <v>1625</v>
      </c>
      <c r="AE162" s="3">
        <v>-0.58899999999999997</v>
      </c>
      <c r="AF162" s="3">
        <v>-0.68799999999999994</v>
      </c>
      <c r="AG162" s="3">
        <v>1.337</v>
      </c>
      <c r="AH162" s="3">
        <v>7.23</v>
      </c>
      <c r="AI162" s="3">
        <v>8.0299999999999994</v>
      </c>
      <c r="AJ162" s="3">
        <v>7.67</v>
      </c>
      <c r="AK162" s="3">
        <v>5.7000000000000002E-2</v>
      </c>
      <c r="AL162" s="3">
        <v>0.19700000000000001</v>
      </c>
      <c r="AM162" s="3">
        <v>5.8000000000000003E-2</v>
      </c>
      <c r="AN162" s="3">
        <v>2.4E-2</v>
      </c>
      <c r="AO162" s="3">
        <v>0.17399999999999999</v>
      </c>
      <c r="AP162" s="3">
        <v>0.34499999999999997</v>
      </c>
      <c r="AQ162" s="3">
        <v>0.106</v>
      </c>
      <c r="AR162" s="3">
        <v>3.9E-2</v>
      </c>
      <c r="AS162" s="3">
        <v>3514</v>
      </c>
      <c r="AT162" s="3">
        <v>3513</v>
      </c>
      <c r="AU162" s="3">
        <v>3514</v>
      </c>
      <c r="AV162" s="3">
        <v>8.2200000000000006</v>
      </c>
      <c r="AW162" s="3">
        <v>7.99</v>
      </c>
      <c r="AX162" s="3">
        <v>14.79</v>
      </c>
      <c r="AY162" s="3">
        <v>15.09</v>
      </c>
      <c r="AZ162" s="3">
        <v>0.20499999999999999</v>
      </c>
      <c r="BA162" s="3">
        <v>-0.35799999999999998</v>
      </c>
      <c r="BB162" s="3">
        <v>13.02</v>
      </c>
      <c r="BC162" s="3">
        <v>2876</v>
      </c>
      <c r="BE162" s="6"/>
      <c r="BG162" s="16">
        <v>32.86</v>
      </c>
      <c r="BH162" s="16">
        <f t="shared" si="85"/>
        <v>66.377200000000002</v>
      </c>
      <c r="BI162" s="17">
        <f t="shared" si="80"/>
        <v>18.149999999999999</v>
      </c>
      <c r="BJ162" s="17">
        <f t="shared" si="81"/>
        <v>37.43</v>
      </c>
      <c r="BL162" s="1">
        <f t="shared" si="86"/>
        <v>96.9</v>
      </c>
      <c r="BM162" s="1">
        <f t="shared" si="87"/>
        <v>71.400000000000006</v>
      </c>
      <c r="BN162" s="1">
        <f t="shared" si="88"/>
        <v>36.4</v>
      </c>
      <c r="BO162" s="49">
        <f t="shared" si="94"/>
        <v>0.56100000000000005</v>
      </c>
      <c r="BP162" s="49">
        <f t="shared" si="95"/>
        <v>0.98</v>
      </c>
      <c r="BR162" s="3">
        <v>0</v>
      </c>
      <c r="BT162" s="16">
        <f t="shared" si="89"/>
        <v>18.149999999999999</v>
      </c>
      <c r="BU162" s="16">
        <f t="shared" si="90"/>
        <v>37.43</v>
      </c>
      <c r="BV162" s="3">
        <f t="shared" si="91"/>
        <v>7.4</v>
      </c>
      <c r="BW162" s="3">
        <f t="shared" si="84"/>
        <v>7.4</v>
      </c>
      <c r="BX162" s="3">
        <f t="shared" si="84"/>
        <v>7.4</v>
      </c>
      <c r="BY162" s="3">
        <f t="shared" si="84"/>
        <v>7.4</v>
      </c>
      <c r="BZ162" s="3">
        <f t="shared" si="84"/>
        <v>8.9</v>
      </c>
      <c r="CA162" s="3">
        <f t="shared" si="84"/>
        <v>8.3000000000000007</v>
      </c>
      <c r="CB162" s="3">
        <f t="shared" si="84"/>
        <v>8</v>
      </c>
      <c r="CC162" s="22">
        <f t="shared" si="92"/>
        <v>71.400000000000006</v>
      </c>
      <c r="CD162" s="1">
        <f t="shared" si="96"/>
        <v>13.4</v>
      </c>
      <c r="CE162" s="1">
        <f t="shared" si="97"/>
        <v>15.2</v>
      </c>
      <c r="CF162" s="1">
        <f t="shared" si="98"/>
        <v>16.3</v>
      </c>
      <c r="CG162" s="1">
        <f t="shared" si="99"/>
        <v>12.4</v>
      </c>
      <c r="CH162" s="1">
        <f t="shared" si="100"/>
        <v>11.3</v>
      </c>
      <c r="CI162" s="1">
        <f t="shared" si="101"/>
        <v>8.6</v>
      </c>
      <c r="CJ162" s="1">
        <f t="shared" si="102"/>
        <v>8.3000000000000007</v>
      </c>
      <c r="CK162" s="2">
        <f t="shared" si="93"/>
        <v>96.9</v>
      </c>
      <c r="CL162" s="1">
        <f t="shared" si="103"/>
        <v>0</v>
      </c>
      <c r="CM162" s="1">
        <f t="shared" si="104"/>
        <v>-0.6</v>
      </c>
      <c r="CN162" s="1">
        <f t="shared" si="105"/>
        <v>-0.7</v>
      </c>
      <c r="CO162" s="1">
        <f t="shared" si="106"/>
        <v>1.3</v>
      </c>
      <c r="CP162" s="1">
        <f t="shared" si="107"/>
        <v>7.2</v>
      </c>
      <c r="CQ162" s="1">
        <f t="shared" si="108"/>
        <v>8</v>
      </c>
      <c r="CR162" s="1">
        <f t="shared" si="109"/>
        <v>7.7</v>
      </c>
      <c r="CS162" s="2">
        <f t="shared" si="110"/>
        <v>36.4</v>
      </c>
      <c r="CT162" s="6">
        <f t="shared" si="111"/>
        <v>0</v>
      </c>
      <c r="CU162" s="1">
        <f>PPTest!K162</f>
        <v>0</v>
      </c>
      <c r="CV162" s="3">
        <f t="shared" si="112"/>
        <v>2.0099999999999998</v>
      </c>
      <c r="CW162" s="3">
        <f t="shared" si="113"/>
        <v>5.87</v>
      </c>
      <c r="CX162" s="24">
        <f t="shared" si="114"/>
        <v>0.56100000000000005</v>
      </c>
      <c r="CY162" s="24">
        <f t="shared" si="114"/>
        <v>0.98</v>
      </c>
      <c r="CZ162" s="16">
        <f t="shared" si="115"/>
        <v>13.02</v>
      </c>
    </row>
    <row r="163" spans="1:104" x14ac:dyDescent="0.2">
      <c r="A163" s="14">
        <f t="shared" si="116"/>
        <v>38874</v>
      </c>
      <c r="B163" s="1">
        <v>157</v>
      </c>
      <c r="C163" s="3">
        <v>23.38</v>
      </c>
      <c r="D163" s="3">
        <v>42.74</v>
      </c>
      <c r="E163" s="3">
        <v>8.67</v>
      </c>
      <c r="F163" s="3">
        <v>81.599999999999994</v>
      </c>
      <c r="G163" s="3">
        <v>8.7899999999999991</v>
      </c>
      <c r="H163" s="3">
        <v>8.85</v>
      </c>
      <c r="I163" s="3">
        <v>8.2899999999999991</v>
      </c>
      <c r="J163" s="3">
        <v>9.08</v>
      </c>
      <c r="K163" s="3">
        <v>8.25</v>
      </c>
      <c r="L163" s="3">
        <v>7.95</v>
      </c>
      <c r="M163" s="3">
        <v>1.67</v>
      </c>
      <c r="N163" s="3">
        <v>0</v>
      </c>
      <c r="O163" s="3">
        <v>16.190000000000001</v>
      </c>
      <c r="P163" s="3">
        <v>1410</v>
      </c>
      <c r="Q163" s="3">
        <v>110.3</v>
      </c>
      <c r="R163" s="3">
        <v>300</v>
      </c>
      <c r="S163" s="3">
        <v>20.149999999999999</v>
      </c>
      <c r="T163" s="3">
        <v>21.04</v>
      </c>
      <c r="U163" s="3">
        <v>20.18</v>
      </c>
      <c r="V163" s="3">
        <v>11.85</v>
      </c>
      <c r="W163" s="3">
        <v>8.83</v>
      </c>
      <c r="X163" s="3">
        <v>8.4700000000000006</v>
      </c>
      <c r="Y163" s="3">
        <v>4.3310000000000004</v>
      </c>
      <c r="Z163" s="3">
        <v>1029</v>
      </c>
      <c r="AA163" s="3">
        <v>-1.5109999999999999</v>
      </c>
      <c r="AB163" s="3">
        <v>337</v>
      </c>
      <c r="AC163" s="3">
        <v>52.58</v>
      </c>
      <c r="AD163" s="3">
        <v>854</v>
      </c>
      <c r="AE163" s="3">
        <v>-1.9550000000000001</v>
      </c>
      <c r="AF163" s="3">
        <v>-1.9810000000000001</v>
      </c>
      <c r="AG163" s="3">
        <v>-2.1000000000000001E-2</v>
      </c>
      <c r="AH163" s="3">
        <v>6.1280000000000001</v>
      </c>
      <c r="AI163" s="3">
        <v>7.81</v>
      </c>
      <c r="AJ163" s="3">
        <v>7.63</v>
      </c>
      <c r="AK163" s="3">
        <v>0.13700000000000001</v>
      </c>
      <c r="AL163" s="3">
        <v>0.45700000000000002</v>
      </c>
      <c r="AM163" s="3">
        <v>0.17199999999999999</v>
      </c>
      <c r="AN163" s="3">
        <v>2.4E-2</v>
      </c>
      <c r="AO163" s="3">
        <v>3.1E-2</v>
      </c>
      <c r="AP163" s="3">
        <v>4.4999999999999998E-2</v>
      </c>
      <c r="AQ163" s="3">
        <v>4.8000000000000001E-2</v>
      </c>
      <c r="AR163" s="3">
        <v>8.6999999999999994E-2</v>
      </c>
      <c r="AS163" s="3">
        <v>3521</v>
      </c>
      <c r="AT163" s="3">
        <v>3514</v>
      </c>
      <c r="AU163" s="3">
        <v>3517</v>
      </c>
      <c r="AV163" s="3">
        <v>9.15</v>
      </c>
      <c r="AW163" s="3">
        <v>9.17</v>
      </c>
      <c r="AX163" s="3">
        <v>19.100000000000001</v>
      </c>
      <c r="AY163" s="3">
        <v>19.86</v>
      </c>
      <c r="AZ163" s="3">
        <v>-2.0190000000000001</v>
      </c>
      <c r="BA163" s="3">
        <v>-2.2170000000000001</v>
      </c>
      <c r="BB163" s="3">
        <v>12.98</v>
      </c>
      <c r="BC163" s="3">
        <v>2876</v>
      </c>
      <c r="BE163" s="6"/>
      <c r="BG163" s="16">
        <v>32.92</v>
      </c>
      <c r="BH163" s="16">
        <f t="shared" si="85"/>
        <v>66.498400000000004</v>
      </c>
      <c r="BI163" s="17">
        <f t="shared" si="80"/>
        <v>22.91</v>
      </c>
      <c r="BJ163" s="17">
        <f t="shared" si="81"/>
        <v>47.01</v>
      </c>
      <c r="BL163" s="1">
        <f t="shared" si="86"/>
        <v>98.7</v>
      </c>
      <c r="BM163" s="1">
        <f t="shared" si="87"/>
        <v>64.8</v>
      </c>
      <c r="BN163" s="1">
        <f t="shared" si="88"/>
        <v>39.299999999999997</v>
      </c>
      <c r="BO163" s="49">
        <f t="shared" si="94"/>
        <v>0.72299999999999998</v>
      </c>
      <c r="BP163" s="49">
        <f t="shared" si="95"/>
        <v>1.117</v>
      </c>
      <c r="BR163" s="3">
        <v>0</v>
      </c>
      <c r="BT163" s="16">
        <f t="shared" si="89"/>
        <v>22.91</v>
      </c>
      <c r="BU163" s="16">
        <f t="shared" si="90"/>
        <v>47.01</v>
      </c>
      <c r="BV163" s="3">
        <f t="shared" si="91"/>
        <v>8.6999999999999993</v>
      </c>
      <c r="BW163" s="3">
        <f t="shared" si="84"/>
        <v>8.8000000000000007</v>
      </c>
      <c r="BX163" s="3">
        <f t="shared" si="84"/>
        <v>8.9</v>
      </c>
      <c r="BY163" s="3">
        <f t="shared" si="84"/>
        <v>8.3000000000000007</v>
      </c>
      <c r="BZ163" s="3">
        <f t="shared" si="84"/>
        <v>9.1</v>
      </c>
      <c r="CA163" s="3">
        <f t="shared" si="84"/>
        <v>8.3000000000000007</v>
      </c>
      <c r="CB163" s="3">
        <f t="shared" si="84"/>
        <v>8</v>
      </c>
      <c r="CC163" s="22">
        <f t="shared" si="92"/>
        <v>64.8</v>
      </c>
      <c r="CD163" s="1">
        <f t="shared" si="96"/>
        <v>16.2</v>
      </c>
      <c r="CE163" s="1">
        <f t="shared" si="97"/>
        <v>20.2</v>
      </c>
      <c r="CF163" s="1">
        <f t="shared" si="98"/>
        <v>21</v>
      </c>
      <c r="CG163" s="1">
        <f t="shared" si="99"/>
        <v>20.2</v>
      </c>
      <c r="CH163" s="1">
        <f t="shared" si="100"/>
        <v>11.9</v>
      </c>
      <c r="CI163" s="1">
        <f t="shared" si="101"/>
        <v>8.8000000000000007</v>
      </c>
      <c r="CJ163" s="1">
        <f t="shared" si="102"/>
        <v>8.5</v>
      </c>
      <c r="CK163" s="2">
        <f t="shared" si="93"/>
        <v>98.7</v>
      </c>
      <c r="CL163" s="1">
        <f t="shared" si="103"/>
        <v>-1.5</v>
      </c>
      <c r="CM163" s="1">
        <f t="shared" si="104"/>
        <v>-2</v>
      </c>
      <c r="CN163" s="1">
        <f t="shared" si="105"/>
        <v>-2</v>
      </c>
      <c r="CO163" s="1">
        <f t="shared" si="106"/>
        <v>0</v>
      </c>
      <c r="CP163" s="1">
        <f t="shared" si="107"/>
        <v>6.1</v>
      </c>
      <c r="CQ163" s="1">
        <f t="shared" si="108"/>
        <v>7.8</v>
      </c>
      <c r="CR163" s="1">
        <f t="shared" si="109"/>
        <v>7.6</v>
      </c>
      <c r="CS163" s="2">
        <f t="shared" si="110"/>
        <v>39.299999999999997</v>
      </c>
      <c r="CT163" s="6">
        <f t="shared" si="111"/>
        <v>0</v>
      </c>
      <c r="CU163" s="1">
        <f>PPTest!K163</f>
        <v>0</v>
      </c>
      <c r="CV163" s="3">
        <f t="shared" si="112"/>
        <v>1.67</v>
      </c>
      <c r="CW163" s="3">
        <f t="shared" si="113"/>
        <v>4.33</v>
      </c>
      <c r="CX163" s="24">
        <f t="shared" si="114"/>
        <v>0.72299999999999998</v>
      </c>
      <c r="CY163" s="24">
        <f t="shared" si="114"/>
        <v>1.117</v>
      </c>
      <c r="CZ163" s="16">
        <f t="shared" si="115"/>
        <v>12.98</v>
      </c>
    </row>
    <row r="164" spans="1:104" x14ac:dyDescent="0.2">
      <c r="A164" s="14">
        <f t="shared" si="116"/>
        <v>38875</v>
      </c>
      <c r="B164" s="1">
        <v>158</v>
      </c>
      <c r="C164" s="3">
        <v>25.85</v>
      </c>
      <c r="D164" s="3">
        <v>47.38</v>
      </c>
      <c r="E164" s="3">
        <v>12.56</v>
      </c>
      <c r="F164" s="3">
        <v>73</v>
      </c>
      <c r="G164" s="3">
        <v>12.65</v>
      </c>
      <c r="H164" s="3">
        <v>12.7</v>
      </c>
      <c r="I164" s="3">
        <v>11</v>
      </c>
      <c r="J164" s="3">
        <v>10.65</v>
      </c>
      <c r="K164" s="3">
        <v>8.52</v>
      </c>
      <c r="L164" s="3">
        <v>7.86</v>
      </c>
      <c r="M164" s="3">
        <v>1.8620000000000001</v>
      </c>
      <c r="N164" s="3">
        <v>0</v>
      </c>
      <c r="O164" s="3">
        <v>20.71</v>
      </c>
      <c r="P164" s="3">
        <v>1655</v>
      </c>
      <c r="Q164" s="3">
        <v>108.5</v>
      </c>
      <c r="R164" s="3">
        <v>416</v>
      </c>
      <c r="S164" s="3">
        <v>22.52</v>
      </c>
      <c r="T164" s="3">
        <v>23.05</v>
      </c>
      <c r="U164" s="3">
        <v>22.53</v>
      </c>
      <c r="V164" s="3">
        <v>14.09</v>
      </c>
      <c r="W164" s="3">
        <v>8.98</v>
      </c>
      <c r="X164" s="3">
        <v>8.33</v>
      </c>
      <c r="Y164" s="3">
        <v>4.5970000000000004</v>
      </c>
      <c r="Z164" s="3">
        <v>947</v>
      </c>
      <c r="AA164" s="3">
        <v>2.125</v>
      </c>
      <c r="AB164" s="3">
        <v>414</v>
      </c>
      <c r="AC164" s="3">
        <v>39.56</v>
      </c>
      <c r="AD164" s="3">
        <v>1655</v>
      </c>
      <c r="AE164" s="3">
        <v>1.528</v>
      </c>
      <c r="AF164" s="3">
        <v>1.4710000000000001</v>
      </c>
      <c r="AG164" s="3">
        <v>2.5670000000000002</v>
      </c>
      <c r="AH164" s="3">
        <v>7.5</v>
      </c>
      <c r="AI164" s="3">
        <v>8.1199999999999992</v>
      </c>
      <c r="AJ164" s="3">
        <v>7.43</v>
      </c>
      <c r="AK164" s="3">
        <v>0.17899999999999999</v>
      </c>
      <c r="AL164" s="3">
        <v>0.435</v>
      </c>
      <c r="AM164" s="3">
        <v>0.2</v>
      </c>
      <c r="AN164" s="3">
        <v>2.4E-2</v>
      </c>
      <c r="AO164" s="3">
        <v>3.3000000000000002E-2</v>
      </c>
      <c r="AP164" s="3">
        <v>3.1E-2</v>
      </c>
      <c r="AQ164" s="3">
        <v>2.3E-2</v>
      </c>
      <c r="AR164" s="3">
        <v>7.3999999999999996E-2</v>
      </c>
      <c r="AS164" s="3">
        <v>3520</v>
      </c>
      <c r="AT164" s="3">
        <v>3519</v>
      </c>
      <c r="AU164" s="3">
        <v>3520</v>
      </c>
      <c r="AV164" s="3">
        <v>13.01</v>
      </c>
      <c r="AW164" s="3">
        <v>13.05</v>
      </c>
      <c r="AX164" s="3">
        <v>21.43</v>
      </c>
      <c r="AY164" s="3">
        <v>21.84</v>
      </c>
      <c r="AZ164" s="3">
        <v>1.972</v>
      </c>
      <c r="BA164" s="3">
        <v>1.6990000000000001</v>
      </c>
      <c r="BB164" s="3">
        <v>12.9</v>
      </c>
      <c r="BC164" s="3">
        <v>2876</v>
      </c>
      <c r="BE164" s="6"/>
      <c r="BG164" s="16">
        <v>32.97</v>
      </c>
      <c r="BH164" s="16">
        <f t="shared" si="85"/>
        <v>66.599400000000003</v>
      </c>
      <c r="BI164" s="17">
        <f t="shared" si="80"/>
        <v>25.33</v>
      </c>
      <c r="BJ164" s="17">
        <f t="shared" si="81"/>
        <v>52.12</v>
      </c>
      <c r="BL164" s="1">
        <f t="shared" si="86"/>
        <v>95.8</v>
      </c>
      <c r="BM164" s="1">
        <f t="shared" si="87"/>
        <v>57.2</v>
      </c>
      <c r="BN164" s="1">
        <f t="shared" si="88"/>
        <v>27.8</v>
      </c>
      <c r="BO164" s="49">
        <f t="shared" si="94"/>
        <v>0.67900000000000005</v>
      </c>
      <c r="BP164" s="49">
        <f t="shared" si="95"/>
        <v>1.7629999999999999</v>
      </c>
      <c r="BR164" s="3">
        <v>0</v>
      </c>
      <c r="BT164" s="16">
        <f t="shared" si="89"/>
        <v>25.33</v>
      </c>
      <c r="BU164" s="16">
        <f t="shared" si="90"/>
        <v>52.12</v>
      </c>
      <c r="BV164" s="3">
        <f t="shared" si="91"/>
        <v>12.6</v>
      </c>
      <c r="BW164" s="3">
        <f t="shared" si="84"/>
        <v>12.7</v>
      </c>
      <c r="BX164" s="3">
        <f t="shared" si="84"/>
        <v>12.7</v>
      </c>
      <c r="BY164" s="3">
        <f t="shared" si="84"/>
        <v>11</v>
      </c>
      <c r="BZ164" s="3">
        <f t="shared" si="84"/>
        <v>10.7</v>
      </c>
      <c r="CA164" s="3">
        <f t="shared" si="84"/>
        <v>8.5</v>
      </c>
      <c r="CB164" s="3">
        <f t="shared" si="84"/>
        <v>7.9</v>
      </c>
      <c r="CC164" s="22">
        <f t="shared" si="92"/>
        <v>57.2</v>
      </c>
      <c r="CD164" s="1">
        <f t="shared" si="96"/>
        <v>20.7</v>
      </c>
      <c r="CE164" s="1">
        <f t="shared" si="97"/>
        <v>22.5</v>
      </c>
      <c r="CF164" s="1">
        <f t="shared" si="98"/>
        <v>23.1</v>
      </c>
      <c r="CG164" s="1">
        <f t="shared" si="99"/>
        <v>22.5</v>
      </c>
      <c r="CH164" s="1">
        <f t="shared" si="100"/>
        <v>14.1</v>
      </c>
      <c r="CI164" s="1">
        <f t="shared" si="101"/>
        <v>9</v>
      </c>
      <c r="CJ164" s="1">
        <f t="shared" si="102"/>
        <v>8.3000000000000007</v>
      </c>
      <c r="CK164" s="2">
        <f t="shared" si="93"/>
        <v>95.8</v>
      </c>
      <c r="CL164" s="1">
        <f t="shared" si="103"/>
        <v>2.1</v>
      </c>
      <c r="CM164" s="1">
        <f t="shared" si="104"/>
        <v>1.5</v>
      </c>
      <c r="CN164" s="1">
        <f t="shared" si="105"/>
        <v>1.5</v>
      </c>
      <c r="CO164" s="1">
        <f t="shared" si="106"/>
        <v>2.6</v>
      </c>
      <c r="CP164" s="1">
        <f t="shared" si="107"/>
        <v>7.5</v>
      </c>
      <c r="CQ164" s="1">
        <f t="shared" si="108"/>
        <v>8.1</v>
      </c>
      <c r="CR164" s="1">
        <f t="shared" si="109"/>
        <v>7.4</v>
      </c>
      <c r="CS164" s="2">
        <f t="shared" si="110"/>
        <v>27.8</v>
      </c>
      <c r="CT164" s="6">
        <f t="shared" si="111"/>
        <v>0</v>
      </c>
      <c r="CU164" s="1">
        <f>PPTest!K164</f>
        <v>0</v>
      </c>
      <c r="CV164" s="3">
        <f t="shared" si="112"/>
        <v>1.86</v>
      </c>
      <c r="CW164" s="3">
        <f t="shared" si="113"/>
        <v>4.5999999999999996</v>
      </c>
      <c r="CX164" s="24">
        <f t="shared" si="114"/>
        <v>0.67900000000000005</v>
      </c>
      <c r="CY164" s="24">
        <f t="shared" si="114"/>
        <v>1.7629999999999999</v>
      </c>
      <c r="CZ164" s="16">
        <f t="shared" si="115"/>
        <v>12.9</v>
      </c>
    </row>
    <row r="165" spans="1:104" x14ac:dyDescent="0.2">
      <c r="A165" s="14">
        <f t="shared" si="116"/>
        <v>38876</v>
      </c>
      <c r="B165" s="1">
        <v>159</v>
      </c>
      <c r="C165" s="3">
        <v>7.49</v>
      </c>
      <c r="D165" s="3">
        <v>15.91</v>
      </c>
      <c r="E165" s="3">
        <v>7.7</v>
      </c>
      <c r="F165" s="3">
        <v>107.3</v>
      </c>
      <c r="G165" s="3">
        <v>7.61</v>
      </c>
      <c r="H165" s="3">
        <v>7.53</v>
      </c>
      <c r="I165" s="3">
        <v>8.42</v>
      </c>
      <c r="J165" s="3">
        <v>9.66</v>
      </c>
      <c r="K165" s="3">
        <v>8.91</v>
      </c>
      <c r="L165" s="3">
        <v>7.82</v>
      </c>
      <c r="M165" s="3">
        <v>1.0860000000000001</v>
      </c>
      <c r="N165" s="3">
        <v>11</v>
      </c>
      <c r="O165" s="3">
        <v>11.97</v>
      </c>
      <c r="P165" s="3">
        <v>1229</v>
      </c>
      <c r="Q165" s="3">
        <v>110.7</v>
      </c>
      <c r="R165" s="3">
        <v>2300</v>
      </c>
      <c r="S165" s="3">
        <v>13.4</v>
      </c>
      <c r="T165" s="3">
        <v>13.55</v>
      </c>
      <c r="U165" s="3">
        <v>12.95</v>
      </c>
      <c r="V165" s="3">
        <v>10.77</v>
      </c>
      <c r="W165" s="3">
        <v>9.11</v>
      </c>
      <c r="X165" s="3">
        <v>7.99</v>
      </c>
      <c r="Y165" s="3">
        <v>3.5590000000000002</v>
      </c>
      <c r="Z165" s="3">
        <v>1625</v>
      </c>
      <c r="AA165" s="3">
        <v>3.6539999999999999</v>
      </c>
      <c r="AB165" s="3">
        <v>2232</v>
      </c>
      <c r="AC165" s="3">
        <v>95.3</v>
      </c>
      <c r="AD165" s="3">
        <v>1231</v>
      </c>
      <c r="AE165" s="3">
        <v>2.7810000000000001</v>
      </c>
      <c r="AF165" s="3">
        <v>2.5230000000000001</v>
      </c>
      <c r="AG165" s="3">
        <v>4.5510000000000002</v>
      </c>
      <c r="AH165" s="3">
        <v>8.48</v>
      </c>
      <c r="AI165" s="3">
        <v>8.64</v>
      </c>
      <c r="AJ165" s="3">
        <v>7.64</v>
      </c>
      <c r="AK165" s="3">
        <v>0.108</v>
      </c>
      <c r="AL165" s="3">
        <v>0.34699999999999998</v>
      </c>
      <c r="AM165" s="3">
        <v>0.16900000000000001</v>
      </c>
      <c r="AN165" s="3">
        <v>4.3999999999999997E-2</v>
      </c>
      <c r="AO165" s="3">
        <v>9.9000000000000005E-2</v>
      </c>
      <c r="AP165" s="3">
        <v>0.14599999999999999</v>
      </c>
      <c r="AQ165" s="3">
        <v>0.05</v>
      </c>
      <c r="AR165" s="3">
        <v>3.6999999999999998E-2</v>
      </c>
      <c r="AS165" s="3">
        <v>3515</v>
      </c>
      <c r="AT165" s="3">
        <v>3514</v>
      </c>
      <c r="AU165" s="3">
        <v>3515</v>
      </c>
      <c r="AV165" s="3">
        <v>8.0399999999999991</v>
      </c>
      <c r="AW165" s="3">
        <v>7.86</v>
      </c>
      <c r="AX165" s="3">
        <v>12.59</v>
      </c>
      <c r="AY165" s="3">
        <v>12.73</v>
      </c>
      <c r="AZ165" s="3">
        <v>3.7959999999999998</v>
      </c>
      <c r="BA165" s="3">
        <v>3.4319999999999999</v>
      </c>
      <c r="BB165" s="3">
        <v>12.98</v>
      </c>
      <c r="BC165" s="3">
        <v>2876</v>
      </c>
      <c r="BE165" s="6"/>
      <c r="BG165" s="16">
        <v>33.01</v>
      </c>
      <c r="BH165" s="16">
        <f t="shared" si="85"/>
        <v>66.680199999999999</v>
      </c>
      <c r="BI165" s="17">
        <f t="shared" si="80"/>
        <v>7.34</v>
      </c>
      <c r="BJ165" s="17">
        <f t="shared" si="81"/>
        <v>17.5</v>
      </c>
      <c r="BL165" s="1">
        <f t="shared" si="86"/>
        <v>99.3</v>
      </c>
      <c r="BM165" s="1">
        <f t="shared" si="87"/>
        <v>93.9</v>
      </c>
      <c r="BN165" s="1">
        <f t="shared" si="88"/>
        <v>76.900000000000006</v>
      </c>
      <c r="BO165" s="49">
        <f t="shared" si="94"/>
        <v>1.0760000000000001</v>
      </c>
      <c r="BP165" s="49">
        <f t="shared" si="95"/>
        <v>0.32300000000000001</v>
      </c>
      <c r="BR165" s="3">
        <v>8.1999999999999993</v>
      </c>
      <c r="BT165" s="16">
        <f t="shared" si="89"/>
        <v>7.34</v>
      </c>
      <c r="BU165" s="16">
        <f t="shared" si="90"/>
        <v>17.5</v>
      </c>
      <c r="BV165" s="3">
        <f t="shared" si="91"/>
        <v>7.7</v>
      </c>
      <c r="BW165" s="3">
        <f t="shared" si="84"/>
        <v>7.6</v>
      </c>
      <c r="BX165" s="3">
        <f t="shared" si="84"/>
        <v>7.5</v>
      </c>
      <c r="BY165" s="3">
        <f t="shared" si="84"/>
        <v>8.4</v>
      </c>
      <c r="BZ165" s="3">
        <f t="shared" si="84"/>
        <v>9.6999999999999993</v>
      </c>
      <c r="CA165" s="3">
        <f t="shared" si="84"/>
        <v>8.9</v>
      </c>
      <c r="CB165" s="3">
        <f t="shared" si="84"/>
        <v>7.8</v>
      </c>
      <c r="CC165" s="22">
        <f t="shared" si="92"/>
        <v>93.9</v>
      </c>
      <c r="CD165" s="1">
        <f t="shared" si="96"/>
        <v>12</v>
      </c>
      <c r="CE165" s="1">
        <f t="shared" si="97"/>
        <v>13.4</v>
      </c>
      <c r="CF165" s="1">
        <f t="shared" si="98"/>
        <v>13.6</v>
      </c>
      <c r="CG165" s="1">
        <f t="shared" si="99"/>
        <v>13</v>
      </c>
      <c r="CH165" s="1">
        <f t="shared" si="100"/>
        <v>10.8</v>
      </c>
      <c r="CI165" s="1">
        <f t="shared" si="101"/>
        <v>9.1</v>
      </c>
      <c r="CJ165" s="1">
        <f t="shared" si="102"/>
        <v>8</v>
      </c>
      <c r="CK165" s="2">
        <f t="shared" si="93"/>
        <v>99.3</v>
      </c>
      <c r="CL165" s="1">
        <f t="shared" si="103"/>
        <v>3.7</v>
      </c>
      <c r="CM165" s="1">
        <f t="shared" si="104"/>
        <v>2.8</v>
      </c>
      <c r="CN165" s="1">
        <f t="shared" si="105"/>
        <v>2.5</v>
      </c>
      <c r="CO165" s="1">
        <f t="shared" si="106"/>
        <v>4.5999999999999996</v>
      </c>
      <c r="CP165" s="1">
        <f t="shared" si="107"/>
        <v>8.5</v>
      </c>
      <c r="CQ165" s="1">
        <f t="shared" si="108"/>
        <v>8.6</v>
      </c>
      <c r="CR165" s="1">
        <f t="shared" si="109"/>
        <v>7.6</v>
      </c>
      <c r="CS165" s="2">
        <f t="shared" si="110"/>
        <v>76.900000000000006</v>
      </c>
      <c r="CT165" s="6">
        <f t="shared" si="111"/>
        <v>0</v>
      </c>
      <c r="CU165" s="1">
        <f>PPTest!K165</f>
        <v>11</v>
      </c>
      <c r="CV165" s="3">
        <f t="shared" si="112"/>
        <v>1.0900000000000001</v>
      </c>
      <c r="CW165" s="3">
        <f t="shared" si="113"/>
        <v>3.56</v>
      </c>
      <c r="CX165" s="24">
        <f t="shared" si="114"/>
        <v>1.0760000000000001</v>
      </c>
      <c r="CY165" s="24">
        <f t="shared" si="114"/>
        <v>0.32300000000000001</v>
      </c>
      <c r="CZ165" s="16">
        <f t="shared" si="115"/>
        <v>12.98</v>
      </c>
    </row>
    <row r="166" spans="1:104" x14ac:dyDescent="0.2">
      <c r="A166" s="14">
        <f t="shared" si="116"/>
        <v>38877</v>
      </c>
      <c r="B166" s="1">
        <v>160</v>
      </c>
      <c r="C166" s="3">
        <v>14.4</v>
      </c>
      <c r="D166" s="3">
        <v>27.83</v>
      </c>
      <c r="E166" s="3">
        <v>7.37</v>
      </c>
      <c r="F166" s="3">
        <v>104.9</v>
      </c>
      <c r="G166" s="3">
        <v>7.52</v>
      </c>
      <c r="H166" s="3">
        <v>7.52</v>
      </c>
      <c r="I166" s="3">
        <v>8.73</v>
      </c>
      <c r="J166" s="3">
        <v>9.4499999999999993</v>
      </c>
      <c r="K166" s="3">
        <v>8.7799999999999994</v>
      </c>
      <c r="L166" s="3">
        <v>7.99</v>
      </c>
      <c r="M166" s="3">
        <v>1.0880000000000001</v>
      </c>
      <c r="N166" s="3">
        <v>2</v>
      </c>
      <c r="O166" s="3">
        <v>14.3</v>
      </c>
      <c r="P166" s="3">
        <v>1644</v>
      </c>
      <c r="Q166" s="3">
        <v>110.7</v>
      </c>
      <c r="R166" s="3">
        <v>2346</v>
      </c>
      <c r="S166" s="3">
        <v>17.45</v>
      </c>
      <c r="T166" s="3">
        <v>18.5</v>
      </c>
      <c r="U166" s="3">
        <v>15.01</v>
      </c>
      <c r="V166" s="3">
        <v>11.82</v>
      </c>
      <c r="W166" s="3">
        <v>9.11</v>
      </c>
      <c r="X166" s="3">
        <v>8.41</v>
      </c>
      <c r="Y166" s="3">
        <v>3.306</v>
      </c>
      <c r="Z166" s="3">
        <v>1316</v>
      </c>
      <c r="AA166" s="3">
        <v>2.145</v>
      </c>
      <c r="AB166" s="3">
        <v>2326</v>
      </c>
      <c r="AC166" s="3">
        <v>76.400000000000006</v>
      </c>
      <c r="AD166" s="3">
        <v>1645</v>
      </c>
      <c r="AE166" s="3">
        <v>1.6060000000000001</v>
      </c>
      <c r="AF166" s="3">
        <v>1.482</v>
      </c>
      <c r="AG166" s="3">
        <v>3.548</v>
      </c>
      <c r="AH166" s="3">
        <v>7.74</v>
      </c>
      <c r="AI166" s="3">
        <v>8.42</v>
      </c>
      <c r="AJ166" s="3">
        <v>7.7</v>
      </c>
      <c r="AK166" s="3">
        <v>0.16800000000000001</v>
      </c>
      <c r="AL166" s="3">
        <v>0.33700000000000002</v>
      </c>
      <c r="AM166" s="3">
        <v>0.112</v>
      </c>
      <c r="AN166" s="3">
        <v>2.3E-2</v>
      </c>
      <c r="AO166" s="3">
        <v>7.6999999999999999E-2</v>
      </c>
      <c r="AP166" s="3">
        <v>0.112</v>
      </c>
      <c r="AQ166" s="3">
        <v>7.2999999999999995E-2</v>
      </c>
      <c r="AR166" s="3">
        <v>9.7000000000000003E-2</v>
      </c>
      <c r="AS166" s="3">
        <v>3526</v>
      </c>
      <c r="AT166" s="3">
        <v>3522</v>
      </c>
      <c r="AU166" s="3">
        <v>3523</v>
      </c>
      <c r="AV166" s="3">
        <v>8.2100000000000009</v>
      </c>
      <c r="AW166" s="3">
        <v>8.11</v>
      </c>
      <c r="AX166" s="3">
        <v>14.84</v>
      </c>
      <c r="AY166" s="3">
        <v>15.35</v>
      </c>
      <c r="AZ166" s="3">
        <v>2.3650000000000002</v>
      </c>
      <c r="BA166" s="3">
        <v>1.8380000000000001</v>
      </c>
      <c r="BB166" s="3">
        <v>13.03</v>
      </c>
      <c r="BC166" s="3">
        <v>2876</v>
      </c>
      <c r="BE166" s="6"/>
      <c r="BG166" s="16">
        <v>33.06</v>
      </c>
      <c r="BH166" s="16">
        <f t="shared" si="85"/>
        <v>66.781199999999998</v>
      </c>
      <c r="BI166" s="17">
        <f t="shared" si="80"/>
        <v>14.11</v>
      </c>
      <c r="BJ166" s="17">
        <f t="shared" si="81"/>
        <v>30.61</v>
      </c>
      <c r="BL166" s="1">
        <f t="shared" si="86"/>
        <v>99.3</v>
      </c>
      <c r="BM166" s="1">
        <f t="shared" si="87"/>
        <v>90.1</v>
      </c>
      <c r="BN166" s="1">
        <f t="shared" si="88"/>
        <v>60.2</v>
      </c>
      <c r="BO166" s="49">
        <f t="shared" si="94"/>
        <v>0.98099999999999998</v>
      </c>
      <c r="BP166" s="49">
        <f t="shared" si="95"/>
        <v>0.64900000000000002</v>
      </c>
      <c r="BR166" s="3">
        <v>0.6</v>
      </c>
      <c r="BT166" s="16">
        <f t="shared" si="89"/>
        <v>14.11</v>
      </c>
      <c r="BU166" s="16">
        <f t="shared" si="90"/>
        <v>30.61</v>
      </c>
      <c r="BV166" s="3">
        <f t="shared" si="91"/>
        <v>7.4</v>
      </c>
      <c r="BW166" s="3">
        <f t="shared" si="84"/>
        <v>7.5</v>
      </c>
      <c r="BX166" s="3">
        <f t="shared" si="84"/>
        <v>7.5</v>
      </c>
      <c r="BY166" s="3">
        <f t="shared" si="84"/>
        <v>8.6999999999999993</v>
      </c>
      <c r="BZ166" s="3">
        <f t="shared" si="84"/>
        <v>9.5</v>
      </c>
      <c r="CA166" s="3">
        <f t="shared" si="84"/>
        <v>8.8000000000000007</v>
      </c>
      <c r="CB166" s="3">
        <f t="shared" si="84"/>
        <v>8</v>
      </c>
      <c r="CC166" s="22">
        <f t="shared" si="92"/>
        <v>90.1</v>
      </c>
      <c r="CD166" s="1">
        <f t="shared" si="96"/>
        <v>14.3</v>
      </c>
      <c r="CE166" s="1">
        <f t="shared" si="97"/>
        <v>17.5</v>
      </c>
      <c r="CF166" s="1">
        <f t="shared" si="98"/>
        <v>18.5</v>
      </c>
      <c r="CG166" s="1">
        <f t="shared" si="99"/>
        <v>15</v>
      </c>
      <c r="CH166" s="1">
        <f t="shared" si="100"/>
        <v>11.8</v>
      </c>
      <c r="CI166" s="1">
        <f t="shared" si="101"/>
        <v>9.1</v>
      </c>
      <c r="CJ166" s="1">
        <f t="shared" si="102"/>
        <v>8.4</v>
      </c>
      <c r="CK166" s="2">
        <f t="shared" si="93"/>
        <v>99.3</v>
      </c>
      <c r="CL166" s="1">
        <f t="shared" si="103"/>
        <v>2.1</v>
      </c>
      <c r="CM166" s="1">
        <f t="shared" si="104"/>
        <v>1.6</v>
      </c>
      <c r="CN166" s="1">
        <f t="shared" si="105"/>
        <v>1.5</v>
      </c>
      <c r="CO166" s="1">
        <f t="shared" si="106"/>
        <v>3.5</v>
      </c>
      <c r="CP166" s="1">
        <f t="shared" si="107"/>
        <v>7.7</v>
      </c>
      <c r="CQ166" s="1">
        <f t="shared" si="108"/>
        <v>8.4</v>
      </c>
      <c r="CR166" s="1">
        <f t="shared" si="109"/>
        <v>7.7</v>
      </c>
      <c r="CS166" s="2">
        <f t="shared" si="110"/>
        <v>60.2</v>
      </c>
      <c r="CT166" s="6">
        <f t="shared" si="111"/>
        <v>0</v>
      </c>
      <c r="CU166" s="1">
        <f>PPTest!K166</f>
        <v>2</v>
      </c>
      <c r="CV166" s="3">
        <f t="shared" si="112"/>
        <v>1.0900000000000001</v>
      </c>
      <c r="CW166" s="3">
        <f t="shared" si="113"/>
        <v>3.31</v>
      </c>
      <c r="CX166" s="24">
        <f t="shared" si="114"/>
        <v>0.98099999999999998</v>
      </c>
      <c r="CY166" s="24">
        <f t="shared" si="114"/>
        <v>0.64900000000000002</v>
      </c>
      <c r="CZ166" s="16">
        <f t="shared" si="115"/>
        <v>13.03</v>
      </c>
    </row>
    <row r="167" spans="1:104" x14ac:dyDescent="0.2">
      <c r="A167" s="14">
        <f t="shared" si="116"/>
        <v>38878</v>
      </c>
      <c r="B167" s="1">
        <v>161</v>
      </c>
      <c r="C167" s="3">
        <v>23.91</v>
      </c>
      <c r="D167" s="3">
        <v>44.61</v>
      </c>
      <c r="E167" s="3">
        <v>9.4700000000000006</v>
      </c>
      <c r="F167" s="3">
        <v>87.9</v>
      </c>
      <c r="G167" s="3">
        <v>9.61</v>
      </c>
      <c r="H167" s="3">
        <v>9.65</v>
      </c>
      <c r="I167" s="3">
        <v>9.42</v>
      </c>
      <c r="J167" s="3">
        <v>9.8800000000000008</v>
      </c>
      <c r="K167" s="3">
        <v>8.91</v>
      </c>
      <c r="L167" s="3">
        <v>8.18</v>
      </c>
      <c r="M167" s="3">
        <v>1.617</v>
      </c>
      <c r="N167" s="3">
        <v>0</v>
      </c>
      <c r="O167" s="3">
        <v>17.14</v>
      </c>
      <c r="P167" s="3">
        <v>1718</v>
      </c>
      <c r="Q167" s="3">
        <v>110.8</v>
      </c>
      <c r="R167" s="3">
        <v>400</v>
      </c>
      <c r="S167" s="3">
        <v>20.14</v>
      </c>
      <c r="T167" s="3">
        <v>21.28</v>
      </c>
      <c r="U167" s="3">
        <v>18.170000000000002</v>
      </c>
      <c r="V167" s="3">
        <v>13.02</v>
      </c>
      <c r="W167" s="3">
        <v>9.34</v>
      </c>
      <c r="X167" s="3">
        <v>8.56</v>
      </c>
      <c r="Y167" s="3">
        <v>3.9449999999999998</v>
      </c>
      <c r="Z167" s="3">
        <v>1546</v>
      </c>
      <c r="AA167" s="3">
        <v>3.4000000000000002E-2</v>
      </c>
      <c r="AB167" s="3">
        <v>357</v>
      </c>
      <c r="AC167" s="3">
        <v>42.38</v>
      </c>
      <c r="AD167" s="3">
        <v>1654</v>
      </c>
      <c r="AE167" s="3">
        <v>-0.30299999999999999</v>
      </c>
      <c r="AF167" s="3">
        <v>-0.47299999999999998</v>
      </c>
      <c r="AG167" s="3">
        <v>1.909</v>
      </c>
      <c r="AH167" s="3">
        <v>7.05</v>
      </c>
      <c r="AI167" s="3">
        <v>8.61</v>
      </c>
      <c r="AJ167" s="3">
        <v>7.91</v>
      </c>
      <c r="AK167" s="3">
        <v>0.126</v>
      </c>
      <c r="AL167" s="3">
        <v>0.29699999999999999</v>
      </c>
      <c r="AM167" s="3">
        <v>0.17599999999999999</v>
      </c>
      <c r="AN167" s="3">
        <v>2.7E-2</v>
      </c>
      <c r="AO167" s="3">
        <v>0.10100000000000001</v>
      </c>
      <c r="AP167" s="3">
        <v>0.14000000000000001</v>
      </c>
      <c r="AQ167" s="3">
        <v>5.6000000000000001E-2</v>
      </c>
      <c r="AR167" s="3">
        <v>7.6999999999999999E-2</v>
      </c>
      <c r="AS167" s="3">
        <v>3510</v>
      </c>
      <c r="AT167" s="3">
        <v>3510</v>
      </c>
      <c r="AU167" s="3">
        <v>3510</v>
      </c>
      <c r="AV167" s="3">
        <v>9.92</v>
      </c>
      <c r="AW167" s="3">
        <v>9.91</v>
      </c>
      <c r="AX167" s="3">
        <v>17.79</v>
      </c>
      <c r="AY167" s="3">
        <v>18.329999999999998</v>
      </c>
      <c r="AZ167" s="3">
        <v>-0.14499999999999999</v>
      </c>
      <c r="BA167" s="3">
        <v>-0.34899999999999998</v>
      </c>
      <c r="BB167" s="3">
        <v>12.99</v>
      </c>
      <c r="BC167" s="3">
        <v>2876</v>
      </c>
      <c r="BE167" s="6"/>
      <c r="BG167" s="16">
        <v>33.1</v>
      </c>
      <c r="BH167" s="16">
        <f t="shared" si="85"/>
        <v>66.862000000000009</v>
      </c>
      <c r="BI167" s="17">
        <f t="shared" si="80"/>
        <v>23.43</v>
      </c>
      <c r="BJ167" s="17">
        <f t="shared" si="81"/>
        <v>49.07</v>
      </c>
      <c r="BL167" s="1">
        <f t="shared" si="86"/>
        <v>99.5</v>
      </c>
      <c r="BM167" s="1">
        <f t="shared" si="87"/>
        <v>70.400000000000006</v>
      </c>
      <c r="BN167" s="1">
        <f t="shared" si="88"/>
        <v>30.3</v>
      </c>
      <c r="BO167" s="49">
        <f t="shared" si="94"/>
        <v>0.59199999999999997</v>
      </c>
      <c r="BP167" s="49">
        <f t="shared" si="95"/>
        <v>1.3620000000000001</v>
      </c>
      <c r="BR167" s="3">
        <v>0</v>
      </c>
      <c r="BT167" s="16">
        <f t="shared" si="89"/>
        <v>23.43</v>
      </c>
      <c r="BU167" s="16">
        <f t="shared" si="90"/>
        <v>49.07</v>
      </c>
      <c r="BV167" s="3">
        <f t="shared" si="91"/>
        <v>9.5</v>
      </c>
      <c r="BW167" s="3">
        <f t="shared" si="84"/>
        <v>9.6</v>
      </c>
      <c r="BX167" s="3">
        <f t="shared" si="84"/>
        <v>9.6999999999999993</v>
      </c>
      <c r="BY167" s="3">
        <f t="shared" si="84"/>
        <v>9.4</v>
      </c>
      <c r="BZ167" s="3">
        <f t="shared" si="84"/>
        <v>9.9</v>
      </c>
      <c r="CA167" s="3">
        <f t="shared" si="84"/>
        <v>8.9</v>
      </c>
      <c r="CB167" s="3">
        <f t="shared" si="84"/>
        <v>8.1999999999999993</v>
      </c>
      <c r="CC167" s="22">
        <f t="shared" si="92"/>
        <v>70.400000000000006</v>
      </c>
      <c r="CD167" s="1">
        <f t="shared" si="96"/>
        <v>17.100000000000001</v>
      </c>
      <c r="CE167" s="1">
        <f t="shared" si="97"/>
        <v>20.100000000000001</v>
      </c>
      <c r="CF167" s="1">
        <f t="shared" si="98"/>
        <v>21.3</v>
      </c>
      <c r="CG167" s="1">
        <f t="shared" si="99"/>
        <v>18.2</v>
      </c>
      <c r="CH167" s="1">
        <f t="shared" si="100"/>
        <v>13</v>
      </c>
      <c r="CI167" s="1">
        <f t="shared" si="101"/>
        <v>9.3000000000000007</v>
      </c>
      <c r="CJ167" s="1">
        <f t="shared" si="102"/>
        <v>8.6</v>
      </c>
      <c r="CK167" s="2">
        <f t="shared" si="93"/>
        <v>99.5</v>
      </c>
      <c r="CL167" s="1">
        <f t="shared" si="103"/>
        <v>0</v>
      </c>
      <c r="CM167" s="1">
        <f t="shared" si="104"/>
        <v>-0.3</v>
      </c>
      <c r="CN167" s="1">
        <f t="shared" si="105"/>
        <v>-0.5</v>
      </c>
      <c r="CO167" s="1">
        <f t="shared" si="106"/>
        <v>1.9</v>
      </c>
      <c r="CP167" s="1">
        <f t="shared" si="107"/>
        <v>7.1</v>
      </c>
      <c r="CQ167" s="1">
        <f t="shared" si="108"/>
        <v>8.6</v>
      </c>
      <c r="CR167" s="1">
        <f t="shared" si="109"/>
        <v>7.9</v>
      </c>
      <c r="CS167" s="2">
        <f t="shared" si="110"/>
        <v>30.3</v>
      </c>
      <c r="CT167" s="6">
        <f t="shared" si="111"/>
        <v>0</v>
      </c>
      <c r="CU167" s="1">
        <f>PPTest!K167</f>
        <v>0</v>
      </c>
      <c r="CV167" s="3">
        <f t="shared" si="112"/>
        <v>1.62</v>
      </c>
      <c r="CW167" s="3">
        <f t="shared" si="113"/>
        <v>3.95</v>
      </c>
      <c r="CX167" s="24">
        <f t="shared" si="114"/>
        <v>0.59199999999999997</v>
      </c>
      <c r="CY167" s="24">
        <f t="shared" si="114"/>
        <v>1.3620000000000001</v>
      </c>
      <c r="CZ167" s="16">
        <f t="shared" si="115"/>
        <v>12.99</v>
      </c>
    </row>
    <row r="168" spans="1:104" x14ac:dyDescent="0.2">
      <c r="A168" s="14">
        <f t="shared" si="116"/>
        <v>38879</v>
      </c>
      <c r="B168" s="1">
        <v>162</v>
      </c>
      <c r="C168" s="3">
        <v>14.37</v>
      </c>
      <c r="D168" s="3">
        <v>27.11</v>
      </c>
      <c r="E168" s="3">
        <v>8.57</v>
      </c>
      <c r="F168" s="3">
        <v>94.3</v>
      </c>
      <c r="G168" s="3">
        <v>8.5399999999999991</v>
      </c>
      <c r="H168" s="3">
        <v>8.56</v>
      </c>
      <c r="I168" s="3">
        <v>8.64</v>
      </c>
      <c r="J168" s="3">
        <v>9.77</v>
      </c>
      <c r="K168" s="3">
        <v>9.16</v>
      </c>
      <c r="L168" s="3">
        <v>8.31</v>
      </c>
      <c r="M168" s="3">
        <v>1.63</v>
      </c>
      <c r="N168" s="3">
        <v>1</v>
      </c>
      <c r="O168" s="3">
        <v>11.97</v>
      </c>
      <c r="P168" s="3">
        <v>1417</v>
      </c>
      <c r="Q168" s="3">
        <v>110.3</v>
      </c>
      <c r="R168" s="3">
        <v>404</v>
      </c>
      <c r="S168" s="3">
        <v>13.55</v>
      </c>
      <c r="T168" s="3">
        <v>14.23</v>
      </c>
      <c r="U168" s="3">
        <v>14.43</v>
      </c>
      <c r="V168" s="3">
        <v>11.03</v>
      </c>
      <c r="W168" s="3">
        <v>9.4700000000000006</v>
      </c>
      <c r="X168" s="3">
        <v>8.57</v>
      </c>
      <c r="Y168" s="3">
        <v>4.5030000000000001</v>
      </c>
      <c r="Z168" s="3">
        <v>1150</v>
      </c>
      <c r="AA168" s="3">
        <v>4.4210000000000003</v>
      </c>
      <c r="AB168" s="3">
        <v>509</v>
      </c>
      <c r="AC168" s="3">
        <v>61.86</v>
      </c>
      <c r="AD168" s="3">
        <v>1040</v>
      </c>
      <c r="AE168" s="3">
        <v>3.569</v>
      </c>
      <c r="AF168" s="3">
        <v>3.3319999999999999</v>
      </c>
      <c r="AG168" s="3">
        <v>4.3</v>
      </c>
      <c r="AH168" s="3">
        <v>8.52</v>
      </c>
      <c r="AI168" s="3">
        <v>8.81</v>
      </c>
      <c r="AJ168" s="3">
        <v>8.08</v>
      </c>
      <c r="AK168" s="3">
        <v>0.247</v>
      </c>
      <c r="AL168" s="3">
        <v>0.39500000000000002</v>
      </c>
      <c r="AM168" s="3">
        <v>0.17399999999999999</v>
      </c>
      <c r="AN168" s="3">
        <v>3.2000000000000001E-2</v>
      </c>
      <c r="AO168" s="3">
        <v>3.2000000000000001E-2</v>
      </c>
      <c r="AP168" s="3">
        <v>4.5999999999999999E-2</v>
      </c>
      <c r="AQ168" s="3">
        <v>2.1999999999999999E-2</v>
      </c>
      <c r="AR168" s="3">
        <v>5.0999999999999997E-2</v>
      </c>
      <c r="AS168" s="3">
        <v>3511</v>
      </c>
      <c r="AT168" s="3">
        <v>3509</v>
      </c>
      <c r="AU168" s="3">
        <v>3510</v>
      </c>
      <c r="AV168" s="3">
        <v>8.81</v>
      </c>
      <c r="AW168" s="3">
        <v>8.73</v>
      </c>
      <c r="AX168" s="3">
        <v>13.12</v>
      </c>
      <c r="AY168" s="3">
        <v>13.35</v>
      </c>
      <c r="AZ168" s="3">
        <v>4.1909999999999998</v>
      </c>
      <c r="BA168" s="3">
        <v>3.8239999999999998</v>
      </c>
      <c r="BB168" s="3">
        <v>13.03</v>
      </c>
      <c r="BC168" s="3">
        <v>2876</v>
      </c>
      <c r="BE168" s="6"/>
      <c r="BG168" s="16">
        <v>33.130000000000003</v>
      </c>
      <c r="BH168" s="16">
        <f t="shared" si="85"/>
        <v>66.922600000000003</v>
      </c>
      <c r="BI168" s="17">
        <f t="shared" si="80"/>
        <v>14.08</v>
      </c>
      <c r="BJ168" s="17">
        <f t="shared" si="81"/>
        <v>29.82</v>
      </c>
      <c r="BL168" s="1">
        <f t="shared" si="86"/>
        <v>98.7</v>
      </c>
      <c r="BM168" s="1">
        <f t="shared" si="87"/>
        <v>76</v>
      </c>
      <c r="BN168" s="1">
        <f t="shared" si="88"/>
        <v>47.4</v>
      </c>
      <c r="BO168" s="49">
        <f t="shared" si="94"/>
        <v>0.66300000000000003</v>
      </c>
      <c r="BP168" s="49">
        <f t="shared" si="95"/>
        <v>0.73599999999999999</v>
      </c>
      <c r="BR168" s="3">
        <v>0.2</v>
      </c>
      <c r="BT168" s="16">
        <f t="shared" si="89"/>
        <v>14.08</v>
      </c>
      <c r="BU168" s="16">
        <f t="shared" si="90"/>
        <v>29.82</v>
      </c>
      <c r="BV168" s="3">
        <f t="shared" si="91"/>
        <v>8.6</v>
      </c>
      <c r="BW168" s="3">
        <f t="shared" si="84"/>
        <v>8.5</v>
      </c>
      <c r="BX168" s="3">
        <f t="shared" si="84"/>
        <v>8.6</v>
      </c>
      <c r="BY168" s="3">
        <f t="shared" si="84"/>
        <v>8.6</v>
      </c>
      <c r="BZ168" s="3">
        <f t="shared" si="84"/>
        <v>9.8000000000000007</v>
      </c>
      <c r="CA168" s="3">
        <f t="shared" si="84"/>
        <v>9.1999999999999993</v>
      </c>
      <c r="CB168" s="3">
        <f t="shared" si="84"/>
        <v>8.3000000000000007</v>
      </c>
      <c r="CC168" s="22">
        <f t="shared" si="92"/>
        <v>76</v>
      </c>
      <c r="CD168" s="1">
        <f t="shared" si="96"/>
        <v>12</v>
      </c>
      <c r="CE168" s="1">
        <f t="shared" si="97"/>
        <v>13.6</v>
      </c>
      <c r="CF168" s="1">
        <f t="shared" si="98"/>
        <v>14.2</v>
      </c>
      <c r="CG168" s="1">
        <f t="shared" si="99"/>
        <v>14.4</v>
      </c>
      <c r="CH168" s="1">
        <f t="shared" si="100"/>
        <v>11</v>
      </c>
      <c r="CI168" s="1">
        <f t="shared" si="101"/>
        <v>9.5</v>
      </c>
      <c r="CJ168" s="1">
        <f t="shared" si="102"/>
        <v>8.6</v>
      </c>
      <c r="CK168" s="2">
        <f t="shared" si="93"/>
        <v>98.7</v>
      </c>
      <c r="CL168" s="1">
        <f t="shared" si="103"/>
        <v>4.4000000000000004</v>
      </c>
      <c r="CM168" s="1">
        <f t="shared" si="104"/>
        <v>3.6</v>
      </c>
      <c r="CN168" s="1">
        <f t="shared" si="105"/>
        <v>3.3</v>
      </c>
      <c r="CO168" s="1">
        <f t="shared" si="106"/>
        <v>4.3</v>
      </c>
      <c r="CP168" s="1">
        <f t="shared" si="107"/>
        <v>8.5</v>
      </c>
      <c r="CQ168" s="1">
        <f t="shared" si="108"/>
        <v>8.8000000000000007</v>
      </c>
      <c r="CR168" s="1">
        <f t="shared" si="109"/>
        <v>8.1</v>
      </c>
      <c r="CS168" s="2">
        <f t="shared" si="110"/>
        <v>47.4</v>
      </c>
      <c r="CT168" s="6">
        <f t="shared" si="111"/>
        <v>0</v>
      </c>
      <c r="CU168" s="1">
        <f>PPTest!K168</f>
        <v>1</v>
      </c>
      <c r="CV168" s="3">
        <f t="shared" si="112"/>
        <v>1.63</v>
      </c>
      <c r="CW168" s="3">
        <f t="shared" si="113"/>
        <v>4.5</v>
      </c>
      <c r="CX168" s="24">
        <f t="shared" si="114"/>
        <v>0.66300000000000003</v>
      </c>
      <c r="CY168" s="24">
        <f t="shared" si="114"/>
        <v>0.73599999999999999</v>
      </c>
      <c r="CZ168" s="16">
        <f t="shared" si="115"/>
        <v>13.03</v>
      </c>
    </row>
    <row r="169" spans="1:104" x14ac:dyDescent="0.2">
      <c r="A169" s="14">
        <f t="shared" si="116"/>
        <v>38880</v>
      </c>
      <c r="B169" s="1">
        <v>163</v>
      </c>
      <c r="C169" s="3">
        <v>23.29</v>
      </c>
      <c r="D169" s="3">
        <v>43.2</v>
      </c>
      <c r="E169" s="3">
        <v>12.36</v>
      </c>
      <c r="F169" s="3">
        <v>77.7</v>
      </c>
      <c r="G169" s="3">
        <v>12.47</v>
      </c>
      <c r="H169" s="3">
        <v>12.52</v>
      </c>
      <c r="I169" s="3">
        <v>11.35</v>
      </c>
      <c r="J169" s="3">
        <v>10.8</v>
      </c>
      <c r="K169" s="3">
        <v>9.11</v>
      </c>
      <c r="L169" s="3">
        <v>8.39</v>
      </c>
      <c r="M169" s="3">
        <v>1.7789999999999999</v>
      </c>
      <c r="N169" s="3">
        <v>0</v>
      </c>
      <c r="O169" s="3">
        <v>18.32</v>
      </c>
      <c r="P169" s="3">
        <v>1441</v>
      </c>
      <c r="Q169" s="3">
        <v>109.2</v>
      </c>
      <c r="R169" s="3">
        <v>337</v>
      </c>
      <c r="S169" s="3">
        <v>22.29</v>
      </c>
      <c r="T169" s="3">
        <v>23.24</v>
      </c>
      <c r="U169" s="3">
        <v>19.739999999999998</v>
      </c>
      <c r="V169" s="3">
        <v>13.57</v>
      </c>
      <c r="W169" s="3">
        <v>9.52</v>
      </c>
      <c r="X169" s="3">
        <v>8.7200000000000006</v>
      </c>
      <c r="Y169" s="3">
        <v>4.3040000000000003</v>
      </c>
      <c r="Z169" s="3">
        <v>1304</v>
      </c>
      <c r="AA169" s="3">
        <v>4.085</v>
      </c>
      <c r="AB169" s="3">
        <v>413</v>
      </c>
      <c r="AC169" s="3">
        <v>48.45</v>
      </c>
      <c r="AD169" s="3">
        <v>1441</v>
      </c>
      <c r="AE169" s="3">
        <v>3.4849999999999999</v>
      </c>
      <c r="AF169" s="3">
        <v>3.286</v>
      </c>
      <c r="AG169" s="3">
        <v>4.234</v>
      </c>
      <c r="AH169" s="3">
        <v>8.24</v>
      </c>
      <c r="AI169" s="3">
        <v>8.7799999999999994</v>
      </c>
      <c r="AJ169" s="3">
        <v>8.23</v>
      </c>
      <c r="AK169" s="3">
        <v>0.16600000000000001</v>
      </c>
      <c r="AL169" s="3">
        <v>0.38800000000000001</v>
      </c>
      <c r="AM169" s="3">
        <v>0.25</v>
      </c>
      <c r="AN169" s="3">
        <v>7.3999999999999996E-2</v>
      </c>
      <c r="AO169" s="3">
        <v>4.3999999999999997E-2</v>
      </c>
      <c r="AP169" s="3">
        <v>2.5000000000000001E-2</v>
      </c>
      <c r="AQ169" s="3">
        <v>6.0000000000000001E-3</v>
      </c>
      <c r="AR169" s="3">
        <v>4.5999999999999999E-2</v>
      </c>
      <c r="AS169" s="3">
        <v>3516</v>
      </c>
      <c r="AT169" s="3">
        <v>3512</v>
      </c>
      <c r="AU169" s="3">
        <v>3515</v>
      </c>
      <c r="AV169" s="3">
        <v>12.68</v>
      </c>
      <c r="AW169" s="3">
        <v>12.72</v>
      </c>
      <c r="AX169" s="3">
        <v>20.190000000000001</v>
      </c>
      <c r="AY169" s="3">
        <v>20.61</v>
      </c>
      <c r="AZ169" s="3">
        <v>3.8580000000000001</v>
      </c>
      <c r="BA169" s="3">
        <v>3.5840000000000001</v>
      </c>
      <c r="BB169" s="3">
        <v>12.94</v>
      </c>
      <c r="BC169" s="3">
        <v>2876</v>
      </c>
      <c r="BE169" s="6"/>
      <c r="BG169" s="16">
        <v>33.159999999999997</v>
      </c>
      <c r="BH169" s="16">
        <f t="shared" si="85"/>
        <v>66.983199999999997</v>
      </c>
      <c r="BI169" s="17">
        <f t="shared" si="80"/>
        <v>22.82</v>
      </c>
      <c r="BJ169" s="17">
        <f t="shared" si="81"/>
        <v>47.52</v>
      </c>
      <c r="BL169" s="1">
        <f t="shared" si="86"/>
        <v>96.9</v>
      </c>
      <c r="BM169" s="1">
        <f t="shared" si="87"/>
        <v>61.4</v>
      </c>
      <c r="BN169" s="1">
        <f t="shared" si="88"/>
        <v>35.6</v>
      </c>
      <c r="BO169" s="49">
        <f t="shared" si="94"/>
        <v>0.749</v>
      </c>
      <c r="BP169" s="49">
        <f t="shared" si="95"/>
        <v>1.355</v>
      </c>
      <c r="BR169" s="3">
        <v>0</v>
      </c>
      <c r="BT169" s="16">
        <f t="shared" si="89"/>
        <v>22.82</v>
      </c>
      <c r="BU169" s="16">
        <f t="shared" si="90"/>
        <v>47.52</v>
      </c>
      <c r="BV169" s="3">
        <f t="shared" si="91"/>
        <v>12.4</v>
      </c>
      <c r="BW169" s="3">
        <f t="shared" si="84"/>
        <v>12.5</v>
      </c>
      <c r="BX169" s="3">
        <f t="shared" si="84"/>
        <v>12.5</v>
      </c>
      <c r="BY169" s="3">
        <f t="shared" si="84"/>
        <v>11.4</v>
      </c>
      <c r="BZ169" s="3">
        <f t="shared" si="84"/>
        <v>10.8</v>
      </c>
      <c r="CA169" s="3">
        <f t="shared" si="84"/>
        <v>9.1</v>
      </c>
      <c r="CB169" s="3">
        <f t="shared" si="84"/>
        <v>8.4</v>
      </c>
      <c r="CC169" s="22">
        <f t="shared" si="92"/>
        <v>61.4</v>
      </c>
      <c r="CD169" s="1">
        <f t="shared" si="96"/>
        <v>18.3</v>
      </c>
      <c r="CE169" s="1">
        <f t="shared" si="97"/>
        <v>22.3</v>
      </c>
      <c r="CF169" s="1">
        <f t="shared" si="98"/>
        <v>23.2</v>
      </c>
      <c r="CG169" s="1">
        <f t="shared" si="99"/>
        <v>19.7</v>
      </c>
      <c r="CH169" s="1">
        <f t="shared" si="100"/>
        <v>13.6</v>
      </c>
      <c r="CI169" s="1">
        <f t="shared" si="101"/>
        <v>9.5</v>
      </c>
      <c r="CJ169" s="1">
        <f t="shared" si="102"/>
        <v>8.6999999999999993</v>
      </c>
      <c r="CK169" s="2">
        <f t="shared" si="93"/>
        <v>96.9</v>
      </c>
      <c r="CL169" s="1">
        <f t="shared" si="103"/>
        <v>4.0999999999999996</v>
      </c>
      <c r="CM169" s="1">
        <f t="shared" si="104"/>
        <v>3.5</v>
      </c>
      <c r="CN169" s="1">
        <f t="shared" si="105"/>
        <v>3.3</v>
      </c>
      <c r="CO169" s="1">
        <f t="shared" si="106"/>
        <v>4.2</v>
      </c>
      <c r="CP169" s="1">
        <f t="shared" si="107"/>
        <v>8.1999999999999993</v>
      </c>
      <c r="CQ169" s="1">
        <f t="shared" si="108"/>
        <v>8.8000000000000007</v>
      </c>
      <c r="CR169" s="1">
        <f t="shared" si="109"/>
        <v>8.1999999999999993</v>
      </c>
      <c r="CS169" s="2">
        <f t="shared" si="110"/>
        <v>35.6</v>
      </c>
      <c r="CT169" s="6">
        <f t="shared" si="111"/>
        <v>0</v>
      </c>
      <c r="CU169" s="1">
        <f>PPTest!K169</f>
        <v>0</v>
      </c>
      <c r="CV169" s="3">
        <f t="shared" si="112"/>
        <v>1.78</v>
      </c>
      <c r="CW169" s="3">
        <f t="shared" si="113"/>
        <v>4.3</v>
      </c>
      <c r="CX169" s="24">
        <f t="shared" si="114"/>
        <v>0.749</v>
      </c>
      <c r="CY169" s="24">
        <f t="shared" si="114"/>
        <v>1.355</v>
      </c>
      <c r="CZ169" s="16">
        <f t="shared" si="115"/>
        <v>12.94</v>
      </c>
    </row>
    <row r="170" spans="1:104" x14ac:dyDescent="0.2">
      <c r="A170" s="14">
        <f t="shared" si="116"/>
        <v>38881</v>
      </c>
      <c r="B170" s="1">
        <v>164</v>
      </c>
      <c r="C170" s="3">
        <v>18.12</v>
      </c>
      <c r="D170" s="3">
        <v>34.31</v>
      </c>
      <c r="E170" s="3">
        <v>12.55</v>
      </c>
      <c r="F170" s="3">
        <v>91.2</v>
      </c>
      <c r="G170" s="3">
        <v>12.56</v>
      </c>
      <c r="H170" s="3">
        <v>12.56</v>
      </c>
      <c r="I170" s="3">
        <v>12.34</v>
      </c>
      <c r="J170" s="3">
        <v>11.18</v>
      </c>
      <c r="K170" s="3">
        <v>9.5299999999999994</v>
      </c>
      <c r="L170" s="3">
        <v>8.43</v>
      </c>
      <c r="M170" s="3">
        <v>1.2629999999999999</v>
      </c>
      <c r="N170" s="3">
        <v>4</v>
      </c>
      <c r="O170" s="3">
        <v>18.309999999999999</v>
      </c>
      <c r="P170" s="3">
        <v>1051</v>
      </c>
      <c r="Q170" s="3">
        <v>110.2</v>
      </c>
      <c r="R170" s="3">
        <v>2203</v>
      </c>
      <c r="S170" s="3">
        <v>21.33</v>
      </c>
      <c r="T170" s="3">
        <v>22.23</v>
      </c>
      <c r="U170" s="3">
        <v>24.85</v>
      </c>
      <c r="V170" s="3">
        <v>12.54</v>
      </c>
      <c r="W170" s="3">
        <v>9.9700000000000006</v>
      </c>
      <c r="X170" s="3">
        <v>8.8800000000000008</v>
      </c>
      <c r="Y170" s="3">
        <v>4.7560000000000002</v>
      </c>
      <c r="Z170" s="3">
        <v>931</v>
      </c>
      <c r="AA170" s="3">
        <v>6.032</v>
      </c>
      <c r="AB170" s="3">
        <v>422</v>
      </c>
      <c r="AC170" s="3">
        <v>54.82</v>
      </c>
      <c r="AD170" s="3">
        <v>834</v>
      </c>
      <c r="AE170" s="3">
        <v>4.8680000000000003</v>
      </c>
      <c r="AF170" s="3">
        <v>4.8109999999999999</v>
      </c>
      <c r="AG170" s="3">
        <v>5.7089999999999996</v>
      </c>
      <c r="AH170" s="3">
        <v>9.65</v>
      </c>
      <c r="AI170" s="3">
        <v>8.89</v>
      </c>
      <c r="AJ170" s="3">
        <v>7.86</v>
      </c>
      <c r="AK170" s="3">
        <v>0.21</v>
      </c>
      <c r="AL170" s="3">
        <v>0.29699999999999999</v>
      </c>
      <c r="AM170" s="3">
        <v>0.183</v>
      </c>
      <c r="AN170" s="3">
        <v>4.8000000000000001E-2</v>
      </c>
      <c r="AO170" s="3">
        <v>5.3999999999999999E-2</v>
      </c>
      <c r="AP170" s="3">
        <v>7.5999999999999998E-2</v>
      </c>
      <c r="AQ170" s="3">
        <v>5.6000000000000001E-2</v>
      </c>
      <c r="AR170" s="3">
        <v>7.5999999999999998E-2</v>
      </c>
      <c r="AS170" s="3">
        <v>3511</v>
      </c>
      <c r="AT170" s="3">
        <v>3511</v>
      </c>
      <c r="AU170" s="3">
        <v>3511</v>
      </c>
      <c r="AV170" s="3">
        <v>13.2</v>
      </c>
      <c r="AW170" s="3">
        <v>13.07</v>
      </c>
      <c r="AX170" s="3">
        <v>20.34</v>
      </c>
      <c r="AY170" s="3">
        <v>20.67</v>
      </c>
      <c r="AZ170" s="3">
        <v>5.8259999999999996</v>
      </c>
      <c r="BA170" s="3">
        <v>5.4269999999999996</v>
      </c>
      <c r="BB170" s="3">
        <v>12.9</v>
      </c>
      <c r="BC170" s="3">
        <v>2876</v>
      </c>
      <c r="BE170" s="6"/>
      <c r="BG170" s="16">
        <v>33.19</v>
      </c>
      <c r="BH170" s="16">
        <f t="shared" si="85"/>
        <v>67.04379999999999</v>
      </c>
      <c r="BI170" s="17">
        <f t="shared" si="80"/>
        <v>17.760000000000002</v>
      </c>
      <c r="BJ170" s="17">
        <f t="shared" si="81"/>
        <v>37.74</v>
      </c>
      <c r="BL170" s="1">
        <f t="shared" si="86"/>
        <v>98.5</v>
      </c>
      <c r="BM170" s="1">
        <f t="shared" si="87"/>
        <v>73.3</v>
      </c>
      <c r="BN170" s="1">
        <f t="shared" si="88"/>
        <v>41.2</v>
      </c>
      <c r="BO170" s="49">
        <f t="shared" si="94"/>
        <v>0.86699999999999999</v>
      </c>
      <c r="BP170" s="49">
        <f t="shared" si="95"/>
        <v>1.2370000000000001</v>
      </c>
      <c r="BR170" s="3">
        <v>1.2</v>
      </c>
      <c r="BT170" s="16">
        <f t="shared" si="89"/>
        <v>17.760000000000002</v>
      </c>
      <c r="BU170" s="16">
        <f t="shared" si="90"/>
        <v>37.74</v>
      </c>
      <c r="BV170" s="3">
        <f t="shared" si="91"/>
        <v>12.6</v>
      </c>
      <c r="BW170" s="3">
        <f t="shared" si="84"/>
        <v>12.6</v>
      </c>
      <c r="BX170" s="3">
        <f t="shared" si="84"/>
        <v>12.6</v>
      </c>
      <c r="BY170" s="3">
        <f t="shared" si="84"/>
        <v>12.3</v>
      </c>
      <c r="BZ170" s="3">
        <f t="shared" si="84"/>
        <v>11.2</v>
      </c>
      <c r="CA170" s="3">
        <f t="shared" si="84"/>
        <v>9.5</v>
      </c>
      <c r="CB170" s="3">
        <f t="shared" si="84"/>
        <v>8.4</v>
      </c>
      <c r="CC170" s="22">
        <f t="shared" si="92"/>
        <v>73.3</v>
      </c>
      <c r="CD170" s="1">
        <f t="shared" si="96"/>
        <v>18.3</v>
      </c>
      <c r="CE170" s="1">
        <f t="shared" si="97"/>
        <v>21.3</v>
      </c>
      <c r="CF170" s="1">
        <f t="shared" si="98"/>
        <v>22.2</v>
      </c>
      <c r="CG170" s="1">
        <f t="shared" si="99"/>
        <v>24.9</v>
      </c>
      <c r="CH170" s="1">
        <f t="shared" si="100"/>
        <v>12.5</v>
      </c>
      <c r="CI170" s="1">
        <f t="shared" si="101"/>
        <v>10</v>
      </c>
      <c r="CJ170" s="1">
        <f t="shared" si="102"/>
        <v>8.9</v>
      </c>
      <c r="CK170" s="2">
        <f t="shared" si="93"/>
        <v>98.5</v>
      </c>
      <c r="CL170" s="1">
        <f t="shared" si="103"/>
        <v>6</v>
      </c>
      <c r="CM170" s="1">
        <f t="shared" si="104"/>
        <v>4.9000000000000004</v>
      </c>
      <c r="CN170" s="1">
        <f t="shared" si="105"/>
        <v>4.8</v>
      </c>
      <c r="CO170" s="1">
        <f t="shared" si="106"/>
        <v>5.7</v>
      </c>
      <c r="CP170" s="1">
        <f t="shared" si="107"/>
        <v>9.6999999999999993</v>
      </c>
      <c r="CQ170" s="1">
        <f t="shared" si="108"/>
        <v>8.9</v>
      </c>
      <c r="CR170" s="1">
        <f t="shared" si="109"/>
        <v>7.9</v>
      </c>
      <c r="CS170" s="2">
        <f t="shared" si="110"/>
        <v>41.2</v>
      </c>
      <c r="CT170" s="6">
        <f t="shared" si="111"/>
        <v>0</v>
      </c>
      <c r="CU170" s="1">
        <f>PPTest!K170</f>
        <v>4</v>
      </c>
      <c r="CV170" s="3">
        <f t="shared" si="112"/>
        <v>1.26</v>
      </c>
      <c r="CW170" s="3">
        <f t="shared" si="113"/>
        <v>4.76</v>
      </c>
      <c r="CX170" s="24">
        <f t="shared" si="114"/>
        <v>0.86699999999999999</v>
      </c>
      <c r="CY170" s="24">
        <f t="shared" si="114"/>
        <v>1.2370000000000001</v>
      </c>
      <c r="CZ170" s="16">
        <f t="shared" si="115"/>
        <v>12.9</v>
      </c>
    </row>
    <row r="171" spans="1:104" x14ac:dyDescent="0.2">
      <c r="A171" s="14">
        <f t="shared" si="116"/>
        <v>38882</v>
      </c>
      <c r="B171" s="1">
        <v>165</v>
      </c>
      <c r="C171" s="3">
        <v>4.4470000000000001</v>
      </c>
      <c r="D171" s="3">
        <v>12.01</v>
      </c>
      <c r="E171" s="3">
        <v>8.5299999999999994</v>
      </c>
      <c r="F171" s="3">
        <v>110.2</v>
      </c>
      <c r="G171" s="3">
        <v>8.59</v>
      </c>
      <c r="H171" s="3">
        <v>8.6</v>
      </c>
      <c r="I171" s="3">
        <v>9.9499999999999993</v>
      </c>
      <c r="J171" s="3">
        <v>9.9</v>
      </c>
      <c r="K171" s="3">
        <v>9.56</v>
      </c>
      <c r="L171" s="3">
        <v>8.48</v>
      </c>
      <c r="M171" s="3">
        <v>1.4910000000000001</v>
      </c>
      <c r="N171" s="3">
        <v>52</v>
      </c>
      <c r="O171" s="3">
        <v>9.2100000000000009</v>
      </c>
      <c r="P171" s="3">
        <v>418</v>
      </c>
      <c r="Q171" s="3">
        <v>110.3</v>
      </c>
      <c r="R171" s="3">
        <v>2159</v>
      </c>
      <c r="S171" s="3">
        <v>10.17</v>
      </c>
      <c r="T171" s="3">
        <v>10.18</v>
      </c>
      <c r="U171" s="3">
        <v>11.74</v>
      </c>
      <c r="V171" s="3">
        <v>10.58</v>
      </c>
      <c r="W171" s="3">
        <v>9.7100000000000009</v>
      </c>
      <c r="X171" s="3">
        <v>8.68</v>
      </c>
      <c r="Y171" s="3">
        <v>3.5329999999999999</v>
      </c>
      <c r="Z171" s="3">
        <v>2257</v>
      </c>
      <c r="AA171" s="3">
        <v>6.99</v>
      </c>
      <c r="AB171" s="3">
        <v>0</v>
      </c>
      <c r="AC171" s="3">
        <v>109.5</v>
      </c>
      <c r="AD171" s="3">
        <v>2</v>
      </c>
      <c r="AE171" s="3">
        <v>6.9080000000000004</v>
      </c>
      <c r="AF171" s="3">
        <v>6.8639999999999999</v>
      </c>
      <c r="AG171" s="3">
        <v>9.01</v>
      </c>
      <c r="AH171" s="3">
        <v>8.83</v>
      </c>
      <c r="AI171" s="3">
        <v>9.3800000000000008</v>
      </c>
      <c r="AJ171" s="3">
        <v>8.41</v>
      </c>
      <c r="AK171" s="3">
        <v>3.6999999999999998E-2</v>
      </c>
      <c r="AL171" s="3">
        <v>6.3E-2</v>
      </c>
      <c r="AM171" s="3">
        <v>3.6999999999999998E-2</v>
      </c>
      <c r="AN171" s="3">
        <v>1.4999999999999999E-2</v>
      </c>
      <c r="AO171" s="3">
        <v>0.19600000000000001</v>
      </c>
      <c r="AP171" s="3">
        <v>0.47199999999999998</v>
      </c>
      <c r="AQ171" s="3">
        <v>0.159</v>
      </c>
      <c r="AR171" s="3">
        <v>2.1999999999999999E-2</v>
      </c>
      <c r="AS171" s="3">
        <v>6999</v>
      </c>
      <c r="AT171" s="3">
        <v>6999</v>
      </c>
      <c r="AU171" s="3">
        <v>6999</v>
      </c>
      <c r="AV171" s="3">
        <v>9.1999999999999993</v>
      </c>
      <c r="AW171" s="3">
        <v>9.0500000000000007</v>
      </c>
      <c r="AX171" s="3">
        <v>10.63</v>
      </c>
      <c r="AY171" s="3">
        <v>10.79</v>
      </c>
      <c r="AZ171" s="3">
        <v>7.6</v>
      </c>
      <c r="BA171" s="3">
        <v>7.37</v>
      </c>
      <c r="BB171" s="3">
        <v>12.88</v>
      </c>
      <c r="BC171" s="3">
        <v>2876</v>
      </c>
      <c r="BE171" s="6"/>
      <c r="BG171" s="16">
        <v>33.21</v>
      </c>
      <c r="BH171" s="16">
        <f t="shared" si="85"/>
        <v>67.084199999999996</v>
      </c>
      <c r="BI171" s="17">
        <f t="shared" si="80"/>
        <v>4.3600000000000003</v>
      </c>
      <c r="BJ171" s="17">
        <f t="shared" si="81"/>
        <v>13.21</v>
      </c>
      <c r="BL171" s="1">
        <f t="shared" si="86"/>
        <v>98.7</v>
      </c>
      <c r="BM171" s="1">
        <f t="shared" si="87"/>
        <v>98.5</v>
      </c>
      <c r="BN171" s="1">
        <f t="shared" si="88"/>
        <v>97.4</v>
      </c>
      <c r="BO171" s="49">
        <f t="shared" si="94"/>
        <v>1.1339999999999999</v>
      </c>
      <c r="BP171" s="49">
        <f t="shared" si="95"/>
        <v>0.03</v>
      </c>
      <c r="BR171" s="3">
        <v>36.799999999999997</v>
      </c>
      <c r="BT171" s="16">
        <f t="shared" si="89"/>
        <v>4.3600000000000003</v>
      </c>
      <c r="BU171" s="16">
        <f t="shared" si="90"/>
        <v>13.21</v>
      </c>
      <c r="BV171" s="3">
        <f t="shared" si="91"/>
        <v>8.5</v>
      </c>
      <c r="BW171" s="3">
        <f t="shared" si="84"/>
        <v>8.6</v>
      </c>
      <c r="BX171" s="3">
        <f t="shared" si="84"/>
        <v>8.6</v>
      </c>
      <c r="BY171" s="3">
        <f t="shared" si="84"/>
        <v>10</v>
      </c>
      <c r="BZ171" s="3">
        <f t="shared" si="84"/>
        <v>9.9</v>
      </c>
      <c r="CA171" s="3">
        <f t="shared" si="84"/>
        <v>9.6</v>
      </c>
      <c r="CB171" s="3">
        <f t="shared" si="84"/>
        <v>8.5</v>
      </c>
      <c r="CC171" s="22">
        <f t="shared" si="92"/>
        <v>98.5</v>
      </c>
      <c r="CD171" s="1">
        <f t="shared" si="96"/>
        <v>9.1999999999999993</v>
      </c>
      <c r="CE171" s="1">
        <f t="shared" si="97"/>
        <v>10.199999999999999</v>
      </c>
      <c r="CF171" s="1">
        <f t="shared" si="98"/>
        <v>10.199999999999999</v>
      </c>
      <c r="CG171" s="1">
        <f t="shared" si="99"/>
        <v>11.7</v>
      </c>
      <c r="CH171" s="1">
        <f t="shared" si="100"/>
        <v>10.6</v>
      </c>
      <c r="CI171" s="1">
        <f t="shared" si="101"/>
        <v>9.6999999999999993</v>
      </c>
      <c r="CJ171" s="1">
        <f t="shared" si="102"/>
        <v>8.6999999999999993</v>
      </c>
      <c r="CK171" s="2">
        <f t="shared" si="93"/>
        <v>98.7</v>
      </c>
      <c r="CL171" s="1">
        <f t="shared" si="103"/>
        <v>7</v>
      </c>
      <c r="CM171" s="1">
        <f t="shared" si="104"/>
        <v>6.9</v>
      </c>
      <c r="CN171" s="1">
        <f t="shared" si="105"/>
        <v>6.9</v>
      </c>
      <c r="CO171" s="1">
        <f t="shared" si="106"/>
        <v>9</v>
      </c>
      <c r="CP171" s="1">
        <f t="shared" si="107"/>
        <v>8.8000000000000007</v>
      </c>
      <c r="CQ171" s="1">
        <f t="shared" si="108"/>
        <v>9.4</v>
      </c>
      <c r="CR171" s="1">
        <f t="shared" si="109"/>
        <v>8.4</v>
      </c>
      <c r="CS171" s="2">
        <f t="shared" si="110"/>
        <v>97.4</v>
      </c>
      <c r="CT171" s="6">
        <f t="shared" si="111"/>
        <v>0</v>
      </c>
      <c r="CU171" s="1">
        <f>PPTest!K171</f>
        <v>52</v>
      </c>
      <c r="CV171" s="3">
        <f t="shared" si="112"/>
        <v>1.49</v>
      </c>
      <c r="CW171" s="3">
        <f t="shared" si="113"/>
        <v>3.53</v>
      </c>
      <c r="CX171" s="24">
        <f t="shared" si="114"/>
        <v>1.1339999999999999</v>
      </c>
      <c r="CY171" s="24">
        <f t="shared" si="114"/>
        <v>0.03</v>
      </c>
      <c r="CZ171" s="16">
        <f t="shared" si="115"/>
        <v>12.88</v>
      </c>
    </row>
    <row r="172" spans="1:104" x14ac:dyDescent="0.2">
      <c r="A172" s="14">
        <f t="shared" si="116"/>
        <v>38883</v>
      </c>
      <c r="B172" s="1">
        <v>166</v>
      </c>
      <c r="C172" s="3">
        <v>2.7050000000000001</v>
      </c>
      <c r="D172" s="3">
        <v>7.13</v>
      </c>
      <c r="E172" s="3">
        <v>7.17</v>
      </c>
      <c r="F172" s="3">
        <v>110.2</v>
      </c>
      <c r="G172" s="3">
        <v>7.12</v>
      </c>
      <c r="H172" s="3">
        <v>7.01</v>
      </c>
      <c r="I172" s="3">
        <v>8.67</v>
      </c>
      <c r="J172" s="3">
        <v>8.42</v>
      </c>
      <c r="K172" s="3">
        <v>8.91</v>
      </c>
      <c r="L172" s="3">
        <v>8.5299999999999994</v>
      </c>
      <c r="M172" s="3">
        <v>1.466</v>
      </c>
      <c r="N172" s="3">
        <v>11</v>
      </c>
      <c r="O172" s="3">
        <v>9.76</v>
      </c>
      <c r="P172" s="3">
        <v>1737</v>
      </c>
      <c r="Q172" s="3">
        <v>110.6</v>
      </c>
      <c r="R172" s="3">
        <v>2358</v>
      </c>
      <c r="S172" s="3">
        <v>10.48</v>
      </c>
      <c r="T172" s="3">
        <v>10.02</v>
      </c>
      <c r="U172" s="3">
        <v>9.86</v>
      </c>
      <c r="V172" s="3">
        <v>9.01</v>
      </c>
      <c r="W172" s="3">
        <v>9.43</v>
      </c>
      <c r="X172" s="3">
        <v>8.69</v>
      </c>
      <c r="Y172" s="3">
        <v>3.9319999999999999</v>
      </c>
      <c r="Z172" s="3">
        <v>357</v>
      </c>
      <c r="AA172" s="3">
        <v>3.5510000000000002</v>
      </c>
      <c r="AB172" s="3">
        <v>0</v>
      </c>
      <c r="AC172" s="3">
        <v>105.7</v>
      </c>
      <c r="AD172" s="3">
        <v>2045</v>
      </c>
      <c r="AE172" s="3">
        <v>1.841</v>
      </c>
      <c r="AF172" s="3">
        <v>1.762</v>
      </c>
      <c r="AG172" s="3">
        <v>4.1150000000000002</v>
      </c>
      <c r="AH172" s="3">
        <v>7.8</v>
      </c>
      <c r="AI172" s="3">
        <v>8.07</v>
      </c>
      <c r="AJ172" s="3">
        <v>8</v>
      </c>
      <c r="AK172" s="3">
        <v>3.6999999999999998E-2</v>
      </c>
      <c r="AL172" s="3">
        <v>3.4000000000000002E-2</v>
      </c>
      <c r="AM172" s="3">
        <v>3.2000000000000001E-2</v>
      </c>
      <c r="AN172" s="3">
        <v>3.4000000000000002E-2</v>
      </c>
      <c r="AO172" s="3">
        <v>0.21099999999999999</v>
      </c>
      <c r="AP172" s="3">
        <v>0.50900000000000001</v>
      </c>
      <c r="AQ172" s="3">
        <v>0.105</v>
      </c>
      <c r="AR172" s="3">
        <v>3.7999999999999999E-2</v>
      </c>
      <c r="AS172" s="3">
        <v>6999</v>
      </c>
      <c r="AT172" s="3">
        <v>3533</v>
      </c>
      <c r="AU172" s="3">
        <v>5691</v>
      </c>
      <c r="AV172" s="3">
        <v>7.61</v>
      </c>
      <c r="AW172" s="3">
        <v>7.42</v>
      </c>
      <c r="AX172" s="3">
        <v>10</v>
      </c>
      <c r="AY172" s="3">
        <v>9.98</v>
      </c>
      <c r="AZ172" s="3">
        <v>4.8289999999999997</v>
      </c>
      <c r="BA172" s="3">
        <v>3.4209999999999998</v>
      </c>
      <c r="BB172" s="3">
        <v>12.79</v>
      </c>
      <c r="BC172" s="3">
        <v>2876</v>
      </c>
      <c r="BE172" s="6"/>
      <c r="BG172" s="16">
        <v>33.229999999999997</v>
      </c>
      <c r="BH172" s="16">
        <f t="shared" si="85"/>
        <v>67.124600000000001</v>
      </c>
      <c r="BI172" s="17">
        <f t="shared" si="80"/>
        <v>2.65</v>
      </c>
      <c r="BJ172" s="17">
        <f t="shared" si="81"/>
        <v>7.84</v>
      </c>
      <c r="BL172" s="1">
        <f t="shared" si="86"/>
        <v>99.2</v>
      </c>
      <c r="BM172" s="1">
        <f t="shared" si="87"/>
        <v>98.5</v>
      </c>
      <c r="BN172" s="1">
        <f t="shared" si="88"/>
        <v>91.4</v>
      </c>
      <c r="BO172" s="49">
        <f t="shared" si="94"/>
        <v>1.1040000000000001</v>
      </c>
      <c r="BP172" s="49">
        <f t="shared" si="95"/>
        <v>0.104</v>
      </c>
      <c r="BR172" s="3">
        <v>3</v>
      </c>
      <c r="BT172" s="16">
        <f t="shared" si="89"/>
        <v>2.65</v>
      </c>
      <c r="BU172" s="16">
        <f t="shared" si="90"/>
        <v>7.84</v>
      </c>
      <c r="BV172" s="3">
        <f t="shared" si="91"/>
        <v>7.2</v>
      </c>
      <c r="BW172" s="3">
        <f t="shared" si="84"/>
        <v>7.1</v>
      </c>
      <c r="BX172" s="3">
        <f t="shared" si="84"/>
        <v>7</v>
      </c>
      <c r="BY172" s="3">
        <f t="shared" si="84"/>
        <v>8.6999999999999993</v>
      </c>
      <c r="BZ172" s="3">
        <f t="shared" ref="BZ172:CB223" si="117">ROUND(J172,1)</f>
        <v>8.4</v>
      </c>
      <c r="CA172" s="3">
        <f t="shared" si="117"/>
        <v>8.9</v>
      </c>
      <c r="CB172" s="3">
        <f t="shared" si="117"/>
        <v>8.5</v>
      </c>
      <c r="CC172" s="22">
        <f t="shared" si="92"/>
        <v>98.5</v>
      </c>
      <c r="CD172" s="1">
        <f t="shared" si="96"/>
        <v>9.8000000000000007</v>
      </c>
      <c r="CE172" s="1">
        <f t="shared" si="97"/>
        <v>10.5</v>
      </c>
      <c r="CF172" s="1">
        <f t="shared" si="98"/>
        <v>10</v>
      </c>
      <c r="CG172" s="1">
        <f t="shared" si="99"/>
        <v>9.9</v>
      </c>
      <c r="CH172" s="1">
        <f t="shared" si="100"/>
        <v>9</v>
      </c>
      <c r="CI172" s="1">
        <f t="shared" si="101"/>
        <v>9.4</v>
      </c>
      <c r="CJ172" s="1">
        <f t="shared" si="102"/>
        <v>8.6999999999999993</v>
      </c>
      <c r="CK172" s="2">
        <f t="shared" si="93"/>
        <v>99.2</v>
      </c>
      <c r="CL172" s="1">
        <f t="shared" si="103"/>
        <v>3.6</v>
      </c>
      <c r="CM172" s="1">
        <f t="shared" si="104"/>
        <v>1.8</v>
      </c>
      <c r="CN172" s="1">
        <f t="shared" si="105"/>
        <v>1.8</v>
      </c>
      <c r="CO172" s="1">
        <f t="shared" si="106"/>
        <v>4.0999999999999996</v>
      </c>
      <c r="CP172" s="1">
        <f t="shared" si="107"/>
        <v>7.8</v>
      </c>
      <c r="CQ172" s="1">
        <f t="shared" si="108"/>
        <v>8.1</v>
      </c>
      <c r="CR172" s="1">
        <f t="shared" si="109"/>
        <v>8</v>
      </c>
      <c r="CS172" s="2">
        <f t="shared" si="110"/>
        <v>91.4</v>
      </c>
      <c r="CT172" s="6">
        <f t="shared" si="111"/>
        <v>0</v>
      </c>
      <c r="CU172" s="1">
        <f>PPTest!K172</f>
        <v>11</v>
      </c>
      <c r="CV172" s="3">
        <f t="shared" si="112"/>
        <v>1.47</v>
      </c>
      <c r="CW172" s="3">
        <f t="shared" si="113"/>
        <v>3.93</v>
      </c>
      <c r="CX172" s="24">
        <f t="shared" si="114"/>
        <v>1.1040000000000001</v>
      </c>
      <c r="CY172" s="24">
        <f t="shared" si="114"/>
        <v>0.104</v>
      </c>
      <c r="CZ172" s="16">
        <f t="shared" si="115"/>
        <v>12.79</v>
      </c>
    </row>
    <row r="173" spans="1:104" x14ac:dyDescent="0.2">
      <c r="A173" s="14">
        <f t="shared" si="116"/>
        <v>38884</v>
      </c>
      <c r="B173" s="1">
        <v>167</v>
      </c>
      <c r="C173" s="3">
        <v>19.66</v>
      </c>
      <c r="D173" s="3">
        <v>36.54</v>
      </c>
      <c r="E173" s="3">
        <v>7.37</v>
      </c>
      <c r="F173" s="3">
        <v>96.3</v>
      </c>
      <c r="G173" s="3">
        <v>7.34</v>
      </c>
      <c r="H173" s="3">
        <v>7.25</v>
      </c>
      <c r="I173" s="3">
        <v>7.65</v>
      </c>
      <c r="J173" s="3">
        <v>9</v>
      </c>
      <c r="K173" s="3">
        <v>8.1999999999999993</v>
      </c>
      <c r="L173" s="3">
        <v>8.23</v>
      </c>
      <c r="M173" s="3">
        <v>1.4630000000000001</v>
      </c>
      <c r="N173" s="3">
        <v>1</v>
      </c>
      <c r="O173" s="3">
        <v>13.69</v>
      </c>
      <c r="P173" s="3">
        <v>1459</v>
      </c>
      <c r="Q173" s="3">
        <v>110.8</v>
      </c>
      <c r="R173" s="3">
        <v>410</v>
      </c>
      <c r="S173" s="3">
        <v>18.32</v>
      </c>
      <c r="T173" s="3">
        <v>17.71</v>
      </c>
      <c r="U173" s="3">
        <v>12.96</v>
      </c>
      <c r="V173" s="3">
        <v>12.44</v>
      </c>
      <c r="W173" s="3">
        <v>8.94</v>
      </c>
      <c r="X173" s="3">
        <v>8.94</v>
      </c>
      <c r="Y173" s="3">
        <v>5.0890000000000004</v>
      </c>
      <c r="Z173" s="3">
        <v>1832</v>
      </c>
      <c r="AA173" s="3">
        <v>0.47899999999999998</v>
      </c>
      <c r="AB173" s="3">
        <v>359</v>
      </c>
      <c r="AC173" s="3">
        <v>65.599999999999994</v>
      </c>
      <c r="AD173" s="3">
        <v>1649</v>
      </c>
      <c r="AE173" s="3">
        <v>-0.40100000000000002</v>
      </c>
      <c r="AF173" s="3">
        <v>-0.628</v>
      </c>
      <c r="AG173" s="3">
        <v>2.4540000000000002</v>
      </c>
      <c r="AH173" s="3">
        <v>6.5709999999999997</v>
      </c>
      <c r="AI173" s="3">
        <v>7.59</v>
      </c>
      <c r="AJ173" s="3">
        <v>7.63</v>
      </c>
      <c r="AK173" s="3">
        <v>4.2999999999999997E-2</v>
      </c>
      <c r="AL173" s="3">
        <v>0.16</v>
      </c>
      <c r="AM173" s="3">
        <v>0.105</v>
      </c>
      <c r="AN173" s="3">
        <v>3.5000000000000003E-2</v>
      </c>
      <c r="AO173" s="3">
        <v>0.158</v>
      </c>
      <c r="AP173" s="3">
        <v>0.28899999999999998</v>
      </c>
      <c r="AQ173" s="3">
        <v>0.154</v>
      </c>
      <c r="AR173" s="3">
        <v>5.6000000000000001E-2</v>
      </c>
      <c r="AS173" s="3">
        <v>3511</v>
      </c>
      <c r="AT173" s="3">
        <v>3506</v>
      </c>
      <c r="AU173" s="3">
        <v>3509</v>
      </c>
      <c r="AV173" s="3">
        <v>7.64</v>
      </c>
      <c r="AW173" s="3">
        <v>7.52</v>
      </c>
      <c r="AX173" s="3">
        <v>15.31</v>
      </c>
      <c r="AY173" s="3">
        <v>15.88</v>
      </c>
      <c r="AZ173" s="3">
        <v>-2.1000000000000001E-2</v>
      </c>
      <c r="BA173" s="3">
        <v>-0.29099999999999998</v>
      </c>
      <c r="BB173" s="3">
        <v>13.04</v>
      </c>
      <c r="BC173" s="3">
        <v>2876</v>
      </c>
      <c r="BE173" s="6"/>
      <c r="BG173" s="16">
        <v>33.24</v>
      </c>
      <c r="BH173" s="16">
        <f t="shared" si="85"/>
        <v>67.144800000000004</v>
      </c>
      <c r="BI173" s="17">
        <f t="shared" si="80"/>
        <v>19.27</v>
      </c>
      <c r="BJ173" s="17">
        <f t="shared" si="81"/>
        <v>40.19</v>
      </c>
      <c r="BL173" s="1">
        <f t="shared" si="86"/>
        <v>99.5</v>
      </c>
      <c r="BM173" s="1">
        <f t="shared" si="87"/>
        <v>77.7</v>
      </c>
      <c r="BN173" s="1">
        <f t="shared" si="88"/>
        <v>50.7</v>
      </c>
      <c r="BO173" s="49">
        <f t="shared" si="94"/>
        <v>0.79400000000000004</v>
      </c>
      <c r="BP173" s="49">
        <f t="shared" si="95"/>
        <v>0.77200000000000002</v>
      </c>
      <c r="BR173" s="3">
        <v>0.6</v>
      </c>
      <c r="BT173" s="16">
        <f t="shared" si="89"/>
        <v>19.27</v>
      </c>
      <c r="BU173" s="16">
        <f t="shared" si="90"/>
        <v>40.19</v>
      </c>
      <c r="BV173" s="3">
        <f t="shared" si="91"/>
        <v>7.4</v>
      </c>
      <c r="BW173" s="3">
        <f t="shared" ref="BW173:CB236" si="118">ROUND(G173,1)</f>
        <v>7.3</v>
      </c>
      <c r="BX173" s="3">
        <f t="shared" si="118"/>
        <v>7.3</v>
      </c>
      <c r="BY173" s="3">
        <f t="shared" si="118"/>
        <v>7.7</v>
      </c>
      <c r="BZ173" s="3">
        <f t="shared" si="117"/>
        <v>9</v>
      </c>
      <c r="CA173" s="3">
        <f t="shared" si="117"/>
        <v>8.1999999999999993</v>
      </c>
      <c r="CB173" s="3">
        <f t="shared" si="117"/>
        <v>8.1999999999999993</v>
      </c>
      <c r="CC173" s="22">
        <f t="shared" si="92"/>
        <v>77.7</v>
      </c>
      <c r="CD173" s="1">
        <f t="shared" si="96"/>
        <v>13.7</v>
      </c>
      <c r="CE173" s="1">
        <f t="shared" si="97"/>
        <v>18.3</v>
      </c>
      <c r="CF173" s="1">
        <f t="shared" si="98"/>
        <v>17.7</v>
      </c>
      <c r="CG173" s="1">
        <f t="shared" si="99"/>
        <v>13</v>
      </c>
      <c r="CH173" s="1">
        <f t="shared" si="100"/>
        <v>12.4</v>
      </c>
      <c r="CI173" s="1">
        <f t="shared" si="101"/>
        <v>8.9</v>
      </c>
      <c r="CJ173" s="1">
        <f t="shared" si="102"/>
        <v>8.9</v>
      </c>
      <c r="CK173" s="2">
        <f t="shared" si="93"/>
        <v>99.5</v>
      </c>
      <c r="CL173" s="1">
        <f t="shared" si="103"/>
        <v>0.5</v>
      </c>
      <c r="CM173" s="1">
        <f t="shared" si="104"/>
        <v>-0.4</v>
      </c>
      <c r="CN173" s="1">
        <f t="shared" si="105"/>
        <v>-0.6</v>
      </c>
      <c r="CO173" s="1">
        <f t="shared" si="106"/>
        <v>2.5</v>
      </c>
      <c r="CP173" s="1">
        <f t="shared" si="107"/>
        <v>6.6</v>
      </c>
      <c r="CQ173" s="1">
        <f t="shared" si="108"/>
        <v>7.6</v>
      </c>
      <c r="CR173" s="1">
        <f t="shared" si="109"/>
        <v>7.6</v>
      </c>
      <c r="CS173" s="2">
        <f t="shared" si="110"/>
        <v>50.7</v>
      </c>
      <c r="CT173" s="6">
        <f t="shared" si="111"/>
        <v>0</v>
      </c>
      <c r="CU173" s="1">
        <f>PPTest!K173</f>
        <v>1</v>
      </c>
      <c r="CV173" s="3">
        <f t="shared" si="112"/>
        <v>1.46</v>
      </c>
      <c r="CW173" s="3">
        <f t="shared" si="113"/>
        <v>5.09</v>
      </c>
      <c r="CX173" s="24">
        <f t="shared" si="114"/>
        <v>0.79400000000000004</v>
      </c>
      <c r="CY173" s="24">
        <f t="shared" si="114"/>
        <v>0.77200000000000002</v>
      </c>
      <c r="CZ173" s="16">
        <f t="shared" si="115"/>
        <v>13.04</v>
      </c>
    </row>
    <row r="174" spans="1:104" x14ac:dyDescent="0.2">
      <c r="A174" s="14">
        <f t="shared" si="116"/>
        <v>38885</v>
      </c>
      <c r="B174" s="1">
        <v>168</v>
      </c>
      <c r="C174" s="3">
        <v>17.850000000000001</v>
      </c>
      <c r="D174" s="3">
        <v>33.43</v>
      </c>
      <c r="E174" s="3">
        <v>6.13</v>
      </c>
      <c r="F174" s="3">
        <v>100.2</v>
      </c>
      <c r="G174" s="3">
        <v>6.343</v>
      </c>
      <c r="H174" s="3">
        <v>6.431</v>
      </c>
      <c r="I174" s="3">
        <v>7.85</v>
      </c>
      <c r="J174" s="3">
        <v>9.07</v>
      </c>
      <c r="K174" s="3">
        <v>8.42</v>
      </c>
      <c r="L174" s="3">
        <v>8.06</v>
      </c>
      <c r="M174" s="3">
        <v>1.296</v>
      </c>
      <c r="N174" s="3">
        <v>2</v>
      </c>
      <c r="O174" s="3">
        <v>11.1</v>
      </c>
      <c r="P174" s="3">
        <v>1558</v>
      </c>
      <c r="Q174" s="3">
        <v>110.6</v>
      </c>
      <c r="R174" s="3">
        <v>0</v>
      </c>
      <c r="S174" s="3">
        <v>14.89</v>
      </c>
      <c r="T174" s="3">
        <v>16.149999999999999</v>
      </c>
      <c r="U174" s="3">
        <v>12.86</v>
      </c>
      <c r="V174" s="3">
        <v>11.32</v>
      </c>
      <c r="W174" s="3">
        <v>8.74</v>
      </c>
      <c r="X174" s="3">
        <v>8.4700000000000006</v>
      </c>
      <c r="Y174" s="3">
        <v>4.53</v>
      </c>
      <c r="Z174" s="3">
        <v>1341</v>
      </c>
      <c r="AA174" s="3">
        <v>3.2120000000000002</v>
      </c>
      <c r="AB174" s="3">
        <v>332</v>
      </c>
      <c r="AC174" s="3">
        <v>71.599999999999994</v>
      </c>
      <c r="AD174" s="3">
        <v>1338</v>
      </c>
      <c r="AE174" s="3">
        <v>2.6320000000000001</v>
      </c>
      <c r="AF174" s="3">
        <v>2.5539999999999998</v>
      </c>
      <c r="AG174" s="3">
        <v>4.5640000000000001</v>
      </c>
      <c r="AH174" s="3">
        <v>7.73</v>
      </c>
      <c r="AI174" s="3">
        <v>8</v>
      </c>
      <c r="AJ174" s="3">
        <v>7.71</v>
      </c>
      <c r="AK174" s="3">
        <v>0.111</v>
      </c>
      <c r="AL174" s="3">
        <v>0.17100000000000001</v>
      </c>
      <c r="AM174" s="3">
        <v>7.8E-2</v>
      </c>
      <c r="AN174" s="3">
        <v>2.8000000000000001E-2</v>
      </c>
      <c r="AO174" s="3">
        <v>0.11</v>
      </c>
      <c r="AP174" s="3">
        <v>0.247</v>
      </c>
      <c r="AQ174" s="3">
        <v>0.16</v>
      </c>
      <c r="AR174" s="3">
        <v>9.6000000000000002E-2</v>
      </c>
      <c r="AS174" s="3">
        <v>3537</v>
      </c>
      <c r="AT174" s="3">
        <v>3521</v>
      </c>
      <c r="AU174" s="3">
        <v>3528</v>
      </c>
      <c r="AV174" s="3">
        <v>7.18</v>
      </c>
      <c r="AW174" s="3">
        <v>7.07</v>
      </c>
      <c r="AX174" s="3">
        <v>13.77</v>
      </c>
      <c r="AY174" s="3">
        <v>14.08</v>
      </c>
      <c r="AZ174" s="3">
        <v>3.1520000000000001</v>
      </c>
      <c r="BA174" s="3">
        <v>2.9430000000000001</v>
      </c>
      <c r="BB174" s="3">
        <v>13.05</v>
      </c>
      <c r="BC174" s="3">
        <v>2876</v>
      </c>
      <c r="BE174" s="6"/>
      <c r="BG174" s="16">
        <v>33.24</v>
      </c>
      <c r="BH174" s="16">
        <f t="shared" si="85"/>
        <v>67.144800000000004</v>
      </c>
      <c r="BI174" s="17">
        <f t="shared" si="80"/>
        <v>17.489999999999998</v>
      </c>
      <c r="BJ174" s="17">
        <f t="shared" si="81"/>
        <v>36.770000000000003</v>
      </c>
      <c r="BL174" s="1">
        <f t="shared" si="86"/>
        <v>99.2</v>
      </c>
      <c r="BM174" s="1">
        <f t="shared" si="87"/>
        <v>82.6</v>
      </c>
      <c r="BN174" s="1">
        <f t="shared" si="88"/>
        <v>56</v>
      </c>
      <c r="BO174" s="49">
        <f t="shared" si="94"/>
        <v>0.74</v>
      </c>
      <c r="BP174" s="49">
        <f t="shared" si="95"/>
        <v>0.58099999999999996</v>
      </c>
      <c r="BR174" s="3">
        <v>1.4</v>
      </c>
      <c r="BT174" s="16">
        <f t="shared" si="89"/>
        <v>17.489999999999998</v>
      </c>
      <c r="BU174" s="16">
        <f t="shared" si="90"/>
        <v>36.770000000000003</v>
      </c>
      <c r="BV174" s="3">
        <f t="shared" si="91"/>
        <v>6.1</v>
      </c>
      <c r="BW174" s="3">
        <f t="shared" si="118"/>
        <v>6.3</v>
      </c>
      <c r="BX174" s="3">
        <f t="shared" si="118"/>
        <v>6.4</v>
      </c>
      <c r="BY174" s="3">
        <f t="shared" si="118"/>
        <v>7.9</v>
      </c>
      <c r="BZ174" s="3">
        <f t="shared" si="117"/>
        <v>9.1</v>
      </c>
      <c r="CA174" s="3">
        <f t="shared" si="117"/>
        <v>8.4</v>
      </c>
      <c r="CB174" s="3">
        <f t="shared" si="117"/>
        <v>8.1</v>
      </c>
      <c r="CC174" s="22">
        <f t="shared" si="92"/>
        <v>82.6</v>
      </c>
      <c r="CD174" s="1">
        <f t="shared" si="96"/>
        <v>11.1</v>
      </c>
      <c r="CE174" s="1">
        <f t="shared" si="97"/>
        <v>14.9</v>
      </c>
      <c r="CF174" s="1">
        <f t="shared" si="98"/>
        <v>16.2</v>
      </c>
      <c r="CG174" s="1">
        <f t="shared" si="99"/>
        <v>12.9</v>
      </c>
      <c r="CH174" s="1">
        <f t="shared" si="100"/>
        <v>11.3</v>
      </c>
      <c r="CI174" s="1">
        <f t="shared" si="101"/>
        <v>8.6999999999999993</v>
      </c>
      <c r="CJ174" s="1">
        <f t="shared" si="102"/>
        <v>8.5</v>
      </c>
      <c r="CK174" s="2">
        <f t="shared" si="93"/>
        <v>99.2</v>
      </c>
      <c r="CL174" s="1">
        <f t="shared" si="103"/>
        <v>3.2</v>
      </c>
      <c r="CM174" s="1">
        <f t="shared" si="104"/>
        <v>2.6</v>
      </c>
      <c r="CN174" s="1">
        <f t="shared" si="105"/>
        <v>2.6</v>
      </c>
      <c r="CO174" s="1">
        <f t="shared" si="106"/>
        <v>4.5999999999999996</v>
      </c>
      <c r="CP174" s="1">
        <f t="shared" si="107"/>
        <v>7.7</v>
      </c>
      <c r="CQ174" s="1">
        <f t="shared" si="108"/>
        <v>8</v>
      </c>
      <c r="CR174" s="1">
        <f t="shared" si="109"/>
        <v>7.7</v>
      </c>
      <c r="CS174" s="2">
        <f t="shared" si="110"/>
        <v>56</v>
      </c>
      <c r="CT174" s="6">
        <f t="shared" si="111"/>
        <v>0</v>
      </c>
      <c r="CU174" s="1">
        <f>PPTest!K174</f>
        <v>2</v>
      </c>
      <c r="CV174" s="3">
        <f t="shared" si="112"/>
        <v>1.3</v>
      </c>
      <c r="CW174" s="3">
        <f t="shared" si="113"/>
        <v>4.53</v>
      </c>
      <c r="CX174" s="24">
        <f t="shared" si="114"/>
        <v>0.74</v>
      </c>
      <c r="CY174" s="24">
        <f t="shared" si="114"/>
        <v>0.58099999999999996</v>
      </c>
      <c r="CZ174" s="16">
        <f t="shared" si="115"/>
        <v>13.05</v>
      </c>
    </row>
    <row r="175" spans="1:104" x14ac:dyDescent="0.2">
      <c r="A175" s="14">
        <f t="shared" si="116"/>
        <v>38886</v>
      </c>
      <c r="B175" s="1">
        <v>169</v>
      </c>
      <c r="C175" s="3">
        <v>16.170000000000002</v>
      </c>
      <c r="D175" s="3">
        <v>30.1</v>
      </c>
      <c r="E175" s="3">
        <v>6.9</v>
      </c>
      <c r="F175" s="3">
        <v>97.3</v>
      </c>
      <c r="G175" s="3">
        <v>6.8650000000000002</v>
      </c>
      <c r="H175" s="3">
        <v>6.859</v>
      </c>
      <c r="I175" s="3">
        <v>7.81</v>
      </c>
      <c r="J175" s="3">
        <v>8.8800000000000008</v>
      </c>
      <c r="K175" s="3">
        <v>8.49</v>
      </c>
      <c r="L175" s="3">
        <v>8.11</v>
      </c>
      <c r="M175" s="3">
        <v>1.1870000000000001</v>
      </c>
      <c r="N175" s="3">
        <v>4</v>
      </c>
      <c r="O175" s="3">
        <v>13.16</v>
      </c>
      <c r="P175" s="3">
        <v>1803</v>
      </c>
      <c r="Q175" s="3">
        <v>110.8</v>
      </c>
      <c r="R175" s="3">
        <v>2359</v>
      </c>
      <c r="S175" s="3">
        <v>15.74</v>
      </c>
      <c r="T175" s="3">
        <v>16.190000000000001</v>
      </c>
      <c r="U175" s="3">
        <v>14.44</v>
      </c>
      <c r="V175" s="3">
        <v>10.62</v>
      </c>
      <c r="W175" s="3">
        <v>9</v>
      </c>
      <c r="X175" s="3">
        <v>8.64</v>
      </c>
      <c r="Y175" s="3">
        <v>4.1310000000000002</v>
      </c>
      <c r="Z175" s="3">
        <v>1100</v>
      </c>
      <c r="AA175" s="3">
        <v>0.29299999999999998</v>
      </c>
      <c r="AB175" s="3">
        <v>0</v>
      </c>
      <c r="AC175" s="3">
        <v>64.89</v>
      </c>
      <c r="AD175" s="3">
        <v>942</v>
      </c>
      <c r="AE175" s="3">
        <v>-0.36499999999999999</v>
      </c>
      <c r="AF175" s="3">
        <v>-0.40300000000000002</v>
      </c>
      <c r="AG175" s="3">
        <v>2.1659999999999999</v>
      </c>
      <c r="AH175" s="3">
        <v>7.21</v>
      </c>
      <c r="AI175" s="3">
        <v>8.09</v>
      </c>
      <c r="AJ175" s="3">
        <v>7.69</v>
      </c>
      <c r="AK175" s="3">
        <v>7.2999999999999995E-2</v>
      </c>
      <c r="AL175" s="3">
        <v>0.35699999999999998</v>
      </c>
      <c r="AM175" s="3">
        <v>0.193</v>
      </c>
      <c r="AN175" s="3">
        <v>4.7E-2</v>
      </c>
      <c r="AO175" s="3">
        <v>7.1999999999999995E-2</v>
      </c>
      <c r="AP175" s="3">
        <v>0.127</v>
      </c>
      <c r="AQ175" s="3">
        <v>8.1000000000000003E-2</v>
      </c>
      <c r="AR175" s="3">
        <v>0.05</v>
      </c>
      <c r="AS175" s="3">
        <v>6999</v>
      </c>
      <c r="AT175" s="3">
        <v>3532</v>
      </c>
      <c r="AU175" s="3">
        <v>4619</v>
      </c>
      <c r="AV175" s="3">
        <v>7.48</v>
      </c>
      <c r="AW175" s="3">
        <v>7.3</v>
      </c>
      <c r="AX175" s="3">
        <v>13.97</v>
      </c>
      <c r="AY175" s="3">
        <v>14.26</v>
      </c>
      <c r="AZ175" s="3">
        <v>0.80300000000000005</v>
      </c>
      <c r="BA175" s="3">
        <v>0.16300000000000001</v>
      </c>
      <c r="BB175" s="3">
        <v>13.05</v>
      </c>
      <c r="BC175" s="3">
        <v>2876</v>
      </c>
      <c r="BE175" s="6"/>
      <c r="BG175" s="16">
        <v>33.25</v>
      </c>
      <c r="BH175" s="16">
        <f t="shared" si="85"/>
        <v>67.165000000000006</v>
      </c>
      <c r="BI175" s="17">
        <f t="shared" si="80"/>
        <v>15.85</v>
      </c>
      <c r="BJ175" s="17">
        <f t="shared" si="81"/>
        <v>33.11</v>
      </c>
      <c r="BL175" s="1">
        <f t="shared" si="86"/>
        <v>99.5</v>
      </c>
      <c r="BM175" s="1">
        <f t="shared" si="87"/>
        <v>78.599999999999994</v>
      </c>
      <c r="BN175" s="1">
        <f t="shared" si="88"/>
        <v>50.1</v>
      </c>
      <c r="BO175" s="49">
        <f t="shared" si="94"/>
        <v>0.75800000000000001</v>
      </c>
      <c r="BP175" s="49">
        <f t="shared" si="95"/>
        <v>0.755</v>
      </c>
      <c r="BR175" s="3">
        <v>0.2</v>
      </c>
      <c r="BT175" s="16">
        <f t="shared" si="89"/>
        <v>15.85</v>
      </c>
      <c r="BU175" s="16">
        <f t="shared" si="90"/>
        <v>33.11</v>
      </c>
      <c r="BV175" s="3">
        <f t="shared" si="91"/>
        <v>6.9</v>
      </c>
      <c r="BW175" s="3">
        <f t="shared" si="118"/>
        <v>6.9</v>
      </c>
      <c r="BX175" s="3">
        <f t="shared" si="118"/>
        <v>6.9</v>
      </c>
      <c r="BY175" s="3">
        <f t="shared" si="118"/>
        <v>7.8</v>
      </c>
      <c r="BZ175" s="3">
        <f t="shared" si="117"/>
        <v>8.9</v>
      </c>
      <c r="CA175" s="3">
        <f t="shared" si="117"/>
        <v>8.5</v>
      </c>
      <c r="CB175" s="3">
        <f t="shared" si="117"/>
        <v>8.1</v>
      </c>
      <c r="CC175" s="22">
        <f t="shared" si="92"/>
        <v>78.599999999999994</v>
      </c>
      <c r="CD175" s="1">
        <f t="shared" si="96"/>
        <v>13.2</v>
      </c>
      <c r="CE175" s="1">
        <f t="shared" si="97"/>
        <v>15.7</v>
      </c>
      <c r="CF175" s="1">
        <f t="shared" si="98"/>
        <v>16.2</v>
      </c>
      <c r="CG175" s="1">
        <f t="shared" si="99"/>
        <v>14.4</v>
      </c>
      <c r="CH175" s="1">
        <f t="shared" si="100"/>
        <v>10.6</v>
      </c>
      <c r="CI175" s="1">
        <f t="shared" si="101"/>
        <v>9</v>
      </c>
      <c r="CJ175" s="1">
        <f t="shared" si="102"/>
        <v>8.6</v>
      </c>
      <c r="CK175" s="2">
        <f t="shared" si="93"/>
        <v>99.5</v>
      </c>
      <c r="CL175" s="1">
        <f t="shared" si="103"/>
        <v>0.3</v>
      </c>
      <c r="CM175" s="1">
        <f t="shared" si="104"/>
        <v>-0.4</v>
      </c>
      <c r="CN175" s="1">
        <f t="shared" si="105"/>
        <v>-0.4</v>
      </c>
      <c r="CO175" s="1">
        <f t="shared" si="106"/>
        <v>2.2000000000000002</v>
      </c>
      <c r="CP175" s="1">
        <f t="shared" si="107"/>
        <v>7.2</v>
      </c>
      <c r="CQ175" s="1">
        <f t="shared" si="108"/>
        <v>8.1</v>
      </c>
      <c r="CR175" s="1">
        <f t="shared" si="109"/>
        <v>7.7</v>
      </c>
      <c r="CS175" s="2">
        <f t="shared" si="110"/>
        <v>50.1</v>
      </c>
      <c r="CT175" s="6">
        <f t="shared" si="111"/>
        <v>0</v>
      </c>
      <c r="CU175" s="1">
        <f>PPTest!K175</f>
        <v>4</v>
      </c>
      <c r="CV175" s="3">
        <f t="shared" si="112"/>
        <v>1.19</v>
      </c>
      <c r="CW175" s="3">
        <f t="shared" si="113"/>
        <v>4.13</v>
      </c>
      <c r="CX175" s="24">
        <f t="shared" si="114"/>
        <v>0.75800000000000001</v>
      </c>
      <c r="CY175" s="24">
        <f t="shared" si="114"/>
        <v>0.755</v>
      </c>
      <c r="CZ175" s="16">
        <f t="shared" si="115"/>
        <v>13.05</v>
      </c>
    </row>
    <row r="176" spans="1:104" x14ac:dyDescent="0.2">
      <c r="A176" s="14">
        <f t="shared" si="116"/>
        <v>38887</v>
      </c>
      <c r="B176" s="1">
        <v>170</v>
      </c>
      <c r="C176" s="3">
        <v>7.62</v>
      </c>
      <c r="D176" s="3">
        <v>14.63</v>
      </c>
      <c r="E176" s="3">
        <v>4.3819999999999997</v>
      </c>
      <c r="F176" s="3">
        <v>108.8</v>
      </c>
      <c r="G176" s="3">
        <v>4.4370000000000003</v>
      </c>
      <c r="H176" s="3">
        <v>4.4539999999999997</v>
      </c>
      <c r="I176" s="3">
        <v>6.4829999999999997</v>
      </c>
      <c r="J176" s="3">
        <v>7.65</v>
      </c>
      <c r="K176" s="3">
        <v>8.39</v>
      </c>
      <c r="L176" s="3">
        <v>8.25</v>
      </c>
      <c r="M176" s="3">
        <v>0.997</v>
      </c>
      <c r="N176" s="3">
        <v>4</v>
      </c>
      <c r="O176" s="3">
        <v>6.9340000000000002</v>
      </c>
      <c r="P176" s="3">
        <v>1540</v>
      </c>
      <c r="Q176" s="3">
        <v>110.9</v>
      </c>
      <c r="R176" s="3">
        <v>116</v>
      </c>
      <c r="S176" s="3">
        <v>8.2799999999999994</v>
      </c>
      <c r="T176" s="3">
        <v>9.4</v>
      </c>
      <c r="U176" s="3">
        <v>10.15</v>
      </c>
      <c r="V176" s="3">
        <v>8.49</v>
      </c>
      <c r="W176" s="3">
        <v>8.7100000000000009</v>
      </c>
      <c r="X176" s="3">
        <v>8.4600000000000009</v>
      </c>
      <c r="Y176" s="3">
        <v>2.8010000000000002</v>
      </c>
      <c r="Z176" s="3">
        <v>1505</v>
      </c>
      <c r="AA176" s="3">
        <v>-0.217</v>
      </c>
      <c r="AB176" s="3">
        <v>103</v>
      </c>
      <c r="AC176" s="3">
        <v>100.6</v>
      </c>
      <c r="AD176" s="3">
        <v>1637</v>
      </c>
      <c r="AE176" s="3">
        <v>-0.74</v>
      </c>
      <c r="AF176" s="3">
        <v>-0.82</v>
      </c>
      <c r="AG176" s="3">
        <v>1.752</v>
      </c>
      <c r="AH176" s="3">
        <v>6.8780000000000001</v>
      </c>
      <c r="AI176" s="3">
        <v>8.14</v>
      </c>
      <c r="AJ176" s="3">
        <v>7.96</v>
      </c>
      <c r="AK176" s="3">
        <v>0.03</v>
      </c>
      <c r="AL176" s="3">
        <v>0.11799999999999999</v>
      </c>
      <c r="AM176" s="3">
        <v>0.112</v>
      </c>
      <c r="AN176" s="3">
        <v>3.1E-2</v>
      </c>
      <c r="AO176" s="3">
        <v>0.17899999999999999</v>
      </c>
      <c r="AP176" s="3">
        <v>0.34399999999999997</v>
      </c>
      <c r="AQ176" s="3">
        <v>0.152</v>
      </c>
      <c r="AR176" s="3">
        <v>3.3000000000000002E-2</v>
      </c>
      <c r="AS176" s="3">
        <v>3574</v>
      </c>
      <c r="AT176" s="3">
        <v>3533</v>
      </c>
      <c r="AU176" s="3">
        <v>3551</v>
      </c>
      <c r="AV176" s="3">
        <v>4.7919999999999998</v>
      </c>
      <c r="AW176" s="3">
        <v>4.7699999999999996</v>
      </c>
      <c r="AX176" s="3">
        <v>8.43</v>
      </c>
      <c r="AY176" s="3">
        <v>8.6199999999999992</v>
      </c>
      <c r="AZ176" s="3">
        <v>-0.33</v>
      </c>
      <c r="BA176" s="3">
        <v>-0.64300000000000002</v>
      </c>
      <c r="BB176" s="3">
        <v>13.09</v>
      </c>
      <c r="BC176" s="3">
        <v>2876</v>
      </c>
      <c r="BE176" s="6"/>
      <c r="BG176" s="16">
        <v>33.25</v>
      </c>
      <c r="BH176" s="16">
        <f t="shared" si="85"/>
        <v>67.165000000000006</v>
      </c>
      <c r="BI176" s="17">
        <f t="shared" si="80"/>
        <v>7.47</v>
      </c>
      <c r="BJ176" s="17">
        <f t="shared" si="81"/>
        <v>16.09</v>
      </c>
      <c r="BL176" s="1">
        <f t="shared" si="86"/>
        <v>99.6</v>
      </c>
      <c r="BM176" s="1">
        <f t="shared" si="87"/>
        <v>96.3</v>
      </c>
      <c r="BN176" s="1">
        <f t="shared" si="88"/>
        <v>83.3</v>
      </c>
      <c r="BO176" s="49">
        <f t="shared" si="94"/>
        <v>0.83</v>
      </c>
      <c r="BP176" s="49">
        <f t="shared" si="95"/>
        <v>0.16600000000000001</v>
      </c>
      <c r="BR176" s="3">
        <v>3.2</v>
      </c>
      <c r="BT176" s="16">
        <f t="shared" si="89"/>
        <v>7.47</v>
      </c>
      <c r="BU176" s="16">
        <f t="shared" si="90"/>
        <v>16.09</v>
      </c>
      <c r="BV176" s="3">
        <f t="shared" si="91"/>
        <v>4.4000000000000004</v>
      </c>
      <c r="BW176" s="3">
        <f t="shared" si="118"/>
        <v>4.4000000000000004</v>
      </c>
      <c r="BX176" s="3">
        <f t="shared" si="118"/>
        <v>4.5</v>
      </c>
      <c r="BY176" s="3">
        <f t="shared" si="118"/>
        <v>6.5</v>
      </c>
      <c r="BZ176" s="3">
        <f t="shared" si="117"/>
        <v>7.7</v>
      </c>
      <c r="CA176" s="3">
        <f t="shared" si="117"/>
        <v>8.4</v>
      </c>
      <c r="CB176" s="3">
        <f t="shared" si="117"/>
        <v>8.3000000000000007</v>
      </c>
      <c r="CC176" s="22">
        <f t="shared" si="92"/>
        <v>96.3</v>
      </c>
      <c r="CD176" s="1">
        <f t="shared" si="96"/>
        <v>6.9</v>
      </c>
      <c r="CE176" s="1">
        <f t="shared" si="97"/>
        <v>8.3000000000000007</v>
      </c>
      <c r="CF176" s="1">
        <f t="shared" si="98"/>
        <v>9.4</v>
      </c>
      <c r="CG176" s="1">
        <f t="shared" si="99"/>
        <v>10.199999999999999</v>
      </c>
      <c r="CH176" s="1">
        <f t="shared" si="100"/>
        <v>8.5</v>
      </c>
      <c r="CI176" s="1">
        <f t="shared" si="101"/>
        <v>8.6999999999999993</v>
      </c>
      <c r="CJ176" s="1">
        <f t="shared" si="102"/>
        <v>8.5</v>
      </c>
      <c r="CK176" s="2">
        <f t="shared" si="93"/>
        <v>99.6</v>
      </c>
      <c r="CL176" s="1">
        <f t="shared" si="103"/>
        <v>-0.2</v>
      </c>
      <c r="CM176" s="1">
        <f t="shared" si="104"/>
        <v>-0.7</v>
      </c>
      <c r="CN176" s="1">
        <f t="shared" si="105"/>
        <v>-0.8</v>
      </c>
      <c r="CO176" s="1">
        <f t="shared" si="106"/>
        <v>1.8</v>
      </c>
      <c r="CP176" s="1">
        <f t="shared" si="107"/>
        <v>6.9</v>
      </c>
      <c r="CQ176" s="1">
        <f t="shared" si="108"/>
        <v>8.1</v>
      </c>
      <c r="CR176" s="1">
        <f t="shared" si="109"/>
        <v>8</v>
      </c>
      <c r="CS176" s="2">
        <f t="shared" si="110"/>
        <v>83.3</v>
      </c>
      <c r="CT176" s="6">
        <f t="shared" si="111"/>
        <v>0</v>
      </c>
      <c r="CU176" s="1">
        <f>PPTest!K176</f>
        <v>4</v>
      </c>
      <c r="CV176" s="3">
        <f t="shared" si="112"/>
        <v>1</v>
      </c>
      <c r="CW176" s="3">
        <f t="shared" si="113"/>
        <v>2.8</v>
      </c>
      <c r="CX176" s="24">
        <f t="shared" si="114"/>
        <v>0.83</v>
      </c>
      <c r="CY176" s="24">
        <f t="shared" si="114"/>
        <v>0.16600000000000001</v>
      </c>
      <c r="CZ176" s="16">
        <f t="shared" si="115"/>
        <v>13.09</v>
      </c>
    </row>
    <row r="177" spans="1:104" x14ac:dyDescent="0.2">
      <c r="A177" s="14">
        <f t="shared" si="116"/>
        <v>38888</v>
      </c>
      <c r="B177" s="1">
        <v>171</v>
      </c>
      <c r="C177" s="3">
        <v>19.45</v>
      </c>
      <c r="D177" s="3">
        <v>36.049999999999997</v>
      </c>
      <c r="E177" s="3">
        <v>6.2089999999999996</v>
      </c>
      <c r="F177" s="3">
        <v>101.5</v>
      </c>
      <c r="G177" s="3">
        <v>6.3460000000000001</v>
      </c>
      <c r="H177" s="3">
        <v>6.4390000000000001</v>
      </c>
      <c r="I177" s="3">
        <v>7.96</v>
      </c>
      <c r="J177" s="3">
        <v>8.6999999999999993</v>
      </c>
      <c r="K177" s="3">
        <v>8.18</v>
      </c>
      <c r="L177" s="3">
        <v>8.26</v>
      </c>
      <c r="M177" s="3">
        <v>1.508</v>
      </c>
      <c r="N177" s="3">
        <v>0</v>
      </c>
      <c r="O177" s="3">
        <v>11.35</v>
      </c>
      <c r="P177" s="3">
        <v>1821</v>
      </c>
      <c r="Q177" s="3">
        <v>110.7</v>
      </c>
      <c r="R177" s="3">
        <v>118</v>
      </c>
      <c r="S177" s="3">
        <v>17.14</v>
      </c>
      <c r="T177" s="3">
        <v>18.329999999999998</v>
      </c>
      <c r="U177" s="3">
        <v>14.62</v>
      </c>
      <c r="V177" s="3">
        <v>11.07</v>
      </c>
      <c r="W177" s="3">
        <v>8.61</v>
      </c>
      <c r="X177" s="3">
        <v>8.77</v>
      </c>
      <c r="Y177" s="3">
        <v>3.9580000000000002</v>
      </c>
      <c r="Z177" s="3">
        <v>1025</v>
      </c>
      <c r="AA177" s="3">
        <v>0.23599999999999999</v>
      </c>
      <c r="AB177" s="3">
        <v>0</v>
      </c>
      <c r="AC177" s="3">
        <v>75.599999999999994</v>
      </c>
      <c r="AD177" s="3">
        <v>1820</v>
      </c>
      <c r="AE177" s="3">
        <v>-0.371</v>
      </c>
      <c r="AF177" s="3">
        <v>-0.47299999999999998</v>
      </c>
      <c r="AG177" s="3">
        <v>1.8149999999999999</v>
      </c>
      <c r="AH177" s="3">
        <v>7.15</v>
      </c>
      <c r="AI177" s="3">
        <v>7.74</v>
      </c>
      <c r="AJ177" s="3">
        <v>7.76</v>
      </c>
      <c r="AK177" s="3">
        <v>2.9000000000000001E-2</v>
      </c>
      <c r="AL177" s="3">
        <v>0.151</v>
      </c>
      <c r="AM177" s="3">
        <v>0.06</v>
      </c>
      <c r="AN177" s="3">
        <v>0.01</v>
      </c>
      <c r="AO177" s="3">
        <v>0.19700000000000001</v>
      </c>
      <c r="AP177" s="3">
        <v>0.39200000000000002</v>
      </c>
      <c r="AQ177" s="3">
        <v>0.108</v>
      </c>
      <c r="AR177" s="3">
        <v>5.2999999999999999E-2</v>
      </c>
      <c r="AS177" s="3">
        <v>3568</v>
      </c>
      <c r="AT177" s="3">
        <v>3529</v>
      </c>
      <c r="AU177" s="3">
        <v>3545</v>
      </c>
      <c r="AV177" s="3">
        <v>7.57</v>
      </c>
      <c r="AW177" s="3">
        <v>7.36</v>
      </c>
      <c r="AX177" s="3">
        <v>14.95</v>
      </c>
      <c r="AY177" s="3">
        <v>15.26</v>
      </c>
      <c r="AZ177" s="3">
        <v>0.39200000000000002</v>
      </c>
      <c r="BA177" s="3">
        <v>-0.11600000000000001</v>
      </c>
      <c r="BB177" s="3">
        <v>13.06</v>
      </c>
      <c r="BC177" s="3">
        <v>2876</v>
      </c>
      <c r="BE177" s="6"/>
      <c r="BG177" s="16">
        <v>33.24</v>
      </c>
      <c r="BH177" s="16">
        <f t="shared" si="85"/>
        <v>67.144800000000004</v>
      </c>
      <c r="BI177" s="17">
        <f t="shared" ref="BI177:BI240" si="119">ROUND(C177*BI$2,2)</f>
        <v>19.059999999999999</v>
      </c>
      <c r="BJ177" s="17">
        <f t="shared" ref="BJ177:BJ240" si="120">ROUND(D177*BJ$2,2)</f>
        <v>39.659999999999997</v>
      </c>
      <c r="BL177" s="1">
        <f t="shared" si="86"/>
        <v>99.3</v>
      </c>
      <c r="BM177" s="1">
        <f t="shared" si="87"/>
        <v>84.7</v>
      </c>
      <c r="BN177" s="1">
        <f t="shared" si="88"/>
        <v>59.5</v>
      </c>
      <c r="BO177" s="49">
        <f t="shared" si="94"/>
        <v>0.79900000000000004</v>
      </c>
      <c r="BP177" s="49">
        <f t="shared" si="95"/>
        <v>0.54400000000000004</v>
      </c>
      <c r="BR177" s="3">
        <v>0.8</v>
      </c>
      <c r="BT177" s="16">
        <f t="shared" si="89"/>
        <v>19.059999999999999</v>
      </c>
      <c r="BU177" s="16">
        <f t="shared" si="90"/>
        <v>39.659999999999997</v>
      </c>
      <c r="BV177" s="3">
        <f t="shared" si="91"/>
        <v>6.2</v>
      </c>
      <c r="BW177" s="3">
        <f t="shared" si="118"/>
        <v>6.3</v>
      </c>
      <c r="BX177" s="3">
        <f t="shared" si="118"/>
        <v>6.4</v>
      </c>
      <c r="BY177" s="3">
        <f t="shared" si="118"/>
        <v>8</v>
      </c>
      <c r="BZ177" s="3">
        <f t="shared" si="117"/>
        <v>8.6999999999999993</v>
      </c>
      <c r="CA177" s="3">
        <f t="shared" si="117"/>
        <v>8.1999999999999993</v>
      </c>
      <c r="CB177" s="3">
        <f t="shared" si="117"/>
        <v>8.3000000000000007</v>
      </c>
      <c r="CC177" s="22">
        <f t="shared" si="92"/>
        <v>84.7</v>
      </c>
      <c r="CD177" s="1">
        <f t="shared" si="96"/>
        <v>11.4</v>
      </c>
      <c r="CE177" s="1">
        <f t="shared" si="97"/>
        <v>17.100000000000001</v>
      </c>
      <c r="CF177" s="1">
        <f t="shared" si="98"/>
        <v>18.3</v>
      </c>
      <c r="CG177" s="1">
        <f t="shared" si="99"/>
        <v>14.6</v>
      </c>
      <c r="CH177" s="1">
        <f t="shared" si="100"/>
        <v>11.1</v>
      </c>
      <c r="CI177" s="1">
        <f t="shared" si="101"/>
        <v>8.6</v>
      </c>
      <c r="CJ177" s="1">
        <f t="shared" si="102"/>
        <v>8.8000000000000007</v>
      </c>
      <c r="CK177" s="2">
        <f t="shared" si="93"/>
        <v>99.3</v>
      </c>
      <c r="CL177" s="1">
        <f t="shared" si="103"/>
        <v>0.2</v>
      </c>
      <c r="CM177" s="1">
        <f t="shared" si="104"/>
        <v>-0.4</v>
      </c>
      <c r="CN177" s="1">
        <f t="shared" si="105"/>
        <v>-0.5</v>
      </c>
      <c r="CO177" s="1">
        <f t="shared" si="106"/>
        <v>1.8</v>
      </c>
      <c r="CP177" s="1">
        <f t="shared" si="107"/>
        <v>7.2</v>
      </c>
      <c r="CQ177" s="1">
        <f t="shared" si="108"/>
        <v>7.7</v>
      </c>
      <c r="CR177" s="1">
        <f t="shared" si="109"/>
        <v>7.8</v>
      </c>
      <c r="CS177" s="2">
        <f t="shared" si="110"/>
        <v>59.5</v>
      </c>
      <c r="CT177" s="6">
        <f t="shared" si="111"/>
        <v>0</v>
      </c>
      <c r="CU177" s="1">
        <f>PPTest!K177</f>
        <v>0</v>
      </c>
      <c r="CV177" s="3">
        <f t="shared" si="112"/>
        <v>1.51</v>
      </c>
      <c r="CW177" s="3">
        <f t="shared" si="113"/>
        <v>3.96</v>
      </c>
      <c r="CX177" s="24">
        <f t="shared" si="114"/>
        <v>0.79900000000000004</v>
      </c>
      <c r="CY177" s="24">
        <f t="shared" si="114"/>
        <v>0.54400000000000004</v>
      </c>
      <c r="CZ177" s="16">
        <f t="shared" si="115"/>
        <v>13.06</v>
      </c>
    </row>
    <row r="178" spans="1:104" x14ac:dyDescent="0.2">
      <c r="A178" s="14">
        <f t="shared" si="116"/>
        <v>38889</v>
      </c>
      <c r="B178" s="1">
        <v>172</v>
      </c>
      <c r="C178" s="3">
        <v>21.55</v>
      </c>
      <c r="D178" s="3">
        <v>39.31</v>
      </c>
      <c r="E178" s="3">
        <v>6.8440000000000003</v>
      </c>
      <c r="F178" s="3">
        <v>92.6</v>
      </c>
      <c r="G178" s="3">
        <v>6.8769999999999998</v>
      </c>
      <c r="H178" s="3">
        <v>6.9059999999999997</v>
      </c>
      <c r="I178" s="3">
        <v>6.6349999999999998</v>
      </c>
      <c r="J178" s="3">
        <v>8.74</v>
      </c>
      <c r="K178" s="3">
        <v>8.17</v>
      </c>
      <c r="L178" s="3">
        <v>8.2100000000000009</v>
      </c>
      <c r="M178" s="3">
        <v>1.595</v>
      </c>
      <c r="N178" s="3">
        <v>1</v>
      </c>
      <c r="O178" s="3">
        <v>15.08</v>
      </c>
      <c r="P178" s="3">
        <v>1544</v>
      </c>
      <c r="Q178" s="3">
        <v>111</v>
      </c>
      <c r="R178" s="3">
        <v>239</v>
      </c>
      <c r="S178" s="3">
        <v>17.97</v>
      </c>
      <c r="T178" s="3">
        <v>18.989999999999998</v>
      </c>
      <c r="U178" s="3">
        <v>13.48</v>
      </c>
      <c r="V178" s="3">
        <v>12.44</v>
      </c>
      <c r="W178" s="3">
        <v>8.93</v>
      </c>
      <c r="X178" s="3">
        <v>8.9499999999999993</v>
      </c>
      <c r="Y178" s="3">
        <v>4.2510000000000003</v>
      </c>
      <c r="Z178" s="3">
        <v>1448</v>
      </c>
      <c r="AA178" s="3">
        <v>-1.3160000000000001</v>
      </c>
      <c r="AB178" s="3">
        <v>335</v>
      </c>
      <c r="AC178" s="3">
        <v>45.99</v>
      </c>
      <c r="AD178" s="3">
        <v>1610</v>
      </c>
      <c r="AE178" s="3">
        <v>-1.8069999999999999</v>
      </c>
      <c r="AF178" s="3">
        <v>-1.948</v>
      </c>
      <c r="AG178" s="3">
        <v>0.56299999999999994</v>
      </c>
      <c r="AH178" s="3">
        <v>6.08</v>
      </c>
      <c r="AI178" s="3">
        <v>7.54</v>
      </c>
      <c r="AJ178" s="3">
        <v>7.63</v>
      </c>
      <c r="AK178" s="3">
        <v>0.04</v>
      </c>
      <c r="AL178" s="3">
        <v>0.26800000000000002</v>
      </c>
      <c r="AM178" s="3">
        <v>0.20200000000000001</v>
      </c>
      <c r="AN178" s="3">
        <v>0.02</v>
      </c>
      <c r="AO178" s="3">
        <v>0.11899999999999999</v>
      </c>
      <c r="AP178" s="3">
        <v>0.184</v>
      </c>
      <c r="AQ178" s="3">
        <v>0.10100000000000001</v>
      </c>
      <c r="AR178" s="3">
        <v>6.6000000000000003E-2</v>
      </c>
      <c r="AS178" s="3">
        <v>3509</v>
      </c>
      <c r="AT178" s="3">
        <v>3502</v>
      </c>
      <c r="AU178" s="3">
        <v>3505</v>
      </c>
      <c r="AV178" s="3">
        <v>7.41</v>
      </c>
      <c r="AW178" s="3">
        <v>7.33</v>
      </c>
      <c r="AX178" s="3">
        <v>17.489999999999998</v>
      </c>
      <c r="AY178" s="3">
        <v>17.940000000000001</v>
      </c>
      <c r="AZ178" s="3">
        <v>-1.647</v>
      </c>
      <c r="BA178" s="3">
        <v>-1.855</v>
      </c>
      <c r="BB178" s="3">
        <v>13.01</v>
      </c>
      <c r="BC178" s="3">
        <v>2876</v>
      </c>
      <c r="BE178" s="6"/>
      <c r="BG178" s="16">
        <v>33.24</v>
      </c>
      <c r="BH178" s="16">
        <f t="shared" si="85"/>
        <v>67.144800000000004</v>
      </c>
      <c r="BI178" s="17">
        <f t="shared" si="119"/>
        <v>21.12</v>
      </c>
      <c r="BJ178" s="17">
        <f t="shared" si="120"/>
        <v>43.24</v>
      </c>
      <c r="BL178" s="1">
        <f t="shared" si="86"/>
        <v>99.8</v>
      </c>
      <c r="BM178" s="1">
        <f t="shared" si="87"/>
        <v>74.5</v>
      </c>
      <c r="BN178" s="1">
        <f t="shared" si="88"/>
        <v>33.5</v>
      </c>
      <c r="BO178" s="49">
        <f t="shared" si="94"/>
        <v>0.57399999999999995</v>
      </c>
      <c r="BP178" s="49">
        <f t="shared" si="95"/>
        <v>1.139</v>
      </c>
      <c r="BR178" s="3">
        <v>0</v>
      </c>
      <c r="BT178" s="16">
        <f t="shared" si="89"/>
        <v>21.12</v>
      </c>
      <c r="BU178" s="16">
        <f t="shared" si="90"/>
        <v>43.24</v>
      </c>
      <c r="BV178" s="3">
        <f t="shared" si="91"/>
        <v>6.8</v>
      </c>
      <c r="BW178" s="3">
        <f t="shared" si="118"/>
        <v>6.9</v>
      </c>
      <c r="BX178" s="3">
        <f t="shared" si="118"/>
        <v>6.9</v>
      </c>
      <c r="BY178" s="3">
        <f t="shared" si="118"/>
        <v>6.6</v>
      </c>
      <c r="BZ178" s="3">
        <f t="shared" si="117"/>
        <v>8.6999999999999993</v>
      </c>
      <c r="CA178" s="3">
        <f t="shared" si="117"/>
        <v>8.1999999999999993</v>
      </c>
      <c r="CB178" s="3">
        <f t="shared" si="117"/>
        <v>8.1999999999999993</v>
      </c>
      <c r="CC178" s="22">
        <f t="shared" si="92"/>
        <v>74.5</v>
      </c>
      <c r="CD178" s="1">
        <f t="shared" si="96"/>
        <v>15.1</v>
      </c>
      <c r="CE178" s="1">
        <f t="shared" si="97"/>
        <v>18</v>
      </c>
      <c r="CF178" s="1">
        <f t="shared" si="98"/>
        <v>19</v>
      </c>
      <c r="CG178" s="1">
        <f t="shared" si="99"/>
        <v>13.5</v>
      </c>
      <c r="CH178" s="1">
        <f t="shared" si="100"/>
        <v>12.4</v>
      </c>
      <c r="CI178" s="1">
        <f t="shared" si="101"/>
        <v>8.9</v>
      </c>
      <c r="CJ178" s="1">
        <f t="shared" si="102"/>
        <v>9</v>
      </c>
      <c r="CK178" s="2">
        <f t="shared" si="93"/>
        <v>99.8</v>
      </c>
      <c r="CL178" s="1">
        <f t="shared" si="103"/>
        <v>-1.3</v>
      </c>
      <c r="CM178" s="1">
        <f t="shared" si="104"/>
        <v>-1.8</v>
      </c>
      <c r="CN178" s="1">
        <f t="shared" si="105"/>
        <v>-1.9</v>
      </c>
      <c r="CO178" s="1">
        <f t="shared" si="106"/>
        <v>0.6</v>
      </c>
      <c r="CP178" s="1">
        <f t="shared" si="107"/>
        <v>6.1</v>
      </c>
      <c r="CQ178" s="1">
        <f t="shared" si="108"/>
        <v>7.5</v>
      </c>
      <c r="CR178" s="1">
        <f t="shared" si="109"/>
        <v>7.6</v>
      </c>
      <c r="CS178" s="2">
        <f t="shared" si="110"/>
        <v>33.5</v>
      </c>
      <c r="CT178" s="6">
        <f t="shared" si="111"/>
        <v>0</v>
      </c>
      <c r="CU178" s="1">
        <f>PPTest!K178</f>
        <v>1</v>
      </c>
      <c r="CV178" s="3">
        <f t="shared" si="112"/>
        <v>1.6</v>
      </c>
      <c r="CW178" s="3">
        <f t="shared" si="113"/>
        <v>4.25</v>
      </c>
      <c r="CX178" s="24">
        <f t="shared" si="114"/>
        <v>0.57399999999999995</v>
      </c>
      <c r="CY178" s="24">
        <f t="shared" si="114"/>
        <v>1.139</v>
      </c>
      <c r="CZ178" s="16">
        <f t="shared" si="115"/>
        <v>13.01</v>
      </c>
    </row>
    <row r="179" spans="1:104" x14ac:dyDescent="0.2">
      <c r="A179" s="14">
        <f t="shared" si="116"/>
        <v>38890</v>
      </c>
      <c r="B179" s="1">
        <v>173</v>
      </c>
      <c r="C179" s="3">
        <v>23.36</v>
      </c>
      <c r="D179" s="3">
        <v>42.4</v>
      </c>
      <c r="E179" s="3">
        <v>8.75</v>
      </c>
      <c r="F179" s="3">
        <v>84.5</v>
      </c>
      <c r="G179" s="3">
        <v>8.77</v>
      </c>
      <c r="H179" s="3">
        <v>8.8000000000000007</v>
      </c>
      <c r="I179" s="3">
        <v>8.61</v>
      </c>
      <c r="J179" s="3">
        <v>9.6</v>
      </c>
      <c r="K179" s="3">
        <v>8.3699999999999992</v>
      </c>
      <c r="L179" s="3">
        <v>8.1300000000000008</v>
      </c>
      <c r="M179" s="3">
        <v>1.9419999999999999</v>
      </c>
      <c r="N179" s="3">
        <v>0</v>
      </c>
      <c r="O179" s="3">
        <v>16.16</v>
      </c>
      <c r="P179" s="3">
        <v>1646</v>
      </c>
      <c r="Q179" s="3">
        <v>110.5</v>
      </c>
      <c r="R179" s="3">
        <v>351</v>
      </c>
      <c r="S179" s="3">
        <v>19.66</v>
      </c>
      <c r="T179" s="3">
        <v>20.93</v>
      </c>
      <c r="U179" s="3">
        <v>19.14</v>
      </c>
      <c r="V179" s="3">
        <v>12.67</v>
      </c>
      <c r="W179" s="3">
        <v>8.91</v>
      </c>
      <c r="X179" s="3">
        <v>8.7899999999999991</v>
      </c>
      <c r="Y179" s="3">
        <v>5.1289999999999996</v>
      </c>
      <c r="Z179" s="3">
        <v>1401</v>
      </c>
      <c r="AA179" s="3">
        <v>0.64500000000000002</v>
      </c>
      <c r="AB179" s="3">
        <v>146</v>
      </c>
      <c r="AC179" s="3">
        <v>44.27</v>
      </c>
      <c r="AD179" s="3">
        <v>1927</v>
      </c>
      <c r="AE179" s="3">
        <v>-4.7E-2</v>
      </c>
      <c r="AF179" s="3">
        <v>-0.126</v>
      </c>
      <c r="AG179" s="3">
        <v>1.839</v>
      </c>
      <c r="AH179" s="3">
        <v>7.27</v>
      </c>
      <c r="AI179" s="3">
        <v>7.68</v>
      </c>
      <c r="AJ179" s="3">
        <v>7.3</v>
      </c>
      <c r="AK179" s="3">
        <v>7.0999999999999994E-2</v>
      </c>
      <c r="AL179" s="3">
        <v>0.29599999999999999</v>
      </c>
      <c r="AM179" s="3">
        <v>0.16700000000000001</v>
      </c>
      <c r="AN179" s="3">
        <v>1.6E-2</v>
      </c>
      <c r="AO179" s="3">
        <v>8.5999999999999993E-2</v>
      </c>
      <c r="AP179" s="3">
        <v>0.22700000000000001</v>
      </c>
      <c r="AQ179" s="3">
        <v>0.107</v>
      </c>
      <c r="AR179" s="3">
        <v>3.1E-2</v>
      </c>
      <c r="AS179" s="3">
        <v>3517</v>
      </c>
      <c r="AT179" s="3">
        <v>3492</v>
      </c>
      <c r="AU179" s="3">
        <v>3507</v>
      </c>
      <c r="AV179" s="3">
        <v>9.32</v>
      </c>
      <c r="AW179" s="3">
        <v>9.19</v>
      </c>
      <c r="AX179" s="3">
        <v>19.07</v>
      </c>
      <c r="AY179" s="3">
        <v>19.55</v>
      </c>
      <c r="AZ179" s="3">
        <v>0.16500000000000001</v>
      </c>
      <c r="BA179" s="3">
        <v>-0.05</v>
      </c>
      <c r="BB179" s="3">
        <v>13.01</v>
      </c>
      <c r="BC179" s="3">
        <v>2876</v>
      </c>
      <c r="BE179" s="6"/>
      <c r="BG179" s="16">
        <v>33.22</v>
      </c>
      <c r="BH179" s="16">
        <f t="shared" si="85"/>
        <v>67.104399999999998</v>
      </c>
      <c r="BI179" s="17">
        <f t="shared" si="119"/>
        <v>22.89</v>
      </c>
      <c r="BJ179" s="17">
        <f t="shared" si="120"/>
        <v>46.64</v>
      </c>
      <c r="BL179" s="1">
        <f t="shared" si="86"/>
        <v>99</v>
      </c>
      <c r="BM179" s="1">
        <f t="shared" si="87"/>
        <v>67.400000000000006</v>
      </c>
      <c r="BN179" s="1">
        <f t="shared" si="88"/>
        <v>32</v>
      </c>
      <c r="BO179" s="49">
        <f t="shared" si="94"/>
        <v>0.58799999999999997</v>
      </c>
      <c r="BP179" s="49">
        <f t="shared" si="95"/>
        <v>1.25</v>
      </c>
      <c r="BR179" s="3">
        <v>0.2</v>
      </c>
      <c r="BT179" s="16">
        <f t="shared" si="89"/>
        <v>22.89</v>
      </c>
      <c r="BU179" s="16">
        <f t="shared" si="90"/>
        <v>46.64</v>
      </c>
      <c r="BV179" s="3">
        <f t="shared" si="91"/>
        <v>8.8000000000000007</v>
      </c>
      <c r="BW179" s="3">
        <f t="shared" si="118"/>
        <v>8.8000000000000007</v>
      </c>
      <c r="BX179" s="3">
        <f t="shared" si="118"/>
        <v>8.8000000000000007</v>
      </c>
      <c r="BY179" s="3">
        <f t="shared" si="118"/>
        <v>8.6</v>
      </c>
      <c r="BZ179" s="3">
        <f t="shared" si="117"/>
        <v>9.6</v>
      </c>
      <c r="CA179" s="3">
        <f t="shared" si="117"/>
        <v>8.4</v>
      </c>
      <c r="CB179" s="3">
        <f t="shared" si="117"/>
        <v>8.1</v>
      </c>
      <c r="CC179" s="22">
        <f t="shared" si="92"/>
        <v>67.400000000000006</v>
      </c>
      <c r="CD179" s="1">
        <f t="shared" si="96"/>
        <v>16.2</v>
      </c>
      <c r="CE179" s="1">
        <f t="shared" si="97"/>
        <v>19.7</v>
      </c>
      <c r="CF179" s="1">
        <f t="shared" si="98"/>
        <v>20.9</v>
      </c>
      <c r="CG179" s="1">
        <f t="shared" si="99"/>
        <v>19.100000000000001</v>
      </c>
      <c r="CH179" s="1">
        <f t="shared" si="100"/>
        <v>12.7</v>
      </c>
      <c r="CI179" s="1">
        <f t="shared" si="101"/>
        <v>8.9</v>
      </c>
      <c r="CJ179" s="1">
        <f t="shared" si="102"/>
        <v>8.8000000000000007</v>
      </c>
      <c r="CK179" s="2">
        <f t="shared" si="93"/>
        <v>99</v>
      </c>
      <c r="CL179" s="1">
        <f t="shared" si="103"/>
        <v>0.6</v>
      </c>
      <c r="CM179" s="1">
        <f t="shared" si="104"/>
        <v>0</v>
      </c>
      <c r="CN179" s="1">
        <f t="shared" si="105"/>
        <v>-0.1</v>
      </c>
      <c r="CO179" s="1">
        <f t="shared" si="106"/>
        <v>1.8</v>
      </c>
      <c r="CP179" s="1">
        <f t="shared" si="107"/>
        <v>7.3</v>
      </c>
      <c r="CQ179" s="1">
        <f t="shared" si="108"/>
        <v>7.7</v>
      </c>
      <c r="CR179" s="1">
        <f t="shared" si="109"/>
        <v>7.3</v>
      </c>
      <c r="CS179" s="2">
        <f t="shared" si="110"/>
        <v>32</v>
      </c>
      <c r="CT179" s="6">
        <f t="shared" si="111"/>
        <v>0</v>
      </c>
      <c r="CU179" s="1">
        <f>PPTest!K179</f>
        <v>0</v>
      </c>
      <c r="CV179" s="3">
        <f t="shared" si="112"/>
        <v>1.94</v>
      </c>
      <c r="CW179" s="3">
        <f t="shared" si="113"/>
        <v>5.13</v>
      </c>
      <c r="CX179" s="24">
        <f t="shared" si="114"/>
        <v>0.58799999999999997</v>
      </c>
      <c r="CY179" s="24">
        <f t="shared" si="114"/>
        <v>1.25</v>
      </c>
      <c r="CZ179" s="16">
        <f t="shared" si="115"/>
        <v>13.01</v>
      </c>
    </row>
    <row r="180" spans="1:104" x14ac:dyDescent="0.2">
      <c r="A180" s="14">
        <f t="shared" si="116"/>
        <v>38891</v>
      </c>
      <c r="B180" s="1">
        <v>174</v>
      </c>
      <c r="C180" s="3">
        <v>33.56</v>
      </c>
      <c r="D180" s="3">
        <v>60.52</v>
      </c>
      <c r="E180" s="3">
        <v>9.02</v>
      </c>
      <c r="F180" s="3">
        <v>75.900000000000006</v>
      </c>
      <c r="G180" s="3">
        <v>9.17</v>
      </c>
      <c r="H180" s="3">
        <v>9.31</v>
      </c>
      <c r="I180" s="3">
        <v>8.6199999999999992</v>
      </c>
      <c r="J180" s="3">
        <v>10.06</v>
      </c>
      <c r="K180" s="3">
        <v>8.56</v>
      </c>
      <c r="L180" s="3">
        <v>8.1199999999999992</v>
      </c>
      <c r="M180" s="3">
        <v>1.754</v>
      </c>
      <c r="N180" s="3">
        <v>0</v>
      </c>
      <c r="O180" s="3">
        <v>17.18</v>
      </c>
      <c r="P180" s="3">
        <v>1616</v>
      </c>
      <c r="Q180" s="3">
        <v>109</v>
      </c>
      <c r="R180" s="3">
        <v>423</v>
      </c>
      <c r="S180" s="3">
        <v>20.81</v>
      </c>
      <c r="T180" s="3">
        <v>20.52</v>
      </c>
      <c r="U180" s="3">
        <v>22.72</v>
      </c>
      <c r="V180" s="3">
        <v>13.78</v>
      </c>
      <c r="W180" s="3">
        <v>9.42</v>
      </c>
      <c r="X180" s="3">
        <v>8.98</v>
      </c>
      <c r="Y180" s="3">
        <v>4.4640000000000004</v>
      </c>
      <c r="Z180" s="3">
        <v>1411</v>
      </c>
      <c r="AA180" s="3">
        <v>-0.29599999999999999</v>
      </c>
      <c r="AB180" s="3">
        <v>422</v>
      </c>
      <c r="AC180" s="3">
        <v>37.229999999999997</v>
      </c>
      <c r="AD180" s="3">
        <v>1313</v>
      </c>
      <c r="AE180" s="3">
        <v>-1.081</v>
      </c>
      <c r="AF180" s="3">
        <v>-1.425</v>
      </c>
      <c r="AG180" s="3">
        <v>0.96199999999999997</v>
      </c>
      <c r="AH180" s="3">
        <v>6.984</v>
      </c>
      <c r="AI180" s="3">
        <v>7.86</v>
      </c>
      <c r="AJ180" s="3">
        <v>7.35</v>
      </c>
      <c r="AK180" s="3">
        <v>7.5999999999999998E-2</v>
      </c>
      <c r="AL180" s="3">
        <v>0.28999999999999998</v>
      </c>
      <c r="AM180" s="3">
        <v>0.17399999999999999</v>
      </c>
      <c r="AN180" s="3">
        <v>1.4999999999999999E-2</v>
      </c>
      <c r="AO180" s="3">
        <v>7.8E-2</v>
      </c>
      <c r="AP180" s="3">
        <v>0.14699999999999999</v>
      </c>
      <c r="AQ180" s="3">
        <v>0.108</v>
      </c>
      <c r="AR180" s="3">
        <v>0.114</v>
      </c>
      <c r="AS180" s="3">
        <v>3510</v>
      </c>
      <c r="AT180" s="3">
        <v>3507</v>
      </c>
      <c r="AU180" s="3">
        <v>3508</v>
      </c>
      <c r="AV180" s="3">
        <v>9.81</v>
      </c>
      <c r="AW180" s="3">
        <v>9.73</v>
      </c>
      <c r="AX180" s="3">
        <v>20.34</v>
      </c>
      <c r="AY180" s="3">
        <v>20.46</v>
      </c>
      <c r="AZ180" s="3">
        <v>-1.0269999999999999</v>
      </c>
      <c r="BA180" s="3">
        <v>-1.3169999999999999</v>
      </c>
      <c r="BB180" s="3">
        <v>12.92</v>
      </c>
      <c r="BC180" s="3">
        <v>2876</v>
      </c>
      <c r="BE180" s="6"/>
      <c r="BG180" s="16">
        <v>33.200000000000003</v>
      </c>
      <c r="BH180" s="16">
        <f t="shared" si="85"/>
        <v>67.064000000000007</v>
      </c>
      <c r="BI180" s="17">
        <f t="shared" si="119"/>
        <v>32.89</v>
      </c>
      <c r="BJ180" s="17">
        <f t="shared" si="120"/>
        <v>66.569999999999993</v>
      </c>
      <c r="BL180" s="1">
        <f t="shared" si="86"/>
        <v>96.6</v>
      </c>
      <c r="BM180" s="1">
        <f t="shared" si="87"/>
        <v>59.8</v>
      </c>
      <c r="BN180" s="1">
        <f t="shared" si="88"/>
        <v>25.8</v>
      </c>
      <c r="BO180" s="49">
        <f t="shared" si="94"/>
        <v>0.50600000000000001</v>
      </c>
      <c r="BP180" s="49">
        <f t="shared" si="95"/>
        <v>1.4550000000000001</v>
      </c>
      <c r="BR180" s="3">
        <v>0</v>
      </c>
      <c r="BT180" s="16">
        <f t="shared" si="89"/>
        <v>32.89</v>
      </c>
      <c r="BU180" s="16">
        <f t="shared" si="90"/>
        <v>66.569999999999993</v>
      </c>
      <c r="BV180" s="3">
        <f t="shared" si="91"/>
        <v>9</v>
      </c>
      <c r="BW180" s="3">
        <f t="shared" si="118"/>
        <v>9.1999999999999993</v>
      </c>
      <c r="BX180" s="3">
        <f t="shared" si="118"/>
        <v>9.3000000000000007</v>
      </c>
      <c r="BY180" s="3">
        <f t="shared" si="118"/>
        <v>8.6</v>
      </c>
      <c r="BZ180" s="3">
        <f t="shared" si="117"/>
        <v>10.1</v>
      </c>
      <c r="CA180" s="3">
        <f t="shared" si="117"/>
        <v>8.6</v>
      </c>
      <c r="CB180" s="3">
        <f t="shared" si="117"/>
        <v>8.1</v>
      </c>
      <c r="CC180" s="22">
        <f t="shared" si="92"/>
        <v>59.8</v>
      </c>
      <c r="CD180" s="1">
        <f t="shared" si="96"/>
        <v>17.2</v>
      </c>
      <c r="CE180" s="1">
        <f t="shared" si="97"/>
        <v>20.8</v>
      </c>
      <c r="CF180" s="1">
        <f t="shared" si="98"/>
        <v>20.5</v>
      </c>
      <c r="CG180" s="1">
        <f t="shared" si="99"/>
        <v>22.7</v>
      </c>
      <c r="CH180" s="1">
        <f t="shared" si="100"/>
        <v>13.8</v>
      </c>
      <c r="CI180" s="1">
        <f t="shared" si="101"/>
        <v>9.4</v>
      </c>
      <c r="CJ180" s="1">
        <f t="shared" si="102"/>
        <v>9</v>
      </c>
      <c r="CK180" s="2">
        <f t="shared" si="93"/>
        <v>96.6</v>
      </c>
      <c r="CL180" s="1">
        <f t="shared" si="103"/>
        <v>-0.3</v>
      </c>
      <c r="CM180" s="1">
        <f t="shared" si="104"/>
        <v>-1.1000000000000001</v>
      </c>
      <c r="CN180" s="1">
        <f t="shared" si="105"/>
        <v>-1.4</v>
      </c>
      <c r="CO180" s="1">
        <f t="shared" si="106"/>
        <v>1</v>
      </c>
      <c r="CP180" s="1">
        <f t="shared" si="107"/>
        <v>7</v>
      </c>
      <c r="CQ180" s="1">
        <f t="shared" si="108"/>
        <v>7.9</v>
      </c>
      <c r="CR180" s="1">
        <f t="shared" si="109"/>
        <v>7.4</v>
      </c>
      <c r="CS180" s="2">
        <f t="shared" si="110"/>
        <v>25.8</v>
      </c>
      <c r="CT180" s="6">
        <f t="shared" si="111"/>
        <v>0</v>
      </c>
      <c r="CU180" s="1">
        <f>PPTest!K180</f>
        <v>0</v>
      </c>
      <c r="CV180" s="3">
        <f t="shared" si="112"/>
        <v>1.75</v>
      </c>
      <c r="CW180" s="3">
        <f t="shared" si="113"/>
        <v>4.46</v>
      </c>
      <c r="CX180" s="24">
        <f t="shared" si="114"/>
        <v>0.50600000000000001</v>
      </c>
      <c r="CY180" s="24">
        <f t="shared" si="114"/>
        <v>1.4550000000000001</v>
      </c>
      <c r="CZ180" s="16">
        <f t="shared" si="115"/>
        <v>12.92</v>
      </c>
    </row>
    <row r="181" spans="1:104" x14ac:dyDescent="0.2">
      <c r="A181" s="14">
        <f t="shared" si="116"/>
        <v>38892</v>
      </c>
      <c r="B181" s="1">
        <v>175</v>
      </c>
      <c r="C181" s="3">
        <v>33.22</v>
      </c>
      <c r="D181" s="3">
        <v>60.64</v>
      </c>
      <c r="E181" s="3">
        <v>12.29</v>
      </c>
      <c r="F181" s="3">
        <v>66.06</v>
      </c>
      <c r="G181" s="3">
        <v>12.32</v>
      </c>
      <c r="H181" s="3">
        <v>12.37</v>
      </c>
      <c r="I181" s="3">
        <v>10.09</v>
      </c>
      <c r="J181" s="3">
        <v>10.87</v>
      </c>
      <c r="K181" s="3">
        <v>8.84</v>
      </c>
      <c r="L181" s="3">
        <v>8.1300000000000008</v>
      </c>
      <c r="M181" s="3">
        <v>1.89</v>
      </c>
      <c r="N181" s="3">
        <v>0</v>
      </c>
      <c r="O181" s="3">
        <v>20.94</v>
      </c>
      <c r="P181" s="3">
        <v>1653</v>
      </c>
      <c r="Q181" s="3">
        <v>108.4</v>
      </c>
      <c r="R181" s="3">
        <v>418</v>
      </c>
      <c r="S181" s="3">
        <v>23.85</v>
      </c>
      <c r="T181" s="3">
        <v>24.91</v>
      </c>
      <c r="U181" s="3">
        <v>24.03</v>
      </c>
      <c r="V181" s="3">
        <v>14.64</v>
      </c>
      <c r="W181" s="3">
        <v>9.7799999999999994</v>
      </c>
      <c r="X181" s="3">
        <v>9.1300000000000008</v>
      </c>
      <c r="Y181" s="3">
        <v>5.0090000000000003</v>
      </c>
      <c r="Z181" s="3">
        <v>1357</v>
      </c>
      <c r="AA181" s="3">
        <v>0.5</v>
      </c>
      <c r="AB181" s="3">
        <v>342</v>
      </c>
      <c r="AC181" s="3">
        <v>29.39</v>
      </c>
      <c r="AD181" s="3">
        <v>1538</v>
      </c>
      <c r="AE181" s="3">
        <v>-0.23</v>
      </c>
      <c r="AF181" s="3">
        <v>-0.33500000000000002</v>
      </c>
      <c r="AG181" s="3">
        <v>1.448</v>
      </c>
      <c r="AH181" s="3">
        <v>7.54</v>
      </c>
      <c r="AI181" s="3">
        <v>8.1199999999999992</v>
      </c>
      <c r="AJ181" s="3">
        <v>7.23</v>
      </c>
      <c r="AK181" s="3">
        <v>4.9000000000000002E-2</v>
      </c>
      <c r="AL181" s="3">
        <v>0.32400000000000001</v>
      </c>
      <c r="AM181" s="3">
        <v>0.20599999999999999</v>
      </c>
      <c r="AN181" s="3">
        <v>1.4999999999999999E-2</v>
      </c>
      <c r="AO181" s="3">
        <v>7.9000000000000001E-2</v>
      </c>
      <c r="AP181" s="3">
        <v>0.153</v>
      </c>
      <c r="AQ181" s="3">
        <v>0.10299999999999999</v>
      </c>
      <c r="AR181" s="3">
        <v>7.1999999999999995E-2</v>
      </c>
      <c r="AS181" s="3">
        <v>3514</v>
      </c>
      <c r="AT181" s="3">
        <v>3495</v>
      </c>
      <c r="AU181" s="3">
        <v>3506</v>
      </c>
      <c r="AV181" s="3">
        <v>12.61</v>
      </c>
      <c r="AW181" s="3">
        <v>12.55</v>
      </c>
      <c r="AX181" s="3">
        <v>24.35</v>
      </c>
      <c r="AY181" s="3">
        <v>24.25</v>
      </c>
      <c r="AZ181" s="3">
        <v>-0.247</v>
      </c>
      <c r="BA181" s="3">
        <v>-0.45700000000000002</v>
      </c>
      <c r="BB181" s="3">
        <v>12.86</v>
      </c>
      <c r="BC181" s="3">
        <v>2876</v>
      </c>
      <c r="BG181" s="16">
        <v>33.18</v>
      </c>
      <c r="BH181" s="16">
        <f t="shared" si="85"/>
        <v>67.023600000000002</v>
      </c>
      <c r="BI181" s="17">
        <f t="shared" si="119"/>
        <v>32.56</v>
      </c>
      <c r="BJ181" s="17">
        <f t="shared" si="120"/>
        <v>66.7</v>
      </c>
      <c r="BL181" s="1">
        <f t="shared" si="86"/>
        <v>95.7</v>
      </c>
      <c r="BM181" s="1">
        <f t="shared" si="87"/>
        <v>51.1</v>
      </c>
      <c r="BN181" s="1">
        <f t="shared" si="88"/>
        <v>18.899999999999999</v>
      </c>
      <c r="BO181" s="49">
        <f t="shared" si="94"/>
        <v>0.46800000000000003</v>
      </c>
      <c r="BP181" s="49">
        <f t="shared" si="95"/>
        <v>2.008</v>
      </c>
      <c r="BR181" s="3">
        <v>0</v>
      </c>
      <c r="BT181" s="16">
        <f t="shared" si="89"/>
        <v>32.56</v>
      </c>
      <c r="BU181" s="16">
        <f t="shared" si="90"/>
        <v>66.7</v>
      </c>
      <c r="BV181" s="3">
        <f t="shared" si="91"/>
        <v>12.3</v>
      </c>
      <c r="BW181" s="3">
        <f t="shared" si="118"/>
        <v>12.3</v>
      </c>
      <c r="BX181" s="3">
        <f t="shared" si="118"/>
        <v>12.4</v>
      </c>
      <c r="BY181" s="3">
        <f t="shared" si="118"/>
        <v>10.1</v>
      </c>
      <c r="BZ181" s="3">
        <f t="shared" si="117"/>
        <v>10.9</v>
      </c>
      <c r="CA181" s="3">
        <f t="shared" si="117"/>
        <v>8.8000000000000007</v>
      </c>
      <c r="CB181" s="3">
        <f t="shared" si="117"/>
        <v>8.1</v>
      </c>
      <c r="CC181" s="22">
        <f t="shared" si="92"/>
        <v>51.1</v>
      </c>
      <c r="CD181" s="1">
        <f t="shared" si="96"/>
        <v>20.9</v>
      </c>
      <c r="CE181" s="1">
        <f t="shared" si="97"/>
        <v>23.9</v>
      </c>
      <c r="CF181" s="1">
        <f t="shared" si="98"/>
        <v>24.9</v>
      </c>
      <c r="CG181" s="1">
        <f t="shared" si="99"/>
        <v>24</v>
      </c>
      <c r="CH181" s="1">
        <f t="shared" si="100"/>
        <v>14.6</v>
      </c>
      <c r="CI181" s="1">
        <f t="shared" si="101"/>
        <v>9.8000000000000007</v>
      </c>
      <c r="CJ181" s="1">
        <f t="shared" si="102"/>
        <v>9.1</v>
      </c>
      <c r="CK181" s="2">
        <f t="shared" si="93"/>
        <v>95.7</v>
      </c>
      <c r="CL181" s="1">
        <f t="shared" si="103"/>
        <v>0.5</v>
      </c>
      <c r="CM181" s="1">
        <f t="shared" si="104"/>
        <v>-0.2</v>
      </c>
      <c r="CN181" s="1">
        <f t="shared" si="105"/>
        <v>-0.3</v>
      </c>
      <c r="CO181" s="1">
        <f t="shared" si="106"/>
        <v>1.4</v>
      </c>
      <c r="CP181" s="1">
        <f t="shared" si="107"/>
        <v>7.5</v>
      </c>
      <c r="CQ181" s="1">
        <f t="shared" si="108"/>
        <v>8.1</v>
      </c>
      <c r="CR181" s="1">
        <f t="shared" si="109"/>
        <v>7.2</v>
      </c>
      <c r="CS181" s="2">
        <f t="shared" si="110"/>
        <v>18.899999999999999</v>
      </c>
      <c r="CT181" s="6">
        <f t="shared" si="111"/>
        <v>0</v>
      </c>
      <c r="CU181" s="1">
        <f>PPTest!K181</f>
        <v>0</v>
      </c>
      <c r="CV181" s="3">
        <f t="shared" si="112"/>
        <v>1.89</v>
      </c>
      <c r="CW181" s="3">
        <f t="shared" si="113"/>
        <v>5.01</v>
      </c>
      <c r="CX181" s="24">
        <f t="shared" si="114"/>
        <v>0.46800000000000003</v>
      </c>
      <c r="CY181" s="24">
        <f t="shared" si="114"/>
        <v>2.008</v>
      </c>
      <c r="CZ181" s="16">
        <f t="shared" si="115"/>
        <v>12.86</v>
      </c>
    </row>
    <row r="182" spans="1:104" x14ac:dyDescent="0.2">
      <c r="A182" s="14">
        <f t="shared" si="116"/>
        <v>38893</v>
      </c>
      <c r="B182" s="1">
        <v>176</v>
      </c>
      <c r="C182" s="3">
        <v>33.549999999999997</v>
      </c>
      <c r="D182" s="3">
        <v>61.41</v>
      </c>
      <c r="E182" s="3">
        <v>15.29</v>
      </c>
      <c r="F182" s="3">
        <v>63.53</v>
      </c>
      <c r="G182" s="3">
        <v>15.3</v>
      </c>
      <c r="H182" s="3">
        <v>15.31</v>
      </c>
      <c r="I182" s="3">
        <v>11.82</v>
      </c>
      <c r="J182" s="3">
        <v>12</v>
      </c>
      <c r="K182" s="3">
        <v>9.34</v>
      </c>
      <c r="L182" s="3">
        <v>8.15</v>
      </c>
      <c r="M182" s="3">
        <v>1.8129999999999999</v>
      </c>
      <c r="N182" s="3">
        <v>0</v>
      </c>
      <c r="O182" s="3">
        <v>24.78</v>
      </c>
      <c r="P182" s="3">
        <v>1701</v>
      </c>
      <c r="Q182" s="3">
        <v>104.8</v>
      </c>
      <c r="R182" s="3">
        <v>411</v>
      </c>
      <c r="S182" s="3">
        <v>27.52</v>
      </c>
      <c r="T182" s="3">
        <v>28.06</v>
      </c>
      <c r="U182" s="3">
        <v>26.84</v>
      </c>
      <c r="V182" s="3">
        <v>15.8</v>
      </c>
      <c r="W182" s="3">
        <v>10.29</v>
      </c>
      <c r="X182" s="3">
        <v>9.1999999999999993</v>
      </c>
      <c r="Y182" s="3">
        <v>3.8650000000000002</v>
      </c>
      <c r="Z182" s="3">
        <v>1059</v>
      </c>
      <c r="AA182" s="3">
        <v>3.0369999999999999</v>
      </c>
      <c r="AB182" s="3">
        <v>410</v>
      </c>
      <c r="AC182" s="3">
        <v>18.170000000000002</v>
      </c>
      <c r="AD182" s="3">
        <v>1633</v>
      </c>
      <c r="AE182" s="3">
        <v>2.1560000000000001</v>
      </c>
      <c r="AF182" s="3">
        <v>1.9870000000000001</v>
      </c>
      <c r="AG182" s="3">
        <v>3.1869999999999998</v>
      </c>
      <c r="AH182" s="3">
        <v>8.6</v>
      </c>
      <c r="AI182" s="3">
        <v>8.65</v>
      </c>
      <c r="AJ182" s="3">
        <v>7.25</v>
      </c>
      <c r="AK182" s="3">
        <v>0.11700000000000001</v>
      </c>
      <c r="AL182" s="3">
        <v>0.36899999999999999</v>
      </c>
      <c r="AM182" s="3">
        <v>0.224</v>
      </c>
      <c r="AN182" s="3">
        <v>0.01</v>
      </c>
      <c r="AO182" s="3">
        <v>2.1999999999999999E-2</v>
      </c>
      <c r="AP182" s="3">
        <v>4.8000000000000001E-2</v>
      </c>
      <c r="AQ182" s="3">
        <v>8.4000000000000005E-2</v>
      </c>
      <c r="AR182" s="3">
        <v>0.126</v>
      </c>
      <c r="AS182" s="3">
        <v>3515</v>
      </c>
      <c r="AT182" s="3">
        <v>3479</v>
      </c>
      <c r="AU182" s="3">
        <v>3500</v>
      </c>
      <c r="AV182" s="3">
        <v>15.28</v>
      </c>
      <c r="AW182" s="3">
        <v>15.27</v>
      </c>
      <c r="AX182" s="3">
        <v>27.11</v>
      </c>
      <c r="AY182" s="3">
        <v>27.37</v>
      </c>
      <c r="AZ182" s="3">
        <v>2.0960000000000001</v>
      </c>
      <c r="BA182" s="3">
        <v>1.8660000000000001</v>
      </c>
      <c r="BB182" s="3">
        <v>12.79</v>
      </c>
      <c r="BC182" s="3">
        <v>2876</v>
      </c>
      <c r="BG182" s="16">
        <v>33.15</v>
      </c>
      <c r="BH182" s="16">
        <f t="shared" si="85"/>
        <v>66.962999999999994</v>
      </c>
      <c r="BI182" s="17">
        <f t="shared" si="119"/>
        <v>32.880000000000003</v>
      </c>
      <c r="BJ182" s="17">
        <f t="shared" si="120"/>
        <v>67.55</v>
      </c>
      <c r="BL182" s="1">
        <f t="shared" si="86"/>
        <v>89.9</v>
      </c>
      <c r="BM182" s="1">
        <f t="shared" si="87"/>
        <v>48.9</v>
      </c>
      <c r="BN182" s="1">
        <f t="shared" si="88"/>
        <v>9</v>
      </c>
      <c r="BO182" s="49">
        <f t="shared" si="94"/>
        <v>0.28100000000000003</v>
      </c>
      <c r="BP182" s="49">
        <f t="shared" si="95"/>
        <v>2.8410000000000002</v>
      </c>
      <c r="BR182" s="3">
        <v>0</v>
      </c>
      <c r="BT182" s="16">
        <f t="shared" si="89"/>
        <v>32.880000000000003</v>
      </c>
      <c r="BU182" s="16">
        <f t="shared" si="90"/>
        <v>67.55</v>
      </c>
      <c r="BV182" s="3">
        <f t="shared" si="91"/>
        <v>15.3</v>
      </c>
      <c r="BW182" s="3">
        <f t="shared" si="118"/>
        <v>15.3</v>
      </c>
      <c r="BX182" s="3">
        <f t="shared" si="118"/>
        <v>15.3</v>
      </c>
      <c r="BY182" s="3">
        <f t="shared" si="118"/>
        <v>11.8</v>
      </c>
      <c r="BZ182" s="3">
        <f t="shared" si="117"/>
        <v>12</v>
      </c>
      <c r="CA182" s="3">
        <f t="shared" si="117"/>
        <v>9.3000000000000007</v>
      </c>
      <c r="CB182" s="3">
        <f t="shared" si="117"/>
        <v>8.1999999999999993</v>
      </c>
      <c r="CC182" s="22">
        <f t="shared" si="92"/>
        <v>48.9</v>
      </c>
      <c r="CD182" s="1">
        <f t="shared" si="96"/>
        <v>24.8</v>
      </c>
      <c r="CE182" s="1">
        <f t="shared" si="97"/>
        <v>27.5</v>
      </c>
      <c r="CF182" s="1">
        <f t="shared" si="98"/>
        <v>28.1</v>
      </c>
      <c r="CG182" s="1">
        <f t="shared" si="99"/>
        <v>26.8</v>
      </c>
      <c r="CH182" s="1">
        <f t="shared" si="100"/>
        <v>15.8</v>
      </c>
      <c r="CI182" s="1">
        <f t="shared" si="101"/>
        <v>10.3</v>
      </c>
      <c r="CJ182" s="1">
        <f t="shared" si="102"/>
        <v>9.1999999999999993</v>
      </c>
      <c r="CK182" s="2">
        <f t="shared" si="93"/>
        <v>89.9</v>
      </c>
      <c r="CL182" s="1">
        <f t="shared" si="103"/>
        <v>3</v>
      </c>
      <c r="CM182" s="1">
        <f t="shared" si="104"/>
        <v>2.2000000000000002</v>
      </c>
      <c r="CN182" s="1">
        <f t="shared" si="105"/>
        <v>2</v>
      </c>
      <c r="CO182" s="1">
        <f t="shared" si="106"/>
        <v>3.2</v>
      </c>
      <c r="CP182" s="1">
        <f t="shared" si="107"/>
        <v>8.6</v>
      </c>
      <c r="CQ182" s="1">
        <f t="shared" si="108"/>
        <v>8.6999999999999993</v>
      </c>
      <c r="CR182" s="1">
        <f t="shared" si="109"/>
        <v>7.3</v>
      </c>
      <c r="CS182" s="2">
        <f t="shared" si="110"/>
        <v>9</v>
      </c>
      <c r="CT182" s="6">
        <f t="shared" si="111"/>
        <v>0</v>
      </c>
      <c r="CU182" s="1">
        <f>PPTest!K182</f>
        <v>0</v>
      </c>
      <c r="CV182" s="3">
        <f t="shared" si="112"/>
        <v>1.81</v>
      </c>
      <c r="CW182" s="3">
        <f t="shared" si="113"/>
        <v>3.87</v>
      </c>
      <c r="CX182" s="24">
        <f t="shared" si="114"/>
        <v>0.28100000000000003</v>
      </c>
      <c r="CY182" s="24">
        <f t="shared" si="114"/>
        <v>2.8410000000000002</v>
      </c>
      <c r="CZ182" s="16">
        <f t="shared" si="115"/>
        <v>12.79</v>
      </c>
    </row>
    <row r="183" spans="1:104" x14ac:dyDescent="0.2">
      <c r="A183" s="14">
        <f t="shared" si="116"/>
        <v>38894</v>
      </c>
      <c r="B183" s="1">
        <v>177</v>
      </c>
      <c r="C183" s="3">
        <v>33.35</v>
      </c>
      <c r="D183" s="3">
        <v>61.07</v>
      </c>
      <c r="E183" s="3">
        <v>17.239999999999998</v>
      </c>
      <c r="F183" s="3">
        <v>62.7</v>
      </c>
      <c r="G183" s="3">
        <v>17.12</v>
      </c>
      <c r="H183" s="3">
        <v>17.16</v>
      </c>
      <c r="I183" s="3">
        <v>13.11</v>
      </c>
      <c r="J183" s="3">
        <v>12.98</v>
      </c>
      <c r="K183" s="3">
        <v>9.9700000000000006</v>
      </c>
      <c r="L183" s="3">
        <v>8.23</v>
      </c>
      <c r="M183" s="3">
        <v>1.8680000000000001</v>
      </c>
      <c r="N183" s="3">
        <v>0</v>
      </c>
      <c r="O183" s="3">
        <v>26.42</v>
      </c>
      <c r="P183" s="3">
        <v>1706</v>
      </c>
      <c r="Q183" s="3">
        <v>104.1</v>
      </c>
      <c r="R183" s="3">
        <v>423</v>
      </c>
      <c r="S183" s="3">
        <v>29.04</v>
      </c>
      <c r="T183" s="3">
        <v>30.15</v>
      </c>
      <c r="U183" s="3">
        <v>27.57</v>
      </c>
      <c r="V183" s="3">
        <v>16.64</v>
      </c>
      <c r="W183" s="3">
        <v>10.86</v>
      </c>
      <c r="X183" s="3">
        <v>9.25</v>
      </c>
      <c r="Y183" s="3">
        <v>3.8250000000000002</v>
      </c>
      <c r="Z183" s="3">
        <v>1347</v>
      </c>
      <c r="AA183" s="3">
        <v>4.9820000000000002</v>
      </c>
      <c r="AB183" s="3">
        <v>316</v>
      </c>
      <c r="AC183" s="3">
        <v>29.05</v>
      </c>
      <c r="AD183" s="3">
        <v>1822</v>
      </c>
      <c r="AE183" s="3">
        <v>3.9980000000000002</v>
      </c>
      <c r="AF183" s="3">
        <v>3.7890000000000001</v>
      </c>
      <c r="AG183" s="3">
        <v>4.7610000000000001</v>
      </c>
      <c r="AH183" s="3">
        <v>9.69</v>
      </c>
      <c r="AI183" s="3">
        <v>9.3000000000000007</v>
      </c>
      <c r="AJ183" s="3">
        <v>7.33</v>
      </c>
      <c r="AK183" s="3">
        <v>0.10299999999999999</v>
      </c>
      <c r="AL183" s="3">
        <v>0.32900000000000001</v>
      </c>
      <c r="AM183" s="3">
        <v>0.25</v>
      </c>
      <c r="AN183" s="3">
        <v>8.9999999999999993E-3</v>
      </c>
      <c r="AO183" s="3">
        <v>3.6999999999999998E-2</v>
      </c>
      <c r="AP183" s="3">
        <v>9.1999999999999998E-2</v>
      </c>
      <c r="AQ183" s="3">
        <v>7.5999999999999998E-2</v>
      </c>
      <c r="AR183" s="3">
        <v>0.10299999999999999</v>
      </c>
      <c r="AS183" s="3">
        <v>3524</v>
      </c>
      <c r="AT183" s="3">
        <v>3499</v>
      </c>
      <c r="AU183" s="3">
        <v>3511</v>
      </c>
      <c r="AV183" s="3">
        <v>17.04</v>
      </c>
      <c r="AW183" s="3">
        <v>17.02</v>
      </c>
      <c r="AX183" s="3">
        <v>28.75</v>
      </c>
      <c r="AY183" s="3">
        <v>28.92</v>
      </c>
      <c r="AZ183" s="3">
        <v>3.879</v>
      </c>
      <c r="BA183" s="3">
        <v>3.6480000000000001</v>
      </c>
      <c r="BB183" s="3">
        <v>12.75</v>
      </c>
      <c r="BC183" s="3">
        <v>2876</v>
      </c>
      <c r="BG183" s="16">
        <v>33.119999999999997</v>
      </c>
      <c r="BH183" s="16">
        <f t="shared" si="85"/>
        <v>66.9024</v>
      </c>
      <c r="BI183" s="17">
        <f t="shared" si="119"/>
        <v>32.68</v>
      </c>
      <c r="BJ183" s="17">
        <f t="shared" si="120"/>
        <v>67.180000000000007</v>
      </c>
      <c r="BL183" s="1">
        <f t="shared" si="86"/>
        <v>88.8</v>
      </c>
      <c r="BM183" s="1">
        <f t="shared" si="87"/>
        <v>48.2</v>
      </c>
      <c r="BN183" s="1">
        <f t="shared" si="88"/>
        <v>18.600000000000001</v>
      </c>
      <c r="BO183" s="49">
        <f t="shared" si="94"/>
        <v>0.64100000000000001</v>
      </c>
      <c r="BP183" s="49">
        <f t="shared" si="95"/>
        <v>2.8050000000000002</v>
      </c>
      <c r="BR183" s="3">
        <v>0</v>
      </c>
      <c r="BT183" s="16">
        <f t="shared" si="89"/>
        <v>32.68</v>
      </c>
      <c r="BU183" s="16">
        <f t="shared" si="90"/>
        <v>67.180000000000007</v>
      </c>
      <c r="BV183" s="3">
        <f t="shared" si="91"/>
        <v>17.2</v>
      </c>
      <c r="BW183" s="3">
        <f t="shared" si="118"/>
        <v>17.100000000000001</v>
      </c>
      <c r="BX183" s="3">
        <f t="shared" si="118"/>
        <v>17.2</v>
      </c>
      <c r="BY183" s="3">
        <f t="shared" si="118"/>
        <v>13.1</v>
      </c>
      <c r="BZ183" s="3">
        <f t="shared" si="117"/>
        <v>13</v>
      </c>
      <c r="CA183" s="3">
        <f t="shared" si="117"/>
        <v>10</v>
      </c>
      <c r="CB183" s="3">
        <f t="shared" si="117"/>
        <v>8.1999999999999993</v>
      </c>
      <c r="CC183" s="22">
        <f t="shared" si="92"/>
        <v>48.2</v>
      </c>
      <c r="CD183" s="1">
        <f t="shared" si="96"/>
        <v>26.4</v>
      </c>
      <c r="CE183" s="1">
        <f t="shared" si="97"/>
        <v>29</v>
      </c>
      <c r="CF183" s="1">
        <f t="shared" si="98"/>
        <v>30.2</v>
      </c>
      <c r="CG183" s="1">
        <f t="shared" si="99"/>
        <v>27.6</v>
      </c>
      <c r="CH183" s="1">
        <f t="shared" si="100"/>
        <v>16.600000000000001</v>
      </c>
      <c r="CI183" s="1">
        <f t="shared" si="101"/>
        <v>10.9</v>
      </c>
      <c r="CJ183" s="1">
        <f t="shared" si="102"/>
        <v>9.3000000000000007</v>
      </c>
      <c r="CK183" s="2">
        <f t="shared" si="93"/>
        <v>88.8</v>
      </c>
      <c r="CL183" s="1">
        <f t="shared" si="103"/>
        <v>5</v>
      </c>
      <c r="CM183" s="1">
        <f t="shared" si="104"/>
        <v>4</v>
      </c>
      <c r="CN183" s="1">
        <f t="shared" si="105"/>
        <v>3.8</v>
      </c>
      <c r="CO183" s="1">
        <f t="shared" si="106"/>
        <v>4.8</v>
      </c>
      <c r="CP183" s="1">
        <f t="shared" si="107"/>
        <v>9.6999999999999993</v>
      </c>
      <c r="CQ183" s="1">
        <f t="shared" si="108"/>
        <v>9.3000000000000007</v>
      </c>
      <c r="CR183" s="1">
        <f t="shared" si="109"/>
        <v>7.3</v>
      </c>
      <c r="CS183" s="2">
        <f t="shared" si="110"/>
        <v>18.600000000000001</v>
      </c>
      <c r="CT183" s="6">
        <f t="shared" si="111"/>
        <v>0</v>
      </c>
      <c r="CU183" s="1">
        <f>PPTest!K183</f>
        <v>0</v>
      </c>
      <c r="CV183" s="3">
        <f t="shared" si="112"/>
        <v>1.87</v>
      </c>
      <c r="CW183" s="3">
        <f t="shared" si="113"/>
        <v>3.83</v>
      </c>
      <c r="CX183" s="24">
        <f t="shared" si="114"/>
        <v>0.64100000000000001</v>
      </c>
      <c r="CY183" s="24">
        <f t="shared" si="114"/>
        <v>2.8050000000000002</v>
      </c>
      <c r="CZ183" s="16">
        <f t="shared" si="115"/>
        <v>12.75</v>
      </c>
    </row>
    <row r="184" spans="1:104" x14ac:dyDescent="0.2">
      <c r="A184" s="14">
        <f t="shared" si="116"/>
        <v>38895</v>
      </c>
      <c r="B184" s="1">
        <v>178</v>
      </c>
      <c r="C184" s="3">
        <v>31.45</v>
      </c>
      <c r="D184" s="3">
        <v>57.27</v>
      </c>
      <c r="E184" s="3">
        <v>18.77</v>
      </c>
      <c r="F184" s="3">
        <v>51.39</v>
      </c>
      <c r="G184" s="3">
        <v>18.78</v>
      </c>
      <c r="H184" s="3">
        <v>18.75</v>
      </c>
      <c r="I184" s="3">
        <v>14.52</v>
      </c>
      <c r="J184" s="3">
        <v>13.47</v>
      </c>
      <c r="K184" s="3">
        <v>10.58</v>
      </c>
      <c r="L184" s="3">
        <v>8.41</v>
      </c>
      <c r="M184" s="3">
        <v>2.194</v>
      </c>
      <c r="N184" s="3">
        <v>0</v>
      </c>
      <c r="O184" s="3">
        <v>26.52</v>
      </c>
      <c r="P184" s="3">
        <v>1427</v>
      </c>
      <c r="Q184" s="3">
        <v>100.8</v>
      </c>
      <c r="R184" s="3">
        <v>421</v>
      </c>
      <c r="S184" s="3">
        <v>29.52</v>
      </c>
      <c r="T184" s="3">
        <v>30.25</v>
      </c>
      <c r="U184" s="3">
        <v>28.46</v>
      </c>
      <c r="V184" s="3">
        <v>16.600000000000001</v>
      </c>
      <c r="W184" s="3">
        <v>11.48</v>
      </c>
      <c r="X184" s="3">
        <v>9.4</v>
      </c>
      <c r="Y184" s="3">
        <v>5.3680000000000003</v>
      </c>
      <c r="Z184" s="3">
        <v>1059</v>
      </c>
      <c r="AA184" s="3">
        <v>6.9589999999999996</v>
      </c>
      <c r="AB184" s="3">
        <v>412</v>
      </c>
      <c r="AC184" s="3">
        <v>26.16</v>
      </c>
      <c r="AD184" s="3">
        <v>1505</v>
      </c>
      <c r="AE184" s="3">
        <v>5.6509999999999998</v>
      </c>
      <c r="AF184" s="3">
        <v>5.2930000000000001</v>
      </c>
      <c r="AG184" s="3">
        <v>6.056</v>
      </c>
      <c r="AH184" s="3">
        <v>10.66</v>
      </c>
      <c r="AI184" s="3">
        <v>9.9600000000000009</v>
      </c>
      <c r="AJ184" s="3">
        <v>7.85</v>
      </c>
      <c r="AK184" s="3">
        <v>2.9000000000000001E-2</v>
      </c>
      <c r="AL184" s="3">
        <v>0.21199999999999999</v>
      </c>
      <c r="AM184" s="3">
        <v>0.112</v>
      </c>
      <c r="AN184" s="3">
        <v>1.7000000000000001E-2</v>
      </c>
      <c r="AO184" s="3">
        <v>0.13500000000000001</v>
      </c>
      <c r="AP184" s="3">
        <v>0.30299999999999999</v>
      </c>
      <c r="AQ184" s="3">
        <v>0.154</v>
      </c>
      <c r="AR184" s="3">
        <v>3.7999999999999999E-2</v>
      </c>
      <c r="AS184" s="3">
        <v>3527</v>
      </c>
      <c r="AT184" s="3">
        <v>3518</v>
      </c>
      <c r="AU184" s="3">
        <v>3522</v>
      </c>
      <c r="AV184" s="3">
        <v>18.5</v>
      </c>
      <c r="AW184" s="3">
        <v>18.5</v>
      </c>
      <c r="AX184" s="3">
        <v>29.92</v>
      </c>
      <c r="AY184" s="3">
        <v>30.12</v>
      </c>
      <c r="AZ184" s="3">
        <v>5.5979999999999999</v>
      </c>
      <c r="BA184" s="3">
        <v>5.3710000000000004</v>
      </c>
      <c r="BB184" s="3">
        <v>12.76</v>
      </c>
      <c r="BC184" s="3">
        <v>2876</v>
      </c>
      <c r="BG184" s="16">
        <v>33.08</v>
      </c>
      <c r="BH184" s="16">
        <f t="shared" si="85"/>
        <v>66.821600000000004</v>
      </c>
      <c r="BI184" s="17">
        <f t="shared" si="119"/>
        <v>30.82</v>
      </c>
      <c r="BJ184" s="17">
        <f t="shared" si="120"/>
        <v>63</v>
      </c>
      <c r="BL184" s="1">
        <f t="shared" si="86"/>
        <v>83.6</v>
      </c>
      <c r="BM184" s="1">
        <f t="shared" si="87"/>
        <v>38.200000000000003</v>
      </c>
      <c r="BN184" s="1">
        <f t="shared" si="88"/>
        <v>16</v>
      </c>
      <c r="BO184" s="49">
        <f t="shared" si="94"/>
        <v>0.55400000000000005</v>
      </c>
      <c r="BP184" s="49">
        <f t="shared" si="95"/>
        <v>2.9089999999999998</v>
      </c>
      <c r="BR184" s="3">
        <v>0</v>
      </c>
      <c r="BT184" s="16">
        <f t="shared" si="89"/>
        <v>30.82</v>
      </c>
      <c r="BU184" s="16">
        <f t="shared" si="90"/>
        <v>63</v>
      </c>
      <c r="BV184" s="3">
        <f t="shared" si="91"/>
        <v>18.8</v>
      </c>
      <c r="BW184" s="3">
        <f t="shared" si="118"/>
        <v>18.8</v>
      </c>
      <c r="BX184" s="3">
        <f t="shared" si="118"/>
        <v>18.8</v>
      </c>
      <c r="BY184" s="3">
        <f t="shared" si="118"/>
        <v>14.5</v>
      </c>
      <c r="BZ184" s="3">
        <f t="shared" si="117"/>
        <v>13.5</v>
      </c>
      <c r="CA184" s="3">
        <f t="shared" si="117"/>
        <v>10.6</v>
      </c>
      <c r="CB184" s="3">
        <f t="shared" si="117"/>
        <v>8.4</v>
      </c>
      <c r="CC184" s="22">
        <f t="shared" si="92"/>
        <v>38.200000000000003</v>
      </c>
      <c r="CD184" s="1">
        <f t="shared" si="96"/>
        <v>26.5</v>
      </c>
      <c r="CE184" s="1">
        <f t="shared" si="97"/>
        <v>29.5</v>
      </c>
      <c r="CF184" s="1">
        <f t="shared" si="98"/>
        <v>30.3</v>
      </c>
      <c r="CG184" s="1">
        <f t="shared" si="99"/>
        <v>28.5</v>
      </c>
      <c r="CH184" s="1">
        <f t="shared" si="100"/>
        <v>16.600000000000001</v>
      </c>
      <c r="CI184" s="1">
        <f t="shared" si="101"/>
        <v>11.5</v>
      </c>
      <c r="CJ184" s="1">
        <f t="shared" si="102"/>
        <v>9.4</v>
      </c>
      <c r="CK184" s="2">
        <f t="shared" si="93"/>
        <v>83.6</v>
      </c>
      <c r="CL184" s="1">
        <f t="shared" si="103"/>
        <v>7</v>
      </c>
      <c r="CM184" s="1">
        <f t="shared" si="104"/>
        <v>5.7</v>
      </c>
      <c r="CN184" s="1">
        <f t="shared" si="105"/>
        <v>5.3</v>
      </c>
      <c r="CO184" s="1">
        <f t="shared" si="106"/>
        <v>6.1</v>
      </c>
      <c r="CP184" s="1">
        <f t="shared" si="107"/>
        <v>10.7</v>
      </c>
      <c r="CQ184" s="1">
        <f t="shared" si="108"/>
        <v>10</v>
      </c>
      <c r="CR184" s="1">
        <f t="shared" si="109"/>
        <v>7.9</v>
      </c>
      <c r="CS184" s="2">
        <f t="shared" si="110"/>
        <v>16</v>
      </c>
      <c r="CT184" s="6">
        <f t="shared" si="111"/>
        <v>0</v>
      </c>
      <c r="CU184" s="1">
        <f>PPTest!K184</f>
        <v>0</v>
      </c>
      <c r="CV184" s="3">
        <f t="shared" si="112"/>
        <v>2.19</v>
      </c>
      <c r="CW184" s="3">
        <f t="shared" si="113"/>
        <v>5.37</v>
      </c>
      <c r="CX184" s="24">
        <f t="shared" si="114"/>
        <v>0.55400000000000005</v>
      </c>
      <c r="CY184" s="24">
        <f t="shared" si="114"/>
        <v>2.9089999999999998</v>
      </c>
      <c r="CZ184" s="16">
        <f t="shared" si="115"/>
        <v>12.76</v>
      </c>
    </row>
    <row r="185" spans="1:104" x14ac:dyDescent="0.2">
      <c r="A185" s="14">
        <f t="shared" si="116"/>
        <v>38896</v>
      </c>
      <c r="B185" s="1">
        <v>179</v>
      </c>
      <c r="C185" s="3">
        <v>33.51</v>
      </c>
      <c r="D185" s="3">
        <v>60.61</v>
      </c>
      <c r="E185" s="3">
        <v>14.38</v>
      </c>
      <c r="F185" s="3">
        <v>55.05</v>
      </c>
      <c r="G185" s="3">
        <v>14.08</v>
      </c>
      <c r="H185" s="3">
        <v>13.95</v>
      </c>
      <c r="I185" s="3">
        <v>11.33</v>
      </c>
      <c r="J185" s="3">
        <v>12.67</v>
      </c>
      <c r="K185" s="3">
        <v>10.71</v>
      </c>
      <c r="L185" s="3">
        <v>8.5</v>
      </c>
      <c r="M185" s="3">
        <v>1.716</v>
      </c>
      <c r="N185" s="3">
        <v>0</v>
      </c>
      <c r="O185" s="3">
        <v>22.13</v>
      </c>
      <c r="P185" s="3">
        <v>1543</v>
      </c>
      <c r="Q185" s="3">
        <v>98.3</v>
      </c>
      <c r="R185" s="3">
        <v>422</v>
      </c>
      <c r="S185" s="3">
        <v>24.63</v>
      </c>
      <c r="T185" s="3">
        <v>25.31</v>
      </c>
      <c r="U185" s="3">
        <v>25.29</v>
      </c>
      <c r="V185" s="3">
        <v>15.57</v>
      </c>
      <c r="W185" s="3">
        <v>11.87</v>
      </c>
      <c r="X185" s="3">
        <v>9.58</v>
      </c>
      <c r="Y185" s="3">
        <v>4.5970000000000004</v>
      </c>
      <c r="Z185" s="3">
        <v>1520</v>
      </c>
      <c r="AA185" s="3">
        <v>4.9279999999999999</v>
      </c>
      <c r="AB185" s="3">
        <v>422</v>
      </c>
      <c r="AC185" s="3">
        <v>20.04</v>
      </c>
      <c r="AD185" s="3">
        <v>1437</v>
      </c>
      <c r="AE185" s="3">
        <v>2.8170000000000002</v>
      </c>
      <c r="AF185" s="3">
        <v>1.8979999999999999</v>
      </c>
      <c r="AG185" s="3">
        <v>3.0569999999999999</v>
      </c>
      <c r="AH185" s="3">
        <v>10.26</v>
      </c>
      <c r="AI185" s="3">
        <v>10.08</v>
      </c>
      <c r="AJ185" s="3">
        <v>8.0399999999999991</v>
      </c>
      <c r="AK185" s="3">
        <v>4.7E-2</v>
      </c>
      <c r="AL185" s="3">
        <v>0.20100000000000001</v>
      </c>
      <c r="AM185" s="3">
        <v>0.13200000000000001</v>
      </c>
      <c r="AN185" s="3">
        <v>1.4999999999999999E-2</v>
      </c>
      <c r="AO185" s="3">
        <v>0.13300000000000001</v>
      </c>
      <c r="AP185" s="3">
        <v>0.247</v>
      </c>
      <c r="AQ185" s="3">
        <v>0.17599999999999999</v>
      </c>
      <c r="AR185" s="3">
        <v>4.9000000000000002E-2</v>
      </c>
      <c r="AS185" s="3">
        <v>3522</v>
      </c>
      <c r="AT185" s="3">
        <v>3466</v>
      </c>
      <c r="AU185" s="3">
        <v>3511</v>
      </c>
      <c r="AV185" s="3">
        <v>14.48</v>
      </c>
      <c r="AW185" s="3">
        <v>14.21</v>
      </c>
      <c r="AX185" s="3">
        <v>25.22</v>
      </c>
      <c r="AY185" s="3">
        <v>25.3</v>
      </c>
      <c r="AZ185" s="3">
        <v>2.4889999999999999</v>
      </c>
      <c r="BA185" s="3">
        <v>2.1739999999999999</v>
      </c>
      <c r="BB185" s="3">
        <v>12.79</v>
      </c>
      <c r="BC185" s="3">
        <v>2876</v>
      </c>
      <c r="BG185" s="16">
        <v>33.04</v>
      </c>
      <c r="BH185" s="16">
        <f t="shared" si="85"/>
        <v>66.740799999999993</v>
      </c>
      <c r="BI185" s="17">
        <f t="shared" si="119"/>
        <v>32.840000000000003</v>
      </c>
      <c r="BJ185" s="17">
        <f t="shared" si="120"/>
        <v>66.67</v>
      </c>
      <c r="BL185" s="1">
        <f t="shared" si="86"/>
        <v>79.5</v>
      </c>
      <c r="BM185" s="1">
        <f t="shared" si="87"/>
        <v>41.4</v>
      </c>
      <c r="BN185" s="1">
        <f t="shared" si="88"/>
        <v>10.6</v>
      </c>
      <c r="BO185" s="49">
        <f t="shared" si="94"/>
        <v>0.28199999999999997</v>
      </c>
      <c r="BP185" s="49">
        <f t="shared" si="95"/>
        <v>2.3780000000000001</v>
      </c>
      <c r="BR185" s="3">
        <v>0</v>
      </c>
      <c r="BT185" s="16">
        <f t="shared" si="89"/>
        <v>32.840000000000003</v>
      </c>
      <c r="BU185" s="16">
        <f t="shared" si="90"/>
        <v>66.67</v>
      </c>
      <c r="BV185" s="3">
        <f t="shared" si="91"/>
        <v>14.4</v>
      </c>
      <c r="BW185" s="3">
        <f t="shared" si="118"/>
        <v>14.1</v>
      </c>
      <c r="BX185" s="3">
        <f t="shared" si="118"/>
        <v>14</v>
      </c>
      <c r="BY185" s="3">
        <f t="shared" si="118"/>
        <v>11.3</v>
      </c>
      <c r="BZ185" s="3">
        <f t="shared" si="117"/>
        <v>12.7</v>
      </c>
      <c r="CA185" s="3">
        <f t="shared" si="117"/>
        <v>10.7</v>
      </c>
      <c r="CB185" s="3">
        <f t="shared" si="117"/>
        <v>8.5</v>
      </c>
      <c r="CC185" s="22">
        <f t="shared" si="92"/>
        <v>41.4</v>
      </c>
      <c r="CD185" s="1">
        <f t="shared" si="96"/>
        <v>22.1</v>
      </c>
      <c r="CE185" s="1">
        <f t="shared" si="97"/>
        <v>24.6</v>
      </c>
      <c r="CF185" s="1">
        <f t="shared" si="98"/>
        <v>25.3</v>
      </c>
      <c r="CG185" s="1">
        <f t="shared" si="99"/>
        <v>25.3</v>
      </c>
      <c r="CH185" s="1">
        <f t="shared" si="100"/>
        <v>15.6</v>
      </c>
      <c r="CI185" s="1">
        <f t="shared" si="101"/>
        <v>11.9</v>
      </c>
      <c r="CJ185" s="1">
        <f t="shared" si="102"/>
        <v>9.6</v>
      </c>
      <c r="CK185" s="2">
        <f t="shared" si="93"/>
        <v>79.5</v>
      </c>
      <c r="CL185" s="1">
        <f t="shared" si="103"/>
        <v>4.9000000000000004</v>
      </c>
      <c r="CM185" s="1">
        <f t="shared" si="104"/>
        <v>2.8</v>
      </c>
      <c r="CN185" s="1">
        <f t="shared" si="105"/>
        <v>1.9</v>
      </c>
      <c r="CO185" s="1">
        <f t="shared" si="106"/>
        <v>3.1</v>
      </c>
      <c r="CP185" s="1">
        <f t="shared" si="107"/>
        <v>10.3</v>
      </c>
      <c r="CQ185" s="1">
        <f t="shared" si="108"/>
        <v>10.1</v>
      </c>
      <c r="CR185" s="1">
        <f t="shared" si="109"/>
        <v>8</v>
      </c>
      <c r="CS185" s="2">
        <f t="shared" si="110"/>
        <v>10.6</v>
      </c>
      <c r="CT185" s="6">
        <f t="shared" si="111"/>
        <v>0</v>
      </c>
      <c r="CU185" s="1">
        <f>PPTest!K185</f>
        <v>0</v>
      </c>
      <c r="CV185" s="3">
        <f t="shared" si="112"/>
        <v>1.72</v>
      </c>
      <c r="CW185" s="3">
        <f t="shared" si="113"/>
        <v>4.5999999999999996</v>
      </c>
      <c r="CX185" s="24">
        <f t="shared" si="114"/>
        <v>0.28199999999999997</v>
      </c>
      <c r="CY185" s="24">
        <f t="shared" si="114"/>
        <v>2.3780000000000001</v>
      </c>
      <c r="CZ185" s="16">
        <f t="shared" si="115"/>
        <v>12.79</v>
      </c>
    </row>
    <row r="186" spans="1:104" x14ac:dyDescent="0.2">
      <c r="A186" s="14">
        <f t="shared" si="116"/>
        <v>38897</v>
      </c>
      <c r="B186" s="1">
        <v>180</v>
      </c>
      <c r="C186" s="3">
        <v>33.200000000000003</v>
      </c>
      <c r="D186" s="3">
        <v>60.37</v>
      </c>
      <c r="E186" s="3">
        <v>12.28</v>
      </c>
      <c r="F186" s="3">
        <v>68.69</v>
      </c>
      <c r="G186" s="3">
        <v>12.31</v>
      </c>
      <c r="H186" s="3">
        <v>12.39</v>
      </c>
      <c r="I186" s="3">
        <v>10.58</v>
      </c>
      <c r="J186" s="3">
        <v>11.98</v>
      </c>
      <c r="K186" s="3">
        <v>10.5</v>
      </c>
      <c r="L186" s="3">
        <v>8.66</v>
      </c>
      <c r="M186" s="3">
        <v>1.6890000000000001</v>
      </c>
      <c r="N186" s="3">
        <v>0</v>
      </c>
      <c r="O186" s="3">
        <v>20.350000000000001</v>
      </c>
      <c r="P186" s="3">
        <v>1630</v>
      </c>
      <c r="Q186" s="3">
        <v>104.2</v>
      </c>
      <c r="R186" s="3">
        <v>422</v>
      </c>
      <c r="S186" s="3">
        <v>23.86</v>
      </c>
      <c r="T186" s="3">
        <v>24.33</v>
      </c>
      <c r="U186" s="3">
        <v>25.22</v>
      </c>
      <c r="V186" s="3">
        <v>15.17</v>
      </c>
      <c r="W186" s="3">
        <v>11.61</v>
      </c>
      <c r="X186" s="3">
        <v>9.7100000000000009</v>
      </c>
      <c r="Y186" s="3">
        <v>4.3440000000000003</v>
      </c>
      <c r="Z186" s="3">
        <v>1603</v>
      </c>
      <c r="AA186" s="3">
        <v>1.8240000000000001</v>
      </c>
      <c r="AB186" s="3">
        <v>410</v>
      </c>
      <c r="AC186" s="3">
        <v>38.89</v>
      </c>
      <c r="AD186" s="3">
        <v>1748</v>
      </c>
      <c r="AE186" s="3">
        <v>0.69799999999999995</v>
      </c>
      <c r="AF186" s="3">
        <v>0.17899999999999999</v>
      </c>
      <c r="AG186" s="3">
        <v>2.1389999999999998</v>
      </c>
      <c r="AH186" s="3">
        <v>9.17</v>
      </c>
      <c r="AI186" s="3">
        <v>9.7899999999999991</v>
      </c>
      <c r="AJ186" s="3">
        <v>7.98</v>
      </c>
      <c r="AK186" s="3">
        <v>5.7000000000000002E-2</v>
      </c>
      <c r="AL186" s="3">
        <v>0.315</v>
      </c>
      <c r="AM186" s="3">
        <v>0.14399999999999999</v>
      </c>
      <c r="AN186" s="3">
        <v>1.4E-2</v>
      </c>
      <c r="AO186" s="3">
        <v>9.9000000000000005E-2</v>
      </c>
      <c r="AP186" s="3">
        <v>0.158</v>
      </c>
      <c r="AQ186" s="3">
        <v>0.13300000000000001</v>
      </c>
      <c r="AR186" s="3">
        <v>0.08</v>
      </c>
      <c r="AS186" s="3">
        <v>3514</v>
      </c>
      <c r="AT186" s="3">
        <v>3497</v>
      </c>
      <c r="AU186" s="3">
        <v>3508</v>
      </c>
      <c r="AV186" s="3">
        <v>12.68</v>
      </c>
      <c r="AW186" s="3">
        <v>12.61</v>
      </c>
      <c r="AX186" s="3">
        <v>24.02</v>
      </c>
      <c r="AY186" s="3">
        <v>24.05</v>
      </c>
      <c r="AZ186" s="3">
        <v>0.495</v>
      </c>
      <c r="BA186" s="3">
        <v>0.25700000000000001</v>
      </c>
      <c r="BB186" s="3">
        <v>12.83</v>
      </c>
      <c r="BC186" s="3">
        <v>2876</v>
      </c>
      <c r="BG186" s="16">
        <v>33</v>
      </c>
      <c r="BH186" s="16">
        <f t="shared" si="85"/>
        <v>66.66</v>
      </c>
      <c r="BI186" s="17">
        <f t="shared" si="119"/>
        <v>32.54</v>
      </c>
      <c r="BJ186" s="17">
        <f t="shared" si="120"/>
        <v>66.41</v>
      </c>
      <c r="BL186" s="1">
        <f t="shared" si="86"/>
        <v>89</v>
      </c>
      <c r="BM186" s="1">
        <f t="shared" si="87"/>
        <v>53.4</v>
      </c>
      <c r="BN186" s="1">
        <f t="shared" si="88"/>
        <v>27.2</v>
      </c>
      <c r="BO186" s="49">
        <f t="shared" si="94"/>
        <v>0.65</v>
      </c>
      <c r="BP186" s="49">
        <f t="shared" si="95"/>
        <v>1.74</v>
      </c>
      <c r="BR186" s="3">
        <v>0</v>
      </c>
      <c r="BT186" s="16">
        <f t="shared" si="89"/>
        <v>32.54</v>
      </c>
      <c r="BU186" s="16">
        <f t="shared" si="90"/>
        <v>66.41</v>
      </c>
      <c r="BV186" s="3">
        <f t="shared" si="91"/>
        <v>12.3</v>
      </c>
      <c r="BW186" s="3">
        <f t="shared" si="118"/>
        <v>12.3</v>
      </c>
      <c r="BX186" s="3">
        <f t="shared" si="118"/>
        <v>12.4</v>
      </c>
      <c r="BY186" s="3">
        <f t="shared" si="118"/>
        <v>10.6</v>
      </c>
      <c r="BZ186" s="3">
        <f t="shared" si="117"/>
        <v>12</v>
      </c>
      <c r="CA186" s="3">
        <f t="shared" si="117"/>
        <v>10.5</v>
      </c>
      <c r="CB186" s="3">
        <f t="shared" si="117"/>
        <v>8.6999999999999993</v>
      </c>
      <c r="CC186" s="22">
        <f t="shared" si="92"/>
        <v>53.4</v>
      </c>
      <c r="CD186" s="1">
        <f t="shared" si="96"/>
        <v>20.399999999999999</v>
      </c>
      <c r="CE186" s="1">
        <f t="shared" si="97"/>
        <v>23.9</v>
      </c>
      <c r="CF186" s="1">
        <f t="shared" si="98"/>
        <v>24.3</v>
      </c>
      <c r="CG186" s="1">
        <f t="shared" si="99"/>
        <v>25.2</v>
      </c>
      <c r="CH186" s="1">
        <f t="shared" si="100"/>
        <v>15.2</v>
      </c>
      <c r="CI186" s="1">
        <f t="shared" si="101"/>
        <v>11.6</v>
      </c>
      <c r="CJ186" s="1">
        <f t="shared" si="102"/>
        <v>9.6999999999999993</v>
      </c>
      <c r="CK186" s="2">
        <f t="shared" si="93"/>
        <v>89</v>
      </c>
      <c r="CL186" s="1">
        <f t="shared" si="103"/>
        <v>1.8</v>
      </c>
      <c r="CM186" s="1">
        <f t="shared" si="104"/>
        <v>0.7</v>
      </c>
      <c r="CN186" s="1">
        <f t="shared" si="105"/>
        <v>0.2</v>
      </c>
      <c r="CO186" s="1">
        <f t="shared" si="106"/>
        <v>2.1</v>
      </c>
      <c r="CP186" s="1">
        <f t="shared" si="107"/>
        <v>9.1999999999999993</v>
      </c>
      <c r="CQ186" s="1">
        <f t="shared" si="108"/>
        <v>9.8000000000000007</v>
      </c>
      <c r="CR186" s="1">
        <f t="shared" si="109"/>
        <v>8</v>
      </c>
      <c r="CS186" s="2">
        <f t="shared" si="110"/>
        <v>27.2</v>
      </c>
      <c r="CT186" s="6">
        <f t="shared" si="111"/>
        <v>0</v>
      </c>
      <c r="CU186" s="1">
        <f>PPTest!K186</f>
        <v>0</v>
      </c>
      <c r="CV186" s="3">
        <f t="shared" si="112"/>
        <v>1.69</v>
      </c>
      <c r="CW186" s="3">
        <f t="shared" si="113"/>
        <v>4.34</v>
      </c>
      <c r="CX186" s="24">
        <f t="shared" si="114"/>
        <v>0.65</v>
      </c>
      <c r="CY186" s="24">
        <f t="shared" si="114"/>
        <v>1.74</v>
      </c>
      <c r="CZ186" s="16">
        <f t="shared" si="115"/>
        <v>12.83</v>
      </c>
    </row>
    <row r="187" spans="1:104" x14ac:dyDescent="0.2">
      <c r="A187" s="14">
        <f t="shared" si="116"/>
        <v>38898</v>
      </c>
      <c r="B187" s="1">
        <v>181</v>
      </c>
      <c r="C187" s="3">
        <v>30.42</v>
      </c>
      <c r="D187" s="3">
        <v>55.59</v>
      </c>
      <c r="E187" s="3">
        <v>14.26</v>
      </c>
      <c r="F187" s="3">
        <v>69.94</v>
      </c>
      <c r="G187" s="3">
        <v>14.37</v>
      </c>
      <c r="H187" s="3">
        <v>14.47</v>
      </c>
      <c r="I187" s="3">
        <v>12.42</v>
      </c>
      <c r="J187" s="3">
        <v>12.75</v>
      </c>
      <c r="K187" s="3">
        <v>10.57</v>
      </c>
      <c r="L187" s="3">
        <v>8.73</v>
      </c>
      <c r="M187" s="3">
        <v>1.766</v>
      </c>
      <c r="N187" s="3">
        <v>0</v>
      </c>
      <c r="O187" s="3">
        <v>22.2</v>
      </c>
      <c r="P187" s="3">
        <v>1810</v>
      </c>
      <c r="Q187" s="3">
        <v>100.3</v>
      </c>
      <c r="R187" s="3">
        <v>349</v>
      </c>
      <c r="S187" s="3">
        <v>25.45</v>
      </c>
      <c r="T187" s="3">
        <v>27.39</v>
      </c>
      <c r="U187" s="3">
        <v>24.05</v>
      </c>
      <c r="V187" s="3">
        <v>15.88</v>
      </c>
      <c r="W187" s="3">
        <v>11.21</v>
      </c>
      <c r="X187" s="3">
        <v>9.4499999999999993</v>
      </c>
      <c r="Y187" s="3">
        <v>4.6360000000000001</v>
      </c>
      <c r="Z187" s="3">
        <v>1150</v>
      </c>
      <c r="AA187" s="3">
        <v>6.4320000000000004</v>
      </c>
      <c r="AB187" s="3">
        <v>236</v>
      </c>
      <c r="AC187" s="3">
        <v>33.409999999999997</v>
      </c>
      <c r="AD187" s="3">
        <v>1800</v>
      </c>
      <c r="AE187" s="3">
        <v>5.5309999999999997</v>
      </c>
      <c r="AF187" s="3">
        <v>5.0019999999999998</v>
      </c>
      <c r="AG187" s="3">
        <v>5.87</v>
      </c>
      <c r="AH187" s="3">
        <v>10.34</v>
      </c>
      <c r="AI187" s="3">
        <v>9.9700000000000006</v>
      </c>
      <c r="AJ187" s="3">
        <v>8</v>
      </c>
      <c r="AK187" s="3">
        <v>3.5000000000000003E-2</v>
      </c>
      <c r="AL187" s="3">
        <v>0.27</v>
      </c>
      <c r="AM187" s="3">
        <v>0.20300000000000001</v>
      </c>
      <c r="AN187" s="3">
        <v>1.4E-2</v>
      </c>
      <c r="AO187" s="3">
        <v>8.6999999999999994E-2</v>
      </c>
      <c r="AP187" s="3">
        <v>0.16800000000000001</v>
      </c>
      <c r="AQ187" s="3">
        <v>0.13800000000000001</v>
      </c>
      <c r="AR187" s="3">
        <v>8.4000000000000005E-2</v>
      </c>
      <c r="AS187" s="3">
        <v>3520</v>
      </c>
      <c r="AT187" s="3">
        <v>3504</v>
      </c>
      <c r="AU187" s="3">
        <v>3513</v>
      </c>
      <c r="AV187" s="3">
        <v>14.9</v>
      </c>
      <c r="AW187" s="3">
        <v>14.83</v>
      </c>
      <c r="AX187" s="3">
        <v>26.15</v>
      </c>
      <c r="AY187" s="3">
        <v>26.27</v>
      </c>
      <c r="AZ187" s="3">
        <v>5.6589999999999998</v>
      </c>
      <c r="BA187" s="3">
        <v>5.468</v>
      </c>
      <c r="BB187" s="3">
        <v>12.79</v>
      </c>
      <c r="BC187" s="3">
        <v>2876</v>
      </c>
      <c r="BG187" s="16">
        <v>32.950000000000003</v>
      </c>
      <c r="BH187" s="16">
        <f t="shared" si="85"/>
        <v>66.559000000000012</v>
      </c>
      <c r="BI187" s="17">
        <f t="shared" si="119"/>
        <v>29.81</v>
      </c>
      <c r="BJ187" s="17">
        <f t="shared" si="120"/>
        <v>61.15</v>
      </c>
      <c r="BL187" s="1">
        <f t="shared" si="86"/>
        <v>82.8</v>
      </c>
      <c r="BM187" s="1">
        <f t="shared" si="87"/>
        <v>54.5</v>
      </c>
      <c r="BN187" s="1">
        <f t="shared" si="88"/>
        <v>22.4</v>
      </c>
      <c r="BO187" s="49">
        <f t="shared" si="94"/>
        <v>0.59899999999999998</v>
      </c>
      <c r="BP187" s="49">
        <f t="shared" si="95"/>
        <v>2.0750000000000002</v>
      </c>
      <c r="BR187" s="3">
        <v>0</v>
      </c>
      <c r="BT187" s="16">
        <f t="shared" si="89"/>
        <v>29.81</v>
      </c>
      <c r="BU187" s="16">
        <f t="shared" si="90"/>
        <v>61.15</v>
      </c>
      <c r="BV187" s="3">
        <f t="shared" si="91"/>
        <v>14.3</v>
      </c>
      <c r="BW187" s="3">
        <f t="shared" si="118"/>
        <v>14.4</v>
      </c>
      <c r="BX187" s="3">
        <f t="shared" si="118"/>
        <v>14.5</v>
      </c>
      <c r="BY187" s="3">
        <f t="shared" si="118"/>
        <v>12.4</v>
      </c>
      <c r="BZ187" s="3">
        <f t="shared" si="117"/>
        <v>12.8</v>
      </c>
      <c r="CA187" s="3">
        <f t="shared" si="117"/>
        <v>10.6</v>
      </c>
      <c r="CB187" s="3">
        <f t="shared" si="117"/>
        <v>8.6999999999999993</v>
      </c>
      <c r="CC187" s="22">
        <f t="shared" si="92"/>
        <v>54.5</v>
      </c>
      <c r="CD187" s="1">
        <f t="shared" si="96"/>
        <v>22.2</v>
      </c>
      <c r="CE187" s="1">
        <f t="shared" si="97"/>
        <v>25.5</v>
      </c>
      <c r="CF187" s="1">
        <f t="shared" si="98"/>
        <v>27.4</v>
      </c>
      <c r="CG187" s="1">
        <f t="shared" si="99"/>
        <v>24.1</v>
      </c>
      <c r="CH187" s="1">
        <f t="shared" si="100"/>
        <v>15.9</v>
      </c>
      <c r="CI187" s="1">
        <f t="shared" si="101"/>
        <v>11.2</v>
      </c>
      <c r="CJ187" s="1">
        <f t="shared" si="102"/>
        <v>9.5</v>
      </c>
      <c r="CK187" s="2">
        <f t="shared" si="93"/>
        <v>82.8</v>
      </c>
      <c r="CL187" s="1">
        <f t="shared" si="103"/>
        <v>6.4</v>
      </c>
      <c r="CM187" s="1">
        <f t="shared" si="104"/>
        <v>5.5</v>
      </c>
      <c r="CN187" s="1">
        <f t="shared" si="105"/>
        <v>5</v>
      </c>
      <c r="CO187" s="1">
        <f t="shared" si="106"/>
        <v>5.9</v>
      </c>
      <c r="CP187" s="1">
        <f t="shared" si="107"/>
        <v>10.3</v>
      </c>
      <c r="CQ187" s="1">
        <f t="shared" si="108"/>
        <v>10</v>
      </c>
      <c r="CR187" s="1">
        <f t="shared" si="109"/>
        <v>8</v>
      </c>
      <c r="CS187" s="2">
        <f t="shared" si="110"/>
        <v>22.4</v>
      </c>
      <c r="CT187" s="6">
        <f t="shared" si="111"/>
        <v>0</v>
      </c>
      <c r="CU187" s="1">
        <f>PPTest!K187</f>
        <v>0</v>
      </c>
      <c r="CV187" s="3">
        <f t="shared" si="112"/>
        <v>1.77</v>
      </c>
      <c r="CW187" s="3">
        <f t="shared" si="113"/>
        <v>4.6399999999999997</v>
      </c>
      <c r="CX187" s="24">
        <f t="shared" si="114"/>
        <v>0.59899999999999998</v>
      </c>
      <c r="CY187" s="24">
        <f t="shared" si="114"/>
        <v>2.0750000000000002</v>
      </c>
      <c r="CZ187" s="16">
        <f t="shared" si="115"/>
        <v>12.79</v>
      </c>
    </row>
    <row r="188" spans="1:104" x14ac:dyDescent="0.2">
      <c r="A188" s="14">
        <f t="shared" si="116"/>
        <v>38899</v>
      </c>
      <c r="B188" s="1">
        <v>182</v>
      </c>
      <c r="C188" s="3">
        <v>33.369999999999997</v>
      </c>
      <c r="D188" s="3">
        <v>60.18</v>
      </c>
      <c r="E188" s="3">
        <v>14.68</v>
      </c>
      <c r="F188" s="3">
        <v>63.13</v>
      </c>
      <c r="G188" s="3">
        <v>14.74</v>
      </c>
      <c r="H188" s="3">
        <v>14.77</v>
      </c>
      <c r="I188" s="3">
        <v>11.84</v>
      </c>
      <c r="J188" s="3">
        <v>12.65</v>
      </c>
      <c r="K188" s="3">
        <v>10.71</v>
      </c>
      <c r="L188" s="3">
        <v>8.77</v>
      </c>
      <c r="M188" s="3">
        <v>1.7529999999999999</v>
      </c>
      <c r="N188" s="3">
        <v>0</v>
      </c>
      <c r="O188" s="3">
        <v>23.53</v>
      </c>
      <c r="P188" s="3">
        <v>1506</v>
      </c>
      <c r="Q188" s="3">
        <v>107.1</v>
      </c>
      <c r="R188" s="3">
        <v>423</v>
      </c>
      <c r="S188" s="3">
        <v>26.54</v>
      </c>
      <c r="T188" s="3">
        <v>27.61</v>
      </c>
      <c r="U188" s="3">
        <v>27.33</v>
      </c>
      <c r="V188" s="3">
        <v>15.92</v>
      </c>
      <c r="W188" s="3">
        <v>11.72</v>
      </c>
      <c r="X188" s="3">
        <v>9.8000000000000007</v>
      </c>
      <c r="Y188" s="3">
        <v>3.9580000000000002</v>
      </c>
      <c r="Z188" s="3">
        <v>1424</v>
      </c>
      <c r="AA188" s="3">
        <v>3.7069999999999999</v>
      </c>
      <c r="AB188" s="3">
        <v>422</v>
      </c>
      <c r="AC188" s="3">
        <v>24.45</v>
      </c>
      <c r="AD188" s="3">
        <v>1716</v>
      </c>
      <c r="AE188" s="3">
        <v>2.7549999999999999</v>
      </c>
      <c r="AF188" s="3">
        <v>2.2149999999999999</v>
      </c>
      <c r="AG188" s="3">
        <v>3.6749999999999998</v>
      </c>
      <c r="AH188" s="3">
        <v>9.8000000000000007</v>
      </c>
      <c r="AI188" s="3">
        <v>9.91</v>
      </c>
      <c r="AJ188" s="3">
        <v>7.86</v>
      </c>
      <c r="AK188" s="3">
        <v>2.5999999999999999E-2</v>
      </c>
      <c r="AL188" s="3">
        <v>0.26</v>
      </c>
      <c r="AM188" s="3">
        <v>0.21</v>
      </c>
      <c r="AN188" s="3">
        <v>1.7999999999999999E-2</v>
      </c>
      <c r="AO188" s="3">
        <v>0.11600000000000001</v>
      </c>
      <c r="AP188" s="3">
        <v>0.19700000000000001</v>
      </c>
      <c r="AQ188" s="3">
        <v>0.126</v>
      </c>
      <c r="AR188" s="3">
        <v>4.7E-2</v>
      </c>
      <c r="AS188" s="3">
        <v>3516</v>
      </c>
      <c r="AT188" s="3">
        <v>3320</v>
      </c>
      <c r="AU188" s="3">
        <v>3490</v>
      </c>
      <c r="AV188" s="3">
        <v>15.01</v>
      </c>
      <c r="AW188" s="3">
        <v>14.9</v>
      </c>
      <c r="AX188" s="3">
        <v>27.26</v>
      </c>
      <c r="AY188" s="3">
        <v>27.19</v>
      </c>
      <c r="AZ188" s="3">
        <v>2.7170000000000001</v>
      </c>
      <c r="BA188" s="3">
        <v>2.48</v>
      </c>
      <c r="BB188" s="3">
        <v>12.77</v>
      </c>
      <c r="BC188" s="3">
        <v>2876</v>
      </c>
      <c r="BG188" s="16">
        <v>32.89</v>
      </c>
      <c r="BH188" s="16">
        <f t="shared" si="85"/>
        <v>66.437799999999996</v>
      </c>
      <c r="BI188" s="17">
        <f t="shared" si="119"/>
        <v>32.700000000000003</v>
      </c>
      <c r="BJ188" s="17">
        <f t="shared" si="120"/>
        <v>66.2</v>
      </c>
      <c r="BL188" s="1">
        <f t="shared" si="86"/>
        <v>93.6</v>
      </c>
      <c r="BM188" s="1">
        <f t="shared" si="87"/>
        <v>48.6</v>
      </c>
      <c r="BN188" s="1">
        <f t="shared" si="88"/>
        <v>14.5</v>
      </c>
      <c r="BO188" s="49">
        <f t="shared" si="94"/>
        <v>0.42099999999999999</v>
      </c>
      <c r="BP188" s="49">
        <f t="shared" si="95"/>
        <v>2.4820000000000002</v>
      </c>
      <c r="BR188" s="3">
        <v>0</v>
      </c>
      <c r="BT188" s="16">
        <f t="shared" si="89"/>
        <v>32.700000000000003</v>
      </c>
      <c r="BU188" s="16">
        <f t="shared" si="90"/>
        <v>66.2</v>
      </c>
      <c r="BV188" s="3">
        <f t="shared" si="91"/>
        <v>14.7</v>
      </c>
      <c r="BW188" s="3">
        <f t="shared" si="118"/>
        <v>14.7</v>
      </c>
      <c r="BX188" s="3">
        <f t="shared" si="118"/>
        <v>14.8</v>
      </c>
      <c r="BY188" s="3">
        <f t="shared" si="118"/>
        <v>11.8</v>
      </c>
      <c r="BZ188" s="3">
        <f t="shared" si="117"/>
        <v>12.7</v>
      </c>
      <c r="CA188" s="3">
        <f t="shared" si="117"/>
        <v>10.7</v>
      </c>
      <c r="CB188" s="3">
        <f t="shared" si="117"/>
        <v>8.8000000000000007</v>
      </c>
      <c r="CC188" s="22">
        <f t="shared" si="92"/>
        <v>48.6</v>
      </c>
      <c r="CD188" s="1">
        <f t="shared" si="96"/>
        <v>23.5</v>
      </c>
      <c r="CE188" s="1">
        <f t="shared" si="97"/>
        <v>26.5</v>
      </c>
      <c r="CF188" s="1">
        <f t="shared" si="98"/>
        <v>27.6</v>
      </c>
      <c r="CG188" s="1">
        <f t="shared" si="99"/>
        <v>27.3</v>
      </c>
      <c r="CH188" s="1">
        <f t="shared" si="100"/>
        <v>15.9</v>
      </c>
      <c r="CI188" s="1">
        <f t="shared" si="101"/>
        <v>11.7</v>
      </c>
      <c r="CJ188" s="1">
        <f t="shared" si="102"/>
        <v>9.8000000000000007</v>
      </c>
      <c r="CK188" s="2">
        <f t="shared" si="93"/>
        <v>93.6</v>
      </c>
      <c r="CL188" s="1">
        <f t="shared" si="103"/>
        <v>3.7</v>
      </c>
      <c r="CM188" s="1">
        <f t="shared" si="104"/>
        <v>2.8</v>
      </c>
      <c r="CN188" s="1">
        <f t="shared" si="105"/>
        <v>2.2000000000000002</v>
      </c>
      <c r="CO188" s="1">
        <f t="shared" si="106"/>
        <v>3.7</v>
      </c>
      <c r="CP188" s="1">
        <f t="shared" si="107"/>
        <v>9.8000000000000007</v>
      </c>
      <c r="CQ188" s="1">
        <f t="shared" si="108"/>
        <v>9.9</v>
      </c>
      <c r="CR188" s="1">
        <f t="shared" si="109"/>
        <v>7.9</v>
      </c>
      <c r="CS188" s="2">
        <f t="shared" si="110"/>
        <v>14.5</v>
      </c>
      <c r="CT188" s="6">
        <f t="shared" si="111"/>
        <v>0</v>
      </c>
      <c r="CU188" s="1">
        <f>PPTest!K188</f>
        <v>0</v>
      </c>
      <c r="CV188" s="3">
        <f t="shared" si="112"/>
        <v>1.75</v>
      </c>
      <c r="CW188" s="3">
        <f t="shared" si="113"/>
        <v>3.96</v>
      </c>
      <c r="CX188" s="24">
        <f t="shared" si="114"/>
        <v>0.42099999999999999</v>
      </c>
      <c r="CY188" s="24">
        <f t="shared" si="114"/>
        <v>2.4820000000000002</v>
      </c>
      <c r="CZ188" s="16">
        <f t="shared" si="115"/>
        <v>12.77</v>
      </c>
    </row>
    <row r="189" spans="1:104" x14ac:dyDescent="0.2">
      <c r="A189" s="14">
        <f t="shared" si="116"/>
        <v>38900</v>
      </c>
      <c r="B189" s="1">
        <v>183</v>
      </c>
      <c r="C189" s="3">
        <v>28.19</v>
      </c>
      <c r="D189" s="3">
        <v>50.98</v>
      </c>
      <c r="E189" s="3">
        <v>15.91</v>
      </c>
      <c r="F189" s="3">
        <v>62.11</v>
      </c>
      <c r="G189" s="3">
        <v>15.78</v>
      </c>
      <c r="H189" s="3">
        <v>15.67</v>
      </c>
      <c r="I189" s="3">
        <v>12.47</v>
      </c>
      <c r="J189" s="3">
        <v>12.71</v>
      </c>
      <c r="K189" s="3">
        <v>10.83</v>
      </c>
      <c r="L189" s="3">
        <v>8.86</v>
      </c>
      <c r="M189" s="3">
        <v>1.702</v>
      </c>
      <c r="N189" s="3">
        <v>0</v>
      </c>
      <c r="O189" s="3">
        <v>25.35</v>
      </c>
      <c r="P189" s="3">
        <v>1640</v>
      </c>
      <c r="Q189" s="3">
        <v>101.6</v>
      </c>
      <c r="R189" s="3">
        <v>417</v>
      </c>
      <c r="S189" s="3">
        <v>28.23</v>
      </c>
      <c r="T189" s="3">
        <v>29.43</v>
      </c>
      <c r="U189" s="3">
        <v>28.55</v>
      </c>
      <c r="V189" s="3">
        <v>15.92</v>
      </c>
      <c r="W189" s="3">
        <v>11.82</v>
      </c>
      <c r="X189" s="3">
        <v>9.9</v>
      </c>
      <c r="Y189" s="3">
        <v>3.8519999999999999</v>
      </c>
      <c r="Z189" s="3">
        <v>1345</v>
      </c>
      <c r="AA189" s="3">
        <v>4.181</v>
      </c>
      <c r="AB189" s="3">
        <v>339</v>
      </c>
      <c r="AC189" s="3">
        <v>24.11</v>
      </c>
      <c r="AD189" s="3">
        <v>1727</v>
      </c>
      <c r="AE189" s="3">
        <v>3.1930000000000001</v>
      </c>
      <c r="AF189" s="3">
        <v>2.7709999999999999</v>
      </c>
      <c r="AG189" s="3">
        <v>3.9369999999999998</v>
      </c>
      <c r="AH189" s="3">
        <v>9.8800000000000008</v>
      </c>
      <c r="AI189" s="3">
        <v>9.99</v>
      </c>
      <c r="AJ189" s="3">
        <v>7.9</v>
      </c>
      <c r="AK189" s="3">
        <v>8.1000000000000003E-2</v>
      </c>
      <c r="AL189" s="3">
        <v>0.247</v>
      </c>
      <c r="AM189" s="3">
        <v>0.31900000000000001</v>
      </c>
      <c r="AN189" s="3">
        <v>3.1E-2</v>
      </c>
      <c r="AO189" s="3">
        <v>8.5000000000000006E-2</v>
      </c>
      <c r="AP189" s="3">
        <v>0.10199999999999999</v>
      </c>
      <c r="AQ189" s="3">
        <v>6.3E-2</v>
      </c>
      <c r="AR189" s="3">
        <v>7.2999999999999995E-2</v>
      </c>
      <c r="AS189" s="3">
        <v>3529</v>
      </c>
      <c r="AT189" s="3">
        <v>3484</v>
      </c>
      <c r="AU189" s="3">
        <v>3514</v>
      </c>
      <c r="AV189" s="3">
        <v>15.63</v>
      </c>
      <c r="AW189" s="3">
        <v>15.64</v>
      </c>
      <c r="AX189" s="3">
        <v>27.66</v>
      </c>
      <c r="AY189" s="3">
        <v>28.11</v>
      </c>
      <c r="AZ189" s="3">
        <v>3.09</v>
      </c>
      <c r="BA189" s="3">
        <v>2.8759999999999999</v>
      </c>
      <c r="BB189" s="3">
        <v>12.79</v>
      </c>
      <c r="BC189" s="3">
        <v>2876</v>
      </c>
      <c r="BG189" s="16">
        <v>32.840000000000003</v>
      </c>
      <c r="BH189" s="16">
        <f t="shared" si="85"/>
        <v>66.336800000000011</v>
      </c>
      <c r="BI189" s="17">
        <f t="shared" si="119"/>
        <v>27.63</v>
      </c>
      <c r="BJ189" s="17">
        <f t="shared" si="120"/>
        <v>56.08</v>
      </c>
      <c r="BL189" s="1">
        <f t="shared" si="86"/>
        <v>84.8</v>
      </c>
      <c r="BM189" s="1">
        <f t="shared" si="87"/>
        <v>47.7</v>
      </c>
      <c r="BN189" s="1">
        <f t="shared" si="88"/>
        <v>14.2</v>
      </c>
      <c r="BO189" s="49">
        <f t="shared" si="94"/>
        <v>0.45900000000000002</v>
      </c>
      <c r="BP189" s="49">
        <f t="shared" si="95"/>
        <v>2.7730000000000001</v>
      </c>
      <c r="BR189" s="3">
        <v>0</v>
      </c>
      <c r="BT189" s="16">
        <f t="shared" si="89"/>
        <v>27.63</v>
      </c>
      <c r="BU189" s="16">
        <f t="shared" si="90"/>
        <v>56.08</v>
      </c>
      <c r="BV189" s="3">
        <f t="shared" si="91"/>
        <v>15.9</v>
      </c>
      <c r="BW189" s="3">
        <f t="shared" si="118"/>
        <v>15.8</v>
      </c>
      <c r="BX189" s="3">
        <f t="shared" si="118"/>
        <v>15.7</v>
      </c>
      <c r="BY189" s="3">
        <f t="shared" si="118"/>
        <v>12.5</v>
      </c>
      <c r="BZ189" s="3">
        <f t="shared" si="117"/>
        <v>12.7</v>
      </c>
      <c r="CA189" s="3">
        <f t="shared" si="117"/>
        <v>10.8</v>
      </c>
      <c r="CB189" s="3">
        <f t="shared" si="117"/>
        <v>8.9</v>
      </c>
      <c r="CC189" s="22">
        <f t="shared" si="92"/>
        <v>47.7</v>
      </c>
      <c r="CD189" s="1">
        <f t="shared" si="96"/>
        <v>25.4</v>
      </c>
      <c r="CE189" s="1">
        <f t="shared" si="97"/>
        <v>28.2</v>
      </c>
      <c r="CF189" s="1">
        <f t="shared" si="98"/>
        <v>29.4</v>
      </c>
      <c r="CG189" s="1">
        <f t="shared" si="99"/>
        <v>28.6</v>
      </c>
      <c r="CH189" s="1">
        <f t="shared" si="100"/>
        <v>15.9</v>
      </c>
      <c r="CI189" s="1">
        <f t="shared" si="101"/>
        <v>11.8</v>
      </c>
      <c r="CJ189" s="1">
        <f t="shared" si="102"/>
        <v>9.9</v>
      </c>
      <c r="CK189" s="2">
        <f t="shared" si="93"/>
        <v>84.8</v>
      </c>
      <c r="CL189" s="1">
        <f t="shared" si="103"/>
        <v>4.2</v>
      </c>
      <c r="CM189" s="1">
        <f t="shared" si="104"/>
        <v>3.2</v>
      </c>
      <c r="CN189" s="1">
        <f t="shared" si="105"/>
        <v>2.8</v>
      </c>
      <c r="CO189" s="1">
        <f t="shared" si="106"/>
        <v>3.9</v>
      </c>
      <c r="CP189" s="1">
        <f t="shared" si="107"/>
        <v>9.9</v>
      </c>
      <c r="CQ189" s="1">
        <f t="shared" si="108"/>
        <v>10</v>
      </c>
      <c r="CR189" s="1">
        <f t="shared" si="109"/>
        <v>7.9</v>
      </c>
      <c r="CS189" s="2">
        <f t="shared" si="110"/>
        <v>14.2</v>
      </c>
      <c r="CT189" s="6">
        <f t="shared" si="111"/>
        <v>0</v>
      </c>
      <c r="CU189" s="1">
        <f>PPTest!K189</f>
        <v>0</v>
      </c>
      <c r="CV189" s="3">
        <f t="shared" si="112"/>
        <v>1.7</v>
      </c>
      <c r="CW189" s="3">
        <f t="shared" si="113"/>
        <v>3.85</v>
      </c>
      <c r="CX189" s="24">
        <f t="shared" si="114"/>
        <v>0.45900000000000002</v>
      </c>
      <c r="CY189" s="24">
        <f t="shared" si="114"/>
        <v>2.7730000000000001</v>
      </c>
      <c r="CZ189" s="16">
        <f t="shared" si="115"/>
        <v>12.79</v>
      </c>
    </row>
    <row r="190" spans="1:104" x14ac:dyDescent="0.2">
      <c r="A190" s="14">
        <f t="shared" si="116"/>
        <v>38901</v>
      </c>
      <c r="B190" s="1">
        <v>184</v>
      </c>
      <c r="C190" s="3">
        <v>30.02</v>
      </c>
      <c r="D190" s="3">
        <v>54.15</v>
      </c>
      <c r="E190" s="3">
        <v>17</v>
      </c>
      <c r="F190" s="3">
        <v>65.680000000000007</v>
      </c>
      <c r="G190" s="3">
        <v>17.05</v>
      </c>
      <c r="H190" s="3">
        <v>17.010000000000002</v>
      </c>
      <c r="I190" s="3">
        <v>14.11</v>
      </c>
      <c r="J190" s="3">
        <v>13.41</v>
      </c>
      <c r="K190" s="3">
        <v>11.07</v>
      </c>
      <c r="L190" s="3">
        <v>8.93</v>
      </c>
      <c r="M190" s="3">
        <v>1.7450000000000001</v>
      </c>
      <c r="N190" s="3">
        <v>0</v>
      </c>
      <c r="O190" s="3">
        <v>26.7</v>
      </c>
      <c r="P190" s="3">
        <v>1543</v>
      </c>
      <c r="Q190" s="3">
        <v>101.6</v>
      </c>
      <c r="R190" s="3">
        <v>402</v>
      </c>
      <c r="S190" s="3">
        <v>30.48</v>
      </c>
      <c r="T190" s="3">
        <v>31.77</v>
      </c>
      <c r="U190" s="3">
        <v>28.84</v>
      </c>
      <c r="V190" s="3">
        <v>16.899999999999999</v>
      </c>
      <c r="W190" s="3">
        <v>11.87</v>
      </c>
      <c r="X190" s="3">
        <v>9.85</v>
      </c>
      <c r="Y190" s="3">
        <v>4.5430000000000001</v>
      </c>
      <c r="Z190" s="3">
        <v>1456</v>
      </c>
      <c r="AA190" s="3">
        <v>6.593</v>
      </c>
      <c r="AB190" s="3">
        <v>401</v>
      </c>
      <c r="AC190" s="3">
        <v>29.78</v>
      </c>
      <c r="AD190" s="3">
        <v>1411</v>
      </c>
      <c r="AE190" s="3">
        <v>5.5439999999999996</v>
      </c>
      <c r="AF190" s="3">
        <v>5.3090000000000002</v>
      </c>
      <c r="AG190" s="3">
        <v>6.0209999999999999</v>
      </c>
      <c r="AH190" s="3">
        <v>10.65</v>
      </c>
      <c r="AI190" s="3">
        <v>10.34</v>
      </c>
      <c r="AJ190" s="3">
        <v>8.2200000000000006</v>
      </c>
      <c r="AK190" s="3">
        <v>4.2000000000000003E-2</v>
      </c>
      <c r="AL190" s="3">
        <v>0.27700000000000002</v>
      </c>
      <c r="AM190" s="3">
        <v>0.23100000000000001</v>
      </c>
      <c r="AN190" s="3">
        <v>5.0999999999999997E-2</v>
      </c>
      <c r="AO190" s="3">
        <v>0.11</v>
      </c>
      <c r="AP190" s="3">
        <v>0.13300000000000001</v>
      </c>
      <c r="AQ190" s="3">
        <v>8.2000000000000003E-2</v>
      </c>
      <c r="AR190" s="3">
        <v>7.3999999999999996E-2</v>
      </c>
      <c r="AS190" s="3">
        <v>3522</v>
      </c>
      <c r="AT190" s="3">
        <v>3502</v>
      </c>
      <c r="AU190" s="3">
        <v>3514</v>
      </c>
      <c r="AV190" s="3">
        <v>17.12</v>
      </c>
      <c r="AW190" s="3">
        <v>17.079999999999998</v>
      </c>
      <c r="AX190" s="3">
        <v>29.99</v>
      </c>
      <c r="AY190" s="3">
        <v>30.27</v>
      </c>
      <c r="AZ190" s="3">
        <v>5.7009999999999996</v>
      </c>
      <c r="BA190" s="3">
        <v>5.4850000000000003</v>
      </c>
      <c r="BB190" s="3">
        <v>12.76</v>
      </c>
      <c r="BC190" s="3">
        <v>2876</v>
      </c>
      <c r="BG190" s="16">
        <v>32.79</v>
      </c>
      <c r="BH190" s="16">
        <f t="shared" si="85"/>
        <v>66.235799999999998</v>
      </c>
      <c r="BI190" s="17">
        <f t="shared" si="119"/>
        <v>29.42</v>
      </c>
      <c r="BJ190" s="17">
        <f t="shared" si="120"/>
        <v>59.57</v>
      </c>
      <c r="BL190" s="1">
        <f t="shared" si="86"/>
        <v>84.8</v>
      </c>
      <c r="BM190" s="1">
        <f t="shared" si="87"/>
        <v>50.8</v>
      </c>
      <c r="BN190" s="1">
        <f t="shared" si="88"/>
        <v>19.2</v>
      </c>
      <c r="BO190" s="49">
        <f t="shared" si="94"/>
        <v>0.67200000000000004</v>
      </c>
      <c r="BP190" s="49">
        <f t="shared" si="95"/>
        <v>2.8279999999999998</v>
      </c>
      <c r="BR190" s="3">
        <v>0</v>
      </c>
      <c r="BT190" s="16">
        <f t="shared" si="89"/>
        <v>29.42</v>
      </c>
      <c r="BU190" s="16">
        <f t="shared" si="90"/>
        <v>59.57</v>
      </c>
      <c r="BV190" s="3">
        <f t="shared" si="91"/>
        <v>17</v>
      </c>
      <c r="BW190" s="3">
        <f t="shared" si="118"/>
        <v>17.100000000000001</v>
      </c>
      <c r="BX190" s="3">
        <f t="shared" si="118"/>
        <v>17</v>
      </c>
      <c r="BY190" s="3">
        <f t="shared" si="118"/>
        <v>14.1</v>
      </c>
      <c r="BZ190" s="3">
        <f t="shared" si="117"/>
        <v>13.4</v>
      </c>
      <c r="CA190" s="3">
        <f t="shared" si="117"/>
        <v>11.1</v>
      </c>
      <c r="CB190" s="3">
        <f t="shared" si="117"/>
        <v>8.9</v>
      </c>
      <c r="CC190" s="22">
        <f t="shared" si="92"/>
        <v>50.8</v>
      </c>
      <c r="CD190" s="1">
        <f t="shared" si="96"/>
        <v>26.7</v>
      </c>
      <c r="CE190" s="1">
        <f t="shared" si="97"/>
        <v>30.5</v>
      </c>
      <c r="CF190" s="1">
        <f t="shared" si="98"/>
        <v>31.8</v>
      </c>
      <c r="CG190" s="1">
        <f t="shared" si="99"/>
        <v>28.8</v>
      </c>
      <c r="CH190" s="1">
        <f t="shared" si="100"/>
        <v>16.899999999999999</v>
      </c>
      <c r="CI190" s="1">
        <f t="shared" si="101"/>
        <v>11.9</v>
      </c>
      <c r="CJ190" s="1">
        <f t="shared" si="102"/>
        <v>9.9</v>
      </c>
      <c r="CK190" s="2">
        <f t="shared" si="93"/>
        <v>84.8</v>
      </c>
      <c r="CL190" s="1">
        <f t="shared" si="103"/>
        <v>6.6</v>
      </c>
      <c r="CM190" s="1">
        <f t="shared" si="104"/>
        <v>5.5</v>
      </c>
      <c r="CN190" s="1">
        <f t="shared" si="105"/>
        <v>5.3</v>
      </c>
      <c r="CO190" s="1">
        <f t="shared" si="106"/>
        <v>6</v>
      </c>
      <c r="CP190" s="1">
        <f t="shared" si="107"/>
        <v>10.7</v>
      </c>
      <c r="CQ190" s="1">
        <f t="shared" si="108"/>
        <v>10.3</v>
      </c>
      <c r="CR190" s="1">
        <f t="shared" si="109"/>
        <v>8.1999999999999993</v>
      </c>
      <c r="CS190" s="2">
        <f t="shared" si="110"/>
        <v>19.2</v>
      </c>
      <c r="CT190" s="6">
        <f t="shared" si="111"/>
        <v>0</v>
      </c>
      <c r="CU190" s="1">
        <f>PPTest!K190</f>
        <v>0</v>
      </c>
      <c r="CV190" s="3">
        <f t="shared" si="112"/>
        <v>1.75</v>
      </c>
      <c r="CW190" s="3">
        <f t="shared" si="113"/>
        <v>4.54</v>
      </c>
      <c r="CX190" s="24">
        <f t="shared" si="114"/>
        <v>0.67200000000000004</v>
      </c>
      <c r="CY190" s="24">
        <f t="shared" si="114"/>
        <v>2.8279999999999998</v>
      </c>
      <c r="CZ190" s="16">
        <f t="shared" si="115"/>
        <v>12.76</v>
      </c>
    </row>
    <row r="191" spans="1:104" x14ac:dyDescent="0.2">
      <c r="A191" s="14">
        <f t="shared" si="116"/>
        <v>38902</v>
      </c>
      <c r="B191" s="1">
        <v>185</v>
      </c>
      <c r="C191" s="3">
        <v>18.98</v>
      </c>
      <c r="D191" s="3">
        <v>34.51</v>
      </c>
      <c r="E191" s="3">
        <v>16</v>
      </c>
      <c r="F191" s="3">
        <v>74.900000000000006</v>
      </c>
      <c r="G191" s="3">
        <v>15.78</v>
      </c>
      <c r="H191" s="3">
        <v>15.73</v>
      </c>
      <c r="I191" s="3">
        <v>13.68</v>
      </c>
      <c r="J191" s="3">
        <v>12.79</v>
      </c>
      <c r="K191" s="3">
        <v>11.33</v>
      </c>
      <c r="L191" s="3">
        <v>9.07</v>
      </c>
      <c r="M191" s="3">
        <v>1.605</v>
      </c>
      <c r="N191" s="3">
        <v>0</v>
      </c>
      <c r="O191" s="3">
        <v>24.89</v>
      </c>
      <c r="P191" s="3">
        <v>1026</v>
      </c>
      <c r="Q191" s="3">
        <v>106.2</v>
      </c>
      <c r="R191" s="3">
        <v>403</v>
      </c>
      <c r="S191" s="3">
        <v>28.21</v>
      </c>
      <c r="T191" s="3">
        <v>28.77</v>
      </c>
      <c r="U191" s="3">
        <v>29.36</v>
      </c>
      <c r="V191" s="3">
        <v>14.07</v>
      </c>
      <c r="W191" s="3">
        <v>12.26</v>
      </c>
      <c r="X191" s="3">
        <v>9.98</v>
      </c>
      <c r="Y191" s="3">
        <v>4.9420000000000002</v>
      </c>
      <c r="Z191" s="3">
        <v>1337</v>
      </c>
      <c r="AA191" s="3">
        <v>6.0579999999999998</v>
      </c>
      <c r="AB191" s="3">
        <v>403</v>
      </c>
      <c r="AC191" s="3">
        <v>32.74</v>
      </c>
      <c r="AD191" s="3">
        <v>941</v>
      </c>
      <c r="AE191" s="3">
        <v>5.2869999999999999</v>
      </c>
      <c r="AF191" s="3">
        <v>5.1479999999999997</v>
      </c>
      <c r="AG191" s="3">
        <v>6.0209999999999999</v>
      </c>
      <c r="AH191" s="3">
        <v>10.97</v>
      </c>
      <c r="AI191" s="3">
        <v>10.57</v>
      </c>
      <c r="AJ191" s="3">
        <v>8.4499999999999993</v>
      </c>
      <c r="AK191" s="3">
        <v>0.16700000000000001</v>
      </c>
      <c r="AL191" s="3">
        <v>0.313</v>
      </c>
      <c r="AM191" s="3">
        <v>0.245</v>
      </c>
      <c r="AN191" s="3">
        <v>4.3999999999999997E-2</v>
      </c>
      <c r="AO191" s="3">
        <v>3.6999999999999998E-2</v>
      </c>
      <c r="AP191" s="3">
        <v>6.4000000000000001E-2</v>
      </c>
      <c r="AQ191" s="3">
        <v>5.6000000000000001E-2</v>
      </c>
      <c r="AR191" s="3">
        <v>7.4999999999999997E-2</v>
      </c>
      <c r="AS191" s="3">
        <v>3519</v>
      </c>
      <c r="AT191" s="3">
        <v>3495</v>
      </c>
      <c r="AU191" s="3">
        <v>3512</v>
      </c>
      <c r="AV191" s="3">
        <v>15.55</v>
      </c>
      <c r="AW191" s="3">
        <v>15.52</v>
      </c>
      <c r="AX191" s="3">
        <v>26.09</v>
      </c>
      <c r="AY191" s="3">
        <v>26.54</v>
      </c>
      <c r="AZ191" s="3">
        <v>5.3310000000000004</v>
      </c>
      <c r="BA191" s="3">
        <v>5.0720000000000001</v>
      </c>
      <c r="BB191" s="3">
        <v>12.83</v>
      </c>
      <c r="BC191" s="3">
        <v>2876</v>
      </c>
      <c r="BG191" s="16">
        <v>32.729999999999997</v>
      </c>
      <c r="BH191" s="16">
        <f t="shared" si="85"/>
        <v>66.114599999999996</v>
      </c>
      <c r="BI191" s="17">
        <f t="shared" si="119"/>
        <v>18.600000000000001</v>
      </c>
      <c r="BJ191" s="17">
        <f t="shared" si="120"/>
        <v>37.96</v>
      </c>
      <c r="BL191" s="1">
        <f t="shared" si="86"/>
        <v>92.2</v>
      </c>
      <c r="BM191" s="1">
        <f t="shared" si="87"/>
        <v>58.9</v>
      </c>
      <c r="BN191" s="1">
        <f t="shared" si="88"/>
        <v>21.8</v>
      </c>
      <c r="BO191" s="49">
        <f t="shared" si="94"/>
        <v>0.68600000000000005</v>
      </c>
      <c r="BP191" s="49">
        <f t="shared" si="95"/>
        <v>2.4609999999999999</v>
      </c>
      <c r="BR191" s="3">
        <v>0</v>
      </c>
      <c r="BT191" s="16">
        <f t="shared" si="89"/>
        <v>18.600000000000001</v>
      </c>
      <c r="BU191" s="16">
        <f t="shared" si="90"/>
        <v>37.96</v>
      </c>
      <c r="BV191" s="3">
        <f t="shared" si="91"/>
        <v>16</v>
      </c>
      <c r="BW191" s="3">
        <f t="shared" si="118"/>
        <v>15.8</v>
      </c>
      <c r="BX191" s="3">
        <f t="shared" si="118"/>
        <v>15.7</v>
      </c>
      <c r="BY191" s="3">
        <f t="shared" si="118"/>
        <v>13.7</v>
      </c>
      <c r="BZ191" s="3">
        <f t="shared" si="117"/>
        <v>12.8</v>
      </c>
      <c r="CA191" s="3">
        <f t="shared" si="117"/>
        <v>11.3</v>
      </c>
      <c r="CB191" s="3">
        <f t="shared" si="117"/>
        <v>9.1</v>
      </c>
      <c r="CC191" s="22">
        <f t="shared" si="92"/>
        <v>58.9</v>
      </c>
      <c r="CD191" s="1">
        <f t="shared" si="96"/>
        <v>24.9</v>
      </c>
      <c r="CE191" s="1">
        <f t="shared" si="97"/>
        <v>28.2</v>
      </c>
      <c r="CF191" s="1">
        <f t="shared" si="98"/>
        <v>28.8</v>
      </c>
      <c r="CG191" s="1">
        <f t="shared" si="99"/>
        <v>29.4</v>
      </c>
      <c r="CH191" s="1">
        <f t="shared" si="100"/>
        <v>14.1</v>
      </c>
      <c r="CI191" s="1">
        <f t="shared" si="101"/>
        <v>12.3</v>
      </c>
      <c r="CJ191" s="1">
        <f t="shared" si="102"/>
        <v>10</v>
      </c>
      <c r="CK191" s="2">
        <f t="shared" si="93"/>
        <v>92.2</v>
      </c>
      <c r="CL191" s="1">
        <f t="shared" si="103"/>
        <v>6.1</v>
      </c>
      <c r="CM191" s="1">
        <f t="shared" si="104"/>
        <v>5.3</v>
      </c>
      <c r="CN191" s="1">
        <f t="shared" si="105"/>
        <v>5.0999999999999996</v>
      </c>
      <c r="CO191" s="1">
        <f t="shared" si="106"/>
        <v>6</v>
      </c>
      <c r="CP191" s="1">
        <f t="shared" si="107"/>
        <v>11</v>
      </c>
      <c r="CQ191" s="1">
        <f t="shared" si="108"/>
        <v>10.6</v>
      </c>
      <c r="CR191" s="1">
        <f t="shared" si="109"/>
        <v>8.5</v>
      </c>
      <c r="CS191" s="2">
        <f t="shared" si="110"/>
        <v>21.8</v>
      </c>
      <c r="CT191" s="6">
        <f t="shared" si="111"/>
        <v>0</v>
      </c>
      <c r="CU191" s="1">
        <f>PPTest!K191</f>
        <v>0</v>
      </c>
      <c r="CV191" s="3">
        <f t="shared" si="112"/>
        <v>1.61</v>
      </c>
      <c r="CW191" s="3">
        <f t="shared" si="113"/>
        <v>4.9400000000000004</v>
      </c>
      <c r="CX191" s="24">
        <f t="shared" si="114"/>
        <v>0.68600000000000005</v>
      </c>
      <c r="CY191" s="24">
        <f t="shared" si="114"/>
        <v>2.4609999999999999</v>
      </c>
      <c r="CZ191" s="16">
        <f t="shared" si="115"/>
        <v>12.83</v>
      </c>
    </row>
    <row r="192" spans="1:104" x14ac:dyDescent="0.2">
      <c r="A192" s="14">
        <f t="shared" si="116"/>
        <v>38903</v>
      </c>
      <c r="B192" s="1">
        <v>186</v>
      </c>
      <c r="C192" s="3">
        <v>26.44</v>
      </c>
      <c r="D192" s="3">
        <v>49.88</v>
      </c>
      <c r="E192" s="3">
        <v>15.09</v>
      </c>
      <c r="F192" s="3">
        <v>84.5</v>
      </c>
      <c r="G192" s="3">
        <v>15.34</v>
      </c>
      <c r="H192" s="3">
        <v>15.38</v>
      </c>
      <c r="I192" s="3">
        <v>14.26</v>
      </c>
      <c r="J192" s="3">
        <v>13.2</v>
      </c>
      <c r="K192" s="3">
        <v>11.25</v>
      </c>
      <c r="L192" s="3">
        <v>9.1300000000000008</v>
      </c>
      <c r="M192" s="3">
        <v>1.5569999999999999</v>
      </c>
      <c r="N192" s="3">
        <v>19</v>
      </c>
      <c r="O192" s="3">
        <v>25.23</v>
      </c>
      <c r="P192" s="3">
        <v>1415</v>
      </c>
      <c r="Q192" s="3">
        <v>110.2</v>
      </c>
      <c r="R192" s="3">
        <v>2349</v>
      </c>
      <c r="S192" s="3">
        <v>28.64</v>
      </c>
      <c r="T192" s="3">
        <v>29.38</v>
      </c>
      <c r="U192" s="3">
        <v>31.27</v>
      </c>
      <c r="V192" s="3">
        <v>16.670000000000002</v>
      </c>
      <c r="W192" s="3">
        <v>12.03</v>
      </c>
      <c r="X192" s="3">
        <v>10</v>
      </c>
      <c r="Y192" s="3">
        <v>3.7989999999999999</v>
      </c>
      <c r="Z192" s="3">
        <v>1422</v>
      </c>
      <c r="AA192" s="3">
        <v>6.4710000000000001</v>
      </c>
      <c r="AB192" s="3">
        <v>359</v>
      </c>
      <c r="AC192" s="3">
        <v>30.58</v>
      </c>
      <c r="AD192" s="3">
        <v>1359</v>
      </c>
      <c r="AE192" s="3">
        <v>5.516</v>
      </c>
      <c r="AF192" s="3">
        <v>5.2889999999999997</v>
      </c>
      <c r="AG192" s="3">
        <v>5.8440000000000003</v>
      </c>
      <c r="AH192" s="3">
        <v>10.61</v>
      </c>
      <c r="AI192" s="3">
        <v>10.29</v>
      </c>
      <c r="AJ192" s="3">
        <v>8.18</v>
      </c>
      <c r="AK192" s="3">
        <v>0.125</v>
      </c>
      <c r="AL192" s="3">
        <v>0.245</v>
      </c>
      <c r="AM192" s="3">
        <v>0.182</v>
      </c>
      <c r="AN192" s="3">
        <v>4.1000000000000002E-2</v>
      </c>
      <c r="AO192" s="3">
        <v>0.104</v>
      </c>
      <c r="AP192" s="3">
        <v>0.14699999999999999</v>
      </c>
      <c r="AQ192" s="3">
        <v>8.5999999999999993E-2</v>
      </c>
      <c r="AR192" s="3">
        <v>7.0000000000000007E-2</v>
      </c>
      <c r="AS192" s="3">
        <v>3518</v>
      </c>
      <c r="AT192" s="3">
        <v>3509</v>
      </c>
      <c r="AU192" s="3">
        <v>3512</v>
      </c>
      <c r="AV192" s="3">
        <v>15.94</v>
      </c>
      <c r="AW192" s="3">
        <v>15.84</v>
      </c>
      <c r="AX192" s="3">
        <v>28.66</v>
      </c>
      <c r="AY192" s="3">
        <v>29.03</v>
      </c>
      <c r="AZ192" s="3">
        <v>5.7839999999999998</v>
      </c>
      <c r="BA192" s="3">
        <v>5.532</v>
      </c>
      <c r="BB192" s="3">
        <v>12.74</v>
      </c>
      <c r="BC192" s="3">
        <v>2876</v>
      </c>
      <c r="BG192" s="16">
        <v>32.659999999999997</v>
      </c>
      <c r="BH192" s="16">
        <f t="shared" si="85"/>
        <v>65.973199999999991</v>
      </c>
      <c r="BI192" s="17">
        <f t="shared" si="119"/>
        <v>25.91</v>
      </c>
      <c r="BJ192" s="17">
        <f t="shared" si="120"/>
        <v>54.87</v>
      </c>
      <c r="BL192" s="1">
        <f t="shared" si="86"/>
        <v>98.5</v>
      </c>
      <c r="BM192" s="1">
        <f t="shared" si="87"/>
        <v>67.400000000000006</v>
      </c>
      <c r="BN192" s="1">
        <f t="shared" si="88"/>
        <v>19.899999999999999</v>
      </c>
      <c r="BO192" s="49">
        <f t="shared" si="94"/>
        <v>0.63900000000000001</v>
      </c>
      <c r="BP192" s="49">
        <f t="shared" si="95"/>
        <v>2.5720000000000001</v>
      </c>
      <c r="BR192" s="3">
        <v>9.6</v>
      </c>
      <c r="BT192" s="16">
        <f t="shared" si="89"/>
        <v>25.91</v>
      </c>
      <c r="BU192" s="16">
        <f t="shared" si="90"/>
        <v>54.87</v>
      </c>
      <c r="BV192" s="3">
        <f t="shared" si="91"/>
        <v>15.1</v>
      </c>
      <c r="BW192" s="3">
        <f t="shared" si="118"/>
        <v>15.3</v>
      </c>
      <c r="BX192" s="3">
        <f t="shared" si="118"/>
        <v>15.4</v>
      </c>
      <c r="BY192" s="3">
        <f t="shared" si="118"/>
        <v>14.3</v>
      </c>
      <c r="BZ192" s="3">
        <f t="shared" si="117"/>
        <v>13.2</v>
      </c>
      <c r="CA192" s="3">
        <f t="shared" si="117"/>
        <v>11.3</v>
      </c>
      <c r="CB192" s="3">
        <f t="shared" si="117"/>
        <v>9.1</v>
      </c>
      <c r="CC192" s="22">
        <f t="shared" si="92"/>
        <v>67.400000000000006</v>
      </c>
      <c r="CD192" s="1">
        <f t="shared" si="96"/>
        <v>25.2</v>
      </c>
      <c r="CE192" s="1">
        <f t="shared" si="97"/>
        <v>28.6</v>
      </c>
      <c r="CF192" s="1">
        <f t="shared" si="98"/>
        <v>29.4</v>
      </c>
      <c r="CG192" s="1">
        <f t="shared" si="99"/>
        <v>31.3</v>
      </c>
      <c r="CH192" s="1">
        <f t="shared" si="100"/>
        <v>16.7</v>
      </c>
      <c r="CI192" s="1">
        <f t="shared" si="101"/>
        <v>12</v>
      </c>
      <c r="CJ192" s="1">
        <f t="shared" si="102"/>
        <v>10</v>
      </c>
      <c r="CK192" s="2">
        <f t="shared" si="93"/>
        <v>98.5</v>
      </c>
      <c r="CL192" s="1">
        <f t="shared" si="103"/>
        <v>6.5</v>
      </c>
      <c r="CM192" s="1">
        <f t="shared" si="104"/>
        <v>5.5</v>
      </c>
      <c r="CN192" s="1">
        <f t="shared" si="105"/>
        <v>5.3</v>
      </c>
      <c r="CO192" s="1">
        <f t="shared" si="106"/>
        <v>5.8</v>
      </c>
      <c r="CP192" s="1">
        <f t="shared" si="107"/>
        <v>10.6</v>
      </c>
      <c r="CQ192" s="1">
        <f t="shared" si="108"/>
        <v>10.3</v>
      </c>
      <c r="CR192" s="1">
        <f t="shared" si="109"/>
        <v>8.1999999999999993</v>
      </c>
      <c r="CS192" s="2">
        <f t="shared" si="110"/>
        <v>19.899999999999999</v>
      </c>
      <c r="CT192" s="6">
        <f t="shared" si="111"/>
        <v>0</v>
      </c>
      <c r="CU192" s="1">
        <f>PPTest!K192</f>
        <v>19</v>
      </c>
      <c r="CV192" s="3">
        <f t="shared" si="112"/>
        <v>1.56</v>
      </c>
      <c r="CW192" s="3">
        <f t="shared" si="113"/>
        <v>3.8</v>
      </c>
      <c r="CX192" s="24">
        <f t="shared" si="114"/>
        <v>0.63900000000000001</v>
      </c>
      <c r="CY192" s="24">
        <f t="shared" si="114"/>
        <v>2.5720000000000001</v>
      </c>
      <c r="CZ192" s="16">
        <f t="shared" si="115"/>
        <v>12.74</v>
      </c>
    </row>
    <row r="193" spans="1:104" x14ac:dyDescent="0.2">
      <c r="A193" s="14">
        <f t="shared" si="116"/>
        <v>38904</v>
      </c>
      <c r="B193" s="1">
        <v>187</v>
      </c>
      <c r="C193" s="3">
        <v>20.079999999999998</v>
      </c>
      <c r="D193" s="3">
        <v>38.35</v>
      </c>
      <c r="E193" s="3">
        <v>12.28</v>
      </c>
      <c r="F193" s="3">
        <v>97.1</v>
      </c>
      <c r="G193" s="3">
        <v>12.35</v>
      </c>
      <c r="H193" s="3">
        <v>12.29</v>
      </c>
      <c r="I193" s="3">
        <v>11.48</v>
      </c>
      <c r="J193" s="3">
        <v>12.59</v>
      </c>
      <c r="K193" s="3">
        <v>11.36</v>
      </c>
      <c r="L193" s="3">
        <v>9.26</v>
      </c>
      <c r="M193" s="3">
        <v>1.29</v>
      </c>
      <c r="N193" s="3">
        <v>0</v>
      </c>
      <c r="O193" s="3">
        <v>19.059999999999999</v>
      </c>
      <c r="P193" s="3">
        <v>1427</v>
      </c>
      <c r="Q193" s="3">
        <v>110.5</v>
      </c>
      <c r="R193" s="3">
        <v>439</v>
      </c>
      <c r="S193" s="3">
        <v>23.23</v>
      </c>
      <c r="T193" s="3">
        <v>24.85</v>
      </c>
      <c r="U193" s="3">
        <v>18.21</v>
      </c>
      <c r="V193" s="3">
        <v>15.45</v>
      </c>
      <c r="W193" s="3">
        <v>12.15</v>
      </c>
      <c r="X193" s="3">
        <v>9.9499999999999993</v>
      </c>
      <c r="Y193" s="3">
        <v>4.2510000000000003</v>
      </c>
      <c r="Z193" s="3">
        <v>1143</v>
      </c>
      <c r="AA193" s="3">
        <v>4.8499999999999996</v>
      </c>
      <c r="AB193" s="3">
        <v>435</v>
      </c>
      <c r="AC193" s="3">
        <v>50.54</v>
      </c>
      <c r="AD193" s="3">
        <v>1729</v>
      </c>
      <c r="AE193" s="3">
        <v>4.2030000000000003</v>
      </c>
      <c r="AF193" s="3">
        <v>3.802</v>
      </c>
      <c r="AG193" s="3">
        <v>5.2919999999999998</v>
      </c>
      <c r="AH193" s="3">
        <v>10.58</v>
      </c>
      <c r="AI193" s="3">
        <v>10.54</v>
      </c>
      <c r="AJ193" s="3">
        <v>8.67</v>
      </c>
      <c r="AK193" s="3">
        <v>0.10299999999999999</v>
      </c>
      <c r="AL193" s="3">
        <v>0.21</v>
      </c>
      <c r="AM193" s="3">
        <v>0.16300000000000001</v>
      </c>
      <c r="AN193" s="3">
        <v>6.4000000000000001E-2</v>
      </c>
      <c r="AO193" s="3">
        <v>0.14199999999999999</v>
      </c>
      <c r="AP193" s="3">
        <v>0.17399999999999999</v>
      </c>
      <c r="AQ193" s="3">
        <v>7.6999999999999999E-2</v>
      </c>
      <c r="AR193" s="3">
        <v>6.7000000000000004E-2</v>
      </c>
      <c r="AS193" s="3">
        <v>3518</v>
      </c>
      <c r="AT193" s="3">
        <v>3513</v>
      </c>
      <c r="AU193" s="3">
        <v>3516</v>
      </c>
      <c r="AV193" s="3">
        <v>13.07</v>
      </c>
      <c r="AW193" s="3">
        <v>12.93</v>
      </c>
      <c r="AX193" s="3">
        <v>22.97</v>
      </c>
      <c r="AY193" s="3">
        <v>23.34</v>
      </c>
      <c r="AZ193" s="3">
        <v>4.4820000000000002</v>
      </c>
      <c r="BA193" s="3">
        <v>4.2060000000000004</v>
      </c>
      <c r="BB193" s="3">
        <v>12.87</v>
      </c>
      <c r="BC193" s="3">
        <v>2876</v>
      </c>
      <c r="BG193" s="16">
        <v>32.590000000000003</v>
      </c>
      <c r="BH193" s="16">
        <f t="shared" si="85"/>
        <v>65.831800000000001</v>
      </c>
      <c r="BI193" s="17">
        <f t="shared" si="119"/>
        <v>19.68</v>
      </c>
      <c r="BJ193" s="17">
        <f t="shared" si="120"/>
        <v>42.19</v>
      </c>
      <c r="BL193" s="1">
        <f t="shared" si="86"/>
        <v>99</v>
      </c>
      <c r="BM193" s="1">
        <f t="shared" si="87"/>
        <v>78.400000000000006</v>
      </c>
      <c r="BN193" s="1">
        <f t="shared" si="88"/>
        <v>37.5</v>
      </c>
      <c r="BO193" s="49">
        <f t="shared" si="94"/>
        <v>0.82699999999999996</v>
      </c>
      <c r="BP193" s="49">
        <f t="shared" si="95"/>
        <v>1.3779999999999999</v>
      </c>
      <c r="BR193" s="3">
        <v>0.2</v>
      </c>
      <c r="BT193" s="16">
        <f t="shared" si="89"/>
        <v>19.68</v>
      </c>
      <c r="BU193" s="16">
        <f t="shared" si="90"/>
        <v>42.19</v>
      </c>
      <c r="BV193" s="3">
        <f t="shared" si="91"/>
        <v>12.3</v>
      </c>
      <c r="BW193" s="3">
        <f t="shared" si="118"/>
        <v>12.4</v>
      </c>
      <c r="BX193" s="3">
        <f t="shared" si="118"/>
        <v>12.3</v>
      </c>
      <c r="BY193" s="3">
        <f t="shared" si="118"/>
        <v>11.5</v>
      </c>
      <c r="BZ193" s="3">
        <f t="shared" si="117"/>
        <v>12.6</v>
      </c>
      <c r="CA193" s="3">
        <f t="shared" si="117"/>
        <v>11.4</v>
      </c>
      <c r="CB193" s="3">
        <f t="shared" si="117"/>
        <v>9.3000000000000007</v>
      </c>
      <c r="CC193" s="22">
        <f t="shared" si="92"/>
        <v>78.400000000000006</v>
      </c>
      <c r="CD193" s="1">
        <f t="shared" si="96"/>
        <v>19.100000000000001</v>
      </c>
      <c r="CE193" s="1">
        <f t="shared" si="97"/>
        <v>23.2</v>
      </c>
      <c r="CF193" s="1">
        <f t="shared" si="98"/>
        <v>24.9</v>
      </c>
      <c r="CG193" s="1">
        <f t="shared" si="99"/>
        <v>18.2</v>
      </c>
      <c r="CH193" s="1">
        <f t="shared" si="100"/>
        <v>15.5</v>
      </c>
      <c r="CI193" s="1">
        <f t="shared" si="101"/>
        <v>12.2</v>
      </c>
      <c r="CJ193" s="1">
        <f t="shared" si="102"/>
        <v>10</v>
      </c>
      <c r="CK193" s="2">
        <f t="shared" si="93"/>
        <v>99</v>
      </c>
      <c r="CL193" s="1">
        <f t="shared" si="103"/>
        <v>4.9000000000000004</v>
      </c>
      <c r="CM193" s="1">
        <f t="shared" si="104"/>
        <v>4.2</v>
      </c>
      <c r="CN193" s="1">
        <f t="shared" si="105"/>
        <v>3.8</v>
      </c>
      <c r="CO193" s="1">
        <f t="shared" si="106"/>
        <v>5.3</v>
      </c>
      <c r="CP193" s="1">
        <f t="shared" si="107"/>
        <v>10.6</v>
      </c>
      <c r="CQ193" s="1">
        <f t="shared" si="108"/>
        <v>10.5</v>
      </c>
      <c r="CR193" s="1">
        <f t="shared" si="109"/>
        <v>8.6999999999999993</v>
      </c>
      <c r="CS193" s="2">
        <f t="shared" si="110"/>
        <v>37.5</v>
      </c>
      <c r="CT193" s="6">
        <f t="shared" si="111"/>
        <v>0</v>
      </c>
      <c r="CU193" s="1">
        <f>PPTest!K193</f>
        <v>0</v>
      </c>
      <c r="CV193" s="3">
        <f t="shared" si="112"/>
        <v>1.29</v>
      </c>
      <c r="CW193" s="3">
        <f t="shared" si="113"/>
        <v>4.25</v>
      </c>
      <c r="CX193" s="24">
        <f t="shared" si="114"/>
        <v>0.82699999999999996</v>
      </c>
      <c r="CY193" s="24">
        <f t="shared" si="114"/>
        <v>1.3779999999999999</v>
      </c>
      <c r="CZ193" s="16">
        <f t="shared" si="115"/>
        <v>12.87</v>
      </c>
    </row>
    <row r="194" spans="1:104" x14ac:dyDescent="0.2">
      <c r="A194" s="14">
        <f t="shared" si="116"/>
        <v>38905</v>
      </c>
      <c r="B194" s="1">
        <v>188</v>
      </c>
      <c r="C194" s="3">
        <v>24.25</v>
      </c>
      <c r="D194" s="3">
        <v>44.53</v>
      </c>
      <c r="E194" s="3">
        <v>10.91</v>
      </c>
      <c r="F194" s="3">
        <v>82.2</v>
      </c>
      <c r="G194" s="3">
        <v>10.96</v>
      </c>
      <c r="H194" s="3">
        <v>10.9</v>
      </c>
      <c r="I194" s="3">
        <v>10.82</v>
      </c>
      <c r="J194" s="3">
        <v>11.96</v>
      </c>
      <c r="K194" s="3">
        <v>11.07</v>
      </c>
      <c r="L194" s="3">
        <v>9.2899999999999991</v>
      </c>
      <c r="M194" s="3">
        <v>1.3680000000000001</v>
      </c>
      <c r="N194" s="3">
        <v>0</v>
      </c>
      <c r="O194" s="3">
        <v>16.7</v>
      </c>
      <c r="P194" s="3">
        <v>1640</v>
      </c>
      <c r="Q194" s="3">
        <v>110.6</v>
      </c>
      <c r="R194" s="3">
        <v>239</v>
      </c>
      <c r="S194" s="3">
        <v>21.06</v>
      </c>
      <c r="T194" s="3">
        <v>21.81</v>
      </c>
      <c r="U194" s="3">
        <v>20.170000000000002</v>
      </c>
      <c r="V194" s="3">
        <v>14.38</v>
      </c>
      <c r="W194" s="3">
        <v>11.47</v>
      </c>
      <c r="X194" s="3">
        <v>9.7200000000000006</v>
      </c>
      <c r="Y194" s="3">
        <v>3.7719999999999998</v>
      </c>
      <c r="Z194" s="3">
        <v>1110</v>
      </c>
      <c r="AA194" s="3">
        <v>3.8439999999999999</v>
      </c>
      <c r="AB194" s="3">
        <v>239</v>
      </c>
      <c r="AC194" s="3">
        <v>47.66</v>
      </c>
      <c r="AD194" s="3">
        <v>1817</v>
      </c>
      <c r="AE194" s="3">
        <v>2.2959999999999998</v>
      </c>
      <c r="AF194" s="3">
        <v>1.742</v>
      </c>
      <c r="AG194" s="3">
        <v>3.1070000000000002</v>
      </c>
      <c r="AH194" s="3">
        <v>10.130000000000001</v>
      </c>
      <c r="AI194" s="3">
        <v>10.39</v>
      </c>
      <c r="AJ194" s="3">
        <v>8.86</v>
      </c>
      <c r="AK194" s="3">
        <v>6.3E-2</v>
      </c>
      <c r="AL194" s="3">
        <v>0.183</v>
      </c>
      <c r="AM194" s="3">
        <v>0.128</v>
      </c>
      <c r="AN194" s="3">
        <v>3.3000000000000002E-2</v>
      </c>
      <c r="AO194" s="3">
        <v>0.14799999999999999</v>
      </c>
      <c r="AP194" s="3">
        <v>0.26200000000000001</v>
      </c>
      <c r="AQ194" s="3">
        <v>0.126</v>
      </c>
      <c r="AR194" s="3">
        <v>5.7000000000000002E-2</v>
      </c>
      <c r="AS194" s="3">
        <v>3510</v>
      </c>
      <c r="AT194" s="3">
        <v>3488</v>
      </c>
      <c r="AU194" s="3">
        <v>3500</v>
      </c>
      <c r="AV194" s="3">
        <v>11.59</v>
      </c>
      <c r="AW194" s="3">
        <v>11.46</v>
      </c>
      <c r="AX194" s="3">
        <v>20.81</v>
      </c>
      <c r="AY194" s="3">
        <v>21.24</v>
      </c>
      <c r="AZ194" s="3">
        <v>3.028</v>
      </c>
      <c r="BA194" s="3">
        <v>2.7090000000000001</v>
      </c>
      <c r="BB194" s="3">
        <v>12.93</v>
      </c>
      <c r="BC194" s="3">
        <v>2876</v>
      </c>
      <c r="BG194" s="16">
        <v>32.520000000000003</v>
      </c>
      <c r="BH194" s="16">
        <f t="shared" si="85"/>
        <v>65.690400000000011</v>
      </c>
      <c r="BI194" s="17">
        <f t="shared" si="119"/>
        <v>23.77</v>
      </c>
      <c r="BJ194" s="17">
        <f t="shared" si="120"/>
        <v>48.98</v>
      </c>
      <c r="BL194" s="1">
        <f t="shared" si="86"/>
        <v>99.2</v>
      </c>
      <c r="BM194" s="1">
        <f t="shared" si="87"/>
        <v>65.3</v>
      </c>
      <c r="BN194" s="1">
        <f t="shared" si="88"/>
        <v>34.9</v>
      </c>
      <c r="BO194" s="49">
        <f t="shared" si="94"/>
        <v>0.66300000000000003</v>
      </c>
      <c r="BP194" s="49">
        <f t="shared" si="95"/>
        <v>1.2370000000000001</v>
      </c>
      <c r="BR194" s="3">
        <v>0</v>
      </c>
      <c r="BT194" s="16">
        <f t="shared" si="89"/>
        <v>23.77</v>
      </c>
      <c r="BU194" s="16">
        <f t="shared" si="90"/>
        <v>48.98</v>
      </c>
      <c r="BV194" s="3">
        <f t="shared" si="91"/>
        <v>10.9</v>
      </c>
      <c r="BW194" s="3">
        <f t="shared" si="118"/>
        <v>11</v>
      </c>
      <c r="BX194" s="3">
        <f t="shared" si="118"/>
        <v>10.9</v>
      </c>
      <c r="BY194" s="3">
        <f t="shared" si="118"/>
        <v>10.8</v>
      </c>
      <c r="BZ194" s="3">
        <f t="shared" si="117"/>
        <v>12</v>
      </c>
      <c r="CA194" s="3">
        <f t="shared" si="117"/>
        <v>11.1</v>
      </c>
      <c r="CB194" s="3">
        <f t="shared" si="117"/>
        <v>9.3000000000000007</v>
      </c>
      <c r="CC194" s="22">
        <f t="shared" si="92"/>
        <v>65.3</v>
      </c>
      <c r="CD194" s="1">
        <f t="shared" si="96"/>
        <v>16.7</v>
      </c>
      <c r="CE194" s="1">
        <f t="shared" si="97"/>
        <v>21.1</v>
      </c>
      <c r="CF194" s="1">
        <f t="shared" si="98"/>
        <v>21.8</v>
      </c>
      <c r="CG194" s="1">
        <f t="shared" si="99"/>
        <v>20.2</v>
      </c>
      <c r="CH194" s="1">
        <f t="shared" si="100"/>
        <v>14.4</v>
      </c>
      <c r="CI194" s="1">
        <f t="shared" si="101"/>
        <v>11.5</v>
      </c>
      <c r="CJ194" s="1">
        <f t="shared" si="102"/>
        <v>9.6999999999999993</v>
      </c>
      <c r="CK194" s="2">
        <f t="shared" si="93"/>
        <v>99.2</v>
      </c>
      <c r="CL194" s="1">
        <f t="shared" si="103"/>
        <v>3.8</v>
      </c>
      <c r="CM194" s="1">
        <f t="shared" si="104"/>
        <v>2.2999999999999998</v>
      </c>
      <c r="CN194" s="1">
        <f t="shared" si="105"/>
        <v>1.7</v>
      </c>
      <c r="CO194" s="1">
        <f t="shared" si="106"/>
        <v>3.1</v>
      </c>
      <c r="CP194" s="1">
        <f t="shared" si="107"/>
        <v>10.1</v>
      </c>
      <c r="CQ194" s="1">
        <f t="shared" si="108"/>
        <v>10.4</v>
      </c>
      <c r="CR194" s="1">
        <f t="shared" si="109"/>
        <v>8.9</v>
      </c>
      <c r="CS194" s="2">
        <f t="shared" si="110"/>
        <v>34.9</v>
      </c>
      <c r="CT194" s="6">
        <f t="shared" si="111"/>
        <v>0</v>
      </c>
      <c r="CU194" s="1">
        <f>PPTest!K194</f>
        <v>0</v>
      </c>
      <c r="CV194" s="3">
        <f t="shared" si="112"/>
        <v>1.37</v>
      </c>
      <c r="CW194" s="3">
        <f t="shared" si="113"/>
        <v>3.77</v>
      </c>
      <c r="CX194" s="24">
        <f t="shared" si="114"/>
        <v>0.66300000000000003</v>
      </c>
      <c r="CY194" s="24">
        <f t="shared" si="114"/>
        <v>1.2370000000000001</v>
      </c>
      <c r="CZ194" s="16">
        <f t="shared" si="115"/>
        <v>12.93</v>
      </c>
    </row>
    <row r="195" spans="1:104" x14ac:dyDescent="0.2">
      <c r="A195" s="14">
        <f t="shared" si="116"/>
        <v>38906</v>
      </c>
      <c r="B195" s="1">
        <v>189</v>
      </c>
      <c r="C195" s="3">
        <v>32.19</v>
      </c>
      <c r="D195" s="3">
        <v>59.39</v>
      </c>
      <c r="E195" s="3">
        <v>14.38</v>
      </c>
      <c r="F195" s="3">
        <v>73.7</v>
      </c>
      <c r="G195" s="3">
        <v>14.65</v>
      </c>
      <c r="H195" s="3">
        <v>14.76</v>
      </c>
      <c r="I195" s="3">
        <v>12.99</v>
      </c>
      <c r="J195" s="3">
        <v>12.7</v>
      </c>
      <c r="K195" s="3">
        <v>10.97</v>
      </c>
      <c r="L195" s="3">
        <v>9.31</v>
      </c>
      <c r="M195" s="3">
        <v>1.637</v>
      </c>
      <c r="N195" s="3">
        <v>0</v>
      </c>
      <c r="O195" s="3">
        <v>22.86</v>
      </c>
      <c r="P195" s="3">
        <v>1742</v>
      </c>
      <c r="Q195" s="3">
        <v>105.4</v>
      </c>
      <c r="R195" s="3">
        <v>312</v>
      </c>
      <c r="S195" s="3">
        <v>25.77</v>
      </c>
      <c r="T195" s="3">
        <v>26.77</v>
      </c>
      <c r="U195" s="3">
        <v>27.03</v>
      </c>
      <c r="V195" s="3">
        <v>16</v>
      </c>
      <c r="W195" s="3">
        <v>11.9</v>
      </c>
      <c r="X195" s="3">
        <v>10.33</v>
      </c>
      <c r="Y195" s="3">
        <v>4.0110000000000001</v>
      </c>
      <c r="Z195" s="3">
        <v>1449</v>
      </c>
      <c r="AA195" s="3">
        <v>3.0739999999999998</v>
      </c>
      <c r="AB195" s="3">
        <v>310</v>
      </c>
      <c r="AC195" s="3">
        <v>43.63</v>
      </c>
      <c r="AD195" s="3">
        <v>1714</v>
      </c>
      <c r="AE195" s="3">
        <v>2.0179999999999998</v>
      </c>
      <c r="AF195" s="3">
        <v>1.6259999999999999</v>
      </c>
      <c r="AG195" s="3">
        <v>3.3239999999999998</v>
      </c>
      <c r="AH195" s="3">
        <v>9.64</v>
      </c>
      <c r="AI195" s="3">
        <v>10.35</v>
      </c>
      <c r="AJ195" s="3">
        <v>8.58</v>
      </c>
      <c r="AK195" s="3">
        <v>7.6999999999999999E-2</v>
      </c>
      <c r="AL195" s="3">
        <v>0.30399999999999999</v>
      </c>
      <c r="AM195" s="3">
        <v>0.17100000000000001</v>
      </c>
      <c r="AN195" s="3">
        <v>1.2E-2</v>
      </c>
      <c r="AO195" s="3">
        <v>0.11</v>
      </c>
      <c r="AP195" s="3">
        <v>0.16900000000000001</v>
      </c>
      <c r="AQ195" s="3">
        <v>9.0999999999999998E-2</v>
      </c>
      <c r="AR195" s="3">
        <v>6.5000000000000002E-2</v>
      </c>
      <c r="AS195" s="3">
        <v>3518</v>
      </c>
      <c r="AT195" s="3">
        <v>3455</v>
      </c>
      <c r="AU195" s="3">
        <v>3486</v>
      </c>
      <c r="AV195" s="3">
        <v>14.89</v>
      </c>
      <c r="AW195" s="3">
        <v>14.97</v>
      </c>
      <c r="AX195" s="3">
        <v>25.78</v>
      </c>
      <c r="AY195" s="3">
        <v>26.11</v>
      </c>
      <c r="AZ195" s="3">
        <v>2.407</v>
      </c>
      <c r="BA195" s="3">
        <v>2.0710000000000002</v>
      </c>
      <c r="BB195" s="3">
        <v>12.83</v>
      </c>
      <c r="BC195" s="3">
        <v>2876</v>
      </c>
      <c r="BG195" s="16">
        <v>32.43</v>
      </c>
      <c r="BH195" s="16">
        <f t="shared" si="85"/>
        <v>65.508600000000001</v>
      </c>
      <c r="BI195" s="17">
        <f t="shared" si="119"/>
        <v>31.55</v>
      </c>
      <c r="BJ195" s="17">
        <f t="shared" si="120"/>
        <v>65.33</v>
      </c>
      <c r="BL195" s="1">
        <f t="shared" si="86"/>
        <v>90.9</v>
      </c>
      <c r="BM195" s="1">
        <f t="shared" si="87"/>
        <v>57.9</v>
      </c>
      <c r="BN195" s="1">
        <f t="shared" si="88"/>
        <v>31.4</v>
      </c>
      <c r="BO195" s="49">
        <f t="shared" si="94"/>
        <v>0.875</v>
      </c>
      <c r="BP195" s="49">
        <f t="shared" si="95"/>
        <v>1.9119999999999999</v>
      </c>
      <c r="BR195" s="3">
        <v>0</v>
      </c>
      <c r="BT195" s="16">
        <f t="shared" si="89"/>
        <v>31.55</v>
      </c>
      <c r="BU195" s="16">
        <f t="shared" si="90"/>
        <v>65.33</v>
      </c>
      <c r="BV195" s="3">
        <f t="shared" si="91"/>
        <v>14.4</v>
      </c>
      <c r="BW195" s="3">
        <f t="shared" si="118"/>
        <v>14.7</v>
      </c>
      <c r="BX195" s="3">
        <f t="shared" si="118"/>
        <v>14.8</v>
      </c>
      <c r="BY195" s="3">
        <f t="shared" si="118"/>
        <v>13</v>
      </c>
      <c r="BZ195" s="3">
        <f t="shared" si="117"/>
        <v>12.7</v>
      </c>
      <c r="CA195" s="3">
        <f t="shared" si="117"/>
        <v>11</v>
      </c>
      <c r="CB195" s="3">
        <f t="shared" si="117"/>
        <v>9.3000000000000007</v>
      </c>
      <c r="CC195" s="22">
        <f t="shared" si="92"/>
        <v>57.9</v>
      </c>
      <c r="CD195" s="1">
        <f t="shared" si="96"/>
        <v>22.9</v>
      </c>
      <c r="CE195" s="1">
        <f t="shared" si="97"/>
        <v>25.8</v>
      </c>
      <c r="CF195" s="1">
        <f t="shared" si="98"/>
        <v>26.8</v>
      </c>
      <c r="CG195" s="1">
        <f t="shared" si="99"/>
        <v>27</v>
      </c>
      <c r="CH195" s="1">
        <f t="shared" si="100"/>
        <v>16</v>
      </c>
      <c r="CI195" s="1">
        <f t="shared" si="101"/>
        <v>11.9</v>
      </c>
      <c r="CJ195" s="1">
        <f t="shared" si="102"/>
        <v>10.3</v>
      </c>
      <c r="CK195" s="2">
        <f t="shared" si="93"/>
        <v>90.9</v>
      </c>
      <c r="CL195" s="1">
        <f t="shared" si="103"/>
        <v>3.1</v>
      </c>
      <c r="CM195" s="1">
        <f t="shared" si="104"/>
        <v>2</v>
      </c>
      <c r="CN195" s="1">
        <f t="shared" si="105"/>
        <v>1.6</v>
      </c>
      <c r="CO195" s="1">
        <f t="shared" si="106"/>
        <v>3.3</v>
      </c>
      <c r="CP195" s="1">
        <f t="shared" si="107"/>
        <v>9.6</v>
      </c>
      <c r="CQ195" s="1">
        <f t="shared" si="108"/>
        <v>10.4</v>
      </c>
      <c r="CR195" s="1">
        <f t="shared" si="109"/>
        <v>8.6</v>
      </c>
      <c r="CS195" s="2">
        <f t="shared" si="110"/>
        <v>31.4</v>
      </c>
      <c r="CT195" s="6">
        <f t="shared" si="111"/>
        <v>0</v>
      </c>
      <c r="CU195" s="1">
        <f>PPTest!K195</f>
        <v>0</v>
      </c>
      <c r="CV195" s="3">
        <f t="shared" si="112"/>
        <v>1.64</v>
      </c>
      <c r="CW195" s="3">
        <f t="shared" si="113"/>
        <v>4.01</v>
      </c>
      <c r="CX195" s="24">
        <f t="shared" si="114"/>
        <v>0.875</v>
      </c>
      <c r="CY195" s="24">
        <f t="shared" si="114"/>
        <v>1.9119999999999999</v>
      </c>
      <c r="CZ195" s="16">
        <f t="shared" si="115"/>
        <v>12.83</v>
      </c>
    </row>
    <row r="196" spans="1:104" x14ac:dyDescent="0.2">
      <c r="A196" s="14">
        <f t="shared" si="116"/>
        <v>38907</v>
      </c>
      <c r="B196" s="1">
        <v>190</v>
      </c>
      <c r="C196" s="3">
        <v>17</v>
      </c>
      <c r="D196" s="3">
        <v>31.79</v>
      </c>
      <c r="E196" s="3">
        <v>14.49</v>
      </c>
      <c r="F196" s="3">
        <v>92</v>
      </c>
      <c r="G196" s="3">
        <v>14.43</v>
      </c>
      <c r="H196" s="3">
        <v>14.42</v>
      </c>
      <c r="I196" s="3">
        <v>13.93</v>
      </c>
      <c r="J196" s="3">
        <v>13.24</v>
      </c>
      <c r="K196" s="3">
        <v>11.47</v>
      </c>
      <c r="L196" s="3">
        <v>9.3699999999999992</v>
      </c>
      <c r="M196" s="3">
        <v>1.3440000000000001</v>
      </c>
      <c r="N196" s="3">
        <v>3</v>
      </c>
      <c r="O196" s="3">
        <v>20.58</v>
      </c>
      <c r="P196" s="3">
        <v>1251</v>
      </c>
      <c r="Q196" s="3">
        <v>108.5</v>
      </c>
      <c r="R196" s="3">
        <v>0</v>
      </c>
      <c r="S196" s="3">
        <v>24.19</v>
      </c>
      <c r="T196" s="3">
        <v>25.27</v>
      </c>
      <c r="U196" s="3">
        <v>27.29</v>
      </c>
      <c r="V196" s="3">
        <v>14.92</v>
      </c>
      <c r="W196" s="3">
        <v>11.86</v>
      </c>
      <c r="X196" s="3">
        <v>9.83</v>
      </c>
      <c r="Y196" s="3">
        <v>4.5170000000000003</v>
      </c>
      <c r="Z196" s="3">
        <v>934</v>
      </c>
      <c r="AA196" s="3">
        <v>10.3</v>
      </c>
      <c r="AB196" s="3">
        <v>2243</v>
      </c>
      <c r="AC196" s="3">
        <v>60.8</v>
      </c>
      <c r="AD196" s="3">
        <v>1315</v>
      </c>
      <c r="AE196" s="3">
        <v>9.26</v>
      </c>
      <c r="AF196" s="3">
        <v>8.4499999999999993</v>
      </c>
      <c r="AG196" s="3">
        <v>9.18</v>
      </c>
      <c r="AH196" s="3">
        <v>12.12</v>
      </c>
      <c r="AI196" s="3">
        <v>10.57</v>
      </c>
      <c r="AJ196" s="3">
        <v>8.5</v>
      </c>
      <c r="AK196" s="3">
        <v>0.13800000000000001</v>
      </c>
      <c r="AL196" s="3">
        <v>0.28299999999999997</v>
      </c>
      <c r="AM196" s="3">
        <v>0.151</v>
      </c>
      <c r="AN196" s="3">
        <v>3.3000000000000002E-2</v>
      </c>
      <c r="AO196" s="3">
        <v>7.3999999999999996E-2</v>
      </c>
      <c r="AP196" s="3">
        <v>0.161</v>
      </c>
      <c r="AQ196" s="3">
        <v>9.5000000000000001E-2</v>
      </c>
      <c r="AR196" s="3">
        <v>6.4000000000000001E-2</v>
      </c>
      <c r="AS196" s="3">
        <v>3500</v>
      </c>
      <c r="AT196" s="3">
        <v>3499</v>
      </c>
      <c r="AU196" s="3">
        <v>3499</v>
      </c>
      <c r="AV196" s="3">
        <v>14.85</v>
      </c>
      <c r="AW196" s="3">
        <v>14.71</v>
      </c>
      <c r="AX196" s="3">
        <v>22.92</v>
      </c>
      <c r="AY196" s="3">
        <v>23.47</v>
      </c>
      <c r="AZ196" s="3">
        <v>10.039999999999999</v>
      </c>
      <c r="BA196" s="3">
        <v>9.75</v>
      </c>
      <c r="BB196" s="3">
        <v>12.87</v>
      </c>
      <c r="BC196" s="3">
        <v>2876</v>
      </c>
      <c r="BG196" s="16">
        <v>32.35</v>
      </c>
      <c r="BH196" s="16">
        <f t="shared" si="85"/>
        <v>65.347000000000008</v>
      </c>
      <c r="BI196" s="17">
        <f t="shared" si="119"/>
        <v>16.66</v>
      </c>
      <c r="BJ196" s="17">
        <f t="shared" si="120"/>
        <v>34.97</v>
      </c>
      <c r="BL196" s="1">
        <f t="shared" si="86"/>
        <v>95.8</v>
      </c>
      <c r="BM196" s="1">
        <f t="shared" si="87"/>
        <v>74</v>
      </c>
      <c r="BN196" s="1">
        <f t="shared" si="88"/>
        <v>46.5</v>
      </c>
      <c r="BO196" s="49">
        <f t="shared" si="94"/>
        <v>1.127</v>
      </c>
      <c r="BP196" s="49">
        <f t="shared" si="95"/>
        <v>1.2969999999999999</v>
      </c>
      <c r="BR196" s="3">
        <v>0.8</v>
      </c>
      <c r="BT196" s="16">
        <f t="shared" si="89"/>
        <v>16.66</v>
      </c>
      <c r="BU196" s="16">
        <f t="shared" si="90"/>
        <v>34.97</v>
      </c>
      <c r="BV196" s="3">
        <f t="shared" si="91"/>
        <v>14.5</v>
      </c>
      <c r="BW196" s="3">
        <f t="shared" si="118"/>
        <v>14.4</v>
      </c>
      <c r="BX196" s="3">
        <f t="shared" si="118"/>
        <v>14.4</v>
      </c>
      <c r="BY196" s="3">
        <f t="shared" si="118"/>
        <v>13.9</v>
      </c>
      <c r="BZ196" s="3">
        <f t="shared" si="117"/>
        <v>13.2</v>
      </c>
      <c r="CA196" s="3">
        <f t="shared" si="117"/>
        <v>11.5</v>
      </c>
      <c r="CB196" s="3">
        <f t="shared" si="117"/>
        <v>9.4</v>
      </c>
      <c r="CC196" s="22">
        <f t="shared" si="92"/>
        <v>74</v>
      </c>
      <c r="CD196" s="1">
        <f t="shared" si="96"/>
        <v>20.6</v>
      </c>
      <c r="CE196" s="1">
        <f t="shared" si="97"/>
        <v>24.2</v>
      </c>
      <c r="CF196" s="1">
        <f t="shared" si="98"/>
        <v>25.3</v>
      </c>
      <c r="CG196" s="1">
        <f t="shared" si="99"/>
        <v>27.3</v>
      </c>
      <c r="CH196" s="1">
        <f t="shared" si="100"/>
        <v>14.9</v>
      </c>
      <c r="CI196" s="1">
        <f t="shared" si="101"/>
        <v>11.9</v>
      </c>
      <c r="CJ196" s="1">
        <f t="shared" si="102"/>
        <v>9.8000000000000007</v>
      </c>
      <c r="CK196" s="2">
        <f t="shared" si="93"/>
        <v>95.8</v>
      </c>
      <c r="CL196" s="1">
        <f t="shared" si="103"/>
        <v>10.3</v>
      </c>
      <c r="CM196" s="1">
        <f t="shared" si="104"/>
        <v>9.3000000000000007</v>
      </c>
      <c r="CN196" s="1">
        <f t="shared" si="105"/>
        <v>8.5</v>
      </c>
      <c r="CO196" s="1">
        <f t="shared" si="106"/>
        <v>9.1999999999999993</v>
      </c>
      <c r="CP196" s="1">
        <f t="shared" si="107"/>
        <v>12.1</v>
      </c>
      <c r="CQ196" s="1">
        <f t="shared" si="108"/>
        <v>10.6</v>
      </c>
      <c r="CR196" s="1">
        <f t="shared" si="109"/>
        <v>8.5</v>
      </c>
      <c r="CS196" s="2">
        <f t="shared" si="110"/>
        <v>46.5</v>
      </c>
      <c r="CT196" s="6">
        <f t="shared" si="111"/>
        <v>0</v>
      </c>
      <c r="CU196" s="1">
        <f>PPTest!K196</f>
        <v>3</v>
      </c>
      <c r="CV196" s="3">
        <f t="shared" si="112"/>
        <v>1.34</v>
      </c>
      <c r="CW196" s="3">
        <f t="shared" si="113"/>
        <v>4.5199999999999996</v>
      </c>
      <c r="CX196" s="24">
        <f t="shared" si="114"/>
        <v>1.127</v>
      </c>
      <c r="CY196" s="24">
        <f t="shared" si="114"/>
        <v>1.2969999999999999</v>
      </c>
      <c r="CZ196" s="16">
        <f t="shared" si="115"/>
        <v>12.87</v>
      </c>
    </row>
    <row r="197" spans="1:104" x14ac:dyDescent="0.2">
      <c r="A197" s="14">
        <f t="shared" si="116"/>
        <v>38908</v>
      </c>
      <c r="B197" s="1">
        <v>191</v>
      </c>
      <c r="C197" s="3">
        <v>24.67</v>
      </c>
      <c r="D197" s="3">
        <v>45.54</v>
      </c>
      <c r="E197" s="3">
        <v>11.66</v>
      </c>
      <c r="F197" s="3">
        <v>94</v>
      </c>
      <c r="G197" s="3">
        <v>11.98</v>
      </c>
      <c r="H197" s="3">
        <v>11.91</v>
      </c>
      <c r="I197" s="3">
        <v>12.09</v>
      </c>
      <c r="J197" s="3">
        <v>12.81</v>
      </c>
      <c r="K197" s="3">
        <v>11.39</v>
      </c>
      <c r="L197" s="3">
        <v>9.4</v>
      </c>
      <c r="M197" s="3">
        <v>1.6679999999999999</v>
      </c>
      <c r="N197" s="3">
        <v>3</v>
      </c>
      <c r="O197" s="3">
        <v>18.559999999999999</v>
      </c>
      <c r="P197" s="3">
        <v>1406</v>
      </c>
      <c r="Q197" s="3">
        <v>110.5</v>
      </c>
      <c r="R197" s="3">
        <v>2359</v>
      </c>
      <c r="S197" s="3">
        <v>22.17</v>
      </c>
      <c r="T197" s="3">
        <v>22.8</v>
      </c>
      <c r="U197" s="3">
        <v>22.66</v>
      </c>
      <c r="V197" s="3">
        <v>15.43</v>
      </c>
      <c r="W197" s="3">
        <v>11.78</v>
      </c>
      <c r="X197" s="3">
        <v>9.86</v>
      </c>
      <c r="Y197" s="3">
        <v>6.4720000000000004</v>
      </c>
      <c r="Z197" s="3">
        <v>1559</v>
      </c>
      <c r="AA197" s="3">
        <v>4.9640000000000004</v>
      </c>
      <c r="AB197" s="3">
        <v>2340</v>
      </c>
      <c r="AC197" s="3">
        <v>37.68</v>
      </c>
      <c r="AD197" s="3">
        <v>1522</v>
      </c>
      <c r="AE197" s="3">
        <v>4.4320000000000004</v>
      </c>
      <c r="AF197" s="3">
        <v>3.9470000000000001</v>
      </c>
      <c r="AG197" s="3">
        <v>5.7370000000000001</v>
      </c>
      <c r="AH197" s="3">
        <v>11.18</v>
      </c>
      <c r="AI197" s="3">
        <v>10.82</v>
      </c>
      <c r="AJ197" s="3">
        <v>8.89</v>
      </c>
      <c r="AK197" s="3">
        <v>0.13100000000000001</v>
      </c>
      <c r="AL197" s="3">
        <v>0.26900000000000002</v>
      </c>
      <c r="AM197" s="3">
        <v>8.5000000000000006E-2</v>
      </c>
      <c r="AN197" s="3">
        <v>2.1000000000000001E-2</v>
      </c>
      <c r="AO197" s="3">
        <v>9.9000000000000005E-2</v>
      </c>
      <c r="AP197" s="3">
        <v>0.2</v>
      </c>
      <c r="AQ197" s="3">
        <v>0.13500000000000001</v>
      </c>
      <c r="AR197" s="3">
        <v>6.0999999999999999E-2</v>
      </c>
      <c r="AS197" s="3">
        <v>3513</v>
      </c>
      <c r="AT197" s="3">
        <v>3509</v>
      </c>
      <c r="AU197" s="3">
        <v>3510</v>
      </c>
      <c r="AV197" s="3">
        <v>12.83</v>
      </c>
      <c r="AW197" s="3">
        <v>12.58</v>
      </c>
      <c r="AX197" s="3">
        <v>21.83</v>
      </c>
      <c r="AY197" s="3">
        <v>22</v>
      </c>
      <c r="AZ197" s="3">
        <v>5.1630000000000003</v>
      </c>
      <c r="BA197" s="3">
        <v>4.5220000000000002</v>
      </c>
      <c r="BB197" s="3">
        <v>12.89</v>
      </c>
      <c r="BC197" s="3">
        <v>2876</v>
      </c>
      <c r="BG197" s="16">
        <v>32.270000000000003</v>
      </c>
      <c r="BH197" s="16">
        <f t="shared" si="85"/>
        <v>65.185400000000001</v>
      </c>
      <c r="BI197" s="17">
        <f t="shared" si="119"/>
        <v>24.18</v>
      </c>
      <c r="BJ197" s="17">
        <f t="shared" si="120"/>
        <v>50.09</v>
      </c>
      <c r="BL197" s="1">
        <f t="shared" si="86"/>
        <v>99</v>
      </c>
      <c r="BM197" s="1">
        <f t="shared" si="87"/>
        <v>75.7</v>
      </c>
      <c r="BN197" s="1">
        <f t="shared" si="88"/>
        <v>26.2</v>
      </c>
      <c r="BO197" s="49">
        <f t="shared" si="94"/>
        <v>0.56000000000000005</v>
      </c>
      <c r="BP197" s="49">
        <f t="shared" si="95"/>
        <v>1.577</v>
      </c>
      <c r="BR197" s="3">
        <v>1</v>
      </c>
      <c r="BT197" s="16">
        <f t="shared" si="89"/>
        <v>24.18</v>
      </c>
      <c r="BU197" s="16">
        <f t="shared" si="90"/>
        <v>50.09</v>
      </c>
      <c r="BV197" s="3">
        <f t="shared" si="91"/>
        <v>11.7</v>
      </c>
      <c r="BW197" s="3">
        <f t="shared" si="118"/>
        <v>12</v>
      </c>
      <c r="BX197" s="3">
        <f t="shared" si="118"/>
        <v>11.9</v>
      </c>
      <c r="BY197" s="3">
        <f t="shared" si="118"/>
        <v>12.1</v>
      </c>
      <c r="BZ197" s="3">
        <f t="shared" si="117"/>
        <v>12.8</v>
      </c>
      <c r="CA197" s="3">
        <f t="shared" si="117"/>
        <v>11.4</v>
      </c>
      <c r="CB197" s="3">
        <f t="shared" si="117"/>
        <v>9.4</v>
      </c>
      <c r="CC197" s="22">
        <f t="shared" si="92"/>
        <v>75.7</v>
      </c>
      <c r="CD197" s="1">
        <f t="shared" si="96"/>
        <v>18.600000000000001</v>
      </c>
      <c r="CE197" s="1">
        <f t="shared" si="97"/>
        <v>22.2</v>
      </c>
      <c r="CF197" s="1">
        <f t="shared" si="98"/>
        <v>22.8</v>
      </c>
      <c r="CG197" s="1">
        <f t="shared" si="99"/>
        <v>22.7</v>
      </c>
      <c r="CH197" s="1">
        <f t="shared" si="100"/>
        <v>15.4</v>
      </c>
      <c r="CI197" s="1">
        <f t="shared" si="101"/>
        <v>11.8</v>
      </c>
      <c r="CJ197" s="1">
        <f t="shared" si="102"/>
        <v>9.9</v>
      </c>
      <c r="CK197" s="2">
        <f t="shared" si="93"/>
        <v>99</v>
      </c>
      <c r="CL197" s="1">
        <f t="shared" si="103"/>
        <v>5</v>
      </c>
      <c r="CM197" s="1">
        <f t="shared" si="104"/>
        <v>4.4000000000000004</v>
      </c>
      <c r="CN197" s="1">
        <f t="shared" si="105"/>
        <v>3.9</v>
      </c>
      <c r="CO197" s="1">
        <f t="shared" si="106"/>
        <v>5.7</v>
      </c>
      <c r="CP197" s="1">
        <f t="shared" si="107"/>
        <v>11.2</v>
      </c>
      <c r="CQ197" s="1">
        <f t="shared" si="108"/>
        <v>10.8</v>
      </c>
      <c r="CR197" s="1">
        <f t="shared" si="109"/>
        <v>8.9</v>
      </c>
      <c r="CS197" s="2">
        <f t="shared" si="110"/>
        <v>26.2</v>
      </c>
      <c r="CT197" s="6">
        <f t="shared" si="111"/>
        <v>0</v>
      </c>
      <c r="CU197" s="1">
        <f>PPTest!K197</f>
        <v>3</v>
      </c>
      <c r="CV197" s="3">
        <f t="shared" si="112"/>
        <v>1.67</v>
      </c>
      <c r="CW197" s="3">
        <f t="shared" si="113"/>
        <v>6.47</v>
      </c>
      <c r="CX197" s="24">
        <f t="shared" si="114"/>
        <v>0.56000000000000005</v>
      </c>
      <c r="CY197" s="24">
        <f t="shared" si="114"/>
        <v>1.577</v>
      </c>
      <c r="CZ197" s="16">
        <f t="shared" si="115"/>
        <v>12.89</v>
      </c>
    </row>
    <row r="198" spans="1:104" x14ac:dyDescent="0.2">
      <c r="A198" s="14">
        <f t="shared" si="116"/>
        <v>38909</v>
      </c>
      <c r="B198" s="1">
        <v>192</v>
      </c>
      <c r="C198" s="3">
        <v>17.22</v>
      </c>
      <c r="D198" s="3">
        <v>32.130000000000003</v>
      </c>
      <c r="E198" s="3">
        <v>10.39</v>
      </c>
      <c r="F198" s="3">
        <v>86.5</v>
      </c>
      <c r="G198" s="3">
        <v>10.47</v>
      </c>
      <c r="H198" s="3">
        <v>10.35</v>
      </c>
      <c r="I198" s="3">
        <v>10.09</v>
      </c>
      <c r="J198" s="3">
        <v>11.25</v>
      </c>
      <c r="K198" s="3">
        <v>11.1</v>
      </c>
      <c r="L198" s="3">
        <v>9.5399999999999991</v>
      </c>
      <c r="M198" s="3">
        <v>1.1819999999999999</v>
      </c>
      <c r="N198" s="3">
        <v>1</v>
      </c>
      <c r="O198" s="3">
        <v>16.100000000000001</v>
      </c>
      <c r="P198" s="3">
        <v>1553</v>
      </c>
      <c r="Q198" s="3">
        <v>110.7</v>
      </c>
      <c r="R198" s="3">
        <v>436</v>
      </c>
      <c r="S198" s="3">
        <v>18.350000000000001</v>
      </c>
      <c r="T198" s="3">
        <v>18.66</v>
      </c>
      <c r="U198" s="3">
        <v>17.32</v>
      </c>
      <c r="V198" s="3">
        <v>12.67</v>
      </c>
      <c r="W198" s="3">
        <v>11.9</v>
      </c>
      <c r="X198" s="3">
        <v>10.18</v>
      </c>
      <c r="Y198" s="3">
        <v>4.1580000000000004</v>
      </c>
      <c r="Z198" s="3">
        <v>1539</v>
      </c>
      <c r="AA198" s="3">
        <v>2.4239999999999999</v>
      </c>
      <c r="AB198" s="3">
        <v>421</v>
      </c>
      <c r="AC198" s="3">
        <v>42.8</v>
      </c>
      <c r="AD198" s="3">
        <v>1159</v>
      </c>
      <c r="AE198" s="3">
        <v>2.0099999999999998</v>
      </c>
      <c r="AF198" s="3">
        <v>1.5089999999999999</v>
      </c>
      <c r="AG198" s="3">
        <v>3.129</v>
      </c>
      <c r="AH198" s="3">
        <v>9.49</v>
      </c>
      <c r="AI198" s="3">
        <v>10.68</v>
      </c>
      <c r="AJ198" s="3">
        <v>9.1999999999999993</v>
      </c>
      <c r="AK198" s="3">
        <v>8.1000000000000003E-2</v>
      </c>
      <c r="AL198" s="3">
        <v>0.249</v>
      </c>
      <c r="AM198" s="3">
        <v>0.19600000000000001</v>
      </c>
      <c r="AN198" s="3">
        <v>2.5999999999999999E-2</v>
      </c>
      <c r="AO198" s="3">
        <v>0.105</v>
      </c>
      <c r="AP198" s="3">
        <v>0.16600000000000001</v>
      </c>
      <c r="AQ198" s="3">
        <v>9.9000000000000005E-2</v>
      </c>
      <c r="AR198" s="3">
        <v>7.9000000000000001E-2</v>
      </c>
      <c r="AS198" s="3">
        <v>3498</v>
      </c>
      <c r="AT198" s="3">
        <v>3469</v>
      </c>
      <c r="AU198" s="3">
        <v>3486</v>
      </c>
      <c r="AV198" s="3">
        <v>10.77</v>
      </c>
      <c r="AW198" s="3">
        <v>10.75</v>
      </c>
      <c r="AX198" s="3">
        <v>16.489999999999998</v>
      </c>
      <c r="AY198" s="3">
        <v>16.71</v>
      </c>
      <c r="AZ198" s="3">
        <v>1.913</v>
      </c>
      <c r="BA198" s="3">
        <v>1.673</v>
      </c>
      <c r="BB198" s="3">
        <v>12.97</v>
      </c>
      <c r="BC198" s="3">
        <v>2876</v>
      </c>
      <c r="BG198" s="16">
        <v>32.17</v>
      </c>
      <c r="BH198" s="16">
        <f t="shared" si="85"/>
        <v>64.983400000000003</v>
      </c>
      <c r="BI198" s="17">
        <f t="shared" si="119"/>
        <v>16.88</v>
      </c>
      <c r="BJ198" s="17">
        <f t="shared" si="120"/>
        <v>35.340000000000003</v>
      </c>
      <c r="BL198" s="1">
        <f t="shared" si="86"/>
        <v>99.3</v>
      </c>
      <c r="BM198" s="1">
        <f t="shared" si="87"/>
        <v>69.099999999999994</v>
      </c>
      <c r="BN198" s="1">
        <f t="shared" si="88"/>
        <v>30.7</v>
      </c>
      <c r="BO198" s="49">
        <f t="shared" si="94"/>
        <v>0.56200000000000006</v>
      </c>
      <c r="BP198" s="49">
        <f t="shared" si="95"/>
        <v>1.2689999999999999</v>
      </c>
      <c r="BR198" s="3">
        <v>0</v>
      </c>
      <c r="BT198" s="16">
        <f t="shared" si="89"/>
        <v>16.88</v>
      </c>
      <c r="BU198" s="16">
        <f t="shared" si="90"/>
        <v>35.340000000000003</v>
      </c>
      <c r="BV198" s="3">
        <f t="shared" si="91"/>
        <v>10.4</v>
      </c>
      <c r="BW198" s="3">
        <f t="shared" si="118"/>
        <v>10.5</v>
      </c>
      <c r="BX198" s="3">
        <f t="shared" si="118"/>
        <v>10.4</v>
      </c>
      <c r="BY198" s="3">
        <f t="shared" si="118"/>
        <v>10.1</v>
      </c>
      <c r="BZ198" s="3">
        <f t="shared" si="117"/>
        <v>11.3</v>
      </c>
      <c r="CA198" s="3">
        <f t="shared" si="117"/>
        <v>11.1</v>
      </c>
      <c r="CB198" s="3">
        <f t="shared" si="117"/>
        <v>9.5</v>
      </c>
      <c r="CC198" s="22">
        <f t="shared" si="92"/>
        <v>69.099999999999994</v>
      </c>
      <c r="CD198" s="1">
        <f t="shared" si="96"/>
        <v>16.100000000000001</v>
      </c>
      <c r="CE198" s="1">
        <f t="shared" si="97"/>
        <v>18.399999999999999</v>
      </c>
      <c r="CF198" s="1">
        <f t="shared" si="98"/>
        <v>18.7</v>
      </c>
      <c r="CG198" s="1">
        <f t="shared" si="99"/>
        <v>17.3</v>
      </c>
      <c r="CH198" s="1">
        <f t="shared" si="100"/>
        <v>12.7</v>
      </c>
      <c r="CI198" s="1">
        <f t="shared" si="101"/>
        <v>11.9</v>
      </c>
      <c r="CJ198" s="1">
        <f t="shared" si="102"/>
        <v>10.199999999999999</v>
      </c>
      <c r="CK198" s="2">
        <f t="shared" si="93"/>
        <v>99.3</v>
      </c>
      <c r="CL198" s="1">
        <f t="shared" si="103"/>
        <v>2.4</v>
      </c>
      <c r="CM198" s="1">
        <f t="shared" si="104"/>
        <v>2</v>
      </c>
      <c r="CN198" s="1">
        <f t="shared" si="105"/>
        <v>1.5</v>
      </c>
      <c r="CO198" s="1">
        <f t="shared" si="106"/>
        <v>3.1</v>
      </c>
      <c r="CP198" s="1">
        <f t="shared" si="107"/>
        <v>9.5</v>
      </c>
      <c r="CQ198" s="1">
        <f t="shared" si="108"/>
        <v>10.7</v>
      </c>
      <c r="CR198" s="1">
        <f t="shared" si="109"/>
        <v>9.1999999999999993</v>
      </c>
      <c r="CS198" s="2">
        <f t="shared" si="110"/>
        <v>30.7</v>
      </c>
      <c r="CT198" s="6">
        <f t="shared" si="111"/>
        <v>0</v>
      </c>
      <c r="CU198" s="1">
        <f>PPTest!K198</f>
        <v>1</v>
      </c>
      <c r="CV198" s="3">
        <f t="shared" si="112"/>
        <v>1.18</v>
      </c>
      <c r="CW198" s="3">
        <f t="shared" si="113"/>
        <v>4.16</v>
      </c>
      <c r="CX198" s="24">
        <f t="shared" si="114"/>
        <v>0.56200000000000006</v>
      </c>
      <c r="CY198" s="24">
        <f t="shared" si="114"/>
        <v>1.2689999999999999</v>
      </c>
      <c r="CZ198" s="16">
        <f t="shared" si="115"/>
        <v>12.97</v>
      </c>
    </row>
    <row r="199" spans="1:104" x14ac:dyDescent="0.2">
      <c r="A199" s="14">
        <f t="shared" si="116"/>
        <v>38910</v>
      </c>
      <c r="B199" s="1">
        <v>193</v>
      </c>
      <c r="C199" s="3">
        <v>13.1</v>
      </c>
      <c r="D199" s="3">
        <v>24.35</v>
      </c>
      <c r="E199" s="3">
        <v>9.9600000000000009</v>
      </c>
      <c r="F199" s="3">
        <v>96.6</v>
      </c>
      <c r="G199" s="3">
        <v>9.8800000000000008</v>
      </c>
      <c r="H199" s="3">
        <v>9.82</v>
      </c>
      <c r="I199" s="3">
        <v>10.28</v>
      </c>
      <c r="J199" s="3">
        <v>11.1</v>
      </c>
      <c r="K199" s="3">
        <v>10.75</v>
      </c>
      <c r="L199" s="3">
        <v>9.5299999999999994</v>
      </c>
      <c r="M199" s="3">
        <v>1.1599999999999999</v>
      </c>
      <c r="N199" s="3">
        <v>1</v>
      </c>
      <c r="O199" s="3">
        <v>14.29</v>
      </c>
      <c r="P199" s="3">
        <v>1258</v>
      </c>
      <c r="Q199" s="3">
        <v>107.6</v>
      </c>
      <c r="R199" s="3">
        <v>2117</v>
      </c>
      <c r="S199" s="3">
        <v>18.239999999999998</v>
      </c>
      <c r="T199" s="3">
        <v>19.46</v>
      </c>
      <c r="U199" s="3">
        <v>16.600000000000001</v>
      </c>
      <c r="V199" s="3">
        <v>12.37</v>
      </c>
      <c r="W199" s="3">
        <v>11.25</v>
      </c>
      <c r="X199" s="3">
        <v>9.99</v>
      </c>
      <c r="Y199" s="3">
        <v>3.7320000000000002</v>
      </c>
      <c r="Z199" s="3">
        <v>1129</v>
      </c>
      <c r="AA199" s="3">
        <v>6.5279999999999996</v>
      </c>
      <c r="AB199" s="3">
        <v>410</v>
      </c>
      <c r="AC199" s="3">
        <v>77</v>
      </c>
      <c r="AD199" s="3">
        <v>1225</v>
      </c>
      <c r="AE199" s="3">
        <v>5.17</v>
      </c>
      <c r="AF199" s="3">
        <v>4.9589999999999996</v>
      </c>
      <c r="AG199" s="3">
        <v>6.0469999999999997</v>
      </c>
      <c r="AH199" s="3">
        <v>10.09</v>
      </c>
      <c r="AI199" s="3">
        <v>10.41</v>
      </c>
      <c r="AJ199" s="3">
        <v>9.19</v>
      </c>
      <c r="AK199" s="3">
        <v>8.5000000000000006E-2</v>
      </c>
      <c r="AL199" s="3">
        <v>0.13800000000000001</v>
      </c>
      <c r="AM199" s="3">
        <v>0.09</v>
      </c>
      <c r="AN199" s="3">
        <v>5.2999999999999999E-2</v>
      </c>
      <c r="AO199" s="3">
        <v>0.184</v>
      </c>
      <c r="AP199" s="3">
        <v>0.27200000000000002</v>
      </c>
      <c r="AQ199" s="3">
        <v>0.126</v>
      </c>
      <c r="AR199" s="3">
        <v>5.1999999999999998E-2</v>
      </c>
      <c r="AS199" s="3">
        <v>3517</v>
      </c>
      <c r="AT199" s="3">
        <v>3513</v>
      </c>
      <c r="AU199" s="3">
        <v>3516</v>
      </c>
      <c r="AV199" s="3">
        <v>10.52</v>
      </c>
      <c r="AW199" s="3">
        <v>10.37</v>
      </c>
      <c r="AX199" s="3">
        <v>17.100000000000001</v>
      </c>
      <c r="AY199" s="3">
        <v>17.32</v>
      </c>
      <c r="AZ199" s="3">
        <v>6.0570000000000004</v>
      </c>
      <c r="BA199" s="3">
        <v>5.8769999999999998</v>
      </c>
      <c r="BB199" s="3">
        <v>12.96</v>
      </c>
      <c r="BC199" s="3">
        <v>2876</v>
      </c>
      <c r="BG199" s="16">
        <v>32.08</v>
      </c>
      <c r="BH199" s="16">
        <f t="shared" ref="BH199:BH262" si="121">BG199*$BH$1</f>
        <v>64.801599999999993</v>
      </c>
      <c r="BI199" s="17">
        <f t="shared" si="119"/>
        <v>12.84</v>
      </c>
      <c r="BJ199" s="17">
        <f t="shared" si="120"/>
        <v>26.79</v>
      </c>
      <c r="BL199" s="1">
        <f t="shared" ref="BL199:BL262" si="122">ROUND(IF(Q199&gt;BL$2,100,IF(Q199&gt;BL$3,BM$1*Q199+BM$2, Q199*BM$3+BM$4)),1)</f>
        <v>94.4</v>
      </c>
      <c r="BM199" s="1">
        <f t="shared" ref="BM199:BM262" si="123">ROUND(IF(F199&gt;BL$2,100, IF(F199&gt;BL$3,BM$1*F199+BM$2, F199*BM$3+BM$4)),1)</f>
        <v>78</v>
      </c>
      <c r="BN199" s="1">
        <f t="shared" ref="BN199:BN262" si="124">ROUND(IF(AC199&gt;BL$2,100,IF(AC199&gt;BL$3,BM$1*AC199+BM$2, AC199*BM$3+BM$4)),1)</f>
        <v>60.8</v>
      </c>
      <c r="BO199" s="49">
        <f t="shared" si="94"/>
        <v>0.99</v>
      </c>
      <c r="BP199" s="49">
        <f t="shared" si="95"/>
        <v>0.63800000000000001</v>
      </c>
      <c r="BR199" s="3">
        <v>1</v>
      </c>
      <c r="BT199" s="16">
        <f t="shared" ref="BT199:BT262" si="125">BI199</f>
        <v>12.84</v>
      </c>
      <c r="BU199" s="16">
        <f t="shared" ref="BU199:BU262" si="126">BJ199</f>
        <v>26.79</v>
      </c>
      <c r="BV199" s="3">
        <f t="shared" ref="BV199:BV262" si="127">ROUND(E199,1)</f>
        <v>10</v>
      </c>
      <c r="BW199" s="3">
        <f t="shared" si="118"/>
        <v>9.9</v>
      </c>
      <c r="BX199" s="3">
        <f t="shared" si="118"/>
        <v>9.8000000000000007</v>
      </c>
      <c r="BY199" s="3">
        <f t="shared" si="118"/>
        <v>10.3</v>
      </c>
      <c r="BZ199" s="3">
        <f t="shared" si="117"/>
        <v>11.1</v>
      </c>
      <c r="CA199" s="3">
        <f t="shared" si="117"/>
        <v>10.8</v>
      </c>
      <c r="CB199" s="3">
        <f t="shared" si="117"/>
        <v>9.5</v>
      </c>
      <c r="CC199" s="22">
        <f t="shared" ref="CC199:CC262" si="128">ROUND(BM199,1)</f>
        <v>78</v>
      </c>
      <c r="CD199" s="1">
        <f t="shared" si="96"/>
        <v>14.3</v>
      </c>
      <c r="CE199" s="1">
        <f t="shared" si="97"/>
        <v>18.2</v>
      </c>
      <c r="CF199" s="1">
        <f t="shared" si="98"/>
        <v>19.5</v>
      </c>
      <c r="CG199" s="1">
        <f t="shared" si="99"/>
        <v>16.600000000000001</v>
      </c>
      <c r="CH199" s="1">
        <f t="shared" si="100"/>
        <v>12.4</v>
      </c>
      <c r="CI199" s="1">
        <f t="shared" si="101"/>
        <v>11.3</v>
      </c>
      <c r="CJ199" s="1">
        <f t="shared" si="102"/>
        <v>10</v>
      </c>
      <c r="CK199" s="2">
        <f t="shared" ref="CK199:CK262" si="129">ROUND(BL199,1)</f>
        <v>94.4</v>
      </c>
      <c r="CL199" s="1">
        <f t="shared" si="103"/>
        <v>6.5</v>
      </c>
      <c r="CM199" s="1">
        <f t="shared" si="104"/>
        <v>5.2</v>
      </c>
      <c r="CN199" s="1">
        <f t="shared" si="105"/>
        <v>5</v>
      </c>
      <c r="CO199" s="1">
        <f t="shared" si="106"/>
        <v>6</v>
      </c>
      <c r="CP199" s="1">
        <f t="shared" si="107"/>
        <v>10.1</v>
      </c>
      <c r="CQ199" s="1">
        <f t="shared" si="108"/>
        <v>10.4</v>
      </c>
      <c r="CR199" s="1">
        <f t="shared" si="109"/>
        <v>9.1999999999999993</v>
      </c>
      <c r="CS199" s="2">
        <f t="shared" si="110"/>
        <v>60.8</v>
      </c>
      <c r="CT199" s="6">
        <f t="shared" si="111"/>
        <v>0</v>
      </c>
      <c r="CU199" s="1">
        <f>PPTest!K199</f>
        <v>1</v>
      </c>
      <c r="CV199" s="3">
        <f t="shared" si="112"/>
        <v>1.1599999999999999</v>
      </c>
      <c r="CW199" s="3">
        <f t="shared" si="113"/>
        <v>3.73</v>
      </c>
      <c r="CX199" s="24">
        <f t="shared" si="114"/>
        <v>0.99</v>
      </c>
      <c r="CY199" s="24">
        <f t="shared" si="114"/>
        <v>0.63800000000000001</v>
      </c>
      <c r="CZ199" s="16">
        <f t="shared" si="115"/>
        <v>12.96</v>
      </c>
    </row>
    <row r="200" spans="1:104" x14ac:dyDescent="0.2">
      <c r="A200" s="14">
        <f t="shared" si="116"/>
        <v>38911</v>
      </c>
      <c r="B200" s="1">
        <v>194</v>
      </c>
      <c r="C200" s="3">
        <v>13.39</v>
      </c>
      <c r="D200" s="3">
        <v>24.55</v>
      </c>
      <c r="E200" s="3">
        <v>9.34</v>
      </c>
      <c r="F200" s="3">
        <v>90.3</v>
      </c>
      <c r="G200" s="3">
        <v>9.19</v>
      </c>
      <c r="H200" s="3">
        <v>9.0399999999999991</v>
      </c>
      <c r="I200" s="3">
        <v>9.06</v>
      </c>
      <c r="J200" s="3">
        <v>10.36</v>
      </c>
      <c r="K200" s="3">
        <v>10.43</v>
      </c>
      <c r="L200" s="3">
        <v>9.4600000000000009</v>
      </c>
      <c r="M200" s="3">
        <v>1.869</v>
      </c>
      <c r="N200" s="3">
        <v>1</v>
      </c>
      <c r="O200" s="3">
        <v>14.36</v>
      </c>
      <c r="P200" s="3">
        <v>1552</v>
      </c>
      <c r="Q200" s="3">
        <v>106.8</v>
      </c>
      <c r="R200" s="3">
        <v>2348</v>
      </c>
      <c r="S200" s="3">
        <v>16.03</v>
      </c>
      <c r="T200" s="3">
        <v>16.53</v>
      </c>
      <c r="U200" s="3">
        <v>14.51</v>
      </c>
      <c r="V200" s="3">
        <v>11.58</v>
      </c>
      <c r="W200" s="3">
        <v>10.99</v>
      </c>
      <c r="X200" s="3">
        <v>9.9700000000000006</v>
      </c>
      <c r="Y200" s="3">
        <v>5.3280000000000003</v>
      </c>
      <c r="Z200" s="3">
        <v>1556</v>
      </c>
      <c r="AA200" s="3">
        <v>5.3819999999999997</v>
      </c>
      <c r="AB200" s="3">
        <v>403</v>
      </c>
      <c r="AC200" s="3">
        <v>62.94</v>
      </c>
      <c r="AD200" s="3">
        <v>1556</v>
      </c>
      <c r="AE200" s="3">
        <v>3.714</v>
      </c>
      <c r="AF200" s="3">
        <v>3.04</v>
      </c>
      <c r="AG200" s="3">
        <v>3.9369999999999998</v>
      </c>
      <c r="AH200" s="3">
        <v>9.19</v>
      </c>
      <c r="AI200" s="3">
        <v>10.039999999999999</v>
      </c>
      <c r="AJ200" s="3">
        <v>9.15</v>
      </c>
      <c r="AK200" s="3">
        <v>3.5999999999999997E-2</v>
      </c>
      <c r="AL200" s="3">
        <v>0.09</v>
      </c>
      <c r="AM200" s="3">
        <v>6.3E-2</v>
      </c>
      <c r="AN200" s="3">
        <v>4.2000000000000003E-2</v>
      </c>
      <c r="AO200" s="3">
        <v>0.219</v>
      </c>
      <c r="AP200" s="3">
        <v>0.378</v>
      </c>
      <c r="AQ200" s="3">
        <v>0.14099999999999999</v>
      </c>
      <c r="AR200" s="3">
        <v>3.2000000000000001E-2</v>
      </c>
      <c r="AS200" s="3">
        <v>3502</v>
      </c>
      <c r="AT200" s="3">
        <v>3500</v>
      </c>
      <c r="AU200" s="3">
        <v>3501</v>
      </c>
      <c r="AV200" s="3">
        <v>9.2899999999999991</v>
      </c>
      <c r="AW200" s="3">
        <v>9.14</v>
      </c>
      <c r="AX200" s="3">
        <v>13.4</v>
      </c>
      <c r="AY200" s="3">
        <v>13.63</v>
      </c>
      <c r="AZ200" s="3">
        <v>4.3780000000000001</v>
      </c>
      <c r="BA200" s="3">
        <v>3.8969999999999998</v>
      </c>
      <c r="BB200" s="3">
        <v>13.04</v>
      </c>
      <c r="BC200" s="3">
        <v>2876</v>
      </c>
      <c r="BG200" s="16">
        <v>31.97</v>
      </c>
      <c r="BH200" s="16">
        <f t="shared" si="121"/>
        <v>64.579399999999993</v>
      </c>
      <c r="BI200" s="17">
        <f t="shared" si="119"/>
        <v>13.12</v>
      </c>
      <c r="BJ200" s="17">
        <f t="shared" si="120"/>
        <v>27.01</v>
      </c>
      <c r="BL200" s="1">
        <f t="shared" si="122"/>
        <v>93.1</v>
      </c>
      <c r="BM200" s="1">
        <f t="shared" si="123"/>
        <v>72.5</v>
      </c>
      <c r="BN200" s="1">
        <f t="shared" si="124"/>
        <v>48.4</v>
      </c>
      <c r="BO200" s="49">
        <f t="shared" ref="BO200:BO263" si="130">ROUND((0.6105*(EXP((17.273*O200)/(O200+237.3))))*BN200/100,3)</f>
        <v>0.79200000000000004</v>
      </c>
      <c r="BP200" s="49">
        <f t="shared" ref="BP200:BP263" si="131">ROUND((100-BN200)*BO200/BN200,3)</f>
        <v>0.84399999999999997</v>
      </c>
      <c r="BR200" s="3">
        <v>0</v>
      </c>
      <c r="BT200" s="16">
        <f t="shared" si="125"/>
        <v>13.12</v>
      </c>
      <c r="BU200" s="16">
        <f t="shared" si="126"/>
        <v>27.01</v>
      </c>
      <c r="BV200" s="3">
        <f t="shared" si="127"/>
        <v>9.3000000000000007</v>
      </c>
      <c r="BW200" s="3">
        <f t="shared" si="118"/>
        <v>9.1999999999999993</v>
      </c>
      <c r="BX200" s="3">
        <f t="shared" si="118"/>
        <v>9</v>
      </c>
      <c r="BY200" s="3">
        <f t="shared" si="118"/>
        <v>9.1</v>
      </c>
      <c r="BZ200" s="3">
        <f t="shared" si="117"/>
        <v>10.4</v>
      </c>
      <c r="CA200" s="3">
        <f t="shared" si="117"/>
        <v>10.4</v>
      </c>
      <c r="CB200" s="3">
        <f t="shared" si="117"/>
        <v>9.5</v>
      </c>
      <c r="CC200" s="22">
        <f t="shared" si="128"/>
        <v>72.5</v>
      </c>
      <c r="CD200" s="1">
        <f t="shared" ref="CD200:CD263" si="132">ROUND(O200,1)</f>
        <v>14.4</v>
      </c>
      <c r="CE200" s="1">
        <f t="shared" ref="CE200:CE263" si="133">ROUND(S200,1)</f>
        <v>16</v>
      </c>
      <c r="CF200" s="1">
        <f t="shared" ref="CF200:CF263" si="134">ROUND(T200,1)</f>
        <v>16.5</v>
      </c>
      <c r="CG200" s="1">
        <f t="shared" ref="CG200:CG263" si="135">ROUND(U200,1)</f>
        <v>14.5</v>
      </c>
      <c r="CH200" s="1">
        <f t="shared" ref="CH200:CH263" si="136">ROUND(V200,1)</f>
        <v>11.6</v>
      </c>
      <c r="CI200" s="1">
        <f t="shared" ref="CI200:CI263" si="137">ROUND(W200,1)</f>
        <v>11</v>
      </c>
      <c r="CJ200" s="1">
        <f t="shared" ref="CJ200:CJ263" si="138">ROUND(X200,1)</f>
        <v>10</v>
      </c>
      <c r="CK200" s="2">
        <f t="shared" si="129"/>
        <v>93.1</v>
      </c>
      <c r="CL200" s="1">
        <f t="shared" ref="CL200:CL263" si="139">ROUND(AA200,1)</f>
        <v>5.4</v>
      </c>
      <c r="CM200" s="1">
        <f t="shared" ref="CM200:CM263" si="140">ROUND(AE200,1)</f>
        <v>3.7</v>
      </c>
      <c r="CN200" s="1">
        <f t="shared" ref="CN200:CN263" si="141">ROUND(AF200,1)</f>
        <v>3</v>
      </c>
      <c r="CO200" s="1">
        <f t="shared" ref="CO200:CO263" si="142">ROUND(AG200,1)</f>
        <v>3.9</v>
      </c>
      <c r="CP200" s="1">
        <f t="shared" ref="CP200:CP263" si="143">ROUND(AH200,1)</f>
        <v>9.1999999999999993</v>
      </c>
      <c r="CQ200" s="1">
        <f t="shared" ref="CQ200:CQ263" si="144">ROUND(AI200,1)</f>
        <v>10</v>
      </c>
      <c r="CR200" s="1">
        <f t="shared" ref="CR200:CR263" si="145">ROUND(AJ200,1)</f>
        <v>9.1999999999999993</v>
      </c>
      <c r="CS200" s="2">
        <f t="shared" ref="CS200:CS263" si="146">ROUND(BN200,1)</f>
        <v>48.4</v>
      </c>
      <c r="CT200" s="6">
        <f t="shared" ref="CT200:CT263" si="147">BE200</f>
        <v>0</v>
      </c>
      <c r="CU200" s="1">
        <f>PPTest!K200</f>
        <v>1</v>
      </c>
      <c r="CV200" s="3">
        <f t="shared" ref="CV200:CV263" si="148">ROUND(M200,2)</f>
        <v>1.87</v>
      </c>
      <c r="CW200" s="3">
        <f t="shared" ref="CW200:CW263" si="149">ROUND(Y200,2)</f>
        <v>5.33</v>
      </c>
      <c r="CX200" s="24">
        <f t="shared" ref="CX200:CY263" si="150">BO200</f>
        <v>0.79200000000000004</v>
      </c>
      <c r="CY200" s="24">
        <f t="shared" si="150"/>
        <v>0.84399999999999997</v>
      </c>
      <c r="CZ200" s="16">
        <f t="shared" ref="CZ200:CZ263" si="151">BB200</f>
        <v>13.04</v>
      </c>
    </row>
    <row r="201" spans="1:104" x14ac:dyDescent="0.2">
      <c r="A201" s="14">
        <f t="shared" ref="A201:A264" si="152">A200+1</f>
        <v>38912</v>
      </c>
      <c r="B201" s="1">
        <v>195</v>
      </c>
      <c r="C201" s="3">
        <v>17.420000000000002</v>
      </c>
      <c r="D201" s="3">
        <v>31.53</v>
      </c>
      <c r="E201" s="3">
        <v>10.3</v>
      </c>
      <c r="F201" s="3">
        <v>87</v>
      </c>
      <c r="G201" s="3">
        <v>10.29</v>
      </c>
      <c r="H201" s="3">
        <v>10.27</v>
      </c>
      <c r="I201" s="3">
        <v>9.9499999999999993</v>
      </c>
      <c r="J201" s="3">
        <v>10.61</v>
      </c>
      <c r="K201" s="3">
        <v>10.210000000000001</v>
      </c>
      <c r="L201" s="3">
        <v>9.4</v>
      </c>
      <c r="M201" s="3">
        <v>1.292</v>
      </c>
      <c r="N201" s="3">
        <v>0</v>
      </c>
      <c r="O201" s="3">
        <v>16.940000000000001</v>
      </c>
      <c r="P201" s="3">
        <v>1748</v>
      </c>
      <c r="Q201" s="3">
        <v>109.4</v>
      </c>
      <c r="R201" s="3">
        <v>226</v>
      </c>
      <c r="S201" s="3">
        <v>19.47</v>
      </c>
      <c r="T201" s="3">
        <v>21.29</v>
      </c>
      <c r="U201" s="3">
        <v>15.71</v>
      </c>
      <c r="V201" s="3">
        <v>12.34</v>
      </c>
      <c r="W201" s="3">
        <v>10.83</v>
      </c>
      <c r="X201" s="3">
        <v>10.039999999999999</v>
      </c>
      <c r="Y201" s="3">
        <v>4.8230000000000004</v>
      </c>
      <c r="Z201" s="3">
        <v>936</v>
      </c>
      <c r="AA201" s="3">
        <v>5.9720000000000004</v>
      </c>
      <c r="AB201" s="3">
        <v>41</v>
      </c>
      <c r="AC201" s="3">
        <v>54.76</v>
      </c>
      <c r="AD201" s="3">
        <v>1747</v>
      </c>
      <c r="AE201" s="3">
        <v>4.9349999999999996</v>
      </c>
      <c r="AF201" s="3">
        <v>4.3410000000000002</v>
      </c>
      <c r="AG201" s="3">
        <v>5.6689999999999996</v>
      </c>
      <c r="AH201" s="3">
        <v>9.31</v>
      </c>
      <c r="AI201" s="3">
        <v>9.5399999999999991</v>
      </c>
      <c r="AJ201" s="3">
        <v>8.67</v>
      </c>
      <c r="AK201" s="3">
        <v>6.4000000000000001E-2</v>
      </c>
      <c r="AL201" s="3">
        <v>0.161</v>
      </c>
      <c r="AM201" s="3">
        <v>9.7000000000000003E-2</v>
      </c>
      <c r="AN201" s="3">
        <v>4.9000000000000002E-2</v>
      </c>
      <c r="AO201" s="3">
        <v>0.17199999999999999</v>
      </c>
      <c r="AP201" s="3">
        <v>0.23300000000000001</v>
      </c>
      <c r="AQ201" s="3">
        <v>0.16</v>
      </c>
      <c r="AR201" s="3">
        <v>6.5000000000000002E-2</v>
      </c>
      <c r="AS201" s="3">
        <v>3512</v>
      </c>
      <c r="AT201" s="3">
        <v>3509</v>
      </c>
      <c r="AU201" s="3">
        <v>3509</v>
      </c>
      <c r="AV201" s="3">
        <v>10.9</v>
      </c>
      <c r="AW201" s="3">
        <v>10.8</v>
      </c>
      <c r="AX201" s="3">
        <v>17.04</v>
      </c>
      <c r="AY201" s="3">
        <v>17.59</v>
      </c>
      <c r="AZ201" s="3">
        <v>5.6859999999999999</v>
      </c>
      <c r="BA201" s="3">
        <v>5.4470000000000001</v>
      </c>
      <c r="BB201" s="3">
        <v>12.98</v>
      </c>
      <c r="BC201" s="3">
        <v>2876</v>
      </c>
      <c r="BG201" s="16">
        <v>31.87</v>
      </c>
      <c r="BH201" s="16">
        <f t="shared" si="121"/>
        <v>64.377400000000009</v>
      </c>
      <c r="BI201" s="17">
        <f t="shared" si="119"/>
        <v>17.07</v>
      </c>
      <c r="BJ201" s="17">
        <f t="shared" si="120"/>
        <v>34.68</v>
      </c>
      <c r="BL201" s="1">
        <f t="shared" si="122"/>
        <v>97.2</v>
      </c>
      <c r="BM201" s="1">
        <f t="shared" si="123"/>
        <v>69.599999999999994</v>
      </c>
      <c r="BN201" s="1">
        <f t="shared" si="124"/>
        <v>41.2</v>
      </c>
      <c r="BO201" s="49">
        <f t="shared" si="130"/>
        <v>0.79500000000000004</v>
      </c>
      <c r="BP201" s="49">
        <f t="shared" si="131"/>
        <v>1.135</v>
      </c>
      <c r="BR201" s="3">
        <v>0</v>
      </c>
      <c r="BT201" s="16">
        <f t="shared" si="125"/>
        <v>17.07</v>
      </c>
      <c r="BU201" s="16">
        <f t="shared" si="126"/>
        <v>34.68</v>
      </c>
      <c r="BV201" s="3">
        <f t="shared" si="127"/>
        <v>10.3</v>
      </c>
      <c r="BW201" s="3">
        <f t="shared" si="118"/>
        <v>10.3</v>
      </c>
      <c r="BX201" s="3">
        <f t="shared" si="118"/>
        <v>10.3</v>
      </c>
      <c r="BY201" s="3">
        <f t="shared" si="118"/>
        <v>10</v>
      </c>
      <c r="BZ201" s="3">
        <f t="shared" si="117"/>
        <v>10.6</v>
      </c>
      <c r="CA201" s="3">
        <f t="shared" si="117"/>
        <v>10.199999999999999</v>
      </c>
      <c r="CB201" s="3">
        <f t="shared" si="117"/>
        <v>9.4</v>
      </c>
      <c r="CC201" s="22">
        <f t="shared" si="128"/>
        <v>69.599999999999994</v>
      </c>
      <c r="CD201" s="1">
        <f t="shared" si="132"/>
        <v>16.899999999999999</v>
      </c>
      <c r="CE201" s="1">
        <f t="shared" si="133"/>
        <v>19.5</v>
      </c>
      <c r="CF201" s="1">
        <f t="shared" si="134"/>
        <v>21.3</v>
      </c>
      <c r="CG201" s="1">
        <f t="shared" si="135"/>
        <v>15.7</v>
      </c>
      <c r="CH201" s="1">
        <f t="shared" si="136"/>
        <v>12.3</v>
      </c>
      <c r="CI201" s="1">
        <f t="shared" si="137"/>
        <v>10.8</v>
      </c>
      <c r="CJ201" s="1">
        <f t="shared" si="138"/>
        <v>10</v>
      </c>
      <c r="CK201" s="2">
        <f t="shared" si="129"/>
        <v>97.2</v>
      </c>
      <c r="CL201" s="1">
        <f t="shared" si="139"/>
        <v>6</v>
      </c>
      <c r="CM201" s="1">
        <f t="shared" si="140"/>
        <v>4.9000000000000004</v>
      </c>
      <c r="CN201" s="1">
        <f t="shared" si="141"/>
        <v>4.3</v>
      </c>
      <c r="CO201" s="1">
        <f t="shared" si="142"/>
        <v>5.7</v>
      </c>
      <c r="CP201" s="1">
        <f t="shared" si="143"/>
        <v>9.3000000000000007</v>
      </c>
      <c r="CQ201" s="1">
        <f t="shared" si="144"/>
        <v>9.5</v>
      </c>
      <c r="CR201" s="1">
        <f t="shared" si="145"/>
        <v>8.6999999999999993</v>
      </c>
      <c r="CS201" s="2">
        <f t="shared" si="146"/>
        <v>41.2</v>
      </c>
      <c r="CT201" s="6">
        <f t="shared" si="147"/>
        <v>0</v>
      </c>
      <c r="CU201" s="1">
        <f>PPTest!K201</f>
        <v>0</v>
      </c>
      <c r="CV201" s="3">
        <f t="shared" si="148"/>
        <v>1.29</v>
      </c>
      <c r="CW201" s="3">
        <f t="shared" si="149"/>
        <v>4.82</v>
      </c>
      <c r="CX201" s="24">
        <f t="shared" si="150"/>
        <v>0.79500000000000004</v>
      </c>
      <c r="CY201" s="24">
        <f t="shared" si="150"/>
        <v>1.135</v>
      </c>
      <c r="CZ201" s="16">
        <f t="shared" si="151"/>
        <v>12.98</v>
      </c>
    </row>
    <row r="202" spans="1:104" x14ac:dyDescent="0.2">
      <c r="A202" s="14">
        <f t="shared" si="152"/>
        <v>38913</v>
      </c>
      <c r="B202" s="1">
        <v>196</v>
      </c>
      <c r="C202" s="3">
        <v>25.8</v>
      </c>
      <c r="D202" s="3">
        <v>46.67</v>
      </c>
      <c r="E202" s="3">
        <v>10.4</v>
      </c>
      <c r="F202" s="3">
        <v>79.7</v>
      </c>
      <c r="G202" s="3">
        <v>10.38</v>
      </c>
      <c r="H202" s="3">
        <v>10.3</v>
      </c>
      <c r="I202" s="3">
        <v>9.75</v>
      </c>
      <c r="J202" s="3">
        <v>10.9</v>
      </c>
      <c r="K202" s="3">
        <v>10.08</v>
      </c>
      <c r="L202" s="3">
        <v>9.2200000000000006</v>
      </c>
      <c r="M202" s="3">
        <v>1.696</v>
      </c>
      <c r="N202" s="3">
        <v>0</v>
      </c>
      <c r="O202" s="3">
        <v>17.93</v>
      </c>
      <c r="P202" s="3">
        <v>1523</v>
      </c>
      <c r="Q202" s="3">
        <v>108.5</v>
      </c>
      <c r="R202" s="3">
        <v>425</v>
      </c>
      <c r="S202" s="3">
        <v>21.39</v>
      </c>
      <c r="T202" s="3">
        <v>22.25</v>
      </c>
      <c r="U202" s="3">
        <v>21.76</v>
      </c>
      <c r="V202" s="3">
        <v>13.92</v>
      </c>
      <c r="W202" s="3">
        <v>11</v>
      </c>
      <c r="X202" s="3">
        <v>10.199999999999999</v>
      </c>
      <c r="Y202" s="3">
        <v>4.1440000000000001</v>
      </c>
      <c r="Z202" s="3">
        <v>1319</v>
      </c>
      <c r="AA202" s="3">
        <v>2.37</v>
      </c>
      <c r="AB202" s="3">
        <v>0</v>
      </c>
      <c r="AC202" s="3">
        <v>40.17</v>
      </c>
      <c r="AD202" s="3">
        <v>1633</v>
      </c>
      <c r="AE202" s="3">
        <v>0.36599999999999999</v>
      </c>
      <c r="AF202" s="3">
        <v>-1.2999999999999999E-2</v>
      </c>
      <c r="AG202" s="3">
        <v>2.044</v>
      </c>
      <c r="AH202" s="3">
        <v>8.68</v>
      </c>
      <c r="AI202" s="3">
        <v>9.51</v>
      </c>
      <c r="AJ202" s="3">
        <v>8.66</v>
      </c>
      <c r="AK202" s="3">
        <v>3.5000000000000003E-2</v>
      </c>
      <c r="AL202" s="3">
        <v>0.25800000000000001</v>
      </c>
      <c r="AM202" s="3">
        <v>0.155</v>
      </c>
      <c r="AN202" s="3">
        <v>1.4E-2</v>
      </c>
      <c r="AO202" s="3">
        <v>0.10100000000000001</v>
      </c>
      <c r="AP202" s="3">
        <v>0.21199999999999999</v>
      </c>
      <c r="AQ202" s="3">
        <v>0.17100000000000001</v>
      </c>
      <c r="AR202" s="3">
        <v>5.2999999999999999E-2</v>
      </c>
      <c r="AS202" s="3">
        <v>3516</v>
      </c>
      <c r="AT202" s="3">
        <v>3492</v>
      </c>
      <c r="AU202" s="3">
        <v>3503</v>
      </c>
      <c r="AV202" s="3">
        <v>11.03</v>
      </c>
      <c r="AW202" s="3">
        <v>10.84</v>
      </c>
      <c r="AX202" s="3">
        <v>21.01</v>
      </c>
      <c r="AY202" s="3">
        <v>21.4</v>
      </c>
      <c r="AZ202" s="3">
        <v>1.6870000000000001</v>
      </c>
      <c r="BA202" s="3">
        <v>0.81200000000000006</v>
      </c>
      <c r="BB202" s="3">
        <v>12.92</v>
      </c>
      <c r="BC202" s="3">
        <v>2876</v>
      </c>
      <c r="BG202" s="16">
        <v>31.77</v>
      </c>
      <c r="BH202" s="16">
        <f t="shared" si="121"/>
        <v>64.175399999999996</v>
      </c>
      <c r="BI202" s="17">
        <f t="shared" si="119"/>
        <v>25.28</v>
      </c>
      <c r="BJ202" s="17">
        <f t="shared" si="120"/>
        <v>51.34</v>
      </c>
      <c r="BL202" s="1">
        <f t="shared" si="122"/>
        <v>95.8</v>
      </c>
      <c r="BM202" s="1">
        <f t="shared" si="123"/>
        <v>63.1</v>
      </c>
      <c r="BN202" s="1">
        <f t="shared" si="124"/>
        <v>28.3</v>
      </c>
      <c r="BO202" s="49">
        <f t="shared" si="130"/>
        <v>0.58099999999999996</v>
      </c>
      <c r="BP202" s="49">
        <f t="shared" si="131"/>
        <v>1.472</v>
      </c>
      <c r="BR202" s="3">
        <v>0</v>
      </c>
      <c r="BT202" s="16">
        <f t="shared" si="125"/>
        <v>25.28</v>
      </c>
      <c r="BU202" s="16">
        <f t="shared" si="126"/>
        <v>51.34</v>
      </c>
      <c r="BV202" s="3">
        <f t="shared" si="127"/>
        <v>10.4</v>
      </c>
      <c r="BW202" s="3">
        <f t="shared" si="118"/>
        <v>10.4</v>
      </c>
      <c r="BX202" s="3">
        <f t="shared" si="118"/>
        <v>10.3</v>
      </c>
      <c r="BY202" s="3">
        <f t="shared" si="118"/>
        <v>9.8000000000000007</v>
      </c>
      <c r="BZ202" s="3">
        <f t="shared" si="117"/>
        <v>10.9</v>
      </c>
      <c r="CA202" s="3">
        <f t="shared" si="117"/>
        <v>10.1</v>
      </c>
      <c r="CB202" s="3">
        <f t="shared" si="117"/>
        <v>9.1999999999999993</v>
      </c>
      <c r="CC202" s="22">
        <f t="shared" si="128"/>
        <v>63.1</v>
      </c>
      <c r="CD202" s="1">
        <f t="shared" si="132"/>
        <v>17.899999999999999</v>
      </c>
      <c r="CE202" s="1">
        <f t="shared" si="133"/>
        <v>21.4</v>
      </c>
      <c r="CF202" s="1">
        <f t="shared" si="134"/>
        <v>22.3</v>
      </c>
      <c r="CG202" s="1">
        <f t="shared" si="135"/>
        <v>21.8</v>
      </c>
      <c r="CH202" s="1">
        <f t="shared" si="136"/>
        <v>13.9</v>
      </c>
      <c r="CI202" s="1">
        <f t="shared" si="137"/>
        <v>11</v>
      </c>
      <c r="CJ202" s="1">
        <f t="shared" si="138"/>
        <v>10.199999999999999</v>
      </c>
      <c r="CK202" s="2">
        <f t="shared" si="129"/>
        <v>95.8</v>
      </c>
      <c r="CL202" s="1">
        <f t="shared" si="139"/>
        <v>2.4</v>
      </c>
      <c r="CM202" s="1">
        <f t="shared" si="140"/>
        <v>0.4</v>
      </c>
      <c r="CN202" s="1">
        <f t="shared" si="141"/>
        <v>0</v>
      </c>
      <c r="CO202" s="1">
        <f t="shared" si="142"/>
        <v>2</v>
      </c>
      <c r="CP202" s="1">
        <f t="shared" si="143"/>
        <v>8.6999999999999993</v>
      </c>
      <c r="CQ202" s="1">
        <f t="shared" si="144"/>
        <v>9.5</v>
      </c>
      <c r="CR202" s="1">
        <f t="shared" si="145"/>
        <v>8.6999999999999993</v>
      </c>
      <c r="CS202" s="2">
        <f t="shared" si="146"/>
        <v>28.3</v>
      </c>
      <c r="CT202" s="6">
        <f t="shared" si="147"/>
        <v>0</v>
      </c>
      <c r="CU202" s="1">
        <f>PPTest!K202</f>
        <v>0</v>
      </c>
      <c r="CV202" s="3">
        <f t="shared" si="148"/>
        <v>1.7</v>
      </c>
      <c r="CW202" s="3">
        <f t="shared" si="149"/>
        <v>4.1399999999999997</v>
      </c>
      <c r="CX202" s="24">
        <f t="shared" si="150"/>
        <v>0.58099999999999996</v>
      </c>
      <c r="CY202" s="24">
        <f t="shared" si="150"/>
        <v>1.472</v>
      </c>
      <c r="CZ202" s="16">
        <f t="shared" si="151"/>
        <v>12.92</v>
      </c>
    </row>
    <row r="203" spans="1:104" x14ac:dyDescent="0.2">
      <c r="A203" s="14">
        <f t="shared" si="152"/>
        <v>38914</v>
      </c>
      <c r="B203" s="1">
        <v>197</v>
      </c>
      <c r="C203" s="3">
        <v>32.229999999999997</v>
      </c>
      <c r="D203" s="3">
        <v>57.61</v>
      </c>
      <c r="E203" s="3">
        <v>10.76</v>
      </c>
      <c r="F203" s="3">
        <v>70.900000000000006</v>
      </c>
      <c r="G203" s="3">
        <v>10.8</v>
      </c>
      <c r="H203" s="3">
        <v>10.8</v>
      </c>
      <c r="I203" s="3">
        <v>9.5299999999999994</v>
      </c>
      <c r="J203" s="3">
        <v>10.83</v>
      </c>
      <c r="K203" s="3">
        <v>10.06</v>
      </c>
      <c r="L203" s="3">
        <v>9.17</v>
      </c>
      <c r="M203" s="3">
        <v>1.546</v>
      </c>
      <c r="N203" s="3">
        <v>0</v>
      </c>
      <c r="O203" s="3">
        <v>19.48</v>
      </c>
      <c r="P203" s="3">
        <v>1730</v>
      </c>
      <c r="Q203" s="3">
        <v>109.4</v>
      </c>
      <c r="R203" s="3">
        <v>430</v>
      </c>
      <c r="S203" s="3">
        <v>21.67</v>
      </c>
      <c r="T203" s="3">
        <v>22.71</v>
      </c>
      <c r="U203" s="3">
        <v>22.66</v>
      </c>
      <c r="V203" s="3">
        <v>14.08</v>
      </c>
      <c r="W203" s="3">
        <v>10.99</v>
      </c>
      <c r="X203" s="3">
        <v>10.08</v>
      </c>
      <c r="Y203" s="3">
        <v>4.0650000000000004</v>
      </c>
      <c r="Z203" s="3">
        <v>1109</v>
      </c>
      <c r="AA203" s="3">
        <v>0.65900000000000003</v>
      </c>
      <c r="AB203" s="3">
        <v>429</v>
      </c>
      <c r="AC203" s="3">
        <v>36.83</v>
      </c>
      <c r="AD203" s="3">
        <v>1727</v>
      </c>
      <c r="AE203" s="3">
        <v>-0.44400000000000001</v>
      </c>
      <c r="AF203" s="3">
        <v>-0.76100000000000001</v>
      </c>
      <c r="AG203" s="3">
        <v>0.86099999999999999</v>
      </c>
      <c r="AH203" s="3">
        <v>7.85</v>
      </c>
      <c r="AI203" s="3">
        <v>9.3800000000000008</v>
      </c>
      <c r="AJ203" s="3">
        <v>8.52</v>
      </c>
      <c r="AK203" s="3">
        <v>8.1000000000000003E-2</v>
      </c>
      <c r="AL203" s="3">
        <v>0.29499999999999998</v>
      </c>
      <c r="AM203" s="3">
        <v>0.17100000000000001</v>
      </c>
      <c r="AN203" s="3">
        <v>2.1999999999999999E-2</v>
      </c>
      <c r="AO203" s="3">
        <v>7.3999999999999996E-2</v>
      </c>
      <c r="AP203" s="3">
        <v>0.153</v>
      </c>
      <c r="AQ203" s="3">
        <v>0.11899999999999999</v>
      </c>
      <c r="AR203" s="3">
        <v>8.5000000000000006E-2</v>
      </c>
      <c r="AS203" s="3">
        <v>3518</v>
      </c>
      <c r="AT203" s="3">
        <v>3458</v>
      </c>
      <c r="AU203" s="3">
        <v>3502</v>
      </c>
      <c r="AV203" s="3">
        <v>11.03</v>
      </c>
      <c r="AW203" s="3">
        <v>10.98</v>
      </c>
      <c r="AX203" s="3">
        <v>22.5</v>
      </c>
      <c r="AY203" s="3">
        <v>22.52</v>
      </c>
      <c r="AZ203" s="3">
        <v>-0.65600000000000003</v>
      </c>
      <c r="BA203" s="3">
        <v>-0.83599999999999997</v>
      </c>
      <c r="BB203" s="3">
        <v>12.92</v>
      </c>
      <c r="BC203" s="3">
        <v>2876</v>
      </c>
      <c r="BG203" s="16">
        <v>31.65</v>
      </c>
      <c r="BH203" s="16">
        <f t="shared" si="121"/>
        <v>63.933</v>
      </c>
      <c r="BI203" s="17">
        <f t="shared" si="119"/>
        <v>31.59</v>
      </c>
      <c r="BJ203" s="17">
        <f t="shared" si="120"/>
        <v>63.37</v>
      </c>
      <c r="BL203" s="1">
        <f t="shared" si="122"/>
        <v>97.2</v>
      </c>
      <c r="BM203" s="1">
        <f t="shared" si="123"/>
        <v>55.4</v>
      </c>
      <c r="BN203" s="1">
        <f t="shared" si="124"/>
        <v>25.4</v>
      </c>
      <c r="BO203" s="49">
        <f t="shared" si="130"/>
        <v>0.57499999999999996</v>
      </c>
      <c r="BP203" s="49">
        <f t="shared" si="131"/>
        <v>1.6890000000000001</v>
      </c>
      <c r="BR203" s="3">
        <v>0</v>
      </c>
      <c r="BT203" s="16">
        <f t="shared" si="125"/>
        <v>31.59</v>
      </c>
      <c r="BU203" s="16">
        <f t="shared" si="126"/>
        <v>63.37</v>
      </c>
      <c r="BV203" s="3">
        <f t="shared" si="127"/>
        <v>10.8</v>
      </c>
      <c r="BW203" s="3">
        <f t="shared" si="118"/>
        <v>10.8</v>
      </c>
      <c r="BX203" s="3">
        <f t="shared" si="118"/>
        <v>10.8</v>
      </c>
      <c r="BY203" s="3">
        <f t="shared" si="118"/>
        <v>9.5</v>
      </c>
      <c r="BZ203" s="3">
        <f t="shared" si="117"/>
        <v>10.8</v>
      </c>
      <c r="CA203" s="3">
        <f t="shared" si="117"/>
        <v>10.1</v>
      </c>
      <c r="CB203" s="3">
        <f t="shared" si="117"/>
        <v>9.1999999999999993</v>
      </c>
      <c r="CC203" s="22">
        <f t="shared" si="128"/>
        <v>55.4</v>
      </c>
      <c r="CD203" s="1">
        <f t="shared" si="132"/>
        <v>19.5</v>
      </c>
      <c r="CE203" s="1">
        <f t="shared" si="133"/>
        <v>21.7</v>
      </c>
      <c r="CF203" s="1">
        <f t="shared" si="134"/>
        <v>22.7</v>
      </c>
      <c r="CG203" s="1">
        <f t="shared" si="135"/>
        <v>22.7</v>
      </c>
      <c r="CH203" s="1">
        <f t="shared" si="136"/>
        <v>14.1</v>
      </c>
      <c r="CI203" s="1">
        <f t="shared" si="137"/>
        <v>11</v>
      </c>
      <c r="CJ203" s="1">
        <f t="shared" si="138"/>
        <v>10.1</v>
      </c>
      <c r="CK203" s="2">
        <f t="shared" si="129"/>
        <v>97.2</v>
      </c>
      <c r="CL203" s="1">
        <f t="shared" si="139"/>
        <v>0.7</v>
      </c>
      <c r="CM203" s="1">
        <f t="shared" si="140"/>
        <v>-0.4</v>
      </c>
      <c r="CN203" s="1">
        <f t="shared" si="141"/>
        <v>-0.8</v>
      </c>
      <c r="CO203" s="1">
        <f t="shared" si="142"/>
        <v>0.9</v>
      </c>
      <c r="CP203" s="1">
        <f t="shared" si="143"/>
        <v>7.9</v>
      </c>
      <c r="CQ203" s="1">
        <f t="shared" si="144"/>
        <v>9.4</v>
      </c>
      <c r="CR203" s="1">
        <f t="shared" si="145"/>
        <v>8.5</v>
      </c>
      <c r="CS203" s="2">
        <f t="shared" si="146"/>
        <v>25.4</v>
      </c>
      <c r="CT203" s="6">
        <f t="shared" si="147"/>
        <v>0</v>
      </c>
      <c r="CU203" s="1">
        <f>PPTest!K203</f>
        <v>0</v>
      </c>
      <c r="CV203" s="3">
        <f t="shared" si="148"/>
        <v>1.55</v>
      </c>
      <c r="CW203" s="3">
        <f t="shared" si="149"/>
        <v>4.07</v>
      </c>
      <c r="CX203" s="24">
        <f t="shared" si="150"/>
        <v>0.57499999999999996</v>
      </c>
      <c r="CY203" s="24">
        <f t="shared" si="150"/>
        <v>1.6890000000000001</v>
      </c>
      <c r="CZ203" s="16">
        <f t="shared" si="151"/>
        <v>12.92</v>
      </c>
    </row>
    <row r="204" spans="1:104" x14ac:dyDescent="0.2">
      <c r="A204" s="14">
        <f t="shared" si="152"/>
        <v>38915</v>
      </c>
      <c r="B204" s="1">
        <v>198</v>
      </c>
      <c r="C204" s="3">
        <v>30.86</v>
      </c>
      <c r="D204" s="3">
        <v>55.48</v>
      </c>
      <c r="E204" s="3">
        <v>11.55</v>
      </c>
      <c r="F204" s="3">
        <v>66.78</v>
      </c>
      <c r="G204" s="3">
        <v>11.61</v>
      </c>
      <c r="H204" s="3">
        <v>11.58</v>
      </c>
      <c r="I204" s="3">
        <v>10.18</v>
      </c>
      <c r="J204" s="3">
        <v>11.07</v>
      </c>
      <c r="K204" s="3">
        <v>10.16</v>
      </c>
      <c r="L204" s="3">
        <v>9.1199999999999992</v>
      </c>
      <c r="M204" s="3">
        <v>1.87</v>
      </c>
      <c r="N204" s="3">
        <v>0</v>
      </c>
      <c r="O204" s="3">
        <v>19.420000000000002</v>
      </c>
      <c r="P204" s="3">
        <v>1525</v>
      </c>
      <c r="Q204" s="3">
        <v>106</v>
      </c>
      <c r="R204" s="3">
        <v>409</v>
      </c>
      <c r="S204" s="3">
        <v>23.8</v>
      </c>
      <c r="T204" s="3">
        <v>25.09</v>
      </c>
      <c r="U204" s="3">
        <v>23.99</v>
      </c>
      <c r="V204" s="3">
        <v>14.02</v>
      </c>
      <c r="W204" s="3">
        <v>11.2</v>
      </c>
      <c r="X204" s="3">
        <v>10.18</v>
      </c>
      <c r="Y204" s="3">
        <v>4.9820000000000002</v>
      </c>
      <c r="Z204" s="3">
        <v>1710</v>
      </c>
      <c r="AA204" s="3">
        <v>1.222</v>
      </c>
      <c r="AB204" s="3">
        <v>408</v>
      </c>
      <c r="AC204" s="3">
        <v>35.880000000000003</v>
      </c>
      <c r="AD204" s="3">
        <v>1527</v>
      </c>
      <c r="AE204" s="3">
        <v>-0.122</v>
      </c>
      <c r="AF204" s="3">
        <v>-0.16700000000000001</v>
      </c>
      <c r="AG204" s="3">
        <v>1.583</v>
      </c>
      <c r="AH204" s="3">
        <v>8.33</v>
      </c>
      <c r="AI204" s="3">
        <v>9.34</v>
      </c>
      <c r="AJ204" s="3">
        <v>8.5500000000000007</v>
      </c>
      <c r="AK204" s="3">
        <v>0.05</v>
      </c>
      <c r="AL204" s="3">
        <v>0.23100000000000001</v>
      </c>
      <c r="AM204" s="3">
        <v>0.11700000000000001</v>
      </c>
      <c r="AN204" s="3">
        <v>1.9E-2</v>
      </c>
      <c r="AO204" s="3">
        <v>8.5000000000000006E-2</v>
      </c>
      <c r="AP204" s="3">
        <v>0.251</v>
      </c>
      <c r="AQ204" s="3">
        <v>0.19400000000000001</v>
      </c>
      <c r="AR204" s="3">
        <v>5.2999999999999999E-2</v>
      </c>
      <c r="AS204" s="3">
        <v>3521</v>
      </c>
      <c r="AT204" s="3">
        <v>3409</v>
      </c>
      <c r="AU204" s="3">
        <v>3487</v>
      </c>
      <c r="AV204" s="3">
        <v>11.9</v>
      </c>
      <c r="AW204" s="3">
        <v>11.79</v>
      </c>
      <c r="AX204" s="3">
        <v>23.55</v>
      </c>
      <c r="AY204" s="3">
        <v>23.94</v>
      </c>
      <c r="AZ204" s="3">
        <v>0.186</v>
      </c>
      <c r="BA204" s="3">
        <v>-0.10199999999999999</v>
      </c>
      <c r="BB204" s="3">
        <v>12.87</v>
      </c>
      <c r="BC204" s="3">
        <v>2876</v>
      </c>
      <c r="BG204" s="16">
        <v>31.54</v>
      </c>
      <c r="BH204" s="16">
        <f t="shared" si="121"/>
        <v>63.710799999999999</v>
      </c>
      <c r="BI204" s="17">
        <f t="shared" si="119"/>
        <v>30.24</v>
      </c>
      <c r="BJ204" s="17">
        <f t="shared" si="120"/>
        <v>61.03</v>
      </c>
      <c r="BL204" s="1">
        <f t="shared" si="122"/>
        <v>91.8</v>
      </c>
      <c r="BM204" s="1">
        <f t="shared" si="123"/>
        <v>51.8</v>
      </c>
      <c r="BN204" s="1">
        <f t="shared" si="124"/>
        <v>24.6</v>
      </c>
      <c r="BO204" s="49">
        <f t="shared" si="130"/>
        <v>0.55500000000000005</v>
      </c>
      <c r="BP204" s="49">
        <f t="shared" si="131"/>
        <v>1.7010000000000001</v>
      </c>
      <c r="BR204" s="3">
        <v>0</v>
      </c>
      <c r="BT204" s="16">
        <f t="shared" si="125"/>
        <v>30.24</v>
      </c>
      <c r="BU204" s="16">
        <f t="shared" si="126"/>
        <v>61.03</v>
      </c>
      <c r="BV204" s="3">
        <f t="shared" si="127"/>
        <v>11.6</v>
      </c>
      <c r="BW204" s="3">
        <f t="shared" si="118"/>
        <v>11.6</v>
      </c>
      <c r="BX204" s="3">
        <f t="shared" si="118"/>
        <v>11.6</v>
      </c>
      <c r="BY204" s="3">
        <f t="shared" si="118"/>
        <v>10.199999999999999</v>
      </c>
      <c r="BZ204" s="3">
        <f t="shared" si="117"/>
        <v>11.1</v>
      </c>
      <c r="CA204" s="3">
        <f t="shared" si="117"/>
        <v>10.199999999999999</v>
      </c>
      <c r="CB204" s="3">
        <f t="shared" si="117"/>
        <v>9.1</v>
      </c>
      <c r="CC204" s="22">
        <f t="shared" si="128"/>
        <v>51.8</v>
      </c>
      <c r="CD204" s="1">
        <f t="shared" si="132"/>
        <v>19.399999999999999</v>
      </c>
      <c r="CE204" s="1">
        <f t="shared" si="133"/>
        <v>23.8</v>
      </c>
      <c r="CF204" s="1">
        <f t="shared" si="134"/>
        <v>25.1</v>
      </c>
      <c r="CG204" s="1">
        <f t="shared" si="135"/>
        <v>24</v>
      </c>
      <c r="CH204" s="1">
        <f t="shared" si="136"/>
        <v>14</v>
      </c>
      <c r="CI204" s="1">
        <f t="shared" si="137"/>
        <v>11.2</v>
      </c>
      <c r="CJ204" s="1">
        <f t="shared" si="138"/>
        <v>10.199999999999999</v>
      </c>
      <c r="CK204" s="2">
        <f t="shared" si="129"/>
        <v>91.8</v>
      </c>
      <c r="CL204" s="1">
        <f t="shared" si="139"/>
        <v>1.2</v>
      </c>
      <c r="CM204" s="1">
        <f t="shared" si="140"/>
        <v>-0.1</v>
      </c>
      <c r="CN204" s="1">
        <f t="shared" si="141"/>
        <v>-0.2</v>
      </c>
      <c r="CO204" s="1">
        <f t="shared" si="142"/>
        <v>1.6</v>
      </c>
      <c r="CP204" s="1">
        <f t="shared" si="143"/>
        <v>8.3000000000000007</v>
      </c>
      <c r="CQ204" s="1">
        <f t="shared" si="144"/>
        <v>9.3000000000000007</v>
      </c>
      <c r="CR204" s="1">
        <f t="shared" si="145"/>
        <v>8.6</v>
      </c>
      <c r="CS204" s="2">
        <f t="shared" si="146"/>
        <v>24.6</v>
      </c>
      <c r="CT204" s="6">
        <f t="shared" si="147"/>
        <v>0</v>
      </c>
      <c r="CU204" s="1">
        <f>PPTest!K204</f>
        <v>0</v>
      </c>
      <c r="CV204" s="3">
        <f t="shared" si="148"/>
        <v>1.87</v>
      </c>
      <c r="CW204" s="3">
        <f t="shared" si="149"/>
        <v>4.9800000000000004</v>
      </c>
      <c r="CX204" s="24">
        <f t="shared" si="150"/>
        <v>0.55500000000000005</v>
      </c>
      <c r="CY204" s="24">
        <f t="shared" si="150"/>
        <v>1.7010000000000001</v>
      </c>
      <c r="CZ204" s="16">
        <f t="shared" si="151"/>
        <v>12.87</v>
      </c>
    </row>
    <row r="205" spans="1:104" x14ac:dyDescent="0.2">
      <c r="A205" s="14">
        <f t="shared" si="152"/>
        <v>38916</v>
      </c>
      <c r="B205" s="1">
        <v>199</v>
      </c>
      <c r="C205" s="3">
        <v>28.84</v>
      </c>
      <c r="D205" s="3">
        <v>52.19</v>
      </c>
      <c r="E205" s="3">
        <v>9.48</v>
      </c>
      <c r="F205" s="3">
        <v>77.099999999999994</v>
      </c>
      <c r="G205" s="3">
        <v>9.48</v>
      </c>
      <c r="H205" s="3">
        <v>9.51</v>
      </c>
      <c r="I205" s="3">
        <v>9.1199999999999992</v>
      </c>
      <c r="J205" s="3">
        <v>10.5</v>
      </c>
      <c r="K205" s="3">
        <v>10.11</v>
      </c>
      <c r="L205" s="3">
        <v>9.09</v>
      </c>
      <c r="M205" s="3">
        <v>1.7390000000000001</v>
      </c>
      <c r="N205" s="3">
        <v>0</v>
      </c>
      <c r="O205" s="3">
        <v>16.600000000000001</v>
      </c>
      <c r="P205" s="3">
        <v>1348</v>
      </c>
      <c r="Q205" s="3">
        <v>108.5</v>
      </c>
      <c r="R205" s="3">
        <v>419</v>
      </c>
      <c r="S205" s="3">
        <v>20.34</v>
      </c>
      <c r="T205" s="3">
        <v>21.29</v>
      </c>
      <c r="U205" s="3">
        <v>23.67</v>
      </c>
      <c r="V205" s="3">
        <v>13.05</v>
      </c>
      <c r="W205" s="3">
        <v>11.08</v>
      </c>
      <c r="X205" s="3">
        <v>9.99</v>
      </c>
      <c r="Y205" s="3">
        <v>4.1180000000000003</v>
      </c>
      <c r="Z205" s="3">
        <v>1557</v>
      </c>
      <c r="AA205" s="3">
        <v>0.872</v>
      </c>
      <c r="AB205" s="3">
        <v>409</v>
      </c>
      <c r="AC205" s="3">
        <v>41.84</v>
      </c>
      <c r="AD205" s="3">
        <v>1542</v>
      </c>
      <c r="AE205" s="3">
        <v>-7.8E-2</v>
      </c>
      <c r="AF205" s="3">
        <v>-0.625</v>
      </c>
      <c r="AG205" s="3">
        <v>1.0189999999999999</v>
      </c>
      <c r="AH205" s="3">
        <v>8.1199999999999992</v>
      </c>
      <c r="AI205" s="3">
        <v>9.39</v>
      </c>
      <c r="AJ205" s="3">
        <v>8.34</v>
      </c>
      <c r="AK205" s="3">
        <v>3.4000000000000002E-2</v>
      </c>
      <c r="AL205" s="3">
        <v>0.307</v>
      </c>
      <c r="AM205" s="3">
        <v>0.13900000000000001</v>
      </c>
      <c r="AN205" s="3">
        <v>0.01</v>
      </c>
      <c r="AO205" s="3">
        <v>0.13</v>
      </c>
      <c r="AP205" s="3">
        <v>0.192</v>
      </c>
      <c r="AQ205" s="3">
        <v>0.122</v>
      </c>
      <c r="AR205" s="3">
        <v>6.7000000000000004E-2</v>
      </c>
      <c r="AS205" s="3">
        <v>3517</v>
      </c>
      <c r="AT205" s="3">
        <v>3459</v>
      </c>
      <c r="AU205" s="3">
        <v>3495</v>
      </c>
      <c r="AV205" s="3">
        <v>10.029999999999999</v>
      </c>
      <c r="AW205" s="3">
        <v>9.89</v>
      </c>
      <c r="AX205" s="3">
        <v>20.29</v>
      </c>
      <c r="AY205" s="3">
        <v>20.43</v>
      </c>
      <c r="AZ205" s="3">
        <v>-0.40799999999999997</v>
      </c>
      <c r="BA205" s="3">
        <v>-0.61199999999999999</v>
      </c>
      <c r="BB205" s="3">
        <v>12.94</v>
      </c>
      <c r="BC205" s="3">
        <v>2876</v>
      </c>
      <c r="BG205" s="16">
        <v>31.42</v>
      </c>
      <c r="BH205" s="16">
        <f t="shared" si="121"/>
        <v>63.468400000000003</v>
      </c>
      <c r="BI205" s="17">
        <f t="shared" si="119"/>
        <v>28.26</v>
      </c>
      <c r="BJ205" s="17">
        <f t="shared" si="120"/>
        <v>57.41</v>
      </c>
      <c r="BL205" s="1">
        <f t="shared" si="122"/>
        <v>95.8</v>
      </c>
      <c r="BM205" s="1">
        <f t="shared" si="123"/>
        <v>60.8</v>
      </c>
      <c r="BN205" s="1">
        <f t="shared" si="124"/>
        <v>29.8</v>
      </c>
      <c r="BO205" s="49">
        <f t="shared" si="130"/>
        <v>0.56299999999999994</v>
      </c>
      <c r="BP205" s="49">
        <f t="shared" si="131"/>
        <v>1.3260000000000001</v>
      </c>
      <c r="BR205" s="3">
        <v>0</v>
      </c>
      <c r="BT205" s="16">
        <f t="shared" si="125"/>
        <v>28.26</v>
      </c>
      <c r="BU205" s="16">
        <f t="shared" si="126"/>
        <v>57.41</v>
      </c>
      <c r="BV205" s="3">
        <f t="shared" si="127"/>
        <v>9.5</v>
      </c>
      <c r="BW205" s="3">
        <f t="shared" si="118"/>
        <v>9.5</v>
      </c>
      <c r="BX205" s="3">
        <f t="shared" si="118"/>
        <v>9.5</v>
      </c>
      <c r="BY205" s="3">
        <f t="shared" si="118"/>
        <v>9.1</v>
      </c>
      <c r="BZ205" s="3">
        <f t="shared" si="117"/>
        <v>10.5</v>
      </c>
      <c r="CA205" s="3">
        <f t="shared" si="117"/>
        <v>10.1</v>
      </c>
      <c r="CB205" s="3">
        <f t="shared" si="117"/>
        <v>9.1</v>
      </c>
      <c r="CC205" s="22">
        <f t="shared" si="128"/>
        <v>60.8</v>
      </c>
      <c r="CD205" s="1">
        <f t="shared" si="132"/>
        <v>16.600000000000001</v>
      </c>
      <c r="CE205" s="1">
        <f t="shared" si="133"/>
        <v>20.3</v>
      </c>
      <c r="CF205" s="1">
        <f t="shared" si="134"/>
        <v>21.3</v>
      </c>
      <c r="CG205" s="1">
        <f t="shared" si="135"/>
        <v>23.7</v>
      </c>
      <c r="CH205" s="1">
        <f t="shared" si="136"/>
        <v>13.1</v>
      </c>
      <c r="CI205" s="1">
        <f t="shared" si="137"/>
        <v>11.1</v>
      </c>
      <c r="CJ205" s="1">
        <f t="shared" si="138"/>
        <v>10</v>
      </c>
      <c r="CK205" s="2">
        <f t="shared" si="129"/>
        <v>95.8</v>
      </c>
      <c r="CL205" s="1">
        <f t="shared" si="139"/>
        <v>0.9</v>
      </c>
      <c r="CM205" s="1">
        <f t="shared" si="140"/>
        <v>-0.1</v>
      </c>
      <c r="CN205" s="1">
        <f t="shared" si="141"/>
        <v>-0.6</v>
      </c>
      <c r="CO205" s="1">
        <f t="shared" si="142"/>
        <v>1</v>
      </c>
      <c r="CP205" s="1">
        <f t="shared" si="143"/>
        <v>8.1</v>
      </c>
      <c r="CQ205" s="1">
        <f t="shared" si="144"/>
        <v>9.4</v>
      </c>
      <c r="CR205" s="1">
        <f t="shared" si="145"/>
        <v>8.3000000000000007</v>
      </c>
      <c r="CS205" s="2">
        <f t="shared" si="146"/>
        <v>29.8</v>
      </c>
      <c r="CT205" s="6">
        <f t="shared" si="147"/>
        <v>0</v>
      </c>
      <c r="CU205" s="1">
        <f>PPTest!K205</f>
        <v>0</v>
      </c>
      <c r="CV205" s="3">
        <f t="shared" si="148"/>
        <v>1.74</v>
      </c>
      <c r="CW205" s="3">
        <f t="shared" si="149"/>
        <v>4.12</v>
      </c>
      <c r="CX205" s="24">
        <f t="shared" si="150"/>
        <v>0.56299999999999994</v>
      </c>
      <c r="CY205" s="24">
        <f t="shared" si="150"/>
        <v>1.3260000000000001</v>
      </c>
      <c r="CZ205" s="16">
        <f t="shared" si="151"/>
        <v>12.94</v>
      </c>
    </row>
    <row r="206" spans="1:104" x14ac:dyDescent="0.2">
      <c r="A206" s="14">
        <f t="shared" si="152"/>
        <v>38917</v>
      </c>
      <c r="B206" s="1">
        <v>200</v>
      </c>
      <c r="C206" s="3">
        <v>18.64</v>
      </c>
      <c r="D206" s="3">
        <v>33.64</v>
      </c>
      <c r="E206" s="3">
        <v>10.92</v>
      </c>
      <c r="F206" s="3">
        <v>73.3</v>
      </c>
      <c r="G206" s="3">
        <v>10.88</v>
      </c>
      <c r="H206" s="3">
        <v>10.83</v>
      </c>
      <c r="I206" s="3">
        <v>9.76</v>
      </c>
      <c r="J206" s="3">
        <v>10.06</v>
      </c>
      <c r="K206" s="3">
        <v>9.9600000000000009</v>
      </c>
      <c r="L206" s="3">
        <v>9.15</v>
      </c>
      <c r="M206" s="3">
        <v>1.4</v>
      </c>
      <c r="N206" s="3">
        <v>0</v>
      </c>
      <c r="O206" s="3">
        <v>18.46</v>
      </c>
      <c r="P206" s="3">
        <v>1335</v>
      </c>
      <c r="Q206" s="3">
        <v>109.1</v>
      </c>
      <c r="R206" s="3">
        <v>436</v>
      </c>
      <c r="S206" s="3">
        <v>22.03</v>
      </c>
      <c r="T206" s="3">
        <v>22.61</v>
      </c>
      <c r="U206" s="3">
        <v>18.96</v>
      </c>
      <c r="V206" s="3">
        <v>12.04</v>
      </c>
      <c r="W206" s="3">
        <v>10.92</v>
      </c>
      <c r="X206" s="3">
        <v>10.07</v>
      </c>
      <c r="Y206" s="3">
        <v>4.5970000000000004</v>
      </c>
      <c r="Z206" s="3">
        <v>1041</v>
      </c>
      <c r="AA206" s="3">
        <v>-0.315</v>
      </c>
      <c r="AB206" s="3">
        <v>409</v>
      </c>
      <c r="AC206" s="3">
        <v>39.51</v>
      </c>
      <c r="AD206" s="3">
        <v>1010</v>
      </c>
      <c r="AE206" s="3">
        <v>-1.083</v>
      </c>
      <c r="AF206" s="3">
        <v>-1.1830000000000001</v>
      </c>
      <c r="AG206" s="3">
        <v>0.80600000000000005</v>
      </c>
      <c r="AH206" s="3">
        <v>7.55</v>
      </c>
      <c r="AI206" s="3">
        <v>9.52</v>
      </c>
      <c r="AJ206" s="3">
        <v>8.73</v>
      </c>
      <c r="AK206" s="3">
        <v>5.0999999999999997E-2</v>
      </c>
      <c r="AL206" s="3">
        <v>0.24</v>
      </c>
      <c r="AM206" s="3">
        <v>0.26500000000000001</v>
      </c>
      <c r="AN206" s="3">
        <v>7.8E-2</v>
      </c>
      <c r="AO206" s="3">
        <v>0.10100000000000001</v>
      </c>
      <c r="AP206" s="3">
        <v>0.129</v>
      </c>
      <c r="AQ206" s="3">
        <v>7.1999999999999995E-2</v>
      </c>
      <c r="AR206" s="3">
        <v>6.3E-2</v>
      </c>
      <c r="AS206" s="3">
        <v>3525</v>
      </c>
      <c r="AT206" s="3">
        <v>3512</v>
      </c>
      <c r="AU206" s="3">
        <v>3520</v>
      </c>
      <c r="AV206" s="3">
        <v>10.87</v>
      </c>
      <c r="AW206" s="3">
        <v>10.92</v>
      </c>
      <c r="AX206" s="3">
        <v>20.59</v>
      </c>
      <c r="AY206" s="3">
        <v>20.84</v>
      </c>
      <c r="AZ206" s="3">
        <v>-1.151</v>
      </c>
      <c r="BA206" s="3">
        <v>-1.343</v>
      </c>
      <c r="BB206" s="3">
        <v>12.92</v>
      </c>
      <c r="BC206" s="3">
        <v>2876</v>
      </c>
      <c r="BG206" s="16">
        <v>31.29</v>
      </c>
      <c r="BH206" s="16">
        <f t="shared" si="121"/>
        <v>63.205799999999996</v>
      </c>
      <c r="BI206" s="17">
        <f t="shared" si="119"/>
        <v>18.27</v>
      </c>
      <c r="BJ206" s="17">
        <f t="shared" si="120"/>
        <v>37</v>
      </c>
      <c r="BL206" s="1">
        <f t="shared" si="122"/>
        <v>96.8</v>
      </c>
      <c r="BM206" s="1">
        <f t="shared" si="123"/>
        <v>57.5</v>
      </c>
      <c r="BN206" s="1">
        <f t="shared" si="124"/>
        <v>27.8</v>
      </c>
      <c r="BO206" s="49">
        <f t="shared" si="130"/>
        <v>0.59</v>
      </c>
      <c r="BP206" s="49">
        <f t="shared" si="131"/>
        <v>1.532</v>
      </c>
      <c r="BR206" s="3">
        <v>0</v>
      </c>
      <c r="BT206" s="16">
        <f t="shared" si="125"/>
        <v>18.27</v>
      </c>
      <c r="BU206" s="16">
        <f t="shared" si="126"/>
        <v>37</v>
      </c>
      <c r="BV206" s="3">
        <f t="shared" si="127"/>
        <v>10.9</v>
      </c>
      <c r="BW206" s="3">
        <f t="shared" si="118"/>
        <v>10.9</v>
      </c>
      <c r="BX206" s="3">
        <f t="shared" si="118"/>
        <v>10.8</v>
      </c>
      <c r="BY206" s="3">
        <f t="shared" si="118"/>
        <v>9.8000000000000007</v>
      </c>
      <c r="BZ206" s="3">
        <f t="shared" si="117"/>
        <v>10.1</v>
      </c>
      <c r="CA206" s="3">
        <f t="shared" si="117"/>
        <v>10</v>
      </c>
      <c r="CB206" s="3">
        <f t="shared" si="117"/>
        <v>9.1999999999999993</v>
      </c>
      <c r="CC206" s="22">
        <f t="shared" si="128"/>
        <v>57.5</v>
      </c>
      <c r="CD206" s="1">
        <f t="shared" si="132"/>
        <v>18.5</v>
      </c>
      <c r="CE206" s="1">
        <f t="shared" si="133"/>
        <v>22</v>
      </c>
      <c r="CF206" s="1">
        <f t="shared" si="134"/>
        <v>22.6</v>
      </c>
      <c r="CG206" s="1">
        <f t="shared" si="135"/>
        <v>19</v>
      </c>
      <c r="CH206" s="1">
        <f t="shared" si="136"/>
        <v>12</v>
      </c>
      <c r="CI206" s="1">
        <f t="shared" si="137"/>
        <v>10.9</v>
      </c>
      <c r="CJ206" s="1">
        <f t="shared" si="138"/>
        <v>10.1</v>
      </c>
      <c r="CK206" s="2">
        <f t="shared" si="129"/>
        <v>96.8</v>
      </c>
      <c r="CL206" s="1">
        <f t="shared" si="139"/>
        <v>-0.3</v>
      </c>
      <c r="CM206" s="1">
        <f t="shared" si="140"/>
        <v>-1.1000000000000001</v>
      </c>
      <c r="CN206" s="1">
        <f t="shared" si="141"/>
        <v>-1.2</v>
      </c>
      <c r="CO206" s="1">
        <f t="shared" si="142"/>
        <v>0.8</v>
      </c>
      <c r="CP206" s="1">
        <f t="shared" si="143"/>
        <v>7.6</v>
      </c>
      <c r="CQ206" s="1">
        <f t="shared" si="144"/>
        <v>9.5</v>
      </c>
      <c r="CR206" s="1">
        <f t="shared" si="145"/>
        <v>8.6999999999999993</v>
      </c>
      <c r="CS206" s="2">
        <f t="shared" si="146"/>
        <v>27.8</v>
      </c>
      <c r="CT206" s="6">
        <f t="shared" si="147"/>
        <v>0</v>
      </c>
      <c r="CU206" s="1">
        <f>PPTest!K206</f>
        <v>0</v>
      </c>
      <c r="CV206" s="3">
        <f t="shared" si="148"/>
        <v>1.4</v>
      </c>
      <c r="CW206" s="3">
        <f t="shared" si="149"/>
        <v>4.5999999999999996</v>
      </c>
      <c r="CX206" s="24">
        <f t="shared" si="150"/>
        <v>0.59</v>
      </c>
      <c r="CY206" s="24">
        <f t="shared" si="150"/>
        <v>1.532</v>
      </c>
      <c r="CZ206" s="16">
        <f t="shared" si="151"/>
        <v>12.92</v>
      </c>
    </row>
    <row r="207" spans="1:104" x14ac:dyDescent="0.2">
      <c r="A207" s="14">
        <f t="shared" si="152"/>
        <v>38918</v>
      </c>
      <c r="B207" s="1">
        <v>201</v>
      </c>
      <c r="C207" s="3">
        <v>30.87</v>
      </c>
      <c r="D207" s="3">
        <v>56.56</v>
      </c>
      <c r="E207" s="3">
        <v>13.52</v>
      </c>
      <c r="F207" s="3">
        <v>75.599999999999994</v>
      </c>
      <c r="G207" s="3">
        <v>13.57</v>
      </c>
      <c r="H207" s="3">
        <v>13.59</v>
      </c>
      <c r="I207" s="3">
        <v>11.59</v>
      </c>
      <c r="J207" s="3">
        <v>11.41</v>
      </c>
      <c r="K207" s="3">
        <v>9.9600000000000009</v>
      </c>
      <c r="L207" s="3">
        <v>9.02</v>
      </c>
      <c r="M207" s="3">
        <v>1.7450000000000001</v>
      </c>
      <c r="N207" s="3">
        <v>0</v>
      </c>
      <c r="O207" s="3">
        <v>22.83</v>
      </c>
      <c r="P207" s="3">
        <v>1654</v>
      </c>
      <c r="Q207" s="3">
        <v>108.8</v>
      </c>
      <c r="R207" s="3">
        <v>438</v>
      </c>
      <c r="S207" s="3">
        <v>25.71</v>
      </c>
      <c r="T207" s="3">
        <v>26.2</v>
      </c>
      <c r="U207" s="3">
        <v>26.08</v>
      </c>
      <c r="V207" s="3">
        <v>14.75</v>
      </c>
      <c r="W207" s="3">
        <v>10.85</v>
      </c>
      <c r="X207" s="3">
        <v>10.01</v>
      </c>
      <c r="Y207" s="3">
        <v>3.9180000000000001</v>
      </c>
      <c r="Z207" s="3">
        <v>1511</v>
      </c>
      <c r="AA207" s="3">
        <v>2.0550000000000002</v>
      </c>
      <c r="AB207" s="3">
        <v>354</v>
      </c>
      <c r="AC207" s="3">
        <v>41.82</v>
      </c>
      <c r="AD207" s="3">
        <v>1655</v>
      </c>
      <c r="AE207" s="3">
        <v>1.107</v>
      </c>
      <c r="AF207" s="3">
        <v>0.98099999999999998</v>
      </c>
      <c r="AG207" s="3">
        <v>2.1419999999999999</v>
      </c>
      <c r="AH207" s="3">
        <v>8.09</v>
      </c>
      <c r="AI207" s="3">
        <v>9.34</v>
      </c>
      <c r="AJ207" s="3">
        <v>8.2799999999999994</v>
      </c>
      <c r="AK207" s="3">
        <v>3.9E-2</v>
      </c>
      <c r="AL207" s="3">
        <v>0.26800000000000002</v>
      </c>
      <c r="AM207" s="3">
        <v>0.26</v>
      </c>
      <c r="AN207" s="3">
        <v>2.9000000000000001E-2</v>
      </c>
      <c r="AO207" s="3">
        <v>0.10199999999999999</v>
      </c>
      <c r="AP207" s="3">
        <v>0.155</v>
      </c>
      <c r="AQ207" s="3">
        <v>8.5000000000000006E-2</v>
      </c>
      <c r="AR207" s="3">
        <v>6.2E-2</v>
      </c>
      <c r="AS207" s="3">
        <v>3524</v>
      </c>
      <c r="AT207" s="3">
        <v>3518</v>
      </c>
      <c r="AU207" s="3">
        <v>3520</v>
      </c>
      <c r="AV207" s="3">
        <v>13.98</v>
      </c>
      <c r="AW207" s="3">
        <v>13.9</v>
      </c>
      <c r="AX207" s="3">
        <v>25.84</v>
      </c>
      <c r="AY207" s="3">
        <v>25.87</v>
      </c>
      <c r="AZ207" s="3">
        <v>1.216</v>
      </c>
      <c r="BA207" s="3">
        <v>0.97199999999999998</v>
      </c>
      <c r="BB207" s="3">
        <v>12.83</v>
      </c>
      <c r="BC207" s="3">
        <v>2876</v>
      </c>
      <c r="BG207" s="16">
        <v>31.17</v>
      </c>
      <c r="BH207" s="16">
        <f t="shared" si="121"/>
        <v>62.963400000000007</v>
      </c>
      <c r="BI207" s="17">
        <f t="shared" si="119"/>
        <v>30.25</v>
      </c>
      <c r="BJ207" s="17">
        <f t="shared" si="120"/>
        <v>62.22</v>
      </c>
      <c r="BL207" s="1">
        <f t="shared" si="122"/>
        <v>96.3</v>
      </c>
      <c r="BM207" s="1">
        <f t="shared" si="123"/>
        <v>59.5</v>
      </c>
      <c r="BN207" s="1">
        <f t="shared" si="124"/>
        <v>29.8</v>
      </c>
      <c r="BO207" s="49">
        <f t="shared" si="130"/>
        <v>0.82799999999999996</v>
      </c>
      <c r="BP207" s="49">
        <f t="shared" si="131"/>
        <v>1.9510000000000001</v>
      </c>
      <c r="BR207" s="3">
        <v>0</v>
      </c>
      <c r="BT207" s="16">
        <f t="shared" si="125"/>
        <v>30.25</v>
      </c>
      <c r="BU207" s="16">
        <f t="shared" si="126"/>
        <v>62.22</v>
      </c>
      <c r="BV207" s="3">
        <f t="shared" si="127"/>
        <v>13.5</v>
      </c>
      <c r="BW207" s="3">
        <f t="shared" si="118"/>
        <v>13.6</v>
      </c>
      <c r="BX207" s="3">
        <f t="shared" si="118"/>
        <v>13.6</v>
      </c>
      <c r="BY207" s="3">
        <f t="shared" si="118"/>
        <v>11.6</v>
      </c>
      <c r="BZ207" s="3">
        <f t="shared" si="117"/>
        <v>11.4</v>
      </c>
      <c r="CA207" s="3">
        <f t="shared" si="117"/>
        <v>10</v>
      </c>
      <c r="CB207" s="3">
        <f t="shared" si="117"/>
        <v>9</v>
      </c>
      <c r="CC207" s="22">
        <f t="shared" si="128"/>
        <v>59.5</v>
      </c>
      <c r="CD207" s="1">
        <f t="shared" si="132"/>
        <v>22.8</v>
      </c>
      <c r="CE207" s="1">
        <f t="shared" si="133"/>
        <v>25.7</v>
      </c>
      <c r="CF207" s="1">
        <f t="shared" si="134"/>
        <v>26.2</v>
      </c>
      <c r="CG207" s="1">
        <f t="shared" si="135"/>
        <v>26.1</v>
      </c>
      <c r="CH207" s="1">
        <f t="shared" si="136"/>
        <v>14.8</v>
      </c>
      <c r="CI207" s="1">
        <f t="shared" si="137"/>
        <v>10.9</v>
      </c>
      <c r="CJ207" s="1">
        <f t="shared" si="138"/>
        <v>10</v>
      </c>
      <c r="CK207" s="2">
        <f t="shared" si="129"/>
        <v>96.3</v>
      </c>
      <c r="CL207" s="1">
        <f t="shared" si="139"/>
        <v>2.1</v>
      </c>
      <c r="CM207" s="1">
        <f t="shared" si="140"/>
        <v>1.1000000000000001</v>
      </c>
      <c r="CN207" s="1">
        <f t="shared" si="141"/>
        <v>1</v>
      </c>
      <c r="CO207" s="1">
        <f t="shared" si="142"/>
        <v>2.1</v>
      </c>
      <c r="CP207" s="1">
        <f t="shared" si="143"/>
        <v>8.1</v>
      </c>
      <c r="CQ207" s="1">
        <f t="shared" si="144"/>
        <v>9.3000000000000007</v>
      </c>
      <c r="CR207" s="1">
        <f t="shared" si="145"/>
        <v>8.3000000000000007</v>
      </c>
      <c r="CS207" s="2">
        <f t="shared" si="146"/>
        <v>29.8</v>
      </c>
      <c r="CT207" s="6">
        <f t="shared" si="147"/>
        <v>0</v>
      </c>
      <c r="CU207" s="1">
        <f>PPTest!K207</f>
        <v>0</v>
      </c>
      <c r="CV207" s="3">
        <f t="shared" si="148"/>
        <v>1.75</v>
      </c>
      <c r="CW207" s="3">
        <f t="shared" si="149"/>
        <v>3.92</v>
      </c>
      <c r="CX207" s="24">
        <f t="shared" si="150"/>
        <v>0.82799999999999996</v>
      </c>
      <c r="CY207" s="24">
        <f t="shared" si="150"/>
        <v>1.9510000000000001</v>
      </c>
      <c r="CZ207" s="16">
        <f t="shared" si="151"/>
        <v>12.83</v>
      </c>
    </row>
    <row r="208" spans="1:104" x14ac:dyDescent="0.2">
      <c r="A208" s="14">
        <f t="shared" si="152"/>
        <v>38919</v>
      </c>
      <c r="B208" s="1">
        <v>202</v>
      </c>
      <c r="C208" s="3">
        <v>31</v>
      </c>
      <c r="D208" s="3">
        <v>56.31</v>
      </c>
      <c r="E208" s="3">
        <v>17.89</v>
      </c>
      <c r="F208" s="3">
        <v>70.599999999999994</v>
      </c>
      <c r="G208" s="3">
        <v>17.84</v>
      </c>
      <c r="H208" s="3">
        <v>17.84</v>
      </c>
      <c r="I208" s="3">
        <v>14.3</v>
      </c>
      <c r="J208" s="3">
        <v>13.07</v>
      </c>
      <c r="K208" s="3">
        <v>10.62</v>
      </c>
      <c r="L208" s="3">
        <v>9.01</v>
      </c>
      <c r="M208" s="3">
        <v>1.8660000000000001</v>
      </c>
      <c r="N208" s="3">
        <v>0</v>
      </c>
      <c r="O208" s="3">
        <v>28.69</v>
      </c>
      <c r="P208" s="3">
        <v>1733</v>
      </c>
      <c r="Q208" s="3">
        <v>107</v>
      </c>
      <c r="R208" s="3">
        <v>431</v>
      </c>
      <c r="S208" s="3">
        <v>30.94</v>
      </c>
      <c r="T208" s="3">
        <v>31.1</v>
      </c>
      <c r="U208" s="3">
        <v>28.86</v>
      </c>
      <c r="V208" s="3">
        <v>16.600000000000001</v>
      </c>
      <c r="W208" s="3">
        <v>11.45</v>
      </c>
      <c r="X208" s="3">
        <v>10.01</v>
      </c>
      <c r="Y208" s="3">
        <v>3.6920000000000002</v>
      </c>
      <c r="Z208" s="3">
        <v>1049</v>
      </c>
      <c r="AA208" s="3">
        <v>5.6159999999999997</v>
      </c>
      <c r="AB208" s="3">
        <v>422</v>
      </c>
      <c r="AC208" s="3">
        <v>36.32</v>
      </c>
      <c r="AD208" s="3">
        <v>1608</v>
      </c>
      <c r="AE208" s="3">
        <v>4.8289999999999997</v>
      </c>
      <c r="AF208" s="3">
        <v>4.63</v>
      </c>
      <c r="AG208" s="3">
        <v>5.3440000000000003</v>
      </c>
      <c r="AH208" s="3">
        <v>9.69</v>
      </c>
      <c r="AI208" s="3">
        <v>10.1</v>
      </c>
      <c r="AJ208" s="3">
        <v>8.09</v>
      </c>
      <c r="AK208" s="3">
        <v>0.157</v>
      </c>
      <c r="AL208" s="3">
        <v>0.36099999999999999</v>
      </c>
      <c r="AM208" s="3">
        <v>0.23300000000000001</v>
      </c>
      <c r="AN208" s="3">
        <v>8.0000000000000002E-3</v>
      </c>
      <c r="AO208" s="3">
        <v>4.2000000000000003E-2</v>
      </c>
      <c r="AP208" s="3">
        <v>5.7000000000000002E-2</v>
      </c>
      <c r="AQ208" s="3">
        <v>4.5999999999999999E-2</v>
      </c>
      <c r="AR208" s="3">
        <v>9.7000000000000003E-2</v>
      </c>
      <c r="AS208" s="3">
        <v>3531</v>
      </c>
      <c r="AT208" s="3">
        <v>3512</v>
      </c>
      <c r="AU208" s="3">
        <v>3519</v>
      </c>
      <c r="AV208" s="3">
        <v>17.579999999999998</v>
      </c>
      <c r="AW208" s="3">
        <v>17.64</v>
      </c>
      <c r="AX208" s="3">
        <v>30.48</v>
      </c>
      <c r="AY208" s="3">
        <v>30.76</v>
      </c>
      <c r="AZ208" s="3">
        <v>4.774</v>
      </c>
      <c r="BA208" s="3">
        <v>4.5119999999999996</v>
      </c>
      <c r="BB208" s="3">
        <v>12.76</v>
      </c>
      <c r="BC208" s="3">
        <v>2876</v>
      </c>
      <c r="BG208" s="16">
        <v>31.03</v>
      </c>
      <c r="BH208" s="16">
        <f t="shared" si="121"/>
        <v>62.680600000000005</v>
      </c>
      <c r="BI208" s="17">
        <f t="shared" si="119"/>
        <v>30.38</v>
      </c>
      <c r="BJ208" s="17">
        <f t="shared" si="120"/>
        <v>61.94</v>
      </c>
      <c r="BL208" s="1">
        <f t="shared" si="122"/>
        <v>93.4</v>
      </c>
      <c r="BM208" s="1">
        <f t="shared" si="123"/>
        <v>55.1</v>
      </c>
      <c r="BN208" s="1">
        <f t="shared" si="124"/>
        <v>25</v>
      </c>
      <c r="BO208" s="49">
        <f t="shared" si="130"/>
        <v>0.98299999999999998</v>
      </c>
      <c r="BP208" s="49">
        <f t="shared" si="131"/>
        <v>2.9489999999999998</v>
      </c>
      <c r="BR208" s="3">
        <v>0</v>
      </c>
      <c r="BT208" s="16">
        <f t="shared" si="125"/>
        <v>30.38</v>
      </c>
      <c r="BU208" s="16">
        <f t="shared" si="126"/>
        <v>61.94</v>
      </c>
      <c r="BV208" s="3">
        <f t="shared" si="127"/>
        <v>17.899999999999999</v>
      </c>
      <c r="BW208" s="3">
        <f t="shared" si="118"/>
        <v>17.8</v>
      </c>
      <c r="BX208" s="3">
        <f t="shared" si="118"/>
        <v>17.8</v>
      </c>
      <c r="BY208" s="3">
        <f t="shared" si="118"/>
        <v>14.3</v>
      </c>
      <c r="BZ208" s="3">
        <f t="shared" si="117"/>
        <v>13.1</v>
      </c>
      <c r="CA208" s="3">
        <f t="shared" si="117"/>
        <v>10.6</v>
      </c>
      <c r="CB208" s="3">
        <f t="shared" si="117"/>
        <v>9</v>
      </c>
      <c r="CC208" s="22">
        <f t="shared" si="128"/>
        <v>55.1</v>
      </c>
      <c r="CD208" s="1">
        <f t="shared" si="132"/>
        <v>28.7</v>
      </c>
      <c r="CE208" s="1">
        <f t="shared" si="133"/>
        <v>30.9</v>
      </c>
      <c r="CF208" s="1">
        <f t="shared" si="134"/>
        <v>31.1</v>
      </c>
      <c r="CG208" s="1">
        <f t="shared" si="135"/>
        <v>28.9</v>
      </c>
      <c r="CH208" s="1">
        <f t="shared" si="136"/>
        <v>16.600000000000001</v>
      </c>
      <c r="CI208" s="1">
        <f t="shared" si="137"/>
        <v>11.5</v>
      </c>
      <c r="CJ208" s="1">
        <f t="shared" si="138"/>
        <v>10</v>
      </c>
      <c r="CK208" s="2">
        <f t="shared" si="129"/>
        <v>93.4</v>
      </c>
      <c r="CL208" s="1">
        <f t="shared" si="139"/>
        <v>5.6</v>
      </c>
      <c r="CM208" s="1">
        <f t="shared" si="140"/>
        <v>4.8</v>
      </c>
      <c r="CN208" s="1">
        <f t="shared" si="141"/>
        <v>4.5999999999999996</v>
      </c>
      <c r="CO208" s="1">
        <f t="shared" si="142"/>
        <v>5.3</v>
      </c>
      <c r="CP208" s="1">
        <f t="shared" si="143"/>
        <v>9.6999999999999993</v>
      </c>
      <c r="CQ208" s="1">
        <f t="shared" si="144"/>
        <v>10.1</v>
      </c>
      <c r="CR208" s="1">
        <f t="shared" si="145"/>
        <v>8.1</v>
      </c>
      <c r="CS208" s="2">
        <f t="shared" si="146"/>
        <v>25</v>
      </c>
      <c r="CT208" s="6">
        <f t="shared" si="147"/>
        <v>0</v>
      </c>
      <c r="CU208" s="1">
        <f>PPTest!K208</f>
        <v>0</v>
      </c>
      <c r="CV208" s="3">
        <f t="shared" si="148"/>
        <v>1.87</v>
      </c>
      <c r="CW208" s="3">
        <f t="shared" si="149"/>
        <v>3.69</v>
      </c>
      <c r="CX208" s="24">
        <f t="shared" si="150"/>
        <v>0.98299999999999998</v>
      </c>
      <c r="CY208" s="24">
        <f t="shared" si="150"/>
        <v>2.9489999999999998</v>
      </c>
      <c r="CZ208" s="16">
        <f t="shared" si="151"/>
        <v>12.76</v>
      </c>
    </row>
    <row r="209" spans="1:104" x14ac:dyDescent="0.2">
      <c r="A209" s="14">
        <f t="shared" si="152"/>
        <v>38920</v>
      </c>
      <c r="B209" s="1">
        <v>203</v>
      </c>
      <c r="C209" s="3">
        <v>24.28</v>
      </c>
      <c r="D209" s="3">
        <v>43.99</v>
      </c>
      <c r="E209" s="3">
        <v>19.510000000000002</v>
      </c>
      <c r="F209" s="3">
        <v>69.75</v>
      </c>
      <c r="G209" s="3">
        <v>19.28</v>
      </c>
      <c r="H209" s="3">
        <v>19.13</v>
      </c>
      <c r="I209" s="3">
        <v>15.52</v>
      </c>
      <c r="J209" s="3">
        <v>14.17</v>
      </c>
      <c r="K209" s="3">
        <v>11.47</v>
      </c>
      <c r="L209" s="3">
        <v>9.09</v>
      </c>
      <c r="M209" s="3">
        <v>1.712</v>
      </c>
      <c r="N209" s="3">
        <v>0</v>
      </c>
      <c r="O209" s="3">
        <v>29.27</v>
      </c>
      <c r="P209" s="3">
        <v>1753</v>
      </c>
      <c r="Q209" s="3">
        <v>104.8</v>
      </c>
      <c r="R209" s="3">
        <v>338</v>
      </c>
      <c r="S209" s="3">
        <v>31.93</v>
      </c>
      <c r="T209" s="3">
        <v>32.020000000000003</v>
      </c>
      <c r="U209" s="3">
        <v>25.39</v>
      </c>
      <c r="V209" s="3">
        <v>16.920000000000002</v>
      </c>
      <c r="W209" s="3">
        <v>12.02</v>
      </c>
      <c r="X209" s="3">
        <v>9.85</v>
      </c>
      <c r="Y209" s="3">
        <v>3.5190000000000001</v>
      </c>
      <c r="Z209" s="3">
        <v>1350</v>
      </c>
      <c r="AA209" s="3">
        <v>8.9600000000000009</v>
      </c>
      <c r="AB209" s="3">
        <v>350</v>
      </c>
      <c r="AC209" s="3">
        <v>25.77</v>
      </c>
      <c r="AD209" s="3">
        <v>1633</v>
      </c>
      <c r="AE209" s="3">
        <v>7.86</v>
      </c>
      <c r="AF209" s="3">
        <v>7.74</v>
      </c>
      <c r="AG209" s="3">
        <v>7.76</v>
      </c>
      <c r="AH209" s="3">
        <v>11.42</v>
      </c>
      <c r="AI209" s="3">
        <v>10.93</v>
      </c>
      <c r="AJ209" s="3">
        <v>8.19</v>
      </c>
      <c r="AK209" s="3">
        <v>3.9E-2</v>
      </c>
      <c r="AL209" s="3">
        <v>0.27300000000000002</v>
      </c>
      <c r="AM209" s="3">
        <v>0.26200000000000001</v>
      </c>
      <c r="AN209" s="3">
        <v>1.0999999999999999E-2</v>
      </c>
      <c r="AO209" s="3">
        <v>0.11899999999999999</v>
      </c>
      <c r="AP209" s="3">
        <v>0.18</v>
      </c>
      <c r="AQ209" s="3">
        <v>7.2999999999999995E-2</v>
      </c>
      <c r="AR209" s="3">
        <v>4.2999999999999997E-2</v>
      </c>
      <c r="AS209" s="3">
        <v>3523</v>
      </c>
      <c r="AT209" s="3">
        <v>3477</v>
      </c>
      <c r="AU209" s="3">
        <v>3511</v>
      </c>
      <c r="AV209" s="3">
        <v>19.05</v>
      </c>
      <c r="AW209" s="3">
        <v>19.010000000000002</v>
      </c>
      <c r="AX209" s="3">
        <v>30.41</v>
      </c>
      <c r="AY209" s="3">
        <v>30.72</v>
      </c>
      <c r="AZ209" s="3">
        <v>8.07</v>
      </c>
      <c r="BA209" s="3">
        <v>7.82</v>
      </c>
      <c r="BB209" s="3">
        <v>12.76</v>
      </c>
      <c r="BC209" s="3">
        <v>2876</v>
      </c>
      <c r="BG209" s="16">
        <v>30.9</v>
      </c>
      <c r="BH209" s="16">
        <f t="shared" si="121"/>
        <v>62.417999999999999</v>
      </c>
      <c r="BI209" s="17">
        <f t="shared" si="119"/>
        <v>23.79</v>
      </c>
      <c r="BJ209" s="17">
        <f t="shared" si="120"/>
        <v>48.39</v>
      </c>
      <c r="BL209" s="1">
        <f t="shared" si="122"/>
        <v>89.9</v>
      </c>
      <c r="BM209" s="1">
        <f t="shared" si="123"/>
        <v>54.4</v>
      </c>
      <c r="BN209" s="1">
        <f t="shared" si="124"/>
        <v>15.7</v>
      </c>
      <c r="BO209" s="49">
        <f t="shared" si="130"/>
        <v>0.63900000000000001</v>
      </c>
      <c r="BP209" s="49">
        <f t="shared" si="131"/>
        <v>3.431</v>
      </c>
      <c r="BR209" s="3">
        <v>0</v>
      </c>
      <c r="BT209" s="16">
        <f t="shared" si="125"/>
        <v>23.79</v>
      </c>
      <c r="BU209" s="16">
        <f t="shared" si="126"/>
        <v>48.39</v>
      </c>
      <c r="BV209" s="3">
        <f t="shared" si="127"/>
        <v>19.5</v>
      </c>
      <c r="BW209" s="3">
        <f t="shared" si="118"/>
        <v>19.3</v>
      </c>
      <c r="BX209" s="3">
        <f t="shared" si="118"/>
        <v>19.100000000000001</v>
      </c>
      <c r="BY209" s="3">
        <f t="shared" si="118"/>
        <v>15.5</v>
      </c>
      <c r="BZ209" s="3">
        <f t="shared" si="117"/>
        <v>14.2</v>
      </c>
      <c r="CA209" s="3">
        <f t="shared" si="117"/>
        <v>11.5</v>
      </c>
      <c r="CB209" s="3">
        <f t="shared" si="117"/>
        <v>9.1</v>
      </c>
      <c r="CC209" s="22">
        <f t="shared" si="128"/>
        <v>54.4</v>
      </c>
      <c r="CD209" s="1">
        <f t="shared" si="132"/>
        <v>29.3</v>
      </c>
      <c r="CE209" s="1">
        <f t="shared" si="133"/>
        <v>31.9</v>
      </c>
      <c r="CF209" s="1">
        <f t="shared" si="134"/>
        <v>32</v>
      </c>
      <c r="CG209" s="1">
        <f t="shared" si="135"/>
        <v>25.4</v>
      </c>
      <c r="CH209" s="1">
        <f t="shared" si="136"/>
        <v>16.899999999999999</v>
      </c>
      <c r="CI209" s="1">
        <f t="shared" si="137"/>
        <v>12</v>
      </c>
      <c r="CJ209" s="1">
        <f t="shared" si="138"/>
        <v>9.9</v>
      </c>
      <c r="CK209" s="2">
        <f t="shared" si="129"/>
        <v>89.9</v>
      </c>
      <c r="CL209" s="1">
        <f t="shared" si="139"/>
        <v>9</v>
      </c>
      <c r="CM209" s="1">
        <f t="shared" si="140"/>
        <v>7.9</v>
      </c>
      <c r="CN209" s="1">
        <f t="shared" si="141"/>
        <v>7.7</v>
      </c>
      <c r="CO209" s="1">
        <f t="shared" si="142"/>
        <v>7.8</v>
      </c>
      <c r="CP209" s="1">
        <f t="shared" si="143"/>
        <v>11.4</v>
      </c>
      <c r="CQ209" s="1">
        <f t="shared" si="144"/>
        <v>10.9</v>
      </c>
      <c r="CR209" s="1">
        <f t="shared" si="145"/>
        <v>8.1999999999999993</v>
      </c>
      <c r="CS209" s="2">
        <f t="shared" si="146"/>
        <v>15.7</v>
      </c>
      <c r="CT209" s="6">
        <f t="shared" si="147"/>
        <v>0</v>
      </c>
      <c r="CU209" s="1">
        <f>PPTest!K209</f>
        <v>0</v>
      </c>
      <c r="CV209" s="3">
        <f t="shared" si="148"/>
        <v>1.71</v>
      </c>
      <c r="CW209" s="3">
        <f t="shared" si="149"/>
        <v>3.52</v>
      </c>
      <c r="CX209" s="24">
        <f t="shared" si="150"/>
        <v>0.63900000000000001</v>
      </c>
      <c r="CY209" s="24">
        <f t="shared" si="150"/>
        <v>3.431</v>
      </c>
      <c r="CZ209" s="16">
        <f t="shared" si="151"/>
        <v>12.76</v>
      </c>
    </row>
    <row r="210" spans="1:104" x14ac:dyDescent="0.2">
      <c r="A210" s="14">
        <f t="shared" si="152"/>
        <v>38921</v>
      </c>
      <c r="B210" s="1">
        <v>204</v>
      </c>
      <c r="C210" s="3">
        <v>30.16</v>
      </c>
      <c r="D210" s="3">
        <v>55.54</v>
      </c>
      <c r="E210" s="3">
        <v>19.649999999999999</v>
      </c>
      <c r="F210" s="3">
        <v>69.55</v>
      </c>
      <c r="G210" s="3">
        <v>19.760000000000002</v>
      </c>
      <c r="H210" s="3">
        <v>19.71</v>
      </c>
      <c r="I210" s="3">
        <v>16.11</v>
      </c>
      <c r="J210" s="3">
        <v>14.73</v>
      </c>
      <c r="K210" s="3">
        <v>12.02</v>
      </c>
      <c r="L210" s="3">
        <v>9.2899999999999991</v>
      </c>
      <c r="M210" s="3">
        <v>1.9890000000000001</v>
      </c>
      <c r="N210" s="3">
        <v>12</v>
      </c>
      <c r="O210" s="3">
        <v>29.08</v>
      </c>
      <c r="P210" s="3">
        <v>1549</v>
      </c>
      <c r="Q210" s="3">
        <v>109.4</v>
      </c>
      <c r="R210" s="3">
        <v>2305</v>
      </c>
      <c r="S210" s="3">
        <v>32.549999999999997</v>
      </c>
      <c r="T210" s="3">
        <v>32.85</v>
      </c>
      <c r="U210" s="3">
        <v>30.6</v>
      </c>
      <c r="V210" s="3">
        <v>17.87</v>
      </c>
      <c r="W210" s="3">
        <v>12.8</v>
      </c>
      <c r="X210" s="3">
        <v>10.18</v>
      </c>
      <c r="Y210" s="3">
        <v>9.9</v>
      </c>
      <c r="Z210" s="3">
        <v>2119</v>
      </c>
      <c r="AA210" s="3">
        <v>8.4</v>
      </c>
      <c r="AB210" s="3">
        <v>426</v>
      </c>
      <c r="AC210" s="3">
        <v>33.64</v>
      </c>
      <c r="AD210" s="3">
        <v>1554</v>
      </c>
      <c r="AE210" s="3">
        <v>6.9880000000000004</v>
      </c>
      <c r="AF210" s="3">
        <v>6.54</v>
      </c>
      <c r="AG210" s="3">
        <v>7.3</v>
      </c>
      <c r="AH210" s="3">
        <v>11.55</v>
      </c>
      <c r="AI210" s="3">
        <v>11.41</v>
      </c>
      <c r="AJ210" s="3">
        <v>8.48</v>
      </c>
      <c r="AK210" s="3">
        <v>5.6000000000000001E-2</v>
      </c>
      <c r="AL210" s="3">
        <v>0.224</v>
      </c>
      <c r="AM210" s="3">
        <v>0.20799999999999999</v>
      </c>
      <c r="AN210" s="3">
        <v>1.7999999999999999E-2</v>
      </c>
      <c r="AO210" s="3">
        <v>0.126</v>
      </c>
      <c r="AP210" s="3">
        <v>0.19400000000000001</v>
      </c>
      <c r="AQ210" s="3">
        <v>0.109</v>
      </c>
      <c r="AR210" s="3">
        <v>6.5000000000000002E-2</v>
      </c>
      <c r="AS210" s="3">
        <v>3503</v>
      </c>
      <c r="AT210" s="3">
        <v>3479</v>
      </c>
      <c r="AU210" s="3">
        <v>3491</v>
      </c>
      <c r="AV210" s="3">
        <v>19.66</v>
      </c>
      <c r="AW210" s="3">
        <v>19.7</v>
      </c>
      <c r="AX210" s="3">
        <v>32.26</v>
      </c>
      <c r="AY210" s="3">
        <v>32.46</v>
      </c>
      <c r="AZ210" s="3">
        <v>7.4</v>
      </c>
      <c r="BA210" s="3">
        <v>7.13</v>
      </c>
      <c r="BB210" s="3">
        <v>12.72</v>
      </c>
      <c r="BC210" s="3">
        <v>2876</v>
      </c>
      <c r="BG210" s="16">
        <v>30.76</v>
      </c>
      <c r="BH210" s="16">
        <f t="shared" si="121"/>
        <v>62.135200000000005</v>
      </c>
      <c r="BI210" s="17">
        <f t="shared" si="119"/>
        <v>29.56</v>
      </c>
      <c r="BJ210" s="17">
        <f t="shared" si="120"/>
        <v>61.09</v>
      </c>
      <c r="BL210" s="1">
        <f t="shared" si="122"/>
        <v>97.2</v>
      </c>
      <c r="BM210" s="1">
        <f t="shared" si="123"/>
        <v>54.2</v>
      </c>
      <c r="BN210" s="1">
        <f t="shared" si="124"/>
        <v>22.6</v>
      </c>
      <c r="BO210" s="49">
        <f t="shared" si="130"/>
        <v>0.90900000000000003</v>
      </c>
      <c r="BP210" s="49">
        <f t="shared" si="131"/>
        <v>3.113</v>
      </c>
      <c r="BR210" s="3">
        <v>7.8</v>
      </c>
      <c r="BT210" s="16">
        <f t="shared" si="125"/>
        <v>29.56</v>
      </c>
      <c r="BU210" s="16">
        <f t="shared" si="126"/>
        <v>61.09</v>
      </c>
      <c r="BV210" s="3">
        <f t="shared" si="127"/>
        <v>19.7</v>
      </c>
      <c r="BW210" s="3">
        <f t="shared" si="118"/>
        <v>19.8</v>
      </c>
      <c r="BX210" s="3">
        <f t="shared" si="118"/>
        <v>19.7</v>
      </c>
      <c r="BY210" s="3">
        <f t="shared" si="118"/>
        <v>16.100000000000001</v>
      </c>
      <c r="BZ210" s="3">
        <f t="shared" si="117"/>
        <v>14.7</v>
      </c>
      <c r="CA210" s="3">
        <f t="shared" si="117"/>
        <v>12</v>
      </c>
      <c r="CB210" s="3">
        <f t="shared" si="117"/>
        <v>9.3000000000000007</v>
      </c>
      <c r="CC210" s="22">
        <f t="shared" si="128"/>
        <v>54.2</v>
      </c>
      <c r="CD210" s="1">
        <f t="shared" si="132"/>
        <v>29.1</v>
      </c>
      <c r="CE210" s="1">
        <f t="shared" si="133"/>
        <v>32.6</v>
      </c>
      <c r="CF210" s="1">
        <f t="shared" si="134"/>
        <v>32.9</v>
      </c>
      <c r="CG210" s="1">
        <f t="shared" si="135"/>
        <v>30.6</v>
      </c>
      <c r="CH210" s="1">
        <f t="shared" si="136"/>
        <v>17.899999999999999</v>
      </c>
      <c r="CI210" s="1">
        <f t="shared" si="137"/>
        <v>12.8</v>
      </c>
      <c r="CJ210" s="1">
        <f t="shared" si="138"/>
        <v>10.199999999999999</v>
      </c>
      <c r="CK210" s="2">
        <f t="shared" si="129"/>
        <v>97.2</v>
      </c>
      <c r="CL210" s="1">
        <f t="shared" si="139"/>
        <v>8.4</v>
      </c>
      <c r="CM210" s="1">
        <f t="shared" si="140"/>
        <v>7</v>
      </c>
      <c r="CN210" s="1">
        <f t="shared" si="141"/>
        <v>6.5</v>
      </c>
      <c r="CO210" s="1">
        <f t="shared" si="142"/>
        <v>7.3</v>
      </c>
      <c r="CP210" s="1">
        <f t="shared" si="143"/>
        <v>11.6</v>
      </c>
      <c r="CQ210" s="1">
        <f t="shared" si="144"/>
        <v>11.4</v>
      </c>
      <c r="CR210" s="1">
        <f t="shared" si="145"/>
        <v>8.5</v>
      </c>
      <c r="CS210" s="2">
        <f t="shared" si="146"/>
        <v>22.6</v>
      </c>
      <c r="CT210" s="6">
        <f t="shared" si="147"/>
        <v>0</v>
      </c>
      <c r="CU210" s="1">
        <f>PPTest!K210</f>
        <v>12</v>
      </c>
      <c r="CV210" s="3">
        <f t="shared" si="148"/>
        <v>1.99</v>
      </c>
      <c r="CW210" s="3">
        <f t="shared" si="149"/>
        <v>9.9</v>
      </c>
      <c r="CX210" s="24">
        <f t="shared" si="150"/>
        <v>0.90900000000000003</v>
      </c>
      <c r="CY210" s="24">
        <f t="shared" si="150"/>
        <v>3.113</v>
      </c>
      <c r="CZ210" s="16">
        <f t="shared" si="151"/>
        <v>12.72</v>
      </c>
    </row>
    <row r="211" spans="1:104" x14ac:dyDescent="0.2">
      <c r="A211" s="14">
        <f t="shared" si="152"/>
        <v>38922</v>
      </c>
      <c r="B211" s="1">
        <v>205</v>
      </c>
      <c r="C211" s="3">
        <v>29.99</v>
      </c>
      <c r="D211" s="3">
        <v>55.11</v>
      </c>
      <c r="E211" s="3">
        <v>17.010000000000002</v>
      </c>
      <c r="F211" s="3">
        <v>83.1</v>
      </c>
      <c r="G211" s="3">
        <v>17.11</v>
      </c>
      <c r="H211" s="3">
        <v>17.03</v>
      </c>
      <c r="I211" s="3">
        <v>14.64</v>
      </c>
      <c r="J211" s="3">
        <v>15.09</v>
      </c>
      <c r="K211" s="3">
        <v>12.51</v>
      </c>
      <c r="L211" s="3">
        <v>9.52</v>
      </c>
      <c r="M211" s="3">
        <v>1.5880000000000001</v>
      </c>
      <c r="N211" s="3">
        <v>0</v>
      </c>
      <c r="O211" s="3">
        <v>24.71</v>
      </c>
      <c r="P211" s="3">
        <v>1538</v>
      </c>
      <c r="Q211" s="3">
        <v>110.2</v>
      </c>
      <c r="R211" s="3">
        <v>504</v>
      </c>
      <c r="S211" s="3">
        <v>27.52</v>
      </c>
      <c r="T211" s="3">
        <v>28.55</v>
      </c>
      <c r="U211" s="3">
        <v>23.75</v>
      </c>
      <c r="V211" s="3">
        <v>18.03</v>
      </c>
      <c r="W211" s="3">
        <v>13.17</v>
      </c>
      <c r="X211" s="3">
        <v>10.210000000000001</v>
      </c>
      <c r="Y211" s="3">
        <v>5.1820000000000004</v>
      </c>
      <c r="Z211" s="3">
        <v>1</v>
      </c>
      <c r="AA211" s="3">
        <v>8.36</v>
      </c>
      <c r="AB211" s="3">
        <v>450</v>
      </c>
      <c r="AC211" s="3">
        <v>46.63</v>
      </c>
      <c r="AD211" s="3">
        <v>1808</v>
      </c>
      <c r="AE211" s="3">
        <v>7.69</v>
      </c>
      <c r="AF211" s="3">
        <v>7.28</v>
      </c>
      <c r="AG211" s="3">
        <v>7.9</v>
      </c>
      <c r="AH211" s="3">
        <v>12.68</v>
      </c>
      <c r="AI211" s="3">
        <v>11.91</v>
      </c>
      <c r="AJ211" s="3">
        <v>8.93</v>
      </c>
      <c r="AK211" s="3">
        <v>0.10100000000000001</v>
      </c>
      <c r="AL211" s="3">
        <v>0.31</v>
      </c>
      <c r="AM211" s="3">
        <v>0.128</v>
      </c>
      <c r="AN211" s="3">
        <v>1.9E-2</v>
      </c>
      <c r="AO211" s="3">
        <v>0.11799999999999999</v>
      </c>
      <c r="AP211" s="3">
        <v>0.17799999999999999</v>
      </c>
      <c r="AQ211" s="3">
        <v>9.5000000000000001E-2</v>
      </c>
      <c r="AR211" s="3">
        <v>4.9000000000000002E-2</v>
      </c>
      <c r="AS211" s="3">
        <v>3506</v>
      </c>
      <c r="AT211" s="3">
        <v>3494</v>
      </c>
      <c r="AU211" s="3">
        <v>3501</v>
      </c>
      <c r="AV211" s="3">
        <v>17.55</v>
      </c>
      <c r="AW211" s="3">
        <v>17.43</v>
      </c>
      <c r="AX211" s="3">
        <v>27.95</v>
      </c>
      <c r="AY211" s="3">
        <v>28.07</v>
      </c>
      <c r="AZ211" s="3">
        <v>8.24</v>
      </c>
      <c r="BA211" s="3">
        <v>7.89</v>
      </c>
      <c r="BB211" s="3">
        <v>12.78</v>
      </c>
      <c r="BC211" s="3">
        <v>2876</v>
      </c>
      <c r="BG211" s="16">
        <v>30.62</v>
      </c>
      <c r="BH211" s="16">
        <f t="shared" si="121"/>
        <v>61.852400000000003</v>
      </c>
      <c r="BI211" s="17">
        <f t="shared" si="119"/>
        <v>29.39</v>
      </c>
      <c r="BJ211" s="17">
        <f t="shared" si="120"/>
        <v>60.62</v>
      </c>
      <c r="BL211" s="1">
        <f t="shared" si="122"/>
        <v>98.5</v>
      </c>
      <c r="BM211" s="1">
        <f t="shared" si="123"/>
        <v>66.099999999999994</v>
      </c>
      <c r="BN211" s="1">
        <f t="shared" si="124"/>
        <v>34</v>
      </c>
      <c r="BO211" s="49">
        <f t="shared" si="130"/>
        <v>1.0580000000000001</v>
      </c>
      <c r="BP211" s="49">
        <f t="shared" si="131"/>
        <v>2.0539999999999998</v>
      </c>
      <c r="BR211" s="3">
        <v>0</v>
      </c>
      <c r="BT211" s="16">
        <f t="shared" si="125"/>
        <v>29.39</v>
      </c>
      <c r="BU211" s="16">
        <f t="shared" si="126"/>
        <v>60.62</v>
      </c>
      <c r="BV211" s="3">
        <f t="shared" si="127"/>
        <v>17</v>
      </c>
      <c r="BW211" s="3">
        <f t="shared" si="118"/>
        <v>17.100000000000001</v>
      </c>
      <c r="BX211" s="3">
        <f t="shared" si="118"/>
        <v>17</v>
      </c>
      <c r="BY211" s="3">
        <f t="shared" si="118"/>
        <v>14.6</v>
      </c>
      <c r="BZ211" s="3">
        <f t="shared" si="117"/>
        <v>15.1</v>
      </c>
      <c r="CA211" s="3">
        <f t="shared" si="117"/>
        <v>12.5</v>
      </c>
      <c r="CB211" s="3">
        <f t="shared" si="117"/>
        <v>9.5</v>
      </c>
      <c r="CC211" s="22">
        <f t="shared" si="128"/>
        <v>66.099999999999994</v>
      </c>
      <c r="CD211" s="1">
        <f t="shared" si="132"/>
        <v>24.7</v>
      </c>
      <c r="CE211" s="1">
        <f t="shared" si="133"/>
        <v>27.5</v>
      </c>
      <c r="CF211" s="1">
        <f t="shared" si="134"/>
        <v>28.6</v>
      </c>
      <c r="CG211" s="1">
        <f t="shared" si="135"/>
        <v>23.8</v>
      </c>
      <c r="CH211" s="1">
        <f t="shared" si="136"/>
        <v>18</v>
      </c>
      <c r="CI211" s="1">
        <f t="shared" si="137"/>
        <v>13.2</v>
      </c>
      <c r="CJ211" s="1">
        <f t="shared" si="138"/>
        <v>10.199999999999999</v>
      </c>
      <c r="CK211" s="2">
        <f t="shared" si="129"/>
        <v>98.5</v>
      </c>
      <c r="CL211" s="1">
        <f t="shared" si="139"/>
        <v>8.4</v>
      </c>
      <c r="CM211" s="1">
        <f t="shared" si="140"/>
        <v>7.7</v>
      </c>
      <c r="CN211" s="1">
        <f t="shared" si="141"/>
        <v>7.3</v>
      </c>
      <c r="CO211" s="1">
        <f t="shared" si="142"/>
        <v>7.9</v>
      </c>
      <c r="CP211" s="1">
        <f t="shared" si="143"/>
        <v>12.7</v>
      </c>
      <c r="CQ211" s="1">
        <f t="shared" si="144"/>
        <v>11.9</v>
      </c>
      <c r="CR211" s="1">
        <f t="shared" si="145"/>
        <v>8.9</v>
      </c>
      <c r="CS211" s="2">
        <f t="shared" si="146"/>
        <v>34</v>
      </c>
      <c r="CT211" s="6">
        <f t="shared" si="147"/>
        <v>0</v>
      </c>
      <c r="CU211" s="1">
        <f>PPTest!K211</f>
        <v>0</v>
      </c>
      <c r="CV211" s="3">
        <f t="shared" si="148"/>
        <v>1.59</v>
      </c>
      <c r="CW211" s="3">
        <f t="shared" si="149"/>
        <v>5.18</v>
      </c>
      <c r="CX211" s="24">
        <f t="shared" si="150"/>
        <v>1.0580000000000001</v>
      </c>
      <c r="CY211" s="24">
        <f t="shared" si="150"/>
        <v>2.0539999999999998</v>
      </c>
      <c r="CZ211" s="16">
        <f t="shared" si="151"/>
        <v>12.78</v>
      </c>
    </row>
    <row r="212" spans="1:104" x14ac:dyDescent="0.2">
      <c r="A212" s="14">
        <f t="shared" si="152"/>
        <v>38923</v>
      </c>
      <c r="B212" s="1">
        <v>206</v>
      </c>
      <c r="C212" s="3">
        <v>25.91</v>
      </c>
      <c r="D212" s="3">
        <v>46.75</v>
      </c>
      <c r="E212" s="3">
        <v>16.46</v>
      </c>
      <c r="F212" s="3">
        <v>76.900000000000006</v>
      </c>
      <c r="G212" s="3">
        <v>16.39</v>
      </c>
      <c r="H212" s="3">
        <v>16.399999999999999</v>
      </c>
      <c r="I212" s="3">
        <v>14.17</v>
      </c>
      <c r="J212" s="3">
        <v>14.44</v>
      </c>
      <c r="K212" s="3">
        <v>12.65</v>
      </c>
      <c r="L212" s="3">
        <v>9.75</v>
      </c>
      <c r="M212" s="3">
        <v>1.484</v>
      </c>
      <c r="N212" s="3">
        <v>0</v>
      </c>
      <c r="O212" s="3">
        <v>24.28</v>
      </c>
      <c r="P212" s="3">
        <v>1433</v>
      </c>
      <c r="Q212" s="3">
        <v>109</v>
      </c>
      <c r="R212" s="3">
        <v>454</v>
      </c>
      <c r="S212" s="3">
        <v>28.53</v>
      </c>
      <c r="T212" s="3">
        <v>29.12</v>
      </c>
      <c r="U212" s="3">
        <v>25.48</v>
      </c>
      <c r="V212" s="3">
        <v>17.16</v>
      </c>
      <c r="W212" s="3">
        <v>13.4</v>
      </c>
      <c r="X212" s="3">
        <v>10.51</v>
      </c>
      <c r="Y212" s="3">
        <v>3.9049999999999998</v>
      </c>
      <c r="Z212" s="3">
        <v>1330</v>
      </c>
      <c r="AA212" s="3">
        <v>8.1</v>
      </c>
      <c r="AB212" s="3">
        <v>446</v>
      </c>
      <c r="AC212" s="3">
        <v>38.479999999999997</v>
      </c>
      <c r="AD212" s="3">
        <v>1155</v>
      </c>
      <c r="AE212" s="3">
        <v>7.24</v>
      </c>
      <c r="AF212" s="3">
        <v>7.1</v>
      </c>
      <c r="AG212" s="3">
        <v>7.68</v>
      </c>
      <c r="AH212" s="3">
        <v>12.17</v>
      </c>
      <c r="AI212" s="3">
        <v>11.85</v>
      </c>
      <c r="AJ212" s="3">
        <v>9.11</v>
      </c>
      <c r="AK212" s="3">
        <v>3.1E-2</v>
      </c>
      <c r="AL212" s="3">
        <v>0.253</v>
      </c>
      <c r="AM212" s="3">
        <v>0.247</v>
      </c>
      <c r="AN212" s="3">
        <v>1.0999999999999999E-2</v>
      </c>
      <c r="AO212" s="3">
        <v>0.11700000000000001</v>
      </c>
      <c r="AP212" s="3">
        <v>0.2</v>
      </c>
      <c r="AQ212" s="3">
        <v>8.8999999999999996E-2</v>
      </c>
      <c r="AR212" s="3">
        <v>5.1999999999999998E-2</v>
      </c>
      <c r="AS212" s="3">
        <v>3516</v>
      </c>
      <c r="AT212" s="3">
        <v>3508</v>
      </c>
      <c r="AU212" s="3">
        <v>3513</v>
      </c>
      <c r="AV212" s="3">
        <v>16.84</v>
      </c>
      <c r="AW212" s="3">
        <v>16.75</v>
      </c>
      <c r="AX212" s="3">
        <v>28.2</v>
      </c>
      <c r="AY212" s="3">
        <v>28.84</v>
      </c>
      <c r="AZ212" s="3">
        <v>7.48</v>
      </c>
      <c r="BA212" s="3">
        <v>7.19</v>
      </c>
      <c r="BB212" s="3">
        <v>12.8</v>
      </c>
      <c r="BC212" s="3">
        <v>2876</v>
      </c>
      <c r="BG212" s="16">
        <v>30.47</v>
      </c>
      <c r="BH212" s="16">
        <f t="shared" si="121"/>
        <v>61.549399999999999</v>
      </c>
      <c r="BI212" s="17">
        <f t="shared" si="119"/>
        <v>25.39</v>
      </c>
      <c r="BJ212" s="17">
        <f t="shared" si="120"/>
        <v>51.43</v>
      </c>
      <c r="BL212" s="1">
        <f t="shared" si="122"/>
        <v>96.6</v>
      </c>
      <c r="BM212" s="1">
        <f t="shared" si="123"/>
        <v>60.7</v>
      </c>
      <c r="BN212" s="1">
        <f t="shared" si="124"/>
        <v>26.9</v>
      </c>
      <c r="BO212" s="49">
        <f t="shared" si="130"/>
        <v>0.81599999999999995</v>
      </c>
      <c r="BP212" s="49">
        <f t="shared" si="131"/>
        <v>2.2170000000000001</v>
      </c>
      <c r="BR212" s="3">
        <v>0</v>
      </c>
      <c r="BT212" s="16">
        <f t="shared" si="125"/>
        <v>25.39</v>
      </c>
      <c r="BU212" s="16">
        <f t="shared" si="126"/>
        <v>51.43</v>
      </c>
      <c r="BV212" s="3">
        <f t="shared" si="127"/>
        <v>16.5</v>
      </c>
      <c r="BW212" s="3">
        <f t="shared" si="118"/>
        <v>16.399999999999999</v>
      </c>
      <c r="BX212" s="3">
        <f t="shared" si="118"/>
        <v>16.399999999999999</v>
      </c>
      <c r="BY212" s="3">
        <f t="shared" si="118"/>
        <v>14.2</v>
      </c>
      <c r="BZ212" s="3">
        <f t="shared" si="117"/>
        <v>14.4</v>
      </c>
      <c r="CA212" s="3">
        <f t="shared" si="117"/>
        <v>12.7</v>
      </c>
      <c r="CB212" s="3">
        <f t="shared" si="117"/>
        <v>9.8000000000000007</v>
      </c>
      <c r="CC212" s="22">
        <f t="shared" si="128"/>
        <v>60.7</v>
      </c>
      <c r="CD212" s="1">
        <f t="shared" si="132"/>
        <v>24.3</v>
      </c>
      <c r="CE212" s="1">
        <f t="shared" si="133"/>
        <v>28.5</v>
      </c>
      <c r="CF212" s="1">
        <f t="shared" si="134"/>
        <v>29.1</v>
      </c>
      <c r="CG212" s="1">
        <f t="shared" si="135"/>
        <v>25.5</v>
      </c>
      <c r="CH212" s="1">
        <f t="shared" si="136"/>
        <v>17.2</v>
      </c>
      <c r="CI212" s="1">
        <f t="shared" si="137"/>
        <v>13.4</v>
      </c>
      <c r="CJ212" s="1">
        <f t="shared" si="138"/>
        <v>10.5</v>
      </c>
      <c r="CK212" s="2">
        <f t="shared" si="129"/>
        <v>96.6</v>
      </c>
      <c r="CL212" s="1">
        <f t="shared" si="139"/>
        <v>8.1</v>
      </c>
      <c r="CM212" s="1">
        <f t="shared" si="140"/>
        <v>7.2</v>
      </c>
      <c r="CN212" s="1">
        <f t="shared" si="141"/>
        <v>7.1</v>
      </c>
      <c r="CO212" s="1">
        <f t="shared" si="142"/>
        <v>7.7</v>
      </c>
      <c r="CP212" s="1">
        <f t="shared" si="143"/>
        <v>12.2</v>
      </c>
      <c r="CQ212" s="1">
        <f t="shared" si="144"/>
        <v>11.9</v>
      </c>
      <c r="CR212" s="1">
        <f t="shared" si="145"/>
        <v>9.1</v>
      </c>
      <c r="CS212" s="2">
        <f t="shared" si="146"/>
        <v>26.9</v>
      </c>
      <c r="CT212" s="6">
        <f t="shared" si="147"/>
        <v>0</v>
      </c>
      <c r="CU212" s="1">
        <f>PPTest!K212</f>
        <v>0</v>
      </c>
      <c r="CV212" s="3">
        <f t="shared" si="148"/>
        <v>1.48</v>
      </c>
      <c r="CW212" s="3">
        <f t="shared" si="149"/>
        <v>3.91</v>
      </c>
      <c r="CX212" s="24">
        <f t="shared" si="150"/>
        <v>0.81599999999999995</v>
      </c>
      <c r="CY212" s="24">
        <f t="shared" si="150"/>
        <v>2.2170000000000001</v>
      </c>
      <c r="CZ212" s="16">
        <f t="shared" si="151"/>
        <v>12.8</v>
      </c>
    </row>
    <row r="213" spans="1:104" x14ac:dyDescent="0.2">
      <c r="A213" s="14">
        <f t="shared" si="152"/>
        <v>38924</v>
      </c>
      <c r="B213" s="1">
        <v>207</v>
      </c>
      <c r="C213" s="3">
        <v>27.82</v>
      </c>
      <c r="D213" s="3">
        <v>51.3</v>
      </c>
      <c r="E213" s="3">
        <v>17.05</v>
      </c>
      <c r="F213" s="3">
        <v>74</v>
      </c>
      <c r="G213" s="3">
        <v>17.07</v>
      </c>
      <c r="H213" s="3">
        <v>17.010000000000002</v>
      </c>
      <c r="I213" s="3">
        <v>14.43</v>
      </c>
      <c r="J213" s="3">
        <v>14.3</v>
      </c>
      <c r="K213" s="3">
        <v>12.57</v>
      </c>
      <c r="L213" s="3">
        <v>9.9499999999999993</v>
      </c>
      <c r="M213" s="3">
        <v>1.5649999999999999</v>
      </c>
      <c r="N213" s="3">
        <v>0</v>
      </c>
      <c r="O213" s="3">
        <v>25.61</v>
      </c>
      <c r="P213" s="3">
        <v>1707</v>
      </c>
      <c r="Q213" s="3">
        <v>108.5</v>
      </c>
      <c r="R213" s="3">
        <v>412</v>
      </c>
      <c r="S213" s="3">
        <v>28.51</v>
      </c>
      <c r="T213" s="3">
        <v>29.53</v>
      </c>
      <c r="U213" s="3">
        <v>26.47</v>
      </c>
      <c r="V213" s="3">
        <v>17.25</v>
      </c>
      <c r="W213" s="3">
        <v>13.4</v>
      </c>
      <c r="X213" s="3">
        <v>10.78</v>
      </c>
      <c r="Y213" s="3">
        <v>4.3040000000000003</v>
      </c>
      <c r="Z213" s="3">
        <v>1104</v>
      </c>
      <c r="AA213" s="3">
        <v>6.7460000000000004</v>
      </c>
      <c r="AB213" s="3">
        <v>450</v>
      </c>
      <c r="AC213" s="3">
        <v>37.39</v>
      </c>
      <c r="AD213" s="3">
        <v>1418</v>
      </c>
      <c r="AE213" s="3">
        <v>5.9269999999999996</v>
      </c>
      <c r="AF213" s="3">
        <v>5.7619999999999996</v>
      </c>
      <c r="AG213" s="3">
        <v>6.5049999999999999</v>
      </c>
      <c r="AH213" s="3">
        <v>11.41</v>
      </c>
      <c r="AI213" s="3">
        <v>11.55</v>
      </c>
      <c r="AJ213" s="3">
        <v>9.19</v>
      </c>
      <c r="AK213" s="3">
        <v>4.2000000000000003E-2</v>
      </c>
      <c r="AL213" s="3">
        <v>0.26200000000000001</v>
      </c>
      <c r="AM213" s="3">
        <v>0.191</v>
      </c>
      <c r="AN213" s="3">
        <v>1.4E-2</v>
      </c>
      <c r="AO213" s="3">
        <v>0.13200000000000001</v>
      </c>
      <c r="AP213" s="3">
        <v>0.20300000000000001</v>
      </c>
      <c r="AQ213" s="3">
        <v>0.12</v>
      </c>
      <c r="AR213" s="3">
        <v>3.5999999999999997E-2</v>
      </c>
      <c r="AS213" s="3">
        <v>3519</v>
      </c>
      <c r="AT213" s="3">
        <v>3516</v>
      </c>
      <c r="AU213" s="3">
        <v>3518</v>
      </c>
      <c r="AV213" s="3">
        <v>17.13</v>
      </c>
      <c r="AW213" s="3">
        <v>17.13</v>
      </c>
      <c r="AX213" s="3">
        <v>28.81</v>
      </c>
      <c r="AY213" s="3">
        <v>29.05</v>
      </c>
      <c r="AZ213" s="3">
        <v>5.9119999999999999</v>
      </c>
      <c r="BA213" s="3">
        <v>5.6360000000000001</v>
      </c>
      <c r="BB213" s="3">
        <v>12.78</v>
      </c>
      <c r="BC213" s="3">
        <v>2876</v>
      </c>
      <c r="BG213" s="16">
        <v>30.32</v>
      </c>
      <c r="BH213" s="16">
        <f t="shared" si="121"/>
        <v>61.246400000000001</v>
      </c>
      <c r="BI213" s="17">
        <f t="shared" si="119"/>
        <v>27.26</v>
      </c>
      <c r="BJ213" s="17">
        <f t="shared" si="120"/>
        <v>56.43</v>
      </c>
      <c r="BL213" s="1">
        <f t="shared" si="122"/>
        <v>95.8</v>
      </c>
      <c r="BM213" s="1">
        <f t="shared" si="123"/>
        <v>58.1</v>
      </c>
      <c r="BN213" s="1">
        <f t="shared" si="124"/>
        <v>25.9</v>
      </c>
      <c r="BO213" s="49">
        <f t="shared" si="130"/>
        <v>0.85099999999999998</v>
      </c>
      <c r="BP213" s="49">
        <f t="shared" si="131"/>
        <v>2.4350000000000001</v>
      </c>
      <c r="BR213" s="3">
        <v>0</v>
      </c>
      <c r="BT213" s="16">
        <f t="shared" si="125"/>
        <v>27.26</v>
      </c>
      <c r="BU213" s="16">
        <f t="shared" si="126"/>
        <v>56.43</v>
      </c>
      <c r="BV213" s="3">
        <f t="shared" si="127"/>
        <v>17.100000000000001</v>
      </c>
      <c r="BW213" s="3">
        <f t="shared" si="118"/>
        <v>17.100000000000001</v>
      </c>
      <c r="BX213" s="3">
        <f t="shared" si="118"/>
        <v>17</v>
      </c>
      <c r="BY213" s="3">
        <f t="shared" si="118"/>
        <v>14.4</v>
      </c>
      <c r="BZ213" s="3">
        <f t="shared" si="117"/>
        <v>14.3</v>
      </c>
      <c r="CA213" s="3">
        <f t="shared" si="117"/>
        <v>12.6</v>
      </c>
      <c r="CB213" s="3">
        <f t="shared" si="117"/>
        <v>10</v>
      </c>
      <c r="CC213" s="22">
        <f t="shared" si="128"/>
        <v>58.1</v>
      </c>
      <c r="CD213" s="1">
        <f t="shared" si="132"/>
        <v>25.6</v>
      </c>
      <c r="CE213" s="1">
        <f t="shared" si="133"/>
        <v>28.5</v>
      </c>
      <c r="CF213" s="1">
        <f t="shared" si="134"/>
        <v>29.5</v>
      </c>
      <c r="CG213" s="1">
        <f t="shared" si="135"/>
        <v>26.5</v>
      </c>
      <c r="CH213" s="1">
        <f t="shared" si="136"/>
        <v>17.3</v>
      </c>
      <c r="CI213" s="1">
        <f t="shared" si="137"/>
        <v>13.4</v>
      </c>
      <c r="CJ213" s="1">
        <f t="shared" si="138"/>
        <v>10.8</v>
      </c>
      <c r="CK213" s="2">
        <f t="shared" si="129"/>
        <v>95.8</v>
      </c>
      <c r="CL213" s="1">
        <f t="shared" si="139"/>
        <v>6.7</v>
      </c>
      <c r="CM213" s="1">
        <f t="shared" si="140"/>
        <v>5.9</v>
      </c>
      <c r="CN213" s="1">
        <f t="shared" si="141"/>
        <v>5.8</v>
      </c>
      <c r="CO213" s="1">
        <f t="shared" si="142"/>
        <v>6.5</v>
      </c>
      <c r="CP213" s="1">
        <f t="shared" si="143"/>
        <v>11.4</v>
      </c>
      <c r="CQ213" s="1">
        <f t="shared" si="144"/>
        <v>11.6</v>
      </c>
      <c r="CR213" s="1">
        <f t="shared" si="145"/>
        <v>9.1999999999999993</v>
      </c>
      <c r="CS213" s="2">
        <f t="shared" si="146"/>
        <v>25.9</v>
      </c>
      <c r="CT213" s="6">
        <f t="shared" si="147"/>
        <v>0</v>
      </c>
      <c r="CU213" s="1">
        <f>PPTest!K213</f>
        <v>0</v>
      </c>
      <c r="CV213" s="3">
        <f t="shared" si="148"/>
        <v>1.57</v>
      </c>
      <c r="CW213" s="3">
        <f t="shared" si="149"/>
        <v>4.3</v>
      </c>
      <c r="CX213" s="24">
        <f t="shared" si="150"/>
        <v>0.85099999999999998</v>
      </c>
      <c r="CY213" s="24">
        <f t="shared" si="150"/>
        <v>2.4350000000000001</v>
      </c>
      <c r="CZ213" s="16">
        <f t="shared" si="151"/>
        <v>12.78</v>
      </c>
    </row>
    <row r="214" spans="1:104" x14ac:dyDescent="0.2">
      <c r="A214" s="14">
        <f t="shared" si="152"/>
        <v>38925</v>
      </c>
      <c r="B214" s="1">
        <v>208</v>
      </c>
      <c r="C214" s="3">
        <v>28.64</v>
      </c>
      <c r="D214" s="3">
        <v>52.45</v>
      </c>
      <c r="E214" s="3">
        <v>16.34</v>
      </c>
      <c r="F214" s="3">
        <v>77.7</v>
      </c>
      <c r="G214" s="3">
        <v>16.29</v>
      </c>
      <c r="H214" s="3">
        <v>16.190000000000001</v>
      </c>
      <c r="I214" s="3">
        <v>14.44</v>
      </c>
      <c r="J214" s="3">
        <v>14.62</v>
      </c>
      <c r="K214" s="3">
        <v>12.68</v>
      </c>
      <c r="L214" s="3">
        <v>10</v>
      </c>
      <c r="M214" s="3">
        <v>1.552</v>
      </c>
      <c r="N214" s="3">
        <v>0</v>
      </c>
      <c r="O214" s="3">
        <v>24.33</v>
      </c>
      <c r="P214" s="3">
        <v>1716</v>
      </c>
      <c r="Q214" s="3">
        <v>106.2</v>
      </c>
      <c r="R214" s="3">
        <v>516</v>
      </c>
      <c r="S214" s="3">
        <v>27.23</v>
      </c>
      <c r="T214" s="3">
        <v>28.32</v>
      </c>
      <c r="U214" s="3">
        <v>27.31</v>
      </c>
      <c r="V214" s="3">
        <v>17.55</v>
      </c>
      <c r="W214" s="3">
        <v>13.24</v>
      </c>
      <c r="X214" s="3">
        <v>10.67</v>
      </c>
      <c r="Y214" s="3">
        <v>4.4640000000000004</v>
      </c>
      <c r="Z214" s="3">
        <v>1203</v>
      </c>
      <c r="AA214" s="3">
        <v>7.81</v>
      </c>
      <c r="AB214" s="3">
        <v>2357</v>
      </c>
      <c r="AC214" s="3">
        <v>40.82</v>
      </c>
      <c r="AD214" s="3">
        <v>1756</v>
      </c>
      <c r="AE214" s="3">
        <v>6.2770000000000001</v>
      </c>
      <c r="AF214" s="3">
        <v>5.734</v>
      </c>
      <c r="AG214" s="3">
        <v>6.1239999999999997</v>
      </c>
      <c r="AH214" s="3">
        <v>12.11</v>
      </c>
      <c r="AI214" s="3">
        <v>11.84</v>
      </c>
      <c r="AJ214" s="3">
        <v>9.27</v>
      </c>
      <c r="AK214" s="3">
        <v>1.9E-2</v>
      </c>
      <c r="AL214" s="3">
        <v>0.28000000000000003</v>
      </c>
      <c r="AM214" s="3">
        <v>0.20599999999999999</v>
      </c>
      <c r="AN214" s="3">
        <v>1.0999999999999999E-2</v>
      </c>
      <c r="AO214" s="3">
        <v>0.1</v>
      </c>
      <c r="AP214" s="3">
        <v>0.19400000000000001</v>
      </c>
      <c r="AQ214" s="3">
        <v>0.13900000000000001</v>
      </c>
      <c r="AR214" s="3">
        <v>5.0999999999999997E-2</v>
      </c>
      <c r="AS214" s="3">
        <v>3522</v>
      </c>
      <c r="AT214" s="3">
        <v>3472</v>
      </c>
      <c r="AU214" s="3">
        <v>3512</v>
      </c>
      <c r="AV214" s="3">
        <v>16.84</v>
      </c>
      <c r="AW214" s="3">
        <v>16.66</v>
      </c>
      <c r="AX214" s="3">
        <v>28.23</v>
      </c>
      <c r="AY214" s="3">
        <v>28.43</v>
      </c>
      <c r="AZ214" s="3">
        <v>7.31</v>
      </c>
      <c r="BA214" s="3">
        <v>6.4269999999999996</v>
      </c>
      <c r="BB214" s="3">
        <v>12.79</v>
      </c>
      <c r="BC214" s="3">
        <v>2876</v>
      </c>
      <c r="BG214" s="16">
        <v>30.17</v>
      </c>
      <c r="BH214" s="16">
        <f t="shared" si="121"/>
        <v>60.943400000000004</v>
      </c>
      <c r="BI214" s="17">
        <f t="shared" si="119"/>
        <v>28.07</v>
      </c>
      <c r="BJ214" s="17">
        <f t="shared" si="120"/>
        <v>57.7</v>
      </c>
      <c r="BL214" s="1">
        <f t="shared" si="122"/>
        <v>92.2</v>
      </c>
      <c r="BM214" s="1">
        <f t="shared" si="123"/>
        <v>61.4</v>
      </c>
      <c r="BN214" s="1">
        <f t="shared" si="124"/>
        <v>28.9</v>
      </c>
      <c r="BO214" s="49">
        <f t="shared" si="130"/>
        <v>0.879</v>
      </c>
      <c r="BP214" s="49">
        <f t="shared" si="131"/>
        <v>2.1629999999999998</v>
      </c>
      <c r="BR214" s="3">
        <v>0</v>
      </c>
      <c r="BT214" s="16">
        <f t="shared" si="125"/>
        <v>28.07</v>
      </c>
      <c r="BU214" s="16">
        <f t="shared" si="126"/>
        <v>57.7</v>
      </c>
      <c r="BV214" s="3">
        <f t="shared" si="127"/>
        <v>16.3</v>
      </c>
      <c r="BW214" s="3">
        <f t="shared" si="118"/>
        <v>16.3</v>
      </c>
      <c r="BX214" s="3">
        <f t="shared" si="118"/>
        <v>16.2</v>
      </c>
      <c r="BY214" s="3">
        <f t="shared" si="118"/>
        <v>14.4</v>
      </c>
      <c r="BZ214" s="3">
        <f t="shared" si="117"/>
        <v>14.6</v>
      </c>
      <c r="CA214" s="3">
        <f t="shared" si="117"/>
        <v>12.7</v>
      </c>
      <c r="CB214" s="3">
        <f t="shared" si="117"/>
        <v>10</v>
      </c>
      <c r="CC214" s="22">
        <f t="shared" si="128"/>
        <v>61.4</v>
      </c>
      <c r="CD214" s="1">
        <f t="shared" si="132"/>
        <v>24.3</v>
      </c>
      <c r="CE214" s="1">
        <f t="shared" si="133"/>
        <v>27.2</v>
      </c>
      <c r="CF214" s="1">
        <f t="shared" si="134"/>
        <v>28.3</v>
      </c>
      <c r="CG214" s="1">
        <f t="shared" si="135"/>
        <v>27.3</v>
      </c>
      <c r="CH214" s="1">
        <f t="shared" si="136"/>
        <v>17.600000000000001</v>
      </c>
      <c r="CI214" s="1">
        <f t="shared" si="137"/>
        <v>13.2</v>
      </c>
      <c r="CJ214" s="1">
        <f t="shared" si="138"/>
        <v>10.7</v>
      </c>
      <c r="CK214" s="2">
        <f t="shared" si="129"/>
        <v>92.2</v>
      </c>
      <c r="CL214" s="1">
        <f t="shared" si="139"/>
        <v>7.8</v>
      </c>
      <c r="CM214" s="1">
        <f t="shared" si="140"/>
        <v>6.3</v>
      </c>
      <c r="CN214" s="1">
        <f t="shared" si="141"/>
        <v>5.7</v>
      </c>
      <c r="CO214" s="1">
        <f t="shared" si="142"/>
        <v>6.1</v>
      </c>
      <c r="CP214" s="1">
        <f t="shared" si="143"/>
        <v>12.1</v>
      </c>
      <c r="CQ214" s="1">
        <f t="shared" si="144"/>
        <v>11.8</v>
      </c>
      <c r="CR214" s="1">
        <f t="shared" si="145"/>
        <v>9.3000000000000007</v>
      </c>
      <c r="CS214" s="2">
        <f t="shared" si="146"/>
        <v>28.9</v>
      </c>
      <c r="CT214" s="6">
        <f t="shared" si="147"/>
        <v>0</v>
      </c>
      <c r="CU214" s="1">
        <f>PPTest!K214</f>
        <v>0</v>
      </c>
      <c r="CV214" s="3">
        <f t="shared" si="148"/>
        <v>1.55</v>
      </c>
      <c r="CW214" s="3">
        <f t="shared" si="149"/>
        <v>4.46</v>
      </c>
      <c r="CX214" s="24">
        <f t="shared" si="150"/>
        <v>0.879</v>
      </c>
      <c r="CY214" s="24">
        <f t="shared" si="150"/>
        <v>2.1629999999999998</v>
      </c>
      <c r="CZ214" s="16">
        <f t="shared" si="151"/>
        <v>12.79</v>
      </c>
    </row>
    <row r="215" spans="1:104" x14ac:dyDescent="0.2">
      <c r="A215" s="14">
        <f t="shared" si="152"/>
        <v>38926</v>
      </c>
      <c r="B215" s="1">
        <v>209</v>
      </c>
      <c r="C215" s="3">
        <v>23.93</v>
      </c>
      <c r="D215" s="3">
        <v>43.71</v>
      </c>
      <c r="E215" s="3">
        <v>13.45</v>
      </c>
      <c r="F215" s="3">
        <v>81.8</v>
      </c>
      <c r="G215" s="3">
        <v>13.43</v>
      </c>
      <c r="H215" s="3">
        <v>13.4</v>
      </c>
      <c r="I215" s="3">
        <v>12.58</v>
      </c>
      <c r="J215" s="3">
        <v>13.27</v>
      </c>
      <c r="K215" s="3">
        <v>12.52</v>
      </c>
      <c r="L215" s="3">
        <v>10.130000000000001</v>
      </c>
      <c r="M215" s="3">
        <v>1.6140000000000001</v>
      </c>
      <c r="N215" s="3">
        <v>0</v>
      </c>
      <c r="O215" s="3">
        <v>21.5</v>
      </c>
      <c r="P215" s="3">
        <v>1656</v>
      </c>
      <c r="Q215" s="3">
        <v>106.6</v>
      </c>
      <c r="R215" s="3">
        <v>319</v>
      </c>
      <c r="S215" s="3">
        <v>25.04</v>
      </c>
      <c r="T215" s="3">
        <v>25.98</v>
      </c>
      <c r="U215" s="3">
        <v>25.31</v>
      </c>
      <c r="V215" s="3">
        <v>15.53</v>
      </c>
      <c r="W215" s="3">
        <v>13.34</v>
      </c>
      <c r="X215" s="3">
        <v>11.01</v>
      </c>
      <c r="Y215" s="3">
        <v>3.7989999999999999</v>
      </c>
      <c r="Z215" s="3">
        <v>1146</v>
      </c>
      <c r="AA215" s="3">
        <v>5.27</v>
      </c>
      <c r="AB215" s="3">
        <v>318</v>
      </c>
      <c r="AC215" s="3">
        <v>48.64</v>
      </c>
      <c r="AD215" s="3">
        <v>1559</v>
      </c>
      <c r="AE215" s="3">
        <v>4.0670000000000002</v>
      </c>
      <c r="AF215" s="3">
        <v>3.5939999999999999</v>
      </c>
      <c r="AG215" s="3">
        <v>5.0339999999999998</v>
      </c>
      <c r="AH215" s="3">
        <v>10.99</v>
      </c>
      <c r="AI215" s="3">
        <v>11.64</v>
      </c>
      <c r="AJ215" s="3">
        <v>9.5</v>
      </c>
      <c r="AK215" s="3">
        <v>1.2E-2</v>
      </c>
      <c r="AL215" s="3">
        <v>0.29599999999999999</v>
      </c>
      <c r="AM215" s="3">
        <v>0.23699999999999999</v>
      </c>
      <c r="AN215" s="3">
        <v>0.01</v>
      </c>
      <c r="AO215" s="3">
        <v>8.3000000000000004E-2</v>
      </c>
      <c r="AP215" s="3">
        <v>0.20200000000000001</v>
      </c>
      <c r="AQ215" s="3">
        <v>0.122</v>
      </c>
      <c r="AR215" s="3">
        <v>3.7999999999999999E-2</v>
      </c>
      <c r="AS215" s="3">
        <v>3524</v>
      </c>
      <c r="AT215" s="3">
        <v>3444</v>
      </c>
      <c r="AU215" s="3">
        <v>3489</v>
      </c>
      <c r="AV215" s="3">
        <v>13.5</v>
      </c>
      <c r="AW215" s="3">
        <v>13.41</v>
      </c>
      <c r="AX215" s="3">
        <v>24.79</v>
      </c>
      <c r="AY215" s="3">
        <v>25.16</v>
      </c>
      <c r="AZ215" s="3">
        <v>4.149</v>
      </c>
      <c r="BA215" s="3">
        <v>3.8879999999999999</v>
      </c>
      <c r="BB215" s="3">
        <v>12.86</v>
      </c>
      <c r="BC215" s="3">
        <v>2876</v>
      </c>
      <c r="BG215" s="16">
        <v>30</v>
      </c>
      <c r="BH215" s="16">
        <f t="shared" si="121"/>
        <v>60.6</v>
      </c>
      <c r="BI215" s="17">
        <f t="shared" si="119"/>
        <v>23.45</v>
      </c>
      <c r="BJ215" s="17">
        <f t="shared" si="120"/>
        <v>48.08</v>
      </c>
      <c r="BL215" s="1">
        <f t="shared" si="122"/>
        <v>92.8</v>
      </c>
      <c r="BM215" s="1">
        <f t="shared" si="123"/>
        <v>65</v>
      </c>
      <c r="BN215" s="1">
        <f t="shared" si="124"/>
        <v>35.799999999999997</v>
      </c>
      <c r="BO215" s="49">
        <f t="shared" si="130"/>
        <v>0.91800000000000004</v>
      </c>
      <c r="BP215" s="49">
        <f t="shared" si="131"/>
        <v>1.6459999999999999</v>
      </c>
      <c r="BR215" s="3">
        <v>0</v>
      </c>
      <c r="BT215" s="16">
        <f t="shared" si="125"/>
        <v>23.45</v>
      </c>
      <c r="BU215" s="16">
        <f t="shared" si="126"/>
        <v>48.08</v>
      </c>
      <c r="BV215" s="3">
        <f t="shared" si="127"/>
        <v>13.5</v>
      </c>
      <c r="BW215" s="3">
        <f t="shared" si="118"/>
        <v>13.4</v>
      </c>
      <c r="BX215" s="3">
        <f t="shared" si="118"/>
        <v>13.4</v>
      </c>
      <c r="BY215" s="3">
        <f t="shared" si="118"/>
        <v>12.6</v>
      </c>
      <c r="BZ215" s="3">
        <f t="shared" si="117"/>
        <v>13.3</v>
      </c>
      <c r="CA215" s="3">
        <f t="shared" si="117"/>
        <v>12.5</v>
      </c>
      <c r="CB215" s="3">
        <f t="shared" si="117"/>
        <v>10.1</v>
      </c>
      <c r="CC215" s="22">
        <f t="shared" si="128"/>
        <v>65</v>
      </c>
      <c r="CD215" s="1">
        <f t="shared" si="132"/>
        <v>21.5</v>
      </c>
      <c r="CE215" s="1">
        <f t="shared" si="133"/>
        <v>25</v>
      </c>
      <c r="CF215" s="1">
        <f t="shared" si="134"/>
        <v>26</v>
      </c>
      <c r="CG215" s="1">
        <f t="shared" si="135"/>
        <v>25.3</v>
      </c>
      <c r="CH215" s="1">
        <f t="shared" si="136"/>
        <v>15.5</v>
      </c>
      <c r="CI215" s="1">
        <f t="shared" si="137"/>
        <v>13.3</v>
      </c>
      <c r="CJ215" s="1">
        <f t="shared" si="138"/>
        <v>11</v>
      </c>
      <c r="CK215" s="2">
        <f t="shared" si="129"/>
        <v>92.8</v>
      </c>
      <c r="CL215" s="1">
        <f t="shared" si="139"/>
        <v>5.3</v>
      </c>
      <c r="CM215" s="1">
        <f t="shared" si="140"/>
        <v>4.0999999999999996</v>
      </c>
      <c r="CN215" s="1">
        <f t="shared" si="141"/>
        <v>3.6</v>
      </c>
      <c r="CO215" s="1">
        <f t="shared" si="142"/>
        <v>5</v>
      </c>
      <c r="CP215" s="1">
        <f t="shared" si="143"/>
        <v>11</v>
      </c>
      <c r="CQ215" s="1">
        <f t="shared" si="144"/>
        <v>11.6</v>
      </c>
      <c r="CR215" s="1">
        <f t="shared" si="145"/>
        <v>9.5</v>
      </c>
      <c r="CS215" s="2">
        <f t="shared" si="146"/>
        <v>35.799999999999997</v>
      </c>
      <c r="CT215" s="6">
        <f t="shared" si="147"/>
        <v>0</v>
      </c>
      <c r="CU215" s="1">
        <f>PPTest!K215</f>
        <v>0</v>
      </c>
      <c r="CV215" s="3">
        <f t="shared" si="148"/>
        <v>1.61</v>
      </c>
      <c r="CW215" s="3">
        <f t="shared" si="149"/>
        <v>3.8</v>
      </c>
      <c r="CX215" s="24">
        <f t="shared" si="150"/>
        <v>0.91800000000000004</v>
      </c>
      <c r="CY215" s="24">
        <f t="shared" si="150"/>
        <v>1.6459999999999999</v>
      </c>
      <c r="CZ215" s="16">
        <f t="shared" si="151"/>
        <v>12.86</v>
      </c>
    </row>
    <row r="216" spans="1:104" x14ac:dyDescent="0.2">
      <c r="A216" s="14">
        <f t="shared" si="152"/>
        <v>38927</v>
      </c>
      <c r="B216" s="1">
        <v>210</v>
      </c>
      <c r="C216" s="3">
        <v>29.84</v>
      </c>
      <c r="D216" s="3">
        <v>53.44</v>
      </c>
      <c r="E216" s="3">
        <v>11.5</v>
      </c>
      <c r="F216" s="3">
        <v>70.7</v>
      </c>
      <c r="G216" s="3">
        <v>11.55</v>
      </c>
      <c r="H216" s="3">
        <v>11.54</v>
      </c>
      <c r="I216" s="3">
        <v>10.78</v>
      </c>
      <c r="J216" s="3">
        <v>12.67</v>
      </c>
      <c r="K216" s="3">
        <v>12.12</v>
      </c>
      <c r="L216" s="3">
        <v>10.16</v>
      </c>
      <c r="M216" s="3">
        <v>1.85</v>
      </c>
      <c r="N216" s="3">
        <v>0</v>
      </c>
      <c r="O216" s="3">
        <v>18.14</v>
      </c>
      <c r="P216" s="3">
        <v>1602</v>
      </c>
      <c r="Q216" s="3">
        <v>109.4</v>
      </c>
      <c r="R216" s="3">
        <v>350</v>
      </c>
      <c r="S216" s="3">
        <v>22.2</v>
      </c>
      <c r="T216" s="3">
        <v>24.58</v>
      </c>
      <c r="U216" s="3">
        <v>23.11</v>
      </c>
      <c r="V216" s="3">
        <v>15.34</v>
      </c>
      <c r="W216" s="3">
        <v>13.15</v>
      </c>
      <c r="X216" s="3">
        <v>11.16</v>
      </c>
      <c r="Y216" s="3">
        <v>5.2480000000000002</v>
      </c>
      <c r="Z216" s="3">
        <v>1456</v>
      </c>
      <c r="AA216" s="3">
        <v>2.1949999999999998</v>
      </c>
      <c r="AB216" s="3">
        <v>0</v>
      </c>
      <c r="AC216" s="3">
        <v>31.76</v>
      </c>
      <c r="AD216" s="3">
        <v>1840</v>
      </c>
      <c r="AE216" s="3">
        <v>0.749</v>
      </c>
      <c r="AF216" s="3">
        <v>0.222</v>
      </c>
      <c r="AG216" s="3">
        <v>1.4059999999999999</v>
      </c>
      <c r="AH216" s="3">
        <v>10.43</v>
      </c>
      <c r="AI216" s="3">
        <v>11.47</v>
      </c>
      <c r="AJ216" s="3">
        <v>9.51</v>
      </c>
      <c r="AK216" s="3">
        <v>2.1000000000000001E-2</v>
      </c>
      <c r="AL216" s="3">
        <v>0.24</v>
      </c>
      <c r="AM216" s="3">
        <v>0.21</v>
      </c>
      <c r="AN216" s="3">
        <v>0.02</v>
      </c>
      <c r="AO216" s="3">
        <v>9.1999999999999998E-2</v>
      </c>
      <c r="AP216" s="3">
        <v>0.20799999999999999</v>
      </c>
      <c r="AQ216" s="3">
        <v>0.152</v>
      </c>
      <c r="AR216" s="3">
        <v>5.8000000000000003E-2</v>
      </c>
      <c r="AS216" s="3">
        <v>3531</v>
      </c>
      <c r="AT216" s="3">
        <v>3463</v>
      </c>
      <c r="AU216" s="3">
        <v>3508</v>
      </c>
      <c r="AV216" s="3">
        <v>12.41</v>
      </c>
      <c r="AW216" s="3">
        <v>12.15</v>
      </c>
      <c r="AX216" s="3">
        <v>22.6</v>
      </c>
      <c r="AY216" s="3">
        <v>22.65</v>
      </c>
      <c r="AZ216" s="3">
        <v>1.79</v>
      </c>
      <c r="BA216" s="3">
        <v>0.89700000000000002</v>
      </c>
      <c r="BB216" s="3">
        <v>12.88</v>
      </c>
      <c r="BC216" s="3">
        <v>2876</v>
      </c>
      <c r="BG216" s="16">
        <v>29.84</v>
      </c>
      <c r="BH216" s="16">
        <f t="shared" si="121"/>
        <v>60.276800000000001</v>
      </c>
      <c r="BI216" s="17">
        <f t="shared" si="119"/>
        <v>29.24</v>
      </c>
      <c r="BJ216" s="17">
        <f t="shared" si="120"/>
        <v>58.78</v>
      </c>
      <c r="BL216" s="1">
        <f t="shared" si="122"/>
        <v>97.2</v>
      </c>
      <c r="BM216" s="1">
        <f t="shared" si="123"/>
        <v>55.2</v>
      </c>
      <c r="BN216" s="1">
        <f t="shared" si="124"/>
        <v>20.9</v>
      </c>
      <c r="BO216" s="49">
        <f t="shared" si="130"/>
        <v>0.435</v>
      </c>
      <c r="BP216" s="49">
        <f t="shared" si="131"/>
        <v>1.6459999999999999</v>
      </c>
      <c r="BR216" s="3">
        <v>0</v>
      </c>
      <c r="BT216" s="16">
        <f t="shared" si="125"/>
        <v>29.24</v>
      </c>
      <c r="BU216" s="16">
        <f t="shared" si="126"/>
        <v>58.78</v>
      </c>
      <c r="BV216" s="3">
        <f t="shared" si="127"/>
        <v>11.5</v>
      </c>
      <c r="BW216" s="3">
        <f t="shared" si="118"/>
        <v>11.6</v>
      </c>
      <c r="BX216" s="3">
        <f t="shared" si="118"/>
        <v>11.5</v>
      </c>
      <c r="BY216" s="3">
        <f t="shared" si="118"/>
        <v>10.8</v>
      </c>
      <c r="BZ216" s="3">
        <f t="shared" si="117"/>
        <v>12.7</v>
      </c>
      <c r="CA216" s="3">
        <f t="shared" si="117"/>
        <v>12.1</v>
      </c>
      <c r="CB216" s="3">
        <f t="shared" si="117"/>
        <v>10.199999999999999</v>
      </c>
      <c r="CC216" s="22">
        <f t="shared" si="128"/>
        <v>55.2</v>
      </c>
      <c r="CD216" s="1">
        <f t="shared" si="132"/>
        <v>18.100000000000001</v>
      </c>
      <c r="CE216" s="1">
        <f t="shared" si="133"/>
        <v>22.2</v>
      </c>
      <c r="CF216" s="1">
        <f t="shared" si="134"/>
        <v>24.6</v>
      </c>
      <c r="CG216" s="1">
        <f t="shared" si="135"/>
        <v>23.1</v>
      </c>
      <c r="CH216" s="1">
        <f t="shared" si="136"/>
        <v>15.3</v>
      </c>
      <c r="CI216" s="1">
        <f t="shared" si="137"/>
        <v>13.2</v>
      </c>
      <c r="CJ216" s="1">
        <f t="shared" si="138"/>
        <v>11.2</v>
      </c>
      <c r="CK216" s="2">
        <f t="shared" si="129"/>
        <v>97.2</v>
      </c>
      <c r="CL216" s="1">
        <f t="shared" si="139"/>
        <v>2.2000000000000002</v>
      </c>
      <c r="CM216" s="1">
        <f t="shared" si="140"/>
        <v>0.7</v>
      </c>
      <c r="CN216" s="1">
        <f t="shared" si="141"/>
        <v>0.2</v>
      </c>
      <c r="CO216" s="1">
        <f t="shared" si="142"/>
        <v>1.4</v>
      </c>
      <c r="CP216" s="1">
        <f t="shared" si="143"/>
        <v>10.4</v>
      </c>
      <c r="CQ216" s="1">
        <f t="shared" si="144"/>
        <v>11.5</v>
      </c>
      <c r="CR216" s="1">
        <f t="shared" si="145"/>
        <v>9.5</v>
      </c>
      <c r="CS216" s="2">
        <f t="shared" si="146"/>
        <v>20.9</v>
      </c>
      <c r="CT216" s="6">
        <f t="shared" si="147"/>
        <v>0</v>
      </c>
      <c r="CU216" s="1">
        <f>PPTest!K216</f>
        <v>0</v>
      </c>
      <c r="CV216" s="3">
        <f t="shared" si="148"/>
        <v>1.85</v>
      </c>
      <c r="CW216" s="3">
        <f t="shared" si="149"/>
        <v>5.25</v>
      </c>
      <c r="CX216" s="24">
        <f t="shared" si="150"/>
        <v>0.435</v>
      </c>
      <c r="CY216" s="24">
        <f t="shared" si="150"/>
        <v>1.6459999999999999</v>
      </c>
      <c r="CZ216" s="16">
        <f t="shared" si="151"/>
        <v>12.88</v>
      </c>
    </row>
    <row r="217" spans="1:104" x14ac:dyDescent="0.2">
      <c r="A217" s="14">
        <f t="shared" si="152"/>
        <v>38928</v>
      </c>
      <c r="B217" s="1">
        <v>211</v>
      </c>
      <c r="C217" s="3">
        <v>12.86</v>
      </c>
      <c r="D217" s="3">
        <v>24.72</v>
      </c>
      <c r="E217" s="3">
        <v>5.2469999999999999</v>
      </c>
      <c r="F217" s="3">
        <v>94.7</v>
      </c>
      <c r="G217" s="3">
        <v>5.3860000000000001</v>
      </c>
      <c r="H217" s="3">
        <v>5.3979999999999997</v>
      </c>
      <c r="I217" s="3">
        <v>6.4550000000000001</v>
      </c>
      <c r="J217" s="3">
        <v>9.69</v>
      </c>
      <c r="K217" s="3">
        <v>11.38</v>
      </c>
      <c r="L217" s="3">
        <v>10.23</v>
      </c>
      <c r="M217" s="3">
        <v>1.76</v>
      </c>
      <c r="N217" s="3">
        <v>10</v>
      </c>
      <c r="O217" s="3">
        <v>9.77</v>
      </c>
      <c r="P217" s="3">
        <v>831</v>
      </c>
      <c r="Q217" s="3">
        <v>110.6</v>
      </c>
      <c r="R217" s="3">
        <v>2219</v>
      </c>
      <c r="S217" s="3">
        <v>14.43</v>
      </c>
      <c r="T217" s="3">
        <v>14.89</v>
      </c>
      <c r="U217" s="3">
        <v>12.01</v>
      </c>
      <c r="V217" s="3">
        <v>10.78</v>
      </c>
      <c r="W217" s="3">
        <v>12.51</v>
      </c>
      <c r="X217" s="3">
        <v>10.97</v>
      </c>
      <c r="Y217" s="3">
        <v>5.6340000000000003</v>
      </c>
      <c r="Z217" s="3">
        <v>1145</v>
      </c>
      <c r="AA217" s="3">
        <v>0.33600000000000002</v>
      </c>
      <c r="AB217" s="3">
        <v>452</v>
      </c>
      <c r="AC217" s="3">
        <v>65.39</v>
      </c>
      <c r="AD217" s="3">
        <v>732</v>
      </c>
      <c r="AE217" s="3">
        <v>-1.321</v>
      </c>
      <c r="AF217" s="3">
        <v>-1.7070000000000001</v>
      </c>
      <c r="AG217" s="3">
        <v>0.44</v>
      </c>
      <c r="AH217" s="3">
        <v>8.24</v>
      </c>
      <c r="AI217" s="3">
        <v>10.46</v>
      </c>
      <c r="AJ217" s="3">
        <v>9.83</v>
      </c>
      <c r="AK217" s="3">
        <v>1.9E-2</v>
      </c>
      <c r="AL217" s="3">
        <v>0.14199999999999999</v>
      </c>
      <c r="AM217" s="3">
        <v>0.129</v>
      </c>
      <c r="AN217" s="3">
        <v>1.7000000000000001E-2</v>
      </c>
      <c r="AO217" s="3">
        <v>0.17699999999999999</v>
      </c>
      <c r="AP217" s="3">
        <v>0.34</v>
      </c>
      <c r="AQ217" s="3">
        <v>0.14099999999999999</v>
      </c>
      <c r="AR217" s="3">
        <v>3.4000000000000002E-2</v>
      </c>
      <c r="AS217" s="3">
        <v>3516</v>
      </c>
      <c r="AT217" s="3">
        <v>3509</v>
      </c>
      <c r="AU217" s="3">
        <v>3512</v>
      </c>
      <c r="AV217" s="3">
        <v>5.9740000000000002</v>
      </c>
      <c r="AW217" s="3">
        <v>5.9359999999999999</v>
      </c>
      <c r="AX217" s="3">
        <v>11.23</v>
      </c>
      <c r="AY217" s="3">
        <v>11.52</v>
      </c>
      <c r="AZ217" s="3">
        <v>-0.84199999999999997</v>
      </c>
      <c r="BA217" s="3">
        <v>-1.1379999999999999</v>
      </c>
      <c r="BB217" s="3">
        <v>13.03</v>
      </c>
      <c r="BC217" s="3">
        <v>2876</v>
      </c>
      <c r="BG217" s="16">
        <v>29.68</v>
      </c>
      <c r="BH217" s="16">
        <f t="shared" si="121"/>
        <v>59.953600000000002</v>
      </c>
      <c r="BI217" s="17">
        <f t="shared" si="119"/>
        <v>12.6</v>
      </c>
      <c r="BJ217" s="17">
        <f t="shared" si="120"/>
        <v>27.19</v>
      </c>
      <c r="BL217" s="1">
        <f t="shared" si="122"/>
        <v>99.2</v>
      </c>
      <c r="BM217" s="1">
        <f t="shared" si="123"/>
        <v>76.3</v>
      </c>
      <c r="BN217" s="1">
        <f t="shared" si="124"/>
        <v>50.5</v>
      </c>
      <c r="BO217" s="49">
        <f t="shared" si="130"/>
        <v>0.61</v>
      </c>
      <c r="BP217" s="49">
        <f t="shared" si="131"/>
        <v>0.59799999999999998</v>
      </c>
      <c r="BR217" s="3">
        <v>4.8</v>
      </c>
      <c r="BT217" s="16">
        <f t="shared" si="125"/>
        <v>12.6</v>
      </c>
      <c r="BU217" s="16">
        <f t="shared" si="126"/>
        <v>27.19</v>
      </c>
      <c r="BV217" s="3">
        <f t="shared" si="127"/>
        <v>5.2</v>
      </c>
      <c r="BW217" s="3">
        <f t="shared" si="118"/>
        <v>5.4</v>
      </c>
      <c r="BX217" s="3">
        <f t="shared" si="118"/>
        <v>5.4</v>
      </c>
      <c r="BY217" s="3">
        <f t="shared" si="118"/>
        <v>6.5</v>
      </c>
      <c r="BZ217" s="3">
        <f t="shared" si="117"/>
        <v>9.6999999999999993</v>
      </c>
      <c r="CA217" s="3">
        <f t="shared" si="117"/>
        <v>11.4</v>
      </c>
      <c r="CB217" s="3">
        <f t="shared" si="117"/>
        <v>10.199999999999999</v>
      </c>
      <c r="CC217" s="22">
        <f t="shared" si="128"/>
        <v>76.3</v>
      </c>
      <c r="CD217" s="1">
        <f t="shared" si="132"/>
        <v>9.8000000000000007</v>
      </c>
      <c r="CE217" s="1">
        <f t="shared" si="133"/>
        <v>14.4</v>
      </c>
      <c r="CF217" s="1">
        <f t="shared" si="134"/>
        <v>14.9</v>
      </c>
      <c r="CG217" s="1">
        <f t="shared" si="135"/>
        <v>12</v>
      </c>
      <c r="CH217" s="1">
        <f t="shared" si="136"/>
        <v>10.8</v>
      </c>
      <c r="CI217" s="1">
        <f t="shared" si="137"/>
        <v>12.5</v>
      </c>
      <c r="CJ217" s="1">
        <f t="shared" si="138"/>
        <v>11</v>
      </c>
      <c r="CK217" s="2">
        <f t="shared" si="129"/>
        <v>99.2</v>
      </c>
      <c r="CL217" s="1">
        <f t="shared" si="139"/>
        <v>0.3</v>
      </c>
      <c r="CM217" s="1">
        <f t="shared" si="140"/>
        <v>-1.3</v>
      </c>
      <c r="CN217" s="1">
        <f t="shared" si="141"/>
        <v>-1.7</v>
      </c>
      <c r="CO217" s="1">
        <f t="shared" si="142"/>
        <v>0.4</v>
      </c>
      <c r="CP217" s="1">
        <f t="shared" si="143"/>
        <v>8.1999999999999993</v>
      </c>
      <c r="CQ217" s="1">
        <f t="shared" si="144"/>
        <v>10.5</v>
      </c>
      <c r="CR217" s="1">
        <f t="shared" si="145"/>
        <v>9.8000000000000007</v>
      </c>
      <c r="CS217" s="2">
        <f t="shared" si="146"/>
        <v>50.5</v>
      </c>
      <c r="CT217" s="6">
        <f t="shared" si="147"/>
        <v>0</v>
      </c>
      <c r="CU217" s="1">
        <f>PPTest!K217</f>
        <v>10</v>
      </c>
      <c r="CV217" s="3">
        <f t="shared" si="148"/>
        <v>1.76</v>
      </c>
      <c r="CW217" s="3">
        <f t="shared" si="149"/>
        <v>5.63</v>
      </c>
      <c r="CX217" s="24">
        <f t="shared" si="150"/>
        <v>0.61</v>
      </c>
      <c r="CY217" s="24">
        <f t="shared" si="150"/>
        <v>0.59799999999999998</v>
      </c>
      <c r="CZ217" s="16">
        <f t="shared" si="151"/>
        <v>13.03</v>
      </c>
    </row>
    <row r="218" spans="1:104" x14ac:dyDescent="0.2">
      <c r="A218" s="14">
        <f t="shared" si="152"/>
        <v>38929</v>
      </c>
      <c r="B218" s="1">
        <v>212</v>
      </c>
      <c r="C218" s="3">
        <v>17.02</v>
      </c>
      <c r="D218" s="3">
        <v>33.119999999999997</v>
      </c>
      <c r="E218" s="3">
        <v>6.335</v>
      </c>
      <c r="F218" s="3">
        <v>99.5</v>
      </c>
      <c r="G218" s="3">
        <v>6.476</v>
      </c>
      <c r="H218" s="3">
        <v>6.3890000000000002</v>
      </c>
      <c r="I218" s="3">
        <v>7.16</v>
      </c>
      <c r="J218" s="3">
        <v>9.49</v>
      </c>
      <c r="K218" s="3">
        <v>10.25</v>
      </c>
      <c r="L218" s="3">
        <v>10.06</v>
      </c>
      <c r="M218" s="3">
        <v>1.1990000000000001</v>
      </c>
      <c r="N218" s="3">
        <v>0</v>
      </c>
      <c r="O218" s="3">
        <v>13.64</v>
      </c>
      <c r="P218" s="3">
        <v>1625</v>
      </c>
      <c r="Q218" s="3">
        <v>110.6</v>
      </c>
      <c r="R218" s="3">
        <v>4</v>
      </c>
      <c r="S218" s="3">
        <v>16.010000000000002</v>
      </c>
      <c r="T218" s="3">
        <v>16.02</v>
      </c>
      <c r="U218" s="3">
        <v>14.64</v>
      </c>
      <c r="V218" s="3">
        <v>11.91</v>
      </c>
      <c r="W218" s="3">
        <v>10.83</v>
      </c>
      <c r="X218" s="3">
        <v>10.75</v>
      </c>
      <c r="Y218" s="3">
        <v>3.7050000000000001</v>
      </c>
      <c r="Z218" s="3">
        <v>1104</v>
      </c>
      <c r="AA218" s="3">
        <v>0.5</v>
      </c>
      <c r="AB218" s="3">
        <v>2331</v>
      </c>
      <c r="AC218" s="3">
        <v>62.81</v>
      </c>
      <c r="AD218" s="3">
        <v>1745</v>
      </c>
      <c r="AE218" s="3">
        <v>-0.52600000000000002</v>
      </c>
      <c r="AF218" s="3">
        <v>-0.68500000000000005</v>
      </c>
      <c r="AG218" s="3">
        <v>1.1359999999999999</v>
      </c>
      <c r="AH218" s="3">
        <v>7.87</v>
      </c>
      <c r="AI218" s="3">
        <v>9.5299999999999994</v>
      </c>
      <c r="AJ218" s="3">
        <v>9.34</v>
      </c>
      <c r="AK218" s="3">
        <v>7.3999999999999996E-2</v>
      </c>
      <c r="AL218" s="3">
        <v>0.22600000000000001</v>
      </c>
      <c r="AM218" s="3">
        <v>0.10199999999999999</v>
      </c>
      <c r="AN218" s="3">
        <v>3.5999999999999997E-2</v>
      </c>
      <c r="AO218" s="3">
        <v>0.12</v>
      </c>
      <c r="AP218" s="3">
        <v>0.20799999999999999</v>
      </c>
      <c r="AQ218" s="3">
        <v>0.13700000000000001</v>
      </c>
      <c r="AR218" s="3">
        <v>9.7000000000000003E-2</v>
      </c>
      <c r="AS218" s="3">
        <v>3510</v>
      </c>
      <c r="AT218" s="3">
        <v>3504</v>
      </c>
      <c r="AU218" s="3">
        <v>3507</v>
      </c>
      <c r="AV218" s="3">
        <v>7.1</v>
      </c>
      <c r="AW218" s="3">
        <v>6.9480000000000004</v>
      </c>
      <c r="AX218" s="3">
        <v>14.02</v>
      </c>
      <c r="AY218" s="3">
        <v>14.54</v>
      </c>
      <c r="AZ218" s="3">
        <v>0.10299999999999999</v>
      </c>
      <c r="BA218" s="3">
        <v>-0.156</v>
      </c>
      <c r="BB218" s="3">
        <v>13.04</v>
      </c>
      <c r="BC218" s="3">
        <v>2876</v>
      </c>
      <c r="BG218" s="16">
        <v>29.51</v>
      </c>
      <c r="BH218" s="16">
        <f t="shared" si="121"/>
        <v>59.610200000000006</v>
      </c>
      <c r="BI218" s="17">
        <f t="shared" si="119"/>
        <v>16.68</v>
      </c>
      <c r="BJ218" s="17">
        <f t="shared" si="120"/>
        <v>36.43</v>
      </c>
      <c r="BL218" s="1">
        <f t="shared" si="122"/>
        <v>99.2</v>
      </c>
      <c r="BM218" s="1">
        <f t="shared" si="123"/>
        <v>81.5</v>
      </c>
      <c r="BN218" s="1">
        <f t="shared" si="124"/>
        <v>48.3</v>
      </c>
      <c r="BO218" s="49">
        <f t="shared" si="130"/>
        <v>0.754</v>
      </c>
      <c r="BP218" s="49">
        <f t="shared" si="131"/>
        <v>0.80700000000000005</v>
      </c>
      <c r="BR218" s="3">
        <v>0</v>
      </c>
      <c r="BT218" s="16">
        <f t="shared" si="125"/>
        <v>16.68</v>
      </c>
      <c r="BU218" s="16">
        <f t="shared" si="126"/>
        <v>36.43</v>
      </c>
      <c r="BV218" s="3">
        <f t="shared" si="127"/>
        <v>6.3</v>
      </c>
      <c r="BW218" s="3">
        <f t="shared" si="118"/>
        <v>6.5</v>
      </c>
      <c r="BX218" s="3">
        <f t="shared" si="118"/>
        <v>6.4</v>
      </c>
      <c r="BY218" s="3">
        <f t="shared" si="118"/>
        <v>7.2</v>
      </c>
      <c r="BZ218" s="3">
        <f t="shared" si="117"/>
        <v>9.5</v>
      </c>
      <c r="CA218" s="3">
        <f t="shared" si="117"/>
        <v>10.3</v>
      </c>
      <c r="CB218" s="3">
        <f t="shared" si="117"/>
        <v>10.1</v>
      </c>
      <c r="CC218" s="22">
        <f t="shared" si="128"/>
        <v>81.5</v>
      </c>
      <c r="CD218" s="1">
        <f t="shared" si="132"/>
        <v>13.6</v>
      </c>
      <c r="CE218" s="1">
        <f t="shared" si="133"/>
        <v>16</v>
      </c>
      <c r="CF218" s="1">
        <f t="shared" si="134"/>
        <v>16</v>
      </c>
      <c r="CG218" s="1">
        <f t="shared" si="135"/>
        <v>14.6</v>
      </c>
      <c r="CH218" s="1">
        <f t="shared" si="136"/>
        <v>11.9</v>
      </c>
      <c r="CI218" s="1">
        <f t="shared" si="137"/>
        <v>10.8</v>
      </c>
      <c r="CJ218" s="1">
        <f t="shared" si="138"/>
        <v>10.8</v>
      </c>
      <c r="CK218" s="2">
        <f t="shared" si="129"/>
        <v>99.2</v>
      </c>
      <c r="CL218" s="1">
        <f t="shared" si="139"/>
        <v>0.5</v>
      </c>
      <c r="CM218" s="1">
        <f t="shared" si="140"/>
        <v>-0.5</v>
      </c>
      <c r="CN218" s="1">
        <f t="shared" si="141"/>
        <v>-0.7</v>
      </c>
      <c r="CO218" s="1">
        <f t="shared" si="142"/>
        <v>1.1000000000000001</v>
      </c>
      <c r="CP218" s="1">
        <f t="shared" si="143"/>
        <v>7.9</v>
      </c>
      <c r="CQ218" s="1">
        <f t="shared" si="144"/>
        <v>9.5</v>
      </c>
      <c r="CR218" s="1">
        <f t="shared" si="145"/>
        <v>9.3000000000000007</v>
      </c>
      <c r="CS218" s="2">
        <f t="shared" si="146"/>
        <v>48.3</v>
      </c>
      <c r="CT218" s="6">
        <f t="shared" si="147"/>
        <v>0</v>
      </c>
      <c r="CU218" s="1">
        <f>PPTest!K218</f>
        <v>0</v>
      </c>
      <c r="CV218" s="3">
        <f t="shared" si="148"/>
        <v>1.2</v>
      </c>
      <c r="CW218" s="3">
        <f t="shared" si="149"/>
        <v>3.71</v>
      </c>
      <c r="CX218" s="24">
        <f t="shared" si="150"/>
        <v>0.754</v>
      </c>
      <c r="CY218" s="24">
        <f t="shared" si="150"/>
        <v>0.80700000000000005</v>
      </c>
      <c r="CZ218" s="16">
        <f t="shared" si="151"/>
        <v>13.04</v>
      </c>
    </row>
    <row r="219" spans="1:104" x14ac:dyDescent="0.2">
      <c r="A219" s="14">
        <f t="shared" si="152"/>
        <v>38930</v>
      </c>
      <c r="B219" s="1">
        <v>213</v>
      </c>
      <c r="C219" s="3">
        <v>24.19</v>
      </c>
      <c r="D219" s="3">
        <v>44.04</v>
      </c>
      <c r="E219" s="3">
        <v>9.16</v>
      </c>
      <c r="F219" s="3">
        <v>86.4</v>
      </c>
      <c r="G219" s="3">
        <v>9.2899999999999991</v>
      </c>
      <c r="H219" s="3">
        <v>9.27</v>
      </c>
      <c r="I219" s="3">
        <v>9.08</v>
      </c>
      <c r="J219" s="3">
        <v>10.19</v>
      </c>
      <c r="K219" s="3">
        <v>10.119999999999999</v>
      </c>
      <c r="L219" s="3">
        <v>9.89</v>
      </c>
      <c r="M219" s="3">
        <v>1.579</v>
      </c>
      <c r="N219" s="3">
        <v>0</v>
      </c>
      <c r="O219" s="3">
        <v>16.170000000000002</v>
      </c>
      <c r="P219" s="3">
        <v>1659</v>
      </c>
      <c r="Q219" s="3">
        <v>110.4</v>
      </c>
      <c r="R219" s="3">
        <v>5</v>
      </c>
      <c r="S219" s="3">
        <v>19.079999999999998</v>
      </c>
      <c r="T219" s="3">
        <v>20.34</v>
      </c>
      <c r="U219" s="3">
        <v>17.45</v>
      </c>
      <c r="V219" s="3">
        <v>13.16</v>
      </c>
      <c r="W219" s="3">
        <v>10.73</v>
      </c>
      <c r="X219" s="3">
        <v>10.56</v>
      </c>
      <c r="Y219" s="3">
        <v>4.6500000000000004</v>
      </c>
      <c r="Z219" s="3">
        <v>1448</v>
      </c>
      <c r="AA219" s="3">
        <v>0.60399999999999998</v>
      </c>
      <c r="AB219" s="3">
        <v>1</v>
      </c>
      <c r="AC219" s="3">
        <v>52.34</v>
      </c>
      <c r="AD219" s="3">
        <v>1524</v>
      </c>
      <c r="AE219" s="3">
        <v>0.33100000000000002</v>
      </c>
      <c r="AF219" s="3">
        <v>5.8999999999999997E-2</v>
      </c>
      <c r="AG219" s="3">
        <v>1.901</v>
      </c>
      <c r="AH219" s="3">
        <v>7.68</v>
      </c>
      <c r="AI219" s="3">
        <v>9.59</v>
      </c>
      <c r="AJ219" s="3">
        <v>9.18</v>
      </c>
      <c r="AK219" s="3">
        <v>4.2000000000000003E-2</v>
      </c>
      <c r="AL219" s="3">
        <v>0.21</v>
      </c>
      <c r="AM219" s="3">
        <v>0.21099999999999999</v>
      </c>
      <c r="AN219" s="3">
        <v>1.6E-2</v>
      </c>
      <c r="AO219" s="3">
        <v>9.4E-2</v>
      </c>
      <c r="AP219" s="3">
        <v>0.21</v>
      </c>
      <c r="AQ219" s="3">
        <v>0.161</v>
      </c>
      <c r="AR219" s="3">
        <v>5.5E-2</v>
      </c>
      <c r="AS219" s="3">
        <v>3512</v>
      </c>
      <c r="AT219" s="3">
        <v>3508</v>
      </c>
      <c r="AU219" s="3">
        <v>3511</v>
      </c>
      <c r="AV219" s="3">
        <v>9.41</v>
      </c>
      <c r="AW219" s="3">
        <v>9.41</v>
      </c>
      <c r="AX219" s="3">
        <v>18.48</v>
      </c>
      <c r="AY219" s="3">
        <v>18.920000000000002</v>
      </c>
      <c r="AZ219" s="3">
        <v>6.3E-2</v>
      </c>
      <c r="BA219" s="3">
        <v>-0.156</v>
      </c>
      <c r="BB219" s="3">
        <v>12.98</v>
      </c>
      <c r="BC219" s="3">
        <v>2876</v>
      </c>
      <c r="BG219" s="16">
        <v>29.34</v>
      </c>
      <c r="BH219" s="16">
        <f t="shared" si="121"/>
        <v>59.266800000000003</v>
      </c>
      <c r="BI219" s="17">
        <f t="shared" si="119"/>
        <v>23.71</v>
      </c>
      <c r="BJ219" s="17">
        <f t="shared" si="120"/>
        <v>48.44</v>
      </c>
      <c r="BL219" s="1">
        <f t="shared" si="122"/>
        <v>98.8</v>
      </c>
      <c r="BM219" s="1">
        <f t="shared" si="123"/>
        <v>69</v>
      </c>
      <c r="BN219" s="1">
        <f t="shared" si="124"/>
        <v>39.1</v>
      </c>
      <c r="BO219" s="49">
        <f t="shared" si="130"/>
        <v>0.71799999999999997</v>
      </c>
      <c r="BP219" s="49">
        <f t="shared" si="131"/>
        <v>1.1180000000000001</v>
      </c>
      <c r="BR219" s="3">
        <v>0</v>
      </c>
      <c r="BT219" s="16">
        <f t="shared" si="125"/>
        <v>23.71</v>
      </c>
      <c r="BU219" s="16">
        <f t="shared" si="126"/>
        <v>48.44</v>
      </c>
      <c r="BV219" s="3">
        <f t="shared" si="127"/>
        <v>9.1999999999999993</v>
      </c>
      <c r="BW219" s="3">
        <f t="shared" si="118"/>
        <v>9.3000000000000007</v>
      </c>
      <c r="BX219" s="3">
        <f t="shared" si="118"/>
        <v>9.3000000000000007</v>
      </c>
      <c r="BY219" s="3">
        <f t="shared" si="118"/>
        <v>9.1</v>
      </c>
      <c r="BZ219" s="3">
        <f t="shared" si="117"/>
        <v>10.199999999999999</v>
      </c>
      <c r="CA219" s="3">
        <f t="shared" si="117"/>
        <v>10.1</v>
      </c>
      <c r="CB219" s="3">
        <f t="shared" si="117"/>
        <v>9.9</v>
      </c>
      <c r="CC219" s="22">
        <f t="shared" si="128"/>
        <v>69</v>
      </c>
      <c r="CD219" s="1">
        <f t="shared" si="132"/>
        <v>16.2</v>
      </c>
      <c r="CE219" s="1">
        <f t="shared" si="133"/>
        <v>19.100000000000001</v>
      </c>
      <c r="CF219" s="1">
        <f t="shared" si="134"/>
        <v>20.3</v>
      </c>
      <c r="CG219" s="1">
        <f t="shared" si="135"/>
        <v>17.5</v>
      </c>
      <c r="CH219" s="1">
        <f t="shared" si="136"/>
        <v>13.2</v>
      </c>
      <c r="CI219" s="1">
        <f t="shared" si="137"/>
        <v>10.7</v>
      </c>
      <c r="CJ219" s="1">
        <f t="shared" si="138"/>
        <v>10.6</v>
      </c>
      <c r="CK219" s="2">
        <f t="shared" si="129"/>
        <v>98.8</v>
      </c>
      <c r="CL219" s="1">
        <f t="shared" si="139"/>
        <v>0.6</v>
      </c>
      <c r="CM219" s="1">
        <f t="shared" si="140"/>
        <v>0.3</v>
      </c>
      <c r="CN219" s="1">
        <f t="shared" si="141"/>
        <v>0.1</v>
      </c>
      <c r="CO219" s="1">
        <f t="shared" si="142"/>
        <v>1.9</v>
      </c>
      <c r="CP219" s="1">
        <f t="shared" si="143"/>
        <v>7.7</v>
      </c>
      <c r="CQ219" s="1">
        <f t="shared" si="144"/>
        <v>9.6</v>
      </c>
      <c r="CR219" s="1">
        <f t="shared" si="145"/>
        <v>9.1999999999999993</v>
      </c>
      <c r="CS219" s="2">
        <f t="shared" si="146"/>
        <v>39.1</v>
      </c>
      <c r="CT219" s="6">
        <f t="shared" si="147"/>
        <v>0</v>
      </c>
      <c r="CU219" s="1">
        <f>PPTest!K219</f>
        <v>0</v>
      </c>
      <c r="CV219" s="3">
        <f t="shared" si="148"/>
        <v>1.58</v>
      </c>
      <c r="CW219" s="3">
        <f t="shared" si="149"/>
        <v>4.6500000000000004</v>
      </c>
      <c r="CX219" s="24">
        <f t="shared" si="150"/>
        <v>0.71799999999999997</v>
      </c>
      <c r="CY219" s="24">
        <f t="shared" si="150"/>
        <v>1.1180000000000001</v>
      </c>
      <c r="CZ219" s="16">
        <f t="shared" si="151"/>
        <v>12.98</v>
      </c>
    </row>
    <row r="220" spans="1:104" x14ac:dyDescent="0.2">
      <c r="A220" s="14">
        <f t="shared" si="152"/>
        <v>38931</v>
      </c>
      <c r="B220" s="1">
        <v>214</v>
      </c>
      <c r="C220" s="3">
        <v>24.87</v>
      </c>
      <c r="D220" s="3">
        <v>45.33</v>
      </c>
      <c r="E220" s="3">
        <v>8.8699999999999992</v>
      </c>
      <c r="F220" s="3">
        <v>89.2</v>
      </c>
      <c r="G220" s="3">
        <v>8.98</v>
      </c>
      <c r="H220" s="3">
        <v>9.0399999999999991</v>
      </c>
      <c r="I220" s="3">
        <v>9.44</v>
      </c>
      <c r="J220" s="3">
        <v>10.48</v>
      </c>
      <c r="K220" s="3">
        <v>10.210000000000001</v>
      </c>
      <c r="L220" s="3">
        <v>9.66</v>
      </c>
      <c r="M220" s="3">
        <v>1.498</v>
      </c>
      <c r="N220" s="3">
        <v>0</v>
      </c>
      <c r="O220" s="3">
        <v>15.56</v>
      </c>
      <c r="P220" s="3">
        <v>1528</v>
      </c>
      <c r="Q220" s="3">
        <v>108.9</v>
      </c>
      <c r="R220" s="3">
        <v>426</v>
      </c>
      <c r="S220" s="3">
        <v>19.84</v>
      </c>
      <c r="T220" s="3">
        <v>21.42</v>
      </c>
      <c r="U220" s="3">
        <v>20.239999999999998</v>
      </c>
      <c r="V220" s="3">
        <v>13.06</v>
      </c>
      <c r="W220" s="3">
        <v>10.87</v>
      </c>
      <c r="X220" s="3">
        <v>10.38</v>
      </c>
      <c r="Y220" s="3">
        <v>4.1580000000000004</v>
      </c>
      <c r="Z220" s="3">
        <v>1531</v>
      </c>
      <c r="AA220" s="3">
        <v>1.8049999999999999</v>
      </c>
      <c r="AB220" s="3">
        <v>425</v>
      </c>
      <c r="AC220" s="3">
        <v>56.84</v>
      </c>
      <c r="AD220" s="3">
        <v>1719</v>
      </c>
      <c r="AE220" s="3">
        <v>0.73599999999999999</v>
      </c>
      <c r="AF220" s="3">
        <v>0.40699999999999997</v>
      </c>
      <c r="AG220" s="3">
        <v>1.6180000000000001</v>
      </c>
      <c r="AH220" s="3">
        <v>8.1199999999999992</v>
      </c>
      <c r="AI220" s="3">
        <v>9.6300000000000008</v>
      </c>
      <c r="AJ220" s="3">
        <v>9.16</v>
      </c>
      <c r="AK220" s="3">
        <v>4.4999999999999998E-2</v>
      </c>
      <c r="AL220" s="3">
        <v>0.314</v>
      </c>
      <c r="AM220" s="3">
        <v>0.188</v>
      </c>
      <c r="AN220" s="3">
        <v>1.9E-2</v>
      </c>
      <c r="AO220" s="3">
        <v>0.106</v>
      </c>
      <c r="AP220" s="3">
        <v>0.16900000000000001</v>
      </c>
      <c r="AQ220" s="3">
        <v>0.108</v>
      </c>
      <c r="AR220" s="3">
        <v>5.0999999999999997E-2</v>
      </c>
      <c r="AS220" s="3">
        <v>3516</v>
      </c>
      <c r="AT220" s="3">
        <v>3513</v>
      </c>
      <c r="AU220" s="3">
        <v>3515</v>
      </c>
      <c r="AV220" s="3">
        <v>9.83</v>
      </c>
      <c r="AW220" s="3">
        <v>9.68</v>
      </c>
      <c r="AX220" s="3">
        <v>19.239999999999998</v>
      </c>
      <c r="AY220" s="3">
        <v>19.77</v>
      </c>
      <c r="AZ220" s="3">
        <v>1.238</v>
      </c>
      <c r="BA220" s="3">
        <v>0.94199999999999995</v>
      </c>
      <c r="BB220" s="3">
        <v>12.96</v>
      </c>
      <c r="BC220" s="3">
        <v>2876</v>
      </c>
      <c r="BG220" s="16">
        <v>29.17</v>
      </c>
      <c r="BH220" s="16">
        <f t="shared" si="121"/>
        <v>58.923400000000001</v>
      </c>
      <c r="BI220" s="17">
        <f t="shared" si="119"/>
        <v>24.37</v>
      </c>
      <c r="BJ220" s="17">
        <f t="shared" si="120"/>
        <v>49.86</v>
      </c>
      <c r="BL220" s="1">
        <f t="shared" si="122"/>
        <v>96.5</v>
      </c>
      <c r="BM220" s="1">
        <f t="shared" si="123"/>
        <v>71.5</v>
      </c>
      <c r="BN220" s="1">
        <f t="shared" si="124"/>
        <v>43</v>
      </c>
      <c r="BO220" s="49">
        <f t="shared" si="130"/>
        <v>0.76</v>
      </c>
      <c r="BP220" s="49">
        <f t="shared" si="131"/>
        <v>1.0069999999999999</v>
      </c>
      <c r="BR220" s="3">
        <v>0</v>
      </c>
      <c r="BT220" s="16">
        <f t="shared" si="125"/>
        <v>24.37</v>
      </c>
      <c r="BU220" s="16">
        <f t="shared" si="126"/>
        <v>49.86</v>
      </c>
      <c r="BV220" s="3">
        <f t="shared" si="127"/>
        <v>8.9</v>
      </c>
      <c r="BW220" s="3">
        <f t="shared" si="118"/>
        <v>9</v>
      </c>
      <c r="BX220" s="3">
        <f t="shared" si="118"/>
        <v>9</v>
      </c>
      <c r="BY220" s="3">
        <f t="shared" si="118"/>
        <v>9.4</v>
      </c>
      <c r="BZ220" s="3">
        <f t="shared" si="117"/>
        <v>10.5</v>
      </c>
      <c r="CA220" s="3">
        <f t="shared" si="117"/>
        <v>10.199999999999999</v>
      </c>
      <c r="CB220" s="3">
        <f t="shared" si="117"/>
        <v>9.6999999999999993</v>
      </c>
      <c r="CC220" s="22">
        <f t="shared" si="128"/>
        <v>71.5</v>
      </c>
      <c r="CD220" s="1">
        <f t="shared" si="132"/>
        <v>15.6</v>
      </c>
      <c r="CE220" s="1">
        <f t="shared" si="133"/>
        <v>19.8</v>
      </c>
      <c r="CF220" s="1">
        <f t="shared" si="134"/>
        <v>21.4</v>
      </c>
      <c r="CG220" s="1">
        <f t="shared" si="135"/>
        <v>20.2</v>
      </c>
      <c r="CH220" s="1">
        <f t="shared" si="136"/>
        <v>13.1</v>
      </c>
      <c r="CI220" s="1">
        <f t="shared" si="137"/>
        <v>10.9</v>
      </c>
      <c r="CJ220" s="1">
        <f t="shared" si="138"/>
        <v>10.4</v>
      </c>
      <c r="CK220" s="2">
        <f t="shared" si="129"/>
        <v>96.5</v>
      </c>
      <c r="CL220" s="1">
        <f t="shared" si="139"/>
        <v>1.8</v>
      </c>
      <c r="CM220" s="1">
        <f t="shared" si="140"/>
        <v>0.7</v>
      </c>
      <c r="CN220" s="1">
        <f t="shared" si="141"/>
        <v>0.4</v>
      </c>
      <c r="CO220" s="1">
        <f t="shared" si="142"/>
        <v>1.6</v>
      </c>
      <c r="CP220" s="1">
        <f t="shared" si="143"/>
        <v>8.1</v>
      </c>
      <c r="CQ220" s="1">
        <f t="shared" si="144"/>
        <v>9.6</v>
      </c>
      <c r="CR220" s="1">
        <f t="shared" si="145"/>
        <v>9.1999999999999993</v>
      </c>
      <c r="CS220" s="2">
        <f t="shared" si="146"/>
        <v>43</v>
      </c>
      <c r="CT220" s="6">
        <f t="shared" si="147"/>
        <v>0</v>
      </c>
      <c r="CU220" s="1">
        <f>PPTest!K220</f>
        <v>0</v>
      </c>
      <c r="CV220" s="3">
        <f t="shared" si="148"/>
        <v>1.5</v>
      </c>
      <c r="CW220" s="3">
        <f t="shared" si="149"/>
        <v>4.16</v>
      </c>
      <c r="CX220" s="24">
        <f t="shared" si="150"/>
        <v>0.76</v>
      </c>
      <c r="CY220" s="24">
        <f t="shared" si="150"/>
        <v>1.0069999999999999</v>
      </c>
      <c r="CZ220" s="16">
        <f t="shared" si="151"/>
        <v>12.96</v>
      </c>
    </row>
    <row r="221" spans="1:104" x14ac:dyDescent="0.2">
      <c r="A221" s="14">
        <f t="shared" si="152"/>
        <v>38932</v>
      </c>
      <c r="B221" s="1">
        <v>215</v>
      </c>
      <c r="C221" s="3">
        <v>21.48</v>
      </c>
      <c r="D221" s="3">
        <v>38.86</v>
      </c>
      <c r="E221" s="3">
        <v>10.01</v>
      </c>
      <c r="F221" s="3">
        <v>81.8</v>
      </c>
      <c r="G221" s="3">
        <v>9.9499999999999993</v>
      </c>
      <c r="H221" s="3">
        <v>9.84</v>
      </c>
      <c r="I221" s="3">
        <v>9.02</v>
      </c>
      <c r="J221" s="3">
        <v>10.48</v>
      </c>
      <c r="K221" s="3">
        <v>10.199999999999999</v>
      </c>
      <c r="L221" s="3">
        <v>9.56</v>
      </c>
      <c r="M221" s="3">
        <v>1.6220000000000001</v>
      </c>
      <c r="N221" s="3">
        <v>0</v>
      </c>
      <c r="O221" s="3">
        <v>18.059999999999999</v>
      </c>
      <c r="P221" s="3">
        <v>1642</v>
      </c>
      <c r="Q221" s="3">
        <v>110.4</v>
      </c>
      <c r="R221" s="3">
        <v>408</v>
      </c>
      <c r="S221" s="3">
        <v>21.64</v>
      </c>
      <c r="T221" s="3">
        <v>21.66</v>
      </c>
      <c r="U221" s="3">
        <v>17.12</v>
      </c>
      <c r="V221" s="3">
        <v>13.55</v>
      </c>
      <c r="W221" s="3">
        <v>10.75</v>
      </c>
      <c r="X221" s="3">
        <v>10.18</v>
      </c>
      <c r="Y221" s="3">
        <v>4.5830000000000002</v>
      </c>
      <c r="Z221" s="3">
        <v>2341</v>
      </c>
      <c r="AA221" s="3">
        <v>0.18</v>
      </c>
      <c r="AB221" s="3">
        <v>347</v>
      </c>
      <c r="AC221" s="3">
        <v>44.44</v>
      </c>
      <c r="AD221" s="3">
        <v>1523</v>
      </c>
      <c r="AE221" s="3">
        <v>-0.70599999999999996</v>
      </c>
      <c r="AF221" s="3">
        <v>-0.78600000000000003</v>
      </c>
      <c r="AG221" s="3">
        <v>1.238</v>
      </c>
      <c r="AH221" s="3">
        <v>7.63</v>
      </c>
      <c r="AI221" s="3">
        <v>9.67</v>
      </c>
      <c r="AJ221" s="3">
        <v>8.93</v>
      </c>
      <c r="AK221" s="3">
        <v>7.0000000000000007E-2</v>
      </c>
      <c r="AL221" s="3">
        <v>0.31</v>
      </c>
      <c r="AM221" s="3">
        <v>0.216</v>
      </c>
      <c r="AN221" s="3">
        <v>1.2999999999999999E-2</v>
      </c>
      <c r="AO221" s="3">
        <v>9.0999999999999998E-2</v>
      </c>
      <c r="AP221" s="3">
        <v>0.128</v>
      </c>
      <c r="AQ221" s="3">
        <v>0.1</v>
      </c>
      <c r="AR221" s="3">
        <v>7.0999999999999994E-2</v>
      </c>
      <c r="AS221" s="3">
        <v>3518</v>
      </c>
      <c r="AT221" s="3">
        <v>3457</v>
      </c>
      <c r="AU221" s="3">
        <v>3504</v>
      </c>
      <c r="AV221" s="3">
        <v>9.93</v>
      </c>
      <c r="AW221" s="3">
        <v>9.9</v>
      </c>
      <c r="AX221" s="3">
        <v>20.52</v>
      </c>
      <c r="AY221" s="3">
        <v>20.94</v>
      </c>
      <c r="AZ221" s="3">
        <v>-0.44900000000000001</v>
      </c>
      <c r="BA221" s="3">
        <v>-0.68500000000000005</v>
      </c>
      <c r="BB221" s="3">
        <v>12.96</v>
      </c>
      <c r="BC221" s="3">
        <v>2876</v>
      </c>
      <c r="BG221" s="16">
        <v>28.99</v>
      </c>
      <c r="BH221" s="16">
        <f t="shared" si="121"/>
        <v>58.559799999999996</v>
      </c>
      <c r="BI221" s="17">
        <f t="shared" si="119"/>
        <v>21.05</v>
      </c>
      <c r="BJ221" s="17">
        <f t="shared" si="120"/>
        <v>42.75</v>
      </c>
      <c r="BL221" s="1">
        <f t="shared" si="122"/>
        <v>98.8</v>
      </c>
      <c r="BM221" s="1">
        <f t="shared" si="123"/>
        <v>65</v>
      </c>
      <c r="BN221" s="1">
        <f t="shared" si="124"/>
        <v>32.1</v>
      </c>
      <c r="BO221" s="49">
        <f t="shared" si="130"/>
        <v>0.66500000000000004</v>
      </c>
      <c r="BP221" s="49">
        <f t="shared" si="131"/>
        <v>1.407</v>
      </c>
      <c r="BR221" s="3">
        <v>0</v>
      </c>
      <c r="BT221" s="16">
        <f t="shared" si="125"/>
        <v>21.05</v>
      </c>
      <c r="BU221" s="16">
        <f t="shared" si="126"/>
        <v>42.75</v>
      </c>
      <c r="BV221" s="3">
        <f t="shared" si="127"/>
        <v>10</v>
      </c>
      <c r="BW221" s="3">
        <f t="shared" si="118"/>
        <v>10</v>
      </c>
      <c r="BX221" s="3">
        <f t="shared" si="118"/>
        <v>9.8000000000000007</v>
      </c>
      <c r="BY221" s="3">
        <f t="shared" si="118"/>
        <v>9</v>
      </c>
      <c r="BZ221" s="3">
        <f t="shared" si="117"/>
        <v>10.5</v>
      </c>
      <c r="CA221" s="3">
        <f t="shared" si="117"/>
        <v>10.199999999999999</v>
      </c>
      <c r="CB221" s="3">
        <f t="shared" si="117"/>
        <v>9.6</v>
      </c>
      <c r="CC221" s="22">
        <f t="shared" si="128"/>
        <v>65</v>
      </c>
      <c r="CD221" s="1">
        <f t="shared" si="132"/>
        <v>18.100000000000001</v>
      </c>
      <c r="CE221" s="1">
        <f t="shared" si="133"/>
        <v>21.6</v>
      </c>
      <c r="CF221" s="1">
        <f t="shared" si="134"/>
        <v>21.7</v>
      </c>
      <c r="CG221" s="1">
        <f t="shared" si="135"/>
        <v>17.100000000000001</v>
      </c>
      <c r="CH221" s="1">
        <f t="shared" si="136"/>
        <v>13.6</v>
      </c>
      <c r="CI221" s="1">
        <f t="shared" si="137"/>
        <v>10.8</v>
      </c>
      <c r="CJ221" s="1">
        <f t="shared" si="138"/>
        <v>10.199999999999999</v>
      </c>
      <c r="CK221" s="2">
        <f t="shared" si="129"/>
        <v>98.8</v>
      </c>
      <c r="CL221" s="1">
        <f t="shared" si="139"/>
        <v>0.2</v>
      </c>
      <c r="CM221" s="1">
        <f t="shared" si="140"/>
        <v>-0.7</v>
      </c>
      <c r="CN221" s="1">
        <f t="shared" si="141"/>
        <v>-0.8</v>
      </c>
      <c r="CO221" s="1">
        <f t="shared" si="142"/>
        <v>1.2</v>
      </c>
      <c r="CP221" s="1">
        <f t="shared" si="143"/>
        <v>7.6</v>
      </c>
      <c r="CQ221" s="1">
        <f t="shared" si="144"/>
        <v>9.6999999999999993</v>
      </c>
      <c r="CR221" s="1">
        <f t="shared" si="145"/>
        <v>8.9</v>
      </c>
      <c r="CS221" s="2">
        <f t="shared" si="146"/>
        <v>32.1</v>
      </c>
      <c r="CT221" s="6">
        <f t="shared" si="147"/>
        <v>0</v>
      </c>
      <c r="CU221" s="1">
        <f>PPTest!K221</f>
        <v>0</v>
      </c>
      <c r="CV221" s="3">
        <f t="shared" si="148"/>
        <v>1.62</v>
      </c>
      <c r="CW221" s="3">
        <f t="shared" si="149"/>
        <v>4.58</v>
      </c>
      <c r="CX221" s="24">
        <f t="shared" si="150"/>
        <v>0.66500000000000004</v>
      </c>
      <c r="CY221" s="24">
        <f t="shared" si="150"/>
        <v>1.407</v>
      </c>
      <c r="CZ221" s="16">
        <f t="shared" si="151"/>
        <v>12.96</v>
      </c>
    </row>
    <row r="222" spans="1:104" x14ac:dyDescent="0.2">
      <c r="A222" s="14">
        <f t="shared" si="152"/>
        <v>38933</v>
      </c>
      <c r="B222" s="1">
        <v>216</v>
      </c>
      <c r="C222" s="3">
        <v>16.93</v>
      </c>
      <c r="D222" s="3">
        <v>30.76</v>
      </c>
      <c r="E222" s="3">
        <v>6.7779999999999996</v>
      </c>
      <c r="F222" s="3">
        <v>86.8</v>
      </c>
      <c r="G222" s="3">
        <v>6.569</v>
      </c>
      <c r="H222" s="3">
        <v>6.4779999999999998</v>
      </c>
      <c r="I222" s="3">
        <v>6.6929999999999996</v>
      </c>
      <c r="J222" s="3">
        <v>9.67</v>
      </c>
      <c r="K222" s="3">
        <v>10.11</v>
      </c>
      <c r="L222" s="3">
        <v>9.41</v>
      </c>
      <c r="M222" s="3">
        <v>1.9339999999999999</v>
      </c>
      <c r="N222" s="3">
        <v>0</v>
      </c>
      <c r="O222" s="3">
        <v>12.76</v>
      </c>
      <c r="P222" s="3">
        <v>1633</v>
      </c>
      <c r="Q222" s="3">
        <v>108.8</v>
      </c>
      <c r="R222" s="3">
        <v>2345</v>
      </c>
      <c r="S222" s="3">
        <v>17.73</v>
      </c>
      <c r="T222" s="3">
        <v>19.059999999999999</v>
      </c>
      <c r="U222" s="3">
        <v>13.86</v>
      </c>
      <c r="V222" s="3">
        <v>12.47</v>
      </c>
      <c r="W222" s="3">
        <v>10.75</v>
      </c>
      <c r="X222" s="3">
        <v>10.1</v>
      </c>
      <c r="Y222" s="3">
        <v>5.1680000000000001</v>
      </c>
      <c r="Z222" s="3">
        <v>1207</v>
      </c>
      <c r="AA222" s="3">
        <v>-1.0620000000000001</v>
      </c>
      <c r="AB222" s="3">
        <v>0</v>
      </c>
      <c r="AC222" s="3">
        <v>56.37</v>
      </c>
      <c r="AD222" s="3">
        <v>6</v>
      </c>
      <c r="AE222" s="3">
        <v>-2.141</v>
      </c>
      <c r="AF222" s="3">
        <v>-2.4249999999999998</v>
      </c>
      <c r="AG222" s="3">
        <v>-0.41799999999999998</v>
      </c>
      <c r="AH222" s="3">
        <v>7.64</v>
      </c>
      <c r="AI222" s="3">
        <v>9.3800000000000008</v>
      </c>
      <c r="AJ222" s="3">
        <v>8.73</v>
      </c>
      <c r="AK222" s="3">
        <v>3.7999999999999999E-2</v>
      </c>
      <c r="AL222" s="3">
        <v>0.26</v>
      </c>
      <c r="AM222" s="3">
        <v>0.16500000000000001</v>
      </c>
      <c r="AN222" s="3">
        <v>1.4999999999999999E-2</v>
      </c>
      <c r="AO222" s="3">
        <v>0.09</v>
      </c>
      <c r="AP222" s="3">
        <v>0.23300000000000001</v>
      </c>
      <c r="AQ222" s="3">
        <v>0.14799999999999999</v>
      </c>
      <c r="AR222" s="3">
        <v>0.05</v>
      </c>
      <c r="AS222" s="3">
        <v>3516</v>
      </c>
      <c r="AT222" s="3">
        <v>3340</v>
      </c>
      <c r="AU222" s="3">
        <v>3473</v>
      </c>
      <c r="AV222" s="3">
        <v>7.22</v>
      </c>
      <c r="AW222" s="3">
        <v>6.9649999999999999</v>
      </c>
      <c r="AX222" s="3">
        <v>17.22</v>
      </c>
      <c r="AY222" s="3">
        <v>17.86</v>
      </c>
      <c r="AZ222" s="3">
        <v>-1.4410000000000001</v>
      </c>
      <c r="BA222" s="3">
        <v>-1.982</v>
      </c>
      <c r="BB222" s="3">
        <v>13</v>
      </c>
      <c r="BC222" s="3">
        <v>2876</v>
      </c>
      <c r="BG222" s="16">
        <v>28.81</v>
      </c>
      <c r="BH222" s="16">
        <f t="shared" si="121"/>
        <v>58.196199999999997</v>
      </c>
      <c r="BI222" s="17">
        <f t="shared" si="119"/>
        <v>16.59</v>
      </c>
      <c r="BJ222" s="17">
        <f t="shared" si="120"/>
        <v>33.840000000000003</v>
      </c>
      <c r="BL222" s="1">
        <f t="shared" si="122"/>
        <v>96.3</v>
      </c>
      <c r="BM222" s="1">
        <f t="shared" si="123"/>
        <v>69.400000000000006</v>
      </c>
      <c r="BN222" s="1">
        <f t="shared" si="124"/>
        <v>42.6</v>
      </c>
      <c r="BO222" s="49">
        <f t="shared" si="130"/>
        <v>0.628</v>
      </c>
      <c r="BP222" s="49">
        <f t="shared" si="131"/>
        <v>0.84599999999999997</v>
      </c>
      <c r="BR222" s="3">
        <v>0</v>
      </c>
      <c r="BT222" s="16">
        <f t="shared" si="125"/>
        <v>16.59</v>
      </c>
      <c r="BU222" s="16">
        <f t="shared" si="126"/>
        <v>33.840000000000003</v>
      </c>
      <c r="BV222" s="3">
        <f t="shared" si="127"/>
        <v>6.8</v>
      </c>
      <c r="BW222" s="3">
        <f t="shared" si="118"/>
        <v>6.6</v>
      </c>
      <c r="BX222" s="3">
        <f t="shared" si="118"/>
        <v>6.5</v>
      </c>
      <c r="BY222" s="3">
        <f t="shared" si="118"/>
        <v>6.7</v>
      </c>
      <c r="BZ222" s="3">
        <f t="shared" si="117"/>
        <v>9.6999999999999993</v>
      </c>
      <c r="CA222" s="3">
        <f t="shared" si="117"/>
        <v>10.1</v>
      </c>
      <c r="CB222" s="3">
        <f t="shared" si="117"/>
        <v>9.4</v>
      </c>
      <c r="CC222" s="22">
        <f t="shared" si="128"/>
        <v>69.400000000000006</v>
      </c>
      <c r="CD222" s="1">
        <f t="shared" si="132"/>
        <v>12.8</v>
      </c>
      <c r="CE222" s="1">
        <f t="shared" si="133"/>
        <v>17.7</v>
      </c>
      <c r="CF222" s="1">
        <f t="shared" si="134"/>
        <v>19.100000000000001</v>
      </c>
      <c r="CG222" s="1">
        <f t="shared" si="135"/>
        <v>13.9</v>
      </c>
      <c r="CH222" s="1">
        <f t="shared" si="136"/>
        <v>12.5</v>
      </c>
      <c r="CI222" s="1">
        <f t="shared" si="137"/>
        <v>10.8</v>
      </c>
      <c r="CJ222" s="1">
        <f t="shared" si="138"/>
        <v>10.1</v>
      </c>
      <c r="CK222" s="2">
        <f t="shared" si="129"/>
        <v>96.3</v>
      </c>
      <c r="CL222" s="1">
        <f t="shared" si="139"/>
        <v>-1.1000000000000001</v>
      </c>
      <c r="CM222" s="1">
        <f t="shared" si="140"/>
        <v>-2.1</v>
      </c>
      <c r="CN222" s="1">
        <f t="shared" si="141"/>
        <v>-2.4</v>
      </c>
      <c r="CO222" s="1">
        <f t="shared" si="142"/>
        <v>-0.4</v>
      </c>
      <c r="CP222" s="1">
        <f t="shared" si="143"/>
        <v>7.6</v>
      </c>
      <c r="CQ222" s="1">
        <f t="shared" si="144"/>
        <v>9.4</v>
      </c>
      <c r="CR222" s="1">
        <f t="shared" si="145"/>
        <v>8.6999999999999993</v>
      </c>
      <c r="CS222" s="2">
        <f t="shared" si="146"/>
        <v>42.6</v>
      </c>
      <c r="CT222" s="6">
        <f t="shared" si="147"/>
        <v>0</v>
      </c>
      <c r="CU222" s="1">
        <f>PPTest!K222</f>
        <v>0</v>
      </c>
      <c r="CV222" s="3">
        <f t="shared" si="148"/>
        <v>1.93</v>
      </c>
      <c r="CW222" s="3">
        <f t="shared" si="149"/>
        <v>5.17</v>
      </c>
      <c r="CX222" s="24">
        <f t="shared" si="150"/>
        <v>0.628</v>
      </c>
      <c r="CY222" s="24">
        <f t="shared" si="150"/>
        <v>0.84599999999999997</v>
      </c>
      <c r="CZ222" s="16">
        <f t="shared" si="151"/>
        <v>13</v>
      </c>
    </row>
    <row r="223" spans="1:104" x14ac:dyDescent="0.2">
      <c r="A223" s="14">
        <f t="shared" si="152"/>
        <v>38934</v>
      </c>
      <c r="B223" s="1">
        <v>217</v>
      </c>
      <c r="C223" s="3">
        <v>28.14</v>
      </c>
      <c r="D223" s="3">
        <v>50.93</v>
      </c>
      <c r="E223" s="3">
        <v>8.3000000000000007</v>
      </c>
      <c r="F223" s="3">
        <v>76</v>
      </c>
      <c r="G223" s="3">
        <v>8.42</v>
      </c>
      <c r="H223" s="3">
        <v>8.4</v>
      </c>
      <c r="I223" s="3">
        <v>7.54</v>
      </c>
      <c r="J223" s="3">
        <v>9.35</v>
      </c>
      <c r="K223" s="3">
        <v>9.64</v>
      </c>
      <c r="L223" s="3">
        <v>9.39</v>
      </c>
      <c r="M223" s="3">
        <v>1.7989999999999999</v>
      </c>
      <c r="N223" s="3">
        <v>0</v>
      </c>
      <c r="O223" s="3">
        <v>18.989999999999998</v>
      </c>
      <c r="P223" s="3">
        <v>1641</v>
      </c>
      <c r="Q223" s="3">
        <v>110.5</v>
      </c>
      <c r="R223" s="3">
        <v>456</v>
      </c>
      <c r="S223" s="3">
        <v>21.53</v>
      </c>
      <c r="T223" s="3">
        <v>22.89</v>
      </c>
      <c r="U223" s="3">
        <v>20.86</v>
      </c>
      <c r="V223" s="3">
        <v>12.99</v>
      </c>
      <c r="W223" s="3">
        <v>10.48</v>
      </c>
      <c r="X223" s="3">
        <v>10.19</v>
      </c>
      <c r="Y223" s="3">
        <v>3.7989999999999999</v>
      </c>
      <c r="Z223" s="3">
        <v>943</v>
      </c>
      <c r="AA223" s="3">
        <v>-2.9209999999999998</v>
      </c>
      <c r="AB223" s="3">
        <v>420</v>
      </c>
      <c r="AC223" s="3">
        <v>29.34</v>
      </c>
      <c r="AD223" s="3">
        <v>1607</v>
      </c>
      <c r="AE223" s="3">
        <v>-3.734</v>
      </c>
      <c r="AF223" s="3">
        <v>-3.9510000000000001</v>
      </c>
      <c r="AG223" s="3">
        <v>-2.218</v>
      </c>
      <c r="AH223" s="3">
        <v>5.9690000000000003</v>
      </c>
      <c r="AI223" s="3">
        <v>8.8800000000000008</v>
      </c>
      <c r="AJ223" s="3">
        <v>8.59</v>
      </c>
      <c r="AK223" s="3">
        <v>4.9000000000000002E-2</v>
      </c>
      <c r="AL223" s="3">
        <v>0.29199999999999998</v>
      </c>
      <c r="AM223" s="3">
        <v>0.24199999999999999</v>
      </c>
      <c r="AN223" s="3">
        <v>1.9E-2</v>
      </c>
      <c r="AO223" s="3">
        <v>0.111</v>
      </c>
      <c r="AP223" s="3">
        <v>0.161</v>
      </c>
      <c r="AQ223" s="3">
        <v>6.3E-2</v>
      </c>
      <c r="AR223" s="3">
        <v>6.3E-2</v>
      </c>
      <c r="AS223" s="3">
        <v>3510</v>
      </c>
      <c r="AT223" s="3">
        <v>3387</v>
      </c>
      <c r="AU223" s="3">
        <v>3460</v>
      </c>
      <c r="AV223" s="3">
        <v>8.5500000000000007</v>
      </c>
      <c r="AW223" s="3">
        <v>8.56</v>
      </c>
      <c r="AX223" s="3">
        <v>21.77</v>
      </c>
      <c r="AY223" s="3">
        <v>22.14</v>
      </c>
      <c r="AZ223" s="3">
        <v>-3.7930000000000001</v>
      </c>
      <c r="BA223" s="3">
        <v>-4.0060000000000002</v>
      </c>
      <c r="BB223" s="3">
        <v>12.95</v>
      </c>
      <c r="BC223" s="3">
        <v>2876</v>
      </c>
      <c r="BG223" s="16">
        <v>28.63</v>
      </c>
      <c r="BH223" s="16">
        <f t="shared" si="121"/>
        <v>57.832599999999999</v>
      </c>
      <c r="BI223" s="17">
        <f t="shared" si="119"/>
        <v>27.58</v>
      </c>
      <c r="BJ223" s="17">
        <f t="shared" si="120"/>
        <v>56.02</v>
      </c>
      <c r="BL223" s="1">
        <f t="shared" si="122"/>
        <v>99</v>
      </c>
      <c r="BM223" s="1">
        <f t="shared" si="123"/>
        <v>59.9</v>
      </c>
      <c r="BN223" s="1">
        <f t="shared" si="124"/>
        <v>18.8</v>
      </c>
      <c r="BO223" s="49">
        <f t="shared" si="130"/>
        <v>0.41299999999999998</v>
      </c>
      <c r="BP223" s="49">
        <f t="shared" si="131"/>
        <v>1.784</v>
      </c>
      <c r="BR223" s="3">
        <v>0</v>
      </c>
      <c r="BT223" s="16">
        <f t="shared" si="125"/>
        <v>27.58</v>
      </c>
      <c r="BU223" s="16">
        <f t="shared" si="126"/>
        <v>56.02</v>
      </c>
      <c r="BV223" s="3">
        <f t="shared" si="127"/>
        <v>8.3000000000000007</v>
      </c>
      <c r="BW223" s="3">
        <f t="shared" si="118"/>
        <v>8.4</v>
      </c>
      <c r="BX223" s="3">
        <f t="shared" si="118"/>
        <v>8.4</v>
      </c>
      <c r="BY223" s="3">
        <f t="shared" si="118"/>
        <v>7.5</v>
      </c>
      <c r="BZ223" s="3">
        <f t="shared" si="117"/>
        <v>9.4</v>
      </c>
      <c r="CA223" s="3">
        <f t="shared" si="117"/>
        <v>9.6</v>
      </c>
      <c r="CB223" s="3">
        <f t="shared" si="117"/>
        <v>9.4</v>
      </c>
      <c r="CC223" s="22">
        <f t="shared" si="128"/>
        <v>59.9</v>
      </c>
      <c r="CD223" s="1">
        <f t="shared" si="132"/>
        <v>19</v>
      </c>
      <c r="CE223" s="1">
        <f t="shared" si="133"/>
        <v>21.5</v>
      </c>
      <c r="CF223" s="1">
        <f t="shared" si="134"/>
        <v>22.9</v>
      </c>
      <c r="CG223" s="1">
        <f t="shared" si="135"/>
        <v>20.9</v>
      </c>
      <c r="CH223" s="1">
        <f t="shared" si="136"/>
        <v>13</v>
      </c>
      <c r="CI223" s="1">
        <f t="shared" si="137"/>
        <v>10.5</v>
      </c>
      <c r="CJ223" s="1">
        <f t="shared" si="138"/>
        <v>10.199999999999999</v>
      </c>
      <c r="CK223" s="2">
        <f t="shared" si="129"/>
        <v>99</v>
      </c>
      <c r="CL223" s="1">
        <f t="shared" si="139"/>
        <v>-2.9</v>
      </c>
      <c r="CM223" s="1">
        <f t="shared" si="140"/>
        <v>-3.7</v>
      </c>
      <c r="CN223" s="1">
        <f t="shared" si="141"/>
        <v>-4</v>
      </c>
      <c r="CO223" s="1">
        <f t="shared" si="142"/>
        <v>-2.2000000000000002</v>
      </c>
      <c r="CP223" s="1">
        <f t="shared" si="143"/>
        <v>6</v>
      </c>
      <c r="CQ223" s="1">
        <f t="shared" si="144"/>
        <v>8.9</v>
      </c>
      <c r="CR223" s="1">
        <f t="shared" si="145"/>
        <v>8.6</v>
      </c>
      <c r="CS223" s="2">
        <f t="shared" si="146"/>
        <v>18.8</v>
      </c>
      <c r="CT223" s="6">
        <f t="shared" si="147"/>
        <v>0</v>
      </c>
      <c r="CU223" s="1">
        <f>PPTest!K223</f>
        <v>0</v>
      </c>
      <c r="CV223" s="3">
        <f t="shared" si="148"/>
        <v>1.8</v>
      </c>
      <c r="CW223" s="3">
        <f t="shared" si="149"/>
        <v>3.8</v>
      </c>
      <c r="CX223" s="24">
        <f t="shared" si="150"/>
        <v>0.41299999999999998</v>
      </c>
      <c r="CY223" s="24">
        <f t="shared" si="150"/>
        <v>1.784</v>
      </c>
      <c r="CZ223" s="16">
        <f t="shared" si="151"/>
        <v>12.95</v>
      </c>
    </row>
    <row r="224" spans="1:104" x14ac:dyDescent="0.2">
      <c r="A224" s="14">
        <f t="shared" si="152"/>
        <v>38935</v>
      </c>
      <c r="B224" s="1">
        <v>218</v>
      </c>
      <c r="C224" s="3">
        <v>26.97</v>
      </c>
      <c r="D224" s="3">
        <v>47.31</v>
      </c>
      <c r="E224" s="3">
        <v>12.69</v>
      </c>
      <c r="F224" s="3">
        <v>70.5</v>
      </c>
      <c r="G224" s="3">
        <v>12.65</v>
      </c>
      <c r="H224" s="3">
        <v>12.55</v>
      </c>
      <c r="I224" s="3">
        <v>10.38</v>
      </c>
      <c r="J224" s="3">
        <v>10.73</v>
      </c>
      <c r="K224" s="3">
        <v>9.8000000000000007</v>
      </c>
      <c r="L224" s="3">
        <v>9.26</v>
      </c>
      <c r="M224" s="3">
        <v>1.7490000000000001</v>
      </c>
      <c r="N224" s="3">
        <v>0</v>
      </c>
      <c r="O224" s="3">
        <v>22.64</v>
      </c>
      <c r="P224" s="3">
        <v>1538</v>
      </c>
      <c r="Q224" s="3">
        <v>107</v>
      </c>
      <c r="R224" s="3">
        <v>444</v>
      </c>
      <c r="S224" s="3">
        <v>24.71</v>
      </c>
      <c r="T224" s="3">
        <v>26</v>
      </c>
      <c r="U224" s="3">
        <v>22.7</v>
      </c>
      <c r="V224" s="3">
        <v>14.46</v>
      </c>
      <c r="W224" s="3">
        <v>10.55</v>
      </c>
      <c r="X224" s="3">
        <v>10.19</v>
      </c>
      <c r="Y224" s="3">
        <v>3.9049999999999998</v>
      </c>
      <c r="Z224" s="3">
        <v>1328</v>
      </c>
      <c r="AA224" s="3">
        <v>0.94799999999999995</v>
      </c>
      <c r="AB224" s="3">
        <v>443</v>
      </c>
      <c r="AC224" s="3">
        <v>34.6</v>
      </c>
      <c r="AD224" s="3">
        <v>1539</v>
      </c>
      <c r="AE224" s="3">
        <v>-4.2999999999999997E-2</v>
      </c>
      <c r="AF224" s="3">
        <v>-0.40600000000000003</v>
      </c>
      <c r="AG224" s="3">
        <v>1.0960000000000001</v>
      </c>
      <c r="AH224" s="3">
        <v>7.2</v>
      </c>
      <c r="AI224" s="3">
        <v>9.23</v>
      </c>
      <c r="AJ224" s="3">
        <v>8.43</v>
      </c>
      <c r="AK224" s="3">
        <v>3.6999999999999998E-2</v>
      </c>
      <c r="AL224" s="3">
        <v>0.32700000000000001</v>
      </c>
      <c r="AM224" s="3">
        <v>0.17599999999999999</v>
      </c>
      <c r="AN224" s="3">
        <v>0.01</v>
      </c>
      <c r="AO224" s="3">
        <v>7.0000000000000007E-2</v>
      </c>
      <c r="AP224" s="3">
        <v>0.16500000000000001</v>
      </c>
      <c r="AQ224" s="3">
        <v>0.151</v>
      </c>
      <c r="AR224" s="3">
        <v>6.3E-2</v>
      </c>
      <c r="AS224" s="3">
        <v>3528</v>
      </c>
      <c r="AT224" s="3">
        <v>3463</v>
      </c>
      <c r="AU224" s="3">
        <v>3506</v>
      </c>
      <c r="AV224" s="3">
        <v>12.46</v>
      </c>
      <c r="AW224" s="3">
        <v>12.49</v>
      </c>
      <c r="AX224" s="3">
        <v>25.98</v>
      </c>
      <c r="AY224" s="3">
        <v>26.15</v>
      </c>
      <c r="AZ224" s="3">
        <v>-0.30499999999999999</v>
      </c>
      <c r="BA224" s="3">
        <v>-0.52600000000000002</v>
      </c>
      <c r="BB224" s="3">
        <v>12.87</v>
      </c>
      <c r="BC224" s="3">
        <v>2876</v>
      </c>
      <c r="BG224" s="16">
        <v>28.45</v>
      </c>
      <c r="BH224" s="16">
        <f t="shared" si="121"/>
        <v>57.469000000000001</v>
      </c>
      <c r="BI224" s="17">
        <f t="shared" si="119"/>
        <v>26.43</v>
      </c>
      <c r="BJ224" s="17">
        <f t="shared" si="120"/>
        <v>52.04</v>
      </c>
      <c r="BL224" s="1">
        <f t="shared" si="122"/>
        <v>93.4</v>
      </c>
      <c r="BM224" s="1">
        <f t="shared" si="123"/>
        <v>55</v>
      </c>
      <c r="BN224" s="1">
        <f t="shared" si="124"/>
        <v>23.4</v>
      </c>
      <c r="BO224" s="49">
        <f t="shared" si="130"/>
        <v>0.64300000000000002</v>
      </c>
      <c r="BP224" s="49">
        <f t="shared" si="131"/>
        <v>2.105</v>
      </c>
      <c r="BR224" s="3">
        <v>0</v>
      </c>
      <c r="BT224" s="16">
        <f t="shared" si="125"/>
        <v>26.43</v>
      </c>
      <c r="BU224" s="16">
        <f t="shared" si="126"/>
        <v>52.04</v>
      </c>
      <c r="BV224" s="3">
        <f t="shared" si="127"/>
        <v>12.7</v>
      </c>
      <c r="BW224" s="3">
        <f t="shared" si="118"/>
        <v>12.7</v>
      </c>
      <c r="BX224" s="3">
        <f t="shared" si="118"/>
        <v>12.6</v>
      </c>
      <c r="BY224" s="3">
        <f t="shared" si="118"/>
        <v>10.4</v>
      </c>
      <c r="BZ224" s="3">
        <f t="shared" si="118"/>
        <v>10.7</v>
      </c>
      <c r="CA224" s="3">
        <f t="shared" si="118"/>
        <v>9.8000000000000007</v>
      </c>
      <c r="CB224" s="3">
        <f t="shared" si="118"/>
        <v>9.3000000000000007</v>
      </c>
      <c r="CC224" s="22">
        <f t="shared" si="128"/>
        <v>55</v>
      </c>
      <c r="CD224" s="1">
        <f t="shared" si="132"/>
        <v>22.6</v>
      </c>
      <c r="CE224" s="1">
        <f t="shared" si="133"/>
        <v>24.7</v>
      </c>
      <c r="CF224" s="1">
        <f t="shared" si="134"/>
        <v>26</v>
      </c>
      <c r="CG224" s="1">
        <f t="shared" si="135"/>
        <v>22.7</v>
      </c>
      <c r="CH224" s="1">
        <f t="shared" si="136"/>
        <v>14.5</v>
      </c>
      <c r="CI224" s="1">
        <f t="shared" si="137"/>
        <v>10.6</v>
      </c>
      <c r="CJ224" s="1">
        <f t="shared" si="138"/>
        <v>10.199999999999999</v>
      </c>
      <c r="CK224" s="2">
        <f t="shared" si="129"/>
        <v>93.4</v>
      </c>
      <c r="CL224" s="1">
        <f t="shared" si="139"/>
        <v>0.9</v>
      </c>
      <c r="CM224" s="1">
        <f t="shared" si="140"/>
        <v>0</v>
      </c>
      <c r="CN224" s="1">
        <f t="shared" si="141"/>
        <v>-0.4</v>
      </c>
      <c r="CO224" s="1">
        <f t="shared" si="142"/>
        <v>1.1000000000000001</v>
      </c>
      <c r="CP224" s="1">
        <f t="shared" si="143"/>
        <v>7.2</v>
      </c>
      <c r="CQ224" s="1">
        <f t="shared" si="144"/>
        <v>9.1999999999999993</v>
      </c>
      <c r="CR224" s="1">
        <f t="shared" si="145"/>
        <v>8.4</v>
      </c>
      <c r="CS224" s="2">
        <f t="shared" si="146"/>
        <v>23.4</v>
      </c>
      <c r="CT224" s="6">
        <f t="shared" si="147"/>
        <v>0</v>
      </c>
      <c r="CU224" s="1">
        <f>PPTest!K224</f>
        <v>0</v>
      </c>
      <c r="CV224" s="3">
        <f t="shared" si="148"/>
        <v>1.75</v>
      </c>
      <c r="CW224" s="3">
        <f t="shared" si="149"/>
        <v>3.91</v>
      </c>
      <c r="CX224" s="24">
        <f t="shared" si="150"/>
        <v>0.64300000000000002</v>
      </c>
      <c r="CY224" s="24">
        <f t="shared" si="150"/>
        <v>2.105</v>
      </c>
      <c r="CZ224" s="16">
        <f t="shared" si="151"/>
        <v>12.87</v>
      </c>
    </row>
    <row r="225" spans="1:104" x14ac:dyDescent="0.2">
      <c r="A225" s="14">
        <f t="shared" si="152"/>
        <v>38936</v>
      </c>
      <c r="B225" s="1">
        <v>219</v>
      </c>
      <c r="C225" s="3">
        <v>27.98</v>
      </c>
      <c r="D225" s="3">
        <v>50.5</v>
      </c>
      <c r="E225" s="3">
        <v>14.5</v>
      </c>
      <c r="F225" s="3">
        <v>68.209999999999994</v>
      </c>
      <c r="G225" s="3">
        <v>14.4</v>
      </c>
      <c r="H225" s="3">
        <v>14.26</v>
      </c>
      <c r="I225" s="3">
        <v>11.64</v>
      </c>
      <c r="J225" s="3">
        <v>11.68</v>
      </c>
      <c r="K225" s="3">
        <v>10.29</v>
      </c>
      <c r="L225" s="3">
        <v>9.18</v>
      </c>
      <c r="M225" s="3">
        <v>1.772</v>
      </c>
      <c r="N225" s="3">
        <v>0</v>
      </c>
      <c r="O225" s="3">
        <v>24.68</v>
      </c>
      <c r="P225" s="3">
        <v>1643</v>
      </c>
      <c r="Q225" s="3">
        <v>106.3</v>
      </c>
      <c r="R225" s="3">
        <v>409</v>
      </c>
      <c r="S225" s="3">
        <v>28.15</v>
      </c>
      <c r="T225" s="3">
        <v>28.4</v>
      </c>
      <c r="U225" s="3">
        <v>25.7</v>
      </c>
      <c r="V225" s="3">
        <v>15.24</v>
      </c>
      <c r="W225" s="3">
        <v>11.08</v>
      </c>
      <c r="X225" s="3">
        <v>10.130000000000001</v>
      </c>
      <c r="Y225" s="3">
        <v>5.4740000000000002</v>
      </c>
      <c r="Z225" s="3">
        <v>1348</v>
      </c>
      <c r="AA225" s="3">
        <v>2.927</v>
      </c>
      <c r="AB225" s="3">
        <v>407</v>
      </c>
      <c r="AC225" s="3">
        <v>29.12</v>
      </c>
      <c r="AD225" s="3">
        <v>1355</v>
      </c>
      <c r="AE225" s="3">
        <v>1.615</v>
      </c>
      <c r="AF225" s="3">
        <v>1.351</v>
      </c>
      <c r="AG225" s="3">
        <v>2.524</v>
      </c>
      <c r="AH225" s="3">
        <v>8.33</v>
      </c>
      <c r="AI225" s="3">
        <v>9.75</v>
      </c>
      <c r="AJ225" s="3">
        <v>8.32</v>
      </c>
      <c r="AK225" s="3">
        <v>0.02</v>
      </c>
      <c r="AL225" s="3">
        <v>0.27400000000000002</v>
      </c>
      <c r="AM225" s="3">
        <v>0.23100000000000001</v>
      </c>
      <c r="AN225" s="3">
        <v>1.4999999999999999E-2</v>
      </c>
      <c r="AO225" s="3">
        <v>8.1000000000000003E-2</v>
      </c>
      <c r="AP225" s="3">
        <v>0.17</v>
      </c>
      <c r="AQ225" s="3">
        <v>0.14199999999999999</v>
      </c>
      <c r="AR225" s="3">
        <v>6.9000000000000006E-2</v>
      </c>
      <c r="AS225" s="3">
        <v>3526</v>
      </c>
      <c r="AT225" s="3">
        <v>3512</v>
      </c>
      <c r="AU225" s="3">
        <v>3517</v>
      </c>
      <c r="AV225" s="3">
        <v>14.22</v>
      </c>
      <c r="AW225" s="3">
        <v>14.2</v>
      </c>
      <c r="AX225" s="3">
        <v>27.92</v>
      </c>
      <c r="AY225" s="3">
        <v>28.17</v>
      </c>
      <c r="AZ225" s="3">
        <v>1.8540000000000001</v>
      </c>
      <c r="BA225" s="3">
        <v>1.619</v>
      </c>
      <c r="BB225" s="3">
        <v>12.82</v>
      </c>
      <c r="BC225" s="3">
        <v>2876</v>
      </c>
      <c r="BG225" s="16">
        <v>28.26</v>
      </c>
      <c r="BH225" s="16">
        <f t="shared" si="121"/>
        <v>57.0852</v>
      </c>
      <c r="BI225" s="17">
        <f t="shared" si="119"/>
        <v>27.42</v>
      </c>
      <c r="BJ225" s="17">
        <f t="shared" si="120"/>
        <v>55.55</v>
      </c>
      <c r="BL225" s="1">
        <f t="shared" si="122"/>
        <v>92.3</v>
      </c>
      <c r="BM225" s="1">
        <f t="shared" si="123"/>
        <v>53</v>
      </c>
      <c r="BN225" s="1">
        <f t="shared" si="124"/>
        <v>18.600000000000001</v>
      </c>
      <c r="BO225" s="49">
        <f t="shared" si="130"/>
        <v>0.57799999999999996</v>
      </c>
      <c r="BP225" s="49">
        <f t="shared" si="131"/>
        <v>2.5299999999999998</v>
      </c>
      <c r="BR225" s="3">
        <v>0</v>
      </c>
      <c r="BT225" s="16">
        <f t="shared" si="125"/>
        <v>27.42</v>
      </c>
      <c r="BU225" s="16">
        <f t="shared" si="126"/>
        <v>55.55</v>
      </c>
      <c r="BV225" s="3">
        <f t="shared" si="127"/>
        <v>14.5</v>
      </c>
      <c r="BW225" s="3">
        <f t="shared" si="118"/>
        <v>14.4</v>
      </c>
      <c r="BX225" s="3">
        <f t="shared" si="118"/>
        <v>14.3</v>
      </c>
      <c r="BY225" s="3">
        <f t="shared" si="118"/>
        <v>11.6</v>
      </c>
      <c r="BZ225" s="3">
        <f t="shared" si="118"/>
        <v>11.7</v>
      </c>
      <c r="CA225" s="3">
        <f t="shared" si="118"/>
        <v>10.3</v>
      </c>
      <c r="CB225" s="3">
        <f t="shared" si="118"/>
        <v>9.1999999999999993</v>
      </c>
      <c r="CC225" s="22">
        <f t="shared" si="128"/>
        <v>53</v>
      </c>
      <c r="CD225" s="1">
        <f t="shared" si="132"/>
        <v>24.7</v>
      </c>
      <c r="CE225" s="1">
        <f t="shared" si="133"/>
        <v>28.2</v>
      </c>
      <c r="CF225" s="1">
        <f t="shared" si="134"/>
        <v>28.4</v>
      </c>
      <c r="CG225" s="1">
        <f t="shared" si="135"/>
        <v>25.7</v>
      </c>
      <c r="CH225" s="1">
        <f t="shared" si="136"/>
        <v>15.2</v>
      </c>
      <c r="CI225" s="1">
        <f t="shared" si="137"/>
        <v>11.1</v>
      </c>
      <c r="CJ225" s="1">
        <f t="shared" si="138"/>
        <v>10.1</v>
      </c>
      <c r="CK225" s="2">
        <f t="shared" si="129"/>
        <v>92.3</v>
      </c>
      <c r="CL225" s="1">
        <f t="shared" si="139"/>
        <v>2.9</v>
      </c>
      <c r="CM225" s="1">
        <f t="shared" si="140"/>
        <v>1.6</v>
      </c>
      <c r="CN225" s="1">
        <f t="shared" si="141"/>
        <v>1.4</v>
      </c>
      <c r="CO225" s="1">
        <f t="shared" si="142"/>
        <v>2.5</v>
      </c>
      <c r="CP225" s="1">
        <f t="shared" si="143"/>
        <v>8.3000000000000007</v>
      </c>
      <c r="CQ225" s="1">
        <f t="shared" si="144"/>
        <v>9.8000000000000007</v>
      </c>
      <c r="CR225" s="1">
        <f t="shared" si="145"/>
        <v>8.3000000000000007</v>
      </c>
      <c r="CS225" s="2">
        <f t="shared" si="146"/>
        <v>18.600000000000001</v>
      </c>
      <c r="CT225" s="6">
        <f t="shared" si="147"/>
        <v>0</v>
      </c>
      <c r="CU225" s="1">
        <f>PPTest!K225</f>
        <v>0</v>
      </c>
      <c r="CV225" s="3">
        <f t="shared" si="148"/>
        <v>1.77</v>
      </c>
      <c r="CW225" s="3">
        <f t="shared" si="149"/>
        <v>5.47</v>
      </c>
      <c r="CX225" s="24">
        <f t="shared" si="150"/>
        <v>0.57799999999999996</v>
      </c>
      <c r="CY225" s="24">
        <f t="shared" si="150"/>
        <v>2.5299999999999998</v>
      </c>
      <c r="CZ225" s="16">
        <f t="shared" si="151"/>
        <v>12.82</v>
      </c>
    </row>
    <row r="226" spans="1:104" x14ac:dyDescent="0.2">
      <c r="A226" s="14">
        <f t="shared" si="152"/>
        <v>38937</v>
      </c>
      <c r="B226" s="1">
        <v>220</v>
      </c>
      <c r="C226" s="3">
        <v>21.92</v>
      </c>
      <c r="D226" s="3">
        <v>39.950000000000003</v>
      </c>
      <c r="E226" s="3">
        <v>13.89</v>
      </c>
      <c r="F226" s="3">
        <v>69.540000000000006</v>
      </c>
      <c r="G226" s="3">
        <v>13.7</v>
      </c>
      <c r="H226" s="3">
        <v>13.5</v>
      </c>
      <c r="I226" s="3">
        <v>11.64</v>
      </c>
      <c r="J226" s="3">
        <v>11.56</v>
      </c>
      <c r="K226" s="3">
        <v>10.61</v>
      </c>
      <c r="L226" s="3">
        <v>9.23</v>
      </c>
      <c r="M226" s="3">
        <v>1.5469999999999999</v>
      </c>
      <c r="N226" s="3">
        <v>0</v>
      </c>
      <c r="O226" s="3">
        <v>22.65</v>
      </c>
      <c r="P226" s="3">
        <v>1709</v>
      </c>
      <c r="Q226" s="3">
        <v>104.7</v>
      </c>
      <c r="R226" s="3">
        <v>457</v>
      </c>
      <c r="S226" s="3">
        <v>23.98</v>
      </c>
      <c r="T226" s="3">
        <v>25.24</v>
      </c>
      <c r="U226" s="3">
        <v>23.21</v>
      </c>
      <c r="V226" s="3">
        <v>14.31</v>
      </c>
      <c r="W226" s="3">
        <v>11.24</v>
      </c>
      <c r="X226" s="3">
        <v>9.94</v>
      </c>
      <c r="Y226" s="3">
        <v>3.6259999999999999</v>
      </c>
      <c r="Z226" s="3">
        <v>1747</v>
      </c>
      <c r="AA226" s="3">
        <v>3.3279999999999998</v>
      </c>
      <c r="AB226" s="3">
        <v>452</v>
      </c>
      <c r="AC226" s="3">
        <v>32.21</v>
      </c>
      <c r="AD226" s="3">
        <v>1717</v>
      </c>
      <c r="AE226" s="3">
        <v>2.097</v>
      </c>
      <c r="AF226" s="3">
        <v>1.76</v>
      </c>
      <c r="AG226" s="3">
        <v>2.702</v>
      </c>
      <c r="AH226" s="3">
        <v>8.7100000000000009</v>
      </c>
      <c r="AI226" s="3">
        <v>9.9600000000000009</v>
      </c>
      <c r="AJ226" s="3">
        <v>8.6300000000000008</v>
      </c>
      <c r="AK226" s="3">
        <v>2.7E-2</v>
      </c>
      <c r="AL226" s="3">
        <v>0.28399999999999997</v>
      </c>
      <c r="AM226" s="3">
        <v>0.126</v>
      </c>
      <c r="AN226" s="3">
        <v>1.2E-2</v>
      </c>
      <c r="AO226" s="3">
        <v>0.115</v>
      </c>
      <c r="AP226" s="3">
        <v>0.24399999999999999</v>
      </c>
      <c r="AQ226" s="3">
        <v>0.14299999999999999</v>
      </c>
      <c r="AR226" s="3">
        <v>4.9000000000000002E-2</v>
      </c>
      <c r="AS226" s="3">
        <v>3523</v>
      </c>
      <c r="AT226" s="3">
        <v>3518</v>
      </c>
      <c r="AU226" s="3">
        <v>3520</v>
      </c>
      <c r="AV226" s="3">
        <v>13.24</v>
      </c>
      <c r="AW226" s="3">
        <v>13.25</v>
      </c>
      <c r="AX226" s="3">
        <v>23.55</v>
      </c>
      <c r="AY226" s="3">
        <v>24.12</v>
      </c>
      <c r="AZ226" s="3">
        <v>1.8740000000000001</v>
      </c>
      <c r="BA226" s="3">
        <v>1.6479999999999999</v>
      </c>
      <c r="BB226" s="3">
        <v>12.88</v>
      </c>
      <c r="BC226" s="3">
        <v>2876</v>
      </c>
      <c r="BG226" s="16">
        <v>28.06</v>
      </c>
      <c r="BH226" s="16">
        <f t="shared" si="121"/>
        <v>56.681199999999997</v>
      </c>
      <c r="BI226" s="17">
        <f t="shared" si="119"/>
        <v>21.48</v>
      </c>
      <c r="BJ226" s="17">
        <f t="shared" si="120"/>
        <v>43.95</v>
      </c>
      <c r="BL226" s="1">
        <f t="shared" si="122"/>
        <v>89.8</v>
      </c>
      <c r="BM226" s="1">
        <f t="shared" si="123"/>
        <v>54.2</v>
      </c>
      <c r="BN226" s="1">
        <f t="shared" si="124"/>
        <v>21.3</v>
      </c>
      <c r="BO226" s="49">
        <f t="shared" si="130"/>
        <v>0.58599999999999997</v>
      </c>
      <c r="BP226" s="49">
        <f t="shared" si="131"/>
        <v>2.165</v>
      </c>
      <c r="BR226" s="3">
        <v>0</v>
      </c>
      <c r="BT226" s="16">
        <f t="shared" si="125"/>
        <v>21.48</v>
      </c>
      <c r="BU226" s="16">
        <f t="shared" si="126"/>
        <v>43.95</v>
      </c>
      <c r="BV226" s="3">
        <f t="shared" si="127"/>
        <v>13.9</v>
      </c>
      <c r="BW226" s="3">
        <f t="shared" si="118"/>
        <v>13.7</v>
      </c>
      <c r="BX226" s="3">
        <f t="shared" si="118"/>
        <v>13.5</v>
      </c>
      <c r="BY226" s="3">
        <f t="shared" si="118"/>
        <v>11.6</v>
      </c>
      <c r="BZ226" s="3">
        <f t="shared" si="118"/>
        <v>11.6</v>
      </c>
      <c r="CA226" s="3">
        <f t="shared" si="118"/>
        <v>10.6</v>
      </c>
      <c r="CB226" s="3">
        <f t="shared" si="118"/>
        <v>9.1999999999999993</v>
      </c>
      <c r="CC226" s="22">
        <f t="shared" si="128"/>
        <v>54.2</v>
      </c>
      <c r="CD226" s="1">
        <f t="shared" si="132"/>
        <v>22.7</v>
      </c>
      <c r="CE226" s="1">
        <f t="shared" si="133"/>
        <v>24</v>
      </c>
      <c r="CF226" s="1">
        <f t="shared" si="134"/>
        <v>25.2</v>
      </c>
      <c r="CG226" s="1">
        <f t="shared" si="135"/>
        <v>23.2</v>
      </c>
      <c r="CH226" s="1">
        <f t="shared" si="136"/>
        <v>14.3</v>
      </c>
      <c r="CI226" s="1">
        <f t="shared" si="137"/>
        <v>11.2</v>
      </c>
      <c r="CJ226" s="1">
        <f t="shared" si="138"/>
        <v>9.9</v>
      </c>
      <c r="CK226" s="2">
        <f t="shared" si="129"/>
        <v>89.8</v>
      </c>
      <c r="CL226" s="1">
        <f t="shared" si="139"/>
        <v>3.3</v>
      </c>
      <c r="CM226" s="1">
        <f t="shared" si="140"/>
        <v>2.1</v>
      </c>
      <c r="CN226" s="1">
        <f t="shared" si="141"/>
        <v>1.8</v>
      </c>
      <c r="CO226" s="1">
        <f t="shared" si="142"/>
        <v>2.7</v>
      </c>
      <c r="CP226" s="1">
        <f t="shared" si="143"/>
        <v>8.6999999999999993</v>
      </c>
      <c r="CQ226" s="1">
        <f t="shared" si="144"/>
        <v>10</v>
      </c>
      <c r="CR226" s="1">
        <f t="shared" si="145"/>
        <v>8.6</v>
      </c>
      <c r="CS226" s="2">
        <f t="shared" si="146"/>
        <v>21.3</v>
      </c>
      <c r="CT226" s="6">
        <f t="shared" si="147"/>
        <v>0</v>
      </c>
      <c r="CU226" s="1">
        <f>PPTest!K226</f>
        <v>0</v>
      </c>
      <c r="CV226" s="3">
        <f t="shared" si="148"/>
        <v>1.55</v>
      </c>
      <c r="CW226" s="3">
        <f t="shared" si="149"/>
        <v>3.63</v>
      </c>
      <c r="CX226" s="24">
        <f t="shared" si="150"/>
        <v>0.58599999999999997</v>
      </c>
      <c r="CY226" s="24">
        <f t="shared" si="150"/>
        <v>2.165</v>
      </c>
      <c r="CZ226" s="16">
        <f t="shared" si="151"/>
        <v>12.88</v>
      </c>
    </row>
    <row r="227" spans="1:104" x14ac:dyDescent="0.2">
      <c r="A227" s="14">
        <f t="shared" si="152"/>
        <v>38938</v>
      </c>
      <c r="B227" s="1">
        <v>221</v>
      </c>
      <c r="C227" s="3">
        <v>11.65</v>
      </c>
      <c r="D227" s="3">
        <v>22.11</v>
      </c>
      <c r="E227" s="3">
        <v>10.37</v>
      </c>
      <c r="F227" s="3">
        <v>98</v>
      </c>
      <c r="G227" s="3">
        <v>10.119999999999999</v>
      </c>
      <c r="H227" s="3">
        <v>9.99</v>
      </c>
      <c r="I227" s="3">
        <v>9.81</v>
      </c>
      <c r="J227" s="3">
        <v>10.99</v>
      </c>
      <c r="K227" s="3">
        <v>10.68</v>
      </c>
      <c r="L227" s="3">
        <v>9.2899999999999991</v>
      </c>
      <c r="M227" s="3">
        <v>1.119</v>
      </c>
      <c r="N227" s="3">
        <v>0</v>
      </c>
      <c r="O227" s="3">
        <v>17.7</v>
      </c>
      <c r="P227" s="3">
        <v>1708</v>
      </c>
      <c r="Q227" s="3">
        <v>109.8</v>
      </c>
      <c r="R227" s="3">
        <v>2308</v>
      </c>
      <c r="S227" s="3">
        <v>18.43</v>
      </c>
      <c r="T227" s="3">
        <v>19.77</v>
      </c>
      <c r="U227" s="3">
        <v>15.91</v>
      </c>
      <c r="V227" s="3">
        <v>12.72</v>
      </c>
      <c r="W227" s="3">
        <v>11</v>
      </c>
      <c r="X227" s="3">
        <v>9.68</v>
      </c>
      <c r="Y227" s="3">
        <v>3.4260000000000002</v>
      </c>
      <c r="Z227" s="3">
        <v>1630</v>
      </c>
      <c r="AA227" s="3">
        <v>4.83</v>
      </c>
      <c r="AB227" s="3">
        <v>2304</v>
      </c>
      <c r="AC227" s="3">
        <v>57.17</v>
      </c>
      <c r="AD227" s="3">
        <v>1658</v>
      </c>
      <c r="AE227" s="3">
        <v>3.5609999999999999</v>
      </c>
      <c r="AF227" s="3">
        <v>3.3889999999999998</v>
      </c>
      <c r="AG227" s="3">
        <v>3.98</v>
      </c>
      <c r="AH227" s="3">
        <v>9.67</v>
      </c>
      <c r="AI227" s="3">
        <v>10.01</v>
      </c>
      <c r="AJ227" s="3">
        <v>8.67</v>
      </c>
      <c r="AK227" s="3">
        <v>8.1000000000000003E-2</v>
      </c>
      <c r="AL227" s="3">
        <v>0.317</v>
      </c>
      <c r="AM227" s="3">
        <v>0.17100000000000001</v>
      </c>
      <c r="AN227" s="3">
        <v>8.0000000000000002E-3</v>
      </c>
      <c r="AO227" s="3">
        <v>8.1000000000000003E-2</v>
      </c>
      <c r="AP227" s="3">
        <v>0.17399999999999999</v>
      </c>
      <c r="AQ227" s="3">
        <v>0.10100000000000001</v>
      </c>
      <c r="AR227" s="3">
        <v>6.8000000000000005E-2</v>
      </c>
      <c r="AS227" s="3">
        <v>3514</v>
      </c>
      <c r="AT227" s="3">
        <v>3510</v>
      </c>
      <c r="AU227" s="3">
        <v>3513</v>
      </c>
      <c r="AV227" s="3">
        <v>10.34</v>
      </c>
      <c r="AW227" s="3">
        <v>10.17</v>
      </c>
      <c r="AX227" s="3">
        <v>16.45</v>
      </c>
      <c r="AY227" s="3">
        <v>16.71</v>
      </c>
      <c r="AZ227" s="3">
        <v>4.399</v>
      </c>
      <c r="BA227" s="3">
        <v>4.0839999999999996</v>
      </c>
      <c r="BB227" s="3">
        <v>12.95</v>
      </c>
      <c r="BC227" s="3">
        <v>2876</v>
      </c>
      <c r="BG227" s="16">
        <v>27.87</v>
      </c>
      <c r="BH227" s="16">
        <f t="shared" si="121"/>
        <v>56.297400000000003</v>
      </c>
      <c r="BI227" s="17">
        <f t="shared" si="119"/>
        <v>11.42</v>
      </c>
      <c r="BJ227" s="17">
        <f t="shared" si="120"/>
        <v>24.32</v>
      </c>
      <c r="BL227" s="1">
        <f t="shared" si="122"/>
        <v>97.9</v>
      </c>
      <c r="BM227" s="1">
        <f t="shared" si="123"/>
        <v>79.2</v>
      </c>
      <c r="BN227" s="1">
        <f t="shared" si="124"/>
        <v>43.3</v>
      </c>
      <c r="BO227" s="49">
        <f t="shared" si="130"/>
        <v>0.877</v>
      </c>
      <c r="BP227" s="49">
        <f t="shared" si="131"/>
        <v>1.1479999999999999</v>
      </c>
      <c r="BR227" s="3">
        <v>0.6</v>
      </c>
      <c r="BT227" s="16">
        <f t="shared" si="125"/>
        <v>11.42</v>
      </c>
      <c r="BU227" s="16">
        <f t="shared" si="126"/>
        <v>24.32</v>
      </c>
      <c r="BV227" s="3">
        <f t="shared" si="127"/>
        <v>10.4</v>
      </c>
      <c r="BW227" s="3">
        <f t="shared" si="118"/>
        <v>10.1</v>
      </c>
      <c r="BX227" s="3">
        <f t="shared" si="118"/>
        <v>10</v>
      </c>
      <c r="BY227" s="3">
        <f t="shared" si="118"/>
        <v>9.8000000000000007</v>
      </c>
      <c r="BZ227" s="3">
        <f t="shared" si="118"/>
        <v>11</v>
      </c>
      <c r="CA227" s="3">
        <f t="shared" si="118"/>
        <v>10.7</v>
      </c>
      <c r="CB227" s="3">
        <f t="shared" si="118"/>
        <v>9.3000000000000007</v>
      </c>
      <c r="CC227" s="22">
        <f t="shared" si="128"/>
        <v>79.2</v>
      </c>
      <c r="CD227" s="1">
        <f t="shared" si="132"/>
        <v>17.7</v>
      </c>
      <c r="CE227" s="1">
        <f t="shared" si="133"/>
        <v>18.399999999999999</v>
      </c>
      <c r="CF227" s="1">
        <f t="shared" si="134"/>
        <v>19.8</v>
      </c>
      <c r="CG227" s="1">
        <f t="shared" si="135"/>
        <v>15.9</v>
      </c>
      <c r="CH227" s="1">
        <f t="shared" si="136"/>
        <v>12.7</v>
      </c>
      <c r="CI227" s="1">
        <f t="shared" si="137"/>
        <v>11</v>
      </c>
      <c r="CJ227" s="1">
        <f t="shared" si="138"/>
        <v>9.6999999999999993</v>
      </c>
      <c r="CK227" s="2">
        <f t="shared" si="129"/>
        <v>97.9</v>
      </c>
      <c r="CL227" s="1">
        <f t="shared" si="139"/>
        <v>4.8</v>
      </c>
      <c r="CM227" s="1">
        <f t="shared" si="140"/>
        <v>3.6</v>
      </c>
      <c r="CN227" s="1">
        <f t="shared" si="141"/>
        <v>3.4</v>
      </c>
      <c r="CO227" s="1">
        <f t="shared" si="142"/>
        <v>4</v>
      </c>
      <c r="CP227" s="1">
        <f t="shared" si="143"/>
        <v>9.6999999999999993</v>
      </c>
      <c r="CQ227" s="1">
        <f t="shared" si="144"/>
        <v>10</v>
      </c>
      <c r="CR227" s="1">
        <f t="shared" si="145"/>
        <v>8.6999999999999993</v>
      </c>
      <c r="CS227" s="2">
        <f t="shared" si="146"/>
        <v>43.3</v>
      </c>
      <c r="CT227" s="6">
        <f t="shared" si="147"/>
        <v>0</v>
      </c>
      <c r="CU227" s="1">
        <f>PPTest!K227</f>
        <v>0</v>
      </c>
      <c r="CV227" s="3">
        <f t="shared" si="148"/>
        <v>1.1200000000000001</v>
      </c>
      <c r="CW227" s="3">
        <f t="shared" si="149"/>
        <v>3.43</v>
      </c>
      <c r="CX227" s="24">
        <f t="shared" si="150"/>
        <v>0.877</v>
      </c>
      <c r="CY227" s="24">
        <f t="shared" si="150"/>
        <v>1.1479999999999999</v>
      </c>
      <c r="CZ227" s="16">
        <f t="shared" si="151"/>
        <v>12.95</v>
      </c>
    </row>
    <row r="228" spans="1:104" x14ac:dyDescent="0.2">
      <c r="A228" s="14">
        <f t="shared" si="152"/>
        <v>38939</v>
      </c>
      <c r="B228" s="1">
        <v>222</v>
      </c>
      <c r="C228" s="3">
        <v>11.23</v>
      </c>
      <c r="D228" s="3">
        <v>24.22</v>
      </c>
      <c r="E228" s="3">
        <v>9.3800000000000008</v>
      </c>
      <c r="F228" s="3">
        <v>105.7</v>
      </c>
      <c r="G228" s="3">
        <v>9.6300000000000008</v>
      </c>
      <c r="H228" s="3">
        <v>9.61</v>
      </c>
      <c r="I228" s="3">
        <v>9.94</v>
      </c>
      <c r="J228" s="3">
        <v>10.54</v>
      </c>
      <c r="K228" s="3">
        <v>10.38</v>
      </c>
      <c r="L228" s="3">
        <v>9.39</v>
      </c>
      <c r="M228" s="3">
        <v>1.387</v>
      </c>
      <c r="N228" s="3">
        <v>31</v>
      </c>
      <c r="O228" s="3">
        <v>16.34</v>
      </c>
      <c r="P228" s="3">
        <v>1450</v>
      </c>
      <c r="Q228" s="3">
        <v>110.4</v>
      </c>
      <c r="R228" s="3">
        <v>2346</v>
      </c>
      <c r="S228" s="3">
        <v>19.21</v>
      </c>
      <c r="T228" s="3">
        <v>20.86</v>
      </c>
      <c r="U228" s="3">
        <v>14.75</v>
      </c>
      <c r="V228" s="3">
        <v>12.97</v>
      </c>
      <c r="W228" s="3">
        <v>10.76</v>
      </c>
      <c r="X228" s="3">
        <v>9.82</v>
      </c>
      <c r="Y228" s="3">
        <v>5.2750000000000004</v>
      </c>
      <c r="Z228" s="3">
        <v>1603</v>
      </c>
      <c r="AA228" s="3">
        <v>5.4660000000000002</v>
      </c>
      <c r="AB228" s="3">
        <v>35</v>
      </c>
      <c r="AC228" s="3">
        <v>77.599999999999994</v>
      </c>
      <c r="AD228" s="3">
        <v>1450</v>
      </c>
      <c r="AE228" s="3">
        <v>4.7759999999999998</v>
      </c>
      <c r="AF228" s="3">
        <v>4.5609999999999999</v>
      </c>
      <c r="AG228" s="3">
        <v>5.7160000000000002</v>
      </c>
      <c r="AH228" s="3">
        <v>9.41</v>
      </c>
      <c r="AI228" s="3">
        <v>9.3000000000000007</v>
      </c>
      <c r="AJ228" s="3">
        <v>8.41</v>
      </c>
      <c r="AK228" s="3">
        <v>0.158</v>
      </c>
      <c r="AL228" s="3">
        <v>0.20699999999999999</v>
      </c>
      <c r="AM228" s="3">
        <v>0.153</v>
      </c>
      <c r="AN228" s="3">
        <v>2.1000000000000001E-2</v>
      </c>
      <c r="AO228" s="3">
        <v>0.114</v>
      </c>
      <c r="AP228" s="3">
        <v>0.192</v>
      </c>
      <c r="AQ228" s="3">
        <v>7.9000000000000001E-2</v>
      </c>
      <c r="AR228" s="3">
        <v>7.6999999999999999E-2</v>
      </c>
      <c r="AS228" s="3">
        <v>3501</v>
      </c>
      <c r="AT228" s="3">
        <v>3498</v>
      </c>
      <c r="AU228" s="3">
        <v>3500</v>
      </c>
      <c r="AV228" s="3">
        <v>9.9</v>
      </c>
      <c r="AW228" s="3">
        <v>9.89</v>
      </c>
      <c r="AX228" s="3">
        <v>16.510000000000002</v>
      </c>
      <c r="AY228" s="3">
        <v>17.399999999999999</v>
      </c>
      <c r="AZ228" s="3">
        <v>4.42</v>
      </c>
      <c r="BA228" s="3">
        <v>4.3940000000000001</v>
      </c>
      <c r="BB228" s="3">
        <v>12.95</v>
      </c>
      <c r="BC228" s="3">
        <v>2876</v>
      </c>
      <c r="BG228" s="16">
        <v>27.67</v>
      </c>
      <c r="BH228" s="16">
        <f t="shared" si="121"/>
        <v>55.893400000000007</v>
      </c>
      <c r="BI228" s="17">
        <f t="shared" si="119"/>
        <v>11.01</v>
      </c>
      <c r="BJ228" s="17">
        <f t="shared" si="120"/>
        <v>26.64</v>
      </c>
      <c r="BL228" s="1">
        <f t="shared" si="122"/>
        <v>98.8</v>
      </c>
      <c r="BM228" s="1">
        <f t="shared" si="123"/>
        <v>91.4</v>
      </c>
      <c r="BN228" s="1">
        <f t="shared" si="124"/>
        <v>61.3</v>
      </c>
      <c r="BO228" s="49">
        <f t="shared" si="130"/>
        <v>1.139</v>
      </c>
      <c r="BP228" s="49">
        <f t="shared" si="131"/>
        <v>0.71899999999999997</v>
      </c>
      <c r="BR228" s="3">
        <v>15.4</v>
      </c>
      <c r="BT228" s="16">
        <f t="shared" si="125"/>
        <v>11.01</v>
      </c>
      <c r="BU228" s="16">
        <f t="shared" si="126"/>
        <v>26.64</v>
      </c>
      <c r="BV228" s="3">
        <f t="shared" si="127"/>
        <v>9.4</v>
      </c>
      <c r="BW228" s="3">
        <f t="shared" si="118"/>
        <v>9.6</v>
      </c>
      <c r="BX228" s="3">
        <f t="shared" si="118"/>
        <v>9.6</v>
      </c>
      <c r="BY228" s="3">
        <f t="shared" si="118"/>
        <v>9.9</v>
      </c>
      <c r="BZ228" s="3">
        <f t="shared" si="118"/>
        <v>10.5</v>
      </c>
      <c r="CA228" s="3">
        <f t="shared" si="118"/>
        <v>10.4</v>
      </c>
      <c r="CB228" s="3">
        <f t="shared" si="118"/>
        <v>9.4</v>
      </c>
      <c r="CC228" s="22">
        <f t="shared" si="128"/>
        <v>91.4</v>
      </c>
      <c r="CD228" s="1">
        <f t="shared" si="132"/>
        <v>16.3</v>
      </c>
      <c r="CE228" s="1">
        <f t="shared" si="133"/>
        <v>19.2</v>
      </c>
      <c r="CF228" s="1">
        <f t="shared" si="134"/>
        <v>20.9</v>
      </c>
      <c r="CG228" s="1">
        <f t="shared" si="135"/>
        <v>14.8</v>
      </c>
      <c r="CH228" s="1">
        <f t="shared" si="136"/>
        <v>13</v>
      </c>
      <c r="CI228" s="1">
        <f t="shared" si="137"/>
        <v>10.8</v>
      </c>
      <c r="CJ228" s="1">
        <f t="shared" si="138"/>
        <v>9.8000000000000007</v>
      </c>
      <c r="CK228" s="2">
        <f t="shared" si="129"/>
        <v>98.8</v>
      </c>
      <c r="CL228" s="1">
        <f t="shared" si="139"/>
        <v>5.5</v>
      </c>
      <c r="CM228" s="1">
        <f t="shared" si="140"/>
        <v>4.8</v>
      </c>
      <c r="CN228" s="1">
        <f t="shared" si="141"/>
        <v>4.5999999999999996</v>
      </c>
      <c r="CO228" s="1">
        <f t="shared" si="142"/>
        <v>5.7</v>
      </c>
      <c r="CP228" s="1">
        <f t="shared" si="143"/>
        <v>9.4</v>
      </c>
      <c r="CQ228" s="1">
        <f t="shared" si="144"/>
        <v>9.3000000000000007</v>
      </c>
      <c r="CR228" s="1">
        <f t="shared" si="145"/>
        <v>8.4</v>
      </c>
      <c r="CS228" s="2">
        <f t="shared" si="146"/>
        <v>61.3</v>
      </c>
      <c r="CT228" s="6">
        <f t="shared" si="147"/>
        <v>0</v>
      </c>
      <c r="CU228" s="1">
        <f>PPTest!K228</f>
        <v>31</v>
      </c>
      <c r="CV228" s="3">
        <f t="shared" si="148"/>
        <v>1.39</v>
      </c>
      <c r="CW228" s="3">
        <f t="shared" si="149"/>
        <v>5.28</v>
      </c>
      <c r="CX228" s="24">
        <f t="shared" si="150"/>
        <v>1.139</v>
      </c>
      <c r="CY228" s="24">
        <f t="shared" si="150"/>
        <v>0.71899999999999997</v>
      </c>
      <c r="CZ228" s="16">
        <f t="shared" si="151"/>
        <v>12.95</v>
      </c>
    </row>
    <row r="229" spans="1:104" x14ac:dyDescent="0.2">
      <c r="A229" s="14">
        <f t="shared" si="152"/>
        <v>38940</v>
      </c>
      <c r="B229" s="1">
        <v>223</v>
      </c>
      <c r="C229" s="3">
        <v>8.16</v>
      </c>
      <c r="D229" s="3">
        <v>18.3</v>
      </c>
      <c r="E229" s="3">
        <v>6.3230000000000004</v>
      </c>
      <c r="F229" s="3">
        <v>108.6</v>
      </c>
      <c r="G229" s="3">
        <v>6.4080000000000004</v>
      </c>
      <c r="H229" s="3">
        <v>6.2160000000000002</v>
      </c>
      <c r="I229" s="3">
        <v>7.49</v>
      </c>
      <c r="J229" s="3">
        <v>9.2799999999999994</v>
      </c>
      <c r="K229" s="3">
        <v>9.85</v>
      </c>
      <c r="L229" s="3">
        <v>9.35</v>
      </c>
      <c r="M229" s="3">
        <v>1.304</v>
      </c>
      <c r="N229" s="3">
        <v>9</v>
      </c>
      <c r="O229" s="3">
        <v>13</v>
      </c>
      <c r="P229" s="3">
        <v>1729</v>
      </c>
      <c r="Q229" s="3">
        <v>110.8</v>
      </c>
      <c r="R229" s="3">
        <v>2358</v>
      </c>
      <c r="S229" s="3">
        <v>13.53</v>
      </c>
      <c r="T229" s="3">
        <v>13.66</v>
      </c>
      <c r="U229" s="3">
        <v>12.32</v>
      </c>
      <c r="V229" s="3">
        <v>10.48</v>
      </c>
      <c r="W229" s="3">
        <v>10.19</v>
      </c>
      <c r="X229" s="3">
        <v>9.7799999999999994</v>
      </c>
      <c r="Y229" s="3">
        <v>3.8380000000000001</v>
      </c>
      <c r="Z229" s="3">
        <v>2</v>
      </c>
      <c r="AA229" s="3">
        <v>0.82599999999999996</v>
      </c>
      <c r="AB229" s="3">
        <v>0</v>
      </c>
      <c r="AC229" s="3">
        <v>77.3</v>
      </c>
      <c r="AD229" s="3">
        <v>1723</v>
      </c>
      <c r="AE229" s="3">
        <v>0.01</v>
      </c>
      <c r="AF229" s="3">
        <v>-0.26200000000000001</v>
      </c>
      <c r="AG229" s="3">
        <v>1.381</v>
      </c>
      <c r="AH229" s="3">
        <v>7.75</v>
      </c>
      <c r="AI229" s="3">
        <v>9.19</v>
      </c>
      <c r="AJ229" s="3">
        <v>8.83</v>
      </c>
      <c r="AK229" s="3">
        <v>5.7000000000000002E-2</v>
      </c>
      <c r="AL229" s="3">
        <v>0.14399999999999999</v>
      </c>
      <c r="AM229" s="3">
        <v>9.4E-2</v>
      </c>
      <c r="AN229" s="3">
        <v>1.2999999999999999E-2</v>
      </c>
      <c r="AO229" s="3">
        <v>0.187</v>
      </c>
      <c r="AP229" s="3">
        <v>0.35499999999999998</v>
      </c>
      <c r="AQ229" s="3">
        <v>0.10100000000000001</v>
      </c>
      <c r="AR229" s="3">
        <v>4.9000000000000002E-2</v>
      </c>
      <c r="AS229" s="3">
        <v>3512</v>
      </c>
      <c r="AT229" s="3">
        <v>3510</v>
      </c>
      <c r="AU229" s="3">
        <v>3511</v>
      </c>
      <c r="AV229" s="3">
        <v>7.13</v>
      </c>
      <c r="AW229" s="3">
        <v>6.8559999999999999</v>
      </c>
      <c r="AX229" s="3">
        <v>11.8</v>
      </c>
      <c r="AY229" s="3">
        <v>12.41</v>
      </c>
      <c r="AZ229" s="3">
        <v>0.62</v>
      </c>
      <c r="BA229" s="3">
        <v>0.13100000000000001</v>
      </c>
      <c r="BB229" s="3">
        <v>13.06</v>
      </c>
      <c r="BC229" s="3">
        <v>2876</v>
      </c>
      <c r="BG229" s="16">
        <v>27.47</v>
      </c>
      <c r="BH229" s="16">
        <f t="shared" si="121"/>
        <v>55.489399999999996</v>
      </c>
      <c r="BI229" s="17">
        <f t="shared" si="119"/>
        <v>8</v>
      </c>
      <c r="BJ229" s="17">
        <f t="shared" si="120"/>
        <v>20.13</v>
      </c>
      <c r="BL229" s="1">
        <f t="shared" si="122"/>
        <v>99.5</v>
      </c>
      <c r="BM229" s="1">
        <f t="shared" si="123"/>
        <v>96</v>
      </c>
      <c r="BN229" s="1">
        <f t="shared" si="124"/>
        <v>61</v>
      </c>
      <c r="BO229" s="49">
        <f t="shared" si="130"/>
        <v>0.91300000000000003</v>
      </c>
      <c r="BP229" s="49">
        <f t="shared" si="131"/>
        <v>0.58399999999999996</v>
      </c>
      <c r="BR229" s="3">
        <v>8</v>
      </c>
      <c r="BT229" s="16">
        <f t="shared" si="125"/>
        <v>8</v>
      </c>
      <c r="BU229" s="16">
        <f t="shared" si="126"/>
        <v>20.13</v>
      </c>
      <c r="BV229" s="3">
        <f t="shared" si="127"/>
        <v>6.3</v>
      </c>
      <c r="BW229" s="3">
        <f t="shared" si="118"/>
        <v>6.4</v>
      </c>
      <c r="BX229" s="3">
        <f t="shared" si="118"/>
        <v>6.2</v>
      </c>
      <c r="BY229" s="3">
        <f t="shared" si="118"/>
        <v>7.5</v>
      </c>
      <c r="BZ229" s="3">
        <f t="shared" si="118"/>
        <v>9.3000000000000007</v>
      </c>
      <c r="CA229" s="3">
        <f t="shared" si="118"/>
        <v>9.9</v>
      </c>
      <c r="CB229" s="3">
        <f t="shared" si="118"/>
        <v>9.4</v>
      </c>
      <c r="CC229" s="22">
        <f t="shared" si="128"/>
        <v>96</v>
      </c>
      <c r="CD229" s="1">
        <f t="shared" si="132"/>
        <v>13</v>
      </c>
      <c r="CE229" s="1">
        <f t="shared" si="133"/>
        <v>13.5</v>
      </c>
      <c r="CF229" s="1">
        <f t="shared" si="134"/>
        <v>13.7</v>
      </c>
      <c r="CG229" s="1">
        <f t="shared" si="135"/>
        <v>12.3</v>
      </c>
      <c r="CH229" s="1">
        <f t="shared" si="136"/>
        <v>10.5</v>
      </c>
      <c r="CI229" s="1">
        <f t="shared" si="137"/>
        <v>10.199999999999999</v>
      </c>
      <c r="CJ229" s="1">
        <f t="shared" si="138"/>
        <v>9.8000000000000007</v>
      </c>
      <c r="CK229" s="2">
        <f t="shared" si="129"/>
        <v>99.5</v>
      </c>
      <c r="CL229" s="1">
        <f t="shared" si="139"/>
        <v>0.8</v>
      </c>
      <c r="CM229" s="1">
        <f t="shared" si="140"/>
        <v>0</v>
      </c>
      <c r="CN229" s="1">
        <f t="shared" si="141"/>
        <v>-0.3</v>
      </c>
      <c r="CO229" s="1">
        <f t="shared" si="142"/>
        <v>1.4</v>
      </c>
      <c r="CP229" s="1">
        <f t="shared" si="143"/>
        <v>7.8</v>
      </c>
      <c r="CQ229" s="1">
        <f t="shared" si="144"/>
        <v>9.1999999999999993</v>
      </c>
      <c r="CR229" s="1">
        <f t="shared" si="145"/>
        <v>8.8000000000000007</v>
      </c>
      <c r="CS229" s="2">
        <f t="shared" si="146"/>
        <v>61</v>
      </c>
      <c r="CT229" s="6">
        <f t="shared" si="147"/>
        <v>0</v>
      </c>
      <c r="CU229" s="1">
        <f>PPTest!K229</f>
        <v>9</v>
      </c>
      <c r="CV229" s="3">
        <f t="shared" si="148"/>
        <v>1.3</v>
      </c>
      <c r="CW229" s="3">
        <f t="shared" si="149"/>
        <v>3.84</v>
      </c>
      <c r="CX229" s="24">
        <f t="shared" si="150"/>
        <v>0.91300000000000003</v>
      </c>
      <c r="CY229" s="24">
        <f t="shared" si="150"/>
        <v>0.58399999999999996</v>
      </c>
      <c r="CZ229" s="16">
        <f t="shared" si="151"/>
        <v>13.06</v>
      </c>
    </row>
    <row r="230" spans="1:104" x14ac:dyDescent="0.2">
      <c r="A230" s="14">
        <f t="shared" si="152"/>
        <v>38941</v>
      </c>
      <c r="B230" s="1">
        <v>224</v>
      </c>
      <c r="C230" s="3">
        <v>23.41</v>
      </c>
      <c r="D230" s="3">
        <v>42.42</v>
      </c>
      <c r="E230" s="3">
        <v>7.66</v>
      </c>
      <c r="F230" s="3">
        <v>91.6</v>
      </c>
      <c r="G230" s="3">
        <v>7.75</v>
      </c>
      <c r="H230" s="3">
        <v>7.65</v>
      </c>
      <c r="I230" s="3">
        <v>7.86</v>
      </c>
      <c r="J230" s="3">
        <v>9.2100000000000009</v>
      </c>
      <c r="K230" s="3">
        <v>9.42</v>
      </c>
      <c r="L230" s="3">
        <v>9.2799999999999994</v>
      </c>
      <c r="M230" s="3">
        <v>1.524</v>
      </c>
      <c r="N230" s="3">
        <v>0</v>
      </c>
      <c r="O230" s="3">
        <v>15.96</v>
      </c>
      <c r="P230" s="3">
        <v>1542</v>
      </c>
      <c r="Q230" s="3">
        <v>110.9</v>
      </c>
      <c r="R230" s="3">
        <v>156</v>
      </c>
      <c r="S230" s="3">
        <v>18.75</v>
      </c>
      <c r="T230" s="3">
        <v>18.989999999999998</v>
      </c>
      <c r="U230" s="3">
        <v>17.690000000000001</v>
      </c>
      <c r="V230" s="3">
        <v>12.13</v>
      </c>
      <c r="W230" s="3">
        <v>10.1</v>
      </c>
      <c r="X230" s="3">
        <v>9.92</v>
      </c>
      <c r="Y230" s="3">
        <v>4.2240000000000002</v>
      </c>
      <c r="Z230" s="3">
        <v>1502</v>
      </c>
      <c r="AA230" s="3">
        <v>-0.34</v>
      </c>
      <c r="AB230" s="3">
        <v>407</v>
      </c>
      <c r="AC230" s="3">
        <v>47.07</v>
      </c>
      <c r="AD230" s="3">
        <v>1418</v>
      </c>
      <c r="AE230" s="3">
        <v>-0.95499999999999996</v>
      </c>
      <c r="AF230" s="3">
        <v>-1.1200000000000001</v>
      </c>
      <c r="AG230" s="3">
        <v>1.161</v>
      </c>
      <c r="AH230" s="3">
        <v>6.5830000000000002</v>
      </c>
      <c r="AI230" s="3">
        <v>8.7200000000000006</v>
      </c>
      <c r="AJ230" s="3">
        <v>8.5399999999999991</v>
      </c>
      <c r="AK230" s="3">
        <v>4.2000000000000003E-2</v>
      </c>
      <c r="AL230" s="3">
        <v>0.29499999999999998</v>
      </c>
      <c r="AM230" s="3">
        <v>0.22700000000000001</v>
      </c>
      <c r="AN230" s="3">
        <v>1.7999999999999999E-2</v>
      </c>
      <c r="AO230" s="3">
        <v>0.11600000000000001</v>
      </c>
      <c r="AP230" s="3">
        <v>0.16700000000000001</v>
      </c>
      <c r="AQ230" s="3">
        <v>8.1000000000000003E-2</v>
      </c>
      <c r="AR230" s="3">
        <v>5.2999999999999999E-2</v>
      </c>
      <c r="AS230" s="3">
        <v>3467</v>
      </c>
      <c r="AT230" s="3">
        <v>3453</v>
      </c>
      <c r="AU230" s="3">
        <v>3460</v>
      </c>
      <c r="AV230" s="3">
        <v>7.93</v>
      </c>
      <c r="AW230" s="3">
        <v>7.9</v>
      </c>
      <c r="AX230" s="3">
        <v>17.02</v>
      </c>
      <c r="AY230" s="3">
        <v>17.489999999999998</v>
      </c>
      <c r="AZ230" s="3">
        <v>-0.8</v>
      </c>
      <c r="BA230" s="3">
        <v>-0.99</v>
      </c>
      <c r="BB230" s="3">
        <v>13.03</v>
      </c>
      <c r="BC230" s="3">
        <v>2876</v>
      </c>
      <c r="BG230" s="16">
        <v>27.27</v>
      </c>
      <c r="BH230" s="16">
        <f t="shared" si="121"/>
        <v>55.0854</v>
      </c>
      <c r="BI230" s="17">
        <f t="shared" si="119"/>
        <v>22.94</v>
      </c>
      <c r="BJ230" s="17">
        <f t="shared" si="120"/>
        <v>46.66</v>
      </c>
      <c r="BL230" s="1">
        <f t="shared" si="122"/>
        <v>99.6</v>
      </c>
      <c r="BM230" s="1">
        <f t="shared" si="123"/>
        <v>73.599999999999994</v>
      </c>
      <c r="BN230" s="1">
        <f t="shared" si="124"/>
        <v>34.4</v>
      </c>
      <c r="BO230" s="49">
        <f t="shared" si="130"/>
        <v>0.624</v>
      </c>
      <c r="BP230" s="49">
        <f t="shared" si="131"/>
        <v>1.19</v>
      </c>
      <c r="BR230" s="3">
        <v>0</v>
      </c>
      <c r="BT230" s="16">
        <f t="shared" si="125"/>
        <v>22.94</v>
      </c>
      <c r="BU230" s="16">
        <f t="shared" si="126"/>
        <v>46.66</v>
      </c>
      <c r="BV230" s="3">
        <f t="shared" si="127"/>
        <v>7.7</v>
      </c>
      <c r="BW230" s="3">
        <f t="shared" si="118"/>
        <v>7.8</v>
      </c>
      <c r="BX230" s="3">
        <f t="shared" si="118"/>
        <v>7.7</v>
      </c>
      <c r="BY230" s="3">
        <f t="shared" si="118"/>
        <v>7.9</v>
      </c>
      <c r="BZ230" s="3">
        <f t="shared" si="118"/>
        <v>9.1999999999999993</v>
      </c>
      <c r="CA230" s="3">
        <f t="shared" si="118"/>
        <v>9.4</v>
      </c>
      <c r="CB230" s="3">
        <f t="shared" si="118"/>
        <v>9.3000000000000007</v>
      </c>
      <c r="CC230" s="22">
        <f t="shared" si="128"/>
        <v>73.599999999999994</v>
      </c>
      <c r="CD230" s="1">
        <f t="shared" si="132"/>
        <v>16</v>
      </c>
      <c r="CE230" s="1">
        <f t="shared" si="133"/>
        <v>18.8</v>
      </c>
      <c r="CF230" s="1">
        <f t="shared" si="134"/>
        <v>19</v>
      </c>
      <c r="CG230" s="1">
        <f t="shared" si="135"/>
        <v>17.7</v>
      </c>
      <c r="CH230" s="1">
        <f t="shared" si="136"/>
        <v>12.1</v>
      </c>
      <c r="CI230" s="1">
        <f t="shared" si="137"/>
        <v>10.1</v>
      </c>
      <c r="CJ230" s="1">
        <f t="shared" si="138"/>
        <v>9.9</v>
      </c>
      <c r="CK230" s="2">
        <f t="shared" si="129"/>
        <v>99.6</v>
      </c>
      <c r="CL230" s="1">
        <f t="shared" si="139"/>
        <v>-0.3</v>
      </c>
      <c r="CM230" s="1">
        <f t="shared" si="140"/>
        <v>-1</v>
      </c>
      <c r="CN230" s="1">
        <f t="shared" si="141"/>
        <v>-1.1000000000000001</v>
      </c>
      <c r="CO230" s="1">
        <f t="shared" si="142"/>
        <v>1.2</v>
      </c>
      <c r="CP230" s="1">
        <f t="shared" si="143"/>
        <v>6.6</v>
      </c>
      <c r="CQ230" s="1">
        <f t="shared" si="144"/>
        <v>8.6999999999999993</v>
      </c>
      <c r="CR230" s="1">
        <f t="shared" si="145"/>
        <v>8.5</v>
      </c>
      <c r="CS230" s="2">
        <f t="shared" si="146"/>
        <v>34.4</v>
      </c>
      <c r="CT230" s="6">
        <f t="shared" si="147"/>
        <v>0</v>
      </c>
      <c r="CU230" s="1">
        <f>PPTest!K230</f>
        <v>0</v>
      </c>
      <c r="CV230" s="3">
        <f t="shared" si="148"/>
        <v>1.52</v>
      </c>
      <c r="CW230" s="3">
        <f t="shared" si="149"/>
        <v>4.22</v>
      </c>
      <c r="CX230" s="24">
        <f t="shared" si="150"/>
        <v>0.624</v>
      </c>
      <c r="CY230" s="24">
        <f t="shared" si="150"/>
        <v>1.19</v>
      </c>
      <c r="CZ230" s="16">
        <f t="shared" si="151"/>
        <v>13.03</v>
      </c>
    </row>
    <row r="231" spans="1:104" x14ac:dyDescent="0.2">
      <c r="A231" s="14">
        <f t="shared" si="152"/>
        <v>38942</v>
      </c>
      <c r="B231" s="1">
        <v>225</v>
      </c>
      <c r="C231" s="3">
        <v>26.88</v>
      </c>
      <c r="D231" s="3">
        <v>48.29</v>
      </c>
      <c r="E231" s="3">
        <v>11.1</v>
      </c>
      <c r="F231" s="3">
        <v>80.2</v>
      </c>
      <c r="G231" s="3">
        <v>11.19</v>
      </c>
      <c r="H231" s="3">
        <v>11.18</v>
      </c>
      <c r="I231" s="3">
        <v>9.92</v>
      </c>
      <c r="J231" s="3">
        <v>10.74</v>
      </c>
      <c r="K231" s="3">
        <v>9.6199999999999992</v>
      </c>
      <c r="L231" s="3">
        <v>9.1300000000000008</v>
      </c>
      <c r="M231" s="3">
        <v>1.635</v>
      </c>
      <c r="N231" s="3">
        <v>0</v>
      </c>
      <c r="O231" s="3">
        <v>19.420000000000002</v>
      </c>
      <c r="P231" s="3">
        <v>1525</v>
      </c>
      <c r="Q231" s="3">
        <v>110.2</v>
      </c>
      <c r="R231" s="3">
        <v>527</v>
      </c>
      <c r="S231" s="3">
        <v>22.72</v>
      </c>
      <c r="T231" s="3">
        <v>23.79</v>
      </c>
      <c r="U231" s="3">
        <v>20.62</v>
      </c>
      <c r="V231" s="3">
        <v>14.13</v>
      </c>
      <c r="W231" s="3">
        <v>10.26</v>
      </c>
      <c r="X231" s="3">
        <v>9.89</v>
      </c>
      <c r="Y231" s="3">
        <v>3.7850000000000001</v>
      </c>
      <c r="Z231" s="3">
        <v>1149</v>
      </c>
      <c r="AA231" s="3">
        <v>3.4159999999999999</v>
      </c>
      <c r="AB231" s="3">
        <v>2359</v>
      </c>
      <c r="AC231" s="3">
        <v>37.28</v>
      </c>
      <c r="AD231" s="3">
        <v>1434</v>
      </c>
      <c r="AE231" s="3">
        <v>2.5070000000000001</v>
      </c>
      <c r="AF231" s="3">
        <v>2.2949999999999999</v>
      </c>
      <c r="AG231" s="3">
        <v>3.74</v>
      </c>
      <c r="AH231" s="3">
        <v>7.95</v>
      </c>
      <c r="AI231" s="3">
        <v>9.08</v>
      </c>
      <c r="AJ231" s="3">
        <v>8.35</v>
      </c>
      <c r="AK231" s="3">
        <v>0.04</v>
      </c>
      <c r="AL231" s="3">
        <v>0.30599999999999999</v>
      </c>
      <c r="AM231" s="3">
        <v>0.23899999999999999</v>
      </c>
      <c r="AN231" s="3">
        <v>1.4999999999999999E-2</v>
      </c>
      <c r="AO231" s="3">
        <v>0.108</v>
      </c>
      <c r="AP231" s="3">
        <v>0.13600000000000001</v>
      </c>
      <c r="AQ231" s="3">
        <v>9.1999999999999998E-2</v>
      </c>
      <c r="AR231" s="3">
        <v>6.4000000000000001E-2</v>
      </c>
      <c r="AS231" s="3">
        <v>3506</v>
      </c>
      <c r="AT231" s="3">
        <v>3431</v>
      </c>
      <c r="AU231" s="3">
        <v>3487</v>
      </c>
      <c r="AV231" s="3">
        <v>11.51</v>
      </c>
      <c r="AW231" s="3">
        <v>11.43</v>
      </c>
      <c r="AX231" s="3">
        <v>22.5</v>
      </c>
      <c r="AY231" s="3">
        <v>22.82</v>
      </c>
      <c r="AZ231" s="3">
        <v>3.3180000000000001</v>
      </c>
      <c r="BA231" s="3">
        <v>2.7090000000000001</v>
      </c>
      <c r="BB231" s="3">
        <v>12.92</v>
      </c>
      <c r="BC231" s="3">
        <v>2876</v>
      </c>
      <c r="BG231" s="16">
        <v>27.06</v>
      </c>
      <c r="BH231" s="16">
        <f t="shared" si="121"/>
        <v>54.661200000000001</v>
      </c>
      <c r="BI231" s="17">
        <f t="shared" si="119"/>
        <v>26.34</v>
      </c>
      <c r="BJ231" s="17">
        <f t="shared" si="120"/>
        <v>53.12</v>
      </c>
      <c r="BL231" s="1">
        <f t="shared" si="122"/>
        <v>98.5</v>
      </c>
      <c r="BM231" s="1">
        <f t="shared" si="123"/>
        <v>63.6</v>
      </c>
      <c r="BN231" s="1">
        <f t="shared" si="124"/>
        <v>25.8</v>
      </c>
      <c r="BO231" s="49">
        <f t="shared" si="130"/>
        <v>0.58199999999999996</v>
      </c>
      <c r="BP231" s="49">
        <f t="shared" si="131"/>
        <v>1.6739999999999999</v>
      </c>
      <c r="BR231" s="3">
        <v>0</v>
      </c>
      <c r="BT231" s="16">
        <f t="shared" si="125"/>
        <v>26.34</v>
      </c>
      <c r="BU231" s="16">
        <f t="shared" si="126"/>
        <v>53.12</v>
      </c>
      <c r="BV231" s="3">
        <f t="shared" si="127"/>
        <v>11.1</v>
      </c>
      <c r="BW231" s="3">
        <f t="shared" si="118"/>
        <v>11.2</v>
      </c>
      <c r="BX231" s="3">
        <f t="shared" si="118"/>
        <v>11.2</v>
      </c>
      <c r="BY231" s="3">
        <f t="shared" si="118"/>
        <v>9.9</v>
      </c>
      <c r="BZ231" s="3">
        <f t="shared" si="118"/>
        <v>10.7</v>
      </c>
      <c r="CA231" s="3">
        <f t="shared" si="118"/>
        <v>9.6</v>
      </c>
      <c r="CB231" s="3">
        <f t="shared" si="118"/>
        <v>9.1</v>
      </c>
      <c r="CC231" s="22">
        <f t="shared" si="128"/>
        <v>63.6</v>
      </c>
      <c r="CD231" s="1">
        <f t="shared" si="132"/>
        <v>19.399999999999999</v>
      </c>
      <c r="CE231" s="1">
        <f t="shared" si="133"/>
        <v>22.7</v>
      </c>
      <c r="CF231" s="1">
        <f t="shared" si="134"/>
        <v>23.8</v>
      </c>
      <c r="CG231" s="1">
        <f t="shared" si="135"/>
        <v>20.6</v>
      </c>
      <c r="CH231" s="1">
        <f t="shared" si="136"/>
        <v>14.1</v>
      </c>
      <c r="CI231" s="1">
        <f t="shared" si="137"/>
        <v>10.3</v>
      </c>
      <c r="CJ231" s="1">
        <f t="shared" si="138"/>
        <v>9.9</v>
      </c>
      <c r="CK231" s="2">
        <f t="shared" si="129"/>
        <v>98.5</v>
      </c>
      <c r="CL231" s="1">
        <f t="shared" si="139"/>
        <v>3.4</v>
      </c>
      <c r="CM231" s="1">
        <f t="shared" si="140"/>
        <v>2.5</v>
      </c>
      <c r="CN231" s="1">
        <f t="shared" si="141"/>
        <v>2.2999999999999998</v>
      </c>
      <c r="CO231" s="1">
        <f t="shared" si="142"/>
        <v>3.7</v>
      </c>
      <c r="CP231" s="1">
        <f t="shared" si="143"/>
        <v>8</v>
      </c>
      <c r="CQ231" s="1">
        <f t="shared" si="144"/>
        <v>9.1</v>
      </c>
      <c r="CR231" s="1">
        <f t="shared" si="145"/>
        <v>8.4</v>
      </c>
      <c r="CS231" s="2">
        <f t="shared" si="146"/>
        <v>25.8</v>
      </c>
      <c r="CT231" s="6">
        <f t="shared" si="147"/>
        <v>0</v>
      </c>
      <c r="CU231" s="1">
        <f>PPTest!K231</f>
        <v>0</v>
      </c>
      <c r="CV231" s="3">
        <f t="shared" si="148"/>
        <v>1.64</v>
      </c>
      <c r="CW231" s="3">
        <f t="shared" si="149"/>
        <v>3.79</v>
      </c>
      <c r="CX231" s="24">
        <f t="shared" si="150"/>
        <v>0.58199999999999996</v>
      </c>
      <c r="CY231" s="24">
        <f t="shared" si="150"/>
        <v>1.6739999999999999</v>
      </c>
      <c r="CZ231" s="16">
        <f t="shared" si="151"/>
        <v>12.92</v>
      </c>
    </row>
    <row r="232" spans="1:104" x14ac:dyDescent="0.2">
      <c r="A232" s="14">
        <f t="shared" si="152"/>
        <v>38943</v>
      </c>
      <c r="B232" s="1">
        <v>226</v>
      </c>
      <c r="C232" s="3">
        <v>24.41</v>
      </c>
      <c r="D232" s="3">
        <v>43.37</v>
      </c>
      <c r="E232" s="3">
        <v>13.32</v>
      </c>
      <c r="F232" s="3">
        <v>68.41</v>
      </c>
      <c r="G232" s="3">
        <v>13.28</v>
      </c>
      <c r="H232" s="3">
        <v>13.1</v>
      </c>
      <c r="I232" s="3">
        <v>10.51</v>
      </c>
      <c r="J232" s="3">
        <v>10.95</v>
      </c>
      <c r="K232" s="3">
        <v>9.98</v>
      </c>
      <c r="L232" s="3">
        <v>9.1</v>
      </c>
      <c r="M232" s="3">
        <v>1.841</v>
      </c>
      <c r="N232" s="3">
        <v>0</v>
      </c>
      <c r="O232" s="3">
        <v>21.76</v>
      </c>
      <c r="P232" s="3">
        <v>1555</v>
      </c>
      <c r="Q232" s="3">
        <v>110</v>
      </c>
      <c r="R232" s="3">
        <v>459</v>
      </c>
      <c r="S232" s="3">
        <v>24.73</v>
      </c>
      <c r="T232" s="3">
        <v>24.98</v>
      </c>
      <c r="U232" s="3">
        <v>21.54</v>
      </c>
      <c r="V232" s="3">
        <v>13.87</v>
      </c>
      <c r="W232" s="3">
        <v>10.68</v>
      </c>
      <c r="X232" s="3">
        <v>9.89</v>
      </c>
      <c r="Y232" s="3">
        <v>5.2220000000000004</v>
      </c>
      <c r="Z232" s="3">
        <v>1834</v>
      </c>
      <c r="AA232" s="3">
        <v>1.6679999999999999</v>
      </c>
      <c r="AB232" s="3">
        <v>412</v>
      </c>
      <c r="AC232" s="3">
        <v>35.82</v>
      </c>
      <c r="AD232" s="3">
        <v>1634</v>
      </c>
      <c r="AE232" s="3">
        <v>0.67900000000000005</v>
      </c>
      <c r="AF232" s="3">
        <v>0.39500000000000002</v>
      </c>
      <c r="AG232" s="3">
        <v>1.859</v>
      </c>
      <c r="AH232" s="3">
        <v>7.71</v>
      </c>
      <c r="AI232" s="3">
        <v>9.33</v>
      </c>
      <c r="AJ232" s="3">
        <v>8.57</v>
      </c>
      <c r="AK232" s="3">
        <v>1.9E-2</v>
      </c>
      <c r="AL232" s="3">
        <v>0.222</v>
      </c>
      <c r="AM232" s="3">
        <v>0.121</v>
      </c>
      <c r="AN232" s="3">
        <v>3.5000000000000003E-2</v>
      </c>
      <c r="AO232" s="3">
        <v>0.14499999999999999</v>
      </c>
      <c r="AP232" s="3">
        <v>0.26300000000000001</v>
      </c>
      <c r="AQ232" s="3">
        <v>0.153</v>
      </c>
      <c r="AR232" s="3">
        <v>4.1000000000000002E-2</v>
      </c>
      <c r="AS232" s="3">
        <v>3526</v>
      </c>
      <c r="AT232" s="3">
        <v>3488</v>
      </c>
      <c r="AU232" s="3">
        <v>3509</v>
      </c>
      <c r="AV232" s="3">
        <v>12.59</v>
      </c>
      <c r="AW232" s="3">
        <v>12.62</v>
      </c>
      <c r="AX232" s="3">
        <v>24.09</v>
      </c>
      <c r="AY232" s="3">
        <v>24.22</v>
      </c>
      <c r="AZ232" s="3">
        <v>0.62</v>
      </c>
      <c r="BA232" s="3">
        <v>0.40799999999999997</v>
      </c>
      <c r="BB232" s="3">
        <v>12.91</v>
      </c>
      <c r="BC232" s="3">
        <v>2876</v>
      </c>
      <c r="BG232" s="16">
        <v>26.86</v>
      </c>
      <c r="BH232" s="16">
        <f t="shared" si="121"/>
        <v>54.257199999999997</v>
      </c>
      <c r="BI232" s="17">
        <f t="shared" si="119"/>
        <v>23.92</v>
      </c>
      <c r="BJ232" s="17">
        <f t="shared" si="120"/>
        <v>47.71</v>
      </c>
      <c r="BL232" s="1">
        <f t="shared" si="122"/>
        <v>98.2</v>
      </c>
      <c r="BM232" s="1">
        <f t="shared" si="123"/>
        <v>53.2</v>
      </c>
      <c r="BN232" s="1">
        <f t="shared" si="124"/>
        <v>24.5</v>
      </c>
      <c r="BO232" s="49">
        <f t="shared" si="130"/>
        <v>0.63800000000000001</v>
      </c>
      <c r="BP232" s="49">
        <f t="shared" si="131"/>
        <v>1.966</v>
      </c>
      <c r="BR232" s="3">
        <v>0</v>
      </c>
      <c r="BT232" s="16">
        <f t="shared" si="125"/>
        <v>23.92</v>
      </c>
      <c r="BU232" s="16">
        <f t="shared" si="126"/>
        <v>47.71</v>
      </c>
      <c r="BV232" s="3">
        <f t="shared" si="127"/>
        <v>13.3</v>
      </c>
      <c r="BW232" s="3">
        <f t="shared" si="118"/>
        <v>13.3</v>
      </c>
      <c r="BX232" s="3">
        <f t="shared" si="118"/>
        <v>13.1</v>
      </c>
      <c r="BY232" s="3">
        <f t="shared" si="118"/>
        <v>10.5</v>
      </c>
      <c r="BZ232" s="3">
        <f t="shared" si="118"/>
        <v>11</v>
      </c>
      <c r="CA232" s="3">
        <f t="shared" si="118"/>
        <v>10</v>
      </c>
      <c r="CB232" s="3">
        <f t="shared" si="118"/>
        <v>9.1</v>
      </c>
      <c r="CC232" s="22">
        <f t="shared" si="128"/>
        <v>53.2</v>
      </c>
      <c r="CD232" s="1">
        <f t="shared" si="132"/>
        <v>21.8</v>
      </c>
      <c r="CE232" s="1">
        <f t="shared" si="133"/>
        <v>24.7</v>
      </c>
      <c r="CF232" s="1">
        <f t="shared" si="134"/>
        <v>25</v>
      </c>
      <c r="CG232" s="1">
        <f t="shared" si="135"/>
        <v>21.5</v>
      </c>
      <c r="CH232" s="1">
        <f t="shared" si="136"/>
        <v>13.9</v>
      </c>
      <c r="CI232" s="1">
        <f t="shared" si="137"/>
        <v>10.7</v>
      </c>
      <c r="CJ232" s="1">
        <f t="shared" si="138"/>
        <v>9.9</v>
      </c>
      <c r="CK232" s="2">
        <f t="shared" si="129"/>
        <v>98.2</v>
      </c>
      <c r="CL232" s="1">
        <f t="shared" si="139"/>
        <v>1.7</v>
      </c>
      <c r="CM232" s="1">
        <f t="shared" si="140"/>
        <v>0.7</v>
      </c>
      <c r="CN232" s="1">
        <f t="shared" si="141"/>
        <v>0.4</v>
      </c>
      <c r="CO232" s="1">
        <f t="shared" si="142"/>
        <v>1.9</v>
      </c>
      <c r="CP232" s="1">
        <f t="shared" si="143"/>
        <v>7.7</v>
      </c>
      <c r="CQ232" s="1">
        <f t="shared" si="144"/>
        <v>9.3000000000000007</v>
      </c>
      <c r="CR232" s="1">
        <f t="shared" si="145"/>
        <v>8.6</v>
      </c>
      <c r="CS232" s="2">
        <f t="shared" si="146"/>
        <v>24.5</v>
      </c>
      <c r="CT232" s="6">
        <f t="shared" si="147"/>
        <v>0</v>
      </c>
      <c r="CU232" s="1">
        <f>PPTest!K232</f>
        <v>0</v>
      </c>
      <c r="CV232" s="3">
        <f t="shared" si="148"/>
        <v>1.84</v>
      </c>
      <c r="CW232" s="3">
        <f t="shared" si="149"/>
        <v>5.22</v>
      </c>
      <c r="CX232" s="24">
        <f t="shared" si="150"/>
        <v>0.63800000000000001</v>
      </c>
      <c r="CY232" s="24">
        <f t="shared" si="150"/>
        <v>1.966</v>
      </c>
      <c r="CZ232" s="16">
        <f t="shared" si="151"/>
        <v>12.91</v>
      </c>
    </row>
    <row r="233" spans="1:104" x14ac:dyDescent="0.2">
      <c r="A233" s="14">
        <f t="shared" si="152"/>
        <v>38944</v>
      </c>
      <c r="B233" s="1">
        <v>227</v>
      </c>
      <c r="C233" s="3">
        <v>26.08</v>
      </c>
      <c r="D233" s="3">
        <v>46.64</v>
      </c>
      <c r="E233" s="3">
        <v>10.35</v>
      </c>
      <c r="F233" s="3">
        <v>74.7</v>
      </c>
      <c r="G233" s="3">
        <v>10.029999999999999</v>
      </c>
      <c r="H233" s="3">
        <v>9.8800000000000008</v>
      </c>
      <c r="I233" s="3">
        <v>8.76</v>
      </c>
      <c r="J233" s="3">
        <v>10.84</v>
      </c>
      <c r="K233" s="3">
        <v>10.16</v>
      </c>
      <c r="L233" s="3">
        <v>9.02</v>
      </c>
      <c r="M233" s="3">
        <v>1.502</v>
      </c>
      <c r="N233" s="3">
        <v>0</v>
      </c>
      <c r="O233" s="3">
        <v>17.170000000000002</v>
      </c>
      <c r="P233" s="3">
        <v>1533</v>
      </c>
      <c r="Q233" s="3">
        <v>106.2</v>
      </c>
      <c r="R233" s="3">
        <v>354</v>
      </c>
      <c r="S233" s="3">
        <v>20.38</v>
      </c>
      <c r="T233" s="3">
        <v>22.86</v>
      </c>
      <c r="U233" s="3">
        <v>20.93</v>
      </c>
      <c r="V233" s="3">
        <v>13.71</v>
      </c>
      <c r="W233" s="3">
        <v>10.96</v>
      </c>
      <c r="X233" s="3">
        <v>9.7899999999999991</v>
      </c>
      <c r="Y233" s="3">
        <v>4.1580000000000004</v>
      </c>
      <c r="Z233" s="3">
        <v>1108</v>
      </c>
      <c r="AA233" s="3">
        <v>1.1679999999999999</v>
      </c>
      <c r="AB233" s="3">
        <v>2353</v>
      </c>
      <c r="AC233" s="3">
        <v>38.72</v>
      </c>
      <c r="AD233" s="3">
        <v>1728</v>
      </c>
      <c r="AE233" s="3">
        <v>0.19700000000000001</v>
      </c>
      <c r="AF233" s="3">
        <v>3.4000000000000002E-2</v>
      </c>
      <c r="AG233" s="3">
        <v>1.292</v>
      </c>
      <c r="AH233" s="3">
        <v>8.57</v>
      </c>
      <c r="AI233" s="3">
        <v>9.6199999999999992</v>
      </c>
      <c r="AJ233" s="3">
        <v>8.4</v>
      </c>
      <c r="AK233" s="3">
        <v>0.115</v>
      </c>
      <c r="AL233" s="3">
        <v>0.23</v>
      </c>
      <c r="AM233" s="3">
        <v>0.18099999999999999</v>
      </c>
      <c r="AN233" s="3">
        <v>4.2000000000000003E-2</v>
      </c>
      <c r="AO233" s="3">
        <v>9.4E-2</v>
      </c>
      <c r="AP233" s="3">
        <v>0.127</v>
      </c>
      <c r="AQ233" s="3">
        <v>0.104</v>
      </c>
      <c r="AR233" s="3">
        <v>0.106</v>
      </c>
      <c r="AS233" s="3">
        <v>3514</v>
      </c>
      <c r="AT233" s="3">
        <v>3317</v>
      </c>
      <c r="AU233" s="3">
        <v>3458</v>
      </c>
      <c r="AV233" s="3">
        <v>10.39</v>
      </c>
      <c r="AW233" s="3">
        <v>10.17</v>
      </c>
      <c r="AX233" s="3">
        <v>20.47</v>
      </c>
      <c r="AY233" s="3">
        <v>20.83</v>
      </c>
      <c r="AZ233" s="3">
        <v>0.66</v>
      </c>
      <c r="BA233" s="3">
        <v>0.222</v>
      </c>
      <c r="BB233" s="3">
        <v>12.94</v>
      </c>
      <c r="BC233" s="3">
        <v>2876</v>
      </c>
      <c r="BG233" s="16">
        <v>26.64</v>
      </c>
      <c r="BH233" s="16">
        <f t="shared" si="121"/>
        <v>53.812800000000003</v>
      </c>
      <c r="BI233" s="17">
        <f t="shared" si="119"/>
        <v>25.56</v>
      </c>
      <c r="BJ233" s="17">
        <f t="shared" si="120"/>
        <v>51.3</v>
      </c>
      <c r="BL233" s="1">
        <f t="shared" si="122"/>
        <v>92.2</v>
      </c>
      <c r="BM233" s="1">
        <f t="shared" si="123"/>
        <v>58.7</v>
      </c>
      <c r="BN233" s="1">
        <f t="shared" si="124"/>
        <v>27.1</v>
      </c>
      <c r="BO233" s="49">
        <f t="shared" si="130"/>
        <v>0.53100000000000003</v>
      </c>
      <c r="BP233" s="49">
        <f t="shared" si="131"/>
        <v>1.4279999999999999</v>
      </c>
      <c r="BR233" s="3">
        <v>0</v>
      </c>
      <c r="BT233" s="16">
        <f t="shared" si="125"/>
        <v>25.56</v>
      </c>
      <c r="BU233" s="16">
        <f t="shared" si="126"/>
        <v>51.3</v>
      </c>
      <c r="BV233" s="3">
        <f t="shared" si="127"/>
        <v>10.4</v>
      </c>
      <c r="BW233" s="3">
        <f t="shared" si="118"/>
        <v>10</v>
      </c>
      <c r="BX233" s="3">
        <f t="shared" si="118"/>
        <v>9.9</v>
      </c>
      <c r="BY233" s="3">
        <f t="shared" si="118"/>
        <v>8.8000000000000007</v>
      </c>
      <c r="BZ233" s="3">
        <f t="shared" si="118"/>
        <v>10.8</v>
      </c>
      <c r="CA233" s="3">
        <f t="shared" si="118"/>
        <v>10.199999999999999</v>
      </c>
      <c r="CB233" s="3">
        <f t="shared" si="118"/>
        <v>9</v>
      </c>
      <c r="CC233" s="22">
        <f t="shared" si="128"/>
        <v>58.7</v>
      </c>
      <c r="CD233" s="1">
        <f t="shared" si="132"/>
        <v>17.2</v>
      </c>
      <c r="CE233" s="1">
        <f t="shared" si="133"/>
        <v>20.399999999999999</v>
      </c>
      <c r="CF233" s="1">
        <f t="shared" si="134"/>
        <v>22.9</v>
      </c>
      <c r="CG233" s="1">
        <f t="shared" si="135"/>
        <v>20.9</v>
      </c>
      <c r="CH233" s="1">
        <f t="shared" si="136"/>
        <v>13.7</v>
      </c>
      <c r="CI233" s="1">
        <f t="shared" si="137"/>
        <v>11</v>
      </c>
      <c r="CJ233" s="1">
        <f t="shared" si="138"/>
        <v>9.8000000000000007</v>
      </c>
      <c r="CK233" s="2">
        <f t="shared" si="129"/>
        <v>92.2</v>
      </c>
      <c r="CL233" s="1">
        <f t="shared" si="139"/>
        <v>1.2</v>
      </c>
      <c r="CM233" s="1">
        <f t="shared" si="140"/>
        <v>0.2</v>
      </c>
      <c r="CN233" s="1">
        <f t="shared" si="141"/>
        <v>0</v>
      </c>
      <c r="CO233" s="1">
        <f t="shared" si="142"/>
        <v>1.3</v>
      </c>
      <c r="CP233" s="1">
        <f t="shared" si="143"/>
        <v>8.6</v>
      </c>
      <c r="CQ233" s="1">
        <f t="shared" si="144"/>
        <v>9.6</v>
      </c>
      <c r="CR233" s="1">
        <f t="shared" si="145"/>
        <v>8.4</v>
      </c>
      <c r="CS233" s="2">
        <f t="shared" si="146"/>
        <v>27.1</v>
      </c>
      <c r="CT233" s="6">
        <f t="shared" si="147"/>
        <v>0</v>
      </c>
      <c r="CU233" s="1">
        <f>PPTest!K233</f>
        <v>0</v>
      </c>
      <c r="CV233" s="3">
        <f t="shared" si="148"/>
        <v>1.5</v>
      </c>
      <c r="CW233" s="3">
        <f t="shared" si="149"/>
        <v>4.16</v>
      </c>
      <c r="CX233" s="24">
        <f t="shared" si="150"/>
        <v>0.53100000000000003</v>
      </c>
      <c r="CY233" s="24">
        <f t="shared" si="150"/>
        <v>1.4279999999999999</v>
      </c>
      <c r="CZ233" s="16">
        <f t="shared" si="151"/>
        <v>12.94</v>
      </c>
    </row>
    <row r="234" spans="1:104" x14ac:dyDescent="0.2">
      <c r="A234" s="14">
        <f t="shared" si="152"/>
        <v>38945</v>
      </c>
      <c r="B234" s="1">
        <v>228</v>
      </c>
      <c r="C234" s="3">
        <v>27.01</v>
      </c>
      <c r="D234" s="3">
        <v>48</v>
      </c>
      <c r="E234" s="3">
        <v>9.57</v>
      </c>
      <c r="F234" s="3">
        <v>74.400000000000006</v>
      </c>
      <c r="G234" s="3">
        <v>9.5399999999999991</v>
      </c>
      <c r="H234" s="3">
        <v>9.49</v>
      </c>
      <c r="I234" s="3">
        <v>8.2200000000000006</v>
      </c>
      <c r="J234" s="3">
        <v>10.23</v>
      </c>
      <c r="K234" s="3">
        <v>9.94</v>
      </c>
      <c r="L234" s="3">
        <v>9.0399999999999991</v>
      </c>
      <c r="M234" s="3">
        <v>1.6930000000000001</v>
      </c>
      <c r="N234" s="3">
        <v>0</v>
      </c>
      <c r="O234" s="3">
        <v>18.670000000000002</v>
      </c>
      <c r="P234" s="3">
        <v>1605</v>
      </c>
      <c r="Q234" s="3">
        <v>108.5</v>
      </c>
      <c r="R234" s="3">
        <v>454</v>
      </c>
      <c r="S234" s="3">
        <v>22.18</v>
      </c>
      <c r="T234" s="3">
        <v>22.8</v>
      </c>
      <c r="U234" s="3">
        <v>21.44</v>
      </c>
      <c r="V234" s="3">
        <v>13.8</v>
      </c>
      <c r="W234" s="3">
        <v>10.77</v>
      </c>
      <c r="X234" s="3">
        <v>9.9</v>
      </c>
      <c r="Y234" s="3">
        <v>4.8890000000000002</v>
      </c>
      <c r="Z234" s="3">
        <v>1502</v>
      </c>
      <c r="AA234" s="3">
        <v>0.67900000000000005</v>
      </c>
      <c r="AB234" s="3">
        <v>453</v>
      </c>
      <c r="AC234" s="3">
        <v>37.9</v>
      </c>
      <c r="AD234" s="3">
        <v>1657</v>
      </c>
      <c r="AE234" s="3">
        <v>-0.22500000000000001</v>
      </c>
      <c r="AF234" s="3">
        <v>-0.51100000000000001</v>
      </c>
      <c r="AG234" s="3">
        <v>1.31</v>
      </c>
      <c r="AH234" s="3">
        <v>7.3</v>
      </c>
      <c r="AI234" s="3">
        <v>9.25</v>
      </c>
      <c r="AJ234" s="3">
        <v>8.31</v>
      </c>
      <c r="AK234" s="3">
        <v>0.05</v>
      </c>
      <c r="AL234" s="3">
        <v>0.26100000000000001</v>
      </c>
      <c r="AM234" s="3">
        <v>0.27800000000000002</v>
      </c>
      <c r="AN234" s="3">
        <v>2.1999999999999999E-2</v>
      </c>
      <c r="AO234" s="3">
        <v>7.8E-2</v>
      </c>
      <c r="AP234" s="3">
        <v>0.13200000000000001</v>
      </c>
      <c r="AQ234" s="3">
        <v>0.10199999999999999</v>
      </c>
      <c r="AR234" s="3">
        <v>7.5999999999999998E-2</v>
      </c>
      <c r="AS234" s="3">
        <v>3523</v>
      </c>
      <c r="AT234" s="3">
        <v>3497</v>
      </c>
      <c r="AU234" s="3">
        <v>3515</v>
      </c>
      <c r="AV234" s="3">
        <v>9.5500000000000007</v>
      </c>
      <c r="AW234" s="3">
        <v>9.51</v>
      </c>
      <c r="AX234" s="3">
        <v>22.29</v>
      </c>
      <c r="AY234" s="3">
        <v>22.61</v>
      </c>
      <c r="AZ234" s="3">
        <v>-0.20100000000000001</v>
      </c>
      <c r="BA234" s="3">
        <v>-0.40500000000000003</v>
      </c>
      <c r="BB234" s="3">
        <v>12.92</v>
      </c>
      <c r="BC234" s="3">
        <v>2876</v>
      </c>
      <c r="BG234" s="16">
        <v>26.43</v>
      </c>
      <c r="BH234" s="16">
        <f t="shared" si="121"/>
        <v>53.388599999999997</v>
      </c>
      <c r="BI234" s="17">
        <f t="shared" si="119"/>
        <v>26.47</v>
      </c>
      <c r="BJ234" s="17">
        <f t="shared" si="120"/>
        <v>52.8</v>
      </c>
      <c r="BL234" s="1">
        <f t="shared" si="122"/>
        <v>95.8</v>
      </c>
      <c r="BM234" s="1">
        <f t="shared" si="123"/>
        <v>58.5</v>
      </c>
      <c r="BN234" s="1">
        <f t="shared" si="124"/>
        <v>26.4</v>
      </c>
      <c r="BO234" s="49">
        <f t="shared" si="130"/>
        <v>0.56799999999999995</v>
      </c>
      <c r="BP234" s="49">
        <f t="shared" si="131"/>
        <v>1.5840000000000001</v>
      </c>
      <c r="BR234" s="3">
        <v>0</v>
      </c>
      <c r="BT234" s="16">
        <f t="shared" si="125"/>
        <v>26.47</v>
      </c>
      <c r="BU234" s="16">
        <f t="shared" si="126"/>
        <v>52.8</v>
      </c>
      <c r="BV234" s="3">
        <f t="shared" si="127"/>
        <v>9.6</v>
      </c>
      <c r="BW234" s="3">
        <f t="shared" si="118"/>
        <v>9.5</v>
      </c>
      <c r="BX234" s="3">
        <f t="shared" si="118"/>
        <v>9.5</v>
      </c>
      <c r="BY234" s="3">
        <f t="shared" si="118"/>
        <v>8.1999999999999993</v>
      </c>
      <c r="BZ234" s="3">
        <f t="shared" si="118"/>
        <v>10.199999999999999</v>
      </c>
      <c r="CA234" s="3">
        <f t="shared" si="118"/>
        <v>9.9</v>
      </c>
      <c r="CB234" s="3">
        <f t="shared" si="118"/>
        <v>9</v>
      </c>
      <c r="CC234" s="22">
        <f t="shared" si="128"/>
        <v>58.5</v>
      </c>
      <c r="CD234" s="1">
        <f t="shared" si="132"/>
        <v>18.7</v>
      </c>
      <c r="CE234" s="1">
        <f t="shared" si="133"/>
        <v>22.2</v>
      </c>
      <c r="CF234" s="1">
        <f t="shared" si="134"/>
        <v>22.8</v>
      </c>
      <c r="CG234" s="1">
        <f t="shared" si="135"/>
        <v>21.4</v>
      </c>
      <c r="CH234" s="1">
        <f t="shared" si="136"/>
        <v>13.8</v>
      </c>
      <c r="CI234" s="1">
        <f t="shared" si="137"/>
        <v>10.8</v>
      </c>
      <c r="CJ234" s="1">
        <f t="shared" si="138"/>
        <v>9.9</v>
      </c>
      <c r="CK234" s="2">
        <f t="shared" si="129"/>
        <v>95.8</v>
      </c>
      <c r="CL234" s="1">
        <f t="shared" si="139"/>
        <v>0.7</v>
      </c>
      <c r="CM234" s="1">
        <f t="shared" si="140"/>
        <v>-0.2</v>
      </c>
      <c r="CN234" s="1">
        <f t="shared" si="141"/>
        <v>-0.5</v>
      </c>
      <c r="CO234" s="1">
        <f t="shared" si="142"/>
        <v>1.3</v>
      </c>
      <c r="CP234" s="1">
        <f t="shared" si="143"/>
        <v>7.3</v>
      </c>
      <c r="CQ234" s="1">
        <f t="shared" si="144"/>
        <v>9.3000000000000007</v>
      </c>
      <c r="CR234" s="1">
        <f t="shared" si="145"/>
        <v>8.3000000000000007</v>
      </c>
      <c r="CS234" s="2">
        <f t="shared" si="146"/>
        <v>26.4</v>
      </c>
      <c r="CT234" s="6">
        <f t="shared" si="147"/>
        <v>0</v>
      </c>
      <c r="CU234" s="1">
        <f>PPTest!K234</f>
        <v>0</v>
      </c>
      <c r="CV234" s="3">
        <f t="shared" si="148"/>
        <v>1.69</v>
      </c>
      <c r="CW234" s="3">
        <f t="shared" si="149"/>
        <v>4.8899999999999997</v>
      </c>
      <c r="CX234" s="24">
        <f t="shared" si="150"/>
        <v>0.56799999999999995</v>
      </c>
      <c r="CY234" s="24">
        <f t="shared" si="150"/>
        <v>1.5840000000000001</v>
      </c>
      <c r="CZ234" s="16">
        <f t="shared" si="151"/>
        <v>12.92</v>
      </c>
    </row>
    <row r="235" spans="1:104" x14ac:dyDescent="0.2">
      <c r="A235" s="14">
        <f t="shared" si="152"/>
        <v>38946</v>
      </c>
      <c r="B235" s="1">
        <v>229</v>
      </c>
      <c r="C235" s="3">
        <v>26.66</v>
      </c>
      <c r="D235" s="3">
        <v>48.17</v>
      </c>
      <c r="E235" s="3">
        <v>10.69</v>
      </c>
      <c r="F235" s="3">
        <v>73</v>
      </c>
      <c r="G235" s="3">
        <v>10.67</v>
      </c>
      <c r="H235" s="3">
        <v>10.62</v>
      </c>
      <c r="I235" s="3">
        <v>8.89</v>
      </c>
      <c r="J235" s="3">
        <v>10.3</v>
      </c>
      <c r="K235" s="3">
        <v>9.83</v>
      </c>
      <c r="L235" s="3">
        <v>9.02</v>
      </c>
      <c r="M235" s="3">
        <v>1.8049999999999999</v>
      </c>
      <c r="N235" s="3">
        <v>0</v>
      </c>
      <c r="O235" s="3">
        <v>21.12</v>
      </c>
      <c r="P235" s="3">
        <v>1653</v>
      </c>
      <c r="Q235" s="3">
        <v>108.8</v>
      </c>
      <c r="R235" s="3">
        <v>448</v>
      </c>
      <c r="S235" s="3">
        <v>24.29</v>
      </c>
      <c r="T235" s="3">
        <v>25.2</v>
      </c>
      <c r="U235" s="3">
        <v>22.89</v>
      </c>
      <c r="V235" s="3">
        <v>13.98</v>
      </c>
      <c r="W235" s="3">
        <v>10.64</v>
      </c>
      <c r="X235" s="3">
        <v>9.93</v>
      </c>
      <c r="Y235" s="3">
        <v>3.9980000000000002</v>
      </c>
      <c r="Z235" s="3">
        <v>1203</v>
      </c>
      <c r="AA235" s="3">
        <v>-0.497</v>
      </c>
      <c r="AB235" s="3">
        <v>446</v>
      </c>
      <c r="AC235" s="3">
        <v>35.340000000000003</v>
      </c>
      <c r="AD235" s="3">
        <v>1555</v>
      </c>
      <c r="AE235" s="3">
        <v>-1.3029999999999999</v>
      </c>
      <c r="AF235" s="3">
        <v>-1.5589999999999999</v>
      </c>
      <c r="AG235" s="3">
        <v>0.247</v>
      </c>
      <c r="AH235" s="3">
        <v>6.9260000000000002</v>
      </c>
      <c r="AI235" s="3">
        <v>9.11</v>
      </c>
      <c r="AJ235" s="3">
        <v>8.24</v>
      </c>
      <c r="AK235" s="3">
        <v>4.4999999999999998E-2</v>
      </c>
      <c r="AL235" s="3">
        <v>0.245</v>
      </c>
      <c r="AM235" s="3">
        <v>0.316</v>
      </c>
      <c r="AN235" s="3">
        <v>1.9E-2</v>
      </c>
      <c r="AO235" s="3">
        <v>9.1999999999999998E-2</v>
      </c>
      <c r="AP235" s="3">
        <v>0.13400000000000001</v>
      </c>
      <c r="AQ235" s="3">
        <v>0.08</v>
      </c>
      <c r="AR235" s="3">
        <v>6.9000000000000006E-2</v>
      </c>
      <c r="AS235" s="3">
        <v>3518</v>
      </c>
      <c r="AT235" s="3">
        <v>3408</v>
      </c>
      <c r="AU235" s="3">
        <v>3461</v>
      </c>
      <c r="AV235" s="3">
        <v>10.54</v>
      </c>
      <c r="AW235" s="3">
        <v>10.56</v>
      </c>
      <c r="AX235" s="3">
        <v>24.06</v>
      </c>
      <c r="AY235" s="3">
        <v>24.4</v>
      </c>
      <c r="AZ235" s="3">
        <v>-1.4810000000000001</v>
      </c>
      <c r="BA235" s="3">
        <v>-1.6639999999999999</v>
      </c>
      <c r="BB235" s="3">
        <v>12.89</v>
      </c>
      <c r="BC235" s="3">
        <v>2876</v>
      </c>
      <c r="BG235" s="16">
        <v>26.22</v>
      </c>
      <c r="BH235" s="16">
        <f t="shared" si="121"/>
        <v>52.964399999999998</v>
      </c>
      <c r="BI235" s="17">
        <f t="shared" si="119"/>
        <v>26.13</v>
      </c>
      <c r="BJ235" s="17">
        <f t="shared" si="120"/>
        <v>52.99</v>
      </c>
      <c r="BL235" s="1">
        <f t="shared" si="122"/>
        <v>96.3</v>
      </c>
      <c r="BM235" s="1">
        <f t="shared" si="123"/>
        <v>57.2</v>
      </c>
      <c r="BN235" s="1">
        <f t="shared" si="124"/>
        <v>24.1</v>
      </c>
      <c r="BO235" s="49">
        <f t="shared" si="130"/>
        <v>0.60399999999999998</v>
      </c>
      <c r="BP235" s="49">
        <f t="shared" si="131"/>
        <v>1.9019999999999999</v>
      </c>
      <c r="BR235" s="3">
        <v>0</v>
      </c>
      <c r="BT235" s="16">
        <f t="shared" si="125"/>
        <v>26.13</v>
      </c>
      <c r="BU235" s="16">
        <f t="shared" si="126"/>
        <v>52.99</v>
      </c>
      <c r="BV235" s="3">
        <f t="shared" si="127"/>
        <v>10.7</v>
      </c>
      <c r="BW235" s="3">
        <f t="shared" si="118"/>
        <v>10.7</v>
      </c>
      <c r="BX235" s="3">
        <f t="shared" si="118"/>
        <v>10.6</v>
      </c>
      <c r="BY235" s="3">
        <f t="shared" si="118"/>
        <v>8.9</v>
      </c>
      <c r="BZ235" s="3">
        <f t="shared" si="118"/>
        <v>10.3</v>
      </c>
      <c r="CA235" s="3">
        <f t="shared" si="118"/>
        <v>9.8000000000000007</v>
      </c>
      <c r="CB235" s="3">
        <f t="shared" si="118"/>
        <v>9</v>
      </c>
      <c r="CC235" s="22">
        <f t="shared" si="128"/>
        <v>57.2</v>
      </c>
      <c r="CD235" s="1">
        <f t="shared" si="132"/>
        <v>21.1</v>
      </c>
      <c r="CE235" s="1">
        <f t="shared" si="133"/>
        <v>24.3</v>
      </c>
      <c r="CF235" s="1">
        <f t="shared" si="134"/>
        <v>25.2</v>
      </c>
      <c r="CG235" s="1">
        <f t="shared" si="135"/>
        <v>22.9</v>
      </c>
      <c r="CH235" s="1">
        <f t="shared" si="136"/>
        <v>14</v>
      </c>
      <c r="CI235" s="1">
        <f t="shared" si="137"/>
        <v>10.6</v>
      </c>
      <c r="CJ235" s="1">
        <f t="shared" si="138"/>
        <v>9.9</v>
      </c>
      <c r="CK235" s="2">
        <f t="shared" si="129"/>
        <v>96.3</v>
      </c>
      <c r="CL235" s="1">
        <f t="shared" si="139"/>
        <v>-0.5</v>
      </c>
      <c r="CM235" s="1">
        <f t="shared" si="140"/>
        <v>-1.3</v>
      </c>
      <c r="CN235" s="1">
        <f t="shared" si="141"/>
        <v>-1.6</v>
      </c>
      <c r="CO235" s="1">
        <f t="shared" si="142"/>
        <v>0.2</v>
      </c>
      <c r="CP235" s="1">
        <f t="shared" si="143"/>
        <v>6.9</v>
      </c>
      <c r="CQ235" s="1">
        <f t="shared" si="144"/>
        <v>9.1</v>
      </c>
      <c r="CR235" s="1">
        <f t="shared" si="145"/>
        <v>8.1999999999999993</v>
      </c>
      <c r="CS235" s="2">
        <f t="shared" si="146"/>
        <v>24.1</v>
      </c>
      <c r="CT235" s="6">
        <f t="shared" si="147"/>
        <v>0</v>
      </c>
      <c r="CU235" s="1">
        <f>PPTest!K235</f>
        <v>0</v>
      </c>
      <c r="CV235" s="3">
        <f t="shared" si="148"/>
        <v>1.81</v>
      </c>
      <c r="CW235" s="3">
        <f t="shared" si="149"/>
        <v>4</v>
      </c>
      <c r="CX235" s="24">
        <f t="shared" si="150"/>
        <v>0.60399999999999998</v>
      </c>
      <c r="CY235" s="24">
        <f t="shared" si="150"/>
        <v>1.9019999999999999</v>
      </c>
      <c r="CZ235" s="16">
        <f t="shared" si="151"/>
        <v>12.89</v>
      </c>
    </row>
    <row r="236" spans="1:104" x14ac:dyDescent="0.2">
      <c r="A236" s="14">
        <f t="shared" si="152"/>
        <v>38947</v>
      </c>
      <c r="B236" s="1">
        <v>230</v>
      </c>
      <c r="C236" s="3">
        <v>24.38</v>
      </c>
      <c r="D236" s="3">
        <v>42.78</v>
      </c>
      <c r="E236" s="3">
        <v>12.19</v>
      </c>
      <c r="F236" s="3">
        <v>73.400000000000006</v>
      </c>
      <c r="G236" s="3">
        <v>12.09</v>
      </c>
      <c r="H236" s="3">
        <v>11.97</v>
      </c>
      <c r="I236" s="3">
        <v>10.220000000000001</v>
      </c>
      <c r="J236" s="3">
        <v>10.8</v>
      </c>
      <c r="K236" s="3">
        <v>9.98</v>
      </c>
      <c r="L236" s="3">
        <v>9</v>
      </c>
      <c r="M236" s="3">
        <v>1.782</v>
      </c>
      <c r="N236" s="3">
        <v>0</v>
      </c>
      <c r="O236" s="3">
        <v>22.04</v>
      </c>
      <c r="P236" s="3">
        <v>1430</v>
      </c>
      <c r="Q236" s="3">
        <v>107.2</v>
      </c>
      <c r="R236" s="3">
        <v>444</v>
      </c>
      <c r="S236" s="3">
        <v>25.71</v>
      </c>
      <c r="T236" s="3">
        <v>25.72</v>
      </c>
      <c r="U236" s="3">
        <v>23.02</v>
      </c>
      <c r="V236" s="3">
        <v>14.23</v>
      </c>
      <c r="W236" s="3">
        <v>10.75</v>
      </c>
      <c r="X236" s="3">
        <v>9.89</v>
      </c>
      <c r="Y236" s="3">
        <v>4.0250000000000004</v>
      </c>
      <c r="Z236" s="3">
        <v>1509</v>
      </c>
      <c r="AA236" s="3">
        <v>2.0310000000000001</v>
      </c>
      <c r="AB236" s="3">
        <v>438</v>
      </c>
      <c r="AC236" s="3">
        <v>31.14</v>
      </c>
      <c r="AD236" s="3">
        <v>1719</v>
      </c>
      <c r="AE236" s="3">
        <v>1.0820000000000001</v>
      </c>
      <c r="AF236" s="3">
        <v>0.81</v>
      </c>
      <c r="AG236" s="3">
        <v>1.986</v>
      </c>
      <c r="AH236" s="3">
        <v>7.62</v>
      </c>
      <c r="AI236" s="3">
        <v>9.4</v>
      </c>
      <c r="AJ236" s="3">
        <v>8.34</v>
      </c>
      <c r="AK236" s="3">
        <v>1.9E-2</v>
      </c>
      <c r="AL236" s="3">
        <v>0.26900000000000002</v>
      </c>
      <c r="AM236" s="3">
        <v>0.29899999999999999</v>
      </c>
      <c r="AN236" s="3">
        <v>1.7000000000000001E-2</v>
      </c>
      <c r="AO236" s="3">
        <v>0.10299999999999999</v>
      </c>
      <c r="AP236" s="3">
        <v>0.16800000000000001</v>
      </c>
      <c r="AQ236" s="3">
        <v>8.6999999999999994E-2</v>
      </c>
      <c r="AR236" s="3">
        <v>3.6999999999999998E-2</v>
      </c>
      <c r="AS236" s="3">
        <v>3522</v>
      </c>
      <c r="AT236" s="3">
        <v>3484</v>
      </c>
      <c r="AU236" s="3">
        <v>3508</v>
      </c>
      <c r="AV236" s="3">
        <v>11.95</v>
      </c>
      <c r="AW236" s="3">
        <v>11.9</v>
      </c>
      <c r="AX236" s="3">
        <v>25.34</v>
      </c>
      <c r="AY236" s="3">
        <v>25.64</v>
      </c>
      <c r="AZ236" s="3">
        <v>0.97</v>
      </c>
      <c r="BA236" s="3">
        <v>0.74199999999999999</v>
      </c>
      <c r="BB236" s="3">
        <v>12.88</v>
      </c>
      <c r="BC236" s="3">
        <v>2876</v>
      </c>
      <c r="BG236" s="16">
        <v>25.99</v>
      </c>
      <c r="BH236" s="16">
        <f t="shared" si="121"/>
        <v>52.4998</v>
      </c>
      <c r="BI236" s="17">
        <f t="shared" si="119"/>
        <v>23.89</v>
      </c>
      <c r="BJ236" s="17">
        <f t="shared" si="120"/>
        <v>47.06</v>
      </c>
      <c r="BL236" s="1">
        <f t="shared" si="122"/>
        <v>93.7</v>
      </c>
      <c r="BM236" s="1">
        <f t="shared" si="123"/>
        <v>57.6</v>
      </c>
      <c r="BN236" s="1">
        <f t="shared" si="124"/>
        <v>20.399999999999999</v>
      </c>
      <c r="BO236" s="49">
        <f t="shared" si="130"/>
        <v>0.54100000000000004</v>
      </c>
      <c r="BP236" s="49">
        <f t="shared" si="131"/>
        <v>2.1110000000000002</v>
      </c>
      <c r="BR236" s="3">
        <v>0</v>
      </c>
      <c r="BT236" s="16">
        <f t="shared" si="125"/>
        <v>23.89</v>
      </c>
      <c r="BU236" s="16">
        <f t="shared" si="126"/>
        <v>47.06</v>
      </c>
      <c r="BV236" s="3">
        <f t="shared" si="127"/>
        <v>12.2</v>
      </c>
      <c r="BW236" s="3">
        <f t="shared" si="118"/>
        <v>12.1</v>
      </c>
      <c r="BX236" s="3">
        <f t="shared" si="118"/>
        <v>12</v>
      </c>
      <c r="BY236" s="3">
        <f t="shared" si="118"/>
        <v>10.199999999999999</v>
      </c>
      <c r="BZ236" s="3">
        <f t="shared" si="118"/>
        <v>10.8</v>
      </c>
      <c r="CA236" s="3">
        <f t="shared" si="118"/>
        <v>10</v>
      </c>
      <c r="CB236" s="3">
        <f t="shared" si="118"/>
        <v>9</v>
      </c>
      <c r="CC236" s="22">
        <f t="shared" si="128"/>
        <v>57.6</v>
      </c>
      <c r="CD236" s="1">
        <f t="shared" si="132"/>
        <v>22</v>
      </c>
      <c r="CE236" s="1">
        <f t="shared" si="133"/>
        <v>25.7</v>
      </c>
      <c r="CF236" s="1">
        <f t="shared" si="134"/>
        <v>25.7</v>
      </c>
      <c r="CG236" s="1">
        <f t="shared" si="135"/>
        <v>23</v>
      </c>
      <c r="CH236" s="1">
        <f t="shared" si="136"/>
        <v>14.2</v>
      </c>
      <c r="CI236" s="1">
        <f t="shared" si="137"/>
        <v>10.8</v>
      </c>
      <c r="CJ236" s="1">
        <f t="shared" si="138"/>
        <v>9.9</v>
      </c>
      <c r="CK236" s="2">
        <f t="shared" si="129"/>
        <v>93.7</v>
      </c>
      <c r="CL236" s="1">
        <f t="shared" si="139"/>
        <v>2</v>
      </c>
      <c r="CM236" s="1">
        <f t="shared" si="140"/>
        <v>1.1000000000000001</v>
      </c>
      <c r="CN236" s="1">
        <f t="shared" si="141"/>
        <v>0.8</v>
      </c>
      <c r="CO236" s="1">
        <f t="shared" si="142"/>
        <v>2</v>
      </c>
      <c r="CP236" s="1">
        <f t="shared" si="143"/>
        <v>7.6</v>
      </c>
      <c r="CQ236" s="1">
        <f t="shared" si="144"/>
        <v>9.4</v>
      </c>
      <c r="CR236" s="1">
        <f t="shared" si="145"/>
        <v>8.3000000000000007</v>
      </c>
      <c r="CS236" s="2">
        <f t="shared" si="146"/>
        <v>20.399999999999999</v>
      </c>
      <c r="CT236" s="6">
        <f t="shared" si="147"/>
        <v>0</v>
      </c>
      <c r="CU236" s="1">
        <f>PPTest!K236</f>
        <v>0</v>
      </c>
      <c r="CV236" s="3">
        <f t="shared" si="148"/>
        <v>1.78</v>
      </c>
      <c r="CW236" s="3">
        <f t="shared" si="149"/>
        <v>4.03</v>
      </c>
      <c r="CX236" s="24">
        <f t="shared" si="150"/>
        <v>0.54100000000000004</v>
      </c>
      <c r="CY236" s="24">
        <f t="shared" si="150"/>
        <v>2.1110000000000002</v>
      </c>
      <c r="CZ236" s="16">
        <f t="shared" si="151"/>
        <v>12.88</v>
      </c>
    </row>
    <row r="237" spans="1:104" x14ac:dyDescent="0.2">
      <c r="A237" s="14">
        <f t="shared" si="152"/>
        <v>38948</v>
      </c>
      <c r="B237" s="1">
        <v>231</v>
      </c>
      <c r="C237" s="3">
        <v>26.35</v>
      </c>
      <c r="D237" s="3">
        <v>46.9</v>
      </c>
      <c r="E237" s="3">
        <v>11.72</v>
      </c>
      <c r="F237" s="3">
        <v>67.900000000000006</v>
      </c>
      <c r="G237" s="3">
        <v>11.58</v>
      </c>
      <c r="H237" s="3">
        <v>11.47</v>
      </c>
      <c r="I237" s="3">
        <v>9.35</v>
      </c>
      <c r="J237" s="3">
        <v>10.8</v>
      </c>
      <c r="K237" s="3">
        <v>10.08</v>
      </c>
      <c r="L237" s="3">
        <v>8.9499999999999993</v>
      </c>
      <c r="M237" s="3">
        <v>1.9</v>
      </c>
      <c r="N237" s="3">
        <v>0</v>
      </c>
      <c r="O237" s="3">
        <v>21.86</v>
      </c>
      <c r="P237" s="3">
        <v>1534</v>
      </c>
      <c r="Q237" s="3">
        <v>101.9</v>
      </c>
      <c r="R237" s="3">
        <v>518</v>
      </c>
      <c r="S237" s="3">
        <v>25</v>
      </c>
      <c r="T237" s="3">
        <v>26.49</v>
      </c>
      <c r="U237" s="3">
        <v>22.74</v>
      </c>
      <c r="V237" s="3">
        <v>14.47</v>
      </c>
      <c r="W237" s="3">
        <v>10.97</v>
      </c>
      <c r="X237" s="3">
        <v>9.93</v>
      </c>
      <c r="Y237" s="3">
        <v>4.2110000000000003</v>
      </c>
      <c r="Z237" s="3">
        <v>1155</v>
      </c>
      <c r="AA237" s="3">
        <v>0.91100000000000003</v>
      </c>
      <c r="AB237" s="3">
        <v>501</v>
      </c>
      <c r="AC237" s="3">
        <v>32.06</v>
      </c>
      <c r="AD237" s="3">
        <v>1501</v>
      </c>
      <c r="AE237" s="3">
        <v>-0.52300000000000002</v>
      </c>
      <c r="AF237" s="3">
        <v>-1.6020000000000001</v>
      </c>
      <c r="AG237" s="3">
        <v>0.4</v>
      </c>
      <c r="AH237" s="3">
        <v>7.57</v>
      </c>
      <c r="AI237" s="3">
        <v>9.39</v>
      </c>
      <c r="AJ237" s="3">
        <v>8.1999999999999993</v>
      </c>
      <c r="AK237" s="3">
        <v>0.04</v>
      </c>
      <c r="AL237" s="3">
        <v>0.29399999999999998</v>
      </c>
      <c r="AM237" s="3">
        <v>0.224</v>
      </c>
      <c r="AN237" s="3">
        <v>1.4999999999999999E-2</v>
      </c>
      <c r="AO237" s="3">
        <v>9.2999999999999999E-2</v>
      </c>
      <c r="AP237" s="3">
        <v>0.14699999999999999</v>
      </c>
      <c r="AQ237" s="3">
        <v>0.126</v>
      </c>
      <c r="AR237" s="3">
        <v>6.2E-2</v>
      </c>
      <c r="AS237" s="3">
        <v>3522</v>
      </c>
      <c r="AT237" s="3">
        <v>3496</v>
      </c>
      <c r="AU237" s="3">
        <v>3509</v>
      </c>
      <c r="AV237" s="3">
        <v>11.39</v>
      </c>
      <c r="AW237" s="3">
        <v>11.34</v>
      </c>
      <c r="AX237" s="3">
        <v>25.51</v>
      </c>
      <c r="AY237" s="3">
        <v>25.78</v>
      </c>
      <c r="AZ237" s="3">
        <v>-0.40799999999999997</v>
      </c>
      <c r="BA237" s="3">
        <v>-0.73</v>
      </c>
      <c r="BB237" s="3">
        <v>12.88</v>
      </c>
      <c r="BC237" s="3">
        <v>2876</v>
      </c>
      <c r="BG237" s="16">
        <v>25.77</v>
      </c>
      <c r="BH237" s="16">
        <f t="shared" si="121"/>
        <v>52.055399999999999</v>
      </c>
      <c r="BI237" s="17">
        <f t="shared" si="119"/>
        <v>25.82</v>
      </c>
      <c r="BJ237" s="17">
        <f t="shared" si="120"/>
        <v>51.59</v>
      </c>
      <c r="BL237" s="1">
        <f t="shared" si="122"/>
        <v>85.3</v>
      </c>
      <c r="BM237" s="1">
        <f t="shared" si="123"/>
        <v>52.8</v>
      </c>
      <c r="BN237" s="1">
        <f t="shared" si="124"/>
        <v>21.2</v>
      </c>
      <c r="BO237" s="49">
        <f t="shared" si="130"/>
        <v>0.55600000000000005</v>
      </c>
      <c r="BP237" s="49">
        <f t="shared" si="131"/>
        <v>2.0670000000000002</v>
      </c>
      <c r="BR237" s="3">
        <v>0</v>
      </c>
      <c r="BT237" s="16">
        <f t="shared" si="125"/>
        <v>25.82</v>
      </c>
      <c r="BU237" s="16">
        <f t="shared" si="126"/>
        <v>51.59</v>
      </c>
      <c r="BV237" s="3">
        <f t="shared" si="127"/>
        <v>11.7</v>
      </c>
      <c r="BW237" s="3">
        <f t="shared" ref="BW237:CB279" si="153">ROUND(G237,1)</f>
        <v>11.6</v>
      </c>
      <c r="BX237" s="3">
        <f t="shared" si="153"/>
        <v>11.5</v>
      </c>
      <c r="BY237" s="3">
        <f t="shared" si="153"/>
        <v>9.4</v>
      </c>
      <c r="BZ237" s="3">
        <f t="shared" si="153"/>
        <v>10.8</v>
      </c>
      <c r="CA237" s="3">
        <f t="shared" si="153"/>
        <v>10.1</v>
      </c>
      <c r="CB237" s="3">
        <f t="shared" si="153"/>
        <v>9</v>
      </c>
      <c r="CC237" s="22">
        <f t="shared" si="128"/>
        <v>52.8</v>
      </c>
      <c r="CD237" s="1">
        <f t="shared" si="132"/>
        <v>21.9</v>
      </c>
      <c r="CE237" s="1">
        <f t="shared" si="133"/>
        <v>25</v>
      </c>
      <c r="CF237" s="1">
        <f t="shared" si="134"/>
        <v>26.5</v>
      </c>
      <c r="CG237" s="1">
        <f t="shared" si="135"/>
        <v>22.7</v>
      </c>
      <c r="CH237" s="1">
        <f t="shared" si="136"/>
        <v>14.5</v>
      </c>
      <c r="CI237" s="1">
        <f t="shared" si="137"/>
        <v>11</v>
      </c>
      <c r="CJ237" s="1">
        <f t="shared" si="138"/>
        <v>9.9</v>
      </c>
      <c r="CK237" s="2">
        <f t="shared" si="129"/>
        <v>85.3</v>
      </c>
      <c r="CL237" s="1">
        <f t="shared" si="139"/>
        <v>0.9</v>
      </c>
      <c r="CM237" s="1">
        <f t="shared" si="140"/>
        <v>-0.5</v>
      </c>
      <c r="CN237" s="1">
        <f t="shared" si="141"/>
        <v>-1.6</v>
      </c>
      <c r="CO237" s="1">
        <f t="shared" si="142"/>
        <v>0.4</v>
      </c>
      <c r="CP237" s="1">
        <f t="shared" si="143"/>
        <v>7.6</v>
      </c>
      <c r="CQ237" s="1">
        <f t="shared" si="144"/>
        <v>9.4</v>
      </c>
      <c r="CR237" s="1">
        <f t="shared" si="145"/>
        <v>8.1999999999999993</v>
      </c>
      <c r="CS237" s="2">
        <f t="shared" si="146"/>
        <v>21.2</v>
      </c>
      <c r="CT237" s="6">
        <f t="shared" si="147"/>
        <v>0</v>
      </c>
      <c r="CU237" s="1">
        <f>PPTest!K237</f>
        <v>0</v>
      </c>
      <c r="CV237" s="3">
        <f t="shared" si="148"/>
        <v>1.9</v>
      </c>
      <c r="CW237" s="3">
        <f t="shared" si="149"/>
        <v>4.21</v>
      </c>
      <c r="CX237" s="24">
        <f t="shared" si="150"/>
        <v>0.55600000000000005</v>
      </c>
      <c r="CY237" s="24">
        <f t="shared" si="150"/>
        <v>2.0670000000000002</v>
      </c>
      <c r="CZ237" s="16">
        <f t="shared" si="151"/>
        <v>12.88</v>
      </c>
    </row>
    <row r="238" spans="1:104" x14ac:dyDescent="0.2">
      <c r="A238" s="14">
        <f t="shared" si="152"/>
        <v>38949</v>
      </c>
      <c r="B238" s="1">
        <v>232</v>
      </c>
      <c r="C238" s="3">
        <v>24.82</v>
      </c>
      <c r="D238" s="3">
        <v>43.44</v>
      </c>
      <c r="E238" s="3">
        <v>12.48</v>
      </c>
      <c r="F238" s="3">
        <v>69.06</v>
      </c>
      <c r="G238" s="3">
        <v>12.39</v>
      </c>
      <c r="H238" s="3">
        <v>12.26</v>
      </c>
      <c r="I238" s="3">
        <v>10.24</v>
      </c>
      <c r="J238" s="3">
        <v>11</v>
      </c>
      <c r="K238" s="3">
        <v>10.15</v>
      </c>
      <c r="L238" s="3">
        <v>8.9700000000000006</v>
      </c>
      <c r="M238" s="3">
        <v>1.948</v>
      </c>
      <c r="N238" s="3">
        <v>0</v>
      </c>
      <c r="O238" s="3">
        <v>23.09</v>
      </c>
      <c r="P238" s="3">
        <v>1524</v>
      </c>
      <c r="Q238" s="3">
        <v>106.7</v>
      </c>
      <c r="R238" s="3">
        <v>503</v>
      </c>
      <c r="S238" s="3">
        <v>26.36</v>
      </c>
      <c r="T238" s="3">
        <v>27.62</v>
      </c>
      <c r="U238" s="3">
        <v>24.88</v>
      </c>
      <c r="V238" s="3">
        <v>14.63</v>
      </c>
      <c r="W238" s="3">
        <v>10.83</v>
      </c>
      <c r="X238" s="3">
        <v>9.83</v>
      </c>
      <c r="Y238" s="3">
        <v>4.2510000000000003</v>
      </c>
      <c r="Z238" s="3">
        <v>1312</v>
      </c>
      <c r="AA238" s="3">
        <v>1.244</v>
      </c>
      <c r="AB238" s="3">
        <v>457</v>
      </c>
      <c r="AC238" s="3">
        <v>23.92</v>
      </c>
      <c r="AD238" s="3">
        <v>1654</v>
      </c>
      <c r="AE238" s="3">
        <v>0.34499999999999997</v>
      </c>
      <c r="AF238" s="3">
        <v>0.14199999999999999</v>
      </c>
      <c r="AG238" s="3">
        <v>1.2010000000000001</v>
      </c>
      <c r="AH238" s="3">
        <v>7.64</v>
      </c>
      <c r="AI238" s="3">
        <v>9.5299999999999994</v>
      </c>
      <c r="AJ238" s="3">
        <v>8.19</v>
      </c>
      <c r="AK238" s="3">
        <v>2.1000000000000001E-2</v>
      </c>
      <c r="AL238" s="3">
        <v>0.32</v>
      </c>
      <c r="AM238" s="3">
        <v>0.28599999999999998</v>
      </c>
      <c r="AN238" s="3">
        <v>1.4E-2</v>
      </c>
      <c r="AO238" s="3">
        <v>8.5999999999999993E-2</v>
      </c>
      <c r="AP238" s="3">
        <v>0.16700000000000001</v>
      </c>
      <c r="AQ238" s="3">
        <v>7.6999999999999999E-2</v>
      </c>
      <c r="AR238" s="3">
        <v>2.9000000000000001E-2</v>
      </c>
      <c r="AS238" s="3">
        <v>3521</v>
      </c>
      <c r="AT238" s="3">
        <v>3408</v>
      </c>
      <c r="AU238" s="3">
        <v>3491</v>
      </c>
      <c r="AV238" s="3">
        <v>12.16</v>
      </c>
      <c r="AW238" s="3">
        <v>12.13</v>
      </c>
      <c r="AX238" s="3">
        <v>26.61</v>
      </c>
      <c r="AY238" s="3">
        <v>26.67</v>
      </c>
      <c r="AZ238" s="3">
        <v>0.27100000000000002</v>
      </c>
      <c r="BA238" s="3">
        <v>4.8000000000000001E-2</v>
      </c>
      <c r="BB238" s="3">
        <v>12.88</v>
      </c>
      <c r="BC238" s="3">
        <v>2876</v>
      </c>
      <c r="BG238" s="16">
        <v>25.55</v>
      </c>
      <c r="BH238" s="16">
        <f t="shared" si="121"/>
        <v>51.611000000000004</v>
      </c>
      <c r="BI238" s="17">
        <f t="shared" si="119"/>
        <v>24.32</v>
      </c>
      <c r="BJ238" s="17">
        <f t="shared" si="120"/>
        <v>47.78</v>
      </c>
      <c r="BL238" s="1">
        <f t="shared" si="122"/>
        <v>93</v>
      </c>
      <c r="BM238" s="1">
        <f t="shared" si="123"/>
        <v>53.8</v>
      </c>
      <c r="BN238" s="1">
        <f t="shared" si="124"/>
        <v>14</v>
      </c>
      <c r="BO238" s="49">
        <f t="shared" si="130"/>
        <v>0.39500000000000002</v>
      </c>
      <c r="BP238" s="49">
        <f t="shared" si="131"/>
        <v>2.4260000000000002</v>
      </c>
      <c r="BR238" s="3">
        <v>0</v>
      </c>
      <c r="BT238" s="16">
        <f t="shared" si="125"/>
        <v>24.32</v>
      </c>
      <c r="BU238" s="16">
        <f t="shared" si="126"/>
        <v>47.78</v>
      </c>
      <c r="BV238" s="3">
        <f t="shared" si="127"/>
        <v>12.5</v>
      </c>
      <c r="BW238" s="3">
        <f t="shared" si="153"/>
        <v>12.4</v>
      </c>
      <c r="BX238" s="3">
        <f t="shared" si="153"/>
        <v>12.3</v>
      </c>
      <c r="BY238" s="3">
        <f t="shared" si="153"/>
        <v>10.199999999999999</v>
      </c>
      <c r="BZ238" s="3">
        <f t="shared" si="153"/>
        <v>11</v>
      </c>
      <c r="CA238" s="3">
        <f t="shared" si="153"/>
        <v>10.199999999999999</v>
      </c>
      <c r="CB238" s="3">
        <f t="shared" si="153"/>
        <v>9</v>
      </c>
      <c r="CC238" s="22">
        <f t="shared" si="128"/>
        <v>53.8</v>
      </c>
      <c r="CD238" s="1">
        <f t="shared" si="132"/>
        <v>23.1</v>
      </c>
      <c r="CE238" s="1">
        <f t="shared" si="133"/>
        <v>26.4</v>
      </c>
      <c r="CF238" s="1">
        <f t="shared" si="134"/>
        <v>27.6</v>
      </c>
      <c r="CG238" s="1">
        <f t="shared" si="135"/>
        <v>24.9</v>
      </c>
      <c r="CH238" s="1">
        <f t="shared" si="136"/>
        <v>14.6</v>
      </c>
      <c r="CI238" s="1">
        <f t="shared" si="137"/>
        <v>10.8</v>
      </c>
      <c r="CJ238" s="1">
        <f t="shared" si="138"/>
        <v>9.8000000000000007</v>
      </c>
      <c r="CK238" s="2">
        <f t="shared" si="129"/>
        <v>93</v>
      </c>
      <c r="CL238" s="1">
        <f t="shared" si="139"/>
        <v>1.2</v>
      </c>
      <c r="CM238" s="1">
        <f t="shared" si="140"/>
        <v>0.3</v>
      </c>
      <c r="CN238" s="1">
        <f t="shared" si="141"/>
        <v>0.1</v>
      </c>
      <c r="CO238" s="1">
        <f t="shared" si="142"/>
        <v>1.2</v>
      </c>
      <c r="CP238" s="1">
        <f t="shared" si="143"/>
        <v>7.6</v>
      </c>
      <c r="CQ238" s="1">
        <f t="shared" si="144"/>
        <v>9.5</v>
      </c>
      <c r="CR238" s="1">
        <f t="shared" si="145"/>
        <v>8.1999999999999993</v>
      </c>
      <c r="CS238" s="2">
        <f t="shared" si="146"/>
        <v>14</v>
      </c>
      <c r="CT238" s="6">
        <f t="shared" si="147"/>
        <v>0</v>
      </c>
      <c r="CU238" s="1">
        <f>PPTest!K238</f>
        <v>0</v>
      </c>
      <c r="CV238" s="3">
        <f t="shared" si="148"/>
        <v>1.95</v>
      </c>
      <c r="CW238" s="3">
        <f t="shared" si="149"/>
        <v>4.25</v>
      </c>
      <c r="CX238" s="24">
        <f t="shared" si="150"/>
        <v>0.39500000000000002</v>
      </c>
      <c r="CY238" s="24">
        <f t="shared" si="150"/>
        <v>2.4260000000000002</v>
      </c>
      <c r="CZ238" s="16">
        <f t="shared" si="151"/>
        <v>12.88</v>
      </c>
    </row>
    <row r="239" spans="1:104" x14ac:dyDescent="0.2">
      <c r="A239" s="14">
        <f t="shared" si="152"/>
        <v>38950</v>
      </c>
      <c r="B239" s="1">
        <v>233</v>
      </c>
      <c r="C239" s="3">
        <v>24.58</v>
      </c>
      <c r="D239" s="3">
        <v>43.07</v>
      </c>
      <c r="E239" s="3">
        <v>14.59</v>
      </c>
      <c r="F239" s="3">
        <v>60.63</v>
      </c>
      <c r="G239" s="3">
        <v>14.41</v>
      </c>
      <c r="H239" s="3">
        <v>14.21</v>
      </c>
      <c r="I239" s="3">
        <v>11.39</v>
      </c>
      <c r="J239" s="3">
        <v>11.38</v>
      </c>
      <c r="K239" s="3">
        <v>10.32</v>
      </c>
      <c r="L239" s="3">
        <v>8.99</v>
      </c>
      <c r="M239" s="3">
        <v>1.972</v>
      </c>
      <c r="N239" s="3">
        <v>0</v>
      </c>
      <c r="O239" s="3">
        <v>26.24</v>
      </c>
      <c r="P239" s="3">
        <v>1536</v>
      </c>
      <c r="Q239" s="3">
        <v>103.2</v>
      </c>
      <c r="R239" s="3">
        <v>336</v>
      </c>
      <c r="S239" s="3">
        <v>29.42</v>
      </c>
      <c r="T239" s="3">
        <v>29.69</v>
      </c>
      <c r="U239" s="3">
        <v>25.66</v>
      </c>
      <c r="V239" s="3">
        <v>14.97</v>
      </c>
      <c r="W239" s="3">
        <v>11.03</v>
      </c>
      <c r="X239" s="3">
        <v>9.9</v>
      </c>
      <c r="Y239" s="3">
        <v>5.7140000000000004</v>
      </c>
      <c r="Z239" s="3">
        <v>1600</v>
      </c>
      <c r="AA239" s="3">
        <v>2.8740000000000001</v>
      </c>
      <c r="AB239" s="3">
        <v>442</v>
      </c>
      <c r="AC239" s="3">
        <v>15.09</v>
      </c>
      <c r="AD239" s="3">
        <v>1350</v>
      </c>
      <c r="AE239" s="3">
        <v>1.474</v>
      </c>
      <c r="AF239" s="3">
        <v>1.1719999999999999</v>
      </c>
      <c r="AG239" s="3">
        <v>2.3570000000000002</v>
      </c>
      <c r="AH239" s="3">
        <v>8.07</v>
      </c>
      <c r="AI239" s="3">
        <v>9.6199999999999992</v>
      </c>
      <c r="AJ239" s="3">
        <v>8.17</v>
      </c>
      <c r="AK239" s="3">
        <v>3.2000000000000001E-2</v>
      </c>
      <c r="AL239" s="3">
        <v>0.307</v>
      </c>
      <c r="AM239" s="3">
        <v>0.253</v>
      </c>
      <c r="AN239" s="3">
        <v>0.01</v>
      </c>
      <c r="AO239" s="3">
        <v>8.5999999999999993E-2</v>
      </c>
      <c r="AP239" s="3">
        <v>0.18</v>
      </c>
      <c r="AQ239" s="3">
        <v>0.10100000000000001</v>
      </c>
      <c r="AR239" s="3">
        <v>3.1E-2</v>
      </c>
      <c r="AS239" s="3">
        <v>3534</v>
      </c>
      <c r="AT239" s="3">
        <v>3510</v>
      </c>
      <c r="AU239" s="3">
        <v>3520</v>
      </c>
      <c r="AV239" s="3">
        <v>13.74</v>
      </c>
      <c r="AW239" s="3">
        <v>13.76</v>
      </c>
      <c r="AX239" s="3">
        <v>29.19</v>
      </c>
      <c r="AY239" s="3">
        <v>29.68</v>
      </c>
      <c r="AZ239" s="3">
        <v>1.589</v>
      </c>
      <c r="BA239" s="3">
        <v>1.4</v>
      </c>
      <c r="BB239" s="3">
        <v>12.84</v>
      </c>
      <c r="BC239" s="3">
        <v>2876</v>
      </c>
      <c r="BG239" s="16">
        <v>25.32</v>
      </c>
      <c r="BH239" s="16">
        <f t="shared" si="121"/>
        <v>51.1464</v>
      </c>
      <c r="BI239" s="17">
        <f t="shared" si="119"/>
        <v>24.09</v>
      </c>
      <c r="BJ239" s="17">
        <f t="shared" si="120"/>
        <v>47.38</v>
      </c>
      <c r="BL239" s="1">
        <f t="shared" si="122"/>
        <v>87.4</v>
      </c>
      <c r="BM239" s="1">
        <f t="shared" si="123"/>
        <v>46.4</v>
      </c>
      <c r="BN239" s="1">
        <f t="shared" si="124"/>
        <v>6.3</v>
      </c>
      <c r="BO239" s="49">
        <f t="shared" si="130"/>
        <v>0.215</v>
      </c>
      <c r="BP239" s="49">
        <f t="shared" si="131"/>
        <v>3.198</v>
      </c>
      <c r="BR239" s="3">
        <v>0</v>
      </c>
      <c r="BT239" s="16">
        <f t="shared" si="125"/>
        <v>24.09</v>
      </c>
      <c r="BU239" s="16">
        <f t="shared" si="126"/>
        <v>47.38</v>
      </c>
      <c r="BV239" s="3">
        <f t="shared" si="127"/>
        <v>14.6</v>
      </c>
      <c r="BW239" s="3">
        <f t="shared" si="153"/>
        <v>14.4</v>
      </c>
      <c r="BX239" s="3">
        <f t="shared" si="153"/>
        <v>14.2</v>
      </c>
      <c r="BY239" s="3">
        <f t="shared" si="153"/>
        <v>11.4</v>
      </c>
      <c r="BZ239" s="3">
        <f t="shared" si="153"/>
        <v>11.4</v>
      </c>
      <c r="CA239" s="3">
        <f t="shared" si="153"/>
        <v>10.3</v>
      </c>
      <c r="CB239" s="3">
        <f t="shared" si="153"/>
        <v>9</v>
      </c>
      <c r="CC239" s="22">
        <f t="shared" si="128"/>
        <v>46.4</v>
      </c>
      <c r="CD239" s="1">
        <f t="shared" si="132"/>
        <v>26.2</v>
      </c>
      <c r="CE239" s="1">
        <f t="shared" si="133"/>
        <v>29.4</v>
      </c>
      <c r="CF239" s="1">
        <f t="shared" si="134"/>
        <v>29.7</v>
      </c>
      <c r="CG239" s="1">
        <f t="shared" si="135"/>
        <v>25.7</v>
      </c>
      <c r="CH239" s="1">
        <f t="shared" si="136"/>
        <v>15</v>
      </c>
      <c r="CI239" s="1">
        <f t="shared" si="137"/>
        <v>11</v>
      </c>
      <c r="CJ239" s="1">
        <f t="shared" si="138"/>
        <v>9.9</v>
      </c>
      <c r="CK239" s="2">
        <f t="shared" si="129"/>
        <v>87.4</v>
      </c>
      <c r="CL239" s="1">
        <f t="shared" si="139"/>
        <v>2.9</v>
      </c>
      <c r="CM239" s="1">
        <f t="shared" si="140"/>
        <v>1.5</v>
      </c>
      <c r="CN239" s="1">
        <f t="shared" si="141"/>
        <v>1.2</v>
      </c>
      <c r="CO239" s="1">
        <f t="shared" si="142"/>
        <v>2.4</v>
      </c>
      <c r="CP239" s="1">
        <f t="shared" si="143"/>
        <v>8.1</v>
      </c>
      <c r="CQ239" s="1">
        <f t="shared" si="144"/>
        <v>9.6</v>
      </c>
      <c r="CR239" s="1">
        <f t="shared" si="145"/>
        <v>8.1999999999999993</v>
      </c>
      <c r="CS239" s="2">
        <f t="shared" si="146"/>
        <v>6.3</v>
      </c>
      <c r="CT239" s="6">
        <f t="shared" si="147"/>
        <v>0</v>
      </c>
      <c r="CU239" s="1">
        <f>PPTest!K239</f>
        <v>0</v>
      </c>
      <c r="CV239" s="3">
        <f t="shared" si="148"/>
        <v>1.97</v>
      </c>
      <c r="CW239" s="3">
        <f t="shared" si="149"/>
        <v>5.71</v>
      </c>
      <c r="CX239" s="24">
        <f t="shared" si="150"/>
        <v>0.215</v>
      </c>
      <c r="CY239" s="24">
        <f t="shared" si="150"/>
        <v>3.198</v>
      </c>
      <c r="CZ239" s="16">
        <f t="shared" si="151"/>
        <v>12.84</v>
      </c>
    </row>
    <row r="240" spans="1:104" x14ac:dyDescent="0.2">
      <c r="A240" s="14">
        <f t="shared" si="152"/>
        <v>38951</v>
      </c>
      <c r="B240" s="1">
        <v>234</v>
      </c>
      <c r="C240" s="3">
        <v>8.49</v>
      </c>
      <c r="D240" s="3">
        <v>14.89</v>
      </c>
      <c r="E240" s="3">
        <v>12.33</v>
      </c>
      <c r="F240" s="3">
        <v>78.2</v>
      </c>
      <c r="G240" s="3">
        <v>11.85</v>
      </c>
      <c r="H240" s="3">
        <v>11.63</v>
      </c>
      <c r="I240" s="3">
        <v>10.11</v>
      </c>
      <c r="J240" s="3">
        <v>10.79</v>
      </c>
      <c r="K240" s="3">
        <v>10.48</v>
      </c>
      <c r="L240" s="3">
        <v>9.09</v>
      </c>
      <c r="M240" s="3">
        <v>1.349</v>
      </c>
      <c r="N240" s="3">
        <v>0</v>
      </c>
      <c r="O240" s="3">
        <v>19.12</v>
      </c>
      <c r="P240" s="3">
        <v>1249</v>
      </c>
      <c r="Q240" s="3">
        <v>104.3</v>
      </c>
      <c r="R240" s="3">
        <v>0</v>
      </c>
      <c r="S240" s="3">
        <v>21.4</v>
      </c>
      <c r="T240" s="3">
        <v>22.5</v>
      </c>
      <c r="U240" s="3">
        <v>16.940000000000001</v>
      </c>
      <c r="V240" s="3">
        <v>12.51</v>
      </c>
      <c r="W240" s="3">
        <v>10.91</v>
      </c>
      <c r="X240" s="3">
        <v>9.6</v>
      </c>
      <c r="Y240" s="3">
        <v>4.1440000000000001</v>
      </c>
      <c r="Z240" s="3">
        <v>1034</v>
      </c>
      <c r="AA240" s="3">
        <v>5.1520000000000001</v>
      </c>
      <c r="AB240" s="3">
        <v>441</v>
      </c>
      <c r="AC240" s="3">
        <v>44.53</v>
      </c>
      <c r="AD240" s="3">
        <v>1012</v>
      </c>
      <c r="AE240" s="3">
        <v>3.9929999999999999</v>
      </c>
      <c r="AF240" s="3">
        <v>3.5609999999999999</v>
      </c>
      <c r="AG240" s="3">
        <v>3.9529999999999998</v>
      </c>
      <c r="AH240" s="3">
        <v>9.01</v>
      </c>
      <c r="AI240" s="3">
        <v>10.029999999999999</v>
      </c>
      <c r="AJ240" s="3">
        <v>8.75</v>
      </c>
      <c r="AK240" s="3">
        <v>0.16500000000000001</v>
      </c>
      <c r="AL240" s="3">
        <v>0.36799999999999999</v>
      </c>
      <c r="AM240" s="3">
        <v>0.251</v>
      </c>
      <c r="AN240" s="3">
        <v>6.9000000000000006E-2</v>
      </c>
      <c r="AO240" s="3">
        <v>0.04</v>
      </c>
      <c r="AP240" s="3">
        <v>5.0999999999999997E-2</v>
      </c>
      <c r="AQ240" s="3">
        <v>2.1999999999999999E-2</v>
      </c>
      <c r="AR240" s="3">
        <v>3.3000000000000002E-2</v>
      </c>
      <c r="AS240" s="3">
        <v>3522</v>
      </c>
      <c r="AT240" s="3">
        <v>3494</v>
      </c>
      <c r="AU240" s="3">
        <v>3507</v>
      </c>
      <c r="AV240" s="3">
        <v>11.24</v>
      </c>
      <c r="AW240" s="3">
        <v>11.19</v>
      </c>
      <c r="AX240" s="3">
        <v>18.95</v>
      </c>
      <c r="AY240" s="3">
        <v>19.39</v>
      </c>
      <c r="AZ240" s="3">
        <v>3.9409999999999998</v>
      </c>
      <c r="BA240" s="3">
        <v>3.7050000000000001</v>
      </c>
      <c r="BB240" s="3">
        <v>12.91</v>
      </c>
      <c r="BC240" s="3">
        <v>2876</v>
      </c>
      <c r="BG240" s="16">
        <v>25.09</v>
      </c>
      <c r="BH240" s="16">
        <f t="shared" si="121"/>
        <v>50.681800000000003</v>
      </c>
      <c r="BI240" s="17">
        <f t="shared" si="119"/>
        <v>8.32</v>
      </c>
      <c r="BJ240" s="17">
        <f t="shared" si="120"/>
        <v>16.38</v>
      </c>
      <c r="BL240" s="1">
        <f t="shared" si="122"/>
        <v>89.1</v>
      </c>
      <c r="BM240" s="1">
        <f t="shared" si="123"/>
        <v>61.8</v>
      </c>
      <c r="BN240" s="1">
        <f t="shared" si="124"/>
        <v>32.200000000000003</v>
      </c>
      <c r="BO240" s="49">
        <f t="shared" si="130"/>
        <v>0.71299999999999997</v>
      </c>
      <c r="BP240" s="49">
        <f t="shared" si="131"/>
        <v>1.5009999999999999</v>
      </c>
      <c r="BR240" s="3">
        <v>0.6</v>
      </c>
      <c r="BT240" s="16">
        <f t="shared" si="125"/>
        <v>8.32</v>
      </c>
      <c r="BU240" s="16">
        <f t="shared" si="126"/>
        <v>16.38</v>
      </c>
      <c r="BV240" s="3">
        <f t="shared" si="127"/>
        <v>12.3</v>
      </c>
      <c r="BW240" s="3">
        <f t="shared" si="153"/>
        <v>11.9</v>
      </c>
      <c r="BX240" s="3">
        <f t="shared" si="153"/>
        <v>11.6</v>
      </c>
      <c r="BY240" s="3">
        <f t="shared" si="153"/>
        <v>10.1</v>
      </c>
      <c r="BZ240" s="3">
        <f t="shared" si="153"/>
        <v>10.8</v>
      </c>
      <c r="CA240" s="3">
        <f t="shared" si="153"/>
        <v>10.5</v>
      </c>
      <c r="CB240" s="3">
        <f t="shared" si="153"/>
        <v>9.1</v>
      </c>
      <c r="CC240" s="22">
        <f t="shared" si="128"/>
        <v>61.8</v>
      </c>
      <c r="CD240" s="1">
        <f t="shared" si="132"/>
        <v>19.100000000000001</v>
      </c>
      <c r="CE240" s="1">
        <f t="shared" si="133"/>
        <v>21.4</v>
      </c>
      <c r="CF240" s="1">
        <f t="shared" si="134"/>
        <v>22.5</v>
      </c>
      <c r="CG240" s="1">
        <f t="shared" si="135"/>
        <v>16.899999999999999</v>
      </c>
      <c r="CH240" s="1">
        <f t="shared" si="136"/>
        <v>12.5</v>
      </c>
      <c r="CI240" s="1">
        <f t="shared" si="137"/>
        <v>10.9</v>
      </c>
      <c r="CJ240" s="1">
        <f t="shared" si="138"/>
        <v>9.6</v>
      </c>
      <c r="CK240" s="2">
        <f t="shared" si="129"/>
        <v>89.1</v>
      </c>
      <c r="CL240" s="1">
        <f t="shared" si="139"/>
        <v>5.2</v>
      </c>
      <c r="CM240" s="1">
        <f t="shared" si="140"/>
        <v>4</v>
      </c>
      <c r="CN240" s="1">
        <f t="shared" si="141"/>
        <v>3.6</v>
      </c>
      <c r="CO240" s="1">
        <f t="shared" si="142"/>
        <v>4</v>
      </c>
      <c r="CP240" s="1">
        <f t="shared" si="143"/>
        <v>9</v>
      </c>
      <c r="CQ240" s="1">
        <f t="shared" si="144"/>
        <v>10</v>
      </c>
      <c r="CR240" s="1">
        <f t="shared" si="145"/>
        <v>8.8000000000000007</v>
      </c>
      <c r="CS240" s="2">
        <f t="shared" si="146"/>
        <v>32.200000000000003</v>
      </c>
      <c r="CT240" s="6">
        <f t="shared" si="147"/>
        <v>0</v>
      </c>
      <c r="CU240" s="1">
        <f>PPTest!K240</f>
        <v>0</v>
      </c>
      <c r="CV240" s="3">
        <f t="shared" si="148"/>
        <v>1.35</v>
      </c>
      <c r="CW240" s="3">
        <f t="shared" si="149"/>
        <v>4.1399999999999997</v>
      </c>
      <c r="CX240" s="24">
        <f t="shared" si="150"/>
        <v>0.71299999999999997</v>
      </c>
      <c r="CY240" s="24">
        <f t="shared" si="150"/>
        <v>1.5009999999999999</v>
      </c>
      <c r="CZ240" s="16">
        <f t="shared" si="151"/>
        <v>12.91</v>
      </c>
    </row>
    <row r="241" spans="1:104" x14ac:dyDescent="0.2">
      <c r="A241" s="14">
        <f t="shared" si="152"/>
        <v>38952</v>
      </c>
      <c r="B241" s="1">
        <v>235</v>
      </c>
      <c r="C241" s="3">
        <v>14.59</v>
      </c>
      <c r="D241" s="3">
        <v>27.7</v>
      </c>
      <c r="E241" s="3">
        <v>8.4499999999999993</v>
      </c>
      <c r="F241" s="3">
        <v>100.5</v>
      </c>
      <c r="G241" s="3">
        <v>8.27</v>
      </c>
      <c r="H241" s="3">
        <v>8.14</v>
      </c>
      <c r="I241" s="3">
        <v>8.3699999999999992</v>
      </c>
      <c r="J241" s="3">
        <v>10.29</v>
      </c>
      <c r="K241" s="3">
        <v>10.19</v>
      </c>
      <c r="L241" s="3">
        <v>9.0500000000000007</v>
      </c>
      <c r="M241" s="3">
        <v>1.3420000000000001</v>
      </c>
      <c r="N241" s="3">
        <v>5</v>
      </c>
      <c r="O241" s="3">
        <v>15.29</v>
      </c>
      <c r="P241" s="3">
        <v>1429</v>
      </c>
      <c r="Q241" s="3">
        <v>110.6</v>
      </c>
      <c r="R241" s="3">
        <v>2359</v>
      </c>
      <c r="S241" s="3">
        <v>18.829999999999998</v>
      </c>
      <c r="T241" s="3">
        <v>19.62</v>
      </c>
      <c r="U241" s="3">
        <v>17.72</v>
      </c>
      <c r="V241" s="3">
        <v>12.93</v>
      </c>
      <c r="W241" s="3">
        <v>10.72</v>
      </c>
      <c r="X241" s="3">
        <v>9.69</v>
      </c>
      <c r="Y241" s="3">
        <v>6.02</v>
      </c>
      <c r="Z241" s="3">
        <v>1506</v>
      </c>
      <c r="AA241" s="3">
        <v>2.0190000000000001</v>
      </c>
      <c r="AB241" s="3">
        <v>2355</v>
      </c>
      <c r="AC241" s="3">
        <v>68.739999999999995</v>
      </c>
      <c r="AD241" s="3">
        <v>1430</v>
      </c>
      <c r="AE241" s="3">
        <v>1.0549999999999999</v>
      </c>
      <c r="AF241" s="3">
        <v>0.89100000000000001</v>
      </c>
      <c r="AG241" s="3">
        <v>1.9319999999999999</v>
      </c>
      <c r="AH241" s="3">
        <v>8.5299999999999994</v>
      </c>
      <c r="AI241" s="3">
        <v>8.9499999999999993</v>
      </c>
      <c r="AJ241" s="3">
        <v>7.98</v>
      </c>
      <c r="AK241" s="3">
        <v>6.5000000000000002E-2</v>
      </c>
      <c r="AL241" s="3">
        <v>0.27</v>
      </c>
      <c r="AM241" s="3">
        <v>0.161</v>
      </c>
      <c r="AN241" s="3">
        <v>1.2999999999999999E-2</v>
      </c>
      <c r="AO241" s="3">
        <v>0.111</v>
      </c>
      <c r="AP241" s="3">
        <v>0.222</v>
      </c>
      <c r="AQ241" s="3">
        <v>0.113</v>
      </c>
      <c r="AR241" s="3">
        <v>4.3999999999999997E-2</v>
      </c>
      <c r="AS241" s="3">
        <v>3513</v>
      </c>
      <c r="AT241" s="3">
        <v>3487</v>
      </c>
      <c r="AU241" s="3">
        <v>3509</v>
      </c>
      <c r="AV241" s="3">
        <v>8.86</v>
      </c>
      <c r="AW241" s="3">
        <v>8.6</v>
      </c>
      <c r="AX241" s="3">
        <v>16.88</v>
      </c>
      <c r="AY241" s="3">
        <v>17.79</v>
      </c>
      <c r="AZ241" s="3">
        <v>2.0390000000000001</v>
      </c>
      <c r="BA241" s="3">
        <v>1.4339999999999999</v>
      </c>
      <c r="BB241" s="3">
        <v>12.98</v>
      </c>
      <c r="BC241" s="3">
        <v>2876</v>
      </c>
      <c r="BG241" s="16">
        <v>24.86</v>
      </c>
      <c r="BH241" s="16">
        <f t="shared" si="121"/>
        <v>50.217199999999998</v>
      </c>
      <c r="BI241" s="17">
        <f t="shared" ref="BI241:BI304" si="154">ROUND(C241*BI$2,2)</f>
        <v>14.3</v>
      </c>
      <c r="BJ241" s="17">
        <f t="shared" ref="BJ241:BJ304" si="155">ROUND(D241*BJ$2,2)</f>
        <v>30.47</v>
      </c>
      <c r="BL241" s="1">
        <f t="shared" si="122"/>
        <v>99.2</v>
      </c>
      <c r="BM241" s="1">
        <f t="shared" si="123"/>
        <v>83.1</v>
      </c>
      <c r="BN241" s="1">
        <f t="shared" si="124"/>
        <v>53.5</v>
      </c>
      <c r="BO241" s="49">
        <f t="shared" si="130"/>
        <v>0.92900000000000005</v>
      </c>
      <c r="BP241" s="49">
        <f t="shared" si="131"/>
        <v>0.80700000000000005</v>
      </c>
      <c r="BR241" s="3">
        <v>2.4</v>
      </c>
      <c r="BT241" s="16">
        <f t="shared" si="125"/>
        <v>14.3</v>
      </c>
      <c r="BU241" s="16">
        <f t="shared" si="126"/>
        <v>30.47</v>
      </c>
      <c r="BV241" s="3">
        <f t="shared" si="127"/>
        <v>8.5</v>
      </c>
      <c r="BW241" s="3">
        <f t="shared" si="153"/>
        <v>8.3000000000000007</v>
      </c>
      <c r="BX241" s="3">
        <f t="shared" si="153"/>
        <v>8.1</v>
      </c>
      <c r="BY241" s="3">
        <f t="shared" si="153"/>
        <v>8.4</v>
      </c>
      <c r="BZ241" s="3">
        <f t="shared" si="153"/>
        <v>10.3</v>
      </c>
      <c r="CA241" s="3">
        <f t="shared" si="153"/>
        <v>10.199999999999999</v>
      </c>
      <c r="CB241" s="3">
        <f t="shared" si="153"/>
        <v>9.1</v>
      </c>
      <c r="CC241" s="22">
        <f t="shared" si="128"/>
        <v>83.1</v>
      </c>
      <c r="CD241" s="1">
        <f t="shared" si="132"/>
        <v>15.3</v>
      </c>
      <c r="CE241" s="1">
        <f t="shared" si="133"/>
        <v>18.8</v>
      </c>
      <c r="CF241" s="1">
        <f t="shared" si="134"/>
        <v>19.600000000000001</v>
      </c>
      <c r="CG241" s="1">
        <f t="shared" si="135"/>
        <v>17.7</v>
      </c>
      <c r="CH241" s="1">
        <f t="shared" si="136"/>
        <v>12.9</v>
      </c>
      <c r="CI241" s="1">
        <f t="shared" si="137"/>
        <v>10.7</v>
      </c>
      <c r="CJ241" s="1">
        <f t="shared" si="138"/>
        <v>9.6999999999999993</v>
      </c>
      <c r="CK241" s="2">
        <f t="shared" si="129"/>
        <v>99.2</v>
      </c>
      <c r="CL241" s="1">
        <f t="shared" si="139"/>
        <v>2</v>
      </c>
      <c r="CM241" s="1">
        <f t="shared" si="140"/>
        <v>1.1000000000000001</v>
      </c>
      <c r="CN241" s="1">
        <f t="shared" si="141"/>
        <v>0.9</v>
      </c>
      <c r="CO241" s="1">
        <f t="shared" si="142"/>
        <v>1.9</v>
      </c>
      <c r="CP241" s="1">
        <f t="shared" si="143"/>
        <v>8.5</v>
      </c>
      <c r="CQ241" s="1">
        <f t="shared" si="144"/>
        <v>9</v>
      </c>
      <c r="CR241" s="1">
        <f t="shared" si="145"/>
        <v>8</v>
      </c>
      <c r="CS241" s="2">
        <f t="shared" si="146"/>
        <v>53.5</v>
      </c>
      <c r="CT241" s="6">
        <f t="shared" si="147"/>
        <v>0</v>
      </c>
      <c r="CU241" s="1">
        <f>PPTest!K241</f>
        <v>5</v>
      </c>
      <c r="CV241" s="3">
        <f t="shared" si="148"/>
        <v>1.34</v>
      </c>
      <c r="CW241" s="3">
        <f t="shared" si="149"/>
        <v>6.02</v>
      </c>
      <c r="CX241" s="24">
        <f t="shared" si="150"/>
        <v>0.92900000000000005</v>
      </c>
      <c r="CY241" s="24">
        <f t="shared" si="150"/>
        <v>0.80700000000000005</v>
      </c>
      <c r="CZ241" s="16">
        <f t="shared" si="151"/>
        <v>12.98</v>
      </c>
    </row>
    <row r="242" spans="1:104" x14ac:dyDescent="0.2">
      <c r="A242" s="14">
        <f t="shared" si="152"/>
        <v>38953</v>
      </c>
      <c r="B242" s="1">
        <v>236</v>
      </c>
      <c r="C242" s="3">
        <v>14.17</v>
      </c>
      <c r="D242" s="3">
        <v>26.75</v>
      </c>
      <c r="E242" s="3">
        <v>6.8159999999999998</v>
      </c>
      <c r="F242" s="3">
        <v>99.5</v>
      </c>
      <c r="G242" s="3">
        <v>6.8049999999999997</v>
      </c>
      <c r="H242" s="3">
        <v>6.68</v>
      </c>
      <c r="I242" s="3">
        <v>7.09</v>
      </c>
      <c r="J242" s="3">
        <v>9.06</v>
      </c>
      <c r="K242" s="3">
        <v>9.74</v>
      </c>
      <c r="L242" s="3">
        <v>9.08</v>
      </c>
      <c r="M242" s="3">
        <v>1.357</v>
      </c>
      <c r="N242" s="3">
        <v>0</v>
      </c>
      <c r="O242" s="3">
        <v>15.31</v>
      </c>
      <c r="P242" s="3">
        <v>1458</v>
      </c>
      <c r="Q242" s="3">
        <v>110.9</v>
      </c>
      <c r="R242" s="3">
        <v>358</v>
      </c>
      <c r="S242" s="3">
        <v>17.23</v>
      </c>
      <c r="T242" s="3">
        <v>18.7</v>
      </c>
      <c r="U242" s="3">
        <v>14.6</v>
      </c>
      <c r="V242" s="3">
        <v>11.4</v>
      </c>
      <c r="W242" s="3">
        <v>10.54</v>
      </c>
      <c r="X242" s="3">
        <v>9.76</v>
      </c>
      <c r="Y242" s="3">
        <v>3.2269999999999999</v>
      </c>
      <c r="Z242" s="3">
        <v>1413</v>
      </c>
      <c r="AA242" s="3">
        <v>-0.17399999999999999</v>
      </c>
      <c r="AB242" s="3">
        <v>517</v>
      </c>
      <c r="AC242" s="3">
        <v>61.72</v>
      </c>
      <c r="AD242" s="3">
        <v>1501</v>
      </c>
      <c r="AE242" s="3">
        <v>-0.76800000000000002</v>
      </c>
      <c r="AF242" s="3">
        <v>-1.0660000000000001</v>
      </c>
      <c r="AG242" s="3">
        <v>1.1160000000000001</v>
      </c>
      <c r="AH242" s="3">
        <v>6.9589999999999996</v>
      </c>
      <c r="AI242" s="3">
        <v>8.9700000000000006</v>
      </c>
      <c r="AJ242" s="3">
        <v>8.5399999999999991</v>
      </c>
      <c r="AK242" s="3">
        <v>8.3000000000000004E-2</v>
      </c>
      <c r="AL242" s="3">
        <v>0.223</v>
      </c>
      <c r="AM242" s="3">
        <v>0.29099999999999998</v>
      </c>
      <c r="AN242" s="3">
        <v>1.2E-2</v>
      </c>
      <c r="AO242" s="3">
        <v>0.124</v>
      </c>
      <c r="AP242" s="3">
        <v>0.17599999999999999</v>
      </c>
      <c r="AQ242" s="3">
        <v>6.3E-2</v>
      </c>
      <c r="AR242" s="3">
        <v>2.8000000000000001E-2</v>
      </c>
      <c r="AS242" s="3">
        <v>3513</v>
      </c>
      <c r="AT242" s="3">
        <v>3500</v>
      </c>
      <c r="AU242" s="3">
        <v>3511</v>
      </c>
      <c r="AV242" s="3">
        <v>7.13</v>
      </c>
      <c r="AW242" s="3">
        <v>7.02</v>
      </c>
      <c r="AX242" s="3">
        <v>16.22</v>
      </c>
      <c r="AY242" s="3">
        <v>16.45</v>
      </c>
      <c r="AZ242" s="3">
        <v>-0.65600000000000003</v>
      </c>
      <c r="BA242" s="3">
        <v>-0.85</v>
      </c>
      <c r="BB242" s="3">
        <v>13.02</v>
      </c>
      <c r="BC242" s="3">
        <v>2876</v>
      </c>
      <c r="BG242" s="16">
        <v>24.62</v>
      </c>
      <c r="BH242" s="16">
        <f t="shared" si="121"/>
        <v>49.732400000000005</v>
      </c>
      <c r="BI242" s="17">
        <f t="shared" si="154"/>
        <v>13.89</v>
      </c>
      <c r="BJ242" s="17">
        <f t="shared" si="155"/>
        <v>29.43</v>
      </c>
      <c r="BL242" s="1">
        <f t="shared" si="122"/>
        <v>99.6</v>
      </c>
      <c r="BM242" s="1">
        <f t="shared" si="123"/>
        <v>81.5</v>
      </c>
      <c r="BN242" s="1">
        <f t="shared" si="124"/>
        <v>47.3</v>
      </c>
      <c r="BO242" s="49">
        <f t="shared" si="130"/>
        <v>0.82299999999999995</v>
      </c>
      <c r="BP242" s="49">
        <f t="shared" si="131"/>
        <v>0.91700000000000004</v>
      </c>
      <c r="BR242" s="3">
        <v>2.2000000000000002</v>
      </c>
      <c r="BT242" s="16">
        <f t="shared" si="125"/>
        <v>13.89</v>
      </c>
      <c r="BU242" s="16">
        <f t="shared" si="126"/>
        <v>29.43</v>
      </c>
      <c r="BV242" s="3">
        <f t="shared" si="127"/>
        <v>6.8</v>
      </c>
      <c r="BW242" s="3">
        <f t="shared" si="153"/>
        <v>6.8</v>
      </c>
      <c r="BX242" s="3">
        <f t="shared" si="153"/>
        <v>6.7</v>
      </c>
      <c r="BY242" s="3">
        <f t="shared" si="153"/>
        <v>7.1</v>
      </c>
      <c r="BZ242" s="3">
        <f t="shared" si="153"/>
        <v>9.1</v>
      </c>
      <c r="CA242" s="3">
        <f t="shared" si="153"/>
        <v>9.6999999999999993</v>
      </c>
      <c r="CB242" s="3">
        <f t="shared" si="153"/>
        <v>9.1</v>
      </c>
      <c r="CC242" s="22">
        <f t="shared" si="128"/>
        <v>81.5</v>
      </c>
      <c r="CD242" s="1">
        <f t="shared" si="132"/>
        <v>15.3</v>
      </c>
      <c r="CE242" s="1">
        <f t="shared" si="133"/>
        <v>17.2</v>
      </c>
      <c r="CF242" s="1">
        <f t="shared" si="134"/>
        <v>18.7</v>
      </c>
      <c r="CG242" s="1">
        <f t="shared" si="135"/>
        <v>14.6</v>
      </c>
      <c r="CH242" s="1">
        <f t="shared" si="136"/>
        <v>11.4</v>
      </c>
      <c r="CI242" s="1">
        <f t="shared" si="137"/>
        <v>10.5</v>
      </c>
      <c r="CJ242" s="1">
        <f t="shared" si="138"/>
        <v>9.8000000000000007</v>
      </c>
      <c r="CK242" s="2">
        <f t="shared" si="129"/>
        <v>99.6</v>
      </c>
      <c r="CL242" s="1">
        <f t="shared" si="139"/>
        <v>-0.2</v>
      </c>
      <c r="CM242" s="1">
        <f t="shared" si="140"/>
        <v>-0.8</v>
      </c>
      <c r="CN242" s="1">
        <f t="shared" si="141"/>
        <v>-1.1000000000000001</v>
      </c>
      <c r="CO242" s="1">
        <f t="shared" si="142"/>
        <v>1.1000000000000001</v>
      </c>
      <c r="CP242" s="1">
        <f t="shared" si="143"/>
        <v>7</v>
      </c>
      <c r="CQ242" s="1">
        <f t="shared" si="144"/>
        <v>9</v>
      </c>
      <c r="CR242" s="1">
        <f t="shared" si="145"/>
        <v>8.5</v>
      </c>
      <c r="CS242" s="2">
        <f t="shared" si="146"/>
        <v>47.3</v>
      </c>
      <c r="CT242" s="6">
        <f t="shared" si="147"/>
        <v>0</v>
      </c>
      <c r="CU242" s="1">
        <f>PPTest!K242</f>
        <v>0</v>
      </c>
      <c r="CV242" s="3">
        <f t="shared" si="148"/>
        <v>1.36</v>
      </c>
      <c r="CW242" s="3">
        <f t="shared" si="149"/>
        <v>3.23</v>
      </c>
      <c r="CX242" s="24">
        <f t="shared" si="150"/>
        <v>0.82299999999999995</v>
      </c>
      <c r="CY242" s="24">
        <f t="shared" si="150"/>
        <v>0.91700000000000004</v>
      </c>
      <c r="CZ242" s="16">
        <f t="shared" si="151"/>
        <v>13.02</v>
      </c>
    </row>
    <row r="243" spans="1:104" x14ac:dyDescent="0.2">
      <c r="A243" s="14">
        <f t="shared" si="152"/>
        <v>38954</v>
      </c>
      <c r="B243" s="1">
        <v>237</v>
      </c>
      <c r="C243" s="3">
        <v>24.95</v>
      </c>
      <c r="D243" s="3">
        <v>45.41</v>
      </c>
      <c r="E243" s="3">
        <v>8.39</v>
      </c>
      <c r="F243" s="3">
        <v>87.3</v>
      </c>
      <c r="G243" s="3">
        <v>8.4499999999999993</v>
      </c>
      <c r="H243" s="3">
        <v>8.3699999999999992</v>
      </c>
      <c r="I243" s="3">
        <v>7.49</v>
      </c>
      <c r="J243" s="3">
        <v>9.7100000000000009</v>
      </c>
      <c r="K243" s="3">
        <v>9.44</v>
      </c>
      <c r="L243" s="3">
        <v>8.98</v>
      </c>
      <c r="M243" s="3">
        <v>1.768</v>
      </c>
      <c r="N243" s="3">
        <v>0</v>
      </c>
      <c r="O243" s="3">
        <v>18</v>
      </c>
      <c r="P243" s="3">
        <v>1725</v>
      </c>
      <c r="Q243" s="3">
        <v>110.9</v>
      </c>
      <c r="R243" s="3">
        <v>524</v>
      </c>
      <c r="S243" s="3">
        <v>20.94</v>
      </c>
      <c r="T243" s="3">
        <v>22.14</v>
      </c>
      <c r="U243" s="3">
        <v>18.55</v>
      </c>
      <c r="V243" s="3">
        <v>13.64</v>
      </c>
      <c r="W243" s="3">
        <v>10.06</v>
      </c>
      <c r="X243" s="3">
        <v>9.6199999999999992</v>
      </c>
      <c r="Y243" s="3">
        <v>3.9980000000000002</v>
      </c>
      <c r="Z243" s="3">
        <v>1415</v>
      </c>
      <c r="AA243" s="3">
        <v>-0.97899999999999998</v>
      </c>
      <c r="AB243" s="3">
        <v>526</v>
      </c>
      <c r="AC243" s="3">
        <v>42.39</v>
      </c>
      <c r="AD243" s="3">
        <v>1725</v>
      </c>
      <c r="AE243" s="3">
        <v>-1.5609999999999999</v>
      </c>
      <c r="AF243" s="3">
        <v>-1.6819999999999999</v>
      </c>
      <c r="AG243" s="3">
        <v>0.75700000000000001</v>
      </c>
      <c r="AH243" s="3">
        <v>6.4749999999999996</v>
      </c>
      <c r="AI243" s="3">
        <v>8.8000000000000007</v>
      </c>
      <c r="AJ243" s="3">
        <v>8.2100000000000009</v>
      </c>
      <c r="AK243" s="3">
        <v>2.1999999999999999E-2</v>
      </c>
      <c r="AL243" s="3">
        <v>0.30299999999999999</v>
      </c>
      <c r="AM243" s="3">
        <v>0.24299999999999999</v>
      </c>
      <c r="AN243" s="3">
        <v>1.4999999999999999E-2</v>
      </c>
      <c r="AO243" s="3">
        <v>0.151</v>
      </c>
      <c r="AP243" s="3">
        <v>0.17599999999999999</v>
      </c>
      <c r="AQ243" s="3">
        <v>6.3E-2</v>
      </c>
      <c r="AR243" s="3">
        <v>2.8000000000000001E-2</v>
      </c>
      <c r="AS243" s="3">
        <v>3514</v>
      </c>
      <c r="AT243" s="3">
        <v>3500</v>
      </c>
      <c r="AU243" s="3">
        <v>3509</v>
      </c>
      <c r="AV243" s="3">
        <v>8.65</v>
      </c>
      <c r="AW243" s="3">
        <v>8.5399999999999991</v>
      </c>
      <c r="AX243" s="3">
        <v>21.89</v>
      </c>
      <c r="AY243" s="3">
        <v>22.14</v>
      </c>
      <c r="AZ243" s="3">
        <v>-1.419</v>
      </c>
      <c r="BA243" s="3">
        <v>-1.629</v>
      </c>
      <c r="BB243" s="3">
        <v>12.95</v>
      </c>
      <c r="BC243" s="3">
        <v>2876</v>
      </c>
      <c r="BG243" s="16">
        <v>24.39</v>
      </c>
      <c r="BH243" s="16">
        <f t="shared" si="121"/>
        <v>49.267800000000001</v>
      </c>
      <c r="BI243" s="17">
        <f t="shared" si="154"/>
        <v>24.45</v>
      </c>
      <c r="BJ243" s="17">
        <f t="shared" si="155"/>
        <v>49.95</v>
      </c>
      <c r="BL243" s="1">
        <f t="shared" si="122"/>
        <v>99.6</v>
      </c>
      <c r="BM243" s="1">
        <f t="shared" si="123"/>
        <v>69.8</v>
      </c>
      <c r="BN243" s="1">
        <f t="shared" si="124"/>
        <v>30.3</v>
      </c>
      <c r="BO243" s="49">
        <f t="shared" si="130"/>
        <v>0.625</v>
      </c>
      <c r="BP243" s="49">
        <f t="shared" si="131"/>
        <v>1.4379999999999999</v>
      </c>
      <c r="BR243" s="3">
        <v>0.2</v>
      </c>
      <c r="BT243" s="16">
        <f t="shared" si="125"/>
        <v>24.45</v>
      </c>
      <c r="BU243" s="16">
        <f t="shared" si="126"/>
        <v>49.95</v>
      </c>
      <c r="BV243" s="3">
        <f t="shared" si="127"/>
        <v>8.4</v>
      </c>
      <c r="BW243" s="3">
        <f t="shared" si="153"/>
        <v>8.5</v>
      </c>
      <c r="BX243" s="3">
        <f t="shared" si="153"/>
        <v>8.4</v>
      </c>
      <c r="BY243" s="3">
        <f t="shared" si="153"/>
        <v>7.5</v>
      </c>
      <c r="BZ243" s="3">
        <f t="shared" si="153"/>
        <v>9.6999999999999993</v>
      </c>
      <c r="CA243" s="3">
        <f t="shared" si="153"/>
        <v>9.4</v>
      </c>
      <c r="CB243" s="3">
        <f t="shared" si="153"/>
        <v>9</v>
      </c>
      <c r="CC243" s="22">
        <f t="shared" si="128"/>
        <v>69.8</v>
      </c>
      <c r="CD243" s="1">
        <f t="shared" si="132"/>
        <v>18</v>
      </c>
      <c r="CE243" s="1">
        <f t="shared" si="133"/>
        <v>20.9</v>
      </c>
      <c r="CF243" s="1">
        <f t="shared" si="134"/>
        <v>22.1</v>
      </c>
      <c r="CG243" s="1">
        <f t="shared" si="135"/>
        <v>18.600000000000001</v>
      </c>
      <c r="CH243" s="1">
        <f t="shared" si="136"/>
        <v>13.6</v>
      </c>
      <c r="CI243" s="1">
        <f t="shared" si="137"/>
        <v>10.1</v>
      </c>
      <c r="CJ243" s="1">
        <f t="shared" si="138"/>
        <v>9.6</v>
      </c>
      <c r="CK243" s="2">
        <f t="shared" si="129"/>
        <v>99.6</v>
      </c>
      <c r="CL243" s="1">
        <f t="shared" si="139"/>
        <v>-1</v>
      </c>
      <c r="CM243" s="1">
        <f t="shared" si="140"/>
        <v>-1.6</v>
      </c>
      <c r="CN243" s="1">
        <f t="shared" si="141"/>
        <v>-1.7</v>
      </c>
      <c r="CO243" s="1">
        <f t="shared" si="142"/>
        <v>0.8</v>
      </c>
      <c r="CP243" s="1">
        <f t="shared" si="143"/>
        <v>6.5</v>
      </c>
      <c r="CQ243" s="1">
        <f t="shared" si="144"/>
        <v>8.8000000000000007</v>
      </c>
      <c r="CR243" s="1">
        <f t="shared" si="145"/>
        <v>8.1999999999999993</v>
      </c>
      <c r="CS243" s="2">
        <f t="shared" si="146"/>
        <v>30.3</v>
      </c>
      <c r="CT243" s="6">
        <f t="shared" si="147"/>
        <v>0</v>
      </c>
      <c r="CU243" s="1">
        <f>PPTest!K243</f>
        <v>0</v>
      </c>
      <c r="CV243" s="3">
        <f t="shared" si="148"/>
        <v>1.77</v>
      </c>
      <c r="CW243" s="3">
        <f t="shared" si="149"/>
        <v>4</v>
      </c>
      <c r="CX243" s="24">
        <f t="shared" si="150"/>
        <v>0.625</v>
      </c>
      <c r="CY243" s="24">
        <f t="shared" si="150"/>
        <v>1.4379999999999999</v>
      </c>
      <c r="CZ243" s="16">
        <f t="shared" si="151"/>
        <v>12.95</v>
      </c>
    </row>
    <row r="244" spans="1:104" x14ac:dyDescent="0.2">
      <c r="A244" s="14">
        <f t="shared" si="152"/>
        <v>38955</v>
      </c>
      <c r="B244" s="1">
        <v>238</v>
      </c>
      <c r="C244" s="3">
        <v>24.3</v>
      </c>
      <c r="D244" s="3">
        <v>43.83</v>
      </c>
      <c r="E244" s="3">
        <v>11.17</v>
      </c>
      <c r="F244" s="3">
        <v>75.2</v>
      </c>
      <c r="G244" s="3">
        <v>11.12</v>
      </c>
      <c r="H244" s="3">
        <v>11.05</v>
      </c>
      <c r="I244" s="3">
        <v>9.11</v>
      </c>
      <c r="J244" s="3">
        <v>10.35</v>
      </c>
      <c r="K244" s="3">
        <v>9.6300000000000008</v>
      </c>
      <c r="L244" s="3">
        <v>8.91</v>
      </c>
      <c r="M244" s="3">
        <v>1.823</v>
      </c>
      <c r="N244" s="3">
        <v>0</v>
      </c>
      <c r="O244" s="3">
        <v>21.61</v>
      </c>
      <c r="P244" s="3">
        <v>1651</v>
      </c>
      <c r="Q244" s="3">
        <v>109.9</v>
      </c>
      <c r="R244" s="3">
        <v>510</v>
      </c>
      <c r="S244" s="3">
        <v>24.2</v>
      </c>
      <c r="T244" s="3">
        <v>26.46</v>
      </c>
      <c r="U244" s="3">
        <v>21.68</v>
      </c>
      <c r="V244" s="3">
        <v>14.26</v>
      </c>
      <c r="W244" s="3">
        <v>10.220000000000001</v>
      </c>
      <c r="X244" s="3">
        <v>9.6300000000000008</v>
      </c>
      <c r="Y244" s="3">
        <v>3.9710000000000001</v>
      </c>
      <c r="Z244" s="3">
        <v>1325</v>
      </c>
      <c r="AA244" s="3">
        <v>1.1339999999999999</v>
      </c>
      <c r="AB244" s="3">
        <v>527</v>
      </c>
      <c r="AC244" s="3">
        <v>31.27</v>
      </c>
      <c r="AD244" s="3">
        <v>1552</v>
      </c>
      <c r="AE244" s="3">
        <v>0.23599999999999999</v>
      </c>
      <c r="AF244" s="3">
        <v>6.3E-2</v>
      </c>
      <c r="AG244" s="3">
        <v>1.484</v>
      </c>
      <c r="AH244" s="3">
        <v>7.01</v>
      </c>
      <c r="AI244" s="3">
        <v>8.89</v>
      </c>
      <c r="AJ244" s="3">
        <v>8.16</v>
      </c>
      <c r="AK244" s="3">
        <v>3.2000000000000001E-2</v>
      </c>
      <c r="AL244" s="3">
        <v>0.26300000000000001</v>
      </c>
      <c r="AM244" s="3">
        <v>0.309</v>
      </c>
      <c r="AN244" s="3">
        <v>1.4E-2</v>
      </c>
      <c r="AO244" s="3">
        <v>0.12</v>
      </c>
      <c r="AP244" s="3">
        <v>0.161</v>
      </c>
      <c r="AQ244" s="3">
        <v>5.3999999999999999E-2</v>
      </c>
      <c r="AR244" s="3">
        <v>4.7E-2</v>
      </c>
      <c r="AS244" s="3">
        <v>3523</v>
      </c>
      <c r="AT244" s="3">
        <v>3493</v>
      </c>
      <c r="AU244" s="3">
        <v>3513</v>
      </c>
      <c r="AV244" s="3">
        <v>10.98</v>
      </c>
      <c r="AW244" s="3">
        <v>10.95</v>
      </c>
      <c r="AX244" s="3">
        <v>25.37</v>
      </c>
      <c r="AY244" s="3">
        <v>25.62</v>
      </c>
      <c r="AZ244" s="3">
        <v>0.311</v>
      </c>
      <c r="BA244" s="3">
        <v>7.5999999999999998E-2</v>
      </c>
      <c r="BB244" s="3">
        <v>12.89</v>
      </c>
      <c r="BC244" s="3">
        <v>2876</v>
      </c>
      <c r="BG244" s="16">
        <v>24.16</v>
      </c>
      <c r="BH244" s="16">
        <f t="shared" si="121"/>
        <v>48.803200000000004</v>
      </c>
      <c r="BI244" s="17">
        <f t="shared" si="154"/>
        <v>23.81</v>
      </c>
      <c r="BJ244" s="17">
        <f t="shared" si="155"/>
        <v>48.21</v>
      </c>
      <c r="BL244" s="1">
        <f t="shared" si="122"/>
        <v>98</v>
      </c>
      <c r="BM244" s="1">
        <f t="shared" si="123"/>
        <v>59.2</v>
      </c>
      <c r="BN244" s="1">
        <f t="shared" si="124"/>
        <v>20.5</v>
      </c>
      <c r="BO244" s="49">
        <f t="shared" si="130"/>
        <v>0.52900000000000003</v>
      </c>
      <c r="BP244" s="49">
        <f t="shared" si="131"/>
        <v>2.0510000000000002</v>
      </c>
      <c r="BR244" s="3">
        <v>0</v>
      </c>
      <c r="BT244" s="16">
        <f t="shared" si="125"/>
        <v>23.81</v>
      </c>
      <c r="BU244" s="16">
        <f t="shared" si="126"/>
        <v>48.21</v>
      </c>
      <c r="BV244" s="3">
        <f t="shared" si="127"/>
        <v>11.2</v>
      </c>
      <c r="BW244" s="3">
        <f t="shared" si="153"/>
        <v>11.1</v>
      </c>
      <c r="BX244" s="3">
        <f t="shared" si="153"/>
        <v>11.1</v>
      </c>
      <c r="BY244" s="3">
        <f t="shared" si="153"/>
        <v>9.1</v>
      </c>
      <c r="BZ244" s="3">
        <f t="shared" si="153"/>
        <v>10.4</v>
      </c>
      <c r="CA244" s="3">
        <f t="shared" si="153"/>
        <v>9.6</v>
      </c>
      <c r="CB244" s="3">
        <f t="shared" si="153"/>
        <v>8.9</v>
      </c>
      <c r="CC244" s="22">
        <f t="shared" si="128"/>
        <v>59.2</v>
      </c>
      <c r="CD244" s="1">
        <f t="shared" si="132"/>
        <v>21.6</v>
      </c>
      <c r="CE244" s="1">
        <f t="shared" si="133"/>
        <v>24.2</v>
      </c>
      <c r="CF244" s="1">
        <f t="shared" si="134"/>
        <v>26.5</v>
      </c>
      <c r="CG244" s="1">
        <f t="shared" si="135"/>
        <v>21.7</v>
      </c>
      <c r="CH244" s="1">
        <f t="shared" si="136"/>
        <v>14.3</v>
      </c>
      <c r="CI244" s="1">
        <f t="shared" si="137"/>
        <v>10.199999999999999</v>
      </c>
      <c r="CJ244" s="1">
        <f t="shared" si="138"/>
        <v>9.6</v>
      </c>
      <c r="CK244" s="2">
        <f t="shared" si="129"/>
        <v>98</v>
      </c>
      <c r="CL244" s="1">
        <f t="shared" si="139"/>
        <v>1.1000000000000001</v>
      </c>
      <c r="CM244" s="1">
        <f t="shared" si="140"/>
        <v>0.2</v>
      </c>
      <c r="CN244" s="1">
        <f t="shared" si="141"/>
        <v>0.1</v>
      </c>
      <c r="CO244" s="1">
        <f t="shared" si="142"/>
        <v>1.5</v>
      </c>
      <c r="CP244" s="1">
        <f t="shared" si="143"/>
        <v>7</v>
      </c>
      <c r="CQ244" s="1">
        <f t="shared" si="144"/>
        <v>8.9</v>
      </c>
      <c r="CR244" s="1">
        <f t="shared" si="145"/>
        <v>8.1999999999999993</v>
      </c>
      <c r="CS244" s="2">
        <f t="shared" si="146"/>
        <v>20.5</v>
      </c>
      <c r="CT244" s="6">
        <f t="shared" si="147"/>
        <v>0</v>
      </c>
      <c r="CU244" s="1">
        <f>PPTest!K244</f>
        <v>0</v>
      </c>
      <c r="CV244" s="3">
        <f t="shared" si="148"/>
        <v>1.82</v>
      </c>
      <c r="CW244" s="3">
        <f t="shared" si="149"/>
        <v>3.97</v>
      </c>
      <c r="CX244" s="24">
        <f t="shared" si="150"/>
        <v>0.52900000000000003</v>
      </c>
      <c r="CY244" s="24">
        <f t="shared" si="150"/>
        <v>2.0510000000000002</v>
      </c>
      <c r="CZ244" s="16">
        <f t="shared" si="151"/>
        <v>12.89</v>
      </c>
    </row>
    <row r="245" spans="1:104" x14ac:dyDescent="0.2">
      <c r="A245" s="14">
        <f t="shared" si="152"/>
        <v>38956</v>
      </c>
      <c r="B245" s="1">
        <v>239</v>
      </c>
      <c r="C245" s="3">
        <v>23.1</v>
      </c>
      <c r="D245" s="3">
        <v>41.09</v>
      </c>
      <c r="E245" s="3">
        <v>12.85</v>
      </c>
      <c r="F245" s="3">
        <v>72.2</v>
      </c>
      <c r="G245" s="3">
        <v>12.71</v>
      </c>
      <c r="H245" s="3">
        <v>12.55</v>
      </c>
      <c r="I245" s="3">
        <v>10.119999999999999</v>
      </c>
      <c r="J245" s="3">
        <v>10.96</v>
      </c>
      <c r="K245" s="3">
        <v>9.9</v>
      </c>
      <c r="L245" s="3">
        <v>8.86</v>
      </c>
      <c r="M245" s="3">
        <v>1.8260000000000001</v>
      </c>
      <c r="N245" s="3">
        <v>0</v>
      </c>
      <c r="O245" s="3">
        <v>23.35</v>
      </c>
      <c r="P245" s="3">
        <v>1607</v>
      </c>
      <c r="Q245" s="3">
        <v>107.6</v>
      </c>
      <c r="R245" s="3">
        <v>450</v>
      </c>
      <c r="S245" s="3">
        <v>26.94</v>
      </c>
      <c r="T245" s="3">
        <v>28</v>
      </c>
      <c r="U245" s="3">
        <v>22.65</v>
      </c>
      <c r="V245" s="3">
        <v>14.93</v>
      </c>
      <c r="W245" s="3">
        <v>10.52</v>
      </c>
      <c r="X245" s="3">
        <v>9.64</v>
      </c>
      <c r="Y245" s="3">
        <v>4.0380000000000003</v>
      </c>
      <c r="Z245" s="3">
        <v>1242</v>
      </c>
      <c r="AA245" s="3">
        <v>1.9850000000000001</v>
      </c>
      <c r="AB245" s="3">
        <v>436</v>
      </c>
      <c r="AC245" s="3">
        <v>31.47</v>
      </c>
      <c r="AD245" s="3">
        <v>1703</v>
      </c>
      <c r="AE245" s="3">
        <v>0.91800000000000004</v>
      </c>
      <c r="AF245" s="3">
        <v>0.72599999999999998</v>
      </c>
      <c r="AG245" s="3">
        <v>1.7969999999999999</v>
      </c>
      <c r="AH245" s="3">
        <v>7.49</v>
      </c>
      <c r="AI245" s="3">
        <v>9.3000000000000007</v>
      </c>
      <c r="AJ245" s="3">
        <v>8.08</v>
      </c>
      <c r="AK245" s="3">
        <v>2.4E-2</v>
      </c>
      <c r="AL245" s="3">
        <v>0.28000000000000003</v>
      </c>
      <c r="AM245" s="3">
        <v>0.28399999999999997</v>
      </c>
      <c r="AN245" s="3">
        <v>1.7000000000000001E-2</v>
      </c>
      <c r="AO245" s="3">
        <v>8.5999999999999993E-2</v>
      </c>
      <c r="AP245" s="3">
        <v>0.14599999999999999</v>
      </c>
      <c r="AQ245" s="3">
        <v>0.11899999999999999</v>
      </c>
      <c r="AR245" s="3">
        <v>4.3999999999999997E-2</v>
      </c>
      <c r="AS245" s="3">
        <v>3526</v>
      </c>
      <c r="AT245" s="3">
        <v>3498</v>
      </c>
      <c r="AU245" s="3">
        <v>3516</v>
      </c>
      <c r="AV245" s="3">
        <v>12.33</v>
      </c>
      <c r="AW245" s="3">
        <v>12.32</v>
      </c>
      <c r="AX245" s="3">
        <v>26.7</v>
      </c>
      <c r="AY245" s="3">
        <v>26.9</v>
      </c>
      <c r="AZ245" s="3">
        <v>0.92900000000000005</v>
      </c>
      <c r="BA245" s="3">
        <v>0.73199999999999998</v>
      </c>
      <c r="BB245" s="3">
        <v>12.86</v>
      </c>
      <c r="BC245" s="3">
        <v>2876</v>
      </c>
      <c r="BG245" s="16">
        <v>23.92</v>
      </c>
      <c r="BH245" s="16">
        <f t="shared" si="121"/>
        <v>48.318400000000004</v>
      </c>
      <c r="BI245" s="17">
        <f t="shared" si="154"/>
        <v>22.64</v>
      </c>
      <c r="BJ245" s="17">
        <f t="shared" si="155"/>
        <v>45.2</v>
      </c>
      <c r="BL245" s="1">
        <f t="shared" si="122"/>
        <v>94.4</v>
      </c>
      <c r="BM245" s="1">
        <f t="shared" si="123"/>
        <v>56.5</v>
      </c>
      <c r="BN245" s="1">
        <f t="shared" si="124"/>
        <v>20.7</v>
      </c>
      <c r="BO245" s="49">
        <f t="shared" si="130"/>
        <v>0.59399999999999997</v>
      </c>
      <c r="BP245" s="49">
        <f t="shared" si="131"/>
        <v>2.2759999999999998</v>
      </c>
      <c r="BR245" s="3">
        <v>0</v>
      </c>
      <c r="BT245" s="16">
        <f t="shared" si="125"/>
        <v>22.64</v>
      </c>
      <c r="BU245" s="16">
        <f t="shared" si="126"/>
        <v>45.2</v>
      </c>
      <c r="BV245" s="3">
        <f t="shared" si="127"/>
        <v>12.9</v>
      </c>
      <c r="BW245" s="3">
        <f t="shared" si="153"/>
        <v>12.7</v>
      </c>
      <c r="BX245" s="3">
        <f t="shared" si="153"/>
        <v>12.6</v>
      </c>
      <c r="BY245" s="3">
        <f t="shared" si="153"/>
        <v>10.1</v>
      </c>
      <c r="BZ245" s="3">
        <f t="shared" si="153"/>
        <v>11</v>
      </c>
      <c r="CA245" s="3">
        <f t="shared" si="153"/>
        <v>9.9</v>
      </c>
      <c r="CB245" s="3">
        <f t="shared" si="153"/>
        <v>8.9</v>
      </c>
      <c r="CC245" s="22">
        <f t="shared" si="128"/>
        <v>56.5</v>
      </c>
      <c r="CD245" s="1">
        <f t="shared" si="132"/>
        <v>23.4</v>
      </c>
      <c r="CE245" s="1">
        <f t="shared" si="133"/>
        <v>26.9</v>
      </c>
      <c r="CF245" s="1">
        <f t="shared" si="134"/>
        <v>28</v>
      </c>
      <c r="CG245" s="1">
        <f t="shared" si="135"/>
        <v>22.7</v>
      </c>
      <c r="CH245" s="1">
        <f t="shared" si="136"/>
        <v>14.9</v>
      </c>
      <c r="CI245" s="1">
        <f t="shared" si="137"/>
        <v>10.5</v>
      </c>
      <c r="CJ245" s="1">
        <f t="shared" si="138"/>
        <v>9.6</v>
      </c>
      <c r="CK245" s="2">
        <f t="shared" si="129"/>
        <v>94.4</v>
      </c>
      <c r="CL245" s="1">
        <f t="shared" si="139"/>
        <v>2</v>
      </c>
      <c r="CM245" s="1">
        <f t="shared" si="140"/>
        <v>0.9</v>
      </c>
      <c r="CN245" s="1">
        <f t="shared" si="141"/>
        <v>0.7</v>
      </c>
      <c r="CO245" s="1">
        <f t="shared" si="142"/>
        <v>1.8</v>
      </c>
      <c r="CP245" s="1">
        <f t="shared" si="143"/>
        <v>7.5</v>
      </c>
      <c r="CQ245" s="1">
        <f t="shared" si="144"/>
        <v>9.3000000000000007</v>
      </c>
      <c r="CR245" s="1">
        <f t="shared" si="145"/>
        <v>8.1</v>
      </c>
      <c r="CS245" s="2">
        <f t="shared" si="146"/>
        <v>20.7</v>
      </c>
      <c r="CT245" s="6">
        <f t="shared" si="147"/>
        <v>0</v>
      </c>
      <c r="CU245" s="1">
        <f>PPTest!K245</f>
        <v>0</v>
      </c>
      <c r="CV245" s="3">
        <f t="shared" si="148"/>
        <v>1.83</v>
      </c>
      <c r="CW245" s="3">
        <f t="shared" si="149"/>
        <v>4.04</v>
      </c>
      <c r="CX245" s="24">
        <f t="shared" si="150"/>
        <v>0.59399999999999997</v>
      </c>
      <c r="CY245" s="24">
        <f t="shared" si="150"/>
        <v>2.2759999999999998</v>
      </c>
      <c r="CZ245" s="16">
        <f t="shared" si="151"/>
        <v>12.86</v>
      </c>
    </row>
    <row r="246" spans="1:104" x14ac:dyDescent="0.2">
      <c r="A246" s="14">
        <f t="shared" si="152"/>
        <v>38957</v>
      </c>
      <c r="B246" s="1">
        <v>240</v>
      </c>
      <c r="C246" s="3">
        <v>23.02</v>
      </c>
      <c r="D246" s="3">
        <v>41.05</v>
      </c>
      <c r="E246" s="3">
        <v>15.59</v>
      </c>
      <c r="F246" s="3">
        <v>60.18</v>
      </c>
      <c r="G246" s="3">
        <v>15.28</v>
      </c>
      <c r="H246" s="3">
        <v>14.97</v>
      </c>
      <c r="I246" s="3">
        <v>11.51</v>
      </c>
      <c r="J246" s="3">
        <v>11.6</v>
      </c>
      <c r="K246" s="3">
        <v>10.23</v>
      </c>
      <c r="L246" s="3">
        <v>8.8800000000000008</v>
      </c>
      <c r="M246" s="3">
        <v>1.647</v>
      </c>
      <c r="N246" s="3">
        <v>0</v>
      </c>
      <c r="O246" s="3">
        <v>24.9</v>
      </c>
      <c r="P246" s="3">
        <v>1431</v>
      </c>
      <c r="Q246" s="3">
        <v>105.5</v>
      </c>
      <c r="R246" s="3">
        <v>521</v>
      </c>
      <c r="S246" s="3">
        <v>28.22</v>
      </c>
      <c r="T246" s="3">
        <v>29.27</v>
      </c>
      <c r="U246" s="3">
        <v>24.21</v>
      </c>
      <c r="V246" s="3">
        <v>15.44</v>
      </c>
      <c r="W246" s="3">
        <v>10.89</v>
      </c>
      <c r="X246" s="3">
        <v>9.7200000000000006</v>
      </c>
      <c r="Y246" s="3">
        <v>4.7830000000000004</v>
      </c>
      <c r="Z246" s="3">
        <v>1116</v>
      </c>
      <c r="AA246" s="3">
        <v>2.831</v>
      </c>
      <c r="AB246" s="3">
        <v>512</v>
      </c>
      <c r="AC246" s="3">
        <v>27.05</v>
      </c>
      <c r="AD246" s="3">
        <v>1231</v>
      </c>
      <c r="AE246" s="3">
        <v>1.2370000000000001</v>
      </c>
      <c r="AF246" s="3">
        <v>0.75</v>
      </c>
      <c r="AG246" s="3">
        <v>1.581</v>
      </c>
      <c r="AH246" s="3">
        <v>7.89</v>
      </c>
      <c r="AI246" s="3">
        <v>9.5500000000000007</v>
      </c>
      <c r="AJ246" s="3">
        <v>8.18</v>
      </c>
      <c r="AK246" s="3">
        <v>6.8000000000000005E-2</v>
      </c>
      <c r="AL246" s="3">
        <v>0.28100000000000003</v>
      </c>
      <c r="AM246" s="3">
        <v>0.19400000000000001</v>
      </c>
      <c r="AN246" s="3">
        <v>7.3999999999999996E-2</v>
      </c>
      <c r="AO246" s="3">
        <v>0.122</v>
      </c>
      <c r="AP246" s="3">
        <v>0.14099999999999999</v>
      </c>
      <c r="AQ246" s="3">
        <v>8.6999999999999994E-2</v>
      </c>
      <c r="AR246" s="3">
        <v>3.3000000000000002E-2</v>
      </c>
      <c r="AS246" s="3">
        <v>3537</v>
      </c>
      <c r="AT246" s="3">
        <v>3503</v>
      </c>
      <c r="AU246" s="3">
        <v>3522</v>
      </c>
      <c r="AV246" s="3">
        <v>14.25</v>
      </c>
      <c r="AW246" s="3">
        <v>14.29</v>
      </c>
      <c r="AX246" s="3">
        <v>28.15</v>
      </c>
      <c r="AY246" s="3">
        <v>28.43</v>
      </c>
      <c r="AZ246" s="3">
        <v>1.012</v>
      </c>
      <c r="BA246" s="3">
        <v>0.77900000000000003</v>
      </c>
      <c r="BB246" s="3">
        <v>12.84</v>
      </c>
      <c r="BC246" s="3">
        <v>2876</v>
      </c>
      <c r="BG246" s="16">
        <v>23.67</v>
      </c>
      <c r="BH246" s="16">
        <f t="shared" si="121"/>
        <v>47.813400000000001</v>
      </c>
      <c r="BI246" s="17">
        <f t="shared" si="154"/>
        <v>22.56</v>
      </c>
      <c r="BJ246" s="17">
        <f t="shared" si="155"/>
        <v>45.16</v>
      </c>
      <c r="BL246" s="1">
        <f t="shared" si="122"/>
        <v>91</v>
      </c>
      <c r="BM246" s="1">
        <f t="shared" si="123"/>
        <v>46</v>
      </c>
      <c r="BN246" s="1">
        <f t="shared" si="124"/>
        <v>16.8</v>
      </c>
      <c r="BO246" s="49">
        <f t="shared" si="130"/>
        <v>0.52900000000000003</v>
      </c>
      <c r="BP246" s="49">
        <f t="shared" si="131"/>
        <v>2.62</v>
      </c>
      <c r="BR246" s="3">
        <v>0</v>
      </c>
      <c r="BT246" s="16">
        <f t="shared" si="125"/>
        <v>22.56</v>
      </c>
      <c r="BU246" s="16">
        <f t="shared" si="126"/>
        <v>45.16</v>
      </c>
      <c r="BV246" s="3">
        <f t="shared" si="127"/>
        <v>15.6</v>
      </c>
      <c r="BW246" s="3">
        <f t="shared" si="153"/>
        <v>15.3</v>
      </c>
      <c r="BX246" s="3">
        <f t="shared" si="153"/>
        <v>15</v>
      </c>
      <c r="BY246" s="3">
        <f t="shared" si="153"/>
        <v>11.5</v>
      </c>
      <c r="BZ246" s="3">
        <f t="shared" si="153"/>
        <v>11.6</v>
      </c>
      <c r="CA246" s="3">
        <f t="shared" si="153"/>
        <v>10.199999999999999</v>
      </c>
      <c r="CB246" s="3">
        <f t="shared" si="153"/>
        <v>8.9</v>
      </c>
      <c r="CC246" s="22">
        <f t="shared" si="128"/>
        <v>46</v>
      </c>
      <c r="CD246" s="1">
        <f t="shared" si="132"/>
        <v>24.9</v>
      </c>
      <c r="CE246" s="1">
        <f t="shared" si="133"/>
        <v>28.2</v>
      </c>
      <c r="CF246" s="1">
        <f t="shared" si="134"/>
        <v>29.3</v>
      </c>
      <c r="CG246" s="1">
        <f t="shared" si="135"/>
        <v>24.2</v>
      </c>
      <c r="CH246" s="1">
        <f t="shared" si="136"/>
        <v>15.4</v>
      </c>
      <c r="CI246" s="1">
        <f t="shared" si="137"/>
        <v>10.9</v>
      </c>
      <c r="CJ246" s="1">
        <f t="shared" si="138"/>
        <v>9.6999999999999993</v>
      </c>
      <c r="CK246" s="2">
        <f t="shared" si="129"/>
        <v>91</v>
      </c>
      <c r="CL246" s="1">
        <f t="shared" si="139"/>
        <v>2.8</v>
      </c>
      <c r="CM246" s="1">
        <f t="shared" si="140"/>
        <v>1.2</v>
      </c>
      <c r="CN246" s="1">
        <f t="shared" si="141"/>
        <v>0.8</v>
      </c>
      <c r="CO246" s="1">
        <f t="shared" si="142"/>
        <v>1.6</v>
      </c>
      <c r="CP246" s="1">
        <f t="shared" si="143"/>
        <v>7.9</v>
      </c>
      <c r="CQ246" s="1">
        <f t="shared" si="144"/>
        <v>9.6</v>
      </c>
      <c r="CR246" s="1">
        <f t="shared" si="145"/>
        <v>8.1999999999999993</v>
      </c>
      <c r="CS246" s="2">
        <f t="shared" si="146"/>
        <v>16.8</v>
      </c>
      <c r="CT246" s="6">
        <f t="shared" si="147"/>
        <v>0</v>
      </c>
      <c r="CU246" s="1">
        <f>PPTest!K246</f>
        <v>0</v>
      </c>
      <c r="CV246" s="3">
        <f t="shared" si="148"/>
        <v>1.65</v>
      </c>
      <c r="CW246" s="3">
        <f t="shared" si="149"/>
        <v>4.78</v>
      </c>
      <c r="CX246" s="24">
        <f t="shared" si="150"/>
        <v>0.52900000000000003</v>
      </c>
      <c r="CY246" s="24">
        <f t="shared" si="150"/>
        <v>2.62</v>
      </c>
      <c r="CZ246" s="16">
        <f t="shared" si="151"/>
        <v>12.84</v>
      </c>
    </row>
    <row r="247" spans="1:104" x14ac:dyDescent="0.2">
      <c r="A247" s="14">
        <f t="shared" si="152"/>
        <v>38958</v>
      </c>
      <c r="B247" s="1">
        <v>241</v>
      </c>
      <c r="C247" s="3">
        <v>14.19</v>
      </c>
      <c r="D247" s="3">
        <v>25.54</v>
      </c>
      <c r="E247" s="3">
        <v>10.41</v>
      </c>
      <c r="F247" s="3">
        <v>72.099999999999994</v>
      </c>
      <c r="G247" s="3">
        <v>10.210000000000001</v>
      </c>
      <c r="H247" s="3">
        <v>10.1</v>
      </c>
      <c r="I247" s="3">
        <v>9.48</v>
      </c>
      <c r="J247" s="3">
        <v>10.74</v>
      </c>
      <c r="K247" s="3">
        <v>10.45</v>
      </c>
      <c r="L247" s="3">
        <v>8.9499999999999993</v>
      </c>
      <c r="M247" s="3">
        <v>1.587</v>
      </c>
      <c r="N247" s="3">
        <v>0</v>
      </c>
      <c r="O247" s="3">
        <v>16.649999999999999</v>
      </c>
      <c r="P247" s="3">
        <v>1321</v>
      </c>
      <c r="Q247" s="3">
        <v>97.4</v>
      </c>
      <c r="R247" s="3">
        <v>507</v>
      </c>
      <c r="S247" s="3">
        <v>21.69</v>
      </c>
      <c r="T247" s="3">
        <v>21.6</v>
      </c>
      <c r="U247" s="3">
        <v>16.71</v>
      </c>
      <c r="V247" s="3">
        <v>13.09</v>
      </c>
      <c r="W247" s="3">
        <v>11.07</v>
      </c>
      <c r="X247" s="3">
        <v>9.52</v>
      </c>
      <c r="Y247" s="3">
        <v>4.1040000000000001</v>
      </c>
      <c r="Z247" s="3">
        <v>1338</v>
      </c>
      <c r="AA247" s="3">
        <v>4.3209999999999997</v>
      </c>
      <c r="AB247" s="3">
        <v>504</v>
      </c>
      <c r="AC247" s="3">
        <v>45.56</v>
      </c>
      <c r="AD247" s="3">
        <v>901</v>
      </c>
      <c r="AE247" s="3">
        <v>2.359</v>
      </c>
      <c r="AF247" s="3">
        <v>1.91</v>
      </c>
      <c r="AG247" s="3">
        <v>3.0350000000000001</v>
      </c>
      <c r="AH247" s="3">
        <v>8.92</v>
      </c>
      <c r="AI247" s="3">
        <v>9.89</v>
      </c>
      <c r="AJ247" s="3">
        <v>8.6</v>
      </c>
      <c r="AK247" s="3">
        <v>3.3000000000000002E-2</v>
      </c>
      <c r="AL247" s="3">
        <v>0.183</v>
      </c>
      <c r="AM247" s="3">
        <v>8.2000000000000003E-2</v>
      </c>
      <c r="AN247" s="3">
        <v>3.3000000000000002E-2</v>
      </c>
      <c r="AO247" s="3">
        <v>0.14699999999999999</v>
      </c>
      <c r="AP247" s="3">
        <v>0.34399999999999997</v>
      </c>
      <c r="AQ247" s="3">
        <v>0.153</v>
      </c>
      <c r="AR247" s="3">
        <v>2.4E-2</v>
      </c>
      <c r="AS247" s="3">
        <v>3516</v>
      </c>
      <c r="AT247" s="3">
        <v>3504</v>
      </c>
      <c r="AU247" s="3">
        <v>3512</v>
      </c>
      <c r="AV247" s="3">
        <v>10.49</v>
      </c>
      <c r="AW247" s="3">
        <v>10.33</v>
      </c>
      <c r="AX247" s="3">
        <v>19.89</v>
      </c>
      <c r="AY247" s="3">
        <v>20.309999999999999</v>
      </c>
      <c r="AZ247" s="3">
        <v>2.6970000000000001</v>
      </c>
      <c r="BA247" s="3">
        <v>2.4249999999999998</v>
      </c>
      <c r="BB247" s="3">
        <v>12.9</v>
      </c>
      <c r="BC247" s="3">
        <v>2876</v>
      </c>
      <c r="BG247" s="16">
        <v>23.43</v>
      </c>
      <c r="BH247" s="16">
        <f t="shared" si="121"/>
        <v>47.328600000000002</v>
      </c>
      <c r="BI247" s="17">
        <f t="shared" si="154"/>
        <v>13.91</v>
      </c>
      <c r="BJ247" s="17">
        <f t="shared" si="155"/>
        <v>28.09</v>
      </c>
      <c r="BL247" s="1">
        <f t="shared" si="122"/>
        <v>78.7</v>
      </c>
      <c r="BM247" s="1">
        <f t="shared" si="123"/>
        <v>56.4</v>
      </c>
      <c r="BN247" s="1">
        <f t="shared" si="124"/>
        <v>33.1</v>
      </c>
      <c r="BO247" s="49">
        <f t="shared" si="130"/>
        <v>0.627</v>
      </c>
      <c r="BP247" s="49">
        <f t="shared" si="131"/>
        <v>1.2669999999999999</v>
      </c>
      <c r="BR247" s="3">
        <v>0</v>
      </c>
      <c r="BT247" s="16">
        <f t="shared" si="125"/>
        <v>13.91</v>
      </c>
      <c r="BU247" s="16">
        <f t="shared" si="126"/>
        <v>28.09</v>
      </c>
      <c r="BV247" s="3">
        <f t="shared" si="127"/>
        <v>10.4</v>
      </c>
      <c r="BW247" s="3">
        <f t="shared" si="153"/>
        <v>10.199999999999999</v>
      </c>
      <c r="BX247" s="3">
        <f t="shared" si="153"/>
        <v>10.1</v>
      </c>
      <c r="BY247" s="3">
        <f t="shared" si="153"/>
        <v>9.5</v>
      </c>
      <c r="BZ247" s="3">
        <f t="shared" si="153"/>
        <v>10.7</v>
      </c>
      <c r="CA247" s="3">
        <f t="shared" si="153"/>
        <v>10.5</v>
      </c>
      <c r="CB247" s="3">
        <f t="shared" si="153"/>
        <v>9</v>
      </c>
      <c r="CC247" s="22">
        <f t="shared" si="128"/>
        <v>56.4</v>
      </c>
      <c r="CD247" s="1">
        <f t="shared" si="132"/>
        <v>16.7</v>
      </c>
      <c r="CE247" s="1">
        <f t="shared" si="133"/>
        <v>21.7</v>
      </c>
      <c r="CF247" s="1">
        <f t="shared" si="134"/>
        <v>21.6</v>
      </c>
      <c r="CG247" s="1">
        <f t="shared" si="135"/>
        <v>16.7</v>
      </c>
      <c r="CH247" s="1">
        <f t="shared" si="136"/>
        <v>13.1</v>
      </c>
      <c r="CI247" s="1">
        <f t="shared" si="137"/>
        <v>11.1</v>
      </c>
      <c r="CJ247" s="1">
        <f t="shared" si="138"/>
        <v>9.5</v>
      </c>
      <c r="CK247" s="2">
        <f t="shared" si="129"/>
        <v>78.7</v>
      </c>
      <c r="CL247" s="1">
        <f t="shared" si="139"/>
        <v>4.3</v>
      </c>
      <c r="CM247" s="1">
        <f t="shared" si="140"/>
        <v>2.4</v>
      </c>
      <c r="CN247" s="1">
        <f t="shared" si="141"/>
        <v>1.9</v>
      </c>
      <c r="CO247" s="1">
        <f t="shared" si="142"/>
        <v>3</v>
      </c>
      <c r="CP247" s="1">
        <f t="shared" si="143"/>
        <v>8.9</v>
      </c>
      <c r="CQ247" s="1">
        <f t="shared" si="144"/>
        <v>9.9</v>
      </c>
      <c r="CR247" s="1">
        <f t="shared" si="145"/>
        <v>8.6</v>
      </c>
      <c r="CS247" s="2">
        <f t="shared" si="146"/>
        <v>33.1</v>
      </c>
      <c r="CT247" s="6">
        <f t="shared" si="147"/>
        <v>0</v>
      </c>
      <c r="CU247" s="1">
        <f>PPTest!K247</f>
        <v>0</v>
      </c>
      <c r="CV247" s="3">
        <f t="shared" si="148"/>
        <v>1.59</v>
      </c>
      <c r="CW247" s="3">
        <f t="shared" si="149"/>
        <v>4.0999999999999996</v>
      </c>
      <c r="CX247" s="24">
        <f t="shared" si="150"/>
        <v>0.627</v>
      </c>
      <c r="CY247" s="24">
        <f t="shared" si="150"/>
        <v>1.2669999999999999</v>
      </c>
      <c r="CZ247" s="16">
        <f t="shared" si="151"/>
        <v>12.9</v>
      </c>
    </row>
    <row r="248" spans="1:104" x14ac:dyDescent="0.2">
      <c r="A248" s="14">
        <f t="shared" si="152"/>
        <v>38959</v>
      </c>
      <c r="B248" s="1">
        <v>242</v>
      </c>
      <c r="C248" s="3">
        <v>5.5709999999999997</v>
      </c>
      <c r="D248" s="3">
        <v>11.74</v>
      </c>
      <c r="E248" s="3">
        <v>4.2210000000000001</v>
      </c>
      <c r="F248" s="3">
        <v>106.6</v>
      </c>
      <c r="G248" s="3">
        <v>4.0940000000000003</v>
      </c>
      <c r="H248" s="3">
        <v>3.9169999999999998</v>
      </c>
      <c r="I248" s="3">
        <v>5.4379999999999997</v>
      </c>
      <c r="J248" s="3">
        <v>8.43</v>
      </c>
      <c r="K248" s="3">
        <v>9.7799999999999994</v>
      </c>
      <c r="L248" s="3">
        <v>8.9499999999999993</v>
      </c>
      <c r="M248" s="3">
        <v>1.367</v>
      </c>
      <c r="N248" s="3">
        <v>9</v>
      </c>
      <c r="O248" s="3">
        <v>8.5299999999999994</v>
      </c>
      <c r="P248" s="3">
        <v>1741</v>
      </c>
      <c r="Q248" s="3">
        <v>110.9</v>
      </c>
      <c r="R248" s="3">
        <v>2317</v>
      </c>
      <c r="S248" s="3">
        <v>11.22</v>
      </c>
      <c r="T248" s="3">
        <v>10.77</v>
      </c>
      <c r="U248" s="3">
        <v>10.119999999999999</v>
      </c>
      <c r="V248" s="3">
        <v>9.67</v>
      </c>
      <c r="W248" s="3">
        <v>10.43</v>
      </c>
      <c r="X248" s="3">
        <v>9.43</v>
      </c>
      <c r="Y248" s="3">
        <v>3.7719999999999998</v>
      </c>
      <c r="Z248" s="3">
        <v>1517</v>
      </c>
      <c r="AA248" s="3">
        <v>-0.61899999999999999</v>
      </c>
      <c r="AB248" s="3">
        <v>2308</v>
      </c>
      <c r="AC248" s="3">
        <v>86.7</v>
      </c>
      <c r="AD248" s="3">
        <v>35</v>
      </c>
      <c r="AE248" s="3">
        <v>-1.4390000000000001</v>
      </c>
      <c r="AF248" s="3">
        <v>-1.782</v>
      </c>
      <c r="AG248" s="3">
        <v>0.79900000000000004</v>
      </c>
      <c r="AH248" s="3">
        <v>6.6479999999999997</v>
      </c>
      <c r="AI248" s="3">
        <v>8.93</v>
      </c>
      <c r="AJ248" s="3">
        <v>8.48</v>
      </c>
      <c r="AK248" s="3">
        <v>2.4E-2</v>
      </c>
      <c r="AL248" s="3">
        <v>0.115</v>
      </c>
      <c r="AM248" s="3">
        <v>6.9000000000000006E-2</v>
      </c>
      <c r="AN248" s="3">
        <v>1.9E-2</v>
      </c>
      <c r="AO248" s="3">
        <v>0.20100000000000001</v>
      </c>
      <c r="AP248" s="3">
        <v>0.36699999999999999</v>
      </c>
      <c r="AQ248" s="3">
        <v>0.16200000000000001</v>
      </c>
      <c r="AR248" s="3">
        <v>4.3999999999999997E-2</v>
      </c>
      <c r="AS248" s="3">
        <v>3509</v>
      </c>
      <c r="AT248" s="3">
        <v>3507</v>
      </c>
      <c r="AU248" s="3">
        <v>3508</v>
      </c>
      <c r="AV248" s="3">
        <v>4.7869999999999999</v>
      </c>
      <c r="AW248" s="3">
        <v>4.4930000000000003</v>
      </c>
      <c r="AX248" s="3">
        <v>8.33</v>
      </c>
      <c r="AY248" s="3">
        <v>8.73</v>
      </c>
      <c r="AZ248" s="3">
        <v>-0.84199999999999997</v>
      </c>
      <c r="BA248" s="3">
        <v>-1.1559999999999999</v>
      </c>
      <c r="BB248" s="3">
        <v>13.05</v>
      </c>
      <c r="BC248" s="3">
        <v>2876</v>
      </c>
      <c r="BG248" s="16">
        <v>23.19</v>
      </c>
      <c r="BH248" s="16">
        <f t="shared" si="121"/>
        <v>46.843800000000002</v>
      </c>
      <c r="BI248" s="17">
        <f t="shared" si="154"/>
        <v>5.46</v>
      </c>
      <c r="BJ248" s="17">
        <f t="shared" si="155"/>
        <v>12.91</v>
      </c>
      <c r="BL248" s="1">
        <f t="shared" si="122"/>
        <v>99.6</v>
      </c>
      <c r="BM248" s="1">
        <f t="shared" si="123"/>
        <v>92.8</v>
      </c>
      <c r="BN248" s="1">
        <f t="shared" si="124"/>
        <v>69.3</v>
      </c>
      <c r="BO248" s="49">
        <f t="shared" si="130"/>
        <v>0.77</v>
      </c>
      <c r="BP248" s="49">
        <f t="shared" si="131"/>
        <v>0.34100000000000003</v>
      </c>
      <c r="BR248" s="3">
        <v>13.6</v>
      </c>
      <c r="BT248" s="16">
        <f t="shared" si="125"/>
        <v>5.46</v>
      </c>
      <c r="BU248" s="16">
        <f t="shared" si="126"/>
        <v>12.91</v>
      </c>
      <c r="BV248" s="3">
        <f t="shared" si="127"/>
        <v>4.2</v>
      </c>
      <c r="BW248" s="3">
        <f t="shared" si="153"/>
        <v>4.0999999999999996</v>
      </c>
      <c r="BX248" s="3">
        <f t="shared" si="153"/>
        <v>3.9</v>
      </c>
      <c r="BY248" s="3">
        <f t="shared" si="153"/>
        <v>5.4</v>
      </c>
      <c r="BZ248" s="3">
        <f t="shared" si="153"/>
        <v>8.4</v>
      </c>
      <c r="CA248" s="3">
        <f t="shared" si="153"/>
        <v>9.8000000000000007</v>
      </c>
      <c r="CB248" s="3">
        <f t="shared" si="153"/>
        <v>9</v>
      </c>
      <c r="CC248" s="22">
        <f t="shared" si="128"/>
        <v>92.8</v>
      </c>
      <c r="CD248" s="1">
        <f t="shared" si="132"/>
        <v>8.5</v>
      </c>
      <c r="CE248" s="1">
        <f t="shared" si="133"/>
        <v>11.2</v>
      </c>
      <c r="CF248" s="1">
        <f t="shared" si="134"/>
        <v>10.8</v>
      </c>
      <c r="CG248" s="1">
        <f t="shared" si="135"/>
        <v>10.1</v>
      </c>
      <c r="CH248" s="1">
        <f t="shared" si="136"/>
        <v>9.6999999999999993</v>
      </c>
      <c r="CI248" s="1">
        <f t="shared" si="137"/>
        <v>10.4</v>
      </c>
      <c r="CJ248" s="1">
        <f t="shared" si="138"/>
        <v>9.4</v>
      </c>
      <c r="CK248" s="2">
        <f t="shared" si="129"/>
        <v>99.6</v>
      </c>
      <c r="CL248" s="1">
        <f t="shared" si="139"/>
        <v>-0.6</v>
      </c>
      <c r="CM248" s="1">
        <f t="shared" si="140"/>
        <v>-1.4</v>
      </c>
      <c r="CN248" s="1">
        <f t="shared" si="141"/>
        <v>-1.8</v>
      </c>
      <c r="CO248" s="1">
        <f t="shared" si="142"/>
        <v>0.8</v>
      </c>
      <c r="CP248" s="1">
        <f t="shared" si="143"/>
        <v>6.6</v>
      </c>
      <c r="CQ248" s="1">
        <f t="shared" si="144"/>
        <v>8.9</v>
      </c>
      <c r="CR248" s="1">
        <f t="shared" si="145"/>
        <v>8.5</v>
      </c>
      <c r="CS248" s="2">
        <f t="shared" si="146"/>
        <v>69.3</v>
      </c>
      <c r="CT248" s="6">
        <f t="shared" si="147"/>
        <v>0</v>
      </c>
      <c r="CU248" s="1">
        <f>PPTest!K248</f>
        <v>9</v>
      </c>
      <c r="CV248" s="3">
        <f t="shared" si="148"/>
        <v>1.37</v>
      </c>
      <c r="CW248" s="3">
        <f t="shared" si="149"/>
        <v>3.77</v>
      </c>
      <c r="CX248" s="24">
        <f t="shared" si="150"/>
        <v>0.77</v>
      </c>
      <c r="CY248" s="24">
        <f t="shared" si="150"/>
        <v>0.34100000000000003</v>
      </c>
      <c r="CZ248" s="16">
        <f t="shared" si="151"/>
        <v>13.05</v>
      </c>
    </row>
    <row r="249" spans="1:104" x14ac:dyDescent="0.2">
      <c r="A249" s="14">
        <f t="shared" si="152"/>
        <v>38960</v>
      </c>
      <c r="B249" s="1">
        <v>243</v>
      </c>
      <c r="C249" s="3">
        <v>20.77</v>
      </c>
      <c r="D249" s="3">
        <v>37.85</v>
      </c>
      <c r="E249" s="3">
        <v>4.173</v>
      </c>
      <c r="F249" s="3">
        <v>89.8</v>
      </c>
      <c r="G249" s="3">
        <v>4.0979999999999999</v>
      </c>
      <c r="H249" s="3">
        <v>3.9710000000000001</v>
      </c>
      <c r="I249" s="3">
        <v>4.1210000000000004</v>
      </c>
      <c r="J249" s="3">
        <v>7.64</v>
      </c>
      <c r="K249" s="3">
        <v>8.82</v>
      </c>
      <c r="L249" s="3">
        <v>8.8699999999999992</v>
      </c>
      <c r="M249" s="3">
        <v>1.304</v>
      </c>
      <c r="N249" s="3">
        <v>0</v>
      </c>
      <c r="O249" s="3">
        <v>12.77</v>
      </c>
      <c r="P249" s="3">
        <v>1623</v>
      </c>
      <c r="Q249" s="3">
        <v>111</v>
      </c>
      <c r="R249" s="3">
        <v>544</v>
      </c>
      <c r="S249" s="3">
        <v>15.93</v>
      </c>
      <c r="T249" s="3">
        <v>16.91</v>
      </c>
      <c r="U249" s="3">
        <v>12.68</v>
      </c>
      <c r="V249" s="3">
        <v>11.07</v>
      </c>
      <c r="W249" s="3">
        <v>9.41</v>
      </c>
      <c r="X249" s="3">
        <v>9.48</v>
      </c>
      <c r="Y249" s="3">
        <v>3.5329999999999999</v>
      </c>
      <c r="Z249" s="3">
        <v>1514</v>
      </c>
      <c r="AA249" s="3">
        <v>-2.23</v>
      </c>
      <c r="AB249" s="3">
        <v>542</v>
      </c>
      <c r="AC249" s="3">
        <v>44.4</v>
      </c>
      <c r="AD249" s="3">
        <v>1538</v>
      </c>
      <c r="AE249" s="3">
        <v>-3.3079999999999998</v>
      </c>
      <c r="AF249" s="3">
        <v>-3.96</v>
      </c>
      <c r="AG249" s="3">
        <v>-1.881</v>
      </c>
      <c r="AH249" s="3">
        <v>5.4009999999999998</v>
      </c>
      <c r="AI249" s="3">
        <v>7.99</v>
      </c>
      <c r="AJ249" s="3">
        <v>8.17</v>
      </c>
      <c r="AK249" s="3">
        <v>6.5000000000000002E-2</v>
      </c>
      <c r="AL249" s="3">
        <v>0.34899999999999998</v>
      </c>
      <c r="AM249" s="3">
        <v>0.17399999999999999</v>
      </c>
      <c r="AN249" s="3">
        <v>0.02</v>
      </c>
      <c r="AO249" s="3">
        <v>9.9000000000000005E-2</v>
      </c>
      <c r="AP249" s="3">
        <v>0.112</v>
      </c>
      <c r="AQ249" s="3">
        <v>9.5000000000000001E-2</v>
      </c>
      <c r="AR249" s="3">
        <v>8.5000000000000006E-2</v>
      </c>
      <c r="AS249" s="3">
        <v>3508</v>
      </c>
      <c r="AT249" s="3">
        <v>3482</v>
      </c>
      <c r="AU249" s="3">
        <v>3498</v>
      </c>
      <c r="AV249" s="3">
        <v>4.1349999999999998</v>
      </c>
      <c r="AW249" s="3">
        <v>4.0369999999999999</v>
      </c>
      <c r="AX249" s="3">
        <v>15.13</v>
      </c>
      <c r="AY249" s="3">
        <v>15.75</v>
      </c>
      <c r="AZ249" s="3">
        <v>-3.5830000000000002</v>
      </c>
      <c r="BA249" s="3">
        <v>-3.8919999999999999</v>
      </c>
      <c r="BB249" s="3">
        <v>13.05</v>
      </c>
      <c r="BC249" s="3">
        <v>2876</v>
      </c>
      <c r="BG249" s="16">
        <v>22.94</v>
      </c>
      <c r="BH249" s="16">
        <f t="shared" si="121"/>
        <v>46.338800000000006</v>
      </c>
      <c r="BI249" s="17">
        <f t="shared" si="154"/>
        <v>20.350000000000001</v>
      </c>
      <c r="BJ249" s="17">
        <f t="shared" si="155"/>
        <v>41.64</v>
      </c>
      <c r="BL249" s="1">
        <f t="shared" si="122"/>
        <v>99.8</v>
      </c>
      <c r="BM249" s="1">
        <f t="shared" si="123"/>
        <v>72</v>
      </c>
      <c r="BN249" s="1">
        <f t="shared" si="124"/>
        <v>32.1</v>
      </c>
      <c r="BO249" s="49">
        <f t="shared" si="130"/>
        <v>0.47299999999999998</v>
      </c>
      <c r="BP249" s="49">
        <f t="shared" si="131"/>
        <v>1.0009999999999999</v>
      </c>
      <c r="BR249" s="3">
        <v>0.2</v>
      </c>
      <c r="BT249" s="16">
        <f t="shared" si="125"/>
        <v>20.350000000000001</v>
      </c>
      <c r="BU249" s="16">
        <f t="shared" si="126"/>
        <v>41.64</v>
      </c>
      <c r="BV249" s="3">
        <f t="shared" si="127"/>
        <v>4.2</v>
      </c>
      <c r="BW249" s="3">
        <f t="shared" si="153"/>
        <v>4.0999999999999996</v>
      </c>
      <c r="BX249" s="3">
        <f t="shared" si="153"/>
        <v>4</v>
      </c>
      <c r="BY249" s="3">
        <f t="shared" si="153"/>
        <v>4.0999999999999996</v>
      </c>
      <c r="BZ249" s="3">
        <f t="shared" si="153"/>
        <v>7.6</v>
      </c>
      <c r="CA249" s="3">
        <f t="shared" si="153"/>
        <v>8.8000000000000007</v>
      </c>
      <c r="CB249" s="3">
        <f t="shared" si="153"/>
        <v>8.9</v>
      </c>
      <c r="CC249" s="22">
        <f t="shared" si="128"/>
        <v>72</v>
      </c>
      <c r="CD249" s="1">
        <f t="shared" si="132"/>
        <v>12.8</v>
      </c>
      <c r="CE249" s="1">
        <f t="shared" si="133"/>
        <v>15.9</v>
      </c>
      <c r="CF249" s="1">
        <f t="shared" si="134"/>
        <v>16.899999999999999</v>
      </c>
      <c r="CG249" s="1">
        <f t="shared" si="135"/>
        <v>12.7</v>
      </c>
      <c r="CH249" s="1">
        <f t="shared" si="136"/>
        <v>11.1</v>
      </c>
      <c r="CI249" s="1">
        <f t="shared" si="137"/>
        <v>9.4</v>
      </c>
      <c r="CJ249" s="1">
        <f t="shared" si="138"/>
        <v>9.5</v>
      </c>
      <c r="CK249" s="2">
        <f t="shared" si="129"/>
        <v>99.8</v>
      </c>
      <c r="CL249" s="1">
        <f t="shared" si="139"/>
        <v>-2.2000000000000002</v>
      </c>
      <c r="CM249" s="1">
        <f t="shared" si="140"/>
        <v>-3.3</v>
      </c>
      <c r="CN249" s="1">
        <f t="shared" si="141"/>
        <v>-4</v>
      </c>
      <c r="CO249" s="1">
        <f t="shared" si="142"/>
        <v>-1.9</v>
      </c>
      <c r="CP249" s="1">
        <f t="shared" si="143"/>
        <v>5.4</v>
      </c>
      <c r="CQ249" s="1">
        <f t="shared" si="144"/>
        <v>8</v>
      </c>
      <c r="CR249" s="1">
        <f t="shared" si="145"/>
        <v>8.1999999999999993</v>
      </c>
      <c r="CS249" s="2">
        <f t="shared" si="146"/>
        <v>32.1</v>
      </c>
      <c r="CT249" s="6">
        <f t="shared" si="147"/>
        <v>0</v>
      </c>
      <c r="CU249" s="1">
        <f>PPTest!K249</f>
        <v>0</v>
      </c>
      <c r="CV249" s="3">
        <f t="shared" si="148"/>
        <v>1.3</v>
      </c>
      <c r="CW249" s="3">
        <f t="shared" si="149"/>
        <v>3.53</v>
      </c>
      <c r="CX249" s="24">
        <f t="shared" si="150"/>
        <v>0.47299999999999998</v>
      </c>
      <c r="CY249" s="24">
        <f t="shared" si="150"/>
        <v>1.0009999999999999</v>
      </c>
      <c r="CZ249" s="16">
        <f t="shared" si="151"/>
        <v>13.05</v>
      </c>
    </row>
    <row r="250" spans="1:104" x14ac:dyDescent="0.2">
      <c r="A250" s="14">
        <f t="shared" si="152"/>
        <v>38961</v>
      </c>
      <c r="B250" s="1">
        <v>244</v>
      </c>
      <c r="C250" s="3">
        <v>23.02</v>
      </c>
      <c r="D250" s="3">
        <v>41.93</v>
      </c>
      <c r="E250" s="3">
        <v>7.54</v>
      </c>
      <c r="F250" s="3">
        <v>81.400000000000006</v>
      </c>
      <c r="G250" s="3">
        <v>7.57</v>
      </c>
      <c r="H250" s="3">
        <v>7.47</v>
      </c>
      <c r="I250" s="3">
        <v>6.2229999999999999</v>
      </c>
      <c r="J250" s="3">
        <v>8.3800000000000008</v>
      </c>
      <c r="K250" s="3">
        <v>8.5500000000000007</v>
      </c>
      <c r="L250" s="3">
        <v>8.76</v>
      </c>
      <c r="M250" s="3">
        <v>1.7070000000000001</v>
      </c>
      <c r="N250" s="3">
        <v>0</v>
      </c>
      <c r="O250" s="3">
        <v>17.29</v>
      </c>
      <c r="P250" s="3">
        <v>1655</v>
      </c>
      <c r="Q250" s="3">
        <v>110.1</v>
      </c>
      <c r="R250" s="3">
        <v>422</v>
      </c>
      <c r="S250" s="3">
        <v>21.51</v>
      </c>
      <c r="T250" s="3">
        <v>22.11</v>
      </c>
      <c r="U250" s="3">
        <v>16.77</v>
      </c>
      <c r="V250" s="3">
        <v>12.63</v>
      </c>
      <c r="W250" s="3">
        <v>9.11</v>
      </c>
      <c r="X250" s="3">
        <v>9.52</v>
      </c>
      <c r="Y250" s="3">
        <v>3.8250000000000002</v>
      </c>
      <c r="Z250" s="3">
        <v>1139</v>
      </c>
      <c r="AA250" s="3">
        <v>-2.4460000000000002</v>
      </c>
      <c r="AB250" s="3">
        <v>456</v>
      </c>
      <c r="AC250" s="3">
        <v>42.94</v>
      </c>
      <c r="AD250" s="3">
        <v>1037</v>
      </c>
      <c r="AE250" s="3">
        <v>-3.2120000000000002</v>
      </c>
      <c r="AF250" s="3">
        <v>-3.2650000000000001</v>
      </c>
      <c r="AG250" s="3">
        <v>-1.1930000000000001</v>
      </c>
      <c r="AH250" s="3">
        <v>4.79</v>
      </c>
      <c r="AI250" s="3">
        <v>7.86</v>
      </c>
      <c r="AJ250" s="3">
        <v>8.0500000000000007</v>
      </c>
      <c r="AK250" s="3">
        <v>7.3999999999999996E-2</v>
      </c>
      <c r="AL250" s="3">
        <v>0.28399999999999997</v>
      </c>
      <c r="AM250" s="3">
        <v>0.32600000000000001</v>
      </c>
      <c r="AN250" s="3">
        <v>2.1000000000000001E-2</v>
      </c>
      <c r="AO250" s="3">
        <v>0.09</v>
      </c>
      <c r="AP250" s="3">
        <v>9.1999999999999998E-2</v>
      </c>
      <c r="AQ250" s="3">
        <v>4.7E-2</v>
      </c>
      <c r="AR250" s="3">
        <v>6.6000000000000003E-2</v>
      </c>
      <c r="AS250" s="3">
        <v>3502</v>
      </c>
      <c r="AT250" s="3">
        <v>3420</v>
      </c>
      <c r="AU250" s="3">
        <v>3479</v>
      </c>
      <c r="AV250" s="3">
        <v>7.37</v>
      </c>
      <c r="AW250" s="3">
        <v>7.41</v>
      </c>
      <c r="AX250" s="3">
        <v>21.29</v>
      </c>
      <c r="AY250" s="3">
        <v>21.49</v>
      </c>
      <c r="AZ250" s="3">
        <v>-3.2549999999999999</v>
      </c>
      <c r="BA250" s="3">
        <v>-3.4340000000000002</v>
      </c>
      <c r="BB250" s="3">
        <v>12.98</v>
      </c>
      <c r="BC250" s="3">
        <v>2876</v>
      </c>
      <c r="BG250" s="16">
        <v>22.69</v>
      </c>
      <c r="BH250" s="16">
        <f t="shared" si="121"/>
        <v>45.833800000000004</v>
      </c>
      <c r="BI250" s="17">
        <f t="shared" si="154"/>
        <v>22.56</v>
      </c>
      <c r="BJ250" s="17">
        <f t="shared" si="155"/>
        <v>46.12</v>
      </c>
      <c r="BL250" s="1">
        <f t="shared" si="122"/>
        <v>98.4</v>
      </c>
      <c r="BM250" s="1">
        <f t="shared" si="123"/>
        <v>64.599999999999994</v>
      </c>
      <c r="BN250" s="1">
        <f t="shared" si="124"/>
        <v>30.8</v>
      </c>
      <c r="BO250" s="49">
        <f t="shared" si="130"/>
        <v>0.60799999999999998</v>
      </c>
      <c r="BP250" s="49">
        <f t="shared" si="131"/>
        <v>1.3660000000000001</v>
      </c>
      <c r="BR250" s="3">
        <v>0</v>
      </c>
      <c r="BT250" s="16">
        <f t="shared" si="125"/>
        <v>22.56</v>
      </c>
      <c r="BU250" s="16">
        <f t="shared" si="126"/>
        <v>46.12</v>
      </c>
      <c r="BV250" s="3">
        <f t="shared" si="127"/>
        <v>7.5</v>
      </c>
      <c r="BW250" s="3">
        <f t="shared" si="153"/>
        <v>7.6</v>
      </c>
      <c r="BX250" s="3">
        <f t="shared" si="153"/>
        <v>7.5</v>
      </c>
      <c r="BY250" s="3">
        <f t="shared" si="153"/>
        <v>6.2</v>
      </c>
      <c r="BZ250" s="3">
        <f t="shared" si="153"/>
        <v>8.4</v>
      </c>
      <c r="CA250" s="3">
        <f t="shared" si="153"/>
        <v>8.6</v>
      </c>
      <c r="CB250" s="3">
        <f t="shared" si="153"/>
        <v>8.8000000000000007</v>
      </c>
      <c r="CC250" s="22">
        <f t="shared" si="128"/>
        <v>64.599999999999994</v>
      </c>
      <c r="CD250" s="1">
        <f t="shared" si="132"/>
        <v>17.3</v>
      </c>
      <c r="CE250" s="1">
        <f t="shared" si="133"/>
        <v>21.5</v>
      </c>
      <c r="CF250" s="1">
        <f t="shared" si="134"/>
        <v>22.1</v>
      </c>
      <c r="CG250" s="1">
        <f t="shared" si="135"/>
        <v>16.8</v>
      </c>
      <c r="CH250" s="1">
        <f t="shared" si="136"/>
        <v>12.6</v>
      </c>
      <c r="CI250" s="1">
        <f t="shared" si="137"/>
        <v>9.1</v>
      </c>
      <c r="CJ250" s="1">
        <f t="shared" si="138"/>
        <v>9.5</v>
      </c>
      <c r="CK250" s="2">
        <f t="shared" si="129"/>
        <v>98.4</v>
      </c>
      <c r="CL250" s="1">
        <f t="shared" si="139"/>
        <v>-2.4</v>
      </c>
      <c r="CM250" s="1">
        <f t="shared" si="140"/>
        <v>-3.2</v>
      </c>
      <c r="CN250" s="1">
        <f t="shared" si="141"/>
        <v>-3.3</v>
      </c>
      <c r="CO250" s="1">
        <f t="shared" si="142"/>
        <v>-1.2</v>
      </c>
      <c r="CP250" s="1">
        <f t="shared" si="143"/>
        <v>4.8</v>
      </c>
      <c r="CQ250" s="1">
        <f t="shared" si="144"/>
        <v>7.9</v>
      </c>
      <c r="CR250" s="1">
        <f t="shared" si="145"/>
        <v>8.1</v>
      </c>
      <c r="CS250" s="2">
        <f t="shared" si="146"/>
        <v>30.8</v>
      </c>
      <c r="CT250" s="6">
        <f t="shared" si="147"/>
        <v>0</v>
      </c>
      <c r="CU250" s="1">
        <f>PPTest!K250</f>
        <v>0</v>
      </c>
      <c r="CV250" s="3">
        <f t="shared" si="148"/>
        <v>1.71</v>
      </c>
      <c r="CW250" s="3">
        <f t="shared" si="149"/>
        <v>3.83</v>
      </c>
      <c r="CX250" s="24">
        <f t="shared" si="150"/>
        <v>0.60799999999999998</v>
      </c>
      <c r="CY250" s="24">
        <f t="shared" si="150"/>
        <v>1.3660000000000001</v>
      </c>
      <c r="CZ250" s="16">
        <f t="shared" si="151"/>
        <v>12.98</v>
      </c>
    </row>
    <row r="251" spans="1:104" x14ac:dyDescent="0.2">
      <c r="A251" s="14">
        <f t="shared" si="152"/>
        <v>38962</v>
      </c>
      <c r="B251" s="1">
        <v>245</v>
      </c>
      <c r="C251" s="3">
        <v>23.24</v>
      </c>
      <c r="D251" s="3">
        <v>41.14</v>
      </c>
      <c r="E251" s="3">
        <v>11.91</v>
      </c>
      <c r="F251" s="3">
        <v>72.400000000000006</v>
      </c>
      <c r="G251" s="3">
        <v>11.67</v>
      </c>
      <c r="H251" s="3">
        <v>11.51</v>
      </c>
      <c r="I251" s="3">
        <v>8.6199999999999992</v>
      </c>
      <c r="J251" s="3">
        <v>9.91</v>
      </c>
      <c r="K251" s="3">
        <v>8.92</v>
      </c>
      <c r="L251" s="3">
        <v>8.56</v>
      </c>
      <c r="M251" s="3">
        <v>1.718</v>
      </c>
      <c r="N251" s="3">
        <v>0</v>
      </c>
      <c r="O251" s="3">
        <v>23.25</v>
      </c>
      <c r="P251" s="3">
        <v>1530</v>
      </c>
      <c r="Q251" s="3">
        <v>109.2</v>
      </c>
      <c r="R251" s="3">
        <v>356</v>
      </c>
      <c r="S251" s="3">
        <v>25.92</v>
      </c>
      <c r="T251" s="3">
        <v>27.74</v>
      </c>
      <c r="U251" s="3">
        <v>21.04</v>
      </c>
      <c r="V251" s="3">
        <v>14.33</v>
      </c>
      <c r="W251" s="3">
        <v>9.49</v>
      </c>
      <c r="X251" s="3">
        <v>9.3699999999999992</v>
      </c>
      <c r="Y251" s="3">
        <v>3.5859999999999999</v>
      </c>
      <c r="Z251" s="3">
        <v>1234</v>
      </c>
      <c r="AA251" s="3">
        <v>1.9850000000000001</v>
      </c>
      <c r="AB251" s="3">
        <v>155</v>
      </c>
      <c r="AC251" s="3">
        <v>22.52</v>
      </c>
      <c r="AD251" s="3">
        <v>1231</v>
      </c>
      <c r="AE251" s="3">
        <v>-1.6E-2</v>
      </c>
      <c r="AF251" s="3">
        <v>-0.35699999999999998</v>
      </c>
      <c r="AG251" s="3">
        <v>0.76800000000000002</v>
      </c>
      <c r="AH251" s="3">
        <v>6.3179999999999996</v>
      </c>
      <c r="AI251" s="3">
        <v>8.17</v>
      </c>
      <c r="AJ251" s="3">
        <v>7.79</v>
      </c>
      <c r="AK251" s="3">
        <v>4.9000000000000002E-2</v>
      </c>
      <c r="AL251" s="3">
        <v>0.29399999999999998</v>
      </c>
      <c r="AM251" s="3">
        <v>0.29199999999999998</v>
      </c>
      <c r="AN251" s="3">
        <v>2.1999999999999999E-2</v>
      </c>
      <c r="AO251" s="3">
        <v>8.6999999999999994E-2</v>
      </c>
      <c r="AP251" s="3">
        <v>0.107</v>
      </c>
      <c r="AQ251" s="3">
        <v>9.9000000000000005E-2</v>
      </c>
      <c r="AR251" s="3">
        <v>0.05</v>
      </c>
      <c r="AS251" s="3">
        <v>3518</v>
      </c>
      <c r="AT251" s="3">
        <v>3487</v>
      </c>
      <c r="AU251" s="3">
        <v>3507</v>
      </c>
      <c r="AV251" s="3">
        <v>11.27</v>
      </c>
      <c r="AW251" s="3">
        <v>11.23</v>
      </c>
      <c r="AX251" s="3">
        <v>26.73</v>
      </c>
      <c r="AY251" s="3">
        <v>27.03</v>
      </c>
      <c r="AZ251" s="3">
        <v>0.437</v>
      </c>
      <c r="BA251" s="3">
        <v>0.17599999999999999</v>
      </c>
      <c r="BB251" s="3">
        <v>12.89</v>
      </c>
      <c r="BC251" s="3">
        <v>2876</v>
      </c>
      <c r="BG251" s="16">
        <v>22.45</v>
      </c>
      <c r="BH251" s="16">
        <f t="shared" si="121"/>
        <v>45.348999999999997</v>
      </c>
      <c r="BI251" s="17">
        <f t="shared" si="154"/>
        <v>22.78</v>
      </c>
      <c r="BJ251" s="17">
        <f t="shared" si="155"/>
        <v>45.25</v>
      </c>
      <c r="BL251" s="1">
        <f t="shared" si="122"/>
        <v>96.9</v>
      </c>
      <c r="BM251" s="1">
        <f t="shared" si="123"/>
        <v>56.7</v>
      </c>
      <c r="BN251" s="1">
        <f t="shared" si="124"/>
        <v>12.8</v>
      </c>
      <c r="BO251" s="49">
        <f t="shared" si="130"/>
        <v>0.36499999999999999</v>
      </c>
      <c r="BP251" s="49">
        <f t="shared" si="131"/>
        <v>2.4870000000000001</v>
      </c>
      <c r="BR251" s="3">
        <v>0</v>
      </c>
      <c r="BT251" s="16">
        <f t="shared" si="125"/>
        <v>22.78</v>
      </c>
      <c r="BU251" s="16">
        <f t="shared" si="126"/>
        <v>45.25</v>
      </c>
      <c r="BV251" s="3">
        <f t="shared" si="127"/>
        <v>11.9</v>
      </c>
      <c r="BW251" s="3">
        <f t="shared" si="153"/>
        <v>11.7</v>
      </c>
      <c r="BX251" s="3">
        <f t="shared" si="153"/>
        <v>11.5</v>
      </c>
      <c r="BY251" s="3">
        <f t="shared" si="153"/>
        <v>8.6</v>
      </c>
      <c r="BZ251" s="3">
        <f t="shared" si="153"/>
        <v>9.9</v>
      </c>
      <c r="CA251" s="3">
        <f t="shared" si="153"/>
        <v>8.9</v>
      </c>
      <c r="CB251" s="3">
        <f t="shared" si="153"/>
        <v>8.6</v>
      </c>
      <c r="CC251" s="22">
        <f t="shared" si="128"/>
        <v>56.7</v>
      </c>
      <c r="CD251" s="1">
        <f t="shared" si="132"/>
        <v>23.3</v>
      </c>
      <c r="CE251" s="1">
        <f t="shared" si="133"/>
        <v>25.9</v>
      </c>
      <c r="CF251" s="1">
        <f t="shared" si="134"/>
        <v>27.7</v>
      </c>
      <c r="CG251" s="1">
        <f t="shared" si="135"/>
        <v>21</v>
      </c>
      <c r="CH251" s="1">
        <f t="shared" si="136"/>
        <v>14.3</v>
      </c>
      <c r="CI251" s="1">
        <f t="shared" si="137"/>
        <v>9.5</v>
      </c>
      <c r="CJ251" s="1">
        <f t="shared" si="138"/>
        <v>9.4</v>
      </c>
      <c r="CK251" s="2">
        <f t="shared" si="129"/>
        <v>96.9</v>
      </c>
      <c r="CL251" s="1">
        <f t="shared" si="139"/>
        <v>2</v>
      </c>
      <c r="CM251" s="1">
        <f t="shared" si="140"/>
        <v>0</v>
      </c>
      <c r="CN251" s="1">
        <f t="shared" si="141"/>
        <v>-0.4</v>
      </c>
      <c r="CO251" s="1">
        <f t="shared" si="142"/>
        <v>0.8</v>
      </c>
      <c r="CP251" s="1">
        <f t="shared" si="143"/>
        <v>6.3</v>
      </c>
      <c r="CQ251" s="1">
        <f t="shared" si="144"/>
        <v>8.1999999999999993</v>
      </c>
      <c r="CR251" s="1">
        <f t="shared" si="145"/>
        <v>7.8</v>
      </c>
      <c r="CS251" s="2">
        <f t="shared" si="146"/>
        <v>12.8</v>
      </c>
      <c r="CT251" s="6">
        <f t="shared" si="147"/>
        <v>0</v>
      </c>
      <c r="CU251" s="1">
        <f>PPTest!K251</f>
        <v>0</v>
      </c>
      <c r="CV251" s="3">
        <f t="shared" si="148"/>
        <v>1.72</v>
      </c>
      <c r="CW251" s="3">
        <f t="shared" si="149"/>
        <v>3.59</v>
      </c>
      <c r="CX251" s="24">
        <f t="shared" si="150"/>
        <v>0.36499999999999999</v>
      </c>
      <c r="CY251" s="24">
        <f t="shared" si="150"/>
        <v>2.4870000000000001</v>
      </c>
      <c r="CZ251" s="16">
        <f t="shared" si="151"/>
        <v>12.89</v>
      </c>
    </row>
    <row r="252" spans="1:104" x14ac:dyDescent="0.2">
      <c r="A252" s="14">
        <f t="shared" si="152"/>
        <v>38963</v>
      </c>
      <c r="B252" s="1">
        <v>246</v>
      </c>
      <c r="C252" s="3">
        <v>21.11</v>
      </c>
      <c r="D252" s="3">
        <v>37.19</v>
      </c>
      <c r="E252" s="3">
        <v>13.77</v>
      </c>
      <c r="F252" s="3">
        <v>68.400000000000006</v>
      </c>
      <c r="G252" s="3">
        <v>13.62</v>
      </c>
      <c r="H252" s="3">
        <v>13.47</v>
      </c>
      <c r="I252" s="3">
        <v>10.39</v>
      </c>
      <c r="J252" s="3">
        <v>10.7</v>
      </c>
      <c r="K252" s="3">
        <v>9.4600000000000009</v>
      </c>
      <c r="L252" s="3">
        <v>8.52</v>
      </c>
      <c r="M252" s="3">
        <v>1.94</v>
      </c>
      <c r="N252" s="3">
        <v>0</v>
      </c>
      <c r="O252" s="3">
        <v>25.94</v>
      </c>
      <c r="P252" s="3">
        <v>1408</v>
      </c>
      <c r="Q252" s="3">
        <v>106</v>
      </c>
      <c r="R252" s="3">
        <v>417</v>
      </c>
      <c r="S252" s="3">
        <v>29.42</v>
      </c>
      <c r="T252" s="3">
        <v>30.33</v>
      </c>
      <c r="U252" s="3">
        <v>23.74</v>
      </c>
      <c r="V252" s="3">
        <v>14.88</v>
      </c>
      <c r="W252" s="3">
        <v>10.15</v>
      </c>
      <c r="X252" s="3">
        <v>9.4700000000000006</v>
      </c>
      <c r="Y252" s="3">
        <v>3.4129999999999998</v>
      </c>
      <c r="Z252" s="3">
        <v>1338</v>
      </c>
      <c r="AA252" s="3">
        <v>1.845</v>
      </c>
      <c r="AB252" s="3">
        <v>504</v>
      </c>
      <c r="AC252" s="3">
        <v>24.11</v>
      </c>
      <c r="AD252" s="3">
        <v>1405</v>
      </c>
      <c r="AE252" s="3">
        <v>0.90400000000000003</v>
      </c>
      <c r="AF252" s="3">
        <v>0.753</v>
      </c>
      <c r="AG252" s="3">
        <v>1.5669999999999999</v>
      </c>
      <c r="AH252" s="3">
        <v>6.9539999999999997</v>
      </c>
      <c r="AI252" s="3">
        <v>8.52</v>
      </c>
      <c r="AJ252" s="3">
        <v>7.45</v>
      </c>
      <c r="AK252" s="3">
        <v>7.8E-2</v>
      </c>
      <c r="AL252" s="3">
        <v>0.31</v>
      </c>
      <c r="AM252" s="3">
        <v>0.376</v>
      </c>
      <c r="AN252" s="3">
        <v>1.9E-2</v>
      </c>
      <c r="AO252" s="3">
        <v>6.5000000000000002E-2</v>
      </c>
      <c r="AP252" s="3">
        <v>8.7999999999999995E-2</v>
      </c>
      <c r="AQ252" s="3">
        <v>2.3E-2</v>
      </c>
      <c r="AR252" s="3">
        <v>4.1000000000000002E-2</v>
      </c>
      <c r="AS252" s="3">
        <v>3528</v>
      </c>
      <c r="AT252" s="3">
        <v>3483</v>
      </c>
      <c r="AU252" s="3">
        <v>3513</v>
      </c>
      <c r="AV252" s="3">
        <v>12.97</v>
      </c>
      <c r="AW252" s="3">
        <v>13.05</v>
      </c>
      <c r="AX252" s="3">
        <v>28.4</v>
      </c>
      <c r="AY252" s="3">
        <v>28.78</v>
      </c>
      <c r="AZ252" s="3">
        <v>0.76400000000000001</v>
      </c>
      <c r="BA252" s="3">
        <v>0.56599999999999995</v>
      </c>
      <c r="BB252" s="3">
        <v>12.85</v>
      </c>
      <c r="BC252" s="3">
        <v>2876</v>
      </c>
      <c r="BG252" s="16">
        <v>22.2</v>
      </c>
      <c r="BH252" s="16">
        <f t="shared" si="121"/>
        <v>44.844000000000001</v>
      </c>
      <c r="BI252" s="17">
        <f t="shared" si="154"/>
        <v>20.69</v>
      </c>
      <c r="BJ252" s="17">
        <f t="shared" si="155"/>
        <v>40.909999999999997</v>
      </c>
      <c r="BL252" s="1">
        <f t="shared" si="122"/>
        <v>91.8</v>
      </c>
      <c r="BM252" s="1">
        <f t="shared" si="123"/>
        <v>53.2</v>
      </c>
      <c r="BN252" s="1">
        <f t="shared" si="124"/>
        <v>14.2</v>
      </c>
      <c r="BO252" s="49">
        <f t="shared" si="130"/>
        <v>0.47599999999999998</v>
      </c>
      <c r="BP252" s="49">
        <f t="shared" si="131"/>
        <v>2.8759999999999999</v>
      </c>
      <c r="BR252" s="3">
        <v>0</v>
      </c>
      <c r="BT252" s="16">
        <f t="shared" si="125"/>
        <v>20.69</v>
      </c>
      <c r="BU252" s="16">
        <f t="shared" si="126"/>
        <v>40.909999999999997</v>
      </c>
      <c r="BV252" s="3">
        <f t="shared" si="127"/>
        <v>13.8</v>
      </c>
      <c r="BW252" s="3">
        <f t="shared" si="153"/>
        <v>13.6</v>
      </c>
      <c r="BX252" s="3">
        <f t="shared" si="153"/>
        <v>13.5</v>
      </c>
      <c r="BY252" s="3">
        <f t="shared" si="153"/>
        <v>10.4</v>
      </c>
      <c r="BZ252" s="3">
        <f t="shared" si="153"/>
        <v>10.7</v>
      </c>
      <c r="CA252" s="3">
        <f t="shared" si="153"/>
        <v>9.5</v>
      </c>
      <c r="CB252" s="3">
        <f t="shared" si="153"/>
        <v>8.5</v>
      </c>
      <c r="CC252" s="22">
        <f t="shared" si="128"/>
        <v>53.2</v>
      </c>
      <c r="CD252" s="1">
        <f t="shared" si="132"/>
        <v>25.9</v>
      </c>
      <c r="CE252" s="1">
        <f t="shared" si="133"/>
        <v>29.4</v>
      </c>
      <c r="CF252" s="1">
        <f t="shared" si="134"/>
        <v>30.3</v>
      </c>
      <c r="CG252" s="1">
        <f t="shared" si="135"/>
        <v>23.7</v>
      </c>
      <c r="CH252" s="1">
        <f t="shared" si="136"/>
        <v>14.9</v>
      </c>
      <c r="CI252" s="1">
        <f t="shared" si="137"/>
        <v>10.199999999999999</v>
      </c>
      <c r="CJ252" s="1">
        <f t="shared" si="138"/>
        <v>9.5</v>
      </c>
      <c r="CK252" s="2">
        <f t="shared" si="129"/>
        <v>91.8</v>
      </c>
      <c r="CL252" s="1">
        <f t="shared" si="139"/>
        <v>1.8</v>
      </c>
      <c r="CM252" s="1">
        <f t="shared" si="140"/>
        <v>0.9</v>
      </c>
      <c r="CN252" s="1">
        <f t="shared" si="141"/>
        <v>0.8</v>
      </c>
      <c r="CO252" s="1">
        <f t="shared" si="142"/>
        <v>1.6</v>
      </c>
      <c r="CP252" s="1">
        <f t="shared" si="143"/>
        <v>7</v>
      </c>
      <c r="CQ252" s="1">
        <f t="shared" si="144"/>
        <v>8.5</v>
      </c>
      <c r="CR252" s="1">
        <f t="shared" si="145"/>
        <v>7.5</v>
      </c>
      <c r="CS252" s="2">
        <f t="shared" si="146"/>
        <v>14.2</v>
      </c>
      <c r="CT252" s="6">
        <f t="shared" si="147"/>
        <v>0</v>
      </c>
      <c r="CU252" s="1">
        <f>PPTest!K252</f>
        <v>0</v>
      </c>
      <c r="CV252" s="3">
        <f t="shared" si="148"/>
        <v>1.94</v>
      </c>
      <c r="CW252" s="3">
        <f t="shared" si="149"/>
        <v>3.41</v>
      </c>
      <c r="CX252" s="24">
        <f t="shared" si="150"/>
        <v>0.47599999999999998</v>
      </c>
      <c r="CY252" s="24">
        <f t="shared" si="150"/>
        <v>2.8759999999999999</v>
      </c>
      <c r="CZ252" s="16">
        <f t="shared" si="151"/>
        <v>12.85</v>
      </c>
    </row>
    <row r="253" spans="1:104" x14ac:dyDescent="0.2">
      <c r="A253" s="14">
        <f t="shared" si="152"/>
        <v>38964</v>
      </c>
      <c r="B253" s="1">
        <v>247</v>
      </c>
      <c r="C253" s="3">
        <v>17.13</v>
      </c>
      <c r="D253" s="3">
        <v>29.99</v>
      </c>
      <c r="E253" s="3">
        <v>14.68</v>
      </c>
      <c r="F253" s="3">
        <v>69.260000000000005</v>
      </c>
      <c r="G253" s="3">
        <v>14.26</v>
      </c>
      <c r="H253" s="3">
        <v>14.11</v>
      </c>
      <c r="I253" s="3">
        <v>11.13</v>
      </c>
      <c r="J253" s="3">
        <v>11.5</v>
      </c>
      <c r="K253" s="3">
        <v>9.94</v>
      </c>
      <c r="L253" s="3">
        <v>8.5</v>
      </c>
      <c r="M253" s="3">
        <v>1.6839999999999999</v>
      </c>
      <c r="N253" s="3">
        <v>0</v>
      </c>
      <c r="O253" s="3">
        <v>26.17</v>
      </c>
      <c r="P253" s="3">
        <v>1159</v>
      </c>
      <c r="Q253" s="3">
        <v>97.4</v>
      </c>
      <c r="R253" s="3">
        <v>548</v>
      </c>
      <c r="S253" s="3">
        <v>30</v>
      </c>
      <c r="T253" s="3">
        <v>31.25</v>
      </c>
      <c r="U253" s="3">
        <v>22.32</v>
      </c>
      <c r="V253" s="3">
        <v>15.46</v>
      </c>
      <c r="W253" s="3">
        <v>10.8</v>
      </c>
      <c r="X253" s="3">
        <v>9.6</v>
      </c>
      <c r="Y253" s="3">
        <v>3.5459999999999998</v>
      </c>
      <c r="Z253" s="3">
        <v>35</v>
      </c>
      <c r="AA253" s="3">
        <v>4.8319999999999999</v>
      </c>
      <c r="AB253" s="3">
        <v>549</v>
      </c>
      <c r="AC253" s="3">
        <v>22.51</v>
      </c>
      <c r="AD253" s="3">
        <v>1152</v>
      </c>
      <c r="AE253" s="3">
        <v>3.88</v>
      </c>
      <c r="AF253" s="3">
        <v>3.4580000000000002</v>
      </c>
      <c r="AG253" s="3">
        <v>3.6659999999999999</v>
      </c>
      <c r="AH253" s="3">
        <v>8.3800000000000008</v>
      </c>
      <c r="AI253" s="3">
        <v>9.1999999999999993</v>
      </c>
      <c r="AJ253" s="3">
        <v>7.78</v>
      </c>
      <c r="AK253" s="3">
        <v>0.06</v>
      </c>
      <c r="AL253" s="3">
        <v>0.35699999999999998</v>
      </c>
      <c r="AM253" s="3">
        <v>0.34200000000000003</v>
      </c>
      <c r="AN253" s="3">
        <v>2.8000000000000001E-2</v>
      </c>
      <c r="AO253" s="3">
        <v>6.9000000000000006E-2</v>
      </c>
      <c r="AP253" s="3">
        <v>7.1999999999999995E-2</v>
      </c>
      <c r="AQ253" s="3">
        <v>3.3000000000000002E-2</v>
      </c>
      <c r="AR253" s="3">
        <v>3.9E-2</v>
      </c>
      <c r="AS253" s="3">
        <v>3521</v>
      </c>
      <c r="AT253" s="3">
        <v>3401</v>
      </c>
      <c r="AU253" s="3">
        <v>3495</v>
      </c>
      <c r="AV253" s="3">
        <v>14.09</v>
      </c>
      <c r="AW253" s="3">
        <v>14</v>
      </c>
      <c r="AX253" s="3">
        <v>29.19</v>
      </c>
      <c r="AY253" s="3">
        <v>29.54</v>
      </c>
      <c r="AZ253" s="3">
        <v>3.9620000000000002</v>
      </c>
      <c r="BA253" s="3">
        <v>3.77</v>
      </c>
      <c r="BB253" s="3">
        <v>12.83</v>
      </c>
      <c r="BC253" s="3">
        <v>2876</v>
      </c>
      <c r="BG253" s="16">
        <v>21.95</v>
      </c>
      <c r="BH253" s="16">
        <f t="shared" si="121"/>
        <v>44.338999999999999</v>
      </c>
      <c r="BI253" s="17">
        <f t="shared" si="154"/>
        <v>16.79</v>
      </c>
      <c r="BJ253" s="17">
        <f t="shared" si="155"/>
        <v>32.99</v>
      </c>
      <c r="BL253" s="1">
        <f t="shared" si="122"/>
        <v>78.7</v>
      </c>
      <c r="BM253" s="1">
        <f t="shared" si="123"/>
        <v>53.9</v>
      </c>
      <c r="BN253" s="1">
        <f t="shared" si="124"/>
        <v>12.8</v>
      </c>
      <c r="BO253" s="49">
        <f t="shared" si="130"/>
        <v>0.435</v>
      </c>
      <c r="BP253" s="49">
        <f t="shared" si="131"/>
        <v>2.9630000000000001</v>
      </c>
      <c r="BR253" s="3">
        <v>0</v>
      </c>
      <c r="BT253" s="16">
        <f t="shared" si="125"/>
        <v>16.79</v>
      </c>
      <c r="BU253" s="16">
        <f t="shared" si="126"/>
        <v>32.99</v>
      </c>
      <c r="BV253" s="3">
        <f t="shared" si="127"/>
        <v>14.7</v>
      </c>
      <c r="BW253" s="3">
        <f t="shared" si="153"/>
        <v>14.3</v>
      </c>
      <c r="BX253" s="3">
        <f t="shared" si="153"/>
        <v>14.1</v>
      </c>
      <c r="BY253" s="3">
        <f t="shared" si="153"/>
        <v>11.1</v>
      </c>
      <c r="BZ253" s="3">
        <f t="shared" si="153"/>
        <v>11.5</v>
      </c>
      <c r="CA253" s="3">
        <f t="shared" si="153"/>
        <v>9.9</v>
      </c>
      <c r="CB253" s="3">
        <f t="shared" si="153"/>
        <v>8.5</v>
      </c>
      <c r="CC253" s="22">
        <f t="shared" si="128"/>
        <v>53.9</v>
      </c>
      <c r="CD253" s="1">
        <f t="shared" si="132"/>
        <v>26.2</v>
      </c>
      <c r="CE253" s="1">
        <f t="shared" si="133"/>
        <v>30</v>
      </c>
      <c r="CF253" s="1">
        <f t="shared" si="134"/>
        <v>31.3</v>
      </c>
      <c r="CG253" s="1">
        <f t="shared" si="135"/>
        <v>22.3</v>
      </c>
      <c r="CH253" s="1">
        <f t="shared" si="136"/>
        <v>15.5</v>
      </c>
      <c r="CI253" s="1">
        <f t="shared" si="137"/>
        <v>10.8</v>
      </c>
      <c r="CJ253" s="1">
        <f t="shared" si="138"/>
        <v>9.6</v>
      </c>
      <c r="CK253" s="2">
        <f t="shared" si="129"/>
        <v>78.7</v>
      </c>
      <c r="CL253" s="1">
        <f t="shared" si="139"/>
        <v>4.8</v>
      </c>
      <c r="CM253" s="1">
        <f t="shared" si="140"/>
        <v>3.9</v>
      </c>
      <c r="CN253" s="1">
        <f t="shared" si="141"/>
        <v>3.5</v>
      </c>
      <c r="CO253" s="1">
        <f t="shared" si="142"/>
        <v>3.7</v>
      </c>
      <c r="CP253" s="1">
        <f t="shared" si="143"/>
        <v>8.4</v>
      </c>
      <c r="CQ253" s="1">
        <f t="shared" si="144"/>
        <v>9.1999999999999993</v>
      </c>
      <c r="CR253" s="1">
        <f t="shared" si="145"/>
        <v>7.8</v>
      </c>
      <c r="CS253" s="2">
        <f t="shared" si="146"/>
        <v>12.8</v>
      </c>
      <c r="CT253" s="6">
        <f t="shared" si="147"/>
        <v>0</v>
      </c>
      <c r="CU253" s="1">
        <f>PPTest!K253</f>
        <v>0</v>
      </c>
      <c r="CV253" s="3">
        <f t="shared" si="148"/>
        <v>1.68</v>
      </c>
      <c r="CW253" s="3">
        <f t="shared" si="149"/>
        <v>3.55</v>
      </c>
      <c r="CX253" s="24">
        <f t="shared" si="150"/>
        <v>0.435</v>
      </c>
      <c r="CY253" s="24">
        <f t="shared" si="150"/>
        <v>2.9630000000000001</v>
      </c>
      <c r="CZ253" s="16">
        <f t="shared" si="151"/>
        <v>12.83</v>
      </c>
    </row>
    <row r="254" spans="1:104" x14ac:dyDescent="0.2">
      <c r="A254" s="14">
        <f t="shared" si="152"/>
        <v>38965</v>
      </c>
      <c r="B254" s="1">
        <v>248</v>
      </c>
      <c r="C254" s="3">
        <v>16.8</v>
      </c>
      <c r="D254" s="3">
        <v>27.89</v>
      </c>
      <c r="E254" s="3">
        <v>13.02</v>
      </c>
      <c r="F254" s="3">
        <v>74.8</v>
      </c>
      <c r="G254" s="3">
        <v>12.69</v>
      </c>
      <c r="H254" s="3">
        <v>12.56</v>
      </c>
      <c r="I254" s="3">
        <v>10.46</v>
      </c>
      <c r="J254" s="3">
        <v>11.13</v>
      </c>
      <c r="K254" s="3">
        <v>10.19</v>
      </c>
      <c r="L254" s="3">
        <v>8.6</v>
      </c>
      <c r="M254" s="3">
        <v>1.847</v>
      </c>
      <c r="N254" s="3">
        <v>0</v>
      </c>
      <c r="O254" s="3">
        <v>24.04</v>
      </c>
      <c r="P254" s="3">
        <v>1528</v>
      </c>
      <c r="Q254" s="3">
        <v>103.4</v>
      </c>
      <c r="R254" s="3">
        <v>523</v>
      </c>
      <c r="S254" s="3">
        <v>26.91</v>
      </c>
      <c r="T254" s="3">
        <v>27.33</v>
      </c>
      <c r="U254" s="3">
        <v>21.26</v>
      </c>
      <c r="V254" s="3">
        <v>14.62</v>
      </c>
      <c r="W254" s="3">
        <v>10.88</v>
      </c>
      <c r="X254" s="3">
        <v>9.48</v>
      </c>
      <c r="Y254" s="3">
        <v>3.1869999999999998</v>
      </c>
      <c r="Z254" s="3">
        <v>1321</v>
      </c>
      <c r="AA254" s="3">
        <v>3.8359999999999999</v>
      </c>
      <c r="AB254" s="3">
        <v>524</v>
      </c>
      <c r="AC254" s="3">
        <v>30.86</v>
      </c>
      <c r="AD254" s="3">
        <v>1533</v>
      </c>
      <c r="AE254" s="3">
        <v>2.8919999999999999</v>
      </c>
      <c r="AF254" s="3">
        <v>2.6659999999999999</v>
      </c>
      <c r="AG254" s="3">
        <v>3.0830000000000002</v>
      </c>
      <c r="AH254" s="3">
        <v>8.2799999999999994</v>
      </c>
      <c r="AI254" s="3">
        <v>9.61</v>
      </c>
      <c r="AJ254" s="3">
        <v>7.97</v>
      </c>
      <c r="AK254" s="3">
        <v>1.0999999999999999E-2</v>
      </c>
      <c r="AL254" s="3">
        <v>0.28999999999999998</v>
      </c>
      <c r="AM254" s="3">
        <v>0.35</v>
      </c>
      <c r="AN254" s="3">
        <v>6.0000000000000001E-3</v>
      </c>
      <c r="AO254" s="3">
        <v>0.15</v>
      </c>
      <c r="AP254" s="3">
        <v>0.159</v>
      </c>
      <c r="AQ254" s="3">
        <v>2.8000000000000001E-2</v>
      </c>
      <c r="AR254" s="3">
        <v>6.0000000000000001E-3</v>
      </c>
      <c r="AS254" s="3">
        <v>3514</v>
      </c>
      <c r="AT254" s="3">
        <v>3418</v>
      </c>
      <c r="AU254" s="3">
        <v>3477</v>
      </c>
      <c r="AV254" s="3">
        <v>12.49</v>
      </c>
      <c r="AW254" s="3">
        <v>12.38</v>
      </c>
      <c r="AX254" s="3">
        <v>26.79</v>
      </c>
      <c r="AY254" s="3">
        <v>26.85</v>
      </c>
      <c r="AZ254" s="3">
        <v>2.78</v>
      </c>
      <c r="BA254" s="3">
        <v>2.5059999999999998</v>
      </c>
      <c r="BB254" s="3">
        <v>12.87</v>
      </c>
      <c r="BC254" s="3">
        <v>2876</v>
      </c>
      <c r="BG254" s="16">
        <v>21.7</v>
      </c>
      <c r="BH254" s="16">
        <f t="shared" si="121"/>
        <v>43.833999999999996</v>
      </c>
      <c r="BI254" s="17">
        <f t="shared" si="154"/>
        <v>16.46</v>
      </c>
      <c r="BJ254" s="17">
        <f t="shared" si="155"/>
        <v>30.68</v>
      </c>
      <c r="BL254" s="1">
        <f t="shared" si="122"/>
        <v>87.7</v>
      </c>
      <c r="BM254" s="1">
        <f t="shared" si="123"/>
        <v>58.8</v>
      </c>
      <c r="BN254" s="1">
        <f t="shared" si="124"/>
        <v>20.2</v>
      </c>
      <c r="BO254" s="49">
        <f t="shared" si="130"/>
        <v>0.60399999999999998</v>
      </c>
      <c r="BP254" s="49">
        <f t="shared" si="131"/>
        <v>2.3860000000000001</v>
      </c>
      <c r="BR254" s="3">
        <v>0</v>
      </c>
      <c r="BT254" s="16">
        <f t="shared" si="125"/>
        <v>16.46</v>
      </c>
      <c r="BU254" s="16">
        <f t="shared" si="126"/>
        <v>30.68</v>
      </c>
      <c r="BV254" s="3">
        <f t="shared" si="127"/>
        <v>13</v>
      </c>
      <c r="BW254" s="3">
        <f t="shared" si="153"/>
        <v>12.7</v>
      </c>
      <c r="BX254" s="3">
        <f t="shared" si="153"/>
        <v>12.6</v>
      </c>
      <c r="BY254" s="3">
        <f t="shared" si="153"/>
        <v>10.5</v>
      </c>
      <c r="BZ254" s="3">
        <f t="shared" si="153"/>
        <v>11.1</v>
      </c>
      <c r="CA254" s="3">
        <f t="shared" si="153"/>
        <v>10.199999999999999</v>
      </c>
      <c r="CB254" s="3">
        <f t="shared" si="153"/>
        <v>8.6</v>
      </c>
      <c r="CC254" s="22">
        <f t="shared" si="128"/>
        <v>58.8</v>
      </c>
      <c r="CD254" s="1">
        <f t="shared" si="132"/>
        <v>24</v>
      </c>
      <c r="CE254" s="1">
        <f t="shared" si="133"/>
        <v>26.9</v>
      </c>
      <c r="CF254" s="1">
        <f t="shared" si="134"/>
        <v>27.3</v>
      </c>
      <c r="CG254" s="1">
        <f t="shared" si="135"/>
        <v>21.3</v>
      </c>
      <c r="CH254" s="1">
        <f t="shared" si="136"/>
        <v>14.6</v>
      </c>
      <c r="CI254" s="1">
        <f t="shared" si="137"/>
        <v>10.9</v>
      </c>
      <c r="CJ254" s="1">
        <f t="shared" si="138"/>
        <v>9.5</v>
      </c>
      <c r="CK254" s="2">
        <f t="shared" si="129"/>
        <v>87.7</v>
      </c>
      <c r="CL254" s="1">
        <f t="shared" si="139"/>
        <v>3.8</v>
      </c>
      <c r="CM254" s="1">
        <f t="shared" si="140"/>
        <v>2.9</v>
      </c>
      <c r="CN254" s="1">
        <f t="shared" si="141"/>
        <v>2.7</v>
      </c>
      <c r="CO254" s="1">
        <f t="shared" si="142"/>
        <v>3.1</v>
      </c>
      <c r="CP254" s="1">
        <f t="shared" si="143"/>
        <v>8.3000000000000007</v>
      </c>
      <c r="CQ254" s="1">
        <f t="shared" si="144"/>
        <v>9.6</v>
      </c>
      <c r="CR254" s="1">
        <f t="shared" si="145"/>
        <v>8</v>
      </c>
      <c r="CS254" s="2">
        <f t="shared" si="146"/>
        <v>20.2</v>
      </c>
      <c r="CT254" s="6">
        <f t="shared" si="147"/>
        <v>0</v>
      </c>
      <c r="CU254" s="1">
        <f>PPTest!K254</f>
        <v>0</v>
      </c>
      <c r="CV254" s="3">
        <f t="shared" si="148"/>
        <v>1.85</v>
      </c>
      <c r="CW254" s="3">
        <f t="shared" si="149"/>
        <v>3.19</v>
      </c>
      <c r="CX254" s="24">
        <f t="shared" si="150"/>
        <v>0.60399999999999998</v>
      </c>
      <c r="CY254" s="24">
        <f t="shared" si="150"/>
        <v>2.3860000000000001</v>
      </c>
      <c r="CZ254" s="16">
        <f t="shared" si="151"/>
        <v>12.87</v>
      </c>
    </row>
    <row r="255" spans="1:104" x14ac:dyDescent="0.2">
      <c r="A255" s="14">
        <f t="shared" si="152"/>
        <v>38966</v>
      </c>
      <c r="B255" s="1">
        <v>249</v>
      </c>
      <c r="C255" s="3">
        <v>16.95</v>
      </c>
      <c r="D255" s="3">
        <v>27.54</v>
      </c>
      <c r="E255" s="3">
        <v>12.56</v>
      </c>
      <c r="F255" s="3">
        <v>77.2</v>
      </c>
      <c r="G255" s="3">
        <v>12.24</v>
      </c>
      <c r="H255" s="3">
        <v>12.11</v>
      </c>
      <c r="I255" s="3">
        <v>10.16</v>
      </c>
      <c r="J255" s="3">
        <v>10.93</v>
      </c>
      <c r="K255" s="3">
        <v>10.17</v>
      </c>
      <c r="L255" s="3">
        <v>8.6999999999999993</v>
      </c>
      <c r="M255" s="3">
        <v>1.863</v>
      </c>
      <c r="N255" s="3">
        <v>0</v>
      </c>
      <c r="O255" s="3">
        <v>24.02</v>
      </c>
      <c r="P255" s="3">
        <v>1446</v>
      </c>
      <c r="Q255" s="3">
        <v>106.1</v>
      </c>
      <c r="R255" s="3">
        <v>517</v>
      </c>
      <c r="S255" s="3">
        <v>26.55</v>
      </c>
      <c r="T255" s="3">
        <v>26.94</v>
      </c>
      <c r="U255" s="3">
        <v>21.45</v>
      </c>
      <c r="V255" s="3">
        <v>14.58</v>
      </c>
      <c r="W255" s="3">
        <v>10.78</v>
      </c>
      <c r="X255" s="3">
        <v>9.5299999999999994</v>
      </c>
      <c r="Y255" s="3">
        <v>2.9470000000000001</v>
      </c>
      <c r="Z255" s="3">
        <v>1245</v>
      </c>
      <c r="AA255" s="3">
        <v>2.9870000000000001</v>
      </c>
      <c r="AB255" s="3">
        <v>536</v>
      </c>
      <c r="AC255" s="3">
        <v>29.19</v>
      </c>
      <c r="AD255" s="3">
        <v>1539</v>
      </c>
      <c r="AE255" s="3">
        <v>1.802</v>
      </c>
      <c r="AF255" s="3">
        <v>1.53</v>
      </c>
      <c r="AG255" s="3">
        <v>2.4209999999999998</v>
      </c>
      <c r="AH255" s="3">
        <v>7.85</v>
      </c>
      <c r="AI255" s="3">
        <v>9.51</v>
      </c>
      <c r="AJ255" s="3">
        <v>7.99</v>
      </c>
      <c r="AK255" s="3">
        <v>0.01</v>
      </c>
      <c r="AL255" s="3">
        <v>0.27600000000000002</v>
      </c>
      <c r="AM255" s="3">
        <v>0.36899999999999999</v>
      </c>
      <c r="AN255" s="3">
        <v>1.2E-2</v>
      </c>
      <c r="AO255" s="3">
        <v>0.112</v>
      </c>
      <c r="AP255" s="3">
        <v>0.17899999999999999</v>
      </c>
      <c r="AQ255" s="3">
        <v>2.9000000000000001E-2</v>
      </c>
      <c r="AR255" s="3">
        <v>1.0999999999999999E-2</v>
      </c>
      <c r="AS255" s="3">
        <v>3519</v>
      </c>
      <c r="AT255" s="3">
        <v>3485</v>
      </c>
      <c r="AU255" s="3">
        <v>3499</v>
      </c>
      <c r="AV255" s="3">
        <v>12.04</v>
      </c>
      <c r="AW255" s="3">
        <v>11.94</v>
      </c>
      <c r="AX255" s="3">
        <v>26.88</v>
      </c>
      <c r="AY255" s="3">
        <v>26.94</v>
      </c>
      <c r="AZ255" s="3">
        <v>1.8740000000000001</v>
      </c>
      <c r="BA255" s="3">
        <v>1.6679999999999999</v>
      </c>
      <c r="BB255" s="3">
        <v>12.87</v>
      </c>
      <c r="BC255" s="3">
        <v>2876</v>
      </c>
      <c r="BG255" s="16">
        <v>21.46</v>
      </c>
      <c r="BH255" s="16">
        <f t="shared" si="121"/>
        <v>43.349200000000003</v>
      </c>
      <c r="BI255" s="17">
        <f t="shared" si="154"/>
        <v>16.61</v>
      </c>
      <c r="BJ255" s="17">
        <f t="shared" si="155"/>
        <v>30.29</v>
      </c>
      <c r="BL255" s="1">
        <f t="shared" si="122"/>
        <v>92</v>
      </c>
      <c r="BM255" s="1">
        <f t="shared" si="123"/>
        <v>60.9</v>
      </c>
      <c r="BN255" s="1">
        <f t="shared" si="124"/>
        <v>18.7</v>
      </c>
      <c r="BO255" s="49">
        <f t="shared" si="130"/>
        <v>0.55900000000000005</v>
      </c>
      <c r="BP255" s="49">
        <f t="shared" si="131"/>
        <v>2.4300000000000002</v>
      </c>
      <c r="BR255" s="3">
        <v>0</v>
      </c>
      <c r="BT255" s="16">
        <f t="shared" si="125"/>
        <v>16.61</v>
      </c>
      <c r="BU255" s="16">
        <f t="shared" si="126"/>
        <v>30.29</v>
      </c>
      <c r="BV255" s="3">
        <f t="shared" si="127"/>
        <v>12.6</v>
      </c>
      <c r="BW255" s="3">
        <f t="shared" si="153"/>
        <v>12.2</v>
      </c>
      <c r="BX255" s="3">
        <f t="shared" si="153"/>
        <v>12.1</v>
      </c>
      <c r="BY255" s="3">
        <f t="shared" si="153"/>
        <v>10.199999999999999</v>
      </c>
      <c r="BZ255" s="3">
        <f t="shared" si="153"/>
        <v>10.9</v>
      </c>
      <c r="CA255" s="3">
        <f t="shared" si="153"/>
        <v>10.199999999999999</v>
      </c>
      <c r="CB255" s="3">
        <f t="shared" si="153"/>
        <v>8.6999999999999993</v>
      </c>
      <c r="CC255" s="22">
        <f t="shared" si="128"/>
        <v>60.9</v>
      </c>
      <c r="CD255" s="1">
        <f t="shared" si="132"/>
        <v>24</v>
      </c>
      <c r="CE255" s="1">
        <f t="shared" si="133"/>
        <v>26.6</v>
      </c>
      <c r="CF255" s="1">
        <f t="shared" si="134"/>
        <v>26.9</v>
      </c>
      <c r="CG255" s="1">
        <f t="shared" si="135"/>
        <v>21.5</v>
      </c>
      <c r="CH255" s="1">
        <f t="shared" si="136"/>
        <v>14.6</v>
      </c>
      <c r="CI255" s="1">
        <f t="shared" si="137"/>
        <v>10.8</v>
      </c>
      <c r="CJ255" s="1">
        <f t="shared" si="138"/>
        <v>9.5</v>
      </c>
      <c r="CK255" s="2">
        <f t="shared" si="129"/>
        <v>92</v>
      </c>
      <c r="CL255" s="1">
        <f t="shared" si="139"/>
        <v>3</v>
      </c>
      <c r="CM255" s="1">
        <f t="shared" si="140"/>
        <v>1.8</v>
      </c>
      <c r="CN255" s="1">
        <f t="shared" si="141"/>
        <v>1.5</v>
      </c>
      <c r="CO255" s="1">
        <f t="shared" si="142"/>
        <v>2.4</v>
      </c>
      <c r="CP255" s="1">
        <f t="shared" si="143"/>
        <v>7.9</v>
      </c>
      <c r="CQ255" s="1">
        <f t="shared" si="144"/>
        <v>9.5</v>
      </c>
      <c r="CR255" s="1">
        <f t="shared" si="145"/>
        <v>8</v>
      </c>
      <c r="CS255" s="2">
        <f t="shared" si="146"/>
        <v>18.7</v>
      </c>
      <c r="CT255" s="6">
        <f t="shared" si="147"/>
        <v>0</v>
      </c>
      <c r="CU255" s="1">
        <f>PPTest!K255</f>
        <v>0</v>
      </c>
      <c r="CV255" s="3">
        <f t="shared" si="148"/>
        <v>1.86</v>
      </c>
      <c r="CW255" s="3">
        <f t="shared" si="149"/>
        <v>2.95</v>
      </c>
      <c r="CX255" s="24">
        <f t="shared" si="150"/>
        <v>0.55900000000000005</v>
      </c>
      <c r="CY255" s="24">
        <f t="shared" si="150"/>
        <v>2.4300000000000002</v>
      </c>
      <c r="CZ255" s="16">
        <f t="shared" si="151"/>
        <v>12.87</v>
      </c>
    </row>
    <row r="256" spans="1:104" x14ac:dyDescent="0.2">
      <c r="A256" s="14">
        <f t="shared" si="152"/>
        <v>38967</v>
      </c>
      <c r="B256" s="1">
        <v>250</v>
      </c>
      <c r="C256" s="3">
        <v>18.190000000000001</v>
      </c>
      <c r="D256" s="3">
        <v>30.29</v>
      </c>
      <c r="E256" s="3">
        <v>12.8</v>
      </c>
      <c r="F256" s="3">
        <v>72.599999999999994</v>
      </c>
      <c r="G256" s="3">
        <v>12.54</v>
      </c>
      <c r="H256" s="3">
        <v>12.43</v>
      </c>
      <c r="I256" s="3">
        <v>10.37</v>
      </c>
      <c r="J256" s="3">
        <v>10.89</v>
      </c>
      <c r="K256" s="3">
        <v>10.17</v>
      </c>
      <c r="L256" s="3">
        <v>8.7799999999999994</v>
      </c>
      <c r="M256" s="3">
        <v>1.8340000000000001</v>
      </c>
      <c r="N256" s="3">
        <v>0</v>
      </c>
      <c r="O256" s="3">
        <v>24.14</v>
      </c>
      <c r="P256" s="3">
        <v>1407</v>
      </c>
      <c r="Q256" s="3">
        <v>105.9</v>
      </c>
      <c r="R256" s="3">
        <v>541</v>
      </c>
      <c r="S256" s="3">
        <v>26.05</v>
      </c>
      <c r="T256" s="3">
        <v>27.53</v>
      </c>
      <c r="U256" s="3">
        <v>22.91</v>
      </c>
      <c r="V256" s="3">
        <v>14.44</v>
      </c>
      <c r="W256" s="3">
        <v>10.83</v>
      </c>
      <c r="X256" s="3">
        <v>9.65</v>
      </c>
      <c r="Y256" s="3">
        <v>3.36</v>
      </c>
      <c r="Z256" s="3">
        <v>1118</v>
      </c>
      <c r="AA256" s="3">
        <v>2.7240000000000002</v>
      </c>
      <c r="AB256" s="3">
        <v>526</v>
      </c>
      <c r="AC256" s="3">
        <v>26.39</v>
      </c>
      <c r="AD256" s="3">
        <v>1246</v>
      </c>
      <c r="AE256" s="3">
        <v>1.7929999999999999</v>
      </c>
      <c r="AF256" s="3">
        <v>1.534</v>
      </c>
      <c r="AG256" s="3">
        <v>2.1539999999999999</v>
      </c>
      <c r="AH256" s="3">
        <v>7.77</v>
      </c>
      <c r="AI256" s="3">
        <v>9.52</v>
      </c>
      <c r="AJ256" s="3">
        <v>8.06</v>
      </c>
      <c r="AK256" s="3">
        <v>9.9000000000000005E-2</v>
      </c>
      <c r="AL256" s="3">
        <v>0.28799999999999998</v>
      </c>
      <c r="AM256" s="3">
        <v>0.36799999999999999</v>
      </c>
      <c r="AN256" s="3">
        <v>1.9E-2</v>
      </c>
      <c r="AO256" s="3">
        <v>9.5000000000000001E-2</v>
      </c>
      <c r="AP256" s="3">
        <v>7.9000000000000001E-2</v>
      </c>
      <c r="AQ256" s="3">
        <v>1.0999999999999999E-2</v>
      </c>
      <c r="AR256" s="3">
        <v>0.04</v>
      </c>
      <c r="AS256" s="3">
        <v>3519</v>
      </c>
      <c r="AT256" s="3">
        <v>3461</v>
      </c>
      <c r="AU256" s="3">
        <v>3504</v>
      </c>
      <c r="AV256" s="3">
        <v>12.27</v>
      </c>
      <c r="AW256" s="3">
        <v>12.2</v>
      </c>
      <c r="AX256" s="3">
        <v>26.01</v>
      </c>
      <c r="AY256" s="3">
        <v>26.3</v>
      </c>
      <c r="AZ256" s="3">
        <v>1.7090000000000001</v>
      </c>
      <c r="BA256" s="3">
        <v>1.462</v>
      </c>
      <c r="BB256" s="3">
        <v>12.87</v>
      </c>
      <c r="BC256" s="3">
        <v>2876</v>
      </c>
      <c r="BG256" s="16">
        <v>21.21</v>
      </c>
      <c r="BH256" s="16">
        <f t="shared" si="121"/>
        <v>42.844200000000001</v>
      </c>
      <c r="BI256" s="17">
        <f t="shared" si="154"/>
        <v>17.829999999999998</v>
      </c>
      <c r="BJ256" s="17">
        <f t="shared" si="155"/>
        <v>33.32</v>
      </c>
      <c r="BL256" s="1">
        <f t="shared" si="122"/>
        <v>91.7</v>
      </c>
      <c r="BM256" s="1">
        <f t="shared" si="123"/>
        <v>56.9</v>
      </c>
      <c r="BN256" s="1">
        <f t="shared" si="124"/>
        <v>16.2</v>
      </c>
      <c r="BO256" s="49">
        <f t="shared" si="130"/>
        <v>0.48699999999999999</v>
      </c>
      <c r="BP256" s="49">
        <f t="shared" si="131"/>
        <v>2.5190000000000001</v>
      </c>
      <c r="BR256" s="3">
        <v>0</v>
      </c>
      <c r="BT256" s="16">
        <f t="shared" si="125"/>
        <v>17.829999999999998</v>
      </c>
      <c r="BU256" s="16">
        <f t="shared" si="126"/>
        <v>33.32</v>
      </c>
      <c r="BV256" s="3">
        <f t="shared" si="127"/>
        <v>12.8</v>
      </c>
      <c r="BW256" s="3">
        <f t="shared" si="153"/>
        <v>12.5</v>
      </c>
      <c r="BX256" s="3">
        <f t="shared" si="153"/>
        <v>12.4</v>
      </c>
      <c r="BY256" s="3">
        <f t="shared" si="153"/>
        <v>10.4</v>
      </c>
      <c r="BZ256" s="3">
        <f t="shared" si="153"/>
        <v>10.9</v>
      </c>
      <c r="CA256" s="3">
        <f t="shared" si="153"/>
        <v>10.199999999999999</v>
      </c>
      <c r="CB256" s="3">
        <f t="shared" si="153"/>
        <v>8.8000000000000007</v>
      </c>
      <c r="CC256" s="22">
        <f t="shared" si="128"/>
        <v>56.9</v>
      </c>
      <c r="CD256" s="1">
        <f t="shared" si="132"/>
        <v>24.1</v>
      </c>
      <c r="CE256" s="1">
        <f t="shared" si="133"/>
        <v>26.1</v>
      </c>
      <c r="CF256" s="1">
        <f t="shared" si="134"/>
        <v>27.5</v>
      </c>
      <c r="CG256" s="1">
        <f t="shared" si="135"/>
        <v>22.9</v>
      </c>
      <c r="CH256" s="1">
        <f t="shared" si="136"/>
        <v>14.4</v>
      </c>
      <c r="CI256" s="1">
        <f t="shared" si="137"/>
        <v>10.8</v>
      </c>
      <c r="CJ256" s="1">
        <f t="shared" si="138"/>
        <v>9.6999999999999993</v>
      </c>
      <c r="CK256" s="2">
        <f t="shared" si="129"/>
        <v>91.7</v>
      </c>
      <c r="CL256" s="1">
        <f t="shared" si="139"/>
        <v>2.7</v>
      </c>
      <c r="CM256" s="1">
        <f t="shared" si="140"/>
        <v>1.8</v>
      </c>
      <c r="CN256" s="1">
        <f t="shared" si="141"/>
        <v>1.5</v>
      </c>
      <c r="CO256" s="1">
        <f t="shared" si="142"/>
        <v>2.2000000000000002</v>
      </c>
      <c r="CP256" s="1">
        <f t="shared" si="143"/>
        <v>7.8</v>
      </c>
      <c r="CQ256" s="1">
        <f t="shared" si="144"/>
        <v>9.5</v>
      </c>
      <c r="CR256" s="1">
        <f t="shared" si="145"/>
        <v>8.1</v>
      </c>
      <c r="CS256" s="2">
        <f t="shared" si="146"/>
        <v>16.2</v>
      </c>
      <c r="CT256" s="6">
        <f t="shared" si="147"/>
        <v>0</v>
      </c>
      <c r="CU256" s="1">
        <f>PPTest!K256</f>
        <v>0</v>
      </c>
      <c r="CV256" s="3">
        <f t="shared" si="148"/>
        <v>1.83</v>
      </c>
      <c r="CW256" s="3">
        <f t="shared" si="149"/>
        <v>3.36</v>
      </c>
      <c r="CX256" s="24">
        <f t="shared" si="150"/>
        <v>0.48699999999999999</v>
      </c>
      <c r="CY256" s="24">
        <f t="shared" si="150"/>
        <v>2.5190000000000001</v>
      </c>
      <c r="CZ256" s="16">
        <f t="shared" si="151"/>
        <v>12.87</v>
      </c>
    </row>
    <row r="257" spans="1:104" x14ac:dyDescent="0.2">
      <c r="A257" s="14">
        <f t="shared" si="152"/>
        <v>38968</v>
      </c>
      <c r="B257" s="1">
        <v>251</v>
      </c>
      <c r="C257" s="3">
        <v>19.23</v>
      </c>
      <c r="D257" s="3">
        <v>33.4</v>
      </c>
      <c r="E257" s="3">
        <v>14.68</v>
      </c>
      <c r="F257" s="3">
        <v>65.41</v>
      </c>
      <c r="G257" s="3">
        <v>14.36</v>
      </c>
      <c r="H257" s="3">
        <v>14.14</v>
      </c>
      <c r="I257" s="3">
        <v>11.32</v>
      </c>
      <c r="J257" s="3">
        <v>11.28</v>
      </c>
      <c r="K257" s="3">
        <v>10.220000000000001</v>
      </c>
      <c r="L257" s="3">
        <v>8.84</v>
      </c>
      <c r="M257" s="3">
        <v>1.7230000000000001</v>
      </c>
      <c r="N257" s="3">
        <v>0</v>
      </c>
      <c r="O257" s="3">
        <v>24.53</v>
      </c>
      <c r="P257" s="3">
        <v>1452</v>
      </c>
      <c r="Q257" s="3">
        <v>102.5</v>
      </c>
      <c r="R257" s="3">
        <v>529</v>
      </c>
      <c r="S257" s="3">
        <v>28.21</v>
      </c>
      <c r="T257" s="3">
        <v>29.12</v>
      </c>
      <c r="U257" s="3">
        <v>23.45</v>
      </c>
      <c r="V257" s="3">
        <v>15.11</v>
      </c>
      <c r="W257" s="3">
        <v>10.91</v>
      </c>
      <c r="X257" s="3">
        <v>9.73</v>
      </c>
      <c r="Y257" s="3">
        <v>4.8630000000000004</v>
      </c>
      <c r="Z257" s="3">
        <v>1919</v>
      </c>
      <c r="AA257" s="3">
        <v>4.3220000000000001</v>
      </c>
      <c r="AB257" s="3">
        <v>532</v>
      </c>
      <c r="AC257" s="3">
        <v>30.06</v>
      </c>
      <c r="AD257" s="3">
        <v>1553</v>
      </c>
      <c r="AE257" s="3">
        <v>2.9849999999999999</v>
      </c>
      <c r="AF257" s="3">
        <v>2.4350000000000001</v>
      </c>
      <c r="AG257" s="3">
        <v>3.0350000000000001</v>
      </c>
      <c r="AH257" s="3">
        <v>8</v>
      </c>
      <c r="AI257" s="3">
        <v>9.5</v>
      </c>
      <c r="AJ257" s="3">
        <v>7.99</v>
      </c>
      <c r="AK257" s="3">
        <v>3.6999999999999998E-2</v>
      </c>
      <c r="AL257" s="3">
        <v>0.30099999999999999</v>
      </c>
      <c r="AM257" s="3">
        <v>0.30399999999999999</v>
      </c>
      <c r="AN257" s="3">
        <v>4.4999999999999998E-2</v>
      </c>
      <c r="AO257" s="3">
        <v>7.8E-2</v>
      </c>
      <c r="AP257" s="3">
        <v>0.111</v>
      </c>
      <c r="AQ257" s="3">
        <v>8.6999999999999994E-2</v>
      </c>
      <c r="AR257" s="3">
        <v>3.6999999999999998E-2</v>
      </c>
      <c r="AS257" s="3">
        <v>3525</v>
      </c>
      <c r="AT257" s="3">
        <v>3476</v>
      </c>
      <c r="AU257" s="3">
        <v>3512</v>
      </c>
      <c r="AV257" s="3">
        <v>13.76</v>
      </c>
      <c r="AW257" s="3">
        <v>13.76</v>
      </c>
      <c r="AX257" s="3">
        <v>27.74</v>
      </c>
      <c r="AY257" s="3">
        <v>27.94</v>
      </c>
      <c r="AZ257" s="3">
        <v>2.9060000000000001</v>
      </c>
      <c r="BA257" s="3">
        <v>2.7029999999999998</v>
      </c>
      <c r="BB257" s="3">
        <v>12.84</v>
      </c>
      <c r="BC257" s="3">
        <v>2876</v>
      </c>
      <c r="BG257" s="16">
        <v>20.95</v>
      </c>
      <c r="BH257" s="16">
        <f t="shared" si="121"/>
        <v>42.318999999999996</v>
      </c>
      <c r="BI257" s="17">
        <f t="shared" si="154"/>
        <v>18.850000000000001</v>
      </c>
      <c r="BJ257" s="17">
        <f t="shared" si="155"/>
        <v>36.74</v>
      </c>
      <c r="BL257" s="1">
        <f t="shared" si="122"/>
        <v>86.3</v>
      </c>
      <c r="BM257" s="1">
        <f t="shared" si="123"/>
        <v>50.6</v>
      </c>
      <c r="BN257" s="1">
        <f t="shared" si="124"/>
        <v>19.5</v>
      </c>
      <c r="BO257" s="49">
        <f t="shared" si="130"/>
        <v>0.60099999999999998</v>
      </c>
      <c r="BP257" s="49">
        <f t="shared" si="131"/>
        <v>2.4809999999999999</v>
      </c>
      <c r="BR257" s="3">
        <v>0</v>
      </c>
      <c r="BT257" s="16">
        <f t="shared" si="125"/>
        <v>18.850000000000001</v>
      </c>
      <c r="BU257" s="16">
        <f t="shared" si="126"/>
        <v>36.74</v>
      </c>
      <c r="BV257" s="3">
        <f t="shared" si="127"/>
        <v>14.7</v>
      </c>
      <c r="BW257" s="3">
        <f t="shared" si="153"/>
        <v>14.4</v>
      </c>
      <c r="BX257" s="3">
        <f t="shared" si="153"/>
        <v>14.1</v>
      </c>
      <c r="BY257" s="3">
        <f t="shared" si="153"/>
        <v>11.3</v>
      </c>
      <c r="BZ257" s="3">
        <f t="shared" si="153"/>
        <v>11.3</v>
      </c>
      <c r="CA257" s="3">
        <f t="shared" si="153"/>
        <v>10.199999999999999</v>
      </c>
      <c r="CB257" s="3">
        <f t="shared" si="153"/>
        <v>8.8000000000000007</v>
      </c>
      <c r="CC257" s="22">
        <f t="shared" si="128"/>
        <v>50.6</v>
      </c>
      <c r="CD257" s="1">
        <f t="shared" si="132"/>
        <v>24.5</v>
      </c>
      <c r="CE257" s="1">
        <f t="shared" si="133"/>
        <v>28.2</v>
      </c>
      <c r="CF257" s="1">
        <f t="shared" si="134"/>
        <v>29.1</v>
      </c>
      <c r="CG257" s="1">
        <f t="shared" si="135"/>
        <v>23.5</v>
      </c>
      <c r="CH257" s="1">
        <f t="shared" si="136"/>
        <v>15.1</v>
      </c>
      <c r="CI257" s="1">
        <f t="shared" si="137"/>
        <v>10.9</v>
      </c>
      <c r="CJ257" s="1">
        <f t="shared" si="138"/>
        <v>9.6999999999999993</v>
      </c>
      <c r="CK257" s="2">
        <f t="shared" si="129"/>
        <v>86.3</v>
      </c>
      <c r="CL257" s="1">
        <f t="shared" si="139"/>
        <v>4.3</v>
      </c>
      <c r="CM257" s="1">
        <f t="shared" si="140"/>
        <v>3</v>
      </c>
      <c r="CN257" s="1">
        <f t="shared" si="141"/>
        <v>2.4</v>
      </c>
      <c r="CO257" s="1">
        <f t="shared" si="142"/>
        <v>3</v>
      </c>
      <c r="CP257" s="1">
        <f t="shared" si="143"/>
        <v>8</v>
      </c>
      <c r="CQ257" s="1">
        <f t="shared" si="144"/>
        <v>9.5</v>
      </c>
      <c r="CR257" s="1">
        <f t="shared" si="145"/>
        <v>8</v>
      </c>
      <c r="CS257" s="2">
        <f t="shared" si="146"/>
        <v>19.5</v>
      </c>
      <c r="CT257" s="6">
        <f t="shared" si="147"/>
        <v>0</v>
      </c>
      <c r="CU257" s="1">
        <f>PPTest!K257</f>
        <v>0</v>
      </c>
      <c r="CV257" s="3">
        <f t="shared" si="148"/>
        <v>1.72</v>
      </c>
      <c r="CW257" s="3">
        <f t="shared" si="149"/>
        <v>4.8600000000000003</v>
      </c>
      <c r="CX257" s="24">
        <f t="shared" si="150"/>
        <v>0.60099999999999998</v>
      </c>
      <c r="CY257" s="24">
        <f t="shared" si="150"/>
        <v>2.4809999999999999</v>
      </c>
      <c r="CZ257" s="16">
        <f t="shared" si="151"/>
        <v>12.84</v>
      </c>
    </row>
    <row r="258" spans="1:104" x14ac:dyDescent="0.2">
      <c r="A258" s="14">
        <f t="shared" si="152"/>
        <v>38969</v>
      </c>
      <c r="B258" s="1">
        <v>252</v>
      </c>
      <c r="C258" s="3">
        <v>7.78</v>
      </c>
      <c r="D258" s="3">
        <v>16.57</v>
      </c>
      <c r="E258" s="3">
        <v>7.9</v>
      </c>
      <c r="F258" s="3">
        <v>102.4</v>
      </c>
      <c r="G258" s="3">
        <v>7.8</v>
      </c>
      <c r="H258" s="3">
        <v>7.64</v>
      </c>
      <c r="I258" s="3">
        <v>7.79</v>
      </c>
      <c r="J258" s="3">
        <v>9.76</v>
      </c>
      <c r="K258" s="3">
        <v>10.18</v>
      </c>
      <c r="L258" s="3">
        <v>8.91</v>
      </c>
      <c r="M258" s="3">
        <v>1.264</v>
      </c>
      <c r="N258" s="3">
        <v>24</v>
      </c>
      <c r="O258" s="3">
        <v>16.72</v>
      </c>
      <c r="P258" s="3">
        <v>1133</v>
      </c>
      <c r="Q258" s="3">
        <v>110.5</v>
      </c>
      <c r="R258" s="3">
        <v>1950</v>
      </c>
      <c r="S258" s="3">
        <v>20.66</v>
      </c>
      <c r="T258" s="3">
        <v>21.83</v>
      </c>
      <c r="U258" s="3">
        <v>16.13</v>
      </c>
      <c r="V258" s="3">
        <v>12.65</v>
      </c>
      <c r="W258" s="3">
        <v>10.82</v>
      </c>
      <c r="X258" s="3">
        <v>9.58</v>
      </c>
      <c r="Y258" s="3">
        <v>4.8890000000000002</v>
      </c>
      <c r="Z258" s="3">
        <v>1258</v>
      </c>
      <c r="AA258" s="3">
        <v>4.431</v>
      </c>
      <c r="AB258" s="3">
        <v>516</v>
      </c>
      <c r="AC258" s="3">
        <v>69.760000000000005</v>
      </c>
      <c r="AD258" s="3">
        <v>1125</v>
      </c>
      <c r="AE258" s="3">
        <v>3.145</v>
      </c>
      <c r="AF258" s="3">
        <v>2.6240000000000001</v>
      </c>
      <c r="AG258" s="3">
        <v>3.3149999999999999</v>
      </c>
      <c r="AH258" s="3">
        <v>8.48</v>
      </c>
      <c r="AI258" s="3">
        <v>9.01</v>
      </c>
      <c r="AJ258" s="3">
        <v>7.9</v>
      </c>
      <c r="AK258" s="3">
        <v>9.7000000000000003E-2</v>
      </c>
      <c r="AL258" s="3">
        <v>0.317</v>
      </c>
      <c r="AM258" s="3">
        <v>0.17199999999999999</v>
      </c>
      <c r="AN258" s="3">
        <v>3.3000000000000002E-2</v>
      </c>
      <c r="AO258" s="3">
        <v>9.7000000000000003E-2</v>
      </c>
      <c r="AP258" s="3">
        <v>0.17799999999999999</v>
      </c>
      <c r="AQ258" s="3">
        <v>6.5000000000000002E-2</v>
      </c>
      <c r="AR258" s="3">
        <v>4.1000000000000002E-2</v>
      </c>
      <c r="AS258" s="3">
        <v>3505</v>
      </c>
      <c r="AT258" s="3">
        <v>3503</v>
      </c>
      <c r="AU258" s="3">
        <v>3505</v>
      </c>
      <c r="AV258" s="3">
        <v>7.94</v>
      </c>
      <c r="AW258" s="3">
        <v>7.81</v>
      </c>
      <c r="AX258" s="3">
        <v>17.16</v>
      </c>
      <c r="AY258" s="3">
        <v>17.899999999999999</v>
      </c>
      <c r="AZ258" s="3">
        <v>3.464</v>
      </c>
      <c r="BA258" s="3">
        <v>3.1179999999999999</v>
      </c>
      <c r="BB258" s="3">
        <v>12.91</v>
      </c>
      <c r="BC258" s="3">
        <v>2876</v>
      </c>
      <c r="BG258" s="16">
        <v>20.7</v>
      </c>
      <c r="BH258" s="16">
        <f t="shared" si="121"/>
        <v>41.814</v>
      </c>
      <c r="BI258" s="17">
        <f t="shared" si="154"/>
        <v>7.62</v>
      </c>
      <c r="BJ258" s="17">
        <f t="shared" si="155"/>
        <v>18.23</v>
      </c>
      <c r="BL258" s="1">
        <f t="shared" si="122"/>
        <v>99</v>
      </c>
      <c r="BM258" s="1">
        <f t="shared" si="123"/>
        <v>86.1</v>
      </c>
      <c r="BN258" s="1">
        <f t="shared" si="124"/>
        <v>54.4</v>
      </c>
      <c r="BO258" s="49">
        <f t="shared" si="130"/>
        <v>1.0349999999999999</v>
      </c>
      <c r="BP258" s="49">
        <f t="shared" si="131"/>
        <v>0.86799999999999999</v>
      </c>
      <c r="BR258" s="3">
        <v>12.6</v>
      </c>
      <c r="BT258" s="16">
        <f t="shared" si="125"/>
        <v>7.62</v>
      </c>
      <c r="BU258" s="16">
        <f t="shared" si="126"/>
        <v>18.23</v>
      </c>
      <c r="BV258" s="3">
        <f t="shared" si="127"/>
        <v>7.9</v>
      </c>
      <c r="BW258" s="3">
        <f t="shared" si="153"/>
        <v>7.8</v>
      </c>
      <c r="BX258" s="3">
        <f t="shared" si="153"/>
        <v>7.6</v>
      </c>
      <c r="BY258" s="3">
        <f t="shared" si="153"/>
        <v>7.8</v>
      </c>
      <c r="BZ258" s="3">
        <f t="shared" si="153"/>
        <v>9.8000000000000007</v>
      </c>
      <c r="CA258" s="3">
        <f t="shared" si="153"/>
        <v>10.199999999999999</v>
      </c>
      <c r="CB258" s="3">
        <f t="shared" si="153"/>
        <v>8.9</v>
      </c>
      <c r="CC258" s="22">
        <f t="shared" si="128"/>
        <v>86.1</v>
      </c>
      <c r="CD258" s="1">
        <f t="shared" si="132"/>
        <v>16.7</v>
      </c>
      <c r="CE258" s="1">
        <f t="shared" si="133"/>
        <v>20.7</v>
      </c>
      <c r="CF258" s="1">
        <f t="shared" si="134"/>
        <v>21.8</v>
      </c>
      <c r="CG258" s="1">
        <f t="shared" si="135"/>
        <v>16.100000000000001</v>
      </c>
      <c r="CH258" s="1">
        <f t="shared" si="136"/>
        <v>12.7</v>
      </c>
      <c r="CI258" s="1">
        <f t="shared" si="137"/>
        <v>10.8</v>
      </c>
      <c r="CJ258" s="1">
        <f t="shared" si="138"/>
        <v>9.6</v>
      </c>
      <c r="CK258" s="2">
        <f t="shared" si="129"/>
        <v>99</v>
      </c>
      <c r="CL258" s="1">
        <f t="shared" si="139"/>
        <v>4.4000000000000004</v>
      </c>
      <c r="CM258" s="1">
        <f t="shared" si="140"/>
        <v>3.1</v>
      </c>
      <c r="CN258" s="1">
        <f t="shared" si="141"/>
        <v>2.6</v>
      </c>
      <c r="CO258" s="1">
        <f t="shared" si="142"/>
        <v>3.3</v>
      </c>
      <c r="CP258" s="1">
        <f t="shared" si="143"/>
        <v>8.5</v>
      </c>
      <c r="CQ258" s="1">
        <f t="shared" si="144"/>
        <v>9</v>
      </c>
      <c r="CR258" s="1">
        <f t="shared" si="145"/>
        <v>7.9</v>
      </c>
      <c r="CS258" s="2">
        <f t="shared" si="146"/>
        <v>54.4</v>
      </c>
      <c r="CT258" s="6">
        <f t="shared" si="147"/>
        <v>0</v>
      </c>
      <c r="CU258" s="1">
        <f>PPTest!K258</f>
        <v>24</v>
      </c>
      <c r="CV258" s="3">
        <f t="shared" si="148"/>
        <v>1.26</v>
      </c>
      <c r="CW258" s="3">
        <f t="shared" si="149"/>
        <v>4.8899999999999997</v>
      </c>
      <c r="CX258" s="24">
        <f t="shared" si="150"/>
        <v>1.0349999999999999</v>
      </c>
      <c r="CY258" s="24">
        <f t="shared" si="150"/>
        <v>0.86799999999999999</v>
      </c>
      <c r="CZ258" s="16">
        <f t="shared" si="151"/>
        <v>12.91</v>
      </c>
    </row>
    <row r="259" spans="1:104" x14ac:dyDescent="0.2">
      <c r="A259" s="14">
        <f t="shared" si="152"/>
        <v>38970</v>
      </c>
      <c r="B259" s="1">
        <v>253</v>
      </c>
      <c r="C259" s="3">
        <v>16.25</v>
      </c>
      <c r="D259" s="3">
        <v>32.25</v>
      </c>
      <c r="E259" s="3">
        <v>8.58</v>
      </c>
      <c r="F259" s="3">
        <v>103.5</v>
      </c>
      <c r="G259" s="3">
        <v>8.6300000000000008</v>
      </c>
      <c r="H259" s="3">
        <v>8.5</v>
      </c>
      <c r="I259" s="3">
        <v>8.68</v>
      </c>
      <c r="J259" s="3">
        <v>9.9700000000000006</v>
      </c>
      <c r="K259" s="3">
        <v>9.5299999999999994</v>
      </c>
      <c r="L259" s="3">
        <v>8.92</v>
      </c>
      <c r="M259" s="3">
        <v>1.0509999999999999</v>
      </c>
      <c r="N259" s="3">
        <v>1</v>
      </c>
      <c r="O259" s="3">
        <v>15.73</v>
      </c>
      <c r="P259" s="3">
        <v>1559</v>
      </c>
      <c r="Q259" s="3">
        <v>110.5</v>
      </c>
      <c r="R259" s="3">
        <v>2328</v>
      </c>
      <c r="S259" s="3">
        <v>19.04</v>
      </c>
      <c r="T259" s="3">
        <v>19.82</v>
      </c>
      <c r="U259" s="3">
        <v>15.97</v>
      </c>
      <c r="V259" s="3">
        <v>13.35</v>
      </c>
      <c r="W259" s="3">
        <v>9.8699999999999992</v>
      </c>
      <c r="X259" s="3">
        <v>9.39</v>
      </c>
      <c r="Y259" s="3">
        <v>3.16</v>
      </c>
      <c r="Z259" s="3">
        <v>849</v>
      </c>
      <c r="AA259" s="3">
        <v>4.3940000000000001</v>
      </c>
      <c r="AB259" s="3">
        <v>2154</v>
      </c>
      <c r="AC259" s="3">
        <v>78</v>
      </c>
      <c r="AD259" s="3">
        <v>1634</v>
      </c>
      <c r="AE259" s="3">
        <v>3.5419999999999998</v>
      </c>
      <c r="AF259" s="3">
        <v>3.2280000000000002</v>
      </c>
      <c r="AG259" s="3">
        <v>4.141</v>
      </c>
      <c r="AH259" s="3">
        <v>8.0399999999999991</v>
      </c>
      <c r="AI259" s="3">
        <v>9.01</v>
      </c>
      <c r="AJ259" s="3">
        <v>8.36</v>
      </c>
      <c r="AK259" s="3">
        <v>9.9000000000000005E-2</v>
      </c>
      <c r="AL259" s="3">
        <v>0.23699999999999999</v>
      </c>
      <c r="AM259" s="3">
        <v>0.151</v>
      </c>
      <c r="AN259" s="3">
        <v>5.2999999999999999E-2</v>
      </c>
      <c r="AO259" s="3">
        <v>0.156</v>
      </c>
      <c r="AP259" s="3">
        <v>0.16900000000000001</v>
      </c>
      <c r="AQ259" s="3">
        <v>0.06</v>
      </c>
      <c r="AR259" s="3">
        <v>7.3999999999999996E-2</v>
      </c>
      <c r="AS259" s="3">
        <v>3512</v>
      </c>
      <c r="AT259" s="3">
        <v>3508</v>
      </c>
      <c r="AU259" s="3">
        <v>3510</v>
      </c>
      <c r="AV259" s="3">
        <v>9.18</v>
      </c>
      <c r="AW259" s="3">
        <v>9.07</v>
      </c>
      <c r="AX259" s="3">
        <v>18.34</v>
      </c>
      <c r="AY259" s="3">
        <v>19.03</v>
      </c>
      <c r="AZ259" s="3">
        <v>4.2329999999999997</v>
      </c>
      <c r="BA259" s="3">
        <v>3.8239999999999998</v>
      </c>
      <c r="BB259" s="3">
        <v>12.98</v>
      </c>
      <c r="BC259" s="3">
        <v>2876</v>
      </c>
      <c r="BG259" s="16">
        <v>20.45</v>
      </c>
      <c r="BH259" s="16">
        <f t="shared" si="121"/>
        <v>41.308999999999997</v>
      </c>
      <c r="BI259" s="17">
        <f t="shared" si="154"/>
        <v>15.93</v>
      </c>
      <c r="BJ259" s="17">
        <f t="shared" si="155"/>
        <v>35.479999999999997</v>
      </c>
      <c r="BL259" s="1">
        <f t="shared" si="122"/>
        <v>99</v>
      </c>
      <c r="BM259" s="1">
        <f t="shared" si="123"/>
        <v>87.9</v>
      </c>
      <c r="BN259" s="1">
        <f t="shared" si="124"/>
        <v>61.6</v>
      </c>
      <c r="BO259" s="49">
        <f t="shared" si="130"/>
        <v>1.101</v>
      </c>
      <c r="BP259" s="49">
        <f t="shared" si="131"/>
        <v>0.68600000000000005</v>
      </c>
      <c r="BR259" s="3">
        <v>0.2</v>
      </c>
      <c r="BT259" s="16">
        <f t="shared" si="125"/>
        <v>15.93</v>
      </c>
      <c r="BU259" s="16">
        <f t="shared" si="126"/>
        <v>35.479999999999997</v>
      </c>
      <c r="BV259" s="3">
        <f t="shared" si="127"/>
        <v>8.6</v>
      </c>
      <c r="BW259" s="3">
        <f t="shared" si="153"/>
        <v>8.6</v>
      </c>
      <c r="BX259" s="3">
        <f t="shared" si="153"/>
        <v>8.5</v>
      </c>
      <c r="BY259" s="3">
        <f t="shared" si="153"/>
        <v>8.6999999999999993</v>
      </c>
      <c r="BZ259" s="3">
        <f t="shared" si="153"/>
        <v>10</v>
      </c>
      <c r="CA259" s="3">
        <f t="shared" si="153"/>
        <v>9.5</v>
      </c>
      <c r="CB259" s="3">
        <f t="shared" si="153"/>
        <v>8.9</v>
      </c>
      <c r="CC259" s="22">
        <f t="shared" si="128"/>
        <v>87.9</v>
      </c>
      <c r="CD259" s="1">
        <f t="shared" si="132"/>
        <v>15.7</v>
      </c>
      <c r="CE259" s="1">
        <f t="shared" si="133"/>
        <v>19</v>
      </c>
      <c r="CF259" s="1">
        <f t="shared" si="134"/>
        <v>19.8</v>
      </c>
      <c r="CG259" s="1">
        <f t="shared" si="135"/>
        <v>16</v>
      </c>
      <c r="CH259" s="1">
        <f t="shared" si="136"/>
        <v>13.4</v>
      </c>
      <c r="CI259" s="1">
        <f t="shared" si="137"/>
        <v>9.9</v>
      </c>
      <c r="CJ259" s="1">
        <f t="shared" si="138"/>
        <v>9.4</v>
      </c>
      <c r="CK259" s="2">
        <f t="shared" si="129"/>
        <v>99</v>
      </c>
      <c r="CL259" s="1">
        <f t="shared" si="139"/>
        <v>4.4000000000000004</v>
      </c>
      <c r="CM259" s="1">
        <f t="shared" si="140"/>
        <v>3.5</v>
      </c>
      <c r="CN259" s="1">
        <f t="shared" si="141"/>
        <v>3.2</v>
      </c>
      <c r="CO259" s="1">
        <f t="shared" si="142"/>
        <v>4.0999999999999996</v>
      </c>
      <c r="CP259" s="1">
        <f t="shared" si="143"/>
        <v>8</v>
      </c>
      <c r="CQ259" s="1">
        <f t="shared" si="144"/>
        <v>9</v>
      </c>
      <c r="CR259" s="1">
        <f t="shared" si="145"/>
        <v>8.4</v>
      </c>
      <c r="CS259" s="2">
        <f t="shared" si="146"/>
        <v>61.6</v>
      </c>
      <c r="CT259" s="6">
        <f t="shared" si="147"/>
        <v>0</v>
      </c>
      <c r="CU259" s="1">
        <f>PPTest!K259</f>
        <v>1</v>
      </c>
      <c r="CV259" s="3">
        <f t="shared" si="148"/>
        <v>1.05</v>
      </c>
      <c r="CW259" s="3">
        <f t="shared" si="149"/>
        <v>3.16</v>
      </c>
      <c r="CX259" s="24">
        <f t="shared" si="150"/>
        <v>1.101</v>
      </c>
      <c r="CY259" s="24">
        <f t="shared" si="150"/>
        <v>0.68600000000000005</v>
      </c>
      <c r="CZ259" s="16">
        <f t="shared" si="151"/>
        <v>12.98</v>
      </c>
    </row>
    <row r="260" spans="1:104" x14ac:dyDescent="0.2">
      <c r="A260" s="14">
        <f t="shared" si="152"/>
        <v>38971</v>
      </c>
      <c r="B260" s="1">
        <v>254</v>
      </c>
      <c r="C260" s="3">
        <v>18.399999999999999</v>
      </c>
      <c r="D260" s="3">
        <v>33.21</v>
      </c>
      <c r="E260" s="3">
        <v>9.57</v>
      </c>
      <c r="F260" s="3">
        <v>88.9</v>
      </c>
      <c r="G260" s="3">
        <v>9.4700000000000006</v>
      </c>
      <c r="H260" s="3">
        <v>9.42</v>
      </c>
      <c r="I260" s="3">
        <v>8.19</v>
      </c>
      <c r="J260" s="3">
        <v>9.9700000000000006</v>
      </c>
      <c r="K260" s="3">
        <v>9.52</v>
      </c>
      <c r="L260" s="3">
        <v>8.81</v>
      </c>
      <c r="M260" s="3">
        <v>1.516</v>
      </c>
      <c r="N260" s="3">
        <v>0</v>
      </c>
      <c r="O260" s="3">
        <v>18.920000000000002</v>
      </c>
      <c r="P260" s="3">
        <v>1604</v>
      </c>
      <c r="Q260" s="3">
        <v>110.7</v>
      </c>
      <c r="R260" s="3">
        <v>541</v>
      </c>
      <c r="S260" s="3">
        <v>23.06</v>
      </c>
      <c r="T260" s="3">
        <v>24.5</v>
      </c>
      <c r="U260" s="3">
        <v>18.07</v>
      </c>
      <c r="V260" s="3">
        <v>13.81</v>
      </c>
      <c r="W260" s="3">
        <v>10.11</v>
      </c>
      <c r="X260" s="3">
        <v>9.59</v>
      </c>
      <c r="Y260" s="3">
        <v>3.9710000000000001</v>
      </c>
      <c r="Z260" s="3">
        <v>1336</v>
      </c>
      <c r="AA260" s="3">
        <v>1.0569999999999999</v>
      </c>
      <c r="AB260" s="3">
        <v>506</v>
      </c>
      <c r="AC260" s="3">
        <v>49.51</v>
      </c>
      <c r="AD260" s="3">
        <v>1327</v>
      </c>
      <c r="AE260" s="3">
        <v>0.26200000000000001</v>
      </c>
      <c r="AF260" s="3">
        <v>2E-3</v>
      </c>
      <c r="AG260" s="3">
        <v>1.1910000000000001</v>
      </c>
      <c r="AH260" s="3">
        <v>6.9450000000000003</v>
      </c>
      <c r="AI260" s="3">
        <v>8.81</v>
      </c>
      <c r="AJ260" s="3">
        <v>8.14</v>
      </c>
      <c r="AK260" s="3">
        <v>1.2999999999999999E-2</v>
      </c>
      <c r="AL260" s="3">
        <v>0.33</v>
      </c>
      <c r="AM260" s="3">
        <v>0.26800000000000002</v>
      </c>
      <c r="AN260" s="3">
        <v>2.4E-2</v>
      </c>
      <c r="AO260" s="3">
        <v>8.5000000000000006E-2</v>
      </c>
      <c r="AP260" s="3">
        <v>0.16300000000000001</v>
      </c>
      <c r="AQ260" s="3">
        <v>7.9000000000000001E-2</v>
      </c>
      <c r="AR260" s="3">
        <v>3.7999999999999999E-2</v>
      </c>
      <c r="AS260" s="3">
        <v>3509</v>
      </c>
      <c r="AT260" s="3">
        <v>3473</v>
      </c>
      <c r="AU260" s="3">
        <v>3494</v>
      </c>
      <c r="AV260" s="3">
        <v>9.7200000000000006</v>
      </c>
      <c r="AW260" s="3">
        <v>9.6199999999999992</v>
      </c>
      <c r="AX260" s="3">
        <v>22.84</v>
      </c>
      <c r="AY260" s="3">
        <v>23.57</v>
      </c>
      <c r="AZ260" s="3">
        <v>0.45700000000000002</v>
      </c>
      <c r="BA260" s="3">
        <v>0.23200000000000001</v>
      </c>
      <c r="BB260" s="3">
        <v>12.94</v>
      </c>
      <c r="BC260" s="3">
        <v>2876</v>
      </c>
      <c r="BG260" s="16">
        <v>20.2</v>
      </c>
      <c r="BH260" s="16">
        <f t="shared" si="121"/>
        <v>40.804000000000002</v>
      </c>
      <c r="BI260" s="17">
        <f t="shared" si="154"/>
        <v>18.03</v>
      </c>
      <c r="BJ260" s="17">
        <f t="shared" si="155"/>
        <v>36.53</v>
      </c>
      <c r="BL260" s="1">
        <f t="shared" si="122"/>
        <v>99.3</v>
      </c>
      <c r="BM260" s="1">
        <f t="shared" si="123"/>
        <v>71.2</v>
      </c>
      <c r="BN260" s="1">
        <f t="shared" si="124"/>
        <v>36.6</v>
      </c>
      <c r="BO260" s="49">
        <f t="shared" si="130"/>
        <v>0.8</v>
      </c>
      <c r="BP260" s="49">
        <f t="shared" si="131"/>
        <v>1.3859999999999999</v>
      </c>
      <c r="BR260" s="3">
        <v>0</v>
      </c>
      <c r="BT260" s="16">
        <f t="shared" si="125"/>
        <v>18.03</v>
      </c>
      <c r="BU260" s="16">
        <f t="shared" si="126"/>
        <v>36.53</v>
      </c>
      <c r="BV260" s="3">
        <f t="shared" si="127"/>
        <v>9.6</v>
      </c>
      <c r="BW260" s="3">
        <f t="shared" si="153"/>
        <v>9.5</v>
      </c>
      <c r="BX260" s="3">
        <f t="shared" si="153"/>
        <v>9.4</v>
      </c>
      <c r="BY260" s="3">
        <f t="shared" si="153"/>
        <v>8.1999999999999993</v>
      </c>
      <c r="BZ260" s="3">
        <f t="shared" si="153"/>
        <v>10</v>
      </c>
      <c r="CA260" s="3">
        <f t="shared" si="153"/>
        <v>9.5</v>
      </c>
      <c r="CB260" s="3">
        <f t="shared" si="153"/>
        <v>8.8000000000000007</v>
      </c>
      <c r="CC260" s="22">
        <f t="shared" si="128"/>
        <v>71.2</v>
      </c>
      <c r="CD260" s="1">
        <f t="shared" si="132"/>
        <v>18.899999999999999</v>
      </c>
      <c r="CE260" s="1">
        <f t="shared" si="133"/>
        <v>23.1</v>
      </c>
      <c r="CF260" s="1">
        <f t="shared" si="134"/>
        <v>24.5</v>
      </c>
      <c r="CG260" s="1">
        <f t="shared" si="135"/>
        <v>18.100000000000001</v>
      </c>
      <c r="CH260" s="1">
        <f t="shared" si="136"/>
        <v>13.8</v>
      </c>
      <c r="CI260" s="1">
        <f t="shared" si="137"/>
        <v>10.1</v>
      </c>
      <c r="CJ260" s="1">
        <f t="shared" si="138"/>
        <v>9.6</v>
      </c>
      <c r="CK260" s="2">
        <f t="shared" si="129"/>
        <v>99.3</v>
      </c>
      <c r="CL260" s="1">
        <f t="shared" si="139"/>
        <v>1.1000000000000001</v>
      </c>
      <c r="CM260" s="1">
        <f t="shared" si="140"/>
        <v>0.3</v>
      </c>
      <c r="CN260" s="1">
        <f t="shared" si="141"/>
        <v>0</v>
      </c>
      <c r="CO260" s="1">
        <f t="shared" si="142"/>
        <v>1.2</v>
      </c>
      <c r="CP260" s="1">
        <f t="shared" si="143"/>
        <v>6.9</v>
      </c>
      <c r="CQ260" s="1">
        <f t="shared" si="144"/>
        <v>8.8000000000000007</v>
      </c>
      <c r="CR260" s="1">
        <f t="shared" si="145"/>
        <v>8.1</v>
      </c>
      <c r="CS260" s="2">
        <f t="shared" si="146"/>
        <v>36.6</v>
      </c>
      <c r="CT260" s="6">
        <f t="shared" si="147"/>
        <v>0</v>
      </c>
      <c r="CU260" s="1">
        <f>PPTest!K260</f>
        <v>0</v>
      </c>
      <c r="CV260" s="3">
        <f t="shared" si="148"/>
        <v>1.52</v>
      </c>
      <c r="CW260" s="3">
        <f t="shared" si="149"/>
        <v>3.97</v>
      </c>
      <c r="CX260" s="24">
        <f t="shared" si="150"/>
        <v>0.8</v>
      </c>
      <c r="CY260" s="24">
        <f t="shared" si="150"/>
        <v>1.3859999999999999</v>
      </c>
      <c r="CZ260" s="16">
        <f t="shared" si="151"/>
        <v>12.94</v>
      </c>
    </row>
    <row r="261" spans="1:104" x14ac:dyDescent="0.2">
      <c r="A261" s="14">
        <f t="shared" si="152"/>
        <v>38972</v>
      </c>
      <c r="B261" s="1">
        <v>255</v>
      </c>
      <c r="C261" s="3">
        <v>18.059999999999999</v>
      </c>
      <c r="D261" s="3">
        <v>32.03</v>
      </c>
      <c r="E261" s="3">
        <v>9.49</v>
      </c>
      <c r="F261" s="3">
        <v>88.2</v>
      </c>
      <c r="G261" s="3">
        <v>9.41</v>
      </c>
      <c r="H261" s="3">
        <v>9.35</v>
      </c>
      <c r="I261" s="3">
        <v>8.3800000000000008</v>
      </c>
      <c r="J261" s="3">
        <v>9.9499999999999993</v>
      </c>
      <c r="K261" s="3">
        <v>9.61</v>
      </c>
      <c r="L261" s="3">
        <v>8.7799999999999994</v>
      </c>
      <c r="M261" s="3">
        <v>1.45</v>
      </c>
      <c r="N261" s="3">
        <v>0</v>
      </c>
      <c r="O261" s="3">
        <v>18.32</v>
      </c>
      <c r="P261" s="3">
        <v>1459</v>
      </c>
      <c r="Q261" s="3">
        <v>110.6</v>
      </c>
      <c r="R261" s="3">
        <v>549</v>
      </c>
      <c r="S261" s="3">
        <v>20.94</v>
      </c>
      <c r="T261" s="3">
        <v>22.72</v>
      </c>
      <c r="U261" s="3">
        <v>18.579999999999998</v>
      </c>
      <c r="V261" s="3">
        <v>13.25</v>
      </c>
      <c r="W261" s="3">
        <v>10.11</v>
      </c>
      <c r="X261" s="3">
        <v>9.4700000000000006</v>
      </c>
      <c r="Y261" s="3">
        <v>4.6500000000000004</v>
      </c>
      <c r="Z261" s="3">
        <v>1049</v>
      </c>
      <c r="AA261" s="3">
        <v>2.2240000000000002</v>
      </c>
      <c r="AB261" s="3">
        <v>541</v>
      </c>
      <c r="AC261" s="3">
        <v>41.84</v>
      </c>
      <c r="AD261" s="3">
        <v>1507</v>
      </c>
      <c r="AE261" s="3">
        <v>1.5449999999999999</v>
      </c>
      <c r="AF261" s="3">
        <v>1.19</v>
      </c>
      <c r="AG261" s="3">
        <v>2.3149999999999999</v>
      </c>
      <c r="AH261" s="3">
        <v>7.13</v>
      </c>
      <c r="AI261" s="3">
        <v>8.98</v>
      </c>
      <c r="AJ261" s="3">
        <v>8.1</v>
      </c>
      <c r="AK261" s="3">
        <v>5.8000000000000003E-2</v>
      </c>
      <c r="AL261" s="3">
        <v>0.28999999999999998</v>
      </c>
      <c r="AM261" s="3">
        <v>0.28199999999999997</v>
      </c>
      <c r="AN261" s="3">
        <v>1.7000000000000001E-2</v>
      </c>
      <c r="AO261" s="3">
        <v>6.7000000000000004E-2</v>
      </c>
      <c r="AP261" s="3">
        <v>0.126</v>
      </c>
      <c r="AQ261" s="3">
        <v>0.10199999999999999</v>
      </c>
      <c r="AR261" s="3">
        <v>5.8000000000000003E-2</v>
      </c>
      <c r="AS261" s="3">
        <v>3511</v>
      </c>
      <c r="AT261" s="3">
        <v>3510</v>
      </c>
      <c r="AU261" s="3">
        <v>3510</v>
      </c>
      <c r="AV261" s="3">
        <v>9.57</v>
      </c>
      <c r="AW261" s="3">
        <v>9.48</v>
      </c>
      <c r="AX261" s="3">
        <v>21.26</v>
      </c>
      <c r="AY261" s="3">
        <v>21.55</v>
      </c>
      <c r="AZ261" s="3">
        <v>1.4870000000000001</v>
      </c>
      <c r="BA261" s="3">
        <v>1.2789999999999999</v>
      </c>
      <c r="BB261" s="3">
        <v>12.94</v>
      </c>
      <c r="BC261" s="3">
        <v>2876</v>
      </c>
      <c r="BG261" s="16">
        <v>19.940000000000001</v>
      </c>
      <c r="BH261" s="16">
        <f t="shared" si="121"/>
        <v>40.278800000000004</v>
      </c>
      <c r="BI261" s="17">
        <f t="shared" si="154"/>
        <v>17.7</v>
      </c>
      <c r="BJ261" s="17">
        <f t="shared" si="155"/>
        <v>35.229999999999997</v>
      </c>
      <c r="BL261" s="1">
        <f t="shared" si="122"/>
        <v>99.2</v>
      </c>
      <c r="BM261" s="1">
        <f t="shared" si="123"/>
        <v>70.599999999999994</v>
      </c>
      <c r="BN261" s="1">
        <f t="shared" si="124"/>
        <v>29.8</v>
      </c>
      <c r="BO261" s="49">
        <f t="shared" si="130"/>
        <v>0.627</v>
      </c>
      <c r="BP261" s="49">
        <f t="shared" si="131"/>
        <v>1.4770000000000001</v>
      </c>
      <c r="BR261" s="3">
        <v>0.2</v>
      </c>
      <c r="BT261" s="16">
        <f t="shared" si="125"/>
        <v>17.7</v>
      </c>
      <c r="BU261" s="16">
        <f t="shared" si="126"/>
        <v>35.229999999999997</v>
      </c>
      <c r="BV261" s="3">
        <f t="shared" si="127"/>
        <v>9.5</v>
      </c>
      <c r="BW261" s="3">
        <f t="shared" si="153"/>
        <v>9.4</v>
      </c>
      <c r="BX261" s="3">
        <f t="shared" si="153"/>
        <v>9.4</v>
      </c>
      <c r="BY261" s="3">
        <f t="shared" si="153"/>
        <v>8.4</v>
      </c>
      <c r="BZ261" s="3">
        <f t="shared" si="153"/>
        <v>10</v>
      </c>
      <c r="CA261" s="3">
        <f t="shared" si="153"/>
        <v>9.6</v>
      </c>
      <c r="CB261" s="3">
        <f t="shared" si="153"/>
        <v>8.8000000000000007</v>
      </c>
      <c r="CC261" s="22">
        <f t="shared" si="128"/>
        <v>70.599999999999994</v>
      </c>
      <c r="CD261" s="1">
        <f t="shared" si="132"/>
        <v>18.3</v>
      </c>
      <c r="CE261" s="1">
        <f t="shared" si="133"/>
        <v>20.9</v>
      </c>
      <c r="CF261" s="1">
        <f t="shared" si="134"/>
        <v>22.7</v>
      </c>
      <c r="CG261" s="1">
        <f t="shared" si="135"/>
        <v>18.600000000000001</v>
      </c>
      <c r="CH261" s="1">
        <f t="shared" si="136"/>
        <v>13.3</v>
      </c>
      <c r="CI261" s="1">
        <f t="shared" si="137"/>
        <v>10.1</v>
      </c>
      <c r="CJ261" s="1">
        <f t="shared" si="138"/>
        <v>9.5</v>
      </c>
      <c r="CK261" s="2">
        <f t="shared" si="129"/>
        <v>99.2</v>
      </c>
      <c r="CL261" s="1">
        <f t="shared" si="139"/>
        <v>2.2000000000000002</v>
      </c>
      <c r="CM261" s="1">
        <f t="shared" si="140"/>
        <v>1.5</v>
      </c>
      <c r="CN261" s="1">
        <f t="shared" si="141"/>
        <v>1.2</v>
      </c>
      <c r="CO261" s="1">
        <f t="shared" si="142"/>
        <v>2.2999999999999998</v>
      </c>
      <c r="CP261" s="1">
        <f t="shared" si="143"/>
        <v>7.1</v>
      </c>
      <c r="CQ261" s="1">
        <f t="shared" si="144"/>
        <v>9</v>
      </c>
      <c r="CR261" s="1">
        <f t="shared" si="145"/>
        <v>8.1</v>
      </c>
      <c r="CS261" s="2">
        <f t="shared" si="146"/>
        <v>29.8</v>
      </c>
      <c r="CT261" s="6">
        <f t="shared" si="147"/>
        <v>0</v>
      </c>
      <c r="CU261" s="1">
        <f>PPTest!K261</f>
        <v>0</v>
      </c>
      <c r="CV261" s="3">
        <f t="shared" si="148"/>
        <v>1.45</v>
      </c>
      <c r="CW261" s="3">
        <f t="shared" si="149"/>
        <v>4.6500000000000004</v>
      </c>
      <c r="CX261" s="24">
        <f t="shared" si="150"/>
        <v>0.627</v>
      </c>
      <c r="CY261" s="24">
        <f t="shared" si="150"/>
        <v>1.4770000000000001</v>
      </c>
      <c r="CZ261" s="16">
        <f t="shared" si="151"/>
        <v>12.94</v>
      </c>
    </row>
    <row r="262" spans="1:104" x14ac:dyDescent="0.2">
      <c r="A262" s="14">
        <f t="shared" si="152"/>
        <v>38973</v>
      </c>
      <c r="B262" s="1">
        <v>256</v>
      </c>
      <c r="C262" s="3">
        <v>10.93</v>
      </c>
      <c r="D262" s="3">
        <v>20.85</v>
      </c>
      <c r="E262" s="3">
        <v>4.9530000000000003</v>
      </c>
      <c r="F262" s="3">
        <v>104.9</v>
      </c>
      <c r="G262" s="3">
        <v>5.0090000000000003</v>
      </c>
      <c r="H262" s="3">
        <v>4.97</v>
      </c>
      <c r="I262" s="3">
        <v>5.2110000000000003</v>
      </c>
      <c r="J262" s="3">
        <v>8.23</v>
      </c>
      <c r="K262" s="3">
        <v>9.39</v>
      </c>
      <c r="L262" s="3">
        <v>8.75</v>
      </c>
      <c r="M262" s="3">
        <v>1.052</v>
      </c>
      <c r="N262" s="3">
        <v>18</v>
      </c>
      <c r="O262" s="3">
        <v>10.74</v>
      </c>
      <c r="P262" s="3">
        <v>1206</v>
      </c>
      <c r="Q262" s="3">
        <v>110.7</v>
      </c>
      <c r="R262" s="3">
        <v>1814</v>
      </c>
      <c r="S262" s="3">
        <v>16.2</v>
      </c>
      <c r="T262" s="3">
        <v>17.18</v>
      </c>
      <c r="U262" s="3">
        <v>14.8</v>
      </c>
      <c r="V262" s="3">
        <v>11.37</v>
      </c>
      <c r="W262" s="3">
        <v>10.11</v>
      </c>
      <c r="X262" s="3">
        <v>9.33</v>
      </c>
      <c r="Y262" s="3">
        <v>3.9580000000000002</v>
      </c>
      <c r="Z262" s="3">
        <v>1222</v>
      </c>
      <c r="AA262" s="3">
        <v>2.0640000000000001</v>
      </c>
      <c r="AB262" s="3">
        <v>2352</v>
      </c>
      <c r="AC262" s="3">
        <v>78.400000000000006</v>
      </c>
      <c r="AD262" s="3">
        <v>1242</v>
      </c>
      <c r="AE262" s="3">
        <v>0.64100000000000001</v>
      </c>
      <c r="AF262" s="3">
        <v>0.58399999999999996</v>
      </c>
      <c r="AG262" s="3">
        <v>1.5309999999999999</v>
      </c>
      <c r="AH262" s="3">
        <v>6.5330000000000004</v>
      </c>
      <c r="AI262" s="3">
        <v>8.2100000000000009</v>
      </c>
      <c r="AJ262" s="3">
        <v>7.6</v>
      </c>
      <c r="AK262" s="3">
        <v>7.3999999999999996E-2</v>
      </c>
      <c r="AL262" s="3">
        <v>0.23400000000000001</v>
      </c>
      <c r="AM262" s="3">
        <v>0.17</v>
      </c>
      <c r="AN262" s="3">
        <v>6.6000000000000003E-2</v>
      </c>
      <c r="AO262" s="3">
        <v>0.14000000000000001</v>
      </c>
      <c r="AP262" s="3">
        <v>0.19400000000000001</v>
      </c>
      <c r="AQ262" s="3">
        <v>7.3999999999999996E-2</v>
      </c>
      <c r="AR262" s="3">
        <v>4.8000000000000001E-2</v>
      </c>
      <c r="AS262" s="3">
        <v>3507</v>
      </c>
      <c r="AT262" s="3">
        <v>3504</v>
      </c>
      <c r="AU262" s="3">
        <v>3505</v>
      </c>
      <c r="AV262" s="3">
        <v>5.65</v>
      </c>
      <c r="AW262" s="3">
        <v>5.5039999999999996</v>
      </c>
      <c r="AX262" s="3">
        <v>13.94</v>
      </c>
      <c r="AY262" s="3">
        <v>15.01</v>
      </c>
      <c r="AZ262" s="3">
        <v>2.35</v>
      </c>
      <c r="BA262" s="3">
        <v>2.1760000000000002</v>
      </c>
      <c r="BB262" s="3">
        <v>12.98</v>
      </c>
      <c r="BC262" s="3">
        <v>2876</v>
      </c>
      <c r="BG262" s="16">
        <v>19.68</v>
      </c>
      <c r="BH262" s="16">
        <f t="shared" si="121"/>
        <v>39.753599999999999</v>
      </c>
      <c r="BI262" s="17">
        <f t="shared" si="154"/>
        <v>10.71</v>
      </c>
      <c r="BJ262" s="17">
        <f t="shared" si="155"/>
        <v>22.94</v>
      </c>
      <c r="BL262" s="1">
        <f t="shared" si="122"/>
        <v>99.3</v>
      </c>
      <c r="BM262" s="1">
        <f t="shared" si="123"/>
        <v>90.1</v>
      </c>
      <c r="BN262" s="1">
        <f t="shared" si="124"/>
        <v>62</v>
      </c>
      <c r="BO262" s="49">
        <f t="shared" si="130"/>
        <v>0.8</v>
      </c>
      <c r="BP262" s="49">
        <f t="shared" si="131"/>
        <v>0.49</v>
      </c>
      <c r="BR262" s="3">
        <v>23.2</v>
      </c>
      <c r="BT262" s="16">
        <f t="shared" si="125"/>
        <v>10.71</v>
      </c>
      <c r="BU262" s="16">
        <f t="shared" si="126"/>
        <v>22.94</v>
      </c>
      <c r="BV262" s="3">
        <f t="shared" si="127"/>
        <v>5</v>
      </c>
      <c r="BW262" s="3">
        <f t="shared" si="153"/>
        <v>5</v>
      </c>
      <c r="BX262" s="3">
        <f t="shared" si="153"/>
        <v>5</v>
      </c>
      <c r="BY262" s="3">
        <f t="shared" si="153"/>
        <v>5.2</v>
      </c>
      <c r="BZ262" s="3">
        <f t="shared" si="153"/>
        <v>8.1999999999999993</v>
      </c>
      <c r="CA262" s="3">
        <f t="shared" si="153"/>
        <v>9.4</v>
      </c>
      <c r="CB262" s="3">
        <f t="shared" si="153"/>
        <v>8.8000000000000007</v>
      </c>
      <c r="CC262" s="22">
        <f t="shared" si="128"/>
        <v>90.1</v>
      </c>
      <c r="CD262" s="1">
        <f t="shared" si="132"/>
        <v>10.7</v>
      </c>
      <c r="CE262" s="1">
        <f t="shared" si="133"/>
        <v>16.2</v>
      </c>
      <c r="CF262" s="1">
        <f t="shared" si="134"/>
        <v>17.2</v>
      </c>
      <c r="CG262" s="1">
        <f t="shared" si="135"/>
        <v>14.8</v>
      </c>
      <c r="CH262" s="1">
        <f t="shared" si="136"/>
        <v>11.4</v>
      </c>
      <c r="CI262" s="1">
        <f t="shared" si="137"/>
        <v>10.1</v>
      </c>
      <c r="CJ262" s="1">
        <f t="shared" si="138"/>
        <v>9.3000000000000007</v>
      </c>
      <c r="CK262" s="2">
        <f t="shared" si="129"/>
        <v>99.3</v>
      </c>
      <c r="CL262" s="1">
        <f t="shared" si="139"/>
        <v>2.1</v>
      </c>
      <c r="CM262" s="1">
        <f t="shared" si="140"/>
        <v>0.6</v>
      </c>
      <c r="CN262" s="1">
        <f t="shared" si="141"/>
        <v>0.6</v>
      </c>
      <c r="CO262" s="1">
        <f t="shared" si="142"/>
        <v>1.5</v>
      </c>
      <c r="CP262" s="1">
        <f t="shared" si="143"/>
        <v>6.5</v>
      </c>
      <c r="CQ262" s="1">
        <f t="shared" si="144"/>
        <v>8.1999999999999993</v>
      </c>
      <c r="CR262" s="1">
        <f t="shared" si="145"/>
        <v>7.6</v>
      </c>
      <c r="CS262" s="2">
        <f t="shared" si="146"/>
        <v>62</v>
      </c>
      <c r="CT262" s="6">
        <f t="shared" si="147"/>
        <v>0</v>
      </c>
      <c r="CU262" s="1">
        <f>PPTest!K262</f>
        <v>18</v>
      </c>
      <c r="CV262" s="3">
        <f t="shared" si="148"/>
        <v>1.05</v>
      </c>
      <c r="CW262" s="3">
        <f t="shared" si="149"/>
        <v>3.96</v>
      </c>
      <c r="CX262" s="24">
        <f t="shared" si="150"/>
        <v>0.8</v>
      </c>
      <c r="CY262" s="24">
        <f t="shared" si="150"/>
        <v>0.49</v>
      </c>
      <c r="CZ262" s="16">
        <f t="shared" si="151"/>
        <v>12.98</v>
      </c>
    </row>
    <row r="263" spans="1:104" x14ac:dyDescent="0.2">
      <c r="A263" s="14">
        <f t="shared" si="152"/>
        <v>38974</v>
      </c>
      <c r="B263" s="1">
        <v>257</v>
      </c>
      <c r="C263" s="3">
        <v>4.1369999999999996</v>
      </c>
      <c r="D263" s="3">
        <v>9.52</v>
      </c>
      <c r="E263" s="3">
        <v>1.28</v>
      </c>
      <c r="F263" s="3">
        <v>110.2</v>
      </c>
      <c r="G263" s="3">
        <v>1.111</v>
      </c>
      <c r="H263" s="3">
        <v>1.095</v>
      </c>
      <c r="I263" s="3">
        <v>2.27</v>
      </c>
      <c r="J263" s="3">
        <v>5.9219999999999997</v>
      </c>
      <c r="K263" s="3">
        <v>8.15</v>
      </c>
      <c r="L263" s="3">
        <v>8.6300000000000008</v>
      </c>
      <c r="M263" s="3">
        <v>0.88600000000000001</v>
      </c>
      <c r="N263" s="3">
        <v>24</v>
      </c>
      <c r="O263" s="3">
        <v>3.5150000000000001</v>
      </c>
      <c r="P263" s="3">
        <v>929</v>
      </c>
      <c r="Q263" s="3">
        <v>110.9</v>
      </c>
      <c r="R263" s="3">
        <v>2158</v>
      </c>
      <c r="S263" s="3">
        <v>4.2350000000000003</v>
      </c>
      <c r="T263" s="3">
        <v>4.484</v>
      </c>
      <c r="U263" s="3">
        <v>5.0309999999999997</v>
      </c>
      <c r="V263" s="3">
        <v>6.556</v>
      </c>
      <c r="W263" s="3">
        <v>8.8000000000000007</v>
      </c>
      <c r="X263" s="3">
        <v>8.89</v>
      </c>
      <c r="Y263" s="3">
        <v>2.7879999999999998</v>
      </c>
      <c r="Z263" s="3">
        <v>933</v>
      </c>
      <c r="AA263" s="3">
        <v>-0.11799999999999999</v>
      </c>
      <c r="AB263" s="3">
        <v>2109</v>
      </c>
      <c r="AC263" s="3">
        <v>106.1</v>
      </c>
      <c r="AD263" s="3">
        <v>933</v>
      </c>
      <c r="AE263" s="3">
        <v>-0.54900000000000004</v>
      </c>
      <c r="AF263" s="3">
        <v>-0.68500000000000005</v>
      </c>
      <c r="AG263" s="3">
        <v>1.0209999999999999</v>
      </c>
      <c r="AH263" s="3">
        <v>5.149</v>
      </c>
      <c r="AI263" s="3">
        <v>7.65</v>
      </c>
      <c r="AJ263" s="3">
        <v>8.4700000000000006</v>
      </c>
      <c r="AK263" s="3">
        <v>0.32800000000000001</v>
      </c>
      <c r="AL263" s="3">
        <v>0.48799999999999999</v>
      </c>
      <c r="AM263" s="3">
        <v>0.126</v>
      </c>
      <c r="AN263" s="3">
        <v>1.4999999999999999E-2</v>
      </c>
      <c r="AO263" s="3">
        <v>1.4999999999999999E-2</v>
      </c>
      <c r="AP263" s="3">
        <v>8.0000000000000002E-3</v>
      </c>
      <c r="AQ263" s="3">
        <v>6.0000000000000001E-3</v>
      </c>
      <c r="AR263" s="3">
        <v>1.4999999999999999E-2</v>
      </c>
      <c r="AS263" s="3">
        <v>3509</v>
      </c>
      <c r="AT263" s="3">
        <v>3508</v>
      </c>
      <c r="AU263" s="3">
        <v>3508</v>
      </c>
      <c r="AV263" s="3">
        <v>1.5960000000000001</v>
      </c>
      <c r="AW263" s="3">
        <v>1.46</v>
      </c>
      <c r="AX263" s="3">
        <v>3.3849999999999998</v>
      </c>
      <c r="AY263" s="3">
        <v>3.4830000000000001</v>
      </c>
      <c r="AZ263" s="3">
        <v>-5.7000000000000002E-2</v>
      </c>
      <c r="BA263" s="3">
        <v>-0.23899999999999999</v>
      </c>
      <c r="BB263" s="3">
        <v>13.02</v>
      </c>
      <c r="BC263" s="3">
        <v>2876</v>
      </c>
      <c r="BG263" s="16">
        <v>19.43</v>
      </c>
      <c r="BH263" s="16">
        <f t="shared" ref="BH263:BH326" si="156">BG263*$BH$1</f>
        <v>39.248600000000003</v>
      </c>
      <c r="BI263" s="17">
        <f t="shared" si="154"/>
        <v>4.05</v>
      </c>
      <c r="BJ263" s="17">
        <f t="shared" si="155"/>
        <v>10.47</v>
      </c>
      <c r="BL263" s="1">
        <f t="shared" ref="BL263:BL326" si="157">ROUND(IF(Q263&gt;BL$2,100,IF(Q263&gt;BL$3,BM$1*Q263+BM$2, Q263*BM$3+BM$4)),1)</f>
        <v>99.6</v>
      </c>
      <c r="BM263" s="1">
        <f t="shared" ref="BM263:BM326" si="158">ROUND(IF(F263&gt;BL$2,100, IF(F263&gt;BL$3,BM$1*F263+BM$2, F263*BM$3+BM$4)),1)</f>
        <v>98.5</v>
      </c>
      <c r="BN263" s="1">
        <f t="shared" ref="BN263:BN326" si="159">ROUND(IF(AC263&gt;BL$2,100,IF(AC263&gt;BL$3,BM$1*AC263+BM$2, AC263*BM$3+BM$4)),1)</f>
        <v>92</v>
      </c>
      <c r="BO263" s="49">
        <f t="shared" si="130"/>
        <v>0.72299999999999998</v>
      </c>
      <c r="BP263" s="49">
        <f t="shared" si="131"/>
        <v>6.3E-2</v>
      </c>
      <c r="BR263" s="3">
        <v>33.200000000000003</v>
      </c>
      <c r="BT263" s="16">
        <f t="shared" ref="BT263:BT326" si="160">BI263</f>
        <v>4.05</v>
      </c>
      <c r="BU263" s="16">
        <f t="shared" ref="BU263:BU326" si="161">BJ263</f>
        <v>10.47</v>
      </c>
      <c r="BV263" s="3">
        <f t="shared" ref="BV263:BV326" si="162">ROUND(E263,1)</f>
        <v>1.3</v>
      </c>
      <c r="BW263" s="3">
        <f t="shared" si="153"/>
        <v>1.1000000000000001</v>
      </c>
      <c r="BX263" s="3">
        <f t="shared" si="153"/>
        <v>1.1000000000000001</v>
      </c>
      <c r="BY263" s="3">
        <f t="shared" si="153"/>
        <v>2.2999999999999998</v>
      </c>
      <c r="BZ263" s="3">
        <f t="shared" si="153"/>
        <v>5.9</v>
      </c>
      <c r="CA263" s="3">
        <f t="shared" si="153"/>
        <v>8.1999999999999993</v>
      </c>
      <c r="CB263" s="3">
        <f t="shared" si="153"/>
        <v>8.6</v>
      </c>
      <c r="CC263" s="22">
        <f t="shared" ref="CC263:CC326" si="163">ROUND(BM263,1)</f>
        <v>98.5</v>
      </c>
      <c r="CD263" s="1">
        <f t="shared" si="132"/>
        <v>3.5</v>
      </c>
      <c r="CE263" s="1">
        <f t="shared" si="133"/>
        <v>4.2</v>
      </c>
      <c r="CF263" s="1">
        <f t="shared" si="134"/>
        <v>4.5</v>
      </c>
      <c r="CG263" s="1">
        <f t="shared" si="135"/>
        <v>5</v>
      </c>
      <c r="CH263" s="1">
        <f t="shared" si="136"/>
        <v>6.6</v>
      </c>
      <c r="CI263" s="1">
        <f t="shared" si="137"/>
        <v>8.8000000000000007</v>
      </c>
      <c r="CJ263" s="1">
        <f t="shared" si="138"/>
        <v>8.9</v>
      </c>
      <c r="CK263" s="2">
        <f t="shared" ref="CK263:CK326" si="164">ROUND(BL263,1)</f>
        <v>99.6</v>
      </c>
      <c r="CL263" s="1">
        <f t="shared" si="139"/>
        <v>-0.1</v>
      </c>
      <c r="CM263" s="1">
        <f t="shared" si="140"/>
        <v>-0.5</v>
      </c>
      <c r="CN263" s="1">
        <f t="shared" si="141"/>
        <v>-0.7</v>
      </c>
      <c r="CO263" s="1">
        <f t="shared" si="142"/>
        <v>1</v>
      </c>
      <c r="CP263" s="1">
        <f t="shared" si="143"/>
        <v>5.0999999999999996</v>
      </c>
      <c r="CQ263" s="1">
        <f t="shared" si="144"/>
        <v>7.7</v>
      </c>
      <c r="CR263" s="1">
        <f t="shared" si="145"/>
        <v>8.5</v>
      </c>
      <c r="CS263" s="2">
        <f t="shared" si="146"/>
        <v>92</v>
      </c>
      <c r="CT263" s="6">
        <f t="shared" si="147"/>
        <v>0</v>
      </c>
      <c r="CU263" s="1">
        <f>PPTest!K263</f>
        <v>24</v>
      </c>
      <c r="CV263" s="3">
        <f t="shared" si="148"/>
        <v>0.89</v>
      </c>
      <c r="CW263" s="3">
        <f t="shared" si="149"/>
        <v>2.79</v>
      </c>
      <c r="CX263" s="24">
        <f t="shared" si="150"/>
        <v>0.72299999999999998</v>
      </c>
      <c r="CY263" s="24">
        <f t="shared" si="150"/>
        <v>6.3E-2</v>
      </c>
      <c r="CZ263" s="16">
        <f t="shared" si="151"/>
        <v>13.02</v>
      </c>
    </row>
    <row r="264" spans="1:104" x14ac:dyDescent="0.2">
      <c r="A264" s="14">
        <f t="shared" si="152"/>
        <v>38975</v>
      </c>
      <c r="B264" s="1">
        <v>258</v>
      </c>
      <c r="C264" s="3">
        <v>13.13</v>
      </c>
      <c r="D264" s="3">
        <v>24.3</v>
      </c>
      <c r="E264" s="3">
        <v>1.6879999999999999</v>
      </c>
      <c r="F264" s="3">
        <v>105.2</v>
      </c>
      <c r="G264" s="3">
        <v>1.5029999999999999</v>
      </c>
      <c r="H264" s="3">
        <v>1.3129999999999999</v>
      </c>
      <c r="I264" s="3">
        <v>1.742</v>
      </c>
      <c r="J264" s="3">
        <v>5.4969999999999999</v>
      </c>
      <c r="K264" s="3">
        <v>7.32</v>
      </c>
      <c r="L264" s="3">
        <v>8.3800000000000008</v>
      </c>
      <c r="M264" s="3">
        <v>0.84599999999999997</v>
      </c>
      <c r="N264" s="3">
        <v>5</v>
      </c>
      <c r="O264" s="3">
        <v>6.7160000000000002</v>
      </c>
      <c r="P264" s="3">
        <v>1529</v>
      </c>
      <c r="Q264" s="3">
        <v>110.9</v>
      </c>
      <c r="R264" s="3">
        <v>2327</v>
      </c>
      <c r="S264" s="3">
        <v>9.7899999999999991</v>
      </c>
      <c r="T264" s="3">
        <v>9.42</v>
      </c>
      <c r="U264" s="3">
        <v>12.72</v>
      </c>
      <c r="V264" s="3">
        <v>7.31</v>
      </c>
      <c r="W264" s="3">
        <v>7.95</v>
      </c>
      <c r="X264" s="3">
        <v>9</v>
      </c>
      <c r="Y264" s="3">
        <v>3.5190000000000001</v>
      </c>
      <c r="Z264" s="3">
        <v>1348</v>
      </c>
      <c r="AA264" s="3">
        <v>-1.617</v>
      </c>
      <c r="AB264" s="3">
        <v>2306</v>
      </c>
      <c r="AC264" s="3">
        <v>78.5</v>
      </c>
      <c r="AD264" s="3">
        <v>1536</v>
      </c>
      <c r="AE264" s="3">
        <v>-2.4159999999999999</v>
      </c>
      <c r="AF264" s="3">
        <v>-2.8719999999999999</v>
      </c>
      <c r="AG264" s="3">
        <v>-0.95299999999999996</v>
      </c>
      <c r="AH264" s="3">
        <v>4.4119999999999999</v>
      </c>
      <c r="AI264" s="3">
        <v>6.8529999999999998</v>
      </c>
      <c r="AJ264" s="3">
        <v>7.97</v>
      </c>
      <c r="AK264" s="3">
        <v>0.21199999999999999</v>
      </c>
      <c r="AL264" s="3">
        <v>0.38600000000000001</v>
      </c>
      <c r="AM264" s="3">
        <v>0.215</v>
      </c>
      <c r="AN264" s="3">
        <v>1.4999999999999999E-2</v>
      </c>
      <c r="AO264" s="3">
        <v>3.1E-2</v>
      </c>
      <c r="AP264" s="3">
        <v>5.0999999999999997E-2</v>
      </c>
      <c r="AQ264" s="3">
        <v>3.5000000000000003E-2</v>
      </c>
      <c r="AR264" s="3">
        <v>5.2999999999999999E-2</v>
      </c>
      <c r="AS264" s="3">
        <v>3513</v>
      </c>
      <c r="AT264" s="3">
        <v>3511</v>
      </c>
      <c r="AU264" s="3">
        <v>3512</v>
      </c>
      <c r="AV264" s="3">
        <v>1.54</v>
      </c>
      <c r="AW264" s="3">
        <v>1.4279999999999999</v>
      </c>
      <c r="AX264" s="3">
        <v>5.923</v>
      </c>
      <c r="AY264" s="3">
        <v>7.16</v>
      </c>
      <c r="AZ264" s="3">
        <v>-2.4279999999999999</v>
      </c>
      <c r="BA264" s="3">
        <v>-2.7250000000000001</v>
      </c>
      <c r="BB264" s="3">
        <v>13.14</v>
      </c>
      <c r="BC264" s="3">
        <v>2876</v>
      </c>
      <c r="BG264" s="16">
        <v>19.170000000000002</v>
      </c>
      <c r="BH264" s="16">
        <f t="shared" si="156"/>
        <v>38.723400000000005</v>
      </c>
      <c r="BI264" s="17">
        <f t="shared" si="154"/>
        <v>12.87</v>
      </c>
      <c r="BJ264" s="17">
        <f t="shared" si="155"/>
        <v>26.73</v>
      </c>
      <c r="BL264" s="1">
        <f t="shared" si="157"/>
        <v>99.6</v>
      </c>
      <c r="BM264" s="1">
        <f t="shared" si="158"/>
        <v>90.6</v>
      </c>
      <c r="BN264" s="1">
        <f t="shared" si="159"/>
        <v>62.1</v>
      </c>
      <c r="BO264" s="49">
        <f t="shared" ref="BO264:BO327" si="165">ROUND((0.6105*(EXP((17.273*O264)/(O264+237.3))))*BN264/100,3)</f>
        <v>0.61</v>
      </c>
      <c r="BP264" s="49">
        <f t="shared" ref="BP264:BP327" si="166">ROUND((100-BN264)*BO264/BN264,3)</f>
        <v>0.372</v>
      </c>
      <c r="BR264" s="3">
        <v>0.2</v>
      </c>
      <c r="BT264" s="16">
        <f t="shared" si="160"/>
        <v>12.87</v>
      </c>
      <c r="BU264" s="16">
        <f t="shared" si="161"/>
        <v>26.73</v>
      </c>
      <c r="BV264" s="3">
        <f t="shared" si="162"/>
        <v>1.7</v>
      </c>
      <c r="BW264" s="3">
        <f t="shared" si="153"/>
        <v>1.5</v>
      </c>
      <c r="BX264" s="3">
        <f t="shared" si="153"/>
        <v>1.3</v>
      </c>
      <c r="BY264" s="3">
        <f t="shared" si="153"/>
        <v>1.7</v>
      </c>
      <c r="BZ264" s="3">
        <f t="shared" si="153"/>
        <v>5.5</v>
      </c>
      <c r="CA264" s="3">
        <f t="shared" si="153"/>
        <v>7.3</v>
      </c>
      <c r="CB264" s="3">
        <f t="shared" si="153"/>
        <v>8.4</v>
      </c>
      <c r="CC264" s="22">
        <f t="shared" si="163"/>
        <v>90.6</v>
      </c>
      <c r="CD264" s="1">
        <f t="shared" ref="CD264:CD327" si="167">ROUND(O264,1)</f>
        <v>6.7</v>
      </c>
      <c r="CE264" s="1">
        <f t="shared" ref="CE264:CE327" si="168">ROUND(S264,1)</f>
        <v>9.8000000000000007</v>
      </c>
      <c r="CF264" s="1">
        <f t="shared" ref="CF264:CF327" si="169">ROUND(T264,1)</f>
        <v>9.4</v>
      </c>
      <c r="CG264" s="1">
        <f t="shared" ref="CG264:CG327" si="170">ROUND(U264,1)</f>
        <v>12.7</v>
      </c>
      <c r="CH264" s="1">
        <f t="shared" ref="CH264:CH327" si="171">ROUND(V264,1)</f>
        <v>7.3</v>
      </c>
      <c r="CI264" s="1">
        <f t="shared" ref="CI264:CI327" si="172">ROUND(W264,1)</f>
        <v>8</v>
      </c>
      <c r="CJ264" s="1">
        <f t="shared" ref="CJ264:CJ327" si="173">ROUND(X264,1)</f>
        <v>9</v>
      </c>
      <c r="CK264" s="2">
        <f t="shared" si="164"/>
        <v>99.6</v>
      </c>
      <c r="CL264" s="1">
        <f t="shared" ref="CL264:CL327" si="174">ROUND(AA264,1)</f>
        <v>-1.6</v>
      </c>
      <c r="CM264" s="1">
        <f t="shared" ref="CM264:CM327" si="175">ROUND(AE264,1)</f>
        <v>-2.4</v>
      </c>
      <c r="CN264" s="1">
        <f t="shared" ref="CN264:CN327" si="176">ROUND(AF264,1)</f>
        <v>-2.9</v>
      </c>
      <c r="CO264" s="1">
        <f t="shared" ref="CO264:CO327" si="177">ROUND(AG264,1)</f>
        <v>-1</v>
      </c>
      <c r="CP264" s="1">
        <f t="shared" ref="CP264:CP327" si="178">ROUND(AH264,1)</f>
        <v>4.4000000000000004</v>
      </c>
      <c r="CQ264" s="1">
        <f t="shared" ref="CQ264:CQ327" si="179">ROUND(AI264,1)</f>
        <v>6.9</v>
      </c>
      <c r="CR264" s="1">
        <f t="shared" ref="CR264:CR327" si="180">ROUND(AJ264,1)</f>
        <v>8</v>
      </c>
      <c r="CS264" s="2">
        <f t="shared" ref="CS264:CS327" si="181">ROUND(BN264,1)</f>
        <v>62.1</v>
      </c>
      <c r="CT264" s="6">
        <f t="shared" ref="CT264:CT327" si="182">BE264</f>
        <v>0</v>
      </c>
      <c r="CU264" s="1">
        <f>PPTest!K264</f>
        <v>5</v>
      </c>
      <c r="CV264" s="3">
        <f t="shared" ref="CV264:CV327" si="183">ROUND(M264,2)</f>
        <v>0.85</v>
      </c>
      <c r="CW264" s="3">
        <f t="shared" ref="CW264:CW327" si="184">ROUND(Y264,2)</f>
        <v>3.52</v>
      </c>
      <c r="CX264" s="24">
        <f t="shared" ref="CX264:CY327" si="185">BO264</f>
        <v>0.61</v>
      </c>
      <c r="CY264" s="24">
        <f t="shared" si="185"/>
        <v>0.372</v>
      </c>
      <c r="CZ264" s="16">
        <f t="shared" ref="CZ264:CZ327" si="186">BB264</f>
        <v>13.14</v>
      </c>
    </row>
    <row r="265" spans="1:104" x14ac:dyDescent="0.2">
      <c r="A265" s="14">
        <f t="shared" ref="A265:A328" si="187">A264+1</f>
        <v>38976</v>
      </c>
      <c r="B265" s="1">
        <v>259</v>
      </c>
      <c r="C265" s="3">
        <v>7.71</v>
      </c>
      <c r="D265" s="3">
        <v>14.17</v>
      </c>
      <c r="E265" s="3">
        <v>1.141</v>
      </c>
      <c r="F265" s="3">
        <v>106.6</v>
      </c>
      <c r="G265" s="3">
        <v>1.2210000000000001</v>
      </c>
      <c r="H265" s="3">
        <v>1.1679999999999999</v>
      </c>
      <c r="I265" s="3">
        <v>2.4940000000000002</v>
      </c>
      <c r="J265" s="3">
        <v>5.15</v>
      </c>
      <c r="K265" s="3">
        <v>6.9809999999999999</v>
      </c>
      <c r="L265" s="3">
        <v>8.1</v>
      </c>
      <c r="M265" s="3">
        <v>1.1459999999999999</v>
      </c>
      <c r="N265" s="3">
        <v>0</v>
      </c>
      <c r="O265" s="3">
        <v>6.0579999999999998</v>
      </c>
      <c r="P265" s="3">
        <v>1629</v>
      </c>
      <c r="Q265" s="3">
        <v>111</v>
      </c>
      <c r="R265" s="3">
        <v>2359</v>
      </c>
      <c r="S265" s="3">
        <v>9.74</v>
      </c>
      <c r="T265" s="3">
        <v>9.7799999999999994</v>
      </c>
      <c r="U265" s="3">
        <v>7.39</v>
      </c>
      <c r="V265" s="3">
        <v>6.532</v>
      </c>
      <c r="W265" s="3">
        <v>7.33</v>
      </c>
      <c r="X265" s="3">
        <v>8.4700000000000006</v>
      </c>
      <c r="Y265" s="3">
        <v>3.12</v>
      </c>
      <c r="Z265" s="3">
        <v>1300</v>
      </c>
      <c r="AA265" s="3">
        <v>-2.641</v>
      </c>
      <c r="AB265" s="3">
        <v>2346</v>
      </c>
      <c r="AC265" s="3">
        <v>77.2</v>
      </c>
      <c r="AD265" s="3">
        <v>1629</v>
      </c>
      <c r="AE265" s="3">
        <v>-3.4319999999999999</v>
      </c>
      <c r="AF265" s="3">
        <v>-3.6030000000000002</v>
      </c>
      <c r="AG265" s="3">
        <v>-1.4970000000000001</v>
      </c>
      <c r="AH265" s="3">
        <v>4.3239999999999998</v>
      </c>
      <c r="AI265" s="3">
        <v>6.4370000000000003</v>
      </c>
      <c r="AJ265" s="3">
        <v>7.6</v>
      </c>
      <c r="AK265" s="3">
        <v>1.9E-2</v>
      </c>
      <c r="AL265" s="3">
        <v>0.183</v>
      </c>
      <c r="AM265" s="3">
        <v>8.7999999999999995E-2</v>
      </c>
      <c r="AN265" s="3">
        <v>2.3E-2</v>
      </c>
      <c r="AO265" s="3">
        <v>0.13100000000000001</v>
      </c>
      <c r="AP265" s="3">
        <v>0.38100000000000001</v>
      </c>
      <c r="AQ265" s="3">
        <v>0.13300000000000001</v>
      </c>
      <c r="AR265" s="3">
        <v>4.2000000000000003E-2</v>
      </c>
      <c r="AS265" s="3">
        <v>3531</v>
      </c>
      <c r="AT265" s="3">
        <v>3514</v>
      </c>
      <c r="AU265" s="3">
        <v>3520</v>
      </c>
      <c r="AV265" s="3">
        <v>1.7070000000000001</v>
      </c>
      <c r="AW265" s="3">
        <v>1.601</v>
      </c>
      <c r="AX265" s="3">
        <v>6.5659999999999998</v>
      </c>
      <c r="AY265" s="3">
        <v>6.8849999999999998</v>
      </c>
      <c r="AZ265" s="3">
        <v>-3.1909999999999998</v>
      </c>
      <c r="BA265" s="3">
        <v>-3.5449999999999999</v>
      </c>
      <c r="BB265" s="3">
        <v>13.14</v>
      </c>
      <c r="BC265" s="3">
        <v>2876</v>
      </c>
      <c r="BG265" s="16">
        <v>18.920000000000002</v>
      </c>
      <c r="BH265" s="16">
        <f t="shared" si="156"/>
        <v>38.218400000000003</v>
      </c>
      <c r="BI265" s="17">
        <f t="shared" si="154"/>
        <v>7.56</v>
      </c>
      <c r="BJ265" s="17">
        <f t="shared" si="155"/>
        <v>15.59</v>
      </c>
      <c r="BL265" s="1">
        <f t="shared" si="157"/>
        <v>99.8</v>
      </c>
      <c r="BM265" s="1">
        <f t="shared" si="158"/>
        <v>92.8</v>
      </c>
      <c r="BN265" s="1">
        <f t="shared" si="159"/>
        <v>60.9</v>
      </c>
      <c r="BO265" s="49">
        <f t="shared" si="165"/>
        <v>0.57199999999999995</v>
      </c>
      <c r="BP265" s="49">
        <f t="shared" si="166"/>
        <v>0.36699999999999999</v>
      </c>
      <c r="BR265" s="3">
        <v>0</v>
      </c>
      <c r="BT265" s="16">
        <f t="shared" si="160"/>
        <v>7.56</v>
      </c>
      <c r="BU265" s="16">
        <f t="shared" si="161"/>
        <v>15.59</v>
      </c>
      <c r="BV265" s="3">
        <f t="shared" si="162"/>
        <v>1.1000000000000001</v>
      </c>
      <c r="BW265" s="3">
        <f t="shared" si="153"/>
        <v>1.2</v>
      </c>
      <c r="BX265" s="3">
        <f t="shared" si="153"/>
        <v>1.2</v>
      </c>
      <c r="BY265" s="3">
        <f t="shared" si="153"/>
        <v>2.5</v>
      </c>
      <c r="BZ265" s="3">
        <f t="shared" si="153"/>
        <v>5.2</v>
      </c>
      <c r="CA265" s="3">
        <f t="shared" si="153"/>
        <v>7</v>
      </c>
      <c r="CB265" s="3">
        <f t="shared" si="153"/>
        <v>8.1</v>
      </c>
      <c r="CC265" s="22">
        <f t="shared" si="163"/>
        <v>92.8</v>
      </c>
      <c r="CD265" s="1">
        <f t="shared" si="167"/>
        <v>6.1</v>
      </c>
      <c r="CE265" s="1">
        <f t="shared" si="168"/>
        <v>9.6999999999999993</v>
      </c>
      <c r="CF265" s="1">
        <f t="shared" si="169"/>
        <v>9.8000000000000007</v>
      </c>
      <c r="CG265" s="1">
        <f t="shared" si="170"/>
        <v>7.4</v>
      </c>
      <c r="CH265" s="1">
        <f t="shared" si="171"/>
        <v>6.5</v>
      </c>
      <c r="CI265" s="1">
        <f t="shared" si="172"/>
        <v>7.3</v>
      </c>
      <c r="CJ265" s="1">
        <f t="shared" si="173"/>
        <v>8.5</v>
      </c>
      <c r="CK265" s="2">
        <f t="shared" si="164"/>
        <v>99.8</v>
      </c>
      <c r="CL265" s="1">
        <f t="shared" si="174"/>
        <v>-2.6</v>
      </c>
      <c r="CM265" s="1">
        <f t="shared" si="175"/>
        <v>-3.4</v>
      </c>
      <c r="CN265" s="1">
        <f t="shared" si="176"/>
        <v>-3.6</v>
      </c>
      <c r="CO265" s="1">
        <f t="shared" si="177"/>
        <v>-1.5</v>
      </c>
      <c r="CP265" s="1">
        <f t="shared" si="178"/>
        <v>4.3</v>
      </c>
      <c r="CQ265" s="1">
        <f t="shared" si="179"/>
        <v>6.4</v>
      </c>
      <c r="CR265" s="1">
        <f t="shared" si="180"/>
        <v>7.6</v>
      </c>
      <c r="CS265" s="2">
        <f t="shared" si="181"/>
        <v>60.9</v>
      </c>
      <c r="CT265" s="6">
        <f t="shared" si="182"/>
        <v>0</v>
      </c>
      <c r="CU265" s="1">
        <f>PPTest!K265</f>
        <v>0</v>
      </c>
      <c r="CV265" s="3">
        <f t="shared" si="183"/>
        <v>1.1499999999999999</v>
      </c>
      <c r="CW265" s="3">
        <f t="shared" si="184"/>
        <v>3.12</v>
      </c>
      <c r="CX265" s="24">
        <f t="shared" si="185"/>
        <v>0.57199999999999995</v>
      </c>
      <c r="CY265" s="24">
        <f t="shared" si="185"/>
        <v>0.36699999999999999</v>
      </c>
      <c r="CZ265" s="16">
        <f t="shared" si="186"/>
        <v>13.14</v>
      </c>
    </row>
    <row r="266" spans="1:104" x14ac:dyDescent="0.2">
      <c r="A266" s="14">
        <f t="shared" si="187"/>
        <v>38977</v>
      </c>
      <c r="B266" s="1">
        <v>260</v>
      </c>
      <c r="C266" s="3">
        <v>17.54</v>
      </c>
      <c r="D266" s="3">
        <v>31.46</v>
      </c>
      <c r="E266" s="3">
        <v>4.1749999999999998</v>
      </c>
      <c r="F266" s="3">
        <v>87.5</v>
      </c>
      <c r="G266" s="3">
        <v>4.2699999999999996</v>
      </c>
      <c r="H266" s="3">
        <v>4.2549999999999999</v>
      </c>
      <c r="I266" s="3">
        <v>3.8759999999999999</v>
      </c>
      <c r="J266" s="3">
        <v>5.8460000000000001</v>
      </c>
      <c r="K266" s="3">
        <v>6.7430000000000003</v>
      </c>
      <c r="L266" s="3">
        <v>7.86</v>
      </c>
      <c r="M266" s="3">
        <v>1.1499999999999999</v>
      </c>
      <c r="N266" s="3">
        <v>0</v>
      </c>
      <c r="O266" s="3">
        <v>10.76</v>
      </c>
      <c r="P266" s="3">
        <v>1440</v>
      </c>
      <c r="Q266" s="3">
        <v>111.1</v>
      </c>
      <c r="R266" s="3">
        <v>223</v>
      </c>
      <c r="S266" s="3">
        <v>14.25</v>
      </c>
      <c r="T266" s="3">
        <v>15.84</v>
      </c>
      <c r="U266" s="3">
        <v>10.89</v>
      </c>
      <c r="V266" s="3">
        <v>9.07</v>
      </c>
      <c r="W266" s="3">
        <v>7.26</v>
      </c>
      <c r="X266" s="3">
        <v>8.4499999999999993</v>
      </c>
      <c r="Y266" s="3">
        <v>3.4129999999999998</v>
      </c>
      <c r="Z266" s="3">
        <v>1031</v>
      </c>
      <c r="AA266" s="3">
        <v>-4.5359999999999996</v>
      </c>
      <c r="AB266" s="3">
        <v>522</v>
      </c>
      <c r="AC266" s="3">
        <v>43.41</v>
      </c>
      <c r="AD266" s="3">
        <v>1238</v>
      </c>
      <c r="AE266" s="3">
        <v>-5.3380000000000001</v>
      </c>
      <c r="AF266" s="3">
        <v>-5.5339999999999998</v>
      </c>
      <c r="AG266" s="3">
        <v>-3.0139999999999998</v>
      </c>
      <c r="AH266" s="3">
        <v>3.2719999999999998</v>
      </c>
      <c r="AI266" s="3">
        <v>6.101</v>
      </c>
      <c r="AJ266" s="3">
        <v>7.46</v>
      </c>
      <c r="AK266" s="3">
        <v>5.8999999999999997E-2</v>
      </c>
      <c r="AL266" s="3">
        <v>0.222</v>
      </c>
      <c r="AM266" s="3">
        <v>0.27100000000000002</v>
      </c>
      <c r="AN266" s="3">
        <v>8.7999999999999995E-2</v>
      </c>
      <c r="AO266" s="3">
        <v>0.112</v>
      </c>
      <c r="AP266" s="3">
        <v>0.108</v>
      </c>
      <c r="AQ266" s="3">
        <v>8.3000000000000004E-2</v>
      </c>
      <c r="AR266" s="3">
        <v>5.6000000000000001E-2</v>
      </c>
      <c r="AS266" s="3">
        <v>3507</v>
      </c>
      <c r="AT266" s="3">
        <v>3504</v>
      </c>
      <c r="AU266" s="3">
        <v>3506</v>
      </c>
      <c r="AV266" s="3">
        <v>4.1079999999999997</v>
      </c>
      <c r="AW266" s="3">
        <v>4.2569999999999997</v>
      </c>
      <c r="AX266" s="3">
        <v>14.73</v>
      </c>
      <c r="AY266" s="3">
        <v>15.13</v>
      </c>
      <c r="AZ266" s="3">
        <v>-5.4390000000000001</v>
      </c>
      <c r="BA266" s="3">
        <v>-5.68</v>
      </c>
      <c r="BB266" s="3">
        <v>13.03</v>
      </c>
      <c r="BC266" s="3">
        <v>2876</v>
      </c>
      <c r="BG266" s="16">
        <v>18.66</v>
      </c>
      <c r="BH266" s="16">
        <f t="shared" si="156"/>
        <v>37.693199999999997</v>
      </c>
      <c r="BI266" s="17">
        <f t="shared" si="154"/>
        <v>17.190000000000001</v>
      </c>
      <c r="BJ266" s="17">
        <f t="shared" si="155"/>
        <v>34.61</v>
      </c>
      <c r="BL266" s="1">
        <f t="shared" si="157"/>
        <v>100</v>
      </c>
      <c r="BM266" s="1">
        <f t="shared" si="158"/>
        <v>70</v>
      </c>
      <c r="BN266" s="1">
        <f t="shared" si="159"/>
        <v>31.2</v>
      </c>
      <c r="BO266" s="49">
        <f t="shared" si="165"/>
        <v>0.40300000000000002</v>
      </c>
      <c r="BP266" s="49">
        <f t="shared" si="166"/>
        <v>0.88900000000000001</v>
      </c>
      <c r="BR266" s="3">
        <v>0.2</v>
      </c>
      <c r="BT266" s="16">
        <f t="shared" si="160"/>
        <v>17.190000000000001</v>
      </c>
      <c r="BU266" s="16">
        <f t="shared" si="161"/>
        <v>34.61</v>
      </c>
      <c r="BV266" s="3">
        <f t="shared" si="162"/>
        <v>4.2</v>
      </c>
      <c r="BW266" s="3">
        <f t="shared" si="153"/>
        <v>4.3</v>
      </c>
      <c r="BX266" s="3">
        <f t="shared" si="153"/>
        <v>4.3</v>
      </c>
      <c r="BY266" s="3">
        <f t="shared" si="153"/>
        <v>3.9</v>
      </c>
      <c r="BZ266" s="3">
        <f t="shared" si="153"/>
        <v>5.8</v>
      </c>
      <c r="CA266" s="3">
        <f t="shared" si="153"/>
        <v>6.7</v>
      </c>
      <c r="CB266" s="3">
        <f t="shared" si="153"/>
        <v>7.9</v>
      </c>
      <c r="CC266" s="22">
        <f t="shared" si="163"/>
        <v>70</v>
      </c>
      <c r="CD266" s="1">
        <f t="shared" si="167"/>
        <v>10.8</v>
      </c>
      <c r="CE266" s="1">
        <f t="shared" si="168"/>
        <v>14.3</v>
      </c>
      <c r="CF266" s="1">
        <f t="shared" si="169"/>
        <v>15.8</v>
      </c>
      <c r="CG266" s="1">
        <f t="shared" si="170"/>
        <v>10.9</v>
      </c>
      <c r="CH266" s="1">
        <f t="shared" si="171"/>
        <v>9.1</v>
      </c>
      <c r="CI266" s="1">
        <f t="shared" si="172"/>
        <v>7.3</v>
      </c>
      <c r="CJ266" s="1">
        <f t="shared" si="173"/>
        <v>8.5</v>
      </c>
      <c r="CK266" s="2">
        <f t="shared" si="164"/>
        <v>100</v>
      </c>
      <c r="CL266" s="1">
        <f t="shared" si="174"/>
        <v>-4.5</v>
      </c>
      <c r="CM266" s="1">
        <f t="shared" si="175"/>
        <v>-5.3</v>
      </c>
      <c r="CN266" s="1">
        <f t="shared" si="176"/>
        <v>-5.5</v>
      </c>
      <c r="CO266" s="1">
        <f t="shared" si="177"/>
        <v>-3</v>
      </c>
      <c r="CP266" s="1">
        <f t="shared" si="178"/>
        <v>3.3</v>
      </c>
      <c r="CQ266" s="1">
        <f t="shared" si="179"/>
        <v>6.1</v>
      </c>
      <c r="CR266" s="1">
        <f t="shared" si="180"/>
        <v>7.5</v>
      </c>
      <c r="CS266" s="2">
        <f t="shared" si="181"/>
        <v>31.2</v>
      </c>
      <c r="CT266" s="6">
        <f t="shared" si="182"/>
        <v>0</v>
      </c>
      <c r="CU266" s="1">
        <f>PPTest!K266</f>
        <v>0</v>
      </c>
      <c r="CV266" s="3">
        <f t="shared" si="183"/>
        <v>1.1499999999999999</v>
      </c>
      <c r="CW266" s="3">
        <f t="shared" si="184"/>
        <v>3.41</v>
      </c>
      <c r="CX266" s="24">
        <f t="shared" si="185"/>
        <v>0.40300000000000002</v>
      </c>
      <c r="CY266" s="24">
        <f t="shared" si="185"/>
        <v>0.88900000000000001</v>
      </c>
      <c r="CZ266" s="16">
        <f t="shared" si="186"/>
        <v>13.03</v>
      </c>
    </row>
    <row r="267" spans="1:104" x14ac:dyDescent="0.2">
      <c r="A267" s="14">
        <f t="shared" si="187"/>
        <v>38978</v>
      </c>
      <c r="B267" s="1">
        <v>261</v>
      </c>
      <c r="C267" s="3">
        <v>4.5129999999999999</v>
      </c>
      <c r="D267" s="3">
        <v>8.3800000000000008</v>
      </c>
      <c r="E267" s="3">
        <v>6.1479999999999997</v>
      </c>
      <c r="F267" s="3">
        <v>98.2</v>
      </c>
      <c r="G267" s="3">
        <v>5.9560000000000004</v>
      </c>
      <c r="H267" s="3">
        <v>5.8780000000000001</v>
      </c>
      <c r="I267" s="3">
        <v>6.17</v>
      </c>
      <c r="J267" s="3">
        <v>6.9340000000000002</v>
      </c>
      <c r="K267" s="3">
        <v>7.14</v>
      </c>
      <c r="L267" s="3">
        <v>7.62</v>
      </c>
      <c r="M267" s="3">
        <v>1.048</v>
      </c>
      <c r="N267" s="3">
        <v>1</v>
      </c>
      <c r="O267" s="3">
        <v>8.11</v>
      </c>
      <c r="P267" s="3">
        <v>139</v>
      </c>
      <c r="Q267" s="3">
        <v>109</v>
      </c>
      <c r="R267" s="3">
        <v>2022</v>
      </c>
      <c r="S267" s="3">
        <v>8.6999999999999993</v>
      </c>
      <c r="T267" s="3">
        <v>8.81</v>
      </c>
      <c r="U267" s="3">
        <v>8.7100000000000009</v>
      </c>
      <c r="V267" s="3">
        <v>7.58</v>
      </c>
      <c r="W267" s="3">
        <v>7.3</v>
      </c>
      <c r="X267" s="3">
        <v>7.87</v>
      </c>
      <c r="Y267" s="3">
        <v>4.2770000000000001</v>
      </c>
      <c r="Z267" s="3">
        <v>124</v>
      </c>
      <c r="AA267" s="3">
        <v>3.23</v>
      </c>
      <c r="AB267" s="3">
        <v>2005</v>
      </c>
      <c r="AC267" s="3">
        <v>78.7</v>
      </c>
      <c r="AD267" s="3">
        <v>152</v>
      </c>
      <c r="AE267" s="3">
        <v>2.2240000000000002</v>
      </c>
      <c r="AF267" s="3">
        <v>1.9179999999999999</v>
      </c>
      <c r="AG267" s="3">
        <v>3.383</v>
      </c>
      <c r="AH267" s="3">
        <v>6.3689999999999998</v>
      </c>
      <c r="AI267" s="3">
        <v>6.907</v>
      </c>
      <c r="AJ267" s="3">
        <v>7.23</v>
      </c>
      <c r="AK267" s="3">
        <v>0.14399999999999999</v>
      </c>
      <c r="AL267" s="3">
        <v>0.19400000000000001</v>
      </c>
      <c r="AM267" s="3">
        <v>0.19400000000000001</v>
      </c>
      <c r="AN267" s="3">
        <v>7.1999999999999995E-2</v>
      </c>
      <c r="AO267" s="3">
        <v>8.1000000000000003E-2</v>
      </c>
      <c r="AP267" s="3">
        <v>9.9000000000000005E-2</v>
      </c>
      <c r="AQ267" s="3">
        <v>0.10100000000000001</v>
      </c>
      <c r="AR267" s="3">
        <v>0.115</v>
      </c>
      <c r="AS267" s="3">
        <v>3508</v>
      </c>
      <c r="AT267" s="3">
        <v>3500</v>
      </c>
      <c r="AU267" s="3">
        <v>3507</v>
      </c>
      <c r="AV267" s="3">
        <v>6.1559999999999997</v>
      </c>
      <c r="AW267" s="3">
        <v>5.9980000000000002</v>
      </c>
      <c r="AX267" s="3">
        <v>8.16</v>
      </c>
      <c r="AY267" s="3">
        <v>8.18</v>
      </c>
      <c r="AZ267" s="3">
        <v>3.0939999999999999</v>
      </c>
      <c r="BA267" s="3">
        <v>2.88</v>
      </c>
      <c r="BB267" s="3">
        <v>13.04</v>
      </c>
      <c r="BC267" s="3">
        <v>2876</v>
      </c>
      <c r="BG267" s="16">
        <v>18.399999999999999</v>
      </c>
      <c r="BH267" s="16">
        <f t="shared" si="156"/>
        <v>37.167999999999999</v>
      </c>
      <c r="BI267" s="17">
        <f t="shared" si="154"/>
        <v>4.42</v>
      </c>
      <c r="BJ267" s="17">
        <f t="shared" si="155"/>
        <v>9.2200000000000006</v>
      </c>
      <c r="BL267" s="1">
        <f t="shared" si="157"/>
        <v>96.6</v>
      </c>
      <c r="BM267" s="1">
        <f t="shared" si="158"/>
        <v>79.400000000000006</v>
      </c>
      <c r="BN267" s="1">
        <f t="shared" si="159"/>
        <v>62.3</v>
      </c>
      <c r="BO267" s="49">
        <f t="shared" si="165"/>
        <v>0.67300000000000004</v>
      </c>
      <c r="BP267" s="49">
        <f t="shared" si="166"/>
        <v>0.40699999999999997</v>
      </c>
      <c r="BR267" s="3">
        <v>2.2000000000000002</v>
      </c>
      <c r="BT267" s="16">
        <f t="shared" si="160"/>
        <v>4.42</v>
      </c>
      <c r="BU267" s="16">
        <f t="shared" si="161"/>
        <v>9.2200000000000006</v>
      </c>
      <c r="BV267" s="3">
        <f t="shared" si="162"/>
        <v>6.1</v>
      </c>
      <c r="BW267" s="3">
        <f t="shared" si="153"/>
        <v>6</v>
      </c>
      <c r="BX267" s="3">
        <f t="shared" si="153"/>
        <v>5.9</v>
      </c>
      <c r="BY267" s="3">
        <f t="shared" si="153"/>
        <v>6.2</v>
      </c>
      <c r="BZ267" s="3">
        <f t="shared" si="153"/>
        <v>6.9</v>
      </c>
      <c r="CA267" s="3">
        <f t="shared" si="153"/>
        <v>7.1</v>
      </c>
      <c r="CB267" s="3">
        <f t="shared" si="153"/>
        <v>7.6</v>
      </c>
      <c r="CC267" s="22">
        <f t="shared" si="163"/>
        <v>79.400000000000006</v>
      </c>
      <c r="CD267" s="1">
        <f t="shared" si="167"/>
        <v>8.1</v>
      </c>
      <c r="CE267" s="1">
        <f t="shared" si="168"/>
        <v>8.6999999999999993</v>
      </c>
      <c r="CF267" s="1">
        <f t="shared" si="169"/>
        <v>8.8000000000000007</v>
      </c>
      <c r="CG267" s="1">
        <f t="shared" si="170"/>
        <v>8.6999999999999993</v>
      </c>
      <c r="CH267" s="1">
        <f t="shared" si="171"/>
        <v>7.6</v>
      </c>
      <c r="CI267" s="1">
        <f t="shared" si="172"/>
        <v>7.3</v>
      </c>
      <c r="CJ267" s="1">
        <f t="shared" si="173"/>
        <v>7.9</v>
      </c>
      <c r="CK267" s="2">
        <f t="shared" si="164"/>
        <v>96.6</v>
      </c>
      <c r="CL267" s="1">
        <f t="shared" si="174"/>
        <v>3.2</v>
      </c>
      <c r="CM267" s="1">
        <f t="shared" si="175"/>
        <v>2.2000000000000002</v>
      </c>
      <c r="CN267" s="1">
        <f t="shared" si="176"/>
        <v>1.9</v>
      </c>
      <c r="CO267" s="1">
        <f t="shared" si="177"/>
        <v>3.4</v>
      </c>
      <c r="CP267" s="1">
        <f t="shared" si="178"/>
        <v>6.4</v>
      </c>
      <c r="CQ267" s="1">
        <f t="shared" si="179"/>
        <v>6.9</v>
      </c>
      <c r="CR267" s="1">
        <f t="shared" si="180"/>
        <v>7.2</v>
      </c>
      <c r="CS267" s="2">
        <f t="shared" si="181"/>
        <v>62.3</v>
      </c>
      <c r="CT267" s="6">
        <f t="shared" si="182"/>
        <v>0</v>
      </c>
      <c r="CU267" s="1">
        <f>PPTest!K267</f>
        <v>1</v>
      </c>
      <c r="CV267" s="3">
        <f t="shared" si="183"/>
        <v>1.05</v>
      </c>
      <c r="CW267" s="3">
        <f t="shared" si="184"/>
        <v>4.28</v>
      </c>
      <c r="CX267" s="24">
        <f t="shared" si="185"/>
        <v>0.67300000000000004</v>
      </c>
      <c r="CY267" s="24">
        <f t="shared" si="185"/>
        <v>0.40699999999999997</v>
      </c>
      <c r="CZ267" s="16">
        <f t="shared" si="186"/>
        <v>13.04</v>
      </c>
    </row>
    <row r="268" spans="1:104" x14ac:dyDescent="0.2">
      <c r="A268" s="14">
        <f t="shared" si="187"/>
        <v>38979</v>
      </c>
      <c r="B268" s="1">
        <v>262</v>
      </c>
      <c r="C268" s="3">
        <v>10.76</v>
      </c>
      <c r="D268" s="3">
        <v>19.5</v>
      </c>
      <c r="E268" s="3">
        <v>5.2110000000000003</v>
      </c>
      <c r="F268" s="3">
        <v>106.3</v>
      </c>
      <c r="G268" s="3">
        <v>5.1989999999999998</v>
      </c>
      <c r="H268" s="3">
        <v>5.2430000000000003</v>
      </c>
      <c r="I268" s="3">
        <v>6.2610000000000001</v>
      </c>
      <c r="J268" s="3">
        <v>7.3</v>
      </c>
      <c r="K268" s="3">
        <v>7.22</v>
      </c>
      <c r="L268" s="3">
        <v>7.41</v>
      </c>
      <c r="M268" s="3">
        <v>0.97099999999999997</v>
      </c>
      <c r="N268" s="3">
        <v>1</v>
      </c>
      <c r="O268" s="3">
        <v>10.42</v>
      </c>
      <c r="P268" s="3">
        <v>1316</v>
      </c>
      <c r="Q268" s="3">
        <v>110.9</v>
      </c>
      <c r="R268" s="3">
        <v>0</v>
      </c>
      <c r="S268" s="3">
        <v>15.77</v>
      </c>
      <c r="T268" s="3">
        <v>16.72</v>
      </c>
      <c r="U268" s="3">
        <v>12.24</v>
      </c>
      <c r="V268" s="3">
        <v>9.8000000000000007</v>
      </c>
      <c r="W268" s="3">
        <v>7.91</v>
      </c>
      <c r="X268" s="3">
        <v>8.1199999999999992</v>
      </c>
      <c r="Y268" s="3">
        <v>3.4790000000000001</v>
      </c>
      <c r="Z268" s="3">
        <v>1334</v>
      </c>
      <c r="AA268" s="3">
        <v>-1.498</v>
      </c>
      <c r="AB268" s="3">
        <v>2350</v>
      </c>
      <c r="AC268" s="3">
        <v>85.7</v>
      </c>
      <c r="AD268" s="3">
        <v>1316</v>
      </c>
      <c r="AE268" s="3">
        <v>-1.9710000000000001</v>
      </c>
      <c r="AF268" s="3">
        <v>-2.121</v>
      </c>
      <c r="AG268" s="3">
        <v>0.108</v>
      </c>
      <c r="AH268" s="3">
        <v>5.6</v>
      </c>
      <c r="AI268" s="3">
        <v>6.7560000000000002</v>
      </c>
      <c r="AJ268" s="3">
        <v>6.8049999999999997</v>
      </c>
      <c r="AK268" s="3">
        <v>7.0999999999999994E-2</v>
      </c>
      <c r="AL268" s="3">
        <v>0.27800000000000002</v>
      </c>
      <c r="AM268" s="3">
        <v>0.193</v>
      </c>
      <c r="AN268" s="3">
        <v>1.4999999999999999E-2</v>
      </c>
      <c r="AO268" s="3">
        <v>0.124</v>
      </c>
      <c r="AP268" s="3">
        <v>0.188</v>
      </c>
      <c r="AQ268" s="3">
        <v>0.10100000000000001</v>
      </c>
      <c r="AR268" s="3">
        <v>3.1E-2</v>
      </c>
      <c r="AS268" s="3">
        <v>3527</v>
      </c>
      <c r="AT268" s="3">
        <v>3521</v>
      </c>
      <c r="AU268" s="3">
        <v>3524</v>
      </c>
      <c r="AV268" s="3">
        <v>6.2480000000000002</v>
      </c>
      <c r="AW268" s="3">
        <v>6.0049999999999999</v>
      </c>
      <c r="AX268" s="3">
        <v>13.81</v>
      </c>
      <c r="AY268" s="3">
        <v>14.28</v>
      </c>
      <c r="AZ268" s="3">
        <v>-1.56</v>
      </c>
      <c r="BA268" s="3">
        <v>-1.9450000000000001</v>
      </c>
      <c r="BB268" s="3">
        <v>13.05</v>
      </c>
      <c r="BC268" s="3">
        <v>2876</v>
      </c>
      <c r="BE268" s="6"/>
      <c r="BG268" s="16">
        <v>18.149999999999999</v>
      </c>
      <c r="BH268" s="16">
        <f t="shared" si="156"/>
        <v>36.662999999999997</v>
      </c>
      <c r="BI268" s="17">
        <f t="shared" si="154"/>
        <v>10.54</v>
      </c>
      <c r="BJ268" s="17">
        <f t="shared" si="155"/>
        <v>21.45</v>
      </c>
      <c r="BL268" s="1">
        <f t="shared" si="157"/>
        <v>99.6</v>
      </c>
      <c r="BM268" s="1">
        <f t="shared" si="158"/>
        <v>92.3</v>
      </c>
      <c r="BN268" s="1">
        <f t="shared" si="159"/>
        <v>68.400000000000006</v>
      </c>
      <c r="BO268" s="49">
        <f t="shared" si="165"/>
        <v>0.86399999999999999</v>
      </c>
      <c r="BP268" s="49">
        <f t="shared" si="166"/>
        <v>0.39900000000000002</v>
      </c>
      <c r="BR268" s="3">
        <v>1.8</v>
      </c>
      <c r="BT268" s="16">
        <f t="shared" si="160"/>
        <v>10.54</v>
      </c>
      <c r="BU268" s="16">
        <f t="shared" si="161"/>
        <v>21.45</v>
      </c>
      <c r="BV268" s="3">
        <f t="shared" si="162"/>
        <v>5.2</v>
      </c>
      <c r="BW268" s="3">
        <f t="shared" si="153"/>
        <v>5.2</v>
      </c>
      <c r="BX268" s="3">
        <f t="shared" si="153"/>
        <v>5.2</v>
      </c>
      <c r="BY268" s="3">
        <f t="shared" si="153"/>
        <v>6.3</v>
      </c>
      <c r="BZ268" s="3">
        <f t="shared" si="153"/>
        <v>7.3</v>
      </c>
      <c r="CA268" s="3">
        <f t="shared" si="153"/>
        <v>7.2</v>
      </c>
      <c r="CB268" s="3">
        <f t="shared" si="153"/>
        <v>7.4</v>
      </c>
      <c r="CC268" s="22">
        <f t="shared" si="163"/>
        <v>92.3</v>
      </c>
      <c r="CD268" s="1">
        <f t="shared" si="167"/>
        <v>10.4</v>
      </c>
      <c r="CE268" s="1">
        <f t="shared" si="168"/>
        <v>15.8</v>
      </c>
      <c r="CF268" s="1">
        <f t="shared" si="169"/>
        <v>16.7</v>
      </c>
      <c r="CG268" s="1">
        <f t="shared" si="170"/>
        <v>12.2</v>
      </c>
      <c r="CH268" s="1">
        <f t="shared" si="171"/>
        <v>9.8000000000000007</v>
      </c>
      <c r="CI268" s="1">
        <f t="shared" si="172"/>
        <v>7.9</v>
      </c>
      <c r="CJ268" s="1">
        <f t="shared" si="173"/>
        <v>8.1</v>
      </c>
      <c r="CK268" s="2">
        <f t="shared" si="164"/>
        <v>99.6</v>
      </c>
      <c r="CL268" s="1">
        <f t="shared" si="174"/>
        <v>-1.5</v>
      </c>
      <c r="CM268" s="1">
        <f t="shared" si="175"/>
        <v>-2</v>
      </c>
      <c r="CN268" s="1">
        <f t="shared" si="176"/>
        <v>-2.1</v>
      </c>
      <c r="CO268" s="1">
        <f t="shared" si="177"/>
        <v>0.1</v>
      </c>
      <c r="CP268" s="1">
        <f t="shared" si="178"/>
        <v>5.6</v>
      </c>
      <c r="CQ268" s="1">
        <f t="shared" si="179"/>
        <v>6.8</v>
      </c>
      <c r="CR268" s="1">
        <f t="shared" si="180"/>
        <v>6.8</v>
      </c>
      <c r="CS268" s="2">
        <f t="shared" si="181"/>
        <v>68.400000000000006</v>
      </c>
      <c r="CT268" s="6">
        <f t="shared" si="182"/>
        <v>0</v>
      </c>
      <c r="CU268" s="1">
        <f>PPTest!K268</f>
        <v>1</v>
      </c>
      <c r="CV268" s="3">
        <f t="shared" si="183"/>
        <v>0.97</v>
      </c>
      <c r="CW268" s="3">
        <f t="shared" si="184"/>
        <v>3.48</v>
      </c>
      <c r="CX268" s="24">
        <f t="shared" si="185"/>
        <v>0.86399999999999999</v>
      </c>
      <c r="CY268" s="24">
        <f t="shared" si="185"/>
        <v>0.39900000000000002</v>
      </c>
      <c r="CZ268" s="16">
        <f t="shared" si="186"/>
        <v>13.05</v>
      </c>
    </row>
    <row r="269" spans="1:104" x14ac:dyDescent="0.2">
      <c r="A269" s="14">
        <f t="shared" si="187"/>
        <v>38980</v>
      </c>
      <c r="B269" s="1">
        <v>263</v>
      </c>
      <c r="C269" s="3">
        <v>2.3479999999999999</v>
      </c>
      <c r="D269" s="3">
        <v>5.0359999999999996</v>
      </c>
      <c r="E269" s="3">
        <v>1.9990000000000001</v>
      </c>
      <c r="F269" s="3">
        <v>109.6</v>
      </c>
      <c r="G269" s="3">
        <v>1.899</v>
      </c>
      <c r="H269" s="3">
        <v>1.794</v>
      </c>
      <c r="I269" s="3">
        <v>2.859</v>
      </c>
      <c r="J269" s="3">
        <v>5.1779999999999999</v>
      </c>
      <c r="K269" s="3">
        <v>7.04</v>
      </c>
      <c r="L269" s="3">
        <v>7.34</v>
      </c>
      <c r="M269" s="3">
        <v>1.51</v>
      </c>
      <c r="N269" s="3">
        <v>17</v>
      </c>
      <c r="O269" s="3">
        <v>4.6280000000000001</v>
      </c>
      <c r="P269" s="3">
        <v>931</v>
      </c>
      <c r="Q269" s="3">
        <v>110.9</v>
      </c>
      <c r="R269" s="3">
        <v>53</v>
      </c>
      <c r="S269" s="3">
        <v>5.1790000000000003</v>
      </c>
      <c r="T269" s="3">
        <v>5.1189999999999998</v>
      </c>
      <c r="U269" s="3">
        <v>5.556</v>
      </c>
      <c r="V269" s="3">
        <v>5.7759999999999998</v>
      </c>
      <c r="W269" s="3">
        <v>7.43</v>
      </c>
      <c r="X269" s="3">
        <v>7.58</v>
      </c>
      <c r="Y269" s="3">
        <v>4.3170000000000002</v>
      </c>
      <c r="Z269" s="3">
        <v>2055</v>
      </c>
      <c r="AA269" s="3">
        <v>-1.498</v>
      </c>
      <c r="AB269" s="3">
        <v>15</v>
      </c>
      <c r="AC269" s="3">
        <v>101</v>
      </c>
      <c r="AD269" s="3">
        <v>1000</v>
      </c>
      <c r="AE269" s="3">
        <v>-2.0089999999999999</v>
      </c>
      <c r="AF269" s="3">
        <v>-2.226</v>
      </c>
      <c r="AG269" s="3">
        <v>-0.307</v>
      </c>
      <c r="AH269" s="3">
        <v>4.6180000000000003</v>
      </c>
      <c r="AI269" s="3">
        <v>6.4489999999999998</v>
      </c>
      <c r="AJ269" s="3">
        <v>7.04</v>
      </c>
      <c r="AK269" s="3">
        <v>4.1000000000000002E-2</v>
      </c>
      <c r="AL269" s="3">
        <v>0.17499999999999999</v>
      </c>
      <c r="AM269" s="3">
        <v>0.124</v>
      </c>
      <c r="AN269" s="3">
        <v>2.9000000000000001E-2</v>
      </c>
      <c r="AO269" s="3">
        <v>0.19</v>
      </c>
      <c r="AP269" s="3">
        <v>0.307</v>
      </c>
      <c r="AQ269" s="3">
        <v>9.1999999999999998E-2</v>
      </c>
      <c r="AR269" s="3">
        <v>4.2000000000000003E-2</v>
      </c>
      <c r="AS269" s="3">
        <v>3531</v>
      </c>
      <c r="AT269" s="3">
        <v>3518</v>
      </c>
      <c r="AU269" s="3">
        <v>3522</v>
      </c>
      <c r="AV269" s="3">
        <v>1.694</v>
      </c>
      <c r="AW269" s="3">
        <v>1.6739999999999999</v>
      </c>
      <c r="AX269" s="3">
        <v>4.2530000000000001</v>
      </c>
      <c r="AY269" s="3">
        <v>4.1790000000000003</v>
      </c>
      <c r="AZ269" s="3">
        <v>-1.952</v>
      </c>
      <c r="BA269" s="3">
        <v>-2.1480000000000001</v>
      </c>
      <c r="BB269" s="3">
        <v>12.79</v>
      </c>
      <c r="BC269" s="3">
        <v>2876</v>
      </c>
      <c r="BE269" s="6"/>
      <c r="BG269" s="16">
        <v>17.89</v>
      </c>
      <c r="BH269" s="16">
        <f t="shared" si="156"/>
        <v>36.137799999999999</v>
      </c>
      <c r="BI269" s="17">
        <f t="shared" si="154"/>
        <v>2.2999999999999998</v>
      </c>
      <c r="BJ269" s="17">
        <f t="shared" si="155"/>
        <v>5.54</v>
      </c>
      <c r="BL269" s="1">
        <f t="shared" si="157"/>
        <v>99.6</v>
      </c>
      <c r="BM269" s="1">
        <f t="shared" si="158"/>
        <v>97.6</v>
      </c>
      <c r="BN269" s="1">
        <f t="shared" si="159"/>
        <v>83.9</v>
      </c>
      <c r="BO269" s="49">
        <f t="shared" si="165"/>
        <v>0.71299999999999997</v>
      </c>
      <c r="BP269" s="49">
        <f t="shared" si="166"/>
        <v>0.13700000000000001</v>
      </c>
      <c r="BR269" s="3">
        <v>18.399999999999999</v>
      </c>
      <c r="BT269" s="16">
        <f t="shared" si="160"/>
        <v>2.2999999999999998</v>
      </c>
      <c r="BU269" s="16">
        <f t="shared" si="161"/>
        <v>5.54</v>
      </c>
      <c r="BV269" s="3">
        <f t="shared" si="162"/>
        <v>2</v>
      </c>
      <c r="BW269" s="3">
        <f t="shared" si="153"/>
        <v>1.9</v>
      </c>
      <c r="BX269" s="3">
        <f t="shared" si="153"/>
        <v>1.8</v>
      </c>
      <c r="BY269" s="3">
        <f t="shared" si="153"/>
        <v>2.9</v>
      </c>
      <c r="BZ269" s="3">
        <f t="shared" si="153"/>
        <v>5.2</v>
      </c>
      <c r="CA269" s="3">
        <f t="shared" si="153"/>
        <v>7</v>
      </c>
      <c r="CB269" s="3">
        <f t="shared" si="153"/>
        <v>7.3</v>
      </c>
      <c r="CC269" s="22">
        <f t="shared" si="163"/>
        <v>97.6</v>
      </c>
      <c r="CD269" s="1">
        <f t="shared" si="167"/>
        <v>4.5999999999999996</v>
      </c>
      <c r="CE269" s="1">
        <f t="shared" si="168"/>
        <v>5.2</v>
      </c>
      <c r="CF269" s="1">
        <f t="shared" si="169"/>
        <v>5.0999999999999996</v>
      </c>
      <c r="CG269" s="1">
        <f t="shared" si="170"/>
        <v>5.6</v>
      </c>
      <c r="CH269" s="1">
        <f t="shared" si="171"/>
        <v>5.8</v>
      </c>
      <c r="CI269" s="1">
        <f t="shared" si="172"/>
        <v>7.4</v>
      </c>
      <c r="CJ269" s="1">
        <f t="shared" si="173"/>
        <v>7.6</v>
      </c>
      <c r="CK269" s="2">
        <f t="shared" si="164"/>
        <v>99.6</v>
      </c>
      <c r="CL269" s="1">
        <f t="shared" si="174"/>
        <v>-1.5</v>
      </c>
      <c r="CM269" s="1">
        <f t="shared" si="175"/>
        <v>-2</v>
      </c>
      <c r="CN269" s="1">
        <f t="shared" si="176"/>
        <v>-2.2000000000000002</v>
      </c>
      <c r="CO269" s="1">
        <f t="shared" si="177"/>
        <v>-0.3</v>
      </c>
      <c r="CP269" s="1">
        <f t="shared" si="178"/>
        <v>4.5999999999999996</v>
      </c>
      <c r="CQ269" s="1">
        <f t="shared" si="179"/>
        <v>6.4</v>
      </c>
      <c r="CR269" s="1">
        <f t="shared" si="180"/>
        <v>7</v>
      </c>
      <c r="CS269" s="2">
        <f t="shared" si="181"/>
        <v>83.9</v>
      </c>
      <c r="CT269" s="6">
        <f t="shared" si="182"/>
        <v>0</v>
      </c>
      <c r="CU269" s="1">
        <f>PPTest!K269</f>
        <v>17</v>
      </c>
      <c r="CV269" s="3">
        <f t="shared" si="183"/>
        <v>1.51</v>
      </c>
      <c r="CW269" s="3">
        <f t="shared" si="184"/>
        <v>4.32</v>
      </c>
      <c r="CX269" s="24">
        <f t="shared" si="185"/>
        <v>0.71299999999999997</v>
      </c>
      <c r="CY269" s="24">
        <f t="shared" si="185"/>
        <v>0.13700000000000001</v>
      </c>
      <c r="CZ269" s="16">
        <f t="shared" si="186"/>
        <v>12.79</v>
      </c>
    </row>
    <row r="270" spans="1:104" x14ac:dyDescent="0.2">
      <c r="A270" s="14">
        <f t="shared" si="187"/>
        <v>38981</v>
      </c>
      <c r="B270" s="1">
        <v>264</v>
      </c>
      <c r="C270" s="3">
        <v>3.556</v>
      </c>
      <c r="D270" s="3">
        <v>7.76</v>
      </c>
      <c r="E270" s="3">
        <v>2.2029999999999998</v>
      </c>
      <c r="F270" s="3">
        <v>110.5</v>
      </c>
      <c r="G270" s="3">
        <v>2.3340000000000001</v>
      </c>
      <c r="H270" s="3">
        <v>2.2989999999999999</v>
      </c>
      <c r="I270" s="3">
        <v>4.9950000000000001</v>
      </c>
      <c r="J270" s="3">
        <v>4.9059999999999997</v>
      </c>
      <c r="K270" s="3">
        <v>6.3710000000000004</v>
      </c>
      <c r="L270" s="3">
        <v>7.21</v>
      </c>
      <c r="M270" s="3">
        <v>1.4770000000000001</v>
      </c>
      <c r="N270" s="3">
        <v>4</v>
      </c>
      <c r="O270" s="3">
        <v>3.5</v>
      </c>
      <c r="P270" s="3">
        <v>1459</v>
      </c>
      <c r="Q270" s="3">
        <v>110.7</v>
      </c>
      <c r="R270" s="3">
        <v>558</v>
      </c>
      <c r="S270" s="3">
        <v>4.6040000000000001</v>
      </c>
      <c r="T270" s="3">
        <v>4.6550000000000002</v>
      </c>
      <c r="U270" s="3">
        <v>6.6470000000000002</v>
      </c>
      <c r="V270" s="3">
        <v>5.3230000000000004</v>
      </c>
      <c r="W270" s="3">
        <v>6.78</v>
      </c>
      <c r="X270" s="3">
        <v>7.61</v>
      </c>
      <c r="Y270" s="3">
        <v>4.41</v>
      </c>
      <c r="Z270" s="3">
        <v>305</v>
      </c>
      <c r="AA270" s="3">
        <v>0.747</v>
      </c>
      <c r="AB270" s="3">
        <v>1138</v>
      </c>
      <c r="AC270" s="3">
        <v>108.8</v>
      </c>
      <c r="AD270" s="3">
        <v>2002</v>
      </c>
      <c r="AE270" s="3">
        <v>0.01</v>
      </c>
      <c r="AF270" s="3">
        <v>-6.8000000000000005E-2</v>
      </c>
      <c r="AG270" s="3">
        <v>3.6920000000000002</v>
      </c>
      <c r="AH270" s="3">
        <v>4.5529999999999999</v>
      </c>
      <c r="AI270" s="3">
        <v>6.1520000000000001</v>
      </c>
      <c r="AJ270" s="3">
        <v>6.9740000000000002</v>
      </c>
      <c r="AK270" s="3">
        <v>7.0000000000000001E-3</v>
      </c>
      <c r="AL270" s="3">
        <v>8.0000000000000002E-3</v>
      </c>
      <c r="AM270" s="3">
        <v>2.8000000000000001E-2</v>
      </c>
      <c r="AN270" s="3">
        <v>5.1999999999999998E-2</v>
      </c>
      <c r="AO270" s="3">
        <v>0.26600000000000001</v>
      </c>
      <c r="AP270" s="3">
        <v>0.44</v>
      </c>
      <c r="AQ270" s="3">
        <v>0.17299999999999999</v>
      </c>
      <c r="AR270" s="3">
        <v>2.7E-2</v>
      </c>
      <c r="AS270" s="3">
        <v>6999</v>
      </c>
      <c r="AT270" s="3">
        <v>6925</v>
      </c>
      <c r="AU270" s="3">
        <v>6999</v>
      </c>
      <c r="AV270" s="3">
        <v>2.7090000000000001</v>
      </c>
      <c r="AW270" s="3">
        <v>2.637</v>
      </c>
      <c r="AX270" s="3">
        <v>4.2119999999999997</v>
      </c>
      <c r="AY270" s="3">
        <v>4.2539999999999996</v>
      </c>
      <c r="AZ270" s="3">
        <v>1.7969999999999999</v>
      </c>
      <c r="BA270" s="3">
        <v>1.6579999999999999</v>
      </c>
      <c r="BB270" s="3">
        <v>12.78</v>
      </c>
      <c r="BC270" s="3">
        <v>2876</v>
      </c>
      <c r="BE270" s="6"/>
      <c r="BG270" s="16">
        <v>17.64</v>
      </c>
      <c r="BH270" s="16">
        <f t="shared" si="156"/>
        <v>35.632800000000003</v>
      </c>
      <c r="BI270" s="17">
        <f t="shared" si="154"/>
        <v>3.48</v>
      </c>
      <c r="BJ270" s="17">
        <f t="shared" si="155"/>
        <v>8.5399999999999991</v>
      </c>
      <c r="BL270" s="1">
        <f t="shared" si="157"/>
        <v>99.3</v>
      </c>
      <c r="BM270" s="1">
        <f t="shared" si="158"/>
        <v>99</v>
      </c>
      <c r="BN270" s="1">
        <f t="shared" si="159"/>
        <v>96.3</v>
      </c>
      <c r="BO270" s="49">
        <f t="shared" si="165"/>
        <v>0.75600000000000001</v>
      </c>
      <c r="BP270" s="49">
        <f t="shared" si="166"/>
        <v>2.9000000000000001E-2</v>
      </c>
      <c r="BR270" s="3">
        <v>3.4</v>
      </c>
      <c r="BT270" s="16">
        <f t="shared" si="160"/>
        <v>3.48</v>
      </c>
      <c r="BU270" s="16">
        <f t="shared" si="161"/>
        <v>8.5399999999999991</v>
      </c>
      <c r="BV270" s="3">
        <f t="shared" si="162"/>
        <v>2.2000000000000002</v>
      </c>
      <c r="BW270" s="3">
        <f t="shared" si="153"/>
        <v>2.2999999999999998</v>
      </c>
      <c r="BX270" s="3">
        <f t="shared" si="153"/>
        <v>2.2999999999999998</v>
      </c>
      <c r="BY270" s="3">
        <f t="shared" si="153"/>
        <v>5</v>
      </c>
      <c r="BZ270" s="3">
        <f t="shared" si="153"/>
        <v>4.9000000000000004</v>
      </c>
      <c r="CA270" s="3">
        <f t="shared" si="153"/>
        <v>6.4</v>
      </c>
      <c r="CB270" s="3">
        <f t="shared" si="153"/>
        <v>7.2</v>
      </c>
      <c r="CC270" s="22">
        <f t="shared" si="163"/>
        <v>99</v>
      </c>
      <c r="CD270" s="1">
        <f t="shared" si="167"/>
        <v>3.5</v>
      </c>
      <c r="CE270" s="1">
        <f t="shared" si="168"/>
        <v>4.5999999999999996</v>
      </c>
      <c r="CF270" s="1">
        <f t="shared" si="169"/>
        <v>4.7</v>
      </c>
      <c r="CG270" s="1">
        <f t="shared" si="170"/>
        <v>6.6</v>
      </c>
      <c r="CH270" s="1">
        <f t="shared" si="171"/>
        <v>5.3</v>
      </c>
      <c r="CI270" s="1">
        <f t="shared" si="172"/>
        <v>6.8</v>
      </c>
      <c r="CJ270" s="1">
        <f t="shared" si="173"/>
        <v>7.6</v>
      </c>
      <c r="CK270" s="2">
        <f t="shared" si="164"/>
        <v>99.3</v>
      </c>
      <c r="CL270" s="1">
        <f t="shared" si="174"/>
        <v>0.7</v>
      </c>
      <c r="CM270" s="1">
        <f t="shared" si="175"/>
        <v>0</v>
      </c>
      <c r="CN270" s="1">
        <f t="shared" si="176"/>
        <v>-0.1</v>
      </c>
      <c r="CO270" s="1">
        <f t="shared" si="177"/>
        <v>3.7</v>
      </c>
      <c r="CP270" s="1">
        <f t="shared" si="178"/>
        <v>4.5999999999999996</v>
      </c>
      <c r="CQ270" s="1">
        <f t="shared" si="179"/>
        <v>6.2</v>
      </c>
      <c r="CR270" s="1">
        <f t="shared" si="180"/>
        <v>7</v>
      </c>
      <c r="CS270" s="2">
        <f t="shared" si="181"/>
        <v>96.3</v>
      </c>
      <c r="CT270" s="6">
        <f t="shared" si="182"/>
        <v>0</v>
      </c>
      <c r="CU270" s="1">
        <f>PPTest!K270</f>
        <v>4</v>
      </c>
      <c r="CV270" s="3">
        <f t="shared" si="183"/>
        <v>1.48</v>
      </c>
      <c r="CW270" s="3">
        <f t="shared" si="184"/>
        <v>4.41</v>
      </c>
      <c r="CX270" s="24">
        <f t="shared" si="185"/>
        <v>0.75600000000000001</v>
      </c>
      <c r="CY270" s="24">
        <f t="shared" si="185"/>
        <v>2.9000000000000001E-2</v>
      </c>
      <c r="CZ270" s="16">
        <f t="shared" si="186"/>
        <v>12.78</v>
      </c>
    </row>
    <row r="271" spans="1:104" x14ac:dyDescent="0.2">
      <c r="A271" s="14">
        <f t="shared" si="187"/>
        <v>38982</v>
      </c>
      <c r="B271" s="1">
        <v>265</v>
      </c>
      <c r="C271" s="3">
        <v>6.6059999999999999</v>
      </c>
      <c r="D271" s="3">
        <v>12.3</v>
      </c>
      <c r="E271" s="3">
        <v>2.863</v>
      </c>
      <c r="F271" s="3">
        <v>106.9</v>
      </c>
      <c r="G271" s="3">
        <v>2.9319999999999999</v>
      </c>
      <c r="H271" s="3">
        <v>2.9140000000000001</v>
      </c>
      <c r="I271" s="3">
        <v>4.7720000000000002</v>
      </c>
      <c r="J271" s="3">
        <v>5.3559999999999999</v>
      </c>
      <c r="K271" s="3">
        <v>6.0789999999999997</v>
      </c>
      <c r="L271" s="3">
        <v>6.8369999999999997</v>
      </c>
      <c r="M271" s="3">
        <v>0.78</v>
      </c>
      <c r="N271" s="3">
        <v>0</v>
      </c>
      <c r="O271" s="3">
        <v>6.4859999999999998</v>
      </c>
      <c r="P271" s="3">
        <v>1553</v>
      </c>
      <c r="Q271" s="3">
        <v>110.8</v>
      </c>
      <c r="R271" s="3">
        <v>2206</v>
      </c>
      <c r="S271" s="3">
        <v>8.08</v>
      </c>
      <c r="T271" s="3">
        <v>8.8800000000000008</v>
      </c>
      <c r="U271" s="3">
        <v>7.95</v>
      </c>
      <c r="V271" s="3">
        <v>6.58</v>
      </c>
      <c r="W271" s="3">
        <v>6.3209999999999997</v>
      </c>
      <c r="X271" s="3">
        <v>7.08</v>
      </c>
      <c r="Y271" s="3">
        <v>2.5350000000000001</v>
      </c>
      <c r="Z271" s="3">
        <v>1442</v>
      </c>
      <c r="AA271" s="3">
        <v>0.159</v>
      </c>
      <c r="AB271" s="3">
        <v>2224</v>
      </c>
      <c r="AC271" s="3">
        <v>90.4</v>
      </c>
      <c r="AD271" s="3">
        <v>1311</v>
      </c>
      <c r="AE271" s="3">
        <v>-0.53</v>
      </c>
      <c r="AF271" s="3">
        <v>-0.70199999999999996</v>
      </c>
      <c r="AG271" s="3">
        <v>1.52</v>
      </c>
      <c r="AH271" s="3">
        <v>4.6920000000000002</v>
      </c>
      <c r="AI271" s="3">
        <v>5.8019999999999996</v>
      </c>
      <c r="AJ271" s="3">
        <v>6.53</v>
      </c>
      <c r="AK271" s="3">
        <v>3.5000000000000003E-2</v>
      </c>
      <c r="AL271" s="3">
        <v>0.17399999999999999</v>
      </c>
      <c r="AM271" s="3">
        <v>9.7000000000000003E-2</v>
      </c>
      <c r="AN271" s="3">
        <v>5.2999999999999999E-2</v>
      </c>
      <c r="AO271" s="3">
        <v>0.20799999999999999</v>
      </c>
      <c r="AP271" s="3">
        <v>0.20599999999999999</v>
      </c>
      <c r="AQ271" s="3">
        <v>0.13100000000000001</v>
      </c>
      <c r="AR271" s="3">
        <v>9.6000000000000002E-2</v>
      </c>
      <c r="AS271" s="3">
        <v>6999</v>
      </c>
      <c r="AT271" s="3">
        <v>3542</v>
      </c>
      <c r="AU271" s="3">
        <v>4952</v>
      </c>
      <c r="AV271" s="3">
        <v>3.4729999999999999</v>
      </c>
      <c r="AW271" s="3">
        <v>3.36</v>
      </c>
      <c r="AX271" s="3">
        <v>7.72</v>
      </c>
      <c r="AY271" s="3">
        <v>7.87</v>
      </c>
      <c r="AZ271" s="3">
        <v>0.129</v>
      </c>
      <c r="BA271" s="3">
        <v>-0.109</v>
      </c>
      <c r="BB271" s="3">
        <v>13.08</v>
      </c>
      <c r="BC271" s="3">
        <v>2876</v>
      </c>
      <c r="BE271" s="6"/>
      <c r="BG271" s="16">
        <v>17.38</v>
      </c>
      <c r="BH271" s="16">
        <f t="shared" si="156"/>
        <v>35.107599999999998</v>
      </c>
      <c r="BI271" s="17">
        <f t="shared" si="154"/>
        <v>6.47</v>
      </c>
      <c r="BJ271" s="17">
        <f t="shared" si="155"/>
        <v>13.53</v>
      </c>
      <c r="BL271" s="1">
        <f t="shared" si="157"/>
        <v>99.5</v>
      </c>
      <c r="BM271" s="1">
        <f t="shared" si="158"/>
        <v>93.3</v>
      </c>
      <c r="BN271" s="1">
        <f t="shared" si="159"/>
        <v>72.599999999999994</v>
      </c>
      <c r="BO271" s="49">
        <f t="shared" si="165"/>
        <v>0.70199999999999996</v>
      </c>
      <c r="BP271" s="49">
        <f t="shared" si="166"/>
        <v>0.26500000000000001</v>
      </c>
      <c r="BR271" s="3">
        <v>0</v>
      </c>
      <c r="BT271" s="16">
        <f t="shared" si="160"/>
        <v>6.47</v>
      </c>
      <c r="BU271" s="16">
        <f t="shared" si="161"/>
        <v>13.53</v>
      </c>
      <c r="BV271" s="3">
        <f t="shared" si="162"/>
        <v>2.9</v>
      </c>
      <c r="BW271" s="3">
        <f t="shared" si="153"/>
        <v>2.9</v>
      </c>
      <c r="BX271" s="3">
        <f t="shared" si="153"/>
        <v>2.9</v>
      </c>
      <c r="BY271" s="3">
        <f t="shared" si="153"/>
        <v>4.8</v>
      </c>
      <c r="BZ271" s="3">
        <f t="shared" si="153"/>
        <v>5.4</v>
      </c>
      <c r="CA271" s="3">
        <f t="shared" si="153"/>
        <v>6.1</v>
      </c>
      <c r="CB271" s="3">
        <f t="shared" si="153"/>
        <v>6.8</v>
      </c>
      <c r="CC271" s="22">
        <f t="shared" si="163"/>
        <v>93.3</v>
      </c>
      <c r="CD271" s="1">
        <f t="shared" si="167"/>
        <v>6.5</v>
      </c>
      <c r="CE271" s="1">
        <f t="shared" si="168"/>
        <v>8.1</v>
      </c>
      <c r="CF271" s="1">
        <f t="shared" si="169"/>
        <v>8.9</v>
      </c>
      <c r="CG271" s="1">
        <f t="shared" si="170"/>
        <v>8</v>
      </c>
      <c r="CH271" s="1">
        <f t="shared" si="171"/>
        <v>6.6</v>
      </c>
      <c r="CI271" s="1">
        <f t="shared" si="172"/>
        <v>6.3</v>
      </c>
      <c r="CJ271" s="1">
        <f t="shared" si="173"/>
        <v>7.1</v>
      </c>
      <c r="CK271" s="2">
        <f t="shared" si="164"/>
        <v>99.5</v>
      </c>
      <c r="CL271" s="1">
        <f t="shared" si="174"/>
        <v>0.2</v>
      </c>
      <c r="CM271" s="1">
        <f t="shared" si="175"/>
        <v>-0.5</v>
      </c>
      <c r="CN271" s="1">
        <f t="shared" si="176"/>
        <v>-0.7</v>
      </c>
      <c r="CO271" s="1">
        <f t="shared" si="177"/>
        <v>1.5</v>
      </c>
      <c r="CP271" s="1">
        <f t="shared" si="178"/>
        <v>4.7</v>
      </c>
      <c r="CQ271" s="1">
        <f t="shared" si="179"/>
        <v>5.8</v>
      </c>
      <c r="CR271" s="1">
        <f t="shared" si="180"/>
        <v>6.5</v>
      </c>
      <c r="CS271" s="2">
        <f t="shared" si="181"/>
        <v>72.599999999999994</v>
      </c>
      <c r="CT271" s="6">
        <f t="shared" si="182"/>
        <v>0</v>
      </c>
      <c r="CU271" s="1">
        <f>PPTest!K271</f>
        <v>0</v>
      </c>
      <c r="CV271" s="3">
        <f t="shared" si="183"/>
        <v>0.78</v>
      </c>
      <c r="CW271" s="3">
        <f t="shared" si="184"/>
        <v>2.54</v>
      </c>
      <c r="CX271" s="24">
        <f t="shared" si="185"/>
        <v>0.70199999999999996</v>
      </c>
      <c r="CY271" s="24">
        <f t="shared" si="185"/>
        <v>0.26500000000000001</v>
      </c>
      <c r="CZ271" s="16">
        <f t="shared" si="186"/>
        <v>13.08</v>
      </c>
    </row>
    <row r="272" spans="1:104" x14ac:dyDescent="0.2">
      <c r="A272" s="14">
        <f t="shared" si="187"/>
        <v>38983</v>
      </c>
      <c r="B272" s="1">
        <v>266</v>
      </c>
      <c r="C272" s="3">
        <v>7.35</v>
      </c>
      <c r="D272" s="3">
        <v>13.7</v>
      </c>
      <c r="E272" s="3">
        <v>4.7140000000000004</v>
      </c>
      <c r="F272" s="3">
        <v>105.6</v>
      </c>
      <c r="G272" s="3">
        <v>4.7560000000000002</v>
      </c>
      <c r="H272" s="3">
        <v>4.7880000000000003</v>
      </c>
      <c r="I272" s="3">
        <v>5.8929999999999998</v>
      </c>
      <c r="J272" s="3">
        <v>5.9290000000000003</v>
      </c>
      <c r="K272" s="3">
        <v>6.0869999999999997</v>
      </c>
      <c r="L272" s="3">
        <v>6.6449999999999996</v>
      </c>
      <c r="M272" s="3">
        <v>0.95199999999999996</v>
      </c>
      <c r="N272" s="3">
        <v>0</v>
      </c>
      <c r="O272" s="3">
        <v>8.83</v>
      </c>
      <c r="P272" s="3">
        <v>1418</v>
      </c>
      <c r="Q272" s="3">
        <v>110.9</v>
      </c>
      <c r="R272" s="3">
        <v>2358</v>
      </c>
      <c r="S272" s="3">
        <v>11.13</v>
      </c>
      <c r="T272" s="3">
        <v>11.46</v>
      </c>
      <c r="U272" s="3">
        <v>10.44</v>
      </c>
      <c r="V272" s="3">
        <v>7.46</v>
      </c>
      <c r="W272" s="3">
        <v>6.3</v>
      </c>
      <c r="X272" s="3">
        <v>6.952</v>
      </c>
      <c r="Y272" s="3">
        <v>2.8809999999999998</v>
      </c>
      <c r="Z272" s="3">
        <v>1046</v>
      </c>
      <c r="AA272" s="3">
        <v>-0.71099999999999997</v>
      </c>
      <c r="AB272" s="3">
        <v>2358</v>
      </c>
      <c r="AC272" s="3">
        <v>93.3</v>
      </c>
      <c r="AD272" s="3">
        <v>1501</v>
      </c>
      <c r="AE272" s="3">
        <v>-1.282</v>
      </c>
      <c r="AF272" s="3">
        <v>-1.3779999999999999</v>
      </c>
      <c r="AG272" s="3">
        <v>1.1459999999999999</v>
      </c>
      <c r="AH272" s="3">
        <v>4.6719999999999997</v>
      </c>
      <c r="AI272" s="3">
        <v>5.8890000000000002</v>
      </c>
      <c r="AJ272" s="3">
        <v>6.3049999999999997</v>
      </c>
      <c r="AK272" s="3">
        <v>7.8E-2</v>
      </c>
      <c r="AL272" s="3">
        <v>0.28499999999999998</v>
      </c>
      <c r="AM272" s="3">
        <v>0.20599999999999999</v>
      </c>
      <c r="AN272" s="3">
        <v>4.2999999999999997E-2</v>
      </c>
      <c r="AO272" s="3">
        <v>0.11700000000000001</v>
      </c>
      <c r="AP272" s="3">
        <v>0.16800000000000001</v>
      </c>
      <c r="AQ272" s="3">
        <v>5.7000000000000002E-2</v>
      </c>
      <c r="AR272" s="3">
        <v>4.5999999999999999E-2</v>
      </c>
      <c r="AS272" s="3">
        <v>3550</v>
      </c>
      <c r="AT272" s="3">
        <v>3532</v>
      </c>
      <c r="AU272" s="3">
        <v>3538</v>
      </c>
      <c r="AV272" s="3">
        <v>5.3049999999999997</v>
      </c>
      <c r="AW272" s="3">
        <v>5.2089999999999996</v>
      </c>
      <c r="AX272" s="3">
        <v>10.8</v>
      </c>
      <c r="AY272" s="3">
        <v>10.82</v>
      </c>
      <c r="AZ272" s="3">
        <v>-0.63500000000000001</v>
      </c>
      <c r="BA272" s="3">
        <v>-1.091</v>
      </c>
      <c r="BB272" s="3">
        <v>13.04</v>
      </c>
      <c r="BC272" s="3">
        <v>2876</v>
      </c>
      <c r="BE272" s="6"/>
      <c r="BG272" s="16">
        <v>17.13</v>
      </c>
      <c r="BH272" s="16">
        <f t="shared" si="156"/>
        <v>34.602599999999995</v>
      </c>
      <c r="BI272" s="17">
        <f t="shared" si="154"/>
        <v>7.2</v>
      </c>
      <c r="BJ272" s="17">
        <f t="shared" si="155"/>
        <v>15.07</v>
      </c>
      <c r="BL272" s="1">
        <f t="shared" si="157"/>
        <v>99.6</v>
      </c>
      <c r="BM272" s="1">
        <f t="shared" si="158"/>
        <v>91.2</v>
      </c>
      <c r="BN272" s="1">
        <f t="shared" si="159"/>
        <v>75.099999999999994</v>
      </c>
      <c r="BO272" s="49">
        <f t="shared" si="165"/>
        <v>0.85199999999999998</v>
      </c>
      <c r="BP272" s="49">
        <f t="shared" si="166"/>
        <v>0.28199999999999997</v>
      </c>
      <c r="BR272" s="3">
        <v>0</v>
      </c>
      <c r="BT272" s="16">
        <f t="shared" si="160"/>
        <v>7.2</v>
      </c>
      <c r="BU272" s="16">
        <f t="shared" si="161"/>
        <v>15.07</v>
      </c>
      <c r="BV272" s="3">
        <f t="shared" si="162"/>
        <v>4.7</v>
      </c>
      <c r="BW272" s="3">
        <f t="shared" si="153"/>
        <v>4.8</v>
      </c>
      <c r="BX272" s="3">
        <f t="shared" si="153"/>
        <v>4.8</v>
      </c>
      <c r="BY272" s="3">
        <f t="shared" si="153"/>
        <v>5.9</v>
      </c>
      <c r="BZ272" s="3">
        <f t="shared" si="153"/>
        <v>5.9</v>
      </c>
      <c r="CA272" s="3">
        <f t="shared" si="153"/>
        <v>6.1</v>
      </c>
      <c r="CB272" s="3">
        <f t="shared" si="153"/>
        <v>6.6</v>
      </c>
      <c r="CC272" s="22">
        <f t="shared" si="163"/>
        <v>91.2</v>
      </c>
      <c r="CD272" s="1">
        <f t="shared" si="167"/>
        <v>8.8000000000000007</v>
      </c>
      <c r="CE272" s="1">
        <f t="shared" si="168"/>
        <v>11.1</v>
      </c>
      <c r="CF272" s="1">
        <f t="shared" si="169"/>
        <v>11.5</v>
      </c>
      <c r="CG272" s="1">
        <f t="shared" si="170"/>
        <v>10.4</v>
      </c>
      <c r="CH272" s="1">
        <f t="shared" si="171"/>
        <v>7.5</v>
      </c>
      <c r="CI272" s="1">
        <f t="shared" si="172"/>
        <v>6.3</v>
      </c>
      <c r="CJ272" s="1">
        <f t="shared" si="173"/>
        <v>7</v>
      </c>
      <c r="CK272" s="2">
        <f t="shared" si="164"/>
        <v>99.6</v>
      </c>
      <c r="CL272" s="1">
        <f t="shared" si="174"/>
        <v>-0.7</v>
      </c>
      <c r="CM272" s="1">
        <f t="shared" si="175"/>
        <v>-1.3</v>
      </c>
      <c r="CN272" s="1">
        <f t="shared" si="176"/>
        <v>-1.4</v>
      </c>
      <c r="CO272" s="1">
        <f t="shared" si="177"/>
        <v>1.1000000000000001</v>
      </c>
      <c r="CP272" s="1">
        <f t="shared" si="178"/>
        <v>4.7</v>
      </c>
      <c r="CQ272" s="1">
        <f t="shared" si="179"/>
        <v>5.9</v>
      </c>
      <c r="CR272" s="1">
        <f t="shared" si="180"/>
        <v>6.3</v>
      </c>
      <c r="CS272" s="2">
        <f t="shared" si="181"/>
        <v>75.099999999999994</v>
      </c>
      <c r="CT272" s="6">
        <f t="shared" si="182"/>
        <v>0</v>
      </c>
      <c r="CU272" s="1">
        <f>PPTest!K272</f>
        <v>0</v>
      </c>
      <c r="CV272" s="3">
        <f t="shared" si="183"/>
        <v>0.95</v>
      </c>
      <c r="CW272" s="3">
        <f t="shared" si="184"/>
        <v>2.88</v>
      </c>
      <c r="CX272" s="24">
        <f t="shared" si="185"/>
        <v>0.85199999999999998</v>
      </c>
      <c r="CY272" s="24">
        <f t="shared" si="185"/>
        <v>0.28199999999999997</v>
      </c>
      <c r="CZ272" s="16">
        <f t="shared" si="186"/>
        <v>13.04</v>
      </c>
    </row>
    <row r="273" spans="1:104" x14ac:dyDescent="0.2">
      <c r="A273" s="14">
        <f t="shared" si="187"/>
        <v>38984</v>
      </c>
      <c r="B273" s="1">
        <v>267</v>
      </c>
      <c r="C273" s="3">
        <v>18.02</v>
      </c>
      <c r="D273" s="3">
        <v>32.1</v>
      </c>
      <c r="E273" s="3">
        <v>6.0339999999999998</v>
      </c>
      <c r="F273" s="3">
        <v>94.9</v>
      </c>
      <c r="G273" s="3">
        <v>6.0030000000000001</v>
      </c>
      <c r="H273" s="3">
        <v>5.923</v>
      </c>
      <c r="I273" s="3">
        <v>5.3140000000000001</v>
      </c>
      <c r="J273" s="3">
        <v>6.641</v>
      </c>
      <c r="K273" s="3">
        <v>6.2329999999999997</v>
      </c>
      <c r="L273" s="3">
        <v>6.5170000000000003</v>
      </c>
      <c r="M273" s="3">
        <v>1.659</v>
      </c>
      <c r="N273" s="3">
        <v>0</v>
      </c>
      <c r="O273" s="3">
        <v>17.02</v>
      </c>
      <c r="P273" s="3">
        <v>1618</v>
      </c>
      <c r="Q273" s="3">
        <v>110.9</v>
      </c>
      <c r="R273" s="3">
        <v>608</v>
      </c>
      <c r="S273" s="3">
        <v>19.37</v>
      </c>
      <c r="T273" s="3">
        <v>19.88</v>
      </c>
      <c r="U273" s="3">
        <v>14.97</v>
      </c>
      <c r="V273" s="3">
        <v>10.68</v>
      </c>
      <c r="W273" s="3">
        <v>6.6109999999999998</v>
      </c>
      <c r="X273" s="3">
        <v>7.05</v>
      </c>
      <c r="Y273" s="3">
        <v>3.0939999999999999</v>
      </c>
      <c r="Z273" s="3">
        <v>1346</v>
      </c>
      <c r="AA273" s="3">
        <v>-1.905</v>
      </c>
      <c r="AB273" s="3">
        <v>522</v>
      </c>
      <c r="AC273" s="3">
        <v>51.95</v>
      </c>
      <c r="AD273" s="3">
        <v>1620</v>
      </c>
      <c r="AE273" s="3">
        <v>-2.4670000000000001</v>
      </c>
      <c r="AF273" s="3">
        <v>-2.5009999999999999</v>
      </c>
      <c r="AG273" s="3">
        <v>-0.24199999999999999</v>
      </c>
      <c r="AH273" s="3">
        <v>3.7210000000000001</v>
      </c>
      <c r="AI273" s="3">
        <v>5.806</v>
      </c>
      <c r="AJ273" s="3">
        <v>6.1950000000000003</v>
      </c>
      <c r="AK273" s="3">
        <v>8.9999999999999993E-3</v>
      </c>
      <c r="AL273" s="3">
        <v>0.26500000000000001</v>
      </c>
      <c r="AM273" s="3">
        <v>0.372</v>
      </c>
      <c r="AN273" s="3">
        <v>0.01</v>
      </c>
      <c r="AO273" s="3">
        <v>0.11</v>
      </c>
      <c r="AP273" s="3">
        <v>0.14699999999999999</v>
      </c>
      <c r="AQ273" s="3">
        <v>5.7000000000000002E-2</v>
      </c>
      <c r="AR273" s="3">
        <v>2.8000000000000001E-2</v>
      </c>
      <c r="AS273" s="3">
        <v>3530</v>
      </c>
      <c r="AT273" s="3">
        <v>3518</v>
      </c>
      <c r="AU273" s="3">
        <v>3521</v>
      </c>
      <c r="AV273" s="3">
        <v>6.1230000000000002</v>
      </c>
      <c r="AW273" s="3">
        <v>6.1260000000000003</v>
      </c>
      <c r="AX273" s="3">
        <v>20.79</v>
      </c>
      <c r="AY273" s="3">
        <v>21.09</v>
      </c>
      <c r="AZ273" s="3">
        <v>-2.5099999999999998</v>
      </c>
      <c r="BA273" s="3">
        <v>-2.677</v>
      </c>
      <c r="BB273" s="3">
        <v>12.99</v>
      </c>
      <c r="BC273" s="3">
        <v>2876</v>
      </c>
      <c r="BE273" s="6"/>
      <c r="BG273" s="16">
        <v>16.87</v>
      </c>
      <c r="BH273" s="16">
        <f t="shared" si="156"/>
        <v>34.077400000000004</v>
      </c>
      <c r="BI273" s="17">
        <f t="shared" si="154"/>
        <v>17.66</v>
      </c>
      <c r="BJ273" s="17">
        <f t="shared" si="155"/>
        <v>35.31</v>
      </c>
      <c r="BL273" s="1">
        <f t="shared" si="157"/>
        <v>99.6</v>
      </c>
      <c r="BM273" s="1">
        <f t="shared" si="158"/>
        <v>76.5</v>
      </c>
      <c r="BN273" s="1">
        <f t="shared" si="159"/>
        <v>38.700000000000003</v>
      </c>
      <c r="BO273" s="49">
        <f t="shared" si="165"/>
        <v>0.751</v>
      </c>
      <c r="BP273" s="49">
        <f t="shared" si="166"/>
        <v>1.19</v>
      </c>
      <c r="BR273" s="3">
        <v>0</v>
      </c>
      <c r="BT273" s="16">
        <f t="shared" si="160"/>
        <v>17.66</v>
      </c>
      <c r="BU273" s="16">
        <f t="shared" si="161"/>
        <v>35.31</v>
      </c>
      <c r="BV273" s="3">
        <f t="shared" si="162"/>
        <v>6</v>
      </c>
      <c r="BW273" s="3">
        <f t="shared" si="153"/>
        <v>6</v>
      </c>
      <c r="BX273" s="3">
        <f t="shared" si="153"/>
        <v>5.9</v>
      </c>
      <c r="BY273" s="3">
        <f t="shared" si="153"/>
        <v>5.3</v>
      </c>
      <c r="BZ273" s="3">
        <f t="shared" si="153"/>
        <v>6.6</v>
      </c>
      <c r="CA273" s="3">
        <f t="shared" si="153"/>
        <v>6.2</v>
      </c>
      <c r="CB273" s="3">
        <f t="shared" si="153"/>
        <v>6.5</v>
      </c>
      <c r="CC273" s="22">
        <f t="shared" si="163"/>
        <v>76.5</v>
      </c>
      <c r="CD273" s="1">
        <f t="shared" si="167"/>
        <v>17</v>
      </c>
      <c r="CE273" s="1">
        <f t="shared" si="168"/>
        <v>19.399999999999999</v>
      </c>
      <c r="CF273" s="1">
        <f t="shared" si="169"/>
        <v>19.899999999999999</v>
      </c>
      <c r="CG273" s="1">
        <f t="shared" si="170"/>
        <v>15</v>
      </c>
      <c r="CH273" s="1">
        <f t="shared" si="171"/>
        <v>10.7</v>
      </c>
      <c r="CI273" s="1">
        <f t="shared" si="172"/>
        <v>6.6</v>
      </c>
      <c r="CJ273" s="1">
        <f t="shared" si="173"/>
        <v>7.1</v>
      </c>
      <c r="CK273" s="2">
        <f t="shared" si="164"/>
        <v>99.6</v>
      </c>
      <c r="CL273" s="1">
        <f t="shared" si="174"/>
        <v>-1.9</v>
      </c>
      <c r="CM273" s="1">
        <f t="shared" si="175"/>
        <v>-2.5</v>
      </c>
      <c r="CN273" s="1">
        <f t="shared" si="176"/>
        <v>-2.5</v>
      </c>
      <c r="CO273" s="1">
        <f t="shared" si="177"/>
        <v>-0.2</v>
      </c>
      <c r="CP273" s="1">
        <f t="shared" si="178"/>
        <v>3.7</v>
      </c>
      <c r="CQ273" s="1">
        <f t="shared" si="179"/>
        <v>5.8</v>
      </c>
      <c r="CR273" s="1">
        <f t="shared" si="180"/>
        <v>6.2</v>
      </c>
      <c r="CS273" s="2">
        <f t="shared" si="181"/>
        <v>38.700000000000003</v>
      </c>
      <c r="CT273" s="6">
        <f t="shared" si="182"/>
        <v>0</v>
      </c>
      <c r="CU273" s="1">
        <f>PPTest!K273</f>
        <v>0</v>
      </c>
      <c r="CV273" s="3">
        <f t="shared" si="183"/>
        <v>1.66</v>
      </c>
      <c r="CW273" s="3">
        <f t="shared" si="184"/>
        <v>3.09</v>
      </c>
      <c r="CX273" s="24">
        <f t="shared" si="185"/>
        <v>0.751</v>
      </c>
      <c r="CY273" s="24">
        <f t="shared" si="185"/>
        <v>1.19</v>
      </c>
      <c r="CZ273" s="16">
        <f t="shared" si="186"/>
        <v>12.99</v>
      </c>
    </row>
    <row r="274" spans="1:104" x14ac:dyDescent="0.2">
      <c r="A274" s="14">
        <f t="shared" si="187"/>
        <v>38985</v>
      </c>
      <c r="B274" s="1">
        <v>268</v>
      </c>
      <c r="C274" s="3">
        <v>17.12</v>
      </c>
      <c r="D274" s="3">
        <v>29.97</v>
      </c>
      <c r="E274" s="3">
        <v>7.35</v>
      </c>
      <c r="F274" s="3">
        <v>89.3</v>
      </c>
      <c r="G274" s="3">
        <v>7.3</v>
      </c>
      <c r="H274" s="3">
        <v>7.25</v>
      </c>
      <c r="I274" s="3">
        <v>6.2510000000000003</v>
      </c>
      <c r="J274" s="3">
        <v>7.16</v>
      </c>
      <c r="K274" s="3">
        <v>6.6139999999999999</v>
      </c>
      <c r="L274" s="3">
        <v>6.5190000000000001</v>
      </c>
      <c r="M274" s="3">
        <v>1.627</v>
      </c>
      <c r="N274" s="3">
        <v>0</v>
      </c>
      <c r="O274" s="3">
        <v>17.32</v>
      </c>
      <c r="P274" s="3">
        <v>1510</v>
      </c>
      <c r="Q274" s="3">
        <v>110.9</v>
      </c>
      <c r="R274" s="3">
        <v>550</v>
      </c>
      <c r="S274" s="3">
        <v>20.58</v>
      </c>
      <c r="T274" s="3">
        <v>21.49</v>
      </c>
      <c r="U274" s="3">
        <v>15.8</v>
      </c>
      <c r="V274" s="3">
        <v>10.75</v>
      </c>
      <c r="W274" s="3">
        <v>7.04</v>
      </c>
      <c r="X274" s="3">
        <v>7.07</v>
      </c>
      <c r="Y274" s="3">
        <v>3.6520000000000001</v>
      </c>
      <c r="Z274" s="3">
        <v>1126</v>
      </c>
      <c r="AA274" s="3">
        <v>-1.071</v>
      </c>
      <c r="AB274" s="3">
        <v>539</v>
      </c>
      <c r="AC274" s="3">
        <v>40.44</v>
      </c>
      <c r="AD274" s="3">
        <v>1548</v>
      </c>
      <c r="AE274" s="3">
        <v>-1.736</v>
      </c>
      <c r="AF274" s="3">
        <v>-1.792</v>
      </c>
      <c r="AG274" s="3">
        <v>0.3</v>
      </c>
      <c r="AH274" s="3">
        <v>4.3109999999999999</v>
      </c>
      <c r="AI274" s="3">
        <v>6.2069999999999999</v>
      </c>
      <c r="AJ274" s="3">
        <v>6.1689999999999996</v>
      </c>
      <c r="AK274" s="3">
        <v>0.02</v>
      </c>
      <c r="AL274" s="3">
        <v>0.27200000000000002</v>
      </c>
      <c r="AM274" s="3">
        <v>0.35799999999999998</v>
      </c>
      <c r="AN274" s="3">
        <v>0.01</v>
      </c>
      <c r="AO274" s="3">
        <v>8.2000000000000003E-2</v>
      </c>
      <c r="AP274" s="3">
        <v>0.157</v>
      </c>
      <c r="AQ274" s="3">
        <v>0.08</v>
      </c>
      <c r="AR274" s="3">
        <v>2.1999999999999999E-2</v>
      </c>
      <c r="AS274" s="3">
        <v>3513</v>
      </c>
      <c r="AT274" s="3">
        <v>3510</v>
      </c>
      <c r="AU274" s="3">
        <v>3512</v>
      </c>
      <c r="AV274" s="3">
        <v>7.27</v>
      </c>
      <c r="AW274" s="3">
        <v>7.32</v>
      </c>
      <c r="AX274" s="3">
        <v>21.29</v>
      </c>
      <c r="AY274" s="3">
        <v>21.58</v>
      </c>
      <c r="AZ274" s="3">
        <v>-1.518</v>
      </c>
      <c r="BA274" s="3">
        <v>-1.7290000000000001</v>
      </c>
      <c r="BB274" s="3">
        <v>12.97</v>
      </c>
      <c r="BC274" s="3">
        <v>2876</v>
      </c>
      <c r="BE274" s="6"/>
      <c r="BG274" s="16">
        <v>16.62</v>
      </c>
      <c r="BH274" s="16">
        <f t="shared" si="156"/>
        <v>33.572400000000002</v>
      </c>
      <c r="BI274" s="17">
        <f t="shared" si="154"/>
        <v>16.78</v>
      </c>
      <c r="BJ274" s="17">
        <f t="shared" si="155"/>
        <v>32.97</v>
      </c>
      <c r="BL274" s="1">
        <f t="shared" si="157"/>
        <v>99.6</v>
      </c>
      <c r="BM274" s="1">
        <f t="shared" si="158"/>
        <v>71.599999999999994</v>
      </c>
      <c r="BN274" s="1">
        <f t="shared" si="159"/>
        <v>28.6</v>
      </c>
      <c r="BO274" s="49">
        <f t="shared" si="165"/>
        <v>0.56499999999999995</v>
      </c>
      <c r="BP274" s="49">
        <f t="shared" si="166"/>
        <v>1.411</v>
      </c>
      <c r="BR274" s="3">
        <v>0</v>
      </c>
      <c r="BT274" s="16">
        <f t="shared" si="160"/>
        <v>16.78</v>
      </c>
      <c r="BU274" s="16">
        <f t="shared" si="161"/>
        <v>32.97</v>
      </c>
      <c r="BV274" s="3">
        <f t="shared" si="162"/>
        <v>7.4</v>
      </c>
      <c r="BW274" s="3">
        <f t="shared" si="153"/>
        <v>7.3</v>
      </c>
      <c r="BX274" s="3">
        <f t="shared" si="153"/>
        <v>7.3</v>
      </c>
      <c r="BY274" s="3">
        <f t="shared" si="153"/>
        <v>6.3</v>
      </c>
      <c r="BZ274" s="3">
        <f t="shared" si="153"/>
        <v>7.2</v>
      </c>
      <c r="CA274" s="3">
        <f t="shared" si="153"/>
        <v>6.6</v>
      </c>
      <c r="CB274" s="3">
        <f t="shared" si="153"/>
        <v>6.5</v>
      </c>
      <c r="CC274" s="22">
        <f t="shared" si="163"/>
        <v>71.599999999999994</v>
      </c>
      <c r="CD274" s="1">
        <f t="shared" si="167"/>
        <v>17.3</v>
      </c>
      <c r="CE274" s="1">
        <f t="shared" si="168"/>
        <v>20.6</v>
      </c>
      <c r="CF274" s="1">
        <f t="shared" si="169"/>
        <v>21.5</v>
      </c>
      <c r="CG274" s="1">
        <f t="shared" si="170"/>
        <v>15.8</v>
      </c>
      <c r="CH274" s="1">
        <f t="shared" si="171"/>
        <v>10.8</v>
      </c>
      <c r="CI274" s="1">
        <f t="shared" si="172"/>
        <v>7</v>
      </c>
      <c r="CJ274" s="1">
        <f t="shared" si="173"/>
        <v>7.1</v>
      </c>
      <c r="CK274" s="2">
        <f t="shared" si="164"/>
        <v>99.6</v>
      </c>
      <c r="CL274" s="1">
        <f t="shared" si="174"/>
        <v>-1.1000000000000001</v>
      </c>
      <c r="CM274" s="1">
        <f t="shared" si="175"/>
        <v>-1.7</v>
      </c>
      <c r="CN274" s="1">
        <f t="shared" si="176"/>
        <v>-1.8</v>
      </c>
      <c r="CO274" s="1">
        <f t="shared" si="177"/>
        <v>0.3</v>
      </c>
      <c r="CP274" s="1">
        <f t="shared" si="178"/>
        <v>4.3</v>
      </c>
      <c r="CQ274" s="1">
        <f t="shared" si="179"/>
        <v>6.2</v>
      </c>
      <c r="CR274" s="1">
        <f t="shared" si="180"/>
        <v>6.2</v>
      </c>
      <c r="CS274" s="2">
        <f t="shared" si="181"/>
        <v>28.6</v>
      </c>
      <c r="CT274" s="6">
        <f t="shared" si="182"/>
        <v>0</v>
      </c>
      <c r="CU274" s="1">
        <f>PPTest!K274</f>
        <v>0</v>
      </c>
      <c r="CV274" s="3">
        <f t="shared" si="183"/>
        <v>1.63</v>
      </c>
      <c r="CW274" s="3">
        <f t="shared" si="184"/>
        <v>3.65</v>
      </c>
      <c r="CX274" s="24">
        <f t="shared" si="185"/>
        <v>0.56499999999999995</v>
      </c>
      <c r="CY274" s="24">
        <f t="shared" si="185"/>
        <v>1.411</v>
      </c>
      <c r="CZ274" s="16">
        <f t="shared" si="186"/>
        <v>12.97</v>
      </c>
    </row>
    <row r="275" spans="1:104" x14ac:dyDescent="0.2">
      <c r="A275" s="14">
        <f t="shared" si="187"/>
        <v>38986</v>
      </c>
      <c r="B275" s="1">
        <v>269</v>
      </c>
      <c r="C275" s="3">
        <v>11.08</v>
      </c>
      <c r="D275" s="3">
        <v>20.43</v>
      </c>
      <c r="E275" s="3">
        <v>7.79</v>
      </c>
      <c r="F275" s="3">
        <v>99.8</v>
      </c>
      <c r="G275" s="3">
        <v>7.74</v>
      </c>
      <c r="H275" s="3">
        <v>7.73</v>
      </c>
      <c r="I275" s="3">
        <v>7.78</v>
      </c>
      <c r="J275" s="3">
        <v>7.77</v>
      </c>
      <c r="K275" s="3">
        <v>7.05</v>
      </c>
      <c r="L275" s="3">
        <v>6.59</v>
      </c>
      <c r="M275" s="3">
        <v>1.367</v>
      </c>
      <c r="N275" s="3">
        <v>0</v>
      </c>
      <c r="O275" s="3">
        <v>13.84</v>
      </c>
      <c r="P275" s="3">
        <v>1616</v>
      </c>
      <c r="Q275" s="3">
        <v>110.8</v>
      </c>
      <c r="R275" s="3">
        <v>2359</v>
      </c>
      <c r="S275" s="3">
        <v>18.09</v>
      </c>
      <c r="T275" s="3">
        <v>18.399999999999999</v>
      </c>
      <c r="U275" s="3">
        <v>16.46</v>
      </c>
      <c r="V275" s="3">
        <v>10.08</v>
      </c>
      <c r="W275" s="3">
        <v>7.27</v>
      </c>
      <c r="X275" s="3">
        <v>6.93</v>
      </c>
      <c r="Y275" s="3">
        <v>3.4</v>
      </c>
      <c r="Z275" s="3">
        <v>1312</v>
      </c>
      <c r="AA275" s="3">
        <v>0.91700000000000004</v>
      </c>
      <c r="AB275" s="3">
        <v>2359</v>
      </c>
      <c r="AC275" s="3">
        <v>75.599999999999994</v>
      </c>
      <c r="AD275" s="3">
        <v>1028</v>
      </c>
      <c r="AE275" s="3">
        <v>0.13500000000000001</v>
      </c>
      <c r="AF275" s="3">
        <v>-9.1999999999999998E-2</v>
      </c>
      <c r="AG275" s="3">
        <v>1.2529999999999999</v>
      </c>
      <c r="AH275" s="3">
        <v>6.0750000000000002</v>
      </c>
      <c r="AI275" s="3">
        <v>6.7640000000000002</v>
      </c>
      <c r="AJ275" s="3">
        <v>6.258</v>
      </c>
      <c r="AK275" s="3">
        <v>2.8000000000000001E-2</v>
      </c>
      <c r="AL275" s="3">
        <v>0.30399999999999999</v>
      </c>
      <c r="AM275" s="3">
        <v>0.247</v>
      </c>
      <c r="AN275" s="3">
        <v>1.0999999999999999E-2</v>
      </c>
      <c r="AO275" s="3">
        <v>0.11</v>
      </c>
      <c r="AP275" s="3">
        <v>0.20499999999999999</v>
      </c>
      <c r="AQ275" s="3">
        <v>6.9000000000000006E-2</v>
      </c>
      <c r="AR275" s="3">
        <v>2.5000000000000001E-2</v>
      </c>
      <c r="AS275" s="3">
        <v>6999</v>
      </c>
      <c r="AT275" s="3">
        <v>3523</v>
      </c>
      <c r="AU275" s="3">
        <v>4562</v>
      </c>
      <c r="AV275" s="3">
        <v>8.44</v>
      </c>
      <c r="AW275" s="3">
        <v>8.31</v>
      </c>
      <c r="AX275" s="3">
        <v>18.29</v>
      </c>
      <c r="AY275" s="3">
        <v>18.53</v>
      </c>
      <c r="AZ275" s="3">
        <v>0.51900000000000002</v>
      </c>
      <c r="BA275" s="3">
        <v>9.1999999999999998E-2</v>
      </c>
      <c r="BB275" s="3">
        <v>12.94</v>
      </c>
      <c r="BC275" s="3">
        <v>2876</v>
      </c>
      <c r="BE275" s="6"/>
      <c r="BG275" s="16">
        <v>16.37</v>
      </c>
      <c r="BH275" s="16">
        <f t="shared" si="156"/>
        <v>33.067399999999999</v>
      </c>
      <c r="BI275" s="17">
        <f t="shared" si="154"/>
        <v>10.86</v>
      </c>
      <c r="BJ275" s="17">
        <f t="shared" si="155"/>
        <v>22.47</v>
      </c>
      <c r="BL275" s="1">
        <f t="shared" si="157"/>
        <v>99.5</v>
      </c>
      <c r="BM275" s="1">
        <f t="shared" si="158"/>
        <v>82</v>
      </c>
      <c r="BN275" s="1">
        <f t="shared" si="159"/>
        <v>59.5</v>
      </c>
      <c r="BO275" s="49">
        <f t="shared" si="165"/>
        <v>0.94099999999999995</v>
      </c>
      <c r="BP275" s="49">
        <f t="shared" si="166"/>
        <v>0.64100000000000001</v>
      </c>
      <c r="BR275" s="3">
        <v>0</v>
      </c>
      <c r="BT275" s="16">
        <f t="shared" si="160"/>
        <v>10.86</v>
      </c>
      <c r="BU275" s="16">
        <f t="shared" si="161"/>
        <v>22.47</v>
      </c>
      <c r="BV275" s="3">
        <f t="shared" si="162"/>
        <v>7.8</v>
      </c>
      <c r="BW275" s="3">
        <f t="shared" si="153"/>
        <v>7.7</v>
      </c>
      <c r="BX275" s="3">
        <f t="shared" si="153"/>
        <v>7.7</v>
      </c>
      <c r="BY275" s="3">
        <f t="shared" si="153"/>
        <v>7.8</v>
      </c>
      <c r="BZ275" s="3">
        <f t="shared" si="153"/>
        <v>7.8</v>
      </c>
      <c r="CA275" s="3">
        <f t="shared" si="153"/>
        <v>7.1</v>
      </c>
      <c r="CB275" s="3">
        <f t="shared" si="153"/>
        <v>6.6</v>
      </c>
      <c r="CC275" s="22">
        <f t="shared" si="163"/>
        <v>82</v>
      </c>
      <c r="CD275" s="1">
        <f t="shared" si="167"/>
        <v>13.8</v>
      </c>
      <c r="CE275" s="1">
        <f t="shared" si="168"/>
        <v>18.100000000000001</v>
      </c>
      <c r="CF275" s="1">
        <f t="shared" si="169"/>
        <v>18.399999999999999</v>
      </c>
      <c r="CG275" s="1">
        <f t="shared" si="170"/>
        <v>16.5</v>
      </c>
      <c r="CH275" s="1">
        <f t="shared" si="171"/>
        <v>10.1</v>
      </c>
      <c r="CI275" s="1">
        <f t="shared" si="172"/>
        <v>7.3</v>
      </c>
      <c r="CJ275" s="1">
        <f t="shared" si="173"/>
        <v>6.9</v>
      </c>
      <c r="CK275" s="2">
        <f t="shared" si="164"/>
        <v>99.5</v>
      </c>
      <c r="CL275" s="1">
        <f t="shared" si="174"/>
        <v>0.9</v>
      </c>
      <c r="CM275" s="1">
        <f t="shared" si="175"/>
        <v>0.1</v>
      </c>
      <c r="CN275" s="1">
        <f t="shared" si="176"/>
        <v>-0.1</v>
      </c>
      <c r="CO275" s="1">
        <f t="shared" si="177"/>
        <v>1.3</v>
      </c>
      <c r="CP275" s="1">
        <f t="shared" si="178"/>
        <v>6.1</v>
      </c>
      <c r="CQ275" s="1">
        <f t="shared" si="179"/>
        <v>6.8</v>
      </c>
      <c r="CR275" s="1">
        <f t="shared" si="180"/>
        <v>6.3</v>
      </c>
      <c r="CS275" s="2">
        <f t="shared" si="181"/>
        <v>59.5</v>
      </c>
      <c r="CT275" s="6">
        <f t="shared" si="182"/>
        <v>0</v>
      </c>
      <c r="CU275" s="1">
        <f>PPTest!K275</f>
        <v>0</v>
      </c>
      <c r="CV275" s="3">
        <f t="shared" si="183"/>
        <v>1.37</v>
      </c>
      <c r="CW275" s="3">
        <f t="shared" si="184"/>
        <v>3.4</v>
      </c>
      <c r="CX275" s="24">
        <f t="shared" si="185"/>
        <v>0.94099999999999995</v>
      </c>
      <c r="CY275" s="24">
        <f t="shared" si="185"/>
        <v>0.64100000000000001</v>
      </c>
      <c r="CZ275" s="16">
        <f t="shared" si="186"/>
        <v>12.94</v>
      </c>
    </row>
    <row r="276" spans="1:104" x14ac:dyDescent="0.2">
      <c r="A276" s="14">
        <f t="shared" si="187"/>
        <v>38987</v>
      </c>
      <c r="B276" s="1">
        <v>270</v>
      </c>
      <c r="C276" s="3">
        <v>16.95</v>
      </c>
      <c r="D276" s="3">
        <v>31.04</v>
      </c>
      <c r="E276" s="3">
        <v>7.04</v>
      </c>
      <c r="F276" s="3">
        <v>98.6</v>
      </c>
      <c r="G276" s="3">
        <v>7</v>
      </c>
      <c r="H276" s="3">
        <v>6.9489999999999998</v>
      </c>
      <c r="I276" s="3">
        <v>6.4039999999999999</v>
      </c>
      <c r="J276" s="3">
        <v>7.46</v>
      </c>
      <c r="K276" s="3">
        <v>7.08</v>
      </c>
      <c r="L276" s="3">
        <v>6.6360000000000001</v>
      </c>
      <c r="M276" s="3">
        <v>1.647</v>
      </c>
      <c r="N276" s="3">
        <v>0</v>
      </c>
      <c r="O276" s="3">
        <v>17.3</v>
      </c>
      <c r="P276" s="3">
        <v>1617</v>
      </c>
      <c r="Q276" s="3">
        <v>110.9</v>
      </c>
      <c r="R276" s="3">
        <v>525</v>
      </c>
      <c r="S276" s="3">
        <v>19.809999999999999</v>
      </c>
      <c r="T276" s="3">
        <v>21.5</v>
      </c>
      <c r="U276" s="3">
        <v>16.309999999999999</v>
      </c>
      <c r="V276" s="3">
        <v>11.21</v>
      </c>
      <c r="W276" s="3">
        <v>7.45</v>
      </c>
      <c r="X276" s="3">
        <v>7.08</v>
      </c>
      <c r="Y276" s="3">
        <v>3.4790000000000001</v>
      </c>
      <c r="Z276" s="3">
        <v>1112</v>
      </c>
      <c r="AA276" s="3">
        <v>-0.86699999999999999</v>
      </c>
      <c r="AB276" s="3">
        <v>527</v>
      </c>
      <c r="AC276" s="3">
        <v>66.819999999999993</v>
      </c>
      <c r="AD276" s="3">
        <v>1433</v>
      </c>
      <c r="AE276" s="3">
        <v>-1.6060000000000001</v>
      </c>
      <c r="AF276" s="3">
        <v>-1.8109999999999999</v>
      </c>
      <c r="AG276" s="3">
        <v>0.23599999999999999</v>
      </c>
      <c r="AH276" s="3">
        <v>4.5839999999999996</v>
      </c>
      <c r="AI276" s="3">
        <v>6.59</v>
      </c>
      <c r="AJ276" s="3">
        <v>6.3840000000000003</v>
      </c>
      <c r="AK276" s="3">
        <v>2.4E-2</v>
      </c>
      <c r="AL276" s="3">
        <v>0.24099999999999999</v>
      </c>
      <c r="AM276" s="3">
        <v>0.39</v>
      </c>
      <c r="AN276" s="3">
        <v>0.01</v>
      </c>
      <c r="AO276" s="3">
        <v>0.11700000000000001</v>
      </c>
      <c r="AP276" s="3">
        <v>0.16400000000000001</v>
      </c>
      <c r="AQ276" s="3">
        <v>0.03</v>
      </c>
      <c r="AR276" s="3">
        <v>2.5000000000000001E-2</v>
      </c>
      <c r="AS276" s="3">
        <v>6999</v>
      </c>
      <c r="AT276" s="3">
        <v>3528</v>
      </c>
      <c r="AU276" s="3">
        <v>3911</v>
      </c>
      <c r="AV276" s="3">
        <v>7.17</v>
      </c>
      <c r="AW276" s="3">
        <v>7.16</v>
      </c>
      <c r="AX276" s="3">
        <v>21.31</v>
      </c>
      <c r="AY276" s="3">
        <v>21.56</v>
      </c>
      <c r="AZ276" s="3">
        <v>-1.498</v>
      </c>
      <c r="BA276" s="3">
        <v>-1.6559999999999999</v>
      </c>
      <c r="BB276" s="3">
        <v>12.95</v>
      </c>
      <c r="BC276" s="3">
        <v>2876</v>
      </c>
      <c r="BE276" s="6"/>
      <c r="BG276" s="16">
        <v>16.12</v>
      </c>
      <c r="BH276" s="16">
        <f t="shared" si="156"/>
        <v>32.562400000000004</v>
      </c>
      <c r="BI276" s="17">
        <f t="shared" si="154"/>
        <v>16.61</v>
      </c>
      <c r="BJ276" s="17">
        <f t="shared" si="155"/>
        <v>34.14</v>
      </c>
      <c r="BL276" s="1">
        <f t="shared" si="157"/>
        <v>99.6</v>
      </c>
      <c r="BM276" s="1">
        <f t="shared" si="158"/>
        <v>79.8</v>
      </c>
      <c r="BN276" s="1">
        <f t="shared" si="159"/>
        <v>51.8</v>
      </c>
      <c r="BO276" s="49">
        <f t="shared" si="165"/>
        <v>1.0229999999999999</v>
      </c>
      <c r="BP276" s="49">
        <f t="shared" si="166"/>
        <v>0.95199999999999996</v>
      </c>
      <c r="BR276" s="3">
        <v>0</v>
      </c>
      <c r="BT276" s="16">
        <f t="shared" si="160"/>
        <v>16.61</v>
      </c>
      <c r="BU276" s="16">
        <f t="shared" si="161"/>
        <v>34.14</v>
      </c>
      <c r="BV276" s="3">
        <f t="shared" si="162"/>
        <v>7</v>
      </c>
      <c r="BW276" s="3">
        <f t="shared" si="153"/>
        <v>7</v>
      </c>
      <c r="BX276" s="3">
        <f t="shared" si="153"/>
        <v>6.9</v>
      </c>
      <c r="BY276" s="3">
        <f t="shared" si="153"/>
        <v>6.4</v>
      </c>
      <c r="BZ276" s="3">
        <f t="shared" si="153"/>
        <v>7.5</v>
      </c>
      <c r="CA276" s="3">
        <f t="shared" si="153"/>
        <v>7.1</v>
      </c>
      <c r="CB276" s="3">
        <f t="shared" si="153"/>
        <v>6.6</v>
      </c>
      <c r="CC276" s="22">
        <f t="shared" si="163"/>
        <v>79.8</v>
      </c>
      <c r="CD276" s="1">
        <f t="shared" si="167"/>
        <v>17.3</v>
      </c>
      <c r="CE276" s="1">
        <f t="shared" si="168"/>
        <v>19.8</v>
      </c>
      <c r="CF276" s="1">
        <f t="shared" si="169"/>
        <v>21.5</v>
      </c>
      <c r="CG276" s="1">
        <f t="shared" si="170"/>
        <v>16.3</v>
      </c>
      <c r="CH276" s="1">
        <f t="shared" si="171"/>
        <v>11.2</v>
      </c>
      <c r="CI276" s="1">
        <f t="shared" si="172"/>
        <v>7.5</v>
      </c>
      <c r="CJ276" s="1">
        <f t="shared" si="173"/>
        <v>7.1</v>
      </c>
      <c r="CK276" s="2">
        <f t="shared" si="164"/>
        <v>99.6</v>
      </c>
      <c r="CL276" s="1">
        <f t="shared" si="174"/>
        <v>-0.9</v>
      </c>
      <c r="CM276" s="1">
        <f t="shared" si="175"/>
        <v>-1.6</v>
      </c>
      <c r="CN276" s="1">
        <f t="shared" si="176"/>
        <v>-1.8</v>
      </c>
      <c r="CO276" s="1">
        <f t="shared" si="177"/>
        <v>0.2</v>
      </c>
      <c r="CP276" s="1">
        <f t="shared" si="178"/>
        <v>4.5999999999999996</v>
      </c>
      <c r="CQ276" s="1">
        <f t="shared" si="179"/>
        <v>6.6</v>
      </c>
      <c r="CR276" s="1">
        <f t="shared" si="180"/>
        <v>6.4</v>
      </c>
      <c r="CS276" s="2">
        <f t="shared" si="181"/>
        <v>51.8</v>
      </c>
      <c r="CT276" s="6">
        <f t="shared" si="182"/>
        <v>0</v>
      </c>
      <c r="CU276" s="1">
        <f>PPTest!K276</f>
        <v>0</v>
      </c>
      <c r="CV276" s="3">
        <f t="shared" si="183"/>
        <v>1.65</v>
      </c>
      <c r="CW276" s="3">
        <f t="shared" si="184"/>
        <v>3.48</v>
      </c>
      <c r="CX276" s="24">
        <f t="shared" si="185"/>
        <v>1.0229999999999999</v>
      </c>
      <c r="CY276" s="24">
        <f t="shared" si="185"/>
        <v>0.95199999999999996</v>
      </c>
      <c r="CZ276" s="16">
        <f t="shared" si="186"/>
        <v>12.95</v>
      </c>
    </row>
    <row r="277" spans="1:104" x14ac:dyDescent="0.2">
      <c r="A277" s="14">
        <f t="shared" si="187"/>
        <v>38988</v>
      </c>
      <c r="B277" s="1">
        <v>271</v>
      </c>
      <c r="C277" s="3">
        <v>15.56</v>
      </c>
      <c r="D277" s="3">
        <v>28.03</v>
      </c>
      <c r="E277" s="3">
        <v>8.41</v>
      </c>
      <c r="F277" s="3">
        <v>94.8</v>
      </c>
      <c r="G277" s="3">
        <v>8.24</v>
      </c>
      <c r="H277" s="3">
        <v>8.17</v>
      </c>
      <c r="I277" s="3">
        <v>7.42</v>
      </c>
      <c r="J277" s="3">
        <v>7.88</v>
      </c>
      <c r="K277" s="3">
        <v>7.29</v>
      </c>
      <c r="L277" s="3">
        <v>6.742</v>
      </c>
      <c r="M277" s="3">
        <v>1.5089999999999999</v>
      </c>
      <c r="N277" s="3">
        <v>0</v>
      </c>
      <c r="O277" s="3">
        <v>17.2</v>
      </c>
      <c r="P277" s="3">
        <v>1410</v>
      </c>
      <c r="Q277" s="3">
        <v>110.7</v>
      </c>
      <c r="R277" s="3">
        <v>606</v>
      </c>
      <c r="S277" s="3">
        <v>20.99</v>
      </c>
      <c r="T277" s="3">
        <v>22.13</v>
      </c>
      <c r="U277" s="3">
        <v>16.05</v>
      </c>
      <c r="V277" s="3">
        <v>11.12</v>
      </c>
      <c r="W277" s="3">
        <v>7.68</v>
      </c>
      <c r="X277" s="3">
        <v>7.22</v>
      </c>
      <c r="Y277" s="3">
        <v>3.6659999999999999</v>
      </c>
      <c r="Z277" s="3">
        <v>1159</v>
      </c>
      <c r="AA277" s="3">
        <v>1.2070000000000001</v>
      </c>
      <c r="AB277" s="3">
        <v>557</v>
      </c>
      <c r="AC277" s="3">
        <v>58.67</v>
      </c>
      <c r="AD277" s="3">
        <v>1410</v>
      </c>
      <c r="AE277" s="3">
        <v>0.29299999999999998</v>
      </c>
      <c r="AF277" s="3">
        <v>-0.20599999999999999</v>
      </c>
      <c r="AG277" s="3">
        <v>1.169</v>
      </c>
      <c r="AH277" s="3">
        <v>5.3390000000000004</v>
      </c>
      <c r="AI277" s="3">
        <v>6.8440000000000003</v>
      </c>
      <c r="AJ277" s="3">
        <v>6.468</v>
      </c>
      <c r="AK277" s="3">
        <v>2.1999999999999999E-2</v>
      </c>
      <c r="AL277" s="3">
        <v>0.31</v>
      </c>
      <c r="AM277" s="3">
        <v>0.28100000000000003</v>
      </c>
      <c r="AN277" s="3">
        <v>7.0000000000000001E-3</v>
      </c>
      <c r="AO277" s="3">
        <v>0.128</v>
      </c>
      <c r="AP277" s="3">
        <v>0.19</v>
      </c>
      <c r="AQ277" s="3">
        <v>5.6000000000000001E-2</v>
      </c>
      <c r="AR277" s="3">
        <v>6.0000000000000001E-3</v>
      </c>
      <c r="AS277" s="3">
        <v>3517</v>
      </c>
      <c r="AT277" s="3">
        <v>3512</v>
      </c>
      <c r="AU277" s="3">
        <v>3514</v>
      </c>
      <c r="AV277" s="3">
        <v>8.42</v>
      </c>
      <c r="AW277" s="3">
        <v>8.39</v>
      </c>
      <c r="AX277" s="3">
        <v>21.31</v>
      </c>
      <c r="AY277" s="3">
        <v>21.57</v>
      </c>
      <c r="AZ277" s="3">
        <v>0.315</v>
      </c>
      <c r="BA277" s="3">
        <v>0.15</v>
      </c>
      <c r="BB277" s="3">
        <v>12.95</v>
      </c>
      <c r="BC277" s="3">
        <v>2876</v>
      </c>
      <c r="BD277" s="3"/>
      <c r="BE277" s="6"/>
      <c r="BG277" s="16">
        <v>15.86</v>
      </c>
      <c r="BH277" s="16">
        <f t="shared" si="156"/>
        <v>32.037199999999999</v>
      </c>
      <c r="BI277" s="17">
        <f t="shared" si="154"/>
        <v>15.25</v>
      </c>
      <c r="BJ277" s="17">
        <f t="shared" si="155"/>
        <v>30.83</v>
      </c>
      <c r="BL277" s="1">
        <f t="shared" si="157"/>
        <v>99.3</v>
      </c>
      <c r="BM277" s="1">
        <f t="shared" si="158"/>
        <v>76.400000000000006</v>
      </c>
      <c r="BN277" s="1">
        <f t="shared" si="159"/>
        <v>44.6</v>
      </c>
      <c r="BO277" s="49">
        <f t="shared" si="165"/>
        <v>0.875</v>
      </c>
      <c r="BP277" s="49">
        <f t="shared" si="166"/>
        <v>1.087</v>
      </c>
      <c r="BR277" s="3">
        <v>0</v>
      </c>
      <c r="BT277" s="16">
        <f t="shared" si="160"/>
        <v>15.25</v>
      </c>
      <c r="BU277" s="16">
        <f t="shared" si="161"/>
        <v>30.83</v>
      </c>
      <c r="BV277" s="3">
        <f t="shared" si="162"/>
        <v>8.4</v>
      </c>
      <c r="BW277" s="3">
        <f t="shared" si="153"/>
        <v>8.1999999999999993</v>
      </c>
      <c r="BX277" s="3">
        <f t="shared" si="153"/>
        <v>8.1999999999999993</v>
      </c>
      <c r="BY277" s="3">
        <f t="shared" si="153"/>
        <v>7.4</v>
      </c>
      <c r="BZ277" s="3">
        <f t="shared" si="153"/>
        <v>7.9</v>
      </c>
      <c r="CA277" s="3">
        <f t="shared" si="153"/>
        <v>7.3</v>
      </c>
      <c r="CB277" s="3">
        <f t="shared" si="153"/>
        <v>6.7</v>
      </c>
      <c r="CC277" s="22">
        <f t="shared" si="163"/>
        <v>76.400000000000006</v>
      </c>
      <c r="CD277" s="1">
        <f t="shared" si="167"/>
        <v>17.2</v>
      </c>
      <c r="CE277" s="1">
        <f t="shared" si="168"/>
        <v>21</v>
      </c>
      <c r="CF277" s="1">
        <f t="shared" si="169"/>
        <v>22.1</v>
      </c>
      <c r="CG277" s="1">
        <f t="shared" si="170"/>
        <v>16.100000000000001</v>
      </c>
      <c r="CH277" s="1">
        <f t="shared" si="171"/>
        <v>11.1</v>
      </c>
      <c r="CI277" s="1">
        <f t="shared" si="172"/>
        <v>7.7</v>
      </c>
      <c r="CJ277" s="1">
        <f t="shared" si="173"/>
        <v>7.2</v>
      </c>
      <c r="CK277" s="2">
        <f t="shared" si="164"/>
        <v>99.3</v>
      </c>
      <c r="CL277" s="1">
        <f t="shared" si="174"/>
        <v>1.2</v>
      </c>
      <c r="CM277" s="1">
        <f t="shared" si="175"/>
        <v>0.3</v>
      </c>
      <c r="CN277" s="1">
        <f t="shared" si="176"/>
        <v>-0.2</v>
      </c>
      <c r="CO277" s="1">
        <f t="shared" si="177"/>
        <v>1.2</v>
      </c>
      <c r="CP277" s="1">
        <f t="shared" si="178"/>
        <v>5.3</v>
      </c>
      <c r="CQ277" s="1">
        <f t="shared" si="179"/>
        <v>6.8</v>
      </c>
      <c r="CR277" s="1">
        <f t="shared" si="180"/>
        <v>6.5</v>
      </c>
      <c r="CS277" s="2">
        <f t="shared" si="181"/>
        <v>44.6</v>
      </c>
      <c r="CT277" s="6">
        <f t="shared" si="182"/>
        <v>0</v>
      </c>
      <c r="CU277" s="1">
        <f>PPTest!K277</f>
        <v>0</v>
      </c>
      <c r="CV277" s="3">
        <f t="shared" si="183"/>
        <v>1.51</v>
      </c>
      <c r="CW277" s="3">
        <f t="shared" si="184"/>
        <v>3.67</v>
      </c>
      <c r="CX277" s="24">
        <f t="shared" si="185"/>
        <v>0.875</v>
      </c>
      <c r="CY277" s="24">
        <f t="shared" si="185"/>
        <v>1.087</v>
      </c>
      <c r="CZ277" s="16">
        <f t="shared" si="186"/>
        <v>12.95</v>
      </c>
    </row>
    <row r="278" spans="1:104" x14ac:dyDescent="0.2">
      <c r="A278" s="14">
        <f t="shared" si="187"/>
        <v>38989</v>
      </c>
      <c r="B278" s="1">
        <v>272</v>
      </c>
      <c r="C278" s="3">
        <v>15.94</v>
      </c>
      <c r="D278" s="3">
        <v>29.08</v>
      </c>
      <c r="E278" s="3">
        <v>9.69</v>
      </c>
      <c r="F278" s="3">
        <v>84.9</v>
      </c>
      <c r="G278" s="3">
        <v>9.26</v>
      </c>
      <c r="H278" s="3">
        <v>8.99</v>
      </c>
      <c r="I278" s="3">
        <v>7.32</v>
      </c>
      <c r="J278" s="3">
        <v>8.27</v>
      </c>
      <c r="K278" s="3">
        <v>7.48</v>
      </c>
      <c r="L278" s="3">
        <v>6.7869999999999999</v>
      </c>
      <c r="M278" s="3">
        <v>1.5029999999999999</v>
      </c>
      <c r="N278" s="3">
        <v>0</v>
      </c>
      <c r="O278" s="3">
        <v>19.14</v>
      </c>
      <c r="P278" s="3">
        <v>1532</v>
      </c>
      <c r="Q278" s="3">
        <v>110.7</v>
      </c>
      <c r="R278" s="3">
        <v>627</v>
      </c>
      <c r="S278" s="3">
        <v>23.41</v>
      </c>
      <c r="T278" s="3">
        <v>24.26</v>
      </c>
      <c r="U278" s="3">
        <v>17.77</v>
      </c>
      <c r="V278" s="3">
        <v>12.03</v>
      </c>
      <c r="W278" s="3">
        <v>7.93</v>
      </c>
      <c r="X278" s="3">
        <v>7.32</v>
      </c>
      <c r="Y278" s="3">
        <v>3.24</v>
      </c>
      <c r="Z278" s="3">
        <v>1917</v>
      </c>
      <c r="AA278" s="3">
        <v>1.2909999999999999</v>
      </c>
      <c r="AB278" s="3">
        <v>620</v>
      </c>
      <c r="AC278" s="3">
        <v>51.48</v>
      </c>
      <c r="AD278" s="3">
        <v>2114</v>
      </c>
      <c r="AE278" s="3">
        <v>-0.02</v>
      </c>
      <c r="AF278" s="3">
        <v>-0.46200000000000002</v>
      </c>
      <c r="AG278" s="3">
        <v>0.36399999999999999</v>
      </c>
      <c r="AH278" s="3">
        <v>5.5270000000000001</v>
      </c>
      <c r="AI278" s="3">
        <v>6.9859999999999998</v>
      </c>
      <c r="AJ278" s="3">
        <v>6.4779999999999998</v>
      </c>
      <c r="AK278" s="3">
        <v>3.6999999999999998E-2</v>
      </c>
      <c r="AL278" s="3">
        <v>0.23100000000000001</v>
      </c>
      <c r="AM278" s="3">
        <v>0.28799999999999998</v>
      </c>
      <c r="AN278" s="3">
        <v>3.1E-2</v>
      </c>
      <c r="AO278" s="3">
        <v>0.13300000000000001</v>
      </c>
      <c r="AP278" s="3">
        <v>0.161</v>
      </c>
      <c r="AQ278" s="3">
        <v>9.5000000000000001E-2</v>
      </c>
      <c r="AR278" s="3">
        <v>2.4E-2</v>
      </c>
      <c r="AS278" s="3">
        <v>3534</v>
      </c>
      <c r="AT278" s="3">
        <v>3508</v>
      </c>
      <c r="AU278" s="3">
        <v>3528</v>
      </c>
      <c r="AV278" s="3">
        <v>9.1300000000000008</v>
      </c>
      <c r="AW278" s="3">
        <v>9.07</v>
      </c>
      <c r="AX278" s="3">
        <v>24.25</v>
      </c>
      <c r="AY278" s="3">
        <v>24.44</v>
      </c>
      <c r="AZ278" s="3">
        <v>0.48</v>
      </c>
      <c r="BA278" s="3">
        <v>-1.7999999999999999E-2</v>
      </c>
      <c r="BB278" s="3">
        <v>12.91</v>
      </c>
      <c r="BC278" s="3">
        <v>2876</v>
      </c>
      <c r="BD278" s="3"/>
      <c r="BE278" s="6"/>
      <c r="BG278" s="16">
        <v>15.61</v>
      </c>
      <c r="BH278" s="16">
        <f t="shared" si="156"/>
        <v>31.5322</v>
      </c>
      <c r="BI278" s="17">
        <f t="shared" si="154"/>
        <v>15.62</v>
      </c>
      <c r="BJ278" s="17">
        <f t="shared" si="155"/>
        <v>31.99</v>
      </c>
      <c r="BL278" s="1">
        <f t="shared" si="157"/>
        <v>99.3</v>
      </c>
      <c r="BM278" s="1">
        <f t="shared" si="158"/>
        <v>67.7</v>
      </c>
      <c r="BN278" s="1">
        <f t="shared" si="159"/>
        <v>38.299999999999997</v>
      </c>
      <c r="BO278" s="49">
        <f t="shared" si="165"/>
        <v>0.84899999999999998</v>
      </c>
      <c r="BP278" s="49">
        <f t="shared" si="166"/>
        <v>1.3680000000000001</v>
      </c>
      <c r="BR278" s="3">
        <v>0</v>
      </c>
      <c r="BT278" s="16">
        <f t="shared" si="160"/>
        <v>15.62</v>
      </c>
      <c r="BU278" s="16">
        <f t="shared" si="161"/>
        <v>31.99</v>
      </c>
      <c r="BV278" s="3">
        <f t="shared" si="162"/>
        <v>9.6999999999999993</v>
      </c>
      <c r="BW278" s="3">
        <f t="shared" si="153"/>
        <v>9.3000000000000007</v>
      </c>
      <c r="BX278" s="3">
        <f t="shared" si="153"/>
        <v>9</v>
      </c>
      <c r="BY278" s="3">
        <f t="shared" si="153"/>
        <v>7.3</v>
      </c>
      <c r="BZ278" s="3">
        <f t="shared" si="153"/>
        <v>8.3000000000000007</v>
      </c>
      <c r="CA278" s="3">
        <f t="shared" si="153"/>
        <v>7.5</v>
      </c>
      <c r="CB278" s="3">
        <f t="shared" si="153"/>
        <v>6.8</v>
      </c>
      <c r="CC278" s="22">
        <f t="shared" si="163"/>
        <v>67.7</v>
      </c>
      <c r="CD278" s="1">
        <f t="shared" si="167"/>
        <v>19.100000000000001</v>
      </c>
      <c r="CE278" s="1">
        <f t="shared" si="168"/>
        <v>23.4</v>
      </c>
      <c r="CF278" s="1">
        <f t="shared" si="169"/>
        <v>24.3</v>
      </c>
      <c r="CG278" s="1">
        <f t="shared" si="170"/>
        <v>17.8</v>
      </c>
      <c r="CH278" s="1">
        <f t="shared" si="171"/>
        <v>12</v>
      </c>
      <c r="CI278" s="1">
        <f t="shared" si="172"/>
        <v>7.9</v>
      </c>
      <c r="CJ278" s="1">
        <f t="shared" si="173"/>
        <v>7.3</v>
      </c>
      <c r="CK278" s="2">
        <f t="shared" si="164"/>
        <v>99.3</v>
      </c>
      <c r="CL278" s="1">
        <f t="shared" si="174"/>
        <v>1.3</v>
      </c>
      <c r="CM278" s="1">
        <f t="shared" si="175"/>
        <v>0</v>
      </c>
      <c r="CN278" s="1">
        <f t="shared" si="176"/>
        <v>-0.5</v>
      </c>
      <c r="CO278" s="1">
        <f t="shared" si="177"/>
        <v>0.4</v>
      </c>
      <c r="CP278" s="1">
        <f t="shared" si="178"/>
        <v>5.5</v>
      </c>
      <c r="CQ278" s="1">
        <f t="shared" si="179"/>
        <v>7</v>
      </c>
      <c r="CR278" s="1">
        <f t="shared" si="180"/>
        <v>6.5</v>
      </c>
      <c r="CS278" s="2">
        <f t="shared" si="181"/>
        <v>38.299999999999997</v>
      </c>
      <c r="CT278" s="6">
        <f t="shared" si="182"/>
        <v>0</v>
      </c>
      <c r="CU278" s="1">
        <f>PPTest!K278</f>
        <v>0</v>
      </c>
      <c r="CV278" s="3">
        <f t="shared" si="183"/>
        <v>1.5</v>
      </c>
      <c r="CW278" s="3">
        <f t="shared" si="184"/>
        <v>3.24</v>
      </c>
      <c r="CX278" s="24">
        <f t="shared" si="185"/>
        <v>0.84899999999999998</v>
      </c>
      <c r="CY278" s="24">
        <f t="shared" si="185"/>
        <v>1.3680000000000001</v>
      </c>
      <c r="CZ278" s="16">
        <f t="shared" si="186"/>
        <v>12.91</v>
      </c>
    </row>
    <row r="279" spans="1:104" x14ac:dyDescent="0.2">
      <c r="A279" s="14">
        <f t="shared" si="187"/>
        <v>38990</v>
      </c>
      <c r="B279" s="1">
        <v>273</v>
      </c>
      <c r="C279" s="3">
        <v>16.53</v>
      </c>
      <c r="D279" s="3">
        <v>29.26</v>
      </c>
      <c r="E279" s="3">
        <v>6.6189999999999998</v>
      </c>
      <c r="F279" s="3">
        <v>74</v>
      </c>
      <c r="G279" s="3">
        <v>6.2030000000000003</v>
      </c>
      <c r="H279" s="3">
        <v>6.01</v>
      </c>
      <c r="I279" s="3">
        <v>4.7350000000000003</v>
      </c>
      <c r="J279" s="3">
        <v>7.16</v>
      </c>
      <c r="K279" s="3">
        <v>7.47</v>
      </c>
      <c r="L279" s="3">
        <v>6.8559999999999999</v>
      </c>
      <c r="M279" s="3">
        <v>1.659</v>
      </c>
      <c r="N279" s="3">
        <v>0</v>
      </c>
      <c r="O279" s="3">
        <v>14.61</v>
      </c>
      <c r="P279" s="3">
        <v>1438</v>
      </c>
      <c r="Q279" s="3">
        <v>102.7</v>
      </c>
      <c r="R279" s="3">
        <v>324</v>
      </c>
      <c r="S279" s="3">
        <v>18.87</v>
      </c>
      <c r="T279" s="3">
        <v>20.010000000000002</v>
      </c>
      <c r="U279" s="3">
        <v>14.55</v>
      </c>
      <c r="V279" s="3">
        <v>10.35</v>
      </c>
      <c r="W279" s="3">
        <v>8</v>
      </c>
      <c r="X279" s="3">
        <v>7.39</v>
      </c>
      <c r="Y279" s="3">
        <v>4.5830000000000002</v>
      </c>
      <c r="Z279" s="3">
        <v>1337</v>
      </c>
      <c r="AA279" s="3">
        <v>-1.0129999999999999</v>
      </c>
      <c r="AB279" s="3">
        <v>556</v>
      </c>
      <c r="AC279" s="3">
        <v>42.65</v>
      </c>
      <c r="AD279" s="3">
        <v>1439</v>
      </c>
      <c r="AE279" s="3">
        <v>-2.6629999999999998</v>
      </c>
      <c r="AF279" s="3">
        <v>-2.9820000000000002</v>
      </c>
      <c r="AG279" s="3">
        <v>-1.54</v>
      </c>
      <c r="AH279" s="3">
        <v>4.7190000000000003</v>
      </c>
      <c r="AI279" s="3">
        <v>6.9710000000000001</v>
      </c>
      <c r="AJ279" s="3">
        <v>6.5940000000000003</v>
      </c>
      <c r="AK279" s="3">
        <v>6.8000000000000005E-2</v>
      </c>
      <c r="AL279" s="3">
        <v>0.3</v>
      </c>
      <c r="AM279" s="3">
        <v>0.12</v>
      </c>
      <c r="AN279" s="3">
        <v>1.7999999999999999E-2</v>
      </c>
      <c r="AO279" s="3">
        <v>0.112</v>
      </c>
      <c r="AP279" s="3">
        <v>0.223</v>
      </c>
      <c r="AQ279" s="3">
        <v>0.114</v>
      </c>
      <c r="AR279" s="3">
        <v>4.3999999999999997E-2</v>
      </c>
      <c r="AS279" s="3">
        <v>3517</v>
      </c>
      <c r="AT279" s="3">
        <v>3513</v>
      </c>
      <c r="AU279" s="3">
        <v>3514</v>
      </c>
      <c r="AV279" s="3">
        <v>5.8570000000000002</v>
      </c>
      <c r="AW279" s="3">
        <v>5.8360000000000003</v>
      </c>
      <c r="AX279" s="3">
        <v>19.46</v>
      </c>
      <c r="AY279" s="3">
        <v>19.63</v>
      </c>
      <c r="AZ279" s="3">
        <v>-2.8420000000000001</v>
      </c>
      <c r="BA279" s="3">
        <v>-3.125</v>
      </c>
      <c r="BB279" s="3">
        <v>12.97</v>
      </c>
      <c r="BC279" s="3">
        <v>2876</v>
      </c>
      <c r="BD279" s="3"/>
      <c r="BE279" s="6"/>
      <c r="BG279" s="16">
        <v>15.36</v>
      </c>
      <c r="BH279" s="16">
        <f t="shared" si="156"/>
        <v>31.027200000000001</v>
      </c>
      <c r="BI279" s="17">
        <f t="shared" si="154"/>
        <v>16.2</v>
      </c>
      <c r="BJ279" s="17">
        <f t="shared" si="155"/>
        <v>32.19</v>
      </c>
      <c r="BL279" s="1">
        <f t="shared" si="157"/>
        <v>86.6</v>
      </c>
      <c r="BM279" s="1">
        <f t="shared" si="158"/>
        <v>58.1</v>
      </c>
      <c r="BN279" s="1">
        <f t="shared" si="159"/>
        <v>30.5</v>
      </c>
      <c r="BO279" s="49">
        <f t="shared" si="165"/>
        <v>0.50700000000000001</v>
      </c>
      <c r="BP279" s="49">
        <f t="shared" si="166"/>
        <v>1.155</v>
      </c>
      <c r="BR279" s="3">
        <v>0</v>
      </c>
      <c r="BT279" s="16">
        <f t="shared" si="160"/>
        <v>16.2</v>
      </c>
      <c r="BU279" s="16">
        <f t="shared" si="161"/>
        <v>32.19</v>
      </c>
      <c r="BV279" s="3">
        <f t="shared" si="162"/>
        <v>6.6</v>
      </c>
      <c r="BW279" s="3">
        <f t="shared" si="153"/>
        <v>6.2</v>
      </c>
      <c r="BX279" s="3">
        <f t="shared" si="153"/>
        <v>6</v>
      </c>
      <c r="BY279" s="3">
        <f t="shared" si="153"/>
        <v>4.7</v>
      </c>
      <c r="BZ279" s="3">
        <f t="shared" ref="BZ279:CB330" si="188">ROUND(J279,1)</f>
        <v>7.2</v>
      </c>
      <c r="CA279" s="3">
        <f t="shared" si="188"/>
        <v>7.5</v>
      </c>
      <c r="CB279" s="3">
        <f t="shared" si="188"/>
        <v>6.9</v>
      </c>
      <c r="CC279" s="22">
        <f t="shared" si="163"/>
        <v>58.1</v>
      </c>
      <c r="CD279" s="1">
        <f t="shared" si="167"/>
        <v>14.6</v>
      </c>
      <c r="CE279" s="1">
        <f t="shared" si="168"/>
        <v>18.899999999999999</v>
      </c>
      <c r="CF279" s="1">
        <f t="shared" si="169"/>
        <v>20</v>
      </c>
      <c r="CG279" s="1">
        <f t="shared" si="170"/>
        <v>14.6</v>
      </c>
      <c r="CH279" s="1">
        <f t="shared" si="171"/>
        <v>10.4</v>
      </c>
      <c r="CI279" s="1">
        <f t="shared" si="172"/>
        <v>8</v>
      </c>
      <c r="CJ279" s="1">
        <f t="shared" si="173"/>
        <v>7.4</v>
      </c>
      <c r="CK279" s="2">
        <f t="shared" si="164"/>
        <v>86.6</v>
      </c>
      <c r="CL279" s="1">
        <f t="shared" si="174"/>
        <v>-1</v>
      </c>
      <c r="CM279" s="1">
        <f t="shared" si="175"/>
        <v>-2.7</v>
      </c>
      <c r="CN279" s="1">
        <f t="shared" si="176"/>
        <v>-3</v>
      </c>
      <c r="CO279" s="1">
        <f t="shared" si="177"/>
        <v>-1.5</v>
      </c>
      <c r="CP279" s="1">
        <f t="shared" si="178"/>
        <v>4.7</v>
      </c>
      <c r="CQ279" s="1">
        <f t="shared" si="179"/>
        <v>7</v>
      </c>
      <c r="CR279" s="1">
        <f t="shared" si="180"/>
        <v>6.6</v>
      </c>
      <c r="CS279" s="2">
        <f t="shared" si="181"/>
        <v>30.5</v>
      </c>
      <c r="CT279" s="6">
        <f t="shared" si="182"/>
        <v>0</v>
      </c>
      <c r="CU279" s="1">
        <f>PPTest!K279</f>
        <v>0</v>
      </c>
      <c r="CV279" s="3">
        <f t="shared" si="183"/>
        <v>1.66</v>
      </c>
      <c r="CW279" s="3">
        <f t="shared" si="184"/>
        <v>4.58</v>
      </c>
      <c r="CX279" s="24">
        <f t="shared" si="185"/>
        <v>0.50700000000000001</v>
      </c>
      <c r="CY279" s="24">
        <f t="shared" si="185"/>
        <v>1.155</v>
      </c>
      <c r="CZ279" s="16">
        <f t="shared" si="186"/>
        <v>12.97</v>
      </c>
    </row>
    <row r="280" spans="1:104" x14ac:dyDescent="0.2">
      <c r="A280" s="14">
        <f t="shared" si="187"/>
        <v>38991</v>
      </c>
      <c r="B280" s="1">
        <v>274</v>
      </c>
      <c r="C280" s="3">
        <v>13.65</v>
      </c>
      <c r="D280" s="3">
        <v>24.38</v>
      </c>
      <c r="E280" s="3">
        <v>2.7130000000000001</v>
      </c>
      <c r="F280" s="3">
        <v>89.8</v>
      </c>
      <c r="G280" s="3">
        <v>2.5590000000000002</v>
      </c>
      <c r="H280" s="3">
        <v>2.4729999999999999</v>
      </c>
      <c r="I280" s="3">
        <v>3.1520000000000001</v>
      </c>
      <c r="J280" s="3">
        <v>6.3159999999999998</v>
      </c>
      <c r="K280" s="3">
        <v>7.18</v>
      </c>
      <c r="L280" s="3">
        <v>6.87</v>
      </c>
      <c r="M280" s="3">
        <v>1.3640000000000001</v>
      </c>
      <c r="N280" s="3">
        <v>0</v>
      </c>
      <c r="O280" s="3">
        <v>8.23</v>
      </c>
      <c r="P280" s="3">
        <v>1159</v>
      </c>
      <c r="Q280" s="3">
        <v>110.8</v>
      </c>
      <c r="R280" s="3">
        <v>557</v>
      </c>
      <c r="S280" s="3">
        <v>13.43</v>
      </c>
      <c r="T280" s="3">
        <v>15.22</v>
      </c>
      <c r="U280" s="3">
        <v>9.44</v>
      </c>
      <c r="V280" s="3">
        <v>8.74</v>
      </c>
      <c r="W280" s="3">
        <v>7.66</v>
      </c>
      <c r="X280" s="3">
        <v>7.37</v>
      </c>
      <c r="Y280" s="3">
        <v>4.0380000000000003</v>
      </c>
      <c r="Z280" s="3">
        <v>1239</v>
      </c>
      <c r="AA280" s="3">
        <v>-4.18</v>
      </c>
      <c r="AB280" s="3">
        <v>2354</v>
      </c>
      <c r="AC280" s="3">
        <v>51.44</v>
      </c>
      <c r="AD280" s="3">
        <v>1401</v>
      </c>
      <c r="AE280" s="3">
        <v>-4.9669999999999996</v>
      </c>
      <c r="AF280" s="3">
        <v>-5.0979999999999999</v>
      </c>
      <c r="AG280" s="3">
        <v>-2.8130000000000002</v>
      </c>
      <c r="AH280" s="3">
        <v>3.9079999999999999</v>
      </c>
      <c r="AI280" s="3">
        <v>6.7359999999999998</v>
      </c>
      <c r="AJ280" s="3">
        <v>6.5449999999999999</v>
      </c>
      <c r="AK280" s="3">
        <v>4.2999999999999997E-2</v>
      </c>
      <c r="AL280" s="3">
        <v>0.27400000000000002</v>
      </c>
      <c r="AM280" s="3">
        <v>0.14000000000000001</v>
      </c>
      <c r="AN280" s="3">
        <v>1.4E-2</v>
      </c>
      <c r="AO280" s="3">
        <v>0.13</v>
      </c>
      <c r="AP280" s="3">
        <v>0.23</v>
      </c>
      <c r="AQ280" s="3">
        <v>0.12</v>
      </c>
      <c r="AR280" s="3">
        <v>4.9000000000000002E-2</v>
      </c>
      <c r="AS280" s="3">
        <v>3527</v>
      </c>
      <c r="AT280" s="3">
        <v>3515</v>
      </c>
      <c r="AU280" s="3">
        <v>3518</v>
      </c>
      <c r="AV280" s="3">
        <v>3.2120000000000002</v>
      </c>
      <c r="AW280" s="3">
        <v>2.9929999999999999</v>
      </c>
      <c r="AX280" s="3">
        <v>12.49</v>
      </c>
      <c r="AY280" s="3">
        <v>12.79</v>
      </c>
      <c r="AZ280" s="3">
        <v>-5.125</v>
      </c>
      <c r="BA280" s="3">
        <v>-5.4340000000000002</v>
      </c>
      <c r="BB280" s="3">
        <v>13.05</v>
      </c>
      <c r="BC280" s="3">
        <v>2876</v>
      </c>
      <c r="BD280" s="3"/>
      <c r="BE280" s="6"/>
      <c r="BG280" s="16">
        <v>15.12</v>
      </c>
      <c r="BH280" s="16">
        <f t="shared" si="156"/>
        <v>30.542399999999997</v>
      </c>
      <c r="BI280" s="17">
        <f t="shared" si="154"/>
        <v>13.38</v>
      </c>
      <c r="BJ280" s="17">
        <f t="shared" si="155"/>
        <v>26.82</v>
      </c>
      <c r="BL280" s="1">
        <f t="shared" si="157"/>
        <v>99.5</v>
      </c>
      <c r="BM280" s="1">
        <f t="shared" si="158"/>
        <v>72</v>
      </c>
      <c r="BN280" s="1">
        <f t="shared" si="159"/>
        <v>38.299999999999997</v>
      </c>
      <c r="BO280" s="49">
        <f t="shared" si="165"/>
        <v>0.41699999999999998</v>
      </c>
      <c r="BP280" s="49">
        <f t="shared" si="166"/>
        <v>0.67200000000000004</v>
      </c>
      <c r="BR280" s="3">
        <v>0</v>
      </c>
      <c r="BT280" s="16">
        <f t="shared" si="160"/>
        <v>13.38</v>
      </c>
      <c r="BU280" s="16">
        <f t="shared" si="161"/>
        <v>26.82</v>
      </c>
      <c r="BV280" s="3">
        <f t="shared" si="162"/>
        <v>2.7</v>
      </c>
      <c r="BW280" s="3">
        <f t="shared" ref="BW280:CB343" si="189">ROUND(G280,1)</f>
        <v>2.6</v>
      </c>
      <c r="BX280" s="3">
        <f t="shared" si="189"/>
        <v>2.5</v>
      </c>
      <c r="BY280" s="3">
        <f t="shared" si="189"/>
        <v>3.2</v>
      </c>
      <c r="BZ280" s="3">
        <f t="shared" si="188"/>
        <v>6.3</v>
      </c>
      <c r="CA280" s="3">
        <f t="shared" si="188"/>
        <v>7.2</v>
      </c>
      <c r="CB280" s="3">
        <f t="shared" si="188"/>
        <v>6.9</v>
      </c>
      <c r="CC280" s="22">
        <f t="shared" si="163"/>
        <v>72</v>
      </c>
      <c r="CD280" s="1">
        <f t="shared" si="167"/>
        <v>8.1999999999999993</v>
      </c>
      <c r="CE280" s="1">
        <f t="shared" si="168"/>
        <v>13.4</v>
      </c>
      <c r="CF280" s="1">
        <f t="shared" si="169"/>
        <v>15.2</v>
      </c>
      <c r="CG280" s="1">
        <f t="shared" si="170"/>
        <v>9.4</v>
      </c>
      <c r="CH280" s="1">
        <f t="shared" si="171"/>
        <v>8.6999999999999993</v>
      </c>
      <c r="CI280" s="1">
        <f t="shared" si="172"/>
        <v>7.7</v>
      </c>
      <c r="CJ280" s="1">
        <f t="shared" si="173"/>
        <v>7.4</v>
      </c>
      <c r="CK280" s="2">
        <f t="shared" si="164"/>
        <v>99.5</v>
      </c>
      <c r="CL280" s="1">
        <f t="shared" si="174"/>
        <v>-4.2</v>
      </c>
      <c r="CM280" s="1">
        <f t="shared" si="175"/>
        <v>-5</v>
      </c>
      <c r="CN280" s="1">
        <f t="shared" si="176"/>
        <v>-5.0999999999999996</v>
      </c>
      <c r="CO280" s="1">
        <f t="shared" si="177"/>
        <v>-2.8</v>
      </c>
      <c r="CP280" s="1">
        <f t="shared" si="178"/>
        <v>3.9</v>
      </c>
      <c r="CQ280" s="1">
        <f t="shared" si="179"/>
        <v>6.7</v>
      </c>
      <c r="CR280" s="1">
        <f t="shared" si="180"/>
        <v>6.5</v>
      </c>
      <c r="CS280" s="2">
        <f t="shared" si="181"/>
        <v>38.299999999999997</v>
      </c>
      <c r="CT280" s="6">
        <f t="shared" si="182"/>
        <v>0</v>
      </c>
      <c r="CU280" s="1">
        <f>PPTest!K280</f>
        <v>0</v>
      </c>
      <c r="CV280" s="3">
        <f t="shared" si="183"/>
        <v>1.36</v>
      </c>
      <c r="CW280" s="3">
        <f t="shared" si="184"/>
        <v>4.04</v>
      </c>
      <c r="CX280" s="24">
        <f t="shared" si="185"/>
        <v>0.41699999999999998</v>
      </c>
      <c r="CY280" s="24">
        <f t="shared" si="185"/>
        <v>0.67200000000000004</v>
      </c>
      <c r="CZ280" s="16">
        <f t="shared" si="186"/>
        <v>13.05</v>
      </c>
    </row>
    <row r="281" spans="1:104" x14ac:dyDescent="0.2">
      <c r="A281" s="14">
        <f t="shared" si="187"/>
        <v>38992</v>
      </c>
      <c r="B281" s="1">
        <v>275</v>
      </c>
      <c r="C281" s="3">
        <v>14.15</v>
      </c>
      <c r="D281" s="3">
        <v>25.06</v>
      </c>
      <c r="E281" s="3">
        <v>1.2150000000000001</v>
      </c>
      <c r="F281" s="3">
        <v>83.2</v>
      </c>
      <c r="G281" s="3">
        <v>1.171</v>
      </c>
      <c r="H281" s="3">
        <v>1.179</v>
      </c>
      <c r="I281" s="3">
        <v>1.51</v>
      </c>
      <c r="J281" s="3">
        <v>4.9119999999999999</v>
      </c>
      <c r="K281" s="3">
        <v>6.556</v>
      </c>
      <c r="L281" s="3">
        <v>6.835</v>
      </c>
      <c r="M281" s="3">
        <v>1.4610000000000001</v>
      </c>
      <c r="N281" s="3">
        <v>0</v>
      </c>
      <c r="O281" s="3">
        <v>9.42</v>
      </c>
      <c r="P281" s="3">
        <v>1534</v>
      </c>
      <c r="Q281" s="3">
        <v>108.6</v>
      </c>
      <c r="R281" s="3">
        <v>145</v>
      </c>
      <c r="S281" s="3">
        <v>12.44</v>
      </c>
      <c r="T281" s="3">
        <v>13.65</v>
      </c>
      <c r="U281" s="3">
        <v>10.09</v>
      </c>
      <c r="V281" s="3">
        <v>7.71</v>
      </c>
      <c r="W281" s="3">
        <v>6.9989999999999997</v>
      </c>
      <c r="X281" s="3">
        <v>7.28</v>
      </c>
      <c r="Y281" s="3">
        <v>3.3460000000000001</v>
      </c>
      <c r="Z281" s="3">
        <v>1118</v>
      </c>
      <c r="AA281" s="3">
        <v>-4.5359999999999996</v>
      </c>
      <c r="AB281" s="3">
        <v>0</v>
      </c>
      <c r="AC281" s="3">
        <v>39.74</v>
      </c>
      <c r="AD281" s="3">
        <v>1146</v>
      </c>
      <c r="AE281" s="3">
        <v>-5.3209999999999997</v>
      </c>
      <c r="AF281" s="3">
        <v>-5.556</v>
      </c>
      <c r="AG281" s="3">
        <v>-3.375</v>
      </c>
      <c r="AH281" s="3">
        <v>3.24</v>
      </c>
      <c r="AI281" s="3">
        <v>5.968</v>
      </c>
      <c r="AJ281" s="3">
        <v>6.4059999999999997</v>
      </c>
      <c r="AK281" s="3">
        <v>5.0999999999999997E-2</v>
      </c>
      <c r="AL281" s="3">
        <v>0.38900000000000001</v>
      </c>
      <c r="AM281" s="3">
        <v>0.26700000000000002</v>
      </c>
      <c r="AN281" s="3">
        <v>8.0000000000000002E-3</v>
      </c>
      <c r="AO281" s="3">
        <v>4.7E-2</v>
      </c>
      <c r="AP281" s="3">
        <v>5.0999999999999997E-2</v>
      </c>
      <c r="AQ281" s="3">
        <v>8.3000000000000004E-2</v>
      </c>
      <c r="AR281" s="3">
        <v>0.104</v>
      </c>
      <c r="AS281" s="3">
        <v>3528</v>
      </c>
      <c r="AT281" s="3">
        <v>3510</v>
      </c>
      <c r="AU281" s="3">
        <v>3520</v>
      </c>
      <c r="AV281" s="3">
        <v>1.403</v>
      </c>
      <c r="AW281" s="3">
        <v>1.35</v>
      </c>
      <c r="AX281" s="3">
        <v>12.88</v>
      </c>
      <c r="AY281" s="3">
        <v>13.19</v>
      </c>
      <c r="AZ281" s="3">
        <v>-5.5449999999999999</v>
      </c>
      <c r="BA281" s="3">
        <v>-5.899</v>
      </c>
      <c r="BB281" s="3">
        <v>13.07</v>
      </c>
      <c r="BC281" s="3">
        <v>2876</v>
      </c>
      <c r="BD281" s="3"/>
      <c r="BE281" s="6"/>
      <c r="BG281" s="16">
        <v>14.87</v>
      </c>
      <c r="BH281" s="16">
        <f t="shared" si="156"/>
        <v>30.037399999999998</v>
      </c>
      <c r="BI281" s="17">
        <f t="shared" si="154"/>
        <v>13.87</v>
      </c>
      <c r="BJ281" s="17">
        <f t="shared" si="155"/>
        <v>27.57</v>
      </c>
      <c r="BL281" s="1">
        <f t="shared" si="157"/>
        <v>96</v>
      </c>
      <c r="BM281" s="1">
        <f t="shared" si="158"/>
        <v>66.2</v>
      </c>
      <c r="BN281" s="1">
        <f t="shared" si="159"/>
        <v>28</v>
      </c>
      <c r="BO281" s="49">
        <f t="shared" si="165"/>
        <v>0.33100000000000002</v>
      </c>
      <c r="BP281" s="49">
        <f t="shared" si="166"/>
        <v>0.85099999999999998</v>
      </c>
      <c r="BR281" s="3">
        <v>0</v>
      </c>
      <c r="BT281" s="16">
        <f t="shared" si="160"/>
        <v>13.87</v>
      </c>
      <c r="BU281" s="16">
        <f t="shared" si="161"/>
        <v>27.57</v>
      </c>
      <c r="BV281" s="3">
        <f t="shared" si="162"/>
        <v>1.2</v>
      </c>
      <c r="BW281" s="3">
        <f t="shared" si="189"/>
        <v>1.2</v>
      </c>
      <c r="BX281" s="3">
        <f t="shared" si="189"/>
        <v>1.2</v>
      </c>
      <c r="BY281" s="3">
        <f t="shared" si="189"/>
        <v>1.5</v>
      </c>
      <c r="BZ281" s="3">
        <f t="shared" si="188"/>
        <v>4.9000000000000004</v>
      </c>
      <c r="CA281" s="3">
        <f t="shared" si="188"/>
        <v>6.6</v>
      </c>
      <c r="CB281" s="3">
        <f t="shared" si="188"/>
        <v>6.8</v>
      </c>
      <c r="CC281" s="22">
        <f t="shared" si="163"/>
        <v>66.2</v>
      </c>
      <c r="CD281" s="1">
        <f t="shared" si="167"/>
        <v>9.4</v>
      </c>
      <c r="CE281" s="1">
        <f t="shared" si="168"/>
        <v>12.4</v>
      </c>
      <c r="CF281" s="1">
        <f t="shared" si="169"/>
        <v>13.7</v>
      </c>
      <c r="CG281" s="1">
        <f t="shared" si="170"/>
        <v>10.1</v>
      </c>
      <c r="CH281" s="1">
        <f t="shared" si="171"/>
        <v>7.7</v>
      </c>
      <c r="CI281" s="1">
        <f t="shared" si="172"/>
        <v>7</v>
      </c>
      <c r="CJ281" s="1">
        <f t="shared" si="173"/>
        <v>7.3</v>
      </c>
      <c r="CK281" s="2">
        <f t="shared" si="164"/>
        <v>96</v>
      </c>
      <c r="CL281" s="1">
        <f t="shared" si="174"/>
        <v>-4.5</v>
      </c>
      <c r="CM281" s="1">
        <f t="shared" si="175"/>
        <v>-5.3</v>
      </c>
      <c r="CN281" s="1">
        <f t="shared" si="176"/>
        <v>-5.6</v>
      </c>
      <c r="CO281" s="1">
        <f t="shared" si="177"/>
        <v>-3.4</v>
      </c>
      <c r="CP281" s="1">
        <f t="shared" si="178"/>
        <v>3.2</v>
      </c>
      <c r="CQ281" s="1">
        <f t="shared" si="179"/>
        <v>6</v>
      </c>
      <c r="CR281" s="1">
        <f t="shared" si="180"/>
        <v>6.4</v>
      </c>
      <c r="CS281" s="2">
        <f t="shared" si="181"/>
        <v>28</v>
      </c>
      <c r="CT281" s="6">
        <f t="shared" si="182"/>
        <v>0</v>
      </c>
      <c r="CU281" s="1">
        <f>PPTest!K281</f>
        <v>0</v>
      </c>
      <c r="CV281" s="3">
        <f t="shared" si="183"/>
        <v>1.46</v>
      </c>
      <c r="CW281" s="3">
        <f t="shared" si="184"/>
        <v>3.35</v>
      </c>
      <c r="CX281" s="24">
        <f t="shared" si="185"/>
        <v>0.33100000000000002</v>
      </c>
      <c r="CY281" s="24">
        <f t="shared" si="185"/>
        <v>0.85099999999999998</v>
      </c>
      <c r="CZ281" s="16">
        <f t="shared" si="186"/>
        <v>13.07</v>
      </c>
    </row>
    <row r="282" spans="1:104" x14ac:dyDescent="0.2">
      <c r="A282" s="14">
        <f t="shared" si="187"/>
        <v>38993</v>
      </c>
      <c r="B282" s="1">
        <v>276</v>
      </c>
      <c r="C282" s="3">
        <v>9.06</v>
      </c>
      <c r="D282" s="3">
        <v>16.59</v>
      </c>
      <c r="E282" s="3">
        <v>1.3520000000000001</v>
      </c>
      <c r="F282" s="3">
        <v>91.4</v>
      </c>
      <c r="G282" s="3">
        <v>1.3660000000000001</v>
      </c>
      <c r="H282" s="3">
        <v>1.359</v>
      </c>
      <c r="I282" s="3">
        <v>1.9339999999999999</v>
      </c>
      <c r="J282" s="3">
        <v>4.2549999999999999</v>
      </c>
      <c r="K282" s="3">
        <v>6.0620000000000003</v>
      </c>
      <c r="L282" s="3">
        <v>6.7759999999999998</v>
      </c>
      <c r="M282" s="3">
        <v>1.464</v>
      </c>
      <c r="N282" s="3">
        <v>0</v>
      </c>
      <c r="O282" s="3">
        <v>8.06</v>
      </c>
      <c r="P282" s="3">
        <v>1301</v>
      </c>
      <c r="Q282" s="3">
        <v>109.3</v>
      </c>
      <c r="R282" s="3">
        <v>2354</v>
      </c>
      <c r="S282" s="3">
        <v>10.37</v>
      </c>
      <c r="T282" s="3">
        <v>11.04</v>
      </c>
      <c r="U282" s="3">
        <v>8.74</v>
      </c>
      <c r="V282" s="3">
        <v>6.1420000000000003</v>
      </c>
      <c r="W282" s="3">
        <v>6.4269999999999996</v>
      </c>
      <c r="X282" s="3">
        <v>7.2</v>
      </c>
      <c r="Y282" s="3">
        <v>3.28</v>
      </c>
      <c r="Z282" s="3">
        <v>1049</v>
      </c>
      <c r="AA282" s="3">
        <v>-5.0049999999999999</v>
      </c>
      <c r="AB282" s="3">
        <v>146</v>
      </c>
      <c r="AC282" s="3">
        <v>53.12</v>
      </c>
      <c r="AD282" s="3">
        <v>1411</v>
      </c>
      <c r="AE282" s="3">
        <v>-5.742</v>
      </c>
      <c r="AF282" s="3">
        <v>-5.968</v>
      </c>
      <c r="AG282" s="3">
        <v>-3.4950000000000001</v>
      </c>
      <c r="AH282" s="3">
        <v>2.4809999999999999</v>
      </c>
      <c r="AI282" s="3">
        <v>5.7530000000000001</v>
      </c>
      <c r="AJ282" s="3">
        <v>6.5039999999999996</v>
      </c>
      <c r="AK282" s="3">
        <v>6.2E-2</v>
      </c>
      <c r="AL282" s="3">
        <v>0.33300000000000002</v>
      </c>
      <c r="AM282" s="3">
        <v>0.29199999999999998</v>
      </c>
      <c r="AN282" s="3">
        <v>0.01</v>
      </c>
      <c r="AO282" s="3">
        <v>9.9000000000000005E-2</v>
      </c>
      <c r="AP282" s="3">
        <v>0.155</v>
      </c>
      <c r="AQ282" s="3">
        <v>0.04</v>
      </c>
      <c r="AR282" s="3">
        <v>0.01</v>
      </c>
      <c r="AS282" s="3">
        <v>3517</v>
      </c>
      <c r="AT282" s="3">
        <v>3492</v>
      </c>
      <c r="AU282" s="3">
        <v>3507</v>
      </c>
      <c r="AV282" s="3">
        <v>1.508</v>
      </c>
      <c r="AW282" s="3">
        <v>1.48</v>
      </c>
      <c r="AX282" s="3">
        <v>11.03</v>
      </c>
      <c r="AY282" s="3">
        <v>11.02</v>
      </c>
      <c r="AZ282" s="3">
        <v>-6.0510000000000002</v>
      </c>
      <c r="BA282" s="3">
        <v>-6.24</v>
      </c>
      <c r="BB282" s="3">
        <v>13.08</v>
      </c>
      <c r="BC282" s="3">
        <v>2876</v>
      </c>
      <c r="BD282" s="3"/>
      <c r="BE282" s="6"/>
      <c r="BG282" s="16">
        <v>14.63</v>
      </c>
      <c r="BH282" s="16">
        <f t="shared" si="156"/>
        <v>29.552600000000002</v>
      </c>
      <c r="BI282" s="17">
        <f t="shared" si="154"/>
        <v>8.8800000000000008</v>
      </c>
      <c r="BJ282" s="17">
        <f t="shared" si="155"/>
        <v>18.25</v>
      </c>
      <c r="BL282" s="1">
        <f t="shared" si="157"/>
        <v>97.1</v>
      </c>
      <c r="BM282" s="1">
        <f t="shared" si="158"/>
        <v>73.400000000000006</v>
      </c>
      <c r="BN282" s="1">
        <f t="shared" si="159"/>
        <v>39.700000000000003</v>
      </c>
      <c r="BO282" s="49">
        <f t="shared" si="165"/>
        <v>0.42699999999999999</v>
      </c>
      <c r="BP282" s="49">
        <f t="shared" si="166"/>
        <v>0.64900000000000002</v>
      </c>
      <c r="BR282" s="3">
        <v>0</v>
      </c>
      <c r="BT282" s="16">
        <f t="shared" si="160"/>
        <v>8.8800000000000008</v>
      </c>
      <c r="BU282" s="16">
        <f t="shared" si="161"/>
        <v>18.25</v>
      </c>
      <c r="BV282" s="3">
        <f t="shared" si="162"/>
        <v>1.4</v>
      </c>
      <c r="BW282" s="3">
        <f t="shared" si="189"/>
        <v>1.4</v>
      </c>
      <c r="BX282" s="3">
        <f t="shared" si="189"/>
        <v>1.4</v>
      </c>
      <c r="BY282" s="3">
        <f t="shared" si="189"/>
        <v>1.9</v>
      </c>
      <c r="BZ282" s="3">
        <f t="shared" si="188"/>
        <v>4.3</v>
      </c>
      <c r="CA282" s="3">
        <f t="shared" si="188"/>
        <v>6.1</v>
      </c>
      <c r="CB282" s="3">
        <f t="shared" si="188"/>
        <v>6.8</v>
      </c>
      <c r="CC282" s="22">
        <f t="shared" si="163"/>
        <v>73.400000000000006</v>
      </c>
      <c r="CD282" s="1">
        <f t="shared" si="167"/>
        <v>8.1</v>
      </c>
      <c r="CE282" s="1">
        <f t="shared" si="168"/>
        <v>10.4</v>
      </c>
      <c r="CF282" s="1">
        <f t="shared" si="169"/>
        <v>11</v>
      </c>
      <c r="CG282" s="1">
        <f t="shared" si="170"/>
        <v>8.6999999999999993</v>
      </c>
      <c r="CH282" s="1">
        <f t="shared" si="171"/>
        <v>6.1</v>
      </c>
      <c r="CI282" s="1">
        <f t="shared" si="172"/>
        <v>6.4</v>
      </c>
      <c r="CJ282" s="1">
        <f t="shared" si="173"/>
        <v>7.2</v>
      </c>
      <c r="CK282" s="2">
        <f t="shared" si="164"/>
        <v>97.1</v>
      </c>
      <c r="CL282" s="1">
        <f t="shared" si="174"/>
        <v>-5</v>
      </c>
      <c r="CM282" s="1">
        <f t="shared" si="175"/>
        <v>-5.7</v>
      </c>
      <c r="CN282" s="1">
        <f t="shared" si="176"/>
        <v>-6</v>
      </c>
      <c r="CO282" s="1">
        <f t="shared" si="177"/>
        <v>-3.5</v>
      </c>
      <c r="CP282" s="1">
        <f t="shared" si="178"/>
        <v>2.5</v>
      </c>
      <c r="CQ282" s="1">
        <f t="shared" si="179"/>
        <v>5.8</v>
      </c>
      <c r="CR282" s="1">
        <f t="shared" si="180"/>
        <v>6.5</v>
      </c>
      <c r="CS282" s="2">
        <f t="shared" si="181"/>
        <v>39.700000000000003</v>
      </c>
      <c r="CT282" s="6">
        <f t="shared" si="182"/>
        <v>0</v>
      </c>
      <c r="CU282" s="1">
        <f>PPTest!K282</f>
        <v>0</v>
      </c>
      <c r="CV282" s="3">
        <f t="shared" si="183"/>
        <v>1.46</v>
      </c>
      <c r="CW282" s="3">
        <f t="shared" si="184"/>
        <v>3.28</v>
      </c>
      <c r="CX282" s="24">
        <f t="shared" si="185"/>
        <v>0.42699999999999999</v>
      </c>
      <c r="CY282" s="24">
        <f t="shared" si="185"/>
        <v>0.64900000000000002</v>
      </c>
      <c r="CZ282" s="16">
        <f t="shared" si="186"/>
        <v>13.08</v>
      </c>
    </row>
    <row r="283" spans="1:104" x14ac:dyDescent="0.2">
      <c r="A283" s="14">
        <f t="shared" si="187"/>
        <v>38994</v>
      </c>
      <c r="B283" s="1">
        <v>277</v>
      </c>
      <c r="C283" s="3">
        <v>15.58</v>
      </c>
      <c r="D283" s="3">
        <v>27.68</v>
      </c>
      <c r="E283" s="3">
        <v>2.7589999999999999</v>
      </c>
      <c r="F283" s="3">
        <v>89.4</v>
      </c>
      <c r="G283" s="3">
        <v>2.5449999999999999</v>
      </c>
      <c r="H283" s="3">
        <v>2.5209999999999999</v>
      </c>
      <c r="I283" s="3">
        <v>1.9930000000000001</v>
      </c>
      <c r="J283" s="3">
        <v>4.7290000000000001</v>
      </c>
      <c r="K283" s="3">
        <v>5.7919999999999998</v>
      </c>
      <c r="L283" s="3">
        <v>6.5670000000000002</v>
      </c>
      <c r="M283" s="3">
        <v>1.7110000000000001</v>
      </c>
      <c r="N283" s="3">
        <v>0</v>
      </c>
      <c r="O283" s="3">
        <v>12.88</v>
      </c>
      <c r="P283" s="3">
        <v>1504</v>
      </c>
      <c r="Q283" s="3">
        <v>111.1</v>
      </c>
      <c r="R283" s="3">
        <v>547</v>
      </c>
      <c r="S283" s="3">
        <v>14.9</v>
      </c>
      <c r="T283" s="3">
        <v>16.29</v>
      </c>
      <c r="U283" s="3">
        <v>10.029999999999999</v>
      </c>
      <c r="V283" s="3">
        <v>8.1300000000000008</v>
      </c>
      <c r="W283" s="3">
        <v>6.2750000000000004</v>
      </c>
      <c r="X283" s="3">
        <v>7.07</v>
      </c>
      <c r="Y283" s="3">
        <v>3.8250000000000002</v>
      </c>
      <c r="Z283" s="3">
        <v>1206</v>
      </c>
      <c r="AA283" s="3">
        <v>-4.2750000000000004</v>
      </c>
      <c r="AB283" s="3">
        <v>536</v>
      </c>
      <c r="AC283" s="3">
        <v>50.15</v>
      </c>
      <c r="AD283" s="3">
        <v>1440</v>
      </c>
      <c r="AE283" s="3">
        <v>-4.9580000000000002</v>
      </c>
      <c r="AF283" s="3">
        <v>-5.13</v>
      </c>
      <c r="AG283" s="3">
        <v>-2.9079999999999999</v>
      </c>
      <c r="AH283" s="3">
        <v>2.3969999999999998</v>
      </c>
      <c r="AI283" s="3">
        <v>5.31</v>
      </c>
      <c r="AJ283" s="3">
        <v>6.1420000000000003</v>
      </c>
      <c r="AK283" s="3">
        <v>0.13300000000000001</v>
      </c>
      <c r="AL283" s="3">
        <v>0.36199999999999999</v>
      </c>
      <c r="AM283" s="3">
        <v>0.35</v>
      </c>
      <c r="AN283" s="3">
        <v>1.6E-2</v>
      </c>
      <c r="AO283" s="3">
        <v>6.0000000000000001E-3</v>
      </c>
      <c r="AP283" s="3">
        <v>7.0000000000000001E-3</v>
      </c>
      <c r="AQ283" s="3">
        <v>0.02</v>
      </c>
      <c r="AR283" s="3">
        <v>0.106</v>
      </c>
      <c r="AS283" s="3">
        <v>3521</v>
      </c>
      <c r="AT283" s="3">
        <v>3515</v>
      </c>
      <c r="AU283" s="3">
        <v>3517</v>
      </c>
      <c r="AV283" s="3">
        <v>2.4550000000000001</v>
      </c>
      <c r="AW283" s="3">
        <v>2.4540000000000002</v>
      </c>
      <c r="AX283" s="3">
        <v>15.65</v>
      </c>
      <c r="AY283" s="3">
        <v>16.100000000000001</v>
      </c>
      <c r="AZ283" s="3">
        <v>-5.1870000000000003</v>
      </c>
      <c r="BA283" s="3">
        <v>-5.3769999999999998</v>
      </c>
      <c r="BB283" s="3">
        <v>13.03</v>
      </c>
      <c r="BC283" s="3">
        <v>2876</v>
      </c>
      <c r="BD283" s="3"/>
      <c r="BE283" s="6"/>
      <c r="BG283" s="16">
        <v>14.38</v>
      </c>
      <c r="BH283" s="16">
        <f t="shared" si="156"/>
        <v>29.047600000000003</v>
      </c>
      <c r="BI283" s="17">
        <f t="shared" si="154"/>
        <v>15.27</v>
      </c>
      <c r="BJ283" s="17">
        <f t="shared" si="155"/>
        <v>30.45</v>
      </c>
      <c r="BL283" s="1">
        <f t="shared" si="157"/>
        <v>100</v>
      </c>
      <c r="BM283" s="1">
        <f t="shared" si="158"/>
        <v>71.7</v>
      </c>
      <c r="BN283" s="1">
        <f t="shared" si="159"/>
        <v>37.1</v>
      </c>
      <c r="BO283" s="49">
        <f t="shared" si="165"/>
        <v>0.55100000000000005</v>
      </c>
      <c r="BP283" s="49">
        <f t="shared" si="166"/>
        <v>0.93400000000000005</v>
      </c>
      <c r="BR283" s="3">
        <v>0</v>
      </c>
      <c r="BT283" s="16">
        <f t="shared" si="160"/>
        <v>15.27</v>
      </c>
      <c r="BU283" s="16">
        <f t="shared" si="161"/>
        <v>30.45</v>
      </c>
      <c r="BV283" s="3">
        <f t="shared" si="162"/>
        <v>2.8</v>
      </c>
      <c r="BW283" s="3">
        <f t="shared" si="189"/>
        <v>2.5</v>
      </c>
      <c r="BX283" s="3">
        <f t="shared" si="189"/>
        <v>2.5</v>
      </c>
      <c r="BY283" s="3">
        <f t="shared" si="189"/>
        <v>2</v>
      </c>
      <c r="BZ283" s="3">
        <f t="shared" si="188"/>
        <v>4.7</v>
      </c>
      <c r="CA283" s="3">
        <f t="shared" si="188"/>
        <v>5.8</v>
      </c>
      <c r="CB283" s="3">
        <f t="shared" si="188"/>
        <v>6.6</v>
      </c>
      <c r="CC283" s="22">
        <f t="shared" si="163"/>
        <v>71.7</v>
      </c>
      <c r="CD283" s="1">
        <f t="shared" si="167"/>
        <v>12.9</v>
      </c>
      <c r="CE283" s="1">
        <f t="shared" si="168"/>
        <v>14.9</v>
      </c>
      <c r="CF283" s="1">
        <f t="shared" si="169"/>
        <v>16.3</v>
      </c>
      <c r="CG283" s="1">
        <f t="shared" si="170"/>
        <v>10</v>
      </c>
      <c r="CH283" s="1">
        <f t="shared" si="171"/>
        <v>8.1</v>
      </c>
      <c r="CI283" s="1">
        <f t="shared" si="172"/>
        <v>6.3</v>
      </c>
      <c r="CJ283" s="1">
        <f t="shared" si="173"/>
        <v>7.1</v>
      </c>
      <c r="CK283" s="2">
        <f t="shared" si="164"/>
        <v>100</v>
      </c>
      <c r="CL283" s="1">
        <f t="shared" si="174"/>
        <v>-4.3</v>
      </c>
      <c r="CM283" s="1">
        <f t="shared" si="175"/>
        <v>-5</v>
      </c>
      <c r="CN283" s="1">
        <f t="shared" si="176"/>
        <v>-5.0999999999999996</v>
      </c>
      <c r="CO283" s="1">
        <f t="shared" si="177"/>
        <v>-2.9</v>
      </c>
      <c r="CP283" s="1">
        <f t="shared" si="178"/>
        <v>2.4</v>
      </c>
      <c r="CQ283" s="1">
        <f t="shared" si="179"/>
        <v>5.3</v>
      </c>
      <c r="CR283" s="1">
        <f t="shared" si="180"/>
        <v>6.1</v>
      </c>
      <c r="CS283" s="2">
        <f t="shared" si="181"/>
        <v>37.1</v>
      </c>
      <c r="CT283" s="6">
        <f t="shared" si="182"/>
        <v>0</v>
      </c>
      <c r="CU283" s="1">
        <f>PPTest!K283</f>
        <v>0</v>
      </c>
      <c r="CV283" s="3">
        <f t="shared" si="183"/>
        <v>1.71</v>
      </c>
      <c r="CW283" s="3">
        <f t="shared" si="184"/>
        <v>3.83</v>
      </c>
      <c r="CX283" s="24">
        <f t="shared" si="185"/>
        <v>0.55100000000000005</v>
      </c>
      <c r="CY283" s="24">
        <f t="shared" si="185"/>
        <v>0.93400000000000005</v>
      </c>
      <c r="CZ283" s="16">
        <f t="shared" si="186"/>
        <v>13.03</v>
      </c>
    </row>
    <row r="284" spans="1:104" x14ac:dyDescent="0.2">
      <c r="A284" s="14">
        <f t="shared" si="187"/>
        <v>38995</v>
      </c>
      <c r="B284" s="1">
        <v>278</v>
      </c>
      <c r="C284" s="3">
        <v>7.84</v>
      </c>
      <c r="D284" s="3">
        <v>14.57</v>
      </c>
      <c r="E284" s="3">
        <v>3.4009999999999998</v>
      </c>
      <c r="F284" s="3">
        <v>95</v>
      </c>
      <c r="G284" s="3">
        <v>3.1259999999999999</v>
      </c>
      <c r="H284" s="3">
        <v>2.984</v>
      </c>
      <c r="I284" s="3">
        <v>2.6150000000000002</v>
      </c>
      <c r="J284" s="3">
        <v>4.4260000000000002</v>
      </c>
      <c r="K284" s="3">
        <v>5.7110000000000003</v>
      </c>
      <c r="L284" s="3">
        <v>6.4509999999999996</v>
      </c>
      <c r="M284" s="3">
        <v>1.3089999999999999</v>
      </c>
      <c r="N284" s="3">
        <v>0</v>
      </c>
      <c r="O284" s="3">
        <v>13.39</v>
      </c>
      <c r="P284" s="3">
        <v>1508</v>
      </c>
      <c r="Q284" s="3">
        <v>110.8</v>
      </c>
      <c r="R284" s="3">
        <v>520</v>
      </c>
      <c r="S284" s="3">
        <v>14.95</v>
      </c>
      <c r="T284" s="3">
        <v>14.35</v>
      </c>
      <c r="U284" s="3">
        <v>10.199999999999999</v>
      </c>
      <c r="V284" s="3">
        <v>6.7869999999999999</v>
      </c>
      <c r="W284" s="3">
        <v>6.282</v>
      </c>
      <c r="X284" s="3">
        <v>7.1</v>
      </c>
      <c r="Y284" s="3">
        <v>2.5619999999999998</v>
      </c>
      <c r="Z284" s="3">
        <v>949</v>
      </c>
      <c r="AA284" s="3">
        <v>-3.1440000000000001</v>
      </c>
      <c r="AB284" s="3">
        <v>517</v>
      </c>
      <c r="AC284" s="3">
        <v>59.93</v>
      </c>
      <c r="AD284" s="3">
        <v>1452</v>
      </c>
      <c r="AE284" s="3">
        <v>-3.843</v>
      </c>
      <c r="AF284" s="3">
        <v>-4</v>
      </c>
      <c r="AG284" s="3">
        <v>-2.2690000000000001</v>
      </c>
      <c r="AH284" s="3">
        <v>2.5819999999999999</v>
      </c>
      <c r="AI284" s="3">
        <v>5.2309999999999999</v>
      </c>
      <c r="AJ284" s="3">
        <v>6.0620000000000003</v>
      </c>
      <c r="AK284" s="3">
        <v>0.04</v>
      </c>
      <c r="AL284" s="3">
        <v>0.34699999999999998</v>
      </c>
      <c r="AM284" s="3">
        <v>0.35</v>
      </c>
      <c r="AN284" s="3">
        <v>1.0999999999999999E-2</v>
      </c>
      <c r="AO284" s="3">
        <v>6.0999999999999999E-2</v>
      </c>
      <c r="AP284" s="3">
        <v>0.108</v>
      </c>
      <c r="AQ284" s="3">
        <v>5.0999999999999997E-2</v>
      </c>
      <c r="AR284" s="3">
        <v>3.1E-2</v>
      </c>
      <c r="AS284" s="3">
        <v>3469</v>
      </c>
      <c r="AT284" s="3">
        <v>3433</v>
      </c>
      <c r="AU284" s="3">
        <v>3453</v>
      </c>
      <c r="AV284" s="3">
        <v>2.532</v>
      </c>
      <c r="AW284" s="3">
        <v>2.5299999999999998</v>
      </c>
      <c r="AX284" s="3">
        <v>12.38</v>
      </c>
      <c r="AY284" s="3">
        <v>12.44</v>
      </c>
      <c r="AZ284" s="3">
        <v>-4.08</v>
      </c>
      <c r="BA284" s="3">
        <v>-4.2489999999999997</v>
      </c>
      <c r="BB284" s="3">
        <v>13.09</v>
      </c>
      <c r="BC284" s="3">
        <v>2876</v>
      </c>
      <c r="BD284" s="3"/>
      <c r="BE284" s="6"/>
      <c r="BG284" s="16">
        <v>14.15</v>
      </c>
      <c r="BH284" s="16">
        <f t="shared" si="156"/>
        <v>28.583000000000002</v>
      </c>
      <c r="BI284" s="17">
        <f t="shared" si="154"/>
        <v>7.68</v>
      </c>
      <c r="BJ284" s="17">
        <f t="shared" si="155"/>
        <v>16.03</v>
      </c>
      <c r="BL284" s="1">
        <f t="shared" si="157"/>
        <v>99.5</v>
      </c>
      <c r="BM284" s="1">
        <f t="shared" si="158"/>
        <v>76.599999999999994</v>
      </c>
      <c r="BN284" s="1">
        <f t="shared" si="159"/>
        <v>45.7</v>
      </c>
      <c r="BO284" s="49">
        <f t="shared" si="165"/>
        <v>0.70199999999999996</v>
      </c>
      <c r="BP284" s="49">
        <f t="shared" si="166"/>
        <v>0.83399999999999996</v>
      </c>
      <c r="BR284" s="3">
        <v>0</v>
      </c>
      <c r="BT284" s="16">
        <f t="shared" si="160"/>
        <v>7.68</v>
      </c>
      <c r="BU284" s="16">
        <f t="shared" si="161"/>
        <v>16.03</v>
      </c>
      <c r="BV284" s="3">
        <f t="shared" si="162"/>
        <v>3.4</v>
      </c>
      <c r="BW284" s="3">
        <f t="shared" si="189"/>
        <v>3.1</v>
      </c>
      <c r="BX284" s="3">
        <f t="shared" si="189"/>
        <v>3</v>
      </c>
      <c r="BY284" s="3">
        <f t="shared" si="189"/>
        <v>2.6</v>
      </c>
      <c r="BZ284" s="3">
        <f t="shared" si="188"/>
        <v>4.4000000000000004</v>
      </c>
      <c r="CA284" s="3">
        <f t="shared" si="188"/>
        <v>5.7</v>
      </c>
      <c r="CB284" s="3">
        <f t="shared" si="188"/>
        <v>6.5</v>
      </c>
      <c r="CC284" s="22">
        <f t="shared" si="163"/>
        <v>76.599999999999994</v>
      </c>
      <c r="CD284" s="1">
        <f t="shared" si="167"/>
        <v>13.4</v>
      </c>
      <c r="CE284" s="1">
        <f t="shared" si="168"/>
        <v>15</v>
      </c>
      <c r="CF284" s="1">
        <f t="shared" si="169"/>
        <v>14.4</v>
      </c>
      <c r="CG284" s="1">
        <f t="shared" si="170"/>
        <v>10.199999999999999</v>
      </c>
      <c r="CH284" s="1">
        <f t="shared" si="171"/>
        <v>6.8</v>
      </c>
      <c r="CI284" s="1">
        <f t="shared" si="172"/>
        <v>6.3</v>
      </c>
      <c r="CJ284" s="1">
        <f t="shared" si="173"/>
        <v>7.1</v>
      </c>
      <c r="CK284" s="2">
        <f t="shared" si="164"/>
        <v>99.5</v>
      </c>
      <c r="CL284" s="1">
        <f t="shared" si="174"/>
        <v>-3.1</v>
      </c>
      <c r="CM284" s="1">
        <f t="shared" si="175"/>
        <v>-3.8</v>
      </c>
      <c r="CN284" s="1">
        <f t="shared" si="176"/>
        <v>-4</v>
      </c>
      <c r="CO284" s="1">
        <f t="shared" si="177"/>
        <v>-2.2999999999999998</v>
      </c>
      <c r="CP284" s="1">
        <f t="shared" si="178"/>
        <v>2.6</v>
      </c>
      <c r="CQ284" s="1">
        <f t="shared" si="179"/>
        <v>5.2</v>
      </c>
      <c r="CR284" s="1">
        <f t="shared" si="180"/>
        <v>6.1</v>
      </c>
      <c r="CS284" s="2">
        <f t="shared" si="181"/>
        <v>45.7</v>
      </c>
      <c r="CT284" s="6">
        <f t="shared" si="182"/>
        <v>0</v>
      </c>
      <c r="CU284" s="1">
        <f>PPTest!K284</f>
        <v>0</v>
      </c>
      <c r="CV284" s="3">
        <f t="shared" si="183"/>
        <v>1.31</v>
      </c>
      <c r="CW284" s="3">
        <f t="shared" si="184"/>
        <v>2.56</v>
      </c>
      <c r="CX284" s="24">
        <f t="shared" si="185"/>
        <v>0.70199999999999996</v>
      </c>
      <c r="CY284" s="24">
        <f t="shared" si="185"/>
        <v>0.83399999999999996</v>
      </c>
      <c r="CZ284" s="16">
        <f t="shared" si="186"/>
        <v>13.09</v>
      </c>
    </row>
    <row r="285" spans="1:104" x14ac:dyDescent="0.2">
      <c r="A285" s="14">
        <f t="shared" si="187"/>
        <v>38996</v>
      </c>
      <c r="B285" s="1">
        <v>279</v>
      </c>
      <c r="C285" s="3">
        <v>8.6999999999999993</v>
      </c>
      <c r="D285" s="3">
        <v>16.11</v>
      </c>
      <c r="E285" s="3">
        <v>3.2320000000000002</v>
      </c>
      <c r="F285" s="3">
        <v>101</v>
      </c>
      <c r="G285" s="3">
        <v>3.2610000000000001</v>
      </c>
      <c r="H285" s="3">
        <v>3.1619999999999999</v>
      </c>
      <c r="I285" s="3">
        <v>3.9630000000000001</v>
      </c>
      <c r="J285" s="3">
        <v>5.1689999999999996</v>
      </c>
      <c r="K285" s="3">
        <v>5.7350000000000003</v>
      </c>
      <c r="L285" s="3">
        <v>6.3209999999999997</v>
      </c>
      <c r="M285" s="3">
        <v>1.248</v>
      </c>
      <c r="N285" s="3">
        <v>0</v>
      </c>
      <c r="O285" s="3">
        <v>8.1999999999999993</v>
      </c>
      <c r="P285" s="3">
        <v>1341</v>
      </c>
      <c r="Q285" s="3">
        <v>110.7</v>
      </c>
      <c r="R285" s="3">
        <v>436</v>
      </c>
      <c r="S285" s="3">
        <v>12.62</v>
      </c>
      <c r="T285" s="3">
        <v>14.42</v>
      </c>
      <c r="U285" s="3">
        <v>9.24</v>
      </c>
      <c r="V285" s="3">
        <v>7.31</v>
      </c>
      <c r="W285" s="3">
        <v>6.2380000000000004</v>
      </c>
      <c r="X285" s="3">
        <v>6.8550000000000004</v>
      </c>
      <c r="Y285" s="3">
        <v>4.0380000000000003</v>
      </c>
      <c r="Z285" s="3">
        <v>1655</v>
      </c>
      <c r="AA285" s="3">
        <v>-1.974</v>
      </c>
      <c r="AB285" s="3">
        <v>2346</v>
      </c>
      <c r="AC285" s="3">
        <v>78.2</v>
      </c>
      <c r="AD285" s="3">
        <v>1341</v>
      </c>
      <c r="AE285" s="3">
        <v>-3.3959999999999999</v>
      </c>
      <c r="AF285" s="3">
        <v>-3.88</v>
      </c>
      <c r="AG285" s="3">
        <v>-1.2110000000000001</v>
      </c>
      <c r="AH285" s="3">
        <v>4.0609999999999999</v>
      </c>
      <c r="AI285" s="3">
        <v>5.452</v>
      </c>
      <c r="AJ285" s="3">
        <v>5.9820000000000002</v>
      </c>
      <c r="AK285" s="3">
        <v>7.4999999999999997E-2</v>
      </c>
      <c r="AL285" s="3">
        <v>0.23599999999999999</v>
      </c>
      <c r="AM285" s="3">
        <v>0.108</v>
      </c>
      <c r="AN285" s="3">
        <v>4.8000000000000001E-2</v>
      </c>
      <c r="AO285" s="3">
        <v>0.151</v>
      </c>
      <c r="AP285" s="3">
        <v>0.20399999999999999</v>
      </c>
      <c r="AQ285" s="3">
        <v>0.126</v>
      </c>
      <c r="AR285" s="3">
        <v>5.2999999999999999E-2</v>
      </c>
      <c r="AS285" s="3">
        <v>3514</v>
      </c>
      <c r="AT285" s="3">
        <v>3507</v>
      </c>
      <c r="AU285" s="3">
        <v>3511</v>
      </c>
      <c r="AV285" s="3">
        <v>3.7010000000000001</v>
      </c>
      <c r="AW285" s="3">
        <v>3.601</v>
      </c>
      <c r="AX285" s="3">
        <v>11.8</v>
      </c>
      <c r="AY285" s="3">
        <v>12.41</v>
      </c>
      <c r="AZ285" s="3">
        <v>-1.5029999999999999</v>
      </c>
      <c r="BA285" s="3">
        <v>-2.419</v>
      </c>
      <c r="BB285" s="3">
        <v>13.07</v>
      </c>
      <c r="BC285" s="3">
        <v>2876</v>
      </c>
      <c r="BD285" s="3"/>
      <c r="BE285" s="6"/>
      <c r="BG285" s="16">
        <v>13.9</v>
      </c>
      <c r="BH285" s="16">
        <f t="shared" si="156"/>
        <v>28.077999999999999</v>
      </c>
      <c r="BI285" s="17">
        <f t="shared" si="154"/>
        <v>8.5299999999999994</v>
      </c>
      <c r="BJ285" s="17">
        <f t="shared" si="155"/>
        <v>17.72</v>
      </c>
      <c r="BL285" s="1">
        <f t="shared" si="157"/>
        <v>99.3</v>
      </c>
      <c r="BM285" s="1">
        <f t="shared" si="158"/>
        <v>83.9</v>
      </c>
      <c r="BN285" s="1">
        <f t="shared" si="159"/>
        <v>61.8</v>
      </c>
      <c r="BO285" s="49">
        <f t="shared" si="165"/>
        <v>0.67200000000000004</v>
      </c>
      <c r="BP285" s="49">
        <f t="shared" si="166"/>
        <v>0.41499999999999998</v>
      </c>
      <c r="BR285" s="3">
        <v>3</v>
      </c>
      <c r="BT285" s="16">
        <f t="shared" si="160"/>
        <v>8.5299999999999994</v>
      </c>
      <c r="BU285" s="16">
        <f t="shared" si="161"/>
        <v>17.72</v>
      </c>
      <c r="BV285" s="3">
        <f t="shared" si="162"/>
        <v>3.2</v>
      </c>
      <c r="BW285" s="3">
        <f t="shared" si="189"/>
        <v>3.3</v>
      </c>
      <c r="BX285" s="3">
        <f t="shared" si="189"/>
        <v>3.2</v>
      </c>
      <c r="BY285" s="3">
        <f t="shared" si="189"/>
        <v>4</v>
      </c>
      <c r="BZ285" s="3">
        <f t="shared" si="188"/>
        <v>5.2</v>
      </c>
      <c r="CA285" s="3">
        <f t="shared" si="188"/>
        <v>5.7</v>
      </c>
      <c r="CB285" s="3">
        <f t="shared" si="188"/>
        <v>6.3</v>
      </c>
      <c r="CC285" s="22">
        <f t="shared" si="163"/>
        <v>83.9</v>
      </c>
      <c r="CD285" s="1">
        <f t="shared" si="167"/>
        <v>8.1999999999999993</v>
      </c>
      <c r="CE285" s="1">
        <f t="shared" si="168"/>
        <v>12.6</v>
      </c>
      <c r="CF285" s="1">
        <f t="shared" si="169"/>
        <v>14.4</v>
      </c>
      <c r="CG285" s="1">
        <f t="shared" si="170"/>
        <v>9.1999999999999993</v>
      </c>
      <c r="CH285" s="1">
        <f t="shared" si="171"/>
        <v>7.3</v>
      </c>
      <c r="CI285" s="1">
        <f t="shared" si="172"/>
        <v>6.2</v>
      </c>
      <c r="CJ285" s="1">
        <f t="shared" si="173"/>
        <v>6.9</v>
      </c>
      <c r="CK285" s="2">
        <f t="shared" si="164"/>
        <v>99.3</v>
      </c>
      <c r="CL285" s="1">
        <f t="shared" si="174"/>
        <v>-2</v>
      </c>
      <c r="CM285" s="1">
        <f t="shared" si="175"/>
        <v>-3.4</v>
      </c>
      <c r="CN285" s="1">
        <f t="shared" si="176"/>
        <v>-3.9</v>
      </c>
      <c r="CO285" s="1">
        <f t="shared" si="177"/>
        <v>-1.2</v>
      </c>
      <c r="CP285" s="1">
        <f t="shared" si="178"/>
        <v>4.0999999999999996</v>
      </c>
      <c r="CQ285" s="1">
        <f t="shared" si="179"/>
        <v>5.5</v>
      </c>
      <c r="CR285" s="1">
        <f t="shared" si="180"/>
        <v>6</v>
      </c>
      <c r="CS285" s="2">
        <f t="shared" si="181"/>
        <v>61.8</v>
      </c>
      <c r="CT285" s="6">
        <f t="shared" si="182"/>
        <v>0</v>
      </c>
      <c r="CU285" s="1">
        <f>PPTest!K285</f>
        <v>0</v>
      </c>
      <c r="CV285" s="3">
        <f t="shared" si="183"/>
        <v>1.25</v>
      </c>
      <c r="CW285" s="3">
        <f t="shared" si="184"/>
        <v>4.04</v>
      </c>
      <c r="CX285" s="24">
        <f t="shared" si="185"/>
        <v>0.67200000000000004</v>
      </c>
      <c r="CY285" s="24">
        <f t="shared" si="185"/>
        <v>0.41499999999999998</v>
      </c>
      <c r="CZ285" s="16">
        <f t="shared" si="186"/>
        <v>13.07</v>
      </c>
    </row>
    <row r="286" spans="1:104" x14ac:dyDescent="0.2">
      <c r="A286" s="14">
        <f t="shared" si="187"/>
        <v>38997</v>
      </c>
      <c r="B286" s="1">
        <v>280</v>
      </c>
      <c r="C286" s="3">
        <v>14.76</v>
      </c>
      <c r="D286" s="3">
        <v>25.74</v>
      </c>
      <c r="E286" s="3">
        <v>-0.70199999999999996</v>
      </c>
      <c r="F286" s="3">
        <v>86</v>
      </c>
      <c r="G286" s="3">
        <v>-0.82599999999999996</v>
      </c>
      <c r="H286" s="3">
        <v>-0.96599999999999997</v>
      </c>
      <c r="I286" s="3">
        <v>-0.67</v>
      </c>
      <c r="J286" s="3">
        <v>3.782</v>
      </c>
      <c r="K286" s="3">
        <v>5.4960000000000004</v>
      </c>
      <c r="L286" s="3">
        <v>6.1390000000000002</v>
      </c>
      <c r="M286" s="3">
        <v>1.262</v>
      </c>
      <c r="N286" s="3">
        <v>0</v>
      </c>
      <c r="O286" s="3">
        <v>5.7640000000000002</v>
      </c>
      <c r="P286" s="3">
        <v>1457</v>
      </c>
      <c r="Q286" s="3">
        <v>110.6</v>
      </c>
      <c r="R286" s="3">
        <v>548</v>
      </c>
      <c r="S286" s="3">
        <v>8.7100000000000009</v>
      </c>
      <c r="T286" s="3">
        <v>11.16</v>
      </c>
      <c r="U286" s="3">
        <v>5.181</v>
      </c>
      <c r="V286" s="3">
        <v>6.3739999999999997</v>
      </c>
      <c r="W286" s="3">
        <v>5.7990000000000004</v>
      </c>
      <c r="X286" s="3">
        <v>6.4850000000000003</v>
      </c>
      <c r="Y286" s="3">
        <v>3.7589999999999999</v>
      </c>
      <c r="Z286" s="3">
        <v>1029</v>
      </c>
      <c r="AA286" s="3">
        <v>-6.1139999999999999</v>
      </c>
      <c r="AB286" s="3">
        <v>545</v>
      </c>
      <c r="AC286" s="3">
        <v>48.58</v>
      </c>
      <c r="AD286" s="3">
        <v>1316</v>
      </c>
      <c r="AE286" s="3">
        <v>-8.01</v>
      </c>
      <c r="AF286" s="3">
        <v>-8.77</v>
      </c>
      <c r="AG286" s="3">
        <v>-5.7439999999999998</v>
      </c>
      <c r="AH286" s="3">
        <v>2.1080000000000001</v>
      </c>
      <c r="AI286" s="3">
        <v>5.0359999999999996</v>
      </c>
      <c r="AJ286" s="3">
        <v>5.8789999999999996</v>
      </c>
      <c r="AK286" s="3">
        <v>6.5000000000000002E-2</v>
      </c>
      <c r="AL286" s="3">
        <v>0.26200000000000001</v>
      </c>
      <c r="AM286" s="3">
        <v>0.23499999999999999</v>
      </c>
      <c r="AN286" s="3">
        <v>5.2999999999999999E-2</v>
      </c>
      <c r="AO286" s="3">
        <v>0.09</v>
      </c>
      <c r="AP286" s="3">
        <v>0.124</v>
      </c>
      <c r="AQ286" s="3">
        <v>0.10199999999999999</v>
      </c>
      <c r="AR286" s="3">
        <v>6.9000000000000006E-2</v>
      </c>
      <c r="AS286" s="3">
        <v>3510</v>
      </c>
      <c r="AT286" s="3">
        <v>3509</v>
      </c>
      <c r="AU286" s="3">
        <v>3510</v>
      </c>
      <c r="AV286" s="3">
        <v>-0.81100000000000005</v>
      </c>
      <c r="AW286" s="3">
        <v>-0.92</v>
      </c>
      <c r="AX286" s="3">
        <v>10.130000000000001</v>
      </c>
      <c r="AY286" s="3">
        <v>10.41</v>
      </c>
      <c r="AZ286" s="3">
        <v>-8.5500000000000007</v>
      </c>
      <c r="BA286" s="3">
        <v>-8.86</v>
      </c>
      <c r="BB286" s="3">
        <v>13.1</v>
      </c>
      <c r="BC286" s="3">
        <v>2876</v>
      </c>
      <c r="BD286" s="3"/>
      <c r="BE286" s="6"/>
      <c r="BG286" s="16">
        <v>13.67</v>
      </c>
      <c r="BH286" s="16">
        <f t="shared" si="156"/>
        <v>27.613399999999999</v>
      </c>
      <c r="BI286" s="17">
        <f t="shared" si="154"/>
        <v>14.46</v>
      </c>
      <c r="BJ286" s="17">
        <f t="shared" si="155"/>
        <v>28.31</v>
      </c>
      <c r="BL286" s="1">
        <f t="shared" si="157"/>
        <v>99.2</v>
      </c>
      <c r="BM286" s="1">
        <f t="shared" si="158"/>
        <v>68.7</v>
      </c>
      <c r="BN286" s="1">
        <f t="shared" si="159"/>
        <v>35.799999999999997</v>
      </c>
      <c r="BO286" s="49">
        <f t="shared" si="165"/>
        <v>0.32900000000000001</v>
      </c>
      <c r="BP286" s="49">
        <f t="shared" si="166"/>
        <v>0.59</v>
      </c>
      <c r="BR286" s="3">
        <v>0</v>
      </c>
      <c r="BT286" s="16">
        <f t="shared" si="160"/>
        <v>14.46</v>
      </c>
      <c r="BU286" s="16">
        <f t="shared" si="161"/>
        <v>28.31</v>
      </c>
      <c r="BV286" s="3">
        <f t="shared" si="162"/>
        <v>-0.7</v>
      </c>
      <c r="BW286" s="3">
        <f t="shared" si="189"/>
        <v>-0.8</v>
      </c>
      <c r="BX286" s="3">
        <f t="shared" si="189"/>
        <v>-1</v>
      </c>
      <c r="BY286" s="3">
        <f t="shared" si="189"/>
        <v>-0.7</v>
      </c>
      <c r="BZ286" s="3">
        <f t="shared" si="188"/>
        <v>3.8</v>
      </c>
      <c r="CA286" s="3">
        <f t="shared" si="188"/>
        <v>5.5</v>
      </c>
      <c r="CB286" s="3">
        <f t="shared" si="188"/>
        <v>6.1</v>
      </c>
      <c r="CC286" s="22">
        <f t="shared" si="163"/>
        <v>68.7</v>
      </c>
      <c r="CD286" s="1">
        <f t="shared" si="167"/>
        <v>5.8</v>
      </c>
      <c r="CE286" s="1">
        <f t="shared" si="168"/>
        <v>8.6999999999999993</v>
      </c>
      <c r="CF286" s="1">
        <f t="shared" si="169"/>
        <v>11.2</v>
      </c>
      <c r="CG286" s="1">
        <f t="shared" si="170"/>
        <v>5.2</v>
      </c>
      <c r="CH286" s="1">
        <f t="shared" si="171"/>
        <v>6.4</v>
      </c>
      <c r="CI286" s="1">
        <f t="shared" si="172"/>
        <v>5.8</v>
      </c>
      <c r="CJ286" s="1">
        <f t="shared" si="173"/>
        <v>6.5</v>
      </c>
      <c r="CK286" s="2">
        <f t="shared" si="164"/>
        <v>99.2</v>
      </c>
      <c r="CL286" s="1">
        <f t="shared" si="174"/>
        <v>-6.1</v>
      </c>
      <c r="CM286" s="1">
        <f t="shared" si="175"/>
        <v>-8</v>
      </c>
      <c r="CN286" s="1">
        <f t="shared" si="176"/>
        <v>-8.8000000000000007</v>
      </c>
      <c r="CO286" s="1">
        <f t="shared" si="177"/>
        <v>-5.7</v>
      </c>
      <c r="CP286" s="1">
        <f t="shared" si="178"/>
        <v>2.1</v>
      </c>
      <c r="CQ286" s="1">
        <f t="shared" si="179"/>
        <v>5</v>
      </c>
      <c r="CR286" s="1">
        <f t="shared" si="180"/>
        <v>5.9</v>
      </c>
      <c r="CS286" s="2">
        <f t="shared" si="181"/>
        <v>35.799999999999997</v>
      </c>
      <c r="CT286" s="6">
        <f t="shared" si="182"/>
        <v>0</v>
      </c>
      <c r="CU286" s="1">
        <f>PPTest!K286</f>
        <v>0</v>
      </c>
      <c r="CV286" s="3">
        <f t="shared" si="183"/>
        <v>1.26</v>
      </c>
      <c r="CW286" s="3">
        <f t="shared" si="184"/>
        <v>3.76</v>
      </c>
      <c r="CX286" s="24">
        <f t="shared" si="185"/>
        <v>0.32900000000000001</v>
      </c>
      <c r="CY286" s="24">
        <f t="shared" si="185"/>
        <v>0.59</v>
      </c>
      <c r="CZ286" s="16">
        <f t="shared" si="186"/>
        <v>13.1</v>
      </c>
    </row>
    <row r="287" spans="1:104" x14ac:dyDescent="0.2">
      <c r="A287" s="14">
        <f t="shared" si="187"/>
        <v>38998</v>
      </c>
      <c r="B287" s="1">
        <v>281</v>
      </c>
      <c r="C287" s="3">
        <v>13.74</v>
      </c>
      <c r="D287" s="3">
        <v>24.09</v>
      </c>
      <c r="E287" s="3">
        <v>0.223</v>
      </c>
      <c r="F287" s="3">
        <v>80.8</v>
      </c>
      <c r="G287" s="3">
        <v>0.13</v>
      </c>
      <c r="H287" s="3">
        <v>0.108</v>
      </c>
      <c r="I287" s="3">
        <v>0.20100000000000001</v>
      </c>
      <c r="J287" s="3">
        <v>3.673</v>
      </c>
      <c r="K287" s="3">
        <v>5.1449999999999996</v>
      </c>
      <c r="L287" s="3">
        <v>6.0529999999999999</v>
      </c>
      <c r="M287" s="3">
        <v>1.585</v>
      </c>
      <c r="N287" s="3">
        <v>0</v>
      </c>
      <c r="O287" s="3">
        <v>8.0299999999999994</v>
      </c>
      <c r="P287" s="3">
        <v>1534</v>
      </c>
      <c r="Q287" s="3">
        <v>104.8</v>
      </c>
      <c r="R287" s="3">
        <v>2350</v>
      </c>
      <c r="S287" s="3">
        <v>11.81</v>
      </c>
      <c r="T287" s="3">
        <v>13.07</v>
      </c>
      <c r="U287" s="3">
        <v>7.06</v>
      </c>
      <c r="V287" s="3">
        <v>6.66</v>
      </c>
      <c r="W287" s="3">
        <v>5.5119999999999996</v>
      </c>
      <c r="X287" s="3">
        <v>6.4329999999999998</v>
      </c>
      <c r="Y287" s="3">
        <v>3.9710000000000001</v>
      </c>
      <c r="Z287" s="3">
        <v>1114</v>
      </c>
      <c r="AA287" s="3">
        <v>-6.593</v>
      </c>
      <c r="AB287" s="3">
        <v>2348</v>
      </c>
      <c r="AC287" s="3">
        <v>40.61</v>
      </c>
      <c r="AD287" s="3">
        <v>1400</v>
      </c>
      <c r="AE287" s="3">
        <v>-7.4</v>
      </c>
      <c r="AF287" s="3">
        <v>-7.69</v>
      </c>
      <c r="AG287" s="3">
        <v>-5.1429999999999998</v>
      </c>
      <c r="AH287" s="3">
        <v>1.9450000000000001</v>
      </c>
      <c r="AI287" s="3">
        <v>4.6189999999999998</v>
      </c>
      <c r="AJ287" s="3">
        <v>5.5940000000000003</v>
      </c>
      <c r="AK287" s="3">
        <v>8.5000000000000006E-2</v>
      </c>
      <c r="AL287" s="3">
        <v>0.38800000000000001</v>
      </c>
      <c r="AM287" s="3">
        <v>0.35099999999999998</v>
      </c>
      <c r="AN287" s="3">
        <v>1.4E-2</v>
      </c>
      <c r="AO287" s="3">
        <v>1.9E-2</v>
      </c>
      <c r="AP287" s="3">
        <v>2.3E-2</v>
      </c>
      <c r="AQ287" s="3">
        <v>4.5999999999999999E-2</v>
      </c>
      <c r="AR287" s="3">
        <v>7.3999999999999996E-2</v>
      </c>
      <c r="AS287" s="3">
        <v>3518</v>
      </c>
      <c r="AT287" s="3">
        <v>3414</v>
      </c>
      <c r="AU287" s="3">
        <v>3498</v>
      </c>
      <c r="AV287" s="3">
        <v>0.40699999999999997</v>
      </c>
      <c r="AW287" s="3">
        <v>0.317</v>
      </c>
      <c r="AX287" s="3">
        <v>11.24</v>
      </c>
      <c r="AY287" s="3">
        <v>11.66</v>
      </c>
      <c r="AZ287" s="3">
        <v>-7.4</v>
      </c>
      <c r="BA287" s="3">
        <v>-7.83</v>
      </c>
      <c r="BB287" s="3">
        <v>13.09</v>
      </c>
      <c r="BC287" s="3">
        <v>2876</v>
      </c>
      <c r="BD287" s="3"/>
      <c r="BE287" s="6"/>
      <c r="BG287" s="16">
        <v>13.43</v>
      </c>
      <c r="BH287" s="16">
        <f t="shared" si="156"/>
        <v>27.128599999999999</v>
      </c>
      <c r="BI287" s="17">
        <f t="shared" si="154"/>
        <v>13.47</v>
      </c>
      <c r="BJ287" s="17">
        <f t="shared" si="155"/>
        <v>26.5</v>
      </c>
      <c r="BL287" s="1">
        <f t="shared" si="157"/>
        <v>89.9</v>
      </c>
      <c r="BM287" s="1">
        <f t="shared" si="158"/>
        <v>64.099999999999994</v>
      </c>
      <c r="BN287" s="1">
        <f t="shared" si="159"/>
        <v>28.7</v>
      </c>
      <c r="BO287" s="49">
        <f t="shared" si="165"/>
        <v>0.308</v>
      </c>
      <c r="BP287" s="49">
        <f t="shared" si="166"/>
        <v>0.76500000000000001</v>
      </c>
      <c r="BR287" s="3">
        <v>0</v>
      </c>
      <c r="BT287" s="16">
        <f t="shared" si="160"/>
        <v>13.47</v>
      </c>
      <c r="BU287" s="16">
        <f t="shared" si="161"/>
        <v>26.5</v>
      </c>
      <c r="BV287" s="3">
        <f t="shared" si="162"/>
        <v>0.2</v>
      </c>
      <c r="BW287" s="3">
        <f t="shared" si="189"/>
        <v>0.1</v>
      </c>
      <c r="BX287" s="3">
        <f t="shared" si="189"/>
        <v>0.1</v>
      </c>
      <c r="BY287" s="3">
        <f t="shared" si="189"/>
        <v>0.2</v>
      </c>
      <c r="BZ287" s="3">
        <f t="shared" si="188"/>
        <v>3.7</v>
      </c>
      <c r="CA287" s="3">
        <f t="shared" si="188"/>
        <v>5.0999999999999996</v>
      </c>
      <c r="CB287" s="3">
        <f t="shared" si="188"/>
        <v>6.1</v>
      </c>
      <c r="CC287" s="22">
        <f t="shared" si="163"/>
        <v>64.099999999999994</v>
      </c>
      <c r="CD287" s="1">
        <f t="shared" si="167"/>
        <v>8</v>
      </c>
      <c r="CE287" s="1">
        <f t="shared" si="168"/>
        <v>11.8</v>
      </c>
      <c r="CF287" s="1">
        <f t="shared" si="169"/>
        <v>13.1</v>
      </c>
      <c r="CG287" s="1">
        <f t="shared" si="170"/>
        <v>7.1</v>
      </c>
      <c r="CH287" s="1">
        <f t="shared" si="171"/>
        <v>6.7</v>
      </c>
      <c r="CI287" s="1">
        <f t="shared" si="172"/>
        <v>5.5</v>
      </c>
      <c r="CJ287" s="1">
        <f t="shared" si="173"/>
        <v>6.4</v>
      </c>
      <c r="CK287" s="2">
        <f t="shared" si="164"/>
        <v>89.9</v>
      </c>
      <c r="CL287" s="1">
        <f t="shared" si="174"/>
        <v>-6.6</v>
      </c>
      <c r="CM287" s="1">
        <f t="shared" si="175"/>
        <v>-7.4</v>
      </c>
      <c r="CN287" s="1">
        <f t="shared" si="176"/>
        <v>-7.7</v>
      </c>
      <c r="CO287" s="1">
        <f t="shared" si="177"/>
        <v>-5.0999999999999996</v>
      </c>
      <c r="CP287" s="1">
        <f t="shared" si="178"/>
        <v>1.9</v>
      </c>
      <c r="CQ287" s="1">
        <f t="shared" si="179"/>
        <v>4.5999999999999996</v>
      </c>
      <c r="CR287" s="1">
        <f t="shared" si="180"/>
        <v>5.6</v>
      </c>
      <c r="CS287" s="2">
        <f t="shared" si="181"/>
        <v>28.7</v>
      </c>
      <c r="CT287" s="6">
        <f t="shared" si="182"/>
        <v>0</v>
      </c>
      <c r="CU287" s="1">
        <f>PPTest!K287</f>
        <v>0</v>
      </c>
      <c r="CV287" s="3">
        <f t="shared" si="183"/>
        <v>1.59</v>
      </c>
      <c r="CW287" s="3">
        <f t="shared" si="184"/>
        <v>3.97</v>
      </c>
      <c r="CX287" s="24">
        <f t="shared" si="185"/>
        <v>0.308</v>
      </c>
      <c r="CY287" s="24">
        <f t="shared" si="185"/>
        <v>0.76500000000000001</v>
      </c>
      <c r="CZ287" s="16">
        <f t="shared" si="186"/>
        <v>13.09</v>
      </c>
    </row>
    <row r="288" spans="1:104" x14ac:dyDescent="0.2">
      <c r="A288" s="14">
        <f t="shared" si="187"/>
        <v>38999</v>
      </c>
      <c r="B288" s="1">
        <v>282</v>
      </c>
      <c r="C288" s="3">
        <v>14.58</v>
      </c>
      <c r="D288" s="3">
        <v>25.02</v>
      </c>
      <c r="E288" s="3">
        <v>-0.72899999999999998</v>
      </c>
      <c r="F288" s="3">
        <v>77.5</v>
      </c>
      <c r="G288" s="3">
        <v>-0.84099999999999997</v>
      </c>
      <c r="H288" s="3">
        <v>-0.94399999999999995</v>
      </c>
      <c r="I288" s="3">
        <v>-1.2869999999999999</v>
      </c>
      <c r="J288" s="3">
        <v>2.7759999999999998</v>
      </c>
      <c r="K288" s="3">
        <v>4.806</v>
      </c>
      <c r="L288" s="3">
        <v>5.9370000000000003</v>
      </c>
      <c r="M288" s="3">
        <v>1.708</v>
      </c>
      <c r="N288" s="3">
        <v>0</v>
      </c>
      <c r="O288" s="3">
        <v>9.15</v>
      </c>
      <c r="P288" s="3">
        <v>1528</v>
      </c>
      <c r="Q288" s="3">
        <v>108.1</v>
      </c>
      <c r="R288" s="3">
        <v>601</v>
      </c>
      <c r="S288" s="3">
        <v>13.21</v>
      </c>
      <c r="T288" s="3">
        <v>14.41</v>
      </c>
      <c r="U288" s="3">
        <v>7.07</v>
      </c>
      <c r="V288" s="3">
        <v>5.8109999999999999</v>
      </c>
      <c r="W288" s="3">
        <v>5.2809999999999997</v>
      </c>
      <c r="X288" s="3">
        <v>6.49</v>
      </c>
      <c r="Y288" s="3">
        <v>3.6259999999999999</v>
      </c>
      <c r="Z288" s="3">
        <v>1201</v>
      </c>
      <c r="AA288" s="3">
        <v>-8.36</v>
      </c>
      <c r="AB288" s="3">
        <v>625</v>
      </c>
      <c r="AC288" s="3">
        <v>31.6</v>
      </c>
      <c r="AD288" s="3">
        <v>1057</v>
      </c>
      <c r="AE288" s="3">
        <v>-9.0399999999999991</v>
      </c>
      <c r="AF288" s="3">
        <v>-9.19</v>
      </c>
      <c r="AG288" s="3">
        <v>-6.3479999999999999</v>
      </c>
      <c r="AH288" s="3">
        <v>1</v>
      </c>
      <c r="AI288" s="3">
        <v>4.1070000000000002</v>
      </c>
      <c r="AJ288" s="3">
        <v>5.391</v>
      </c>
      <c r="AK288" s="3">
        <v>1E-3</v>
      </c>
      <c r="AL288" s="3">
        <v>0.27200000000000002</v>
      </c>
      <c r="AM288" s="3">
        <v>0.41399999999999998</v>
      </c>
      <c r="AN288" s="3">
        <v>1.9E-2</v>
      </c>
      <c r="AO288" s="3">
        <v>0.13300000000000001</v>
      </c>
      <c r="AP288" s="3">
        <v>0.126</v>
      </c>
      <c r="AQ288" s="3">
        <v>0.03</v>
      </c>
      <c r="AR288" s="3">
        <v>4.0000000000000001E-3</v>
      </c>
      <c r="AS288" s="3">
        <v>3521</v>
      </c>
      <c r="AT288" s="3">
        <v>3394</v>
      </c>
      <c r="AU288" s="3">
        <v>3501</v>
      </c>
      <c r="AV288" s="3">
        <v>-1.034</v>
      </c>
      <c r="AW288" s="3">
        <v>-1.0720000000000001</v>
      </c>
      <c r="AX288" s="3">
        <v>13.78</v>
      </c>
      <c r="AY288" s="3">
        <v>13.8</v>
      </c>
      <c r="AZ288" s="3">
        <v>-9.36</v>
      </c>
      <c r="BA288" s="3">
        <v>-9.59</v>
      </c>
      <c r="BB288" s="3">
        <v>13.09</v>
      </c>
      <c r="BC288" s="3">
        <v>2876</v>
      </c>
      <c r="BD288" s="3"/>
      <c r="BE288" s="6"/>
      <c r="BG288" s="16">
        <v>13.2</v>
      </c>
      <c r="BH288" s="16">
        <f t="shared" si="156"/>
        <v>26.663999999999998</v>
      </c>
      <c r="BI288" s="17">
        <f t="shared" si="154"/>
        <v>14.29</v>
      </c>
      <c r="BJ288" s="17">
        <f t="shared" si="155"/>
        <v>27.52</v>
      </c>
      <c r="BL288" s="1">
        <f t="shared" si="157"/>
        <v>95.2</v>
      </c>
      <c r="BM288" s="1">
        <f t="shared" si="158"/>
        <v>61.2</v>
      </c>
      <c r="BN288" s="1">
        <f t="shared" si="159"/>
        <v>20.8</v>
      </c>
      <c r="BO288" s="49">
        <f t="shared" si="165"/>
        <v>0.24099999999999999</v>
      </c>
      <c r="BP288" s="49">
        <f t="shared" si="166"/>
        <v>0.91800000000000004</v>
      </c>
      <c r="BR288" s="3">
        <v>0</v>
      </c>
      <c r="BT288" s="16">
        <f t="shared" si="160"/>
        <v>14.29</v>
      </c>
      <c r="BU288" s="16">
        <f t="shared" si="161"/>
        <v>27.52</v>
      </c>
      <c r="BV288" s="3">
        <f t="shared" si="162"/>
        <v>-0.7</v>
      </c>
      <c r="BW288" s="3">
        <f t="shared" si="189"/>
        <v>-0.8</v>
      </c>
      <c r="BX288" s="3">
        <f t="shared" si="189"/>
        <v>-0.9</v>
      </c>
      <c r="BY288" s="3">
        <f t="shared" si="189"/>
        <v>-1.3</v>
      </c>
      <c r="BZ288" s="3">
        <f t="shared" si="188"/>
        <v>2.8</v>
      </c>
      <c r="CA288" s="3">
        <f t="shared" si="188"/>
        <v>4.8</v>
      </c>
      <c r="CB288" s="3">
        <f t="shared" si="188"/>
        <v>5.9</v>
      </c>
      <c r="CC288" s="22">
        <f t="shared" si="163"/>
        <v>61.2</v>
      </c>
      <c r="CD288" s="1">
        <f t="shared" si="167"/>
        <v>9.1999999999999993</v>
      </c>
      <c r="CE288" s="1">
        <f t="shared" si="168"/>
        <v>13.2</v>
      </c>
      <c r="CF288" s="1">
        <f t="shared" si="169"/>
        <v>14.4</v>
      </c>
      <c r="CG288" s="1">
        <f t="shared" si="170"/>
        <v>7.1</v>
      </c>
      <c r="CH288" s="1">
        <f t="shared" si="171"/>
        <v>5.8</v>
      </c>
      <c r="CI288" s="1">
        <f t="shared" si="172"/>
        <v>5.3</v>
      </c>
      <c r="CJ288" s="1">
        <f t="shared" si="173"/>
        <v>6.5</v>
      </c>
      <c r="CK288" s="2">
        <f t="shared" si="164"/>
        <v>95.2</v>
      </c>
      <c r="CL288" s="1">
        <f t="shared" si="174"/>
        <v>-8.4</v>
      </c>
      <c r="CM288" s="1">
        <f t="shared" si="175"/>
        <v>-9</v>
      </c>
      <c r="CN288" s="1">
        <f t="shared" si="176"/>
        <v>-9.1999999999999993</v>
      </c>
      <c r="CO288" s="1">
        <f t="shared" si="177"/>
        <v>-6.3</v>
      </c>
      <c r="CP288" s="1">
        <f t="shared" si="178"/>
        <v>1</v>
      </c>
      <c r="CQ288" s="1">
        <f t="shared" si="179"/>
        <v>4.0999999999999996</v>
      </c>
      <c r="CR288" s="1">
        <f t="shared" si="180"/>
        <v>5.4</v>
      </c>
      <c r="CS288" s="2">
        <f t="shared" si="181"/>
        <v>20.8</v>
      </c>
      <c r="CT288" s="6">
        <f t="shared" si="182"/>
        <v>0</v>
      </c>
      <c r="CU288" s="1">
        <f>PPTest!K288</f>
        <v>0</v>
      </c>
      <c r="CV288" s="3">
        <f t="shared" si="183"/>
        <v>1.71</v>
      </c>
      <c r="CW288" s="3">
        <f t="shared" si="184"/>
        <v>3.63</v>
      </c>
      <c r="CX288" s="24">
        <f t="shared" si="185"/>
        <v>0.24099999999999999</v>
      </c>
      <c r="CY288" s="24">
        <f t="shared" si="185"/>
        <v>0.91800000000000004</v>
      </c>
      <c r="CZ288" s="16">
        <f t="shared" si="186"/>
        <v>13.09</v>
      </c>
    </row>
    <row r="289" spans="1:104" x14ac:dyDescent="0.2">
      <c r="A289" s="14">
        <f t="shared" si="187"/>
        <v>39000</v>
      </c>
      <c r="B289" s="1">
        <v>283</v>
      </c>
      <c r="C289" s="3">
        <v>12.87</v>
      </c>
      <c r="D289" s="3">
        <v>23.42</v>
      </c>
      <c r="E289" s="3">
        <v>0.85799999999999998</v>
      </c>
      <c r="F289" s="3">
        <v>85.7</v>
      </c>
      <c r="G289" s="3">
        <v>0.73599999999999999</v>
      </c>
      <c r="H289" s="3">
        <v>0.69599999999999995</v>
      </c>
      <c r="I289" s="3">
        <v>0.121</v>
      </c>
      <c r="J289" s="3">
        <v>3.1349999999999998</v>
      </c>
      <c r="K289" s="3">
        <v>4.5529999999999999</v>
      </c>
      <c r="L289" s="3">
        <v>5.7649999999999997</v>
      </c>
      <c r="M289" s="3">
        <v>1.585</v>
      </c>
      <c r="N289" s="3">
        <v>0</v>
      </c>
      <c r="O289" s="3">
        <v>10.5</v>
      </c>
      <c r="P289" s="3">
        <v>1445</v>
      </c>
      <c r="Q289" s="3">
        <v>108</v>
      </c>
      <c r="R289" s="3">
        <v>0</v>
      </c>
      <c r="S289" s="3">
        <v>13.45</v>
      </c>
      <c r="T289" s="3">
        <v>15.23</v>
      </c>
      <c r="U289" s="3">
        <v>7.86</v>
      </c>
      <c r="V289" s="3">
        <v>6.3220000000000001</v>
      </c>
      <c r="W289" s="3">
        <v>5.0129999999999999</v>
      </c>
      <c r="X289" s="3">
        <v>6.2569999999999997</v>
      </c>
      <c r="Y289" s="3">
        <v>3.2930000000000001</v>
      </c>
      <c r="Z289" s="3">
        <v>1143</v>
      </c>
      <c r="AA289" s="3">
        <v>-5.3929999999999998</v>
      </c>
      <c r="AB289" s="3">
        <v>605</v>
      </c>
      <c r="AC289" s="3">
        <v>48.73</v>
      </c>
      <c r="AD289" s="3">
        <v>1032</v>
      </c>
      <c r="AE289" s="3">
        <v>-6.2709999999999999</v>
      </c>
      <c r="AF289" s="3">
        <v>-6.5449999999999999</v>
      </c>
      <c r="AG289" s="3">
        <v>-4.33</v>
      </c>
      <c r="AH289" s="3">
        <v>1.1990000000000001</v>
      </c>
      <c r="AI289" s="3">
        <v>4.0419999999999998</v>
      </c>
      <c r="AJ289" s="3">
        <v>5.3040000000000003</v>
      </c>
      <c r="AK289" s="3">
        <v>3.5999999999999997E-2</v>
      </c>
      <c r="AL289" s="3">
        <v>0.34899999999999998</v>
      </c>
      <c r="AM289" s="3">
        <v>0.33400000000000002</v>
      </c>
      <c r="AN289" s="3">
        <v>2.5999999999999999E-2</v>
      </c>
      <c r="AO289" s="3">
        <v>5.8000000000000003E-2</v>
      </c>
      <c r="AP289" s="3">
        <v>9.8000000000000004E-2</v>
      </c>
      <c r="AQ289" s="3">
        <v>4.9000000000000002E-2</v>
      </c>
      <c r="AR289" s="3">
        <v>4.9000000000000002E-2</v>
      </c>
      <c r="AS289" s="3">
        <v>3519</v>
      </c>
      <c r="AT289" s="3">
        <v>3500</v>
      </c>
      <c r="AU289" s="3">
        <v>3513</v>
      </c>
      <c r="AV289" s="3">
        <v>0.74299999999999999</v>
      </c>
      <c r="AW289" s="3">
        <v>0.73299999999999998</v>
      </c>
      <c r="AX289" s="3">
        <v>14.37</v>
      </c>
      <c r="AY289" s="3">
        <v>14.67</v>
      </c>
      <c r="AZ289" s="3">
        <v>-6.4740000000000002</v>
      </c>
      <c r="BA289" s="3">
        <v>-6.6980000000000004</v>
      </c>
      <c r="BB289" s="3">
        <v>13.07</v>
      </c>
      <c r="BC289" s="3">
        <v>2876</v>
      </c>
      <c r="BD289" s="3"/>
      <c r="BE289" s="6"/>
      <c r="BG289" s="16">
        <v>12.96</v>
      </c>
      <c r="BH289" s="16">
        <f t="shared" si="156"/>
        <v>26.179200000000002</v>
      </c>
      <c r="BI289" s="17">
        <f t="shared" si="154"/>
        <v>12.61</v>
      </c>
      <c r="BJ289" s="17">
        <f t="shared" si="155"/>
        <v>25.76</v>
      </c>
      <c r="BL289" s="1">
        <f t="shared" si="157"/>
        <v>95</v>
      </c>
      <c r="BM289" s="1">
        <f t="shared" si="158"/>
        <v>68.400000000000006</v>
      </c>
      <c r="BN289" s="1">
        <f t="shared" si="159"/>
        <v>35.9</v>
      </c>
      <c r="BO289" s="49">
        <f t="shared" si="165"/>
        <v>0.45600000000000002</v>
      </c>
      <c r="BP289" s="49">
        <f t="shared" si="166"/>
        <v>0.81399999999999995</v>
      </c>
      <c r="BR289" s="3">
        <v>0</v>
      </c>
      <c r="BT289" s="16">
        <f t="shared" si="160"/>
        <v>12.61</v>
      </c>
      <c r="BU289" s="16">
        <f t="shared" si="161"/>
        <v>25.76</v>
      </c>
      <c r="BV289" s="3">
        <f t="shared" si="162"/>
        <v>0.9</v>
      </c>
      <c r="BW289" s="3">
        <f t="shared" si="189"/>
        <v>0.7</v>
      </c>
      <c r="BX289" s="3">
        <f t="shared" si="189"/>
        <v>0.7</v>
      </c>
      <c r="BY289" s="3">
        <f t="shared" si="189"/>
        <v>0.1</v>
      </c>
      <c r="BZ289" s="3">
        <f t="shared" si="188"/>
        <v>3.1</v>
      </c>
      <c r="CA289" s="3">
        <f t="shared" si="188"/>
        <v>4.5999999999999996</v>
      </c>
      <c r="CB289" s="3">
        <f t="shared" si="188"/>
        <v>5.8</v>
      </c>
      <c r="CC289" s="22">
        <f t="shared" si="163"/>
        <v>68.400000000000006</v>
      </c>
      <c r="CD289" s="1">
        <f t="shared" si="167"/>
        <v>10.5</v>
      </c>
      <c r="CE289" s="1">
        <f t="shared" si="168"/>
        <v>13.5</v>
      </c>
      <c r="CF289" s="1">
        <f t="shared" si="169"/>
        <v>15.2</v>
      </c>
      <c r="CG289" s="1">
        <f t="shared" si="170"/>
        <v>7.9</v>
      </c>
      <c r="CH289" s="1">
        <f t="shared" si="171"/>
        <v>6.3</v>
      </c>
      <c r="CI289" s="1">
        <f t="shared" si="172"/>
        <v>5</v>
      </c>
      <c r="CJ289" s="1">
        <f t="shared" si="173"/>
        <v>6.3</v>
      </c>
      <c r="CK289" s="2">
        <f t="shared" si="164"/>
        <v>95</v>
      </c>
      <c r="CL289" s="1">
        <f t="shared" si="174"/>
        <v>-5.4</v>
      </c>
      <c r="CM289" s="1">
        <f t="shared" si="175"/>
        <v>-6.3</v>
      </c>
      <c r="CN289" s="1">
        <f t="shared" si="176"/>
        <v>-6.5</v>
      </c>
      <c r="CO289" s="1">
        <f t="shared" si="177"/>
        <v>-4.3</v>
      </c>
      <c r="CP289" s="1">
        <f t="shared" si="178"/>
        <v>1.2</v>
      </c>
      <c r="CQ289" s="1">
        <f t="shared" si="179"/>
        <v>4</v>
      </c>
      <c r="CR289" s="1">
        <f t="shared" si="180"/>
        <v>5.3</v>
      </c>
      <c r="CS289" s="2">
        <f t="shared" si="181"/>
        <v>35.9</v>
      </c>
      <c r="CT289" s="6">
        <f t="shared" si="182"/>
        <v>0</v>
      </c>
      <c r="CU289" s="1">
        <f>PPTest!K289</f>
        <v>0</v>
      </c>
      <c r="CV289" s="3">
        <f t="shared" si="183"/>
        <v>1.59</v>
      </c>
      <c r="CW289" s="3">
        <f t="shared" si="184"/>
        <v>3.29</v>
      </c>
      <c r="CX289" s="24">
        <f t="shared" si="185"/>
        <v>0.45600000000000002</v>
      </c>
      <c r="CY289" s="24">
        <f t="shared" si="185"/>
        <v>0.81399999999999995</v>
      </c>
      <c r="CZ289" s="16">
        <f t="shared" si="186"/>
        <v>13.07</v>
      </c>
    </row>
    <row r="290" spans="1:104" x14ac:dyDescent="0.2">
      <c r="A290" s="14">
        <f t="shared" si="187"/>
        <v>39001</v>
      </c>
      <c r="B290" s="1">
        <v>284</v>
      </c>
      <c r="C290" s="3">
        <v>14.1</v>
      </c>
      <c r="D290" s="3">
        <v>24.96</v>
      </c>
      <c r="E290" s="3">
        <v>2.38</v>
      </c>
      <c r="F290" s="3">
        <v>92.2</v>
      </c>
      <c r="G290" s="3">
        <v>2.2469999999999999</v>
      </c>
      <c r="H290" s="3">
        <v>2.1659999999999999</v>
      </c>
      <c r="I290" s="3">
        <v>1.2989999999999999</v>
      </c>
      <c r="J290" s="3">
        <v>3.6509999999999998</v>
      </c>
      <c r="K290" s="3">
        <v>4.55</v>
      </c>
      <c r="L290" s="3">
        <v>5.593</v>
      </c>
      <c r="M290" s="3">
        <v>1.843</v>
      </c>
      <c r="N290" s="3">
        <v>0</v>
      </c>
      <c r="O290" s="3">
        <v>13.65</v>
      </c>
      <c r="P290" s="3">
        <v>1332</v>
      </c>
      <c r="Q290" s="3">
        <v>111.1</v>
      </c>
      <c r="R290" s="3">
        <v>537</v>
      </c>
      <c r="S290" s="3">
        <v>17.559999999999999</v>
      </c>
      <c r="T290" s="3">
        <v>17.809999999999999</v>
      </c>
      <c r="U290" s="3">
        <v>10.33</v>
      </c>
      <c r="V290" s="3">
        <v>7.28</v>
      </c>
      <c r="W290" s="3">
        <v>4.9530000000000003</v>
      </c>
      <c r="X290" s="3">
        <v>6.1219999999999999</v>
      </c>
      <c r="Y290" s="3">
        <v>3.28</v>
      </c>
      <c r="Z290" s="3">
        <v>1123</v>
      </c>
      <c r="AA290" s="3">
        <v>-4.968</v>
      </c>
      <c r="AB290" s="3">
        <v>517</v>
      </c>
      <c r="AC290" s="3">
        <v>47.74</v>
      </c>
      <c r="AD290" s="3">
        <v>1312</v>
      </c>
      <c r="AE290" s="3">
        <v>-5.7279999999999998</v>
      </c>
      <c r="AF290" s="3">
        <v>-6.1180000000000003</v>
      </c>
      <c r="AG290" s="3">
        <v>-3.8039999999999998</v>
      </c>
      <c r="AH290" s="3">
        <v>1.244</v>
      </c>
      <c r="AI290" s="3">
        <v>4.0789999999999997</v>
      </c>
      <c r="AJ290" s="3">
        <v>5.1239999999999997</v>
      </c>
      <c r="AK290" s="3">
        <v>4.0000000000000001E-3</v>
      </c>
      <c r="AL290" s="3">
        <v>0.23100000000000001</v>
      </c>
      <c r="AM290" s="3">
        <v>0.436</v>
      </c>
      <c r="AN290" s="3">
        <v>1.6E-2</v>
      </c>
      <c r="AO290" s="3">
        <v>0.124</v>
      </c>
      <c r="AP290" s="3">
        <v>0.15</v>
      </c>
      <c r="AQ290" s="3">
        <v>3.1E-2</v>
      </c>
      <c r="AR290" s="3">
        <v>8.0000000000000002E-3</v>
      </c>
      <c r="AS290" s="3">
        <v>3519</v>
      </c>
      <c r="AT290" s="3">
        <v>3498</v>
      </c>
      <c r="AU290" s="3">
        <v>3514</v>
      </c>
      <c r="AV290" s="3">
        <v>2.2210000000000001</v>
      </c>
      <c r="AW290" s="3">
        <v>2.2010000000000001</v>
      </c>
      <c r="AX290" s="3">
        <v>17.79</v>
      </c>
      <c r="AY290" s="3">
        <v>18</v>
      </c>
      <c r="AZ290" s="3">
        <v>-5.9029999999999996</v>
      </c>
      <c r="BA290" s="3">
        <v>-6.07</v>
      </c>
      <c r="BB290" s="3">
        <v>13.04</v>
      </c>
      <c r="BC290" s="3">
        <v>2876</v>
      </c>
      <c r="BD290" s="3"/>
      <c r="BE290" s="6"/>
      <c r="BG290" s="16">
        <v>12.74</v>
      </c>
      <c r="BH290" s="16">
        <f t="shared" si="156"/>
        <v>25.7348</v>
      </c>
      <c r="BI290" s="17">
        <f t="shared" si="154"/>
        <v>13.82</v>
      </c>
      <c r="BJ290" s="17">
        <f t="shared" si="155"/>
        <v>27.46</v>
      </c>
      <c r="BL290" s="1">
        <f t="shared" si="157"/>
        <v>100</v>
      </c>
      <c r="BM290" s="1">
        <f t="shared" si="158"/>
        <v>74.099999999999994</v>
      </c>
      <c r="BN290" s="1">
        <f t="shared" si="159"/>
        <v>35</v>
      </c>
      <c r="BO290" s="49">
        <f t="shared" si="165"/>
        <v>0.54700000000000004</v>
      </c>
      <c r="BP290" s="49">
        <f t="shared" si="166"/>
        <v>1.016</v>
      </c>
      <c r="BR290" s="3">
        <v>0</v>
      </c>
      <c r="BT290" s="16">
        <f t="shared" si="160"/>
        <v>13.82</v>
      </c>
      <c r="BU290" s="16">
        <f t="shared" si="161"/>
        <v>27.46</v>
      </c>
      <c r="BV290" s="3">
        <f t="shared" si="162"/>
        <v>2.4</v>
      </c>
      <c r="BW290" s="3">
        <f t="shared" si="189"/>
        <v>2.2000000000000002</v>
      </c>
      <c r="BX290" s="3">
        <f t="shared" si="189"/>
        <v>2.2000000000000002</v>
      </c>
      <c r="BY290" s="3">
        <f t="shared" si="189"/>
        <v>1.3</v>
      </c>
      <c r="BZ290" s="3">
        <f t="shared" si="188"/>
        <v>3.7</v>
      </c>
      <c r="CA290" s="3">
        <f t="shared" si="188"/>
        <v>4.5999999999999996</v>
      </c>
      <c r="CB290" s="3">
        <f t="shared" si="188"/>
        <v>5.6</v>
      </c>
      <c r="CC290" s="22">
        <f t="shared" si="163"/>
        <v>74.099999999999994</v>
      </c>
      <c r="CD290" s="1">
        <f t="shared" si="167"/>
        <v>13.7</v>
      </c>
      <c r="CE290" s="1">
        <f t="shared" si="168"/>
        <v>17.600000000000001</v>
      </c>
      <c r="CF290" s="1">
        <f t="shared" si="169"/>
        <v>17.8</v>
      </c>
      <c r="CG290" s="1">
        <f t="shared" si="170"/>
        <v>10.3</v>
      </c>
      <c r="CH290" s="1">
        <f t="shared" si="171"/>
        <v>7.3</v>
      </c>
      <c r="CI290" s="1">
        <f t="shared" si="172"/>
        <v>5</v>
      </c>
      <c r="CJ290" s="1">
        <f t="shared" si="173"/>
        <v>6.1</v>
      </c>
      <c r="CK290" s="2">
        <f t="shared" si="164"/>
        <v>100</v>
      </c>
      <c r="CL290" s="1">
        <f t="shared" si="174"/>
        <v>-5</v>
      </c>
      <c r="CM290" s="1">
        <f t="shared" si="175"/>
        <v>-5.7</v>
      </c>
      <c r="CN290" s="1">
        <f t="shared" si="176"/>
        <v>-6.1</v>
      </c>
      <c r="CO290" s="1">
        <f t="shared" si="177"/>
        <v>-3.8</v>
      </c>
      <c r="CP290" s="1">
        <f t="shared" si="178"/>
        <v>1.2</v>
      </c>
      <c r="CQ290" s="1">
        <f t="shared" si="179"/>
        <v>4.0999999999999996</v>
      </c>
      <c r="CR290" s="1">
        <f t="shared" si="180"/>
        <v>5.0999999999999996</v>
      </c>
      <c r="CS290" s="2">
        <f t="shared" si="181"/>
        <v>35</v>
      </c>
      <c r="CT290" s="6">
        <f t="shared" si="182"/>
        <v>0</v>
      </c>
      <c r="CU290" s="1">
        <f>PPTest!K290</f>
        <v>0</v>
      </c>
      <c r="CV290" s="3">
        <f t="shared" si="183"/>
        <v>1.84</v>
      </c>
      <c r="CW290" s="3">
        <f t="shared" si="184"/>
        <v>3.28</v>
      </c>
      <c r="CX290" s="24">
        <f t="shared" si="185"/>
        <v>0.54700000000000004</v>
      </c>
      <c r="CY290" s="24">
        <f t="shared" si="185"/>
        <v>1.016</v>
      </c>
      <c r="CZ290" s="16">
        <f t="shared" si="186"/>
        <v>13.04</v>
      </c>
    </row>
    <row r="291" spans="1:104" x14ac:dyDescent="0.2">
      <c r="A291" s="14">
        <f t="shared" si="187"/>
        <v>39002</v>
      </c>
      <c r="B291" s="1">
        <v>285</v>
      </c>
      <c r="C291" s="3">
        <v>13.77</v>
      </c>
      <c r="D291" s="3">
        <v>24.53</v>
      </c>
      <c r="E291" s="3">
        <v>3.7240000000000002</v>
      </c>
      <c r="F291" s="3">
        <v>89.3</v>
      </c>
      <c r="G291" s="3">
        <v>3.5539999999999998</v>
      </c>
      <c r="H291" s="3">
        <v>3.464</v>
      </c>
      <c r="I291" s="3">
        <v>2.2730000000000001</v>
      </c>
      <c r="J291" s="3">
        <v>4.2069999999999999</v>
      </c>
      <c r="K291" s="3">
        <v>4.7069999999999999</v>
      </c>
      <c r="L291" s="3">
        <v>5.4489999999999998</v>
      </c>
      <c r="M291" s="3">
        <v>1.804</v>
      </c>
      <c r="N291" s="3">
        <v>0</v>
      </c>
      <c r="O291" s="3">
        <v>14.9</v>
      </c>
      <c r="P291" s="3">
        <v>1515</v>
      </c>
      <c r="Q291" s="3">
        <v>110.8</v>
      </c>
      <c r="R291" s="3">
        <v>459</v>
      </c>
      <c r="S291" s="3">
        <v>18.27</v>
      </c>
      <c r="T291" s="3">
        <v>19.96</v>
      </c>
      <c r="U291" s="3">
        <v>11.4</v>
      </c>
      <c r="V291" s="3">
        <v>7.77</v>
      </c>
      <c r="W291" s="3">
        <v>5.1470000000000002</v>
      </c>
      <c r="X291" s="3">
        <v>6.0430000000000001</v>
      </c>
      <c r="Y291" s="3">
        <v>2.8679999999999999</v>
      </c>
      <c r="Z291" s="3">
        <v>1101</v>
      </c>
      <c r="AA291" s="3">
        <v>-3.4990000000000001</v>
      </c>
      <c r="AB291" s="3">
        <v>612</v>
      </c>
      <c r="AC291" s="3">
        <v>46.12</v>
      </c>
      <c r="AD291" s="3">
        <v>1322</v>
      </c>
      <c r="AE291" s="3">
        <v>-4.2169999999999996</v>
      </c>
      <c r="AF291" s="3">
        <v>-4.4050000000000002</v>
      </c>
      <c r="AG291" s="3">
        <v>-2.722</v>
      </c>
      <c r="AH291" s="3">
        <v>1.7470000000000001</v>
      </c>
      <c r="AI291" s="3">
        <v>4.2210000000000001</v>
      </c>
      <c r="AJ291" s="3">
        <v>4.984</v>
      </c>
      <c r="AK291" s="3">
        <v>1E-3</v>
      </c>
      <c r="AL291" s="3">
        <v>0.19400000000000001</v>
      </c>
      <c r="AM291" s="3">
        <v>0.498</v>
      </c>
      <c r="AN291" s="3">
        <v>0.02</v>
      </c>
      <c r="AO291" s="3">
        <v>9.1999999999999998E-2</v>
      </c>
      <c r="AP291" s="3">
        <v>0.14399999999999999</v>
      </c>
      <c r="AQ291" s="3">
        <v>0.04</v>
      </c>
      <c r="AR291" s="3">
        <v>0.01</v>
      </c>
      <c r="AS291" s="3">
        <v>3509</v>
      </c>
      <c r="AT291" s="3">
        <v>3484</v>
      </c>
      <c r="AU291" s="3">
        <v>3493</v>
      </c>
      <c r="AV291" s="3">
        <v>3.552</v>
      </c>
      <c r="AW291" s="3">
        <v>3.544</v>
      </c>
      <c r="AX291" s="3">
        <v>19.41</v>
      </c>
      <c r="AY291" s="3">
        <v>19.63</v>
      </c>
      <c r="AZ291" s="3">
        <v>-4.3940000000000001</v>
      </c>
      <c r="BA291" s="3">
        <v>-4.5590000000000002</v>
      </c>
      <c r="BB291" s="3">
        <v>13.01</v>
      </c>
      <c r="BC291" s="3">
        <v>2876</v>
      </c>
      <c r="BD291" s="3"/>
      <c r="BE291" s="6"/>
      <c r="BG291" s="16">
        <v>12.51</v>
      </c>
      <c r="BH291" s="16">
        <f t="shared" si="156"/>
        <v>25.270199999999999</v>
      </c>
      <c r="BI291" s="17">
        <f t="shared" si="154"/>
        <v>13.49</v>
      </c>
      <c r="BJ291" s="17">
        <f t="shared" si="155"/>
        <v>26.98</v>
      </c>
      <c r="BL291" s="1">
        <f t="shared" si="157"/>
        <v>99.5</v>
      </c>
      <c r="BM291" s="1">
        <f t="shared" si="158"/>
        <v>71.599999999999994</v>
      </c>
      <c r="BN291" s="1">
        <f t="shared" si="159"/>
        <v>33.6</v>
      </c>
      <c r="BO291" s="49">
        <f t="shared" si="165"/>
        <v>0.56899999999999995</v>
      </c>
      <c r="BP291" s="49">
        <f t="shared" si="166"/>
        <v>1.1240000000000001</v>
      </c>
      <c r="BR291" s="3">
        <v>0</v>
      </c>
      <c r="BT291" s="16">
        <f t="shared" si="160"/>
        <v>13.49</v>
      </c>
      <c r="BU291" s="16">
        <f t="shared" si="161"/>
        <v>26.98</v>
      </c>
      <c r="BV291" s="3">
        <f t="shared" si="162"/>
        <v>3.7</v>
      </c>
      <c r="BW291" s="3">
        <f t="shared" si="189"/>
        <v>3.6</v>
      </c>
      <c r="BX291" s="3">
        <f t="shared" si="189"/>
        <v>3.5</v>
      </c>
      <c r="BY291" s="3">
        <f t="shared" si="189"/>
        <v>2.2999999999999998</v>
      </c>
      <c r="BZ291" s="3">
        <f t="shared" si="188"/>
        <v>4.2</v>
      </c>
      <c r="CA291" s="3">
        <f t="shared" si="188"/>
        <v>4.7</v>
      </c>
      <c r="CB291" s="3">
        <f t="shared" si="188"/>
        <v>5.4</v>
      </c>
      <c r="CC291" s="22">
        <f t="shared" si="163"/>
        <v>71.599999999999994</v>
      </c>
      <c r="CD291" s="1">
        <f t="shared" si="167"/>
        <v>14.9</v>
      </c>
      <c r="CE291" s="1">
        <f t="shared" si="168"/>
        <v>18.3</v>
      </c>
      <c r="CF291" s="1">
        <f t="shared" si="169"/>
        <v>20</v>
      </c>
      <c r="CG291" s="1">
        <f t="shared" si="170"/>
        <v>11.4</v>
      </c>
      <c r="CH291" s="1">
        <f t="shared" si="171"/>
        <v>7.8</v>
      </c>
      <c r="CI291" s="1">
        <f t="shared" si="172"/>
        <v>5.0999999999999996</v>
      </c>
      <c r="CJ291" s="1">
        <f t="shared" si="173"/>
        <v>6</v>
      </c>
      <c r="CK291" s="2">
        <f t="shared" si="164"/>
        <v>99.5</v>
      </c>
      <c r="CL291" s="1">
        <f t="shared" si="174"/>
        <v>-3.5</v>
      </c>
      <c r="CM291" s="1">
        <f t="shared" si="175"/>
        <v>-4.2</v>
      </c>
      <c r="CN291" s="1">
        <f t="shared" si="176"/>
        <v>-4.4000000000000004</v>
      </c>
      <c r="CO291" s="1">
        <f t="shared" si="177"/>
        <v>-2.7</v>
      </c>
      <c r="CP291" s="1">
        <f t="shared" si="178"/>
        <v>1.7</v>
      </c>
      <c r="CQ291" s="1">
        <f t="shared" si="179"/>
        <v>4.2</v>
      </c>
      <c r="CR291" s="1">
        <f t="shared" si="180"/>
        <v>5</v>
      </c>
      <c r="CS291" s="2">
        <f t="shared" si="181"/>
        <v>33.6</v>
      </c>
      <c r="CT291" s="6">
        <f t="shared" si="182"/>
        <v>0</v>
      </c>
      <c r="CU291" s="1">
        <f>PPTest!K291</f>
        <v>0</v>
      </c>
      <c r="CV291" s="3">
        <f t="shared" si="183"/>
        <v>1.8</v>
      </c>
      <c r="CW291" s="3">
        <f t="shared" si="184"/>
        <v>2.87</v>
      </c>
      <c r="CX291" s="24">
        <f t="shared" si="185"/>
        <v>0.56899999999999995</v>
      </c>
      <c r="CY291" s="24">
        <f t="shared" si="185"/>
        <v>1.1240000000000001</v>
      </c>
      <c r="CZ291" s="16">
        <f t="shared" si="186"/>
        <v>13.01</v>
      </c>
    </row>
    <row r="292" spans="1:104" x14ac:dyDescent="0.2">
      <c r="A292" s="14">
        <f t="shared" si="187"/>
        <v>39003</v>
      </c>
      <c r="B292" s="1">
        <v>286</v>
      </c>
      <c r="C292" s="3">
        <v>11.9</v>
      </c>
      <c r="D292" s="3">
        <v>21.36</v>
      </c>
      <c r="E292" s="3">
        <v>3.6930000000000001</v>
      </c>
      <c r="F292" s="3">
        <v>93.1</v>
      </c>
      <c r="G292" s="3">
        <v>3.548</v>
      </c>
      <c r="H292" s="3">
        <v>3.5009999999999999</v>
      </c>
      <c r="I292" s="3">
        <v>2.726</v>
      </c>
      <c r="J292" s="3">
        <v>4.5460000000000003</v>
      </c>
      <c r="K292" s="3">
        <v>4.891</v>
      </c>
      <c r="L292" s="3">
        <v>5.36</v>
      </c>
      <c r="M292" s="3">
        <v>1.776</v>
      </c>
      <c r="N292" s="3">
        <v>0</v>
      </c>
      <c r="O292" s="3">
        <v>13.94</v>
      </c>
      <c r="P292" s="3">
        <v>1301</v>
      </c>
      <c r="Q292" s="3">
        <v>109.7</v>
      </c>
      <c r="R292" s="3">
        <v>621</v>
      </c>
      <c r="S292" s="3">
        <v>17.21</v>
      </c>
      <c r="T292" s="3">
        <v>18.100000000000001</v>
      </c>
      <c r="U292" s="3">
        <v>12.07</v>
      </c>
      <c r="V292" s="3">
        <v>7.82</v>
      </c>
      <c r="W292" s="3">
        <v>5.2830000000000004</v>
      </c>
      <c r="X292" s="3">
        <v>5.9470000000000001</v>
      </c>
      <c r="Y292" s="3">
        <v>3.3730000000000002</v>
      </c>
      <c r="Z292" s="3">
        <v>1352</v>
      </c>
      <c r="AA292" s="3">
        <v>-2.3250000000000002</v>
      </c>
      <c r="AB292" s="3">
        <v>522</v>
      </c>
      <c r="AC292" s="3">
        <v>56.89</v>
      </c>
      <c r="AD292" s="3">
        <v>1447</v>
      </c>
      <c r="AE292" s="3">
        <v>-2.992</v>
      </c>
      <c r="AF292" s="3">
        <v>-3.1150000000000002</v>
      </c>
      <c r="AG292" s="3">
        <v>-1.696</v>
      </c>
      <c r="AH292" s="3">
        <v>2.4209999999999998</v>
      </c>
      <c r="AI292" s="3">
        <v>4.4669999999999996</v>
      </c>
      <c r="AJ292" s="3">
        <v>4.9459999999999997</v>
      </c>
      <c r="AK292" s="3">
        <v>1E-3</v>
      </c>
      <c r="AL292" s="3">
        <v>0.25600000000000001</v>
      </c>
      <c r="AM292" s="3">
        <v>0.45400000000000001</v>
      </c>
      <c r="AN292" s="3">
        <v>6.0000000000000001E-3</v>
      </c>
      <c r="AO292" s="3">
        <v>0.111</v>
      </c>
      <c r="AP292" s="3">
        <v>0.14399999999999999</v>
      </c>
      <c r="AQ292" s="3">
        <v>2.4E-2</v>
      </c>
      <c r="AR292" s="3">
        <v>4.0000000000000001E-3</v>
      </c>
      <c r="AS292" s="3">
        <v>3520</v>
      </c>
      <c r="AT292" s="3">
        <v>3516</v>
      </c>
      <c r="AU292" s="3">
        <v>3518</v>
      </c>
      <c r="AV292" s="3">
        <v>3.7639999999999998</v>
      </c>
      <c r="AW292" s="3">
        <v>3.698</v>
      </c>
      <c r="AX292" s="3">
        <v>18.309999999999999</v>
      </c>
      <c r="AY292" s="3">
        <v>18.41</v>
      </c>
      <c r="AZ292" s="3">
        <v>-3.05</v>
      </c>
      <c r="BA292" s="3">
        <v>-3.2109999999999999</v>
      </c>
      <c r="BB292" s="3">
        <v>13.01</v>
      </c>
      <c r="BC292" s="3">
        <v>2876</v>
      </c>
      <c r="BD292" s="3"/>
      <c r="BE292" s="6"/>
      <c r="BG292" s="16">
        <v>12.28</v>
      </c>
      <c r="BH292" s="16">
        <f t="shared" si="156"/>
        <v>24.805599999999998</v>
      </c>
      <c r="BI292" s="17">
        <f t="shared" si="154"/>
        <v>11.66</v>
      </c>
      <c r="BJ292" s="17">
        <f t="shared" si="155"/>
        <v>23.5</v>
      </c>
      <c r="BL292" s="1">
        <f t="shared" si="157"/>
        <v>97.7</v>
      </c>
      <c r="BM292" s="1">
        <f t="shared" si="158"/>
        <v>74.900000000000006</v>
      </c>
      <c r="BN292" s="1">
        <f t="shared" si="159"/>
        <v>43.1</v>
      </c>
      <c r="BO292" s="49">
        <f t="shared" si="165"/>
        <v>0.68600000000000005</v>
      </c>
      <c r="BP292" s="49">
        <f t="shared" si="166"/>
        <v>0.90600000000000003</v>
      </c>
      <c r="BR292" s="3">
        <v>0</v>
      </c>
      <c r="BT292" s="16">
        <f t="shared" si="160"/>
        <v>11.66</v>
      </c>
      <c r="BU292" s="16">
        <f t="shared" si="161"/>
        <v>23.5</v>
      </c>
      <c r="BV292" s="3">
        <f t="shared" si="162"/>
        <v>3.7</v>
      </c>
      <c r="BW292" s="3">
        <f t="shared" si="189"/>
        <v>3.5</v>
      </c>
      <c r="BX292" s="3">
        <f t="shared" si="189"/>
        <v>3.5</v>
      </c>
      <c r="BY292" s="3">
        <f t="shared" si="189"/>
        <v>2.7</v>
      </c>
      <c r="BZ292" s="3">
        <f t="shared" si="188"/>
        <v>4.5</v>
      </c>
      <c r="CA292" s="3">
        <f t="shared" si="188"/>
        <v>4.9000000000000004</v>
      </c>
      <c r="CB292" s="3">
        <f t="shared" si="188"/>
        <v>5.4</v>
      </c>
      <c r="CC292" s="22">
        <f t="shared" si="163"/>
        <v>74.900000000000006</v>
      </c>
      <c r="CD292" s="1">
        <f t="shared" si="167"/>
        <v>13.9</v>
      </c>
      <c r="CE292" s="1">
        <f t="shared" si="168"/>
        <v>17.2</v>
      </c>
      <c r="CF292" s="1">
        <f t="shared" si="169"/>
        <v>18.100000000000001</v>
      </c>
      <c r="CG292" s="1">
        <f t="shared" si="170"/>
        <v>12.1</v>
      </c>
      <c r="CH292" s="1">
        <f t="shared" si="171"/>
        <v>7.8</v>
      </c>
      <c r="CI292" s="1">
        <f t="shared" si="172"/>
        <v>5.3</v>
      </c>
      <c r="CJ292" s="1">
        <f t="shared" si="173"/>
        <v>5.9</v>
      </c>
      <c r="CK292" s="2">
        <f t="shared" si="164"/>
        <v>97.7</v>
      </c>
      <c r="CL292" s="1">
        <f t="shared" si="174"/>
        <v>-2.2999999999999998</v>
      </c>
      <c r="CM292" s="1">
        <f t="shared" si="175"/>
        <v>-3</v>
      </c>
      <c r="CN292" s="1">
        <f t="shared" si="176"/>
        <v>-3.1</v>
      </c>
      <c r="CO292" s="1">
        <f t="shared" si="177"/>
        <v>-1.7</v>
      </c>
      <c r="CP292" s="1">
        <f t="shared" si="178"/>
        <v>2.4</v>
      </c>
      <c r="CQ292" s="1">
        <f t="shared" si="179"/>
        <v>4.5</v>
      </c>
      <c r="CR292" s="1">
        <f t="shared" si="180"/>
        <v>4.9000000000000004</v>
      </c>
      <c r="CS292" s="2">
        <f t="shared" si="181"/>
        <v>43.1</v>
      </c>
      <c r="CT292" s="6">
        <f t="shared" si="182"/>
        <v>0</v>
      </c>
      <c r="CU292" s="1">
        <f>PPTest!K292</f>
        <v>0</v>
      </c>
      <c r="CV292" s="3">
        <f t="shared" si="183"/>
        <v>1.78</v>
      </c>
      <c r="CW292" s="3">
        <f t="shared" si="184"/>
        <v>3.37</v>
      </c>
      <c r="CX292" s="24">
        <f t="shared" si="185"/>
        <v>0.68600000000000005</v>
      </c>
      <c r="CY292" s="24">
        <f t="shared" si="185"/>
        <v>0.90600000000000003</v>
      </c>
      <c r="CZ292" s="16">
        <f t="shared" si="186"/>
        <v>13.01</v>
      </c>
    </row>
    <row r="293" spans="1:104" x14ac:dyDescent="0.2">
      <c r="A293" s="14">
        <f t="shared" si="187"/>
        <v>39004</v>
      </c>
      <c r="B293" s="1">
        <v>287</v>
      </c>
      <c r="C293" s="3">
        <v>7.38</v>
      </c>
      <c r="D293" s="3">
        <v>13.71</v>
      </c>
      <c r="E293" s="3">
        <v>4.4420000000000002</v>
      </c>
      <c r="F293" s="3">
        <v>93.2</v>
      </c>
      <c r="G293" s="3">
        <v>4.3570000000000002</v>
      </c>
      <c r="H293" s="3">
        <v>4.2489999999999997</v>
      </c>
      <c r="I293" s="3">
        <v>3.7269999999999999</v>
      </c>
      <c r="J293" s="3">
        <v>4.3540000000000001</v>
      </c>
      <c r="K293" s="3">
        <v>4.9800000000000004</v>
      </c>
      <c r="L293" s="3">
        <v>5.391</v>
      </c>
      <c r="M293" s="3">
        <v>1.548</v>
      </c>
      <c r="N293" s="3">
        <v>5</v>
      </c>
      <c r="O293" s="3">
        <v>12.43</v>
      </c>
      <c r="P293" s="3">
        <v>1333</v>
      </c>
      <c r="Q293" s="3">
        <v>111</v>
      </c>
      <c r="R293" s="3">
        <v>501</v>
      </c>
      <c r="S293" s="3">
        <v>14.65</v>
      </c>
      <c r="T293" s="3">
        <v>14.67</v>
      </c>
      <c r="U293" s="3">
        <v>11.55</v>
      </c>
      <c r="V293" s="3">
        <v>6.3410000000000002</v>
      </c>
      <c r="W293" s="3">
        <v>5.3780000000000001</v>
      </c>
      <c r="X293" s="3">
        <v>5.8949999999999996</v>
      </c>
      <c r="Y293" s="3">
        <v>4.41</v>
      </c>
      <c r="Z293" s="3">
        <v>1939</v>
      </c>
      <c r="AA293" s="3">
        <v>-3.274</v>
      </c>
      <c r="AB293" s="3">
        <v>449</v>
      </c>
      <c r="AC293" s="3">
        <v>53.57</v>
      </c>
      <c r="AD293" s="3">
        <v>1417</v>
      </c>
      <c r="AE293" s="3">
        <v>-4.0430000000000001</v>
      </c>
      <c r="AF293" s="3">
        <v>-4.1680000000000001</v>
      </c>
      <c r="AG293" s="3">
        <v>-2.669</v>
      </c>
      <c r="AH293" s="3">
        <v>2.0990000000000002</v>
      </c>
      <c r="AI293" s="3">
        <v>4.7119999999999997</v>
      </c>
      <c r="AJ293" s="3">
        <v>5.1970000000000001</v>
      </c>
      <c r="AK293" s="3">
        <v>3.6999999999999998E-2</v>
      </c>
      <c r="AL293" s="3">
        <v>0.19400000000000001</v>
      </c>
      <c r="AM293" s="3">
        <v>0.26</v>
      </c>
      <c r="AN293" s="3">
        <v>5.8999999999999997E-2</v>
      </c>
      <c r="AO293" s="3">
        <v>0.13200000000000001</v>
      </c>
      <c r="AP293" s="3">
        <v>0.20100000000000001</v>
      </c>
      <c r="AQ293" s="3">
        <v>8.1000000000000003E-2</v>
      </c>
      <c r="AR293" s="3">
        <v>3.5000000000000003E-2</v>
      </c>
      <c r="AS293" s="3">
        <v>3511</v>
      </c>
      <c r="AT293" s="3">
        <v>3510</v>
      </c>
      <c r="AU293" s="3">
        <v>3510</v>
      </c>
      <c r="AV293" s="3">
        <v>3.9609999999999999</v>
      </c>
      <c r="AW293" s="3">
        <v>4.0190000000000001</v>
      </c>
      <c r="AX293" s="3">
        <v>13.74</v>
      </c>
      <c r="AY293" s="3">
        <v>13.93</v>
      </c>
      <c r="AZ293" s="3">
        <v>-4.2690000000000001</v>
      </c>
      <c r="BA293" s="3">
        <v>-4.4080000000000004</v>
      </c>
      <c r="BB293" s="3">
        <v>13.02</v>
      </c>
      <c r="BC293" s="3">
        <v>2876</v>
      </c>
      <c r="BD293" s="3"/>
      <c r="BE293" s="6"/>
      <c r="BG293" s="16">
        <v>12.06</v>
      </c>
      <c r="BH293" s="16">
        <f t="shared" si="156"/>
        <v>24.3612</v>
      </c>
      <c r="BI293" s="17">
        <f t="shared" si="154"/>
        <v>7.23</v>
      </c>
      <c r="BJ293" s="17">
        <f t="shared" si="155"/>
        <v>15.08</v>
      </c>
      <c r="BL293" s="1">
        <f t="shared" si="157"/>
        <v>99.8</v>
      </c>
      <c r="BM293" s="1">
        <f t="shared" si="158"/>
        <v>75</v>
      </c>
      <c r="BN293" s="1">
        <f t="shared" si="159"/>
        <v>40.1</v>
      </c>
      <c r="BO293" s="49">
        <f t="shared" si="165"/>
        <v>0.57799999999999996</v>
      </c>
      <c r="BP293" s="49">
        <f t="shared" si="166"/>
        <v>0.86299999999999999</v>
      </c>
      <c r="BR293" s="3">
        <v>3.8</v>
      </c>
      <c r="BT293" s="16">
        <f t="shared" si="160"/>
        <v>7.23</v>
      </c>
      <c r="BU293" s="16">
        <f t="shared" si="161"/>
        <v>15.08</v>
      </c>
      <c r="BV293" s="3">
        <f t="shared" si="162"/>
        <v>4.4000000000000004</v>
      </c>
      <c r="BW293" s="3">
        <f t="shared" si="189"/>
        <v>4.4000000000000004</v>
      </c>
      <c r="BX293" s="3">
        <f t="shared" si="189"/>
        <v>4.2</v>
      </c>
      <c r="BY293" s="3">
        <f t="shared" si="189"/>
        <v>3.7</v>
      </c>
      <c r="BZ293" s="3">
        <f t="shared" si="188"/>
        <v>4.4000000000000004</v>
      </c>
      <c r="CA293" s="3">
        <f t="shared" si="188"/>
        <v>5</v>
      </c>
      <c r="CB293" s="3">
        <f t="shared" si="188"/>
        <v>5.4</v>
      </c>
      <c r="CC293" s="22">
        <f t="shared" si="163"/>
        <v>75</v>
      </c>
      <c r="CD293" s="1">
        <f t="shared" si="167"/>
        <v>12.4</v>
      </c>
      <c r="CE293" s="1">
        <f t="shared" si="168"/>
        <v>14.7</v>
      </c>
      <c r="CF293" s="1">
        <f t="shared" si="169"/>
        <v>14.7</v>
      </c>
      <c r="CG293" s="1">
        <f t="shared" si="170"/>
        <v>11.6</v>
      </c>
      <c r="CH293" s="1">
        <f t="shared" si="171"/>
        <v>6.3</v>
      </c>
      <c r="CI293" s="1">
        <f t="shared" si="172"/>
        <v>5.4</v>
      </c>
      <c r="CJ293" s="1">
        <f t="shared" si="173"/>
        <v>5.9</v>
      </c>
      <c r="CK293" s="2">
        <f t="shared" si="164"/>
        <v>99.8</v>
      </c>
      <c r="CL293" s="1">
        <f t="shared" si="174"/>
        <v>-3.3</v>
      </c>
      <c r="CM293" s="1">
        <f t="shared" si="175"/>
        <v>-4</v>
      </c>
      <c r="CN293" s="1">
        <f t="shared" si="176"/>
        <v>-4.2</v>
      </c>
      <c r="CO293" s="1">
        <f t="shared" si="177"/>
        <v>-2.7</v>
      </c>
      <c r="CP293" s="1">
        <f t="shared" si="178"/>
        <v>2.1</v>
      </c>
      <c r="CQ293" s="1">
        <f t="shared" si="179"/>
        <v>4.7</v>
      </c>
      <c r="CR293" s="1">
        <f t="shared" si="180"/>
        <v>5.2</v>
      </c>
      <c r="CS293" s="2">
        <f t="shared" si="181"/>
        <v>40.1</v>
      </c>
      <c r="CT293" s="6">
        <f t="shared" si="182"/>
        <v>0</v>
      </c>
      <c r="CU293" s="1">
        <f>PPTest!K293</f>
        <v>5</v>
      </c>
      <c r="CV293" s="3">
        <f t="shared" si="183"/>
        <v>1.55</v>
      </c>
      <c r="CW293" s="3">
        <f t="shared" si="184"/>
        <v>4.41</v>
      </c>
      <c r="CX293" s="24">
        <f t="shared" si="185"/>
        <v>0.57799999999999996</v>
      </c>
      <c r="CY293" s="24">
        <f t="shared" si="185"/>
        <v>0.86299999999999999</v>
      </c>
      <c r="CZ293" s="16">
        <f t="shared" si="186"/>
        <v>13.02</v>
      </c>
    </row>
    <row r="294" spans="1:104" x14ac:dyDescent="0.2">
      <c r="A294" s="14">
        <f t="shared" si="187"/>
        <v>39005</v>
      </c>
      <c r="B294" s="1">
        <v>288</v>
      </c>
      <c r="C294" s="3">
        <v>3.14</v>
      </c>
      <c r="D294" s="3">
        <v>7.11</v>
      </c>
      <c r="E294" s="3">
        <v>2.5489999999999999</v>
      </c>
      <c r="F294" s="3">
        <v>110.2</v>
      </c>
      <c r="G294" s="3">
        <v>2.5529999999999999</v>
      </c>
      <c r="H294" s="3">
        <v>2.4540000000000002</v>
      </c>
      <c r="I294" s="3">
        <v>3.887</v>
      </c>
      <c r="J294" s="3">
        <v>4.5460000000000003</v>
      </c>
      <c r="K294" s="3">
        <v>5.0279999999999996</v>
      </c>
      <c r="L294" s="3">
        <v>5.3070000000000004</v>
      </c>
      <c r="M294" s="3">
        <v>0.83699999999999997</v>
      </c>
      <c r="N294" s="3">
        <v>7</v>
      </c>
      <c r="O294" s="3">
        <v>4.6239999999999997</v>
      </c>
      <c r="P294" s="3">
        <v>1221</v>
      </c>
      <c r="Q294" s="3">
        <v>110.9</v>
      </c>
      <c r="R294" s="3">
        <v>2343</v>
      </c>
      <c r="S294" s="3">
        <v>5.4649999999999999</v>
      </c>
      <c r="T294" s="3">
        <v>5.74</v>
      </c>
      <c r="U294" s="3">
        <v>6.7759999999999998</v>
      </c>
      <c r="V294" s="3">
        <v>5.1479999999999997</v>
      </c>
      <c r="W294" s="3">
        <v>5.141</v>
      </c>
      <c r="X294" s="3">
        <v>5.46</v>
      </c>
      <c r="Y294" s="3">
        <v>3.0270000000000001</v>
      </c>
      <c r="Z294" s="3">
        <v>241</v>
      </c>
      <c r="AA294" s="3">
        <v>-1.0389999999999999</v>
      </c>
      <c r="AB294" s="3">
        <v>2249</v>
      </c>
      <c r="AC294" s="3">
        <v>106.8</v>
      </c>
      <c r="AD294" s="3">
        <v>1224</v>
      </c>
      <c r="AE294" s="3">
        <v>-1.7070000000000001</v>
      </c>
      <c r="AF294" s="3">
        <v>-1.931</v>
      </c>
      <c r="AG294" s="3">
        <v>0.26400000000000001</v>
      </c>
      <c r="AH294" s="3">
        <v>3.617</v>
      </c>
      <c r="AI294" s="3">
        <v>4.8410000000000002</v>
      </c>
      <c r="AJ294" s="3">
        <v>5.1349999999999998</v>
      </c>
      <c r="AK294" s="3">
        <v>5.5E-2</v>
      </c>
      <c r="AL294" s="3">
        <v>0.22500000000000001</v>
      </c>
      <c r="AM294" s="3">
        <v>0.122</v>
      </c>
      <c r="AN294" s="3">
        <v>2.1999999999999999E-2</v>
      </c>
      <c r="AO294" s="3">
        <v>0.14399999999999999</v>
      </c>
      <c r="AP294" s="3">
        <v>0.28100000000000003</v>
      </c>
      <c r="AQ294" s="3">
        <v>0.11799999999999999</v>
      </c>
      <c r="AR294" s="3">
        <v>3.3000000000000002E-2</v>
      </c>
      <c r="AS294" s="3">
        <v>3522</v>
      </c>
      <c r="AT294" s="3">
        <v>3518</v>
      </c>
      <c r="AU294" s="3">
        <v>3519</v>
      </c>
      <c r="AV294" s="3">
        <v>3.1040000000000001</v>
      </c>
      <c r="AW294" s="3">
        <v>2.93</v>
      </c>
      <c r="AX294" s="3">
        <v>5.6269999999999998</v>
      </c>
      <c r="AY294" s="3">
        <v>5.6550000000000002</v>
      </c>
      <c r="AZ294" s="3">
        <v>-1.069</v>
      </c>
      <c r="BA294" s="3">
        <v>-1.456</v>
      </c>
      <c r="BB294" s="3">
        <v>12.92</v>
      </c>
      <c r="BC294" s="3">
        <v>2876</v>
      </c>
      <c r="BD294" s="3"/>
      <c r="BE294" s="6"/>
      <c r="BG294" s="16">
        <v>11.84</v>
      </c>
      <c r="BH294" s="16">
        <f t="shared" si="156"/>
        <v>23.916799999999999</v>
      </c>
      <c r="BI294" s="17">
        <f t="shared" si="154"/>
        <v>3.08</v>
      </c>
      <c r="BJ294" s="17">
        <f t="shared" si="155"/>
        <v>7.82</v>
      </c>
      <c r="BL294" s="1">
        <f t="shared" si="157"/>
        <v>99.6</v>
      </c>
      <c r="BM294" s="1">
        <f t="shared" si="158"/>
        <v>98.5</v>
      </c>
      <c r="BN294" s="1">
        <f t="shared" si="159"/>
        <v>93.1</v>
      </c>
      <c r="BO294" s="49">
        <f t="shared" si="165"/>
        <v>0.79100000000000004</v>
      </c>
      <c r="BP294" s="49">
        <f t="shared" si="166"/>
        <v>5.8999999999999997E-2</v>
      </c>
      <c r="BR294" s="3">
        <v>9.1999999999999993</v>
      </c>
      <c r="BT294" s="16">
        <f t="shared" si="160"/>
        <v>3.08</v>
      </c>
      <c r="BU294" s="16">
        <f t="shared" si="161"/>
        <v>7.82</v>
      </c>
      <c r="BV294" s="3">
        <f t="shared" si="162"/>
        <v>2.5</v>
      </c>
      <c r="BW294" s="3">
        <f t="shared" si="189"/>
        <v>2.6</v>
      </c>
      <c r="BX294" s="3">
        <f t="shared" si="189"/>
        <v>2.5</v>
      </c>
      <c r="BY294" s="3">
        <f t="shared" si="189"/>
        <v>3.9</v>
      </c>
      <c r="BZ294" s="3">
        <f t="shared" si="188"/>
        <v>4.5</v>
      </c>
      <c r="CA294" s="3">
        <f t="shared" si="188"/>
        <v>5</v>
      </c>
      <c r="CB294" s="3">
        <f t="shared" si="188"/>
        <v>5.3</v>
      </c>
      <c r="CC294" s="22">
        <f t="shared" si="163"/>
        <v>98.5</v>
      </c>
      <c r="CD294" s="1">
        <f t="shared" si="167"/>
        <v>4.5999999999999996</v>
      </c>
      <c r="CE294" s="1">
        <f t="shared" si="168"/>
        <v>5.5</v>
      </c>
      <c r="CF294" s="1">
        <f t="shared" si="169"/>
        <v>5.7</v>
      </c>
      <c r="CG294" s="1">
        <f t="shared" si="170"/>
        <v>6.8</v>
      </c>
      <c r="CH294" s="1">
        <f t="shared" si="171"/>
        <v>5.0999999999999996</v>
      </c>
      <c r="CI294" s="1">
        <f t="shared" si="172"/>
        <v>5.0999999999999996</v>
      </c>
      <c r="CJ294" s="1">
        <f t="shared" si="173"/>
        <v>5.5</v>
      </c>
      <c r="CK294" s="2">
        <f t="shared" si="164"/>
        <v>99.6</v>
      </c>
      <c r="CL294" s="1">
        <f t="shared" si="174"/>
        <v>-1</v>
      </c>
      <c r="CM294" s="1">
        <f t="shared" si="175"/>
        <v>-1.7</v>
      </c>
      <c r="CN294" s="1">
        <f t="shared" si="176"/>
        <v>-1.9</v>
      </c>
      <c r="CO294" s="1">
        <f t="shared" si="177"/>
        <v>0.3</v>
      </c>
      <c r="CP294" s="1">
        <f t="shared" si="178"/>
        <v>3.6</v>
      </c>
      <c r="CQ294" s="1">
        <f t="shared" si="179"/>
        <v>4.8</v>
      </c>
      <c r="CR294" s="1">
        <f t="shared" si="180"/>
        <v>5.0999999999999996</v>
      </c>
      <c r="CS294" s="2">
        <f t="shared" si="181"/>
        <v>93.1</v>
      </c>
      <c r="CT294" s="6">
        <f t="shared" si="182"/>
        <v>0</v>
      </c>
      <c r="CU294" s="1">
        <f>PPTest!K294</f>
        <v>7</v>
      </c>
      <c r="CV294" s="3">
        <f t="shared" si="183"/>
        <v>0.84</v>
      </c>
      <c r="CW294" s="3">
        <f t="shared" si="184"/>
        <v>3.03</v>
      </c>
      <c r="CX294" s="24">
        <f t="shared" si="185"/>
        <v>0.79100000000000004</v>
      </c>
      <c r="CY294" s="24">
        <f t="shared" si="185"/>
        <v>5.8999999999999997E-2</v>
      </c>
      <c r="CZ294" s="16">
        <f t="shared" si="186"/>
        <v>12.92</v>
      </c>
    </row>
    <row r="295" spans="1:104" x14ac:dyDescent="0.2">
      <c r="A295" s="14">
        <f t="shared" si="187"/>
        <v>39006</v>
      </c>
      <c r="B295" s="1">
        <v>289</v>
      </c>
      <c r="C295" s="3">
        <v>3.117</v>
      </c>
      <c r="D295" s="3">
        <v>6.415</v>
      </c>
      <c r="E295" s="3">
        <v>0.40899999999999997</v>
      </c>
      <c r="F295" s="3">
        <v>110.6</v>
      </c>
      <c r="G295" s="3">
        <v>0.48099999999999998</v>
      </c>
      <c r="H295" s="3">
        <v>0.34699999999999998</v>
      </c>
      <c r="I295" s="3">
        <v>1.772</v>
      </c>
      <c r="J295" s="3">
        <v>3.391</v>
      </c>
      <c r="K295" s="3">
        <v>4.8</v>
      </c>
      <c r="L295" s="3">
        <v>5.2709999999999999</v>
      </c>
      <c r="M295" s="3">
        <v>1.0960000000000001</v>
      </c>
      <c r="N295" s="3">
        <v>2</v>
      </c>
      <c r="O295" s="3">
        <v>3.899</v>
      </c>
      <c r="P295" s="3">
        <v>1018</v>
      </c>
      <c r="Q295" s="3">
        <v>111</v>
      </c>
      <c r="R295" s="3">
        <v>550</v>
      </c>
      <c r="S295" s="3">
        <v>5.0439999999999996</v>
      </c>
      <c r="T295" s="3">
        <v>4.8639999999999999</v>
      </c>
      <c r="U295" s="3">
        <v>5.157</v>
      </c>
      <c r="V295" s="3">
        <v>4.0549999999999997</v>
      </c>
      <c r="W295" s="3">
        <v>5.0129999999999999</v>
      </c>
      <c r="X295" s="3">
        <v>5.4859999999999998</v>
      </c>
      <c r="Y295" s="3">
        <v>2.3220000000000001</v>
      </c>
      <c r="Z295" s="3">
        <v>2239</v>
      </c>
      <c r="AA295" s="3">
        <v>-2.5110000000000001</v>
      </c>
      <c r="AB295" s="3">
        <v>532</v>
      </c>
      <c r="AC295" s="3">
        <v>107.1</v>
      </c>
      <c r="AD295" s="3">
        <v>1013</v>
      </c>
      <c r="AE295" s="3">
        <v>-3</v>
      </c>
      <c r="AF295" s="3">
        <v>-3.3079999999999998</v>
      </c>
      <c r="AG295" s="3">
        <v>-1.526</v>
      </c>
      <c r="AH295" s="3">
        <v>2.657</v>
      </c>
      <c r="AI295" s="3">
        <v>4.6040000000000001</v>
      </c>
      <c r="AJ295" s="3">
        <v>5.1459999999999999</v>
      </c>
      <c r="AK295" s="3">
        <v>1.7000000000000001E-2</v>
      </c>
      <c r="AL295" s="3">
        <v>0.19900000000000001</v>
      </c>
      <c r="AM295" s="3">
        <v>0.2</v>
      </c>
      <c r="AN295" s="3">
        <v>0.01</v>
      </c>
      <c r="AO295" s="3">
        <v>0.13400000000000001</v>
      </c>
      <c r="AP295" s="3">
        <v>0.28299999999999997</v>
      </c>
      <c r="AQ295" s="3">
        <v>0.127</v>
      </c>
      <c r="AR295" s="3">
        <v>0.03</v>
      </c>
      <c r="AS295" s="3">
        <v>3513</v>
      </c>
      <c r="AT295" s="3">
        <v>3509</v>
      </c>
      <c r="AU295" s="3">
        <v>3511</v>
      </c>
      <c r="AV295" s="3">
        <v>0.53</v>
      </c>
      <c r="AW295" s="3">
        <v>0.46800000000000003</v>
      </c>
      <c r="AX295" s="3">
        <v>4.0659999999999998</v>
      </c>
      <c r="AY295" s="3">
        <v>4.0970000000000004</v>
      </c>
      <c r="AZ295" s="3">
        <v>-3.008</v>
      </c>
      <c r="BA295" s="3">
        <v>-3.2759999999999998</v>
      </c>
      <c r="BB295" s="3">
        <v>12.86</v>
      </c>
      <c r="BC295" s="3">
        <v>2876</v>
      </c>
      <c r="BD295" s="3"/>
      <c r="BE295" s="6"/>
      <c r="BG295" s="16">
        <v>11.62</v>
      </c>
      <c r="BH295" s="16">
        <f t="shared" si="156"/>
        <v>23.4724</v>
      </c>
      <c r="BI295" s="17">
        <f t="shared" si="154"/>
        <v>3.05</v>
      </c>
      <c r="BJ295" s="17">
        <f t="shared" si="155"/>
        <v>7.06</v>
      </c>
      <c r="BL295" s="1">
        <f t="shared" si="157"/>
        <v>99.8</v>
      </c>
      <c r="BM295" s="1">
        <f t="shared" si="158"/>
        <v>99.2</v>
      </c>
      <c r="BN295" s="1">
        <f t="shared" si="159"/>
        <v>93.6</v>
      </c>
      <c r="BO295" s="49">
        <f t="shared" si="165"/>
        <v>0.755</v>
      </c>
      <c r="BP295" s="49">
        <f t="shared" si="166"/>
        <v>5.1999999999999998E-2</v>
      </c>
      <c r="BR295" s="3">
        <v>0</v>
      </c>
      <c r="BT295" s="16">
        <f t="shared" si="160"/>
        <v>3.05</v>
      </c>
      <c r="BU295" s="16">
        <f t="shared" si="161"/>
        <v>7.06</v>
      </c>
      <c r="BV295" s="3">
        <f t="shared" si="162"/>
        <v>0.4</v>
      </c>
      <c r="BW295" s="3">
        <f t="shared" si="189"/>
        <v>0.5</v>
      </c>
      <c r="BX295" s="3">
        <f t="shared" si="189"/>
        <v>0.3</v>
      </c>
      <c r="BY295" s="3">
        <f t="shared" si="189"/>
        <v>1.8</v>
      </c>
      <c r="BZ295" s="3">
        <f t="shared" si="188"/>
        <v>3.4</v>
      </c>
      <c r="CA295" s="3">
        <f t="shared" si="188"/>
        <v>4.8</v>
      </c>
      <c r="CB295" s="3">
        <f t="shared" si="188"/>
        <v>5.3</v>
      </c>
      <c r="CC295" s="22">
        <f t="shared" si="163"/>
        <v>99.2</v>
      </c>
      <c r="CD295" s="1">
        <f t="shared" si="167"/>
        <v>3.9</v>
      </c>
      <c r="CE295" s="1">
        <f t="shared" si="168"/>
        <v>5</v>
      </c>
      <c r="CF295" s="1">
        <f t="shared" si="169"/>
        <v>4.9000000000000004</v>
      </c>
      <c r="CG295" s="1">
        <f t="shared" si="170"/>
        <v>5.2</v>
      </c>
      <c r="CH295" s="1">
        <f t="shared" si="171"/>
        <v>4.0999999999999996</v>
      </c>
      <c r="CI295" s="1">
        <f t="shared" si="172"/>
        <v>5</v>
      </c>
      <c r="CJ295" s="1">
        <f t="shared" si="173"/>
        <v>5.5</v>
      </c>
      <c r="CK295" s="2">
        <f t="shared" si="164"/>
        <v>99.8</v>
      </c>
      <c r="CL295" s="1">
        <f t="shared" si="174"/>
        <v>-2.5</v>
      </c>
      <c r="CM295" s="1">
        <f t="shared" si="175"/>
        <v>-3</v>
      </c>
      <c r="CN295" s="1">
        <f t="shared" si="176"/>
        <v>-3.3</v>
      </c>
      <c r="CO295" s="1">
        <f t="shared" si="177"/>
        <v>-1.5</v>
      </c>
      <c r="CP295" s="1">
        <f t="shared" si="178"/>
        <v>2.7</v>
      </c>
      <c r="CQ295" s="1">
        <f t="shared" si="179"/>
        <v>4.5999999999999996</v>
      </c>
      <c r="CR295" s="1">
        <f t="shared" si="180"/>
        <v>5.0999999999999996</v>
      </c>
      <c r="CS295" s="2">
        <f t="shared" si="181"/>
        <v>93.6</v>
      </c>
      <c r="CT295" s="6">
        <f t="shared" si="182"/>
        <v>0</v>
      </c>
      <c r="CU295" s="1">
        <f>PPTest!K295</f>
        <v>2</v>
      </c>
      <c r="CV295" s="3">
        <f t="shared" si="183"/>
        <v>1.1000000000000001</v>
      </c>
      <c r="CW295" s="3">
        <f t="shared" si="184"/>
        <v>2.3199999999999998</v>
      </c>
      <c r="CX295" s="24">
        <f t="shared" si="185"/>
        <v>0.755</v>
      </c>
      <c r="CY295" s="24">
        <f t="shared" si="185"/>
        <v>5.1999999999999998E-2</v>
      </c>
      <c r="CZ295" s="16">
        <f t="shared" si="186"/>
        <v>12.86</v>
      </c>
    </row>
    <row r="296" spans="1:104" x14ac:dyDescent="0.2">
      <c r="A296" s="14">
        <f t="shared" si="187"/>
        <v>39007</v>
      </c>
      <c r="B296" s="1">
        <v>290</v>
      </c>
      <c r="C296" s="3">
        <v>3.2989999999999999</v>
      </c>
      <c r="D296" s="3">
        <v>6.1580000000000004</v>
      </c>
      <c r="E296" s="3">
        <v>-1.7410000000000001</v>
      </c>
      <c r="F296" s="3">
        <v>108.8</v>
      </c>
      <c r="G296" s="3">
        <v>-1.72</v>
      </c>
      <c r="H296" s="3">
        <v>-1.6519999999999999</v>
      </c>
      <c r="I296" s="3">
        <v>0.71599999999999997</v>
      </c>
      <c r="J296" s="3">
        <v>2.7370000000000001</v>
      </c>
      <c r="K296" s="3">
        <v>4.4539999999999997</v>
      </c>
      <c r="L296" s="3">
        <v>5.157</v>
      </c>
      <c r="M296" s="3">
        <v>0.879</v>
      </c>
      <c r="N296" s="3">
        <v>0</v>
      </c>
      <c r="O296" s="3">
        <v>-0.65800000000000003</v>
      </c>
      <c r="P296" s="3">
        <v>1203</v>
      </c>
      <c r="Q296" s="3">
        <v>111</v>
      </c>
      <c r="R296" s="3">
        <v>630</v>
      </c>
      <c r="S296" s="3">
        <v>0.13700000000000001</v>
      </c>
      <c r="T296" s="3">
        <v>0.71599999999999997</v>
      </c>
      <c r="U296" s="3">
        <v>2.6669999999999998</v>
      </c>
      <c r="V296" s="3">
        <v>3.2290000000000001</v>
      </c>
      <c r="W296" s="3">
        <v>4.6630000000000003</v>
      </c>
      <c r="X296" s="3">
        <v>5.2610000000000001</v>
      </c>
      <c r="Y296" s="3">
        <v>2.5219999999999998</v>
      </c>
      <c r="Z296" s="3">
        <v>518</v>
      </c>
      <c r="AA296" s="3">
        <v>-3.0430000000000001</v>
      </c>
      <c r="AB296" s="3">
        <v>2302</v>
      </c>
      <c r="AC296" s="3">
        <v>98.5</v>
      </c>
      <c r="AD296" s="3">
        <v>1556</v>
      </c>
      <c r="AE296" s="3">
        <v>-3.387</v>
      </c>
      <c r="AF296" s="3">
        <v>-3.427</v>
      </c>
      <c r="AG296" s="3">
        <v>-0.83799999999999997</v>
      </c>
      <c r="AH296" s="3">
        <v>2.2629999999999999</v>
      </c>
      <c r="AI296" s="3">
        <v>4.234</v>
      </c>
      <c r="AJ296" s="3">
        <v>5.0460000000000003</v>
      </c>
      <c r="AK296" s="3">
        <v>0.11</v>
      </c>
      <c r="AL296" s="3">
        <v>0.13500000000000001</v>
      </c>
      <c r="AM296" s="3">
        <v>6.4000000000000001E-2</v>
      </c>
      <c r="AN296" s="3">
        <v>7.3999999999999996E-2</v>
      </c>
      <c r="AO296" s="3">
        <v>0.20899999999999999</v>
      </c>
      <c r="AP296" s="3">
        <v>0.247</v>
      </c>
      <c r="AQ296" s="3">
        <v>0.106</v>
      </c>
      <c r="AR296" s="3">
        <v>5.6000000000000001E-2</v>
      </c>
      <c r="AS296" s="3">
        <v>3502</v>
      </c>
      <c r="AT296" s="3">
        <v>3493</v>
      </c>
      <c r="AU296" s="3">
        <v>3496</v>
      </c>
      <c r="AV296" s="3">
        <v>-1.006</v>
      </c>
      <c r="AW296" s="3">
        <v>-1.1579999999999999</v>
      </c>
      <c r="AX296" s="3">
        <v>0.52100000000000002</v>
      </c>
      <c r="AY296" s="3">
        <v>0.58299999999999996</v>
      </c>
      <c r="AZ296" s="3">
        <v>-3.0680000000000001</v>
      </c>
      <c r="BA296" s="3">
        <v>-3.2490000000000001</v>
      </c>
      <c r="BB296" s="3">
        <v>12.82</v>
      </c>
      <c r="BC296" s="3">
        <v>2876</v>
      </c>
      <c r="BD296" s="3"/>
      <c r="BE296" s="6"/>
      <c r="BG296" s="16">
        <v>11.41</v>
      </c>
      <c r="BH296" s="16">
        <f t="shared" si="156"/>
        <v>23.048200000000001</v>
      </c>
      <c r="BI296" s="17">
        <f t="shared" si="154"/>
        <v>3.23</v>
      </c>
      <c r="BJ296" s="17">
        <f t="shared" si="155"/>
        <v>6.77</v>
      </c>
      <c r="BL296" s="1">
        <f t="shared" si="157"/>
        <v>99.8</v>
      </c>
      <c r="BM296" s="1">
        <f t="shared" si="158"/>
        <v>96.3</v>
      </c>
      <c r="BN296" s="1">
        <f t="shared" si="159"/>
        <v>79.7</v>
      </c>
      <c r="BO296" s="49">
        <f t="shared" si="165"/>
        <v>0.46400000000000002</v>
      </c>
      <c r="BP296" s="49">
        <f t="shared" si="166"/>
        <v>0.11799999999999999</v>
      </c>
      <c r="BR296" s="3">
        <v>0</v>
      </c>
      <c r="BT296" s="16">
        <f t="shared" si="160"/>
        <v>3.23</v>
      </c>
      <c r="BU296" s="16">
        <f t="shared" si="161"/>
        <v>6.77</v>
      </c>
      <c r="BV296" s="3">
        <f t="shared" si="162"/>
        <v>-1.7</v>
      </c>
      <c r="BW296" s="3">
        <f t="shared" si="189"/>
        <v>-1.7</v>
      </c>
      <c r="BX296" s="3">
        <f t="shared" si="189"/>
        <v>-1.7</v>
      </c>
      <c r="BY296" s="3">
        <f t="shared" si="189"/>
        <v>0.7</v>
      </c>
      <c r="BZ296" s="3">
        <f t="shared" si="188"/>
        <v>2.7</v>
      </c>
      <c r="CA296" s="3">
        <f t="shared" si="188"/>
        <v>4.5</v>
      </c>
      <c r="CB296" s="3">
        <f t="shared" si="188"/>
        <v>5.2</v>
      </c>
      <c r="CC296" s="22">
        <f t="shared" si="163"/>
        <v>96.3</v>
      </c>
      <c r="CD296" s="1">
        <f t="shared" si="167"/>
        <v>-0.7</v>
      </c>
      <c r="CE296" s="1">
        <f t="shared" si="168"/>
        <v>0.1</v>
      </c>
      <c r="CF296" s="1">
        <f t="shared" si="169"/>
        <v>0.7</v>
      </c>
      <c r="CG296" s="1">
        <f t="shared" si="170"/>
        <v>2.7</v>
      </c>
      <c r="CH296" s="1">
        <f t="shared" si="171"/>
        <v>3.2</v>
      </c>
      <c r="CI296" s="1">
        <f t="shared" si="172"/>
        <v>4.7</v>
      </c>
      <c r="CJ296" s="1">
        <f t="shared" si="173"/>
        <v>5.3</v>
      </c>
      <c r="CK296" s="2">
        <f t="shared" si="164"/>
        <v>99.8</v>
      </c>
      <c r="CL296" s="1">
        <f t="shared" si="174"/>
        <v>-3</v>
      </c>
      <c r="CM296" s="1">
        <f t="shared" si="175"/>
        <v>-3.4</v>
      </c>
      <c r="CN296" s="1">
        <f t="shared" si="176"/>
        <v>-3.4</v>
      </c>
      <c r="CO296" s="1">
        <f t="shared" si="177"/>
        <v>-0.8</v>
      </c>
      <c r="CP296" s="1">
        <f t="shared" si="178"/>
        <v>2.2999999999999998</v>
      </c>
      <c r="CQ296" s="1">
        <f t="shared" si="179"/>
        <v>4.2</v>
      </c>
      <c r="CR296" s="1">
        <f t="shared" si="180"/>
        <v>5</v>
      </c>
      <c r="CS296" s="2">
        <f t="shared" si="181"/>
        <v>79.7</v>
      </c>
      <c r="CT296" s="6">
        <f t="shared" si="182"/>
        <v>0</v>
      </c>
      <c r="CU296" s="1">
        <f>PPTest!K296</f>
        <v>0</v>
      </c>
      <c r="CV296" s="3">
        <f t="shared" si="183"/>
        <v>0.88</v>
      </c>
      <c r="CW296" s="3">
        <f t="shared" si="184"/>
        <v>2.52</v>
      </c>
      <c r="CX296" s="24">
        <f t="shared" si="185"/>
        <v>0.46400000000000002</v>
      </c>
      <c r="CY296" s="24">
        <f t="shared" si="185"/>
        <v>0.11799999999999999</v>
      </c>
      <c r="CZ296" s="16">
        <f t="shared" si="186"/>
        <v>12.82</v>
      </c>
    </row>
    <row r="297" spans="1:104" x14ac:dyDescent="0.2">
      <c r="A297" s="14">
        <f t="shared" si="187"/>
        <v>39008</v>
      </c>
      <c r="B297" s="1">
        <v>291</v>
      </c>
      <c r="C297" s="3">
        <v>1.554</v>
      </c>
      <c r="D297" s="3">
        <v>2.99</v>
      </c>
      <c r="E297" s="3">
        <v>-0.17699999999999999</v>
      </c>
      <c r="F297" s="3">
        <v>110.4</v>
      </c>
      <c r="G297" s="3">
        <v>-0.24299999999999999</v>
      </c>
      <c r="H297" s="3">
        <v>-0.33800000000000002</v>
      </c>
      <c r="I297" s="3">
        <v>0.65600000000000003</v>
      </c>
      <c r="J297" s="3">
        <v>2.3570000000000002</v>
      </c>
      <c r="K297" s="3">
        <v>4.0990000000000002</v>
      </c>
      <c r="L297" s="3">
        <v>5.0339999999999998</v>
      </c>
      <c r="M297" s="3">
        <v>0.61299999999999999</v>
      </c>
      <c r="N297" s="3">
        <v>1</v>
      </c>
      <c r="O297" s="3">
        <v>3.169</v>
      </c>
      <c r="P297" s="3">
        <v>1530</v>
      </c>
      <c r="Q297" s="3">
        <v>110.9</v>
      </c>
      <c r="R297" s="3">
        <v>2356</v>
      </c>
      <c r="S297" s="3">
        <v>3.4180000000000001</v>
      </c>
      <c r="T297" s="3">
        <v>3.1869999999999998</v>
      </c>
      <c r="U297" s="3">
        <v>1.6339999999999999</v>
      </c>
      <c r="V297" s="3">
        <v>2.8820000000000001</v>
      </c>
      <c r="W297" s="3">
        <v>4.2759999999999998</v>
      </c>
      <c r="X297" s="3">
        <v>5.1429999999999998</v>
      </c>
      <c r="Y297" s="3">
        <v>2.3090000000000002</v>
      </c>
      <c r="Z297" s="3">
        <v>1043</v>
      </c>
      <c r="AA297" s="3">
        <v>-2.7250000000000001</v>
      </c>
      <c r="AB297" s="3">
        <v>1</v>
      </c>
      <c r="AC297" s="3">
        <v>108.9</v>
      </c>
      <c r="AD297" s="3">
        <v>1522</v>
      </c>
      <c r="AE297" s="3">
        <v>-2.7839999999999998</v>
      </c>
      <c r="AF297" s="3">
        <v>-2.7690000000000001</v>
      </c>
      <c r="AG297" s="3">
        <v>-0.53500000000000003</v>
      </c>
      <c r="AH297" s="3">
        <v>2.04</v>
      </c>
      <c r="AI297" s="3">
        <v>3.9279999999999999</v>
      </c>
      <c r="AJ297" s="3">
        <v>4.8869999999999996</v>
      </c>
      <c r="AK297" s="3">
        <v>0.14000000000000001</v>
      </c>
      <c r="AL297" s="3">
        <v>0.19500000000000001</v>
      </c>
      <c r="AM297" s="3">
        <v>0.14199999999999999</v>
      </c>
      <c r="AN297" s="3">
        <v>6.2E-2</v>
      </c>
      <c r="AO297" s="3">
        <v>0.115</v>
      </c>
      <c r="AP297" s="3">
        <v>0.155</v>
      </c>
      <c r="AQ297" s="3">
        <v>0.11899999999999999</v>
      </c>
      <c r="AR297" s="3">
        <v>7.1999999999999995E-2</v>
      </c>
      <c r="AS297" s="3">
        <v>6999</v>
      </c>
      <c r="AT297" s="3">
        <v>6789</v>
      </c>
      <c r="AU297" s="3">
        <v>6999</v>
      </c>
      <c r="AV297" s="3">
        <v>-0.33800000000000002</v>
      </c>
      <c r="AW297" s="3">
        <v>-0.33900000000000002</v>
      </c>
      <c r="AX297" s="3">
        <v>2.4329999999999998</v>
      </c>
      <c r="AY297" s="3">
        <v>2.5259999999999998</v>
      </c>
      <c r="AZ297" s="3">
        <v>-3.0489999999999999</v>
      </c>
      <c r="BA297" s="3">
        <v>-3.1360000000000001</v>
      </c>
      <c r="BB297" s="3">
        <v>12.63</v>
      </c>
      <c r="BC297" s="3">
        <v>2876</v>
      </c>
      <c r="BD297" s="3"/>
      <c r="BE297" s="6"/>
      <c r="BG297" s="16">
        <v>11.19</v>
      </c>
      <c r="BH297" s="16">
        <f t="shared" si="156"/>
        <v>22.6038</v>
      </c>
      <c r="BI297" s="17">
        <f t="shared" si="154"/>
        <v>1.52</v>
      </c>
      <c r="BJ297" s="17">
        <f t="shared" si="155"/>
        <v>3.29</v>
      </c>
      <c r="BL297" s="1">
        <f t="shared" si="157"/>
        <v>99.6</v>
      </c>
      <c r="BM297" s="1">
        <f t="shared" si="158"/>
        <v>98.8</v>
      </c>
      <c r="BN297" s="1">
        <f t="shared" si="159"/>
        <v>96.5</v>
      </c>
      <c r="BO297" s="49">
        <f t="shared" si="165"/>
        <v>0.74</v>
      </c>
      <c r="BP297" s="49">
        <f t="shared" si="166"/>
        <v>2.7E-2</v>
      </c>
      <c r="BR297" s="3">
        <v>1.2</v>
      </c>
      <c r="BT297" s="16">
        <f t="shared" si="160"/>
        <v>1.52</v>
      </c>
      <c r="BU297" s="16">
        <f t="shared" si="161"/>
        <v>3.29</v>
      </c>
      <c r="BV297" s="3">
        <f t="shared" si="162"/>
        <v>-0.2</v>
      </c>
      <c r="BW297" s="3">
        <f t="shared" si="189"/>
        <v>-0.2</v>
      </c>
      <c r="BX297" s="3">
        <f t="shared" si="189"/>
        <v>-0.3</v>
      </c>
      <c r="BY297" s="3">
        <f t="shared" si="189"/>
        <v>0.7</v>
      </c>
      <c r="BZ297" s="3">
        <f t="shared" si="188"/>
        <v>2.4</v>
      </c>
      <c r="CA297" s="3">
        <f t="shared" si="188"/>
        <v>4.0999999999999996</v>
      </c>
      <c r="CB297" s="3">
        <f t="shared" si="188"/>
        <v>5</v>
      </c>
      <c r="CC297" s="22">
        <f t="shared" si="163"/>
        <v>98.8</v>
      </c>
      <c r="CD297" s="1">
        <f t="shared" si="167"/>
        <v>3.2</v>
      </c>
      <c r="CE297" s="1">
        <f t="shared" si="168"/>
        <v>3.4</v>
      </c>
      <c r="CF297" s="1">
        <f t="shared" si="169"/>
        <v>3.2</v>
      </c>
      <c r="CG297" s="1">
        <f t="shared" si="170"/>
        <v>1.6</v>
      </c>
      <c r="CH297" s="1">
        <f t="shared" si="171"/>
        <v>2.9</v>
      </c>
      <c r="CI297" s="1">
        <f t="shared" si="172"/>
        <v>4.3</v>
      </c>
      <c r="CJ297" s="1">
        <f t="shared" si="173"/>
        <v>5.0999999999999996</v>
      </c>
      <c r="CK297" s="2">
        <f t="shared" si="164"/>
        <v>99.6</v>
      </c>
      <c r="CL297" s="1">
        <f t="shared" si="174"/>
        <v>-2.7</v>
      </c>
      <c r="CM297" s="1">
        <f t="shared" si="175"/>
        <v>-2.8</v>
      </c>
      <c r="CN297" s="1">
        <f t="shared" si="176"/>
        <v>-2.8</v>
      </c>
      <c r="CO297" s="1">
        <f t="shared" si="177"/>
        <v>-0.5</v>
      </c>
      <c r="CP297" s="1">
        <f t="shared" si="178"/>
        <v>2</v>
      </c>
      <c r="CQ297" s="1">
        <f t="shared" si="179"/>
        <v>3.9</v>
      </c>
      <c r="CR297" s="1">
        <f t="shared" si="180"/>
        <v>4.9000000000000004</v>
      </c>
      <c r="CS297" s="2">
        <f t="shared" si="181"/>
        <v>96.5</v>
      </c>
      <c r="CT297" s="6">
        <f t="shared" si="182"/>
        <v>0</v>
      </c>
      <c r="CU297" s="1">
        <f>PPTest!K297</f>
        <v>1</v>
      </c>
      <c r="CV297" s="3">
        <f t="shared" si="183"/>
        <v>0.61</v>
      </c>
      <c r="CW297" s="3">
        <f t="shared" si="184"/>
        <v>2.31</v>
      </c>
      <c r="CX297" s="24">
        <f t="shared" si="185"/>
        <v>0.74</v>
      </c>
      <c r="CY297" s="24">
        <f t="shared" si="185"/>
        <v>2.7E-2</v>
      </c>
      <c r="CZ297" s="16">
        <f t="shared" si="186"/>
        <v>12.63</v>
      </c>
    </row>
    <row r="298" spans="1:104" x14ac:dyDescent="0.2">
      <c r="A298" s="14">
        <f t="shared" si="187"/>
        <v>39009</v>
      </c>
      <c r="B298" s="1">
        <v>292</v>
      </c>
      <c r="C298" s="3">
        <v>2.3660000000000001</v>
      </c>
      <c r="D298" s="3">
        <v>5.2160000000000002</v>
      </c>
      <c r="E298" s="3">
        <v>1.1990000000000001</v>
      </c>
      <c r="F298" s="3">
        <v>109.9</v>
      </c>
      <c r="G298" s="3">
        <v>1.0820000000000001</v>
      </c>
      <c r="H298" s="3">
        <v>0.94899999999999995</v>
      </c>
      <c r="I298" s="3">
        <v>1.843</v>
      </c>
      <c r="J298" s="3">
        <v>2.8109999999999999</v>
      </c>
      <c r="K298" s="3">
        <v>3.9609999999999999</v>
      </c>
      <c r="L298" s="3">
        <v>4.8570000000000002</v>
      </c>
      <c r="M298" s="3">
        <v>0.88100000000000001</v>
      </c>
      <c r="N298" s="3">
        <v>2</v>
      </c>
      <c r="O298" s="3">
        <v>4.9850000000000003</v>
      </c>
      <c r="P298" s="3">
        <v>1528</v>
      </c>
      <c r="Q298" s="3">
        <v>110.9</v>
      </c>
      <c r="R298" s="3">
        <v>1</v>
      </c>
      <c r="S298" s="3">
        <v>5.0449999999999999</v>
      </c>
      <c r="T298" s="3">
        <v>4.7629999999999999</v>
      </c>
      <c r="U298" s="3">
        <v>5.0839999999999996</v>
      </c>
      <c r="V298" s="3">
        <v>3.3889999999999998</v>
      </c>
      <c r="W298" s="3">
        <v>4.1589999999999998</v>
      </c>
      <c r="X298" s="3">
        <v>5.0830000000000002</v>
      </c>
      <c r="Y298" s="3">
        <v>3.8250000000000002</v>
      </c>
      <c r="Z298" s="3">
        <v>1654</v>
      </c>
      <c r="AA298" s="3">
        <v>-0.69699999999999995</v>
      </c>
      <c r="AB298" s="3">
        <v>1</v>
      </c>
      <c r="AC298" s="3">
        <v>99</v>
      </c>
      <c r="AD298" s="3">
        <v>1553</v>
      </c>
      <c r="AE298" s="3">
        <v>-0.92200000000000004</v>
      </c>
      <c r="AF298" s="3">
        <v>-0.94499999999999995</v>
      </c>
      <c r="AG298" s="3">
        <v>0.61799999999999999</v>
      </c>
      <c r="AH298" s="3">
        <v>2.4089999999999998</v>
      </c>
      <c r="AI298" s="3">
        <v>3.8340000000000001</v>
      </c>
      <c r="AJ298" s="3">
        <v>4.7030000000000003</v>
      </c>
      <c r="AK298" s="3">
        <v>8.4000000000000005E-2</v>
      </c>
      <c r="AL298" s="3">
        <v>0.13300000000000001</v>
      </c>
      <c r="AM298" s="3">
        <v>0.14599999999999999</v>
      </c>
      <c r="AN298" s="3">
        <v>6.5000000000000002E-2</v>
      </c>
      <c r="AO298" s="3">
        <v>0.184</v>
      </c>
      <c r="AP298" s="3">
        <v>0.19900000000000001</v>
      </c>
      <c r="AQ298" s="3">
        <v>0.10299999999999999</v>
      </c>
      <c r="AR298" s="3">
        <v>8.5000000000000006E-2</v>
      </c>
      <c r="AS298" s="3">
        <v>3545</v>
      </c>
      <c r="AT298" s="3">
        <v>3527</v>
      </c>
      <c r="AU298" s="3">
        <v>3535</v>
      </c>
      <c r="AV298" s="3">
        <v>0.93100000000000005</v>
      </c>
      <c r="AW298" s="3">
        <v>0.875</v>
      </c>
      <c r="AX298" s="3">
        <v>3.278</v>
      </c>
      <c r="AY298" s="3">
        <v>3.3889999999999998</v>
      </c>
      <c r="AZ298" s="3">
        <v>-0.47</v>
      </c>
      <c r="BA298" s="3">
        <v>-0.64</v>
      </c>
      <c r="BB298" s="3">
        <v>12.64</v>
      </c>
      <c r="BC298" s="3">
        <v>2876</v>
      </c>
      <c r="BD298" s="3"/>
      <c r="BE298" s="6"/>
      <c r="BG298" s="16">
        <v>10.98</v>
      </c>
      <c r="BH298" s="16">
        <f t="shared" si="156"/>
        <v>22.179600000000001</v>
      </c>
      <c r="BI298" s="17">
        <f t="shared" si="154"/>
        <v>2.3199999999999998</v>
      </c>
      <c r="BJ298" s="17">
        <f t="shared" si="155"/>
        <v>5.74</v>
      </c>
      <c r="BL298" s="1">
        <f t="shared" si="157"/>
        <v>99.6</v>
      </c>
      <c r="BM298" s="1">
        <f t="shared" si="158"/>
        <v>98</v>
      </c>
      <c r="BN298" s="1">
        <f t="shared" si="159"/>
        <v>80.099999999999994</v>
      </c>
      <c r="BO298" s="49">
        <f t="shared" si="165"/>
        <v>0.69799999999999995</v>
      </c>
      <c r="BP298" s="49">
        <f t="shared" si="166"/>
        <v>0.17299999999999999</v>
      </c>
      <c r="BR298" s="3">
        <v>5.8</v>
      </c>
      <c r="BT298" s="16">
        <f t="shared" si="160"/>
        <v>2.3199999999999998</v>
      </c>
      <c r="BU298" s="16">
        <f t="shared" si="161"/>
        <v>5.74</v>
      </c>
      <c r="BV298" s="3">
        <f t="shared" si="162"/>
        <v>1.2</v>
      </c>
      <c r="BW298" s="3">
        <f t="shared" si="189"/>
        <v>1.1000000000000001</v>
      </c>
      <c r="BX298" s="3">
        <f t="shared" si="189"/>
        <v>0.9</v>
      </c>
      <c r="BY298" s="3">
        <f t="shared" si="189"/>
        <v>1.8</v>
      </c>
      <c r="BZ298" s="3">
        <f t="shared" si="188"/>
        <v>2.8</v>
      </c>
      <c r="CA298" s="3">
        <f t="shared" si="188"/>
        <v>4</v>
      </c>
      <c r="CB298" s="3">
        <f t="shared" si="188"/>
        <v>4.9000000000000004</v>
      </c>
      <c r="CC298" s="22">
        <f t="shared" si="163"/>
        <v>98</v>
      </c>
      <c r="CD298" s="1">
        <f t="shared" si="167"/>
        <v>5</v>
      </c>
      <c r="CE298" s="1">
        <f t="shared" si="168"/>
        <v>5</v>
      </c>
      <c r="CF298" s="1">
        <f t="shared" si="169"/>
        <v>4.8</v>
      </c>
      <c r="CG298" s="1">
        <f t="shared" si="170"/>
        <v>5.0999999999999996</v>
      </c>
      <c r="CH298" s="1">
        <f t="shared" si="171"/>
        <v>3.4</v>
      </c>
      <c r="CI298" s="1">
        <f t="shared" si="172"/>
        <v>4.2</v>
      </c>
      <c r="CJ298" s="1">
        <f t="shared" si="173"/>
        <v>5.0999999999999996</v>
      </c>
      <c r="CK298" s="2">
        <f t="shared" si="164"/>
        <v>99.6</v>
      </c>
      <c r="CL298" s="1">
        <f t="shared" si="174"/>
        <v>-0.7</v>
      </c>
      <c r="CM298" s="1">
        <f t="shared" si="175"/>
        <v>-0.9</v>
      </c>
      <c r="CN298" s="1">
        <f t="shared" si="176"/>
        <v>-0.9</v>
      </c>
      <c r="CO298" s="1">
        <f t="shared" si="177"/>
        <v>0.6</v>
      </c>
      <c r="CP298" s="1">
        <f t="shared" si="178"/>
        <v>2.4</v>
      </c>
      <c r="CQ298" s="1">
        <f t="shared" si="179"/>
        <v>3.8</v>
      </c>
      <c r="CR298" s="1">
        <f t="shared" si="180"/>
        <v>4.7</v>
      </c>
      <c r="CS298" s="2">
        <f t="shared" si="181"/>
        <v>80.099999999999994</v>
      </c>
      <c r="CT298" s="6">
        <f t="shared" si="182"/>
        <v>0</v>
      </c>
      <c r="CU298" s="1">
        <f>PPTest!K298</f>
        <v>2</v>
      </c>
      <c r="CV298" s="3">
        <f t="shared" si="183"/>
        <v>0.88</v>
      </c>
      <c r="CW298" s="3">
        <f t="shared" si="184"/>
        <v>3.83</v>
      </c>
      <c r="CX298" s="24">
        <f t="shared" si="185"/>
        <v>0.69799999999999995</v>
      </c>
      <c r="CY298" s="24">
        <f t="shared" si="185"/>
        <v>0.17299999999999999</v>
      </c>
      <c r="CZ298" s="16">
        <f t="shared" si="186"/>
        <v>12.64</v>
      </c>
    </row>
    <row r="299" spans="1:104" x14ac:dyDescent="0.2">
      <c r="A299" s="14">
        <f t="shared" si="187"/>
        <v>39010</v>
      </c>
      <c r="B299" s="1">
        <v>293</v>
      </c>
      <c r="C299" s="3">
        <v>6.4109999999999996</v>
      </c>
      <c r="D299" s="3">
        <v>11.63</v>
      </c>
      <c r="E299" s="3">
        <v>7.0000000000000001E-3</v>
      </c>
      <c r="F299" s="3">
        <v>105.8</v>
      </c>
      <c r="G299" s="3">
        <v>-0.29899999999999999</v>
      </c>
      <c r="H299" s="3">
        <v>-0.32300000000000001</v>
      </c>
      <c r="I299" s="3">
        <v>1.4710000000000001</v>
      </c>
      <c r="J299" s="3">
        <v>2.8929999999999998</v>
      </c>
      <c r="K299" s="3">
        <v>3.8010000000000002</v>
      </c>
      <c r="L299" s="3">
        <v>4.5720000000000001</v>
      </c>
      <c r="M299" s="3">
        <v>0.94</v>
      </c>
      <c r="N299" s="3">
        <v>0</v>
      </c>
      <c r="O299" s="3">
        <v>5.2320000000000002</v>
      </c>
      <c r="P299" s="3">
        <v>1502</v>
      </c>
      <c r="Q299" s="3">
        <v>111.2</v>
      </c>
      <c r="R299" s="3">
        <v>2257</v>
      </c>
      <c r="S299" s="3">
        <v>8.0500000000000007</v>
      </c>
      <c r="T299" s="3">
        <v>8.23</v>
      </c>
      <c r="U299" s="3">
        <v>7.48</v>
      </c>
      <c r="V299" s="3">
        <v>4.3029999999999999</v>
      </c>
      <c r="W299" s="3">
        <v>4.1230000000000002</v>
      </c>
      <c r="X299" s="3">
        <v>4.9180000000000001</v>
      </c>
      <c r="Y299" s="3">
        <v>3.6259999999999999</v>
      </c>
      <c r="Z299" s="3">
        <v>1114</v>
      </c>
      <c r="AA299" s="3">
        <v>-4.7629999999999999</v>
      </c>
      <c r="AB299" s="3">
        <v>2351</v>
      </c>
      <c r="AC299" s="3">
        <v>78.900000000000006</v>
      </c>
      <c r="AD299" s="3">
        <v>1502</v>
      </c>
      <c r="AE299" s="3">
        <v>-5.55</v>
      </c>
      <c r="AF299" s="3">
        <v>-5.702</v>
      </c>
      <c r="AG299" s="3">
        <v>-2.3969999999999998</v>
      </c>
      <c r="AH299" s="3">
        <v>1.9770000000000001</v>
      </c>
      <c r="AI299" s="3">
        <v>3.4990000000000001</v>
      </c>
      <c r="AJ299" s="3">
        <v>4.2750000000000004</v>
      </c>
      <c r="AK299" s="3">
        <v>0.06</v>
      </c>
      <c r="AL299" s="3">
        <v>0.20300000000000001</v>
      </c>
      <c r="AM299" s="3">
        <v>0.14399999999999999</v>
      </c>
      <c r="AN299" s="3">
        <v>6.2E-2</v>
      </c>
      <c r="AO299" s="3">
        <v>0.17199999999999999</v>
      </c>
      <c r="AP299" s="3">
        <v>0.19900000000000001</v>
      </c>
      <c r="AQ299" s="3">
        <v>8.7999999999999995E-2</v>
      </c>
      <c r="AR299" s="3">
        <v>7.3999999999999996E-2</v>
      </c>
      <c r="AS299" s="3">
        <v>3518</v>
      </c>
      <c r="AT299" s="3">
        <v>3515</v>
      </c>
      <c r="AU299" s="3">
        <v>3516</v>
      </c>
      <c r="AV299" s="3">
        <v>0.124</v>
      </c>
      <c r="AW299" s="3">
        <v>-6.0999999999999999E-2</v>
      </c>
      <c r="AX299" s="3">
        <v>5.7130000000000001</v>
      </c>
      <c r="AY299" s="3">
        <v>6.3949999999999996</v>
      </c>
      <c r="AZ299" s="3">
        <v>-5.46</v>
      </c>
      <c r="BA299" s="3">
        <v>-5.843</v>
      </c>
      <c r="BB299" s="3">
        <v>13.1</v>
      </c>
      <c r="BC299" s="3">
        <v>2876</v>
      </c>
      <c r="BD299" s="3"/>
      <c r="BE299" s="6"/>
      <c r="BG299" s="16">
        <v>10.77</v>
      </c>
      <c r="BH299" s="16">
        <f t="shared" si="156"/>
        <v>21.755399999999998</v>
      </c>
      <c r="BI299" s="17">
        <f t="shared" si="154"/>
        <v>6.28</v>
      </c>
      <c r="BJ299" s="17">
        <f t="shared" si="155"/>
        <v>12.79</v>
      </c>
      <c r="BL299" s="1">
        <f t="shared" si="157"/>
        <v>100</v>
      </c>
      <c r="BM299" s="1">
        <f t="shared" si="158"/>
        <v>91.5</v>
      </c>
      <c r="BN299" s="1">
        <f t="shared" si="159"/>
        <v>62.4</v>
      </c>
      <c r="BO299" s="49">
        <f t="shared" si="165"/>
        <v>0.55300000000000005</v>
      </c>
      <c r="BP299" s="49">
        <f t="shared" si="166"/>
        <v>0.33300000000000002</v>
      </c>
      <c r="BR299" s="3">
        <v>0.2</v>
      </c>
      <c r="BT299" s="16">
        <f t="shared" si="160"/>
        <v>6.28</v>
      </c>
      <c r="BU299" s="16">
        <f t="shared" si="161"/>
        <v>12.79</v>
      </c>
      <c r="BV299" s="3">
        <f t="shared" si="162"/>
        <v>0</v>
      </c>
      <c r="BW299" s="3">
        <f t="shared" si="189"/>
        <v>-0.3</v>
      </c>
      <c r="BX299" s="3">
        <f t="shared" si="189"/>
        <v>-0.3</v>
      </c>
      <c r="BY299" s="3">
        <f t="shared" si="189"/>
        <v>1.5</v>
      </c>
      <c r="BZ299" s="3">
        <f t="shared" si="188"/>
        <v>2.9</v>
      </c>
      <c r="CA299" s="3">
        <f t="shared" si="188"/>
        <v>3.8</v>
      </c>
      <c r="CB299" s="3">
        <f t="shared" si="188"/>
        <v>4.5999999999999996</v>
      </c>
      <c r="CC299" s="22">
        <f t="shared" si="163"/>
        <v>91.5</v>
      </c>
      <c r="CD299" s="1">
        <f t="shared" si="167"/>
        <v>5.2</v>
      </c>
      <c r="CE299" s="1">
        <f t="shared" si="168"/>
        <v>8.1</v>
      </c>
      <c r="CF299" s="1">
        <f t="shared" si="169"/>
        <v>8.1999999999999993</v>
      </c>
      <c r="CG299" s="1">
        <f t="shared" si="170"/>
        <v>7.5</v>
      </c>
      <c r="CH299" s="1">
        <f t="shared" si="171"/>
        <v>4.3</v>
      </c>
      <c r="CI299" s="1">
        <f t="shared" si="172"/>
        <v>4.0999999999999996</v>
      </c>
      <c r="CJ299" s="1">
        <f t="shared" si="173"/>
        <v>4.9000000000000004</v>
      </c>
      <c r="CK299" s="2">
        <f t="shared" si="164"/>
        <v>100</v>
      </c>
      <c r="CL299" s="1">
        <f t="shared" si="174"/>
        <v>-4.8</v>
      </c>
      <c r="CM299" s="1">
        <f t="shared" si="175"/>
        <v>-5.6</v>
      </c>
      <c r="CN299" s="1">
        <f t="shared" si="176"/>
        <v>-5.7</v>
      </c>
      <c r="CO299" s="1">
        <f t="shared" si="177"/>
        <v>-2.4</v>
      </c>
      <c r="CP299" s="1">
        <f t="shared" si="178"/>
        <v>2</v>
      </c>
      <c r="CQ299" s="1">
        <f t="shared" si="179"/>
        <v>3.5</v>
      </c>
      <c r="CR299" s="1">
        <f t="shared" si="180"/>
        <v>4.3</v>
      </c>
      <c r="CS299" s="2">
        <f t="shared" si="181"/>
        <v>62.4</v>
      </c>
      <c r="CT299" s="6">
        <f t="shared" si="182"/>
        <v>0</v>
      </c>
      <c r="CU299" s="1">
        <f>PPTest!K299</f>
        <v>0</v>
      </c>
      <c r="CV299" s="3">
        <f t="shared" si="183"/>
        <v>0.94</v>
      </c>
      <c r="CW299" s="3">
        <f t="shared" si="184"/>
        <v>3.63</v>
      </c>
      <c r="CX299" s="24">
        <f t="shared" si="185"/>
        <v>0.55300000000000005</v>
      </c>
      <c r="CY299" s="24">
        <f t="shared" si="185"/>
        <v>0.33300000000000002</v>
      </c>
      <c r="CZ299" s="16">
        <f t="shared" si="186"/>
        <v>13.1</v>
      </c>
    </row>
    <row r="300" spans="1:104" x14ac:dyDescent="0.2">
      <c r="A300" s="14">
        <f t="shared" si="187"/>
        <v>39011</v>
      </c>
      <c r="B300" s="1">
        <v>294</v>
      </c>
      <c r="C300" s="3">
        <v>11.36</v>
      </c>
      <c r="D300" s="3">
        <v>19.79</v>
      </c>
      <c r="E300" s="3">
        <v>-1.63</v>
      </c>
      <c r="F300" s="3">
        <v>100.4</v>
      </c>
      <c r="G300" s="3">
        <v>-1.8049999999999999</v>
      </c>
      <c r="H300" s="3">
        <v>-1.9590000000000001</v>
      </c>
      <c r="I300" s="3">
        <v>-0.877</v>
      </c>
      <c r="J300" s="3">
        <v>1.94</v>
      </c>
      <c r="K300" s="3">
        <v>3.4950000000000001</v>
      </c>
      <c r="L300" s="3">
        <v>4.34</v>
      </c>
      <c r="M300" s="3">
        <v>1.421</v>
      </c>
      <c r="N300" s="3">
        <v>0</v>
      </c>
      <c r="O300" s="3">
        <v>6.5979999999999999</v>
      </c>
      <c r="P300" s="3">
        <v>1550</v>
      </c>
      <c r="Q300" s="3">
        <v>111.1</v>
      </c>
      <c r="R300" s="3">
        <v>13</v>
      </c>
      <c r="S300" s="3">
        <v>8.93</v>
      </c>
      <c r="T300" s="3">
        <v>9.3000000000000007</v>
      </c>
      <c r="U300" s="3">
        <v>4.0199999999999996</v>
      </c>
      <c r="V300" s="3">
        <v>3.5249999999999999</v>
      </c>
      <c r="W300" s="3">
        <v>3.8940000000000001</v>
      </c>
      <c r="X300" s="3">
        <v>4.7279999999999998</v>
      </c>
      <c r="Y300" s="3">
        <v>3.0009999999999999</v>
      </c>
      <c r="Z300" s="3">
        <v>1235</v>
      </c>
      <c r="AA300" s="3">
        <v>-6.7460000000000004</v>
      </c>
      <c r="AB300" s="3">
        <v>638</v>
      </c>
      <c r="AC300" s="3">
        <v>71.7</v>
      </c>
      <c r="AD300" s="3">
        <v>1330</v>
      </c>
      <c r="AE300" s="3">
        <v>-7.48</v>
      </c>
      <c r="AF300" s="3">
        <v>-7.82</v>
      </c>
      <c r="AG300" s="3">
        <v>-3.5329999999999999</v>
      </c>
      <c r="AH300" s="3">
        <v>1.252</v>
      </c>
      <c r="AI300" s="3">
        <v>2.9569999999999999</v>
      </c>
      <c r="AJ300" s="3">
        <v>3.9380000000000002</v>
      </c>
      <c r="AK300" s="3">
        <v>7.0000000000000001E-3</v>
      </c>
      <c r="AL300" s="3">
        <v>0.30299999999999999</v>
      </c>
      <c r="AM300" s="3">
        <v>0.39700000000000002</v>
      </c>
      <c r="AN300" s="3">
        <v>3.1E-2</v>
      </c>
      <c r="AO300" s="3">
        <v>0.122</v>
      </c>
      <c r="AP300" s="3">
        <v>0.122</v>
      </c>
      <c r="AQ300" s="3">
        <v>1.7000000000000001E-2</v>
      </c>
      <c r="AR300" s="3">
        <v>2E-3</v>
      </c>
      <c r="AS300" s="3">
        <v>3510</v>
      </c>
      <c r="AT300" s="3">
        <v>3502</v>
      </c>
      <c r="AU300" s="3">
        <v>3508</v>
      </c>
      <c r="AV300" s="3">
        <v>-1.7889999999999999</v>
      </c>
      <c r="AW300" s="3">
        <v>-1.8740000000000001</v>
      </c>
      <c r="AX300" s="3">
        <v>9.75</v>
      </c>
      <c r="AY300" s="3">
        <v>9.9600000000000009</v>
      </c>
      <c r="AZ300" s="3">
        <v>-7.55</v>
      </c>
      <c r="BA300" s="3">
        <v>-7.81</v>
      </c>
      <c r="BB300" s="3">
        <v>13.11</v>
      </c>
      <c r="BC300" s="3">
        <v>2876</v>
      </c>
      <c r="BD300" s="3"/>
      <c r="BE300" s="6"/>
      <c r="BG300" s="16">
        <v>10.57</v>
      </c>
      <c r="BH300" s="16">
        <f t="shared" si="156"/>
        <v>21.351400000000002</v>
      </c>
      <c r="BI300" s="17">
        <f t="shared" si="154"/>
        <v>11.13</v>
      </c>
      <c r="BJ300" s="17">
        <f t="shared" si="155"/>
        <v>21.77</v>
      </c>
      <c r="BL300" s="1">
        <f t="shared" si="157"/>
        <v>100</v>
      </c>
      <c r="BM300" s="1">
        <f t="shared" si="158"/>
        <v>82.9</v>
      </c>
      <c r="BN300" s="1">
        <f t="shared" si="159"/>
        <v>56.1</v>
      </c>
      <c r="BO300" s="49">
        <f t="shared" si="165"/>
        <v>0.54600000000000004</v>
      </c>
      <c r="BP300" s="49">
        <f t="shared" si="166"/>
        <v>0.42699999999999999</v>
      </c>
      <c r="BR300" s="3">
        <v>0.2</v>
      </c>
      <c r="BT300" s="16">
        <f t="shared" si="160"/>
        <v>11.13</v>
      </c>
      <c r="BU300" s="16">
        <f t="shared" si="161"/>
        <v>21.77</v>
      </c>
      <c r="BV300" s="3">
        <f t="shared" si="162"/>
        <v>-1.6</v>
      </c>
      <c r="BW300" s="3">
        <f t="shared" si="189"/>
        <v>-1.8</v>
      </c>
      <c r="BX300" s="3">
        <f t="shared" si="189"/>
        <v>-2</v>
      </c>
      <c r="BY300" s="3">
        <f t="shared" si="189"/>
        <v>-0.9</v>
      </c>
      <c r="BZ300" s="3">
        <f t="shared" si="188"/>
        <v>1.9</v>
      </c>
      <c r="CA300" s="3">
        <f t="shared" si="188"/>
        <v>3.5</v>
      </c>
      <c r="CB300" s="3">
        <f t="shared" si="188"/>
        <v>4.3</v>
      </c>
      <c r="CC300" s="22">
        <f t="shared" si="163"/>
        <v>82.9</v>
      </c>
      <c r="CD300" s="1">
        <f t="shared" si="167"/>
        <v>6.6</v>
      </c>
      <c r="CE300" s="1">
        <f t="shared" si="168"/>
        <v>8.9</v>
      </c>
      <c r="CF300" s="1">
        <f t="shared" si="169"/>
        <v>9.3000000000000007</v>
      </c>
      <c r="CG300" s="1">
        <f t="shared" si="170"/>
        <v>4</v>
      </c>
      <c r="CH300" s="1">
        <f t="shared" si="171"/>
        <v>3.5</v>
      </c>
      <c r="CI300" s="1">
        <f t="shared" si="172"/>
        <v>3.9</v>
      </c>
      <c r="CJ300" s="1">
        <f t="shared" si="173"/>
        <v>4.7</v>
      </c>
      <c r="CK300" s="2">
        <f t="shared" si="164"/>
        <v>100</v>
      </c>
      <c r="CL300" s="1">
        <f t="shared" si="174"/>
        <v>-6.7</v>
      </c>
      <c r="CM300" s="1">
        <f t="shared" si="175"/>
        <v>-7.5</v>
      </c>
      <c r="CN300" s="1">
        <f t="shared" si="176"/>
        <v>-7.8</v>
      </c>
      <c r="CO300" s="1">
        <f t="shared" si="177"/>
        <v>-3.5</v>
      </c>
      <c r="CP300" s="1">
        <f t="shared" si="178"/>
        <v>1.3</v>
      </c>
      <c r="CQ300" s="1">
        <f t="shared" si="179"/>
        <v>3</v>
      </c>
      <c r="CR300" s="1">
        <f t="shared" si="180"/>
        <v>3.9</v>
      </c>
      <c r="CS300" s="2">
        <f t="shared" si="181"/>
        <v>56.1</v>
      </c>
      <c r="CT300" s="6">
        <f t="shared" si="182"/>
        <v>0</v>
      </c>
      <c r="CU300" s="1">
        <f>PPTest!K300</f>
        <v>0</v>
      </c>
      <c r="CV300" s="3">
        <f t="shared" si="183"/>
        <v>1.42</v>
      </c>
      <c r="CW300" s="3">
        <f t="shared" si="184"/>
        <v>3</v>
      </c>
      <c r="CX300" s="24">
        <f t="shared" si="185"/>
        <v>0.54600000000000004</v>
      </c>
      <c r="CY300" s="24">
        <f t="shared" si="185"/>
        <v>0.42699999999999999</v>
      </c>
      <c r="CZ300" s="16">
        <f t="shared" si="186"/>
        <v>13.11</v>
      </c>
    </row>
    <row r="301" spans="1:104" x14ac:dyDescent="0.2">
      <c r="A301" s="14">
        <f t="shared" si="187"/>
        <v>39012</v>
      </c>
      <c r="B301" s="1">
        <v>295</v>
      </c>
      <c r="C301" s="3">
        <v>10.58</v>
      </c>
      <c r="D301" s="3">
        <v>18.579999999999998</v>
      </c>
      <c r="E301" s="3">
        <v>0.16800000000000001</v>
      </c>
      <c r="F301" s="3">
        <v>88</v>
      </c>
      <c r="G301" s="3">
        <v>-7.9000000000000001E-2</v>
      </c>
      <c r="H301" s="3">
        <v>-0.247</v>
      </c>
      <c r="I301" s="3">
        <v>-0.64100000000000001</v>
      </c>
      <c r="J301" s="3">
        <v>1.8129999999999999</v>
      </c>
      <c r="K301" s="3">
        <v>3.1989999999999998</v>
      </c>
      <c r="L301" s="3">
        <v>4.173</v>
      </c>
      <c r="M301" s="3">
        <v>1.2210000000000001</v>
      </c>
      <c r="N301" s="3">
        <v>0</v>
      </c>
      <c r="O301" s="3">
        <v>9.83</v>
      </c>
      <c r="P301" s="3">
        <v>1354</v>
      </c>
      <c r="Q301" s="3">
        <v>110.5</v>
      </c>
      <c r="R301" s="3">
        <v>617</v>
      </c>
      <c r="S301" s="3">
        <v>12.6</v>
      </c>
      <c r="T301" s="3">
        <v>12.76</v>
      </c>
      <c r="U301" s="3">
        <v>3.8650000000000002</v>
      </c>
      <c r="V301" s="3">
        <v>3.589</v>
      </c>
      <c r="W301" s="3">
        <v>3.657</v>
      </c>
      <c r="X301" s="3">
        <v>4.6319999999999997</v>
      </c>
      <c r="Y301" s="3">
        <v>4.2640000000000002</v>
      </c>
      <c r="Z301" s="3">
        <v>1055</v>
      </c>
      <c r="AA301" s="3">
        <v>-6.3179999999999996</v>
      </c>
      <c r="AB301" s="3">
        <v>443</v>
      </c>
      <c r="AC301" s="3">
        <v>35.54</v>
      </c>
      <c r="AD301" s="3">
        <v>1132</v>
      </c>
      <c r="AE301" s="3">
        <v>-6.9610000000000003</v>
      </c>
      <c r="AF301" s="3">
        <v>-7.16</v>
      </c>
      <c r="AG301" s="3">
        <v>-3.7490000000000001</v>
      </c>
      <c r="AH301" s="3">
        <v>1.0309999999999999</v>
      </c>
      <c r="AI301" s="3">
        <v>2.621</v>
      </c>
      <c r="AJ301" s="3">
        <v>3.69</v>
      </c>
      <c r="AK301" s="3">
        <v>7.8E-2</v>
      </c>
      <c r="AL301" s="3">
        <v>0.34</v>
      </c>
      <c r="AM301" s="3">
        <v>0.308</v>
      </c>
      <c r="AN301" s="3">
        <v>4.4999999999999998E-2</v>
      </c>
      <c r="AO301" s="3">
        <v>5.8000000000000003E-2</v>
      </c>
      <c r="AP301" s="3">
        <v>9.4E-2</v>
      </c>
      <c r="AQ301" s="3">
        <v>4.3999999999999997E-2</v>
      </c>
      <c r="AR301" s="3">
        <v>3.3000000000000002E-2</v>
      </c>
      <c r="AS301" s="3">
        <v>3510</v>
      </c>
      <c r="AT301" s="3">
        <v>3499</v>
      </c>
      <c r="AU301" s="3">
        <v>3507</v>
      </c>
      <c r="AV301" s="3">
        <v>-0.58199999999999996</v>
      </c>
      <c r="AW301" s="3">
        <v>-0.51500000000000001</v>
      </c>
      <c r="AX301" s="3">
        <v>11.86</v>
      </c>
      <c r="AY301" s="3">
        <v>12.26</v>
      </c>
      <c r="AZ301" s="3">
        <v>-6.9779999999999998</v>
      </c>
      <c r="BA301" s="3">
        <v>-7.2</v>
      </c>
      <c r="BB301" s="3">
        <v>13.11</v>
      </c>
      <c r="BC301" s="3">
        <v>2876</v>
      </c>
      <c r="BD301" s="3"/>
      <c r="BE301" s="6"/>
      <c r="BG301" s="16">
        <v>10.36</v>
      </c>
      <c r="BH301" s="16">
        <f t="shared" si="156"/>
        <v>20.927199999999999</v>
      </c>
      <c r="BI301" s="17">
        <f t="shared" si="154"/>
        <v>10.37</v>
      </c>
      <c r="BJ301" s="17">
        <f t="shared" si="155"/>
        <v>20.440000000000001</v>
      </c>
      <c r="BL301" s="1">
        <f t="shared" si="157"/>
        <v>99</v>
      </c>
      <c r="BM301" s="1">
        <f t="shared" si="158"/>
        <v>70.400000000000006</v>
      </c>
      <c r="BN301" s="1">
        <f t="shared" si="159"/>
        <v>24.3</v>
      </c>
      <c r="BO301" s="49">
        <f t="shared" si="165"/>
        <v>0.29499999999999998</v>
      </c>
      <c r="BP301" s="49">
        <f t="shared" si="166"/>
        <v>0.91900000000000004</v>
      </c>
      <c r="BR301" s="3">
        <v>0</v>
      </c>
      <c r="BT301" s="16">
        <f t="shared" si="160"/>
        <v>10.37</v>
      </c>
      <c r="BU301" s="16">
        <f t="shared" si="161"/>
        <v>20.440000000000001</v>
      </c>
      <c r="BV301" s="3">
        <f t="shared" si="162"/>
        <v>0.2</v>
      </c>
      <c r="BW301" s="3">
        <f t="shared" si="189"/>
        <v>-0.1</v>
      </c>
      <c r="BX301" s="3">
        <f t="shared" si="189"/>
        <v>-0.2</v>
      </c>
      <c r="BY301" s="3">
        <f t="shared" si="189"/>
        <v>-0.6</v>
      </c>
      <c r="BZ301" s="3">
        <f t="shared" si="188"/>
        <v>1.8</v>
      </c>
      <c r="CA301" s="3">
        <f t="shared" si="188"/>
        <v>3.2</v>
      </c>
      <c r="CB301" s="3">
        <f t="shared" si="188"/>
        <v>4.2</v>
      </c>
      <c r="CC301" s="22">
        <f t="shared" si="163"/>
        <v>70.400000000000006</v>
      </c>
      <c r="CD301" s="1">
        <f t="shared" si="167"/>
        <v>9.8000000000000007</v>
      </c>
      <c r="CE301" s="1">
        <f t="shared" si="168"/>
        <v>12.6</v>
      </c>
      <c r="CF301" s="1">
        <f t="shared" si="169"/>
        <v>12.8</v>
      </c>
      <c r="CG301" s="1">
        <f t="shared" si="170"/>
        <v>3.9</v>
      </c>
      <c r="CH301" s="1">
        <f t="shared" si="171"/>
        <v>3.6</v>
      </c>
      <c r="CI301" s="1">
        <f t="shared" si="172"/>
        <v>3.7</v>
      </c>
      <c r="CJ301" s="1">
        <f t="shared" si="173"/>
        <v>4.5999999999999996</v>
      </c>
      <c r="CK301" s="2">
        <f t="shared" si="164"/>
        <v>99</v>
      </c>
      <c r="CL301" s="1">
        <f t="shared" si="174"/>
        <v>-6.3</v>
      </c>
      <c r="CM301" s="1">
        <f t="shared" si="175"/>
        <v>-7</v>
      </c>
      <c r="CN301" s="1">
        <f t="shared" si="176"/>
        <v>-7.2</v>
      </c>
      <c r="CO301" s="1">
        <f t="shared" si="177"/>
        <v>-3.7</v>
      </c>
      <c r="CP301" s="1">
        <f t="shared" si="178"/>
        <v>1</v>
      </c>
      <c r="CQ301" s="1">
        <f t="shared" si="179"/>
        <v>2.6</v>
      </c>
      <c r="CR301" s="1">
        <f t="shared" si="180"/>
        <v>3.7</v>
      </c>
      <c r="CS301" s="2">
        <f t="shared" si="181"/>
        <v>24.3</v>
      </c>
      <c r="CT301" s="6">
        <f t="shared" si="182"/>
        <v>0</v>
      </c>
      <c r="CU301" s="1">
        <f>PPTest!K301</f>
        <v>0</v>
      </c>
      <c r="CV301" s="3">
        <f t="shared" si="183"/>
        <v>1.22</v>
      </c>
      <c r="CW301" s="3">
        <f t="shared" si="184"/>
        <v>4.26</v>
      </c>
      <c r="CX301" s="24">
        <f t="shared" si="185"/>
        <v>0.29499999999999998</v>
      </c>
      <c r="CY301" s="24">
        <f t="shared" si="185"/>
        <v>0.91900000000000004</v>
      </c>
      <c r="CZ301" s="16">
        <f t="shared" si="186"/>
        <v>13.11</v>
      </c>
    </row>
    <row r="302" spans="1:104" x14ac:dyDescent="0.2">
      <c r="A302" s="14">
        <f t="shared" si="187"/>
        <v>39013</v>
      </c>
      <c r="B302" s="1">
        <v>296</v>
      </c>
      <c r="C302" s="3">
        <v>9.25</v>
      </c>
      <c r="D302" s="3">
        <v>16.079999999999998</v>
      </c>
      <c r="E302" s="3">
        <v>1.3759999999999999</v>
      </c>
      <c r="F302" s="3">
        <v>92.5</v>
      </c>
      <c r="G302" s="3">
        <v>1.04</v>
      </c>
      <c r="H302" s="3">
        <v>0.83199999999999996</v>
      </c>
      <c r="I302" s="3">
        <v>0.191</v>
      </c>
      <c r="J302" s="3">
        <v>2.1070000000000002</v>
      </c>
      <c r="K302" s="3">
        <v>3.0619999999999998</v>
      </c>
      <c r="L302" s="3">
        <v>3.9670000000000001</v>
      </c>
      <c r="M302" s="3">
        <v>1.0820000000000001</v>
      </c>
      <c r="N302" s="3">
        <v>0</v>
      </c>
      <c r="O302" s="3">
        <v>6.6950000000000003</v>
      </c>
      <c r="P302" s="3">
        <v>1152</v>
      </c>
      <c r="Q302" s="3">
        <v>110.4</v>
      </c>
      <c r="R302" s="3">
        <v>654</v>
      </c>
      <c r="S302" s="3">
        <v>9.6999999999999993</v>
      </c>
      <c r="T302" s="3">
        <v>9.86</v>
      </c>
      <c r="U302" s="3">
        <v>4.1820000000000004</v>
      </c>
      <c r="V302" s="3">
        <v>3.6440000000000001</v>
      </c>
      <c r="W302" s="3">
        <v>3.39</v>
      </c>
      <c r="X302" s="3">
        <v>4.3250000000000002</v>
      </c>
      <c r="Y302" s="3">
        <v>3.8919999999999999</v>
      </c>
      <c r="Z302" s="3">
        <v>1215</v>
      </c>
      <c r="AA302" s="3">
        <v>-4.5380000000000003</v>
      </c>
      <c r="AB302" s="3">
        <v>643</v>
      </c>
      <c r="AC302" s="3">
        <v>62.59</v>
      </c>
      <c r="AD302" s="3">
        <v>1140</v>
      </c>
      <c r="AE302" s="3">
        <v>-5.5460000000000003</v>
      </c>
      <c r="AF302" s="3">
        <v>-6.016</v>
      </c>
      <c r="AG302" s="3">
        <v>-3.3239999999999998</v>
      </c>
      <c r="AH302" s="3">
        <v>1.2629999999999999</v>
      </c>
      <c r="AI302" s="3">
        <v>2.7650000000000001</v>
      </c>
      <c r="AJ302" s="3">
        <v>3.6589999999999998</v>
      </c>
      <c r="AK302" s="3">
        <v>0.06</v>
      </c>
      <c r="AL302" s="3">
        <v>0.24399999999999999</v>
      </c>
      <c r="AM302" s="3">
        <v>0.22600000000000001</v>
      </c>
      <c r="AN302" s="3">
        <v>7.4999999999999997E-2</v>
      </c>
      <c r="AO302" s="3">
        <v>0.153</v>
      </c>
      <c r="AP302" s="3">
        <v>0.14699999999999999</v>
      </c>
      <c r="AQ302" s="3">
        <v>6.6000000000000003E-2</v>
      </c>
      <c r="AR302" s="3">
        <v>2.8000000000000001E-2</v>
      </c>
      <c r="AS302" s="3">
        <v>3514</v>
      </c>
      <c r="AT302" s="3">
        <v>3504</v>
      </c>
      <c r="AU302" s="3">
        <v>3510</v>
      </c>
      <c r="AV302" s="3">
        <v>0.71099999999999997</v>
      </c>
      <c r="AW302" s="3">
        <v>0.64200000000000002</v>
      </c>
      <c r="AX302" s="3">
        <v>8.6199999999999992</v>
      </c>
      <c r="AY302" s="3">
        <v>9.18</v>
      </c>
      <c r="AZ302" s="3">
        <v>-5.7130000000000001</v>
      </c>
      <c r="BA302" s="3">
        <v>-5.9660000000000002</v>
      </c>
      <c r="BB302" s="3">
        <v>13.11</v>
      </c>
      <c r="BC302" s="3">
        <v>2876</v>
      </c>
      <c r="BD302" s="3"/>
      <c r="BE302" s="6"/>
      <c r="BG302" s="16">
        <v>10.17</v>
      </c>
      <c r="BH302" s="16">
        <f t="shared" si="156"/>
        <v>20.543399999999998</v>
      </c>
      <c r="BI302" s="17">
        <f t="shared" si="154"/>
        <v>9.07</v>
      </c>
      <c r="BJ302" s="17">
        <f t="shared" si="155"/>
        <v>17.690000000000001</v>
      </c>
      <c r="BL302" s="1">
        <f t="shared" si="157"/>
        <v>98.8</v>
      </c>
      <c r="BM302" s="1">
        <f t="shared" si="158"/>
        <v>74.400000000000006</v>
      </c>
      <c r="BN302" s="1">
        <f t="shared" si="159"/>
        <v>48.1</v>
      </c>
      <c r="BO302" s="49">
        <f t="shared" si="165"/>
        <v>0.47199999999999998</v>
      </c>
      <c r="BP302" s="49">
        <f t="shared" si="166"/>
        <v>0.50900000000000001</v>
      </c>
      <c r="BR302" s="3">
        <v>0</v>
      </c>
      <c r="BT302" s="16">
        <f t="shared" si="160"/>
        <v>9.07</v>
      </c>
      <c r="BU302" s="16">
        <f t="shared" si="161"/>
        <v>17.690000000000001</v>
      </c>
      <c r="BV302" s="3">
        <f t="shared" si="162"/>
        <v>1.4</v>
      </c>
      <c r="BW302" s="3">
        <f t="shared" si="189"/>
        <v>1</v>
      </c>
      <c r="BX302" s="3">
        <f t="shared" si="189"/>
        <v>0.8</v>
      </c>
      <c r="BY302" s="3">
        <f t="shared" si="189"/>
        <v>0.2</v>
      </c>
      <c r="BZ302" s="3">
        <f t="shared" si="188"/>
        <v>2.1</v>
      </c>
      <c r="CA302" s="3">
        <f t="shared" si="188"/>
        <v>3.1</v>
      </c>
      <c r="CB302" s="3">
        <f t="shared" si="188"/>
        <v>4</v>
      </c>
      <c r="CC302" s="22">
        <f t="shared" si="163"/>
        <v>74.400000000000006</v>
      </c>
      <c r="CD302" s="1">
        <f t="shared" si="167"/>
        <v>6.7</v>
      </c>
      <c r="CE302" s="1">
        <f t="shared" si="168"/>
        <v>9.6999999999999993</v>
      </c>
      <c r="CF302" s="1">
        <f t="shared" si="169"/>
        <v>9.9</v>
      </c>
      <c r="CG302" s="1">
        <f t="shared" si="170"/>
        <v>4.2</v>
      </c>
      <c r="CH302" s="1">
        <f t="shared" si="171"/>
        <v>3.6</v>
      </c>
      <c r="CI302" s="1">
        <f t="shared" si="172"/>
        <v>3.4</v>
      </c>
      <c r="CJ302" s="1">
        <f t="shared" si="173"/>
        <v>4.3</v>
      </c>
      <c r="CK302" s="2">
        <f t="shared" si="164"/>
        <v>98.8</v>
      </c>
      <c r="CL302" s="1">
        <f t="shared" si="174"/>
        <v>-4.5</v>
      </c>
      <c r="CM302" s="1">
        <f t="shared" si="175"/>
        <v>-5.5</v>
      </c>
      <c r="CN302" s="1">
        <f t="shared" si="176"/>
        <v>-6</v>
      </c>
      <c r="CO302" s="1">
        <f t="shared" si="177"/>
        <v>-3.3</v>
      </c>
      <c r="CP302" s="1">
        <f t="shared" si="178"/>
        <v>1.3</v>
      </c>
      <c r="CQ302" s="1">
        <f t="shared" si="179"/>
        <v>2.8</v>
      </c>
      <c r="CR302" s="1">
        <f t="shared" si="180"/>
        <v>3.7</v>
      </c>
      <c r="CS302" s="2">
        <f t="shared" si="181"/>
        <v>48.1</v>
      </c>
      <c r="CT302" s="6">
        <f t="shared" si="182"/>
        <v>0</v>
      </c>
      <c r="CU302" s="1">
        <f>PPTest!K302</f>
        <v>0</v>
      </c>
      <c r="CV302" s="3">
        <f t="shared" si="183"/>
        <v>1.08</v>
      </c>
      <c r="CW302" s="3">
        <f t="shared" si="184"/>
        <v>3.89</v>
      </c>
      <c r="CX302" s="24">
        <f t="shared" si="185"/>
        <v>0.47199999999999998</v>
      </c>
      <c r="CY302" s="24">
        <f t="shared" si="185"/>
        <v>0.50900000000000001</v>
      </c>
      <c r="CZ302" s="16">
        <f t="shared" si="186"/>
        <v>13.11</v>
      </c>
    </row>
    <row r="303" spans="1:104" x14ac:dyDescent="0.2">
      <c r="A303" s="14">
        <f t="shared" si="187"/>
        <v>39014</v>
      </c>
      <c r="B303" s="1">
        <v>297</v>
      </c>
      <c r="C303" s="3">
        <v>3.056</v>
      </c>
      <c r="D303" s="3">
        <v>5.8550000000000004</v>
      </c>
      <c r="E303" s="3">
        <v>0.152</v>
      </c>
      <c r="F303" s="3">
        <v>103.5</v>
      </c>
      <c r="G303" s="3">
        <v>-0.20100000000000001</v>
      </c>
      <c r="H303" s="3">
        <v>-0.33500000000000002</v>
      </c>
      <c r="I303" s="3">
        <v>-2.8000000000000001E-2</v>
      </c>
      <c r="J303" s="3">
        <v>1.6020000000000001</v>
      </c>
      <c r="K303" s="3">
        <v>2.98</v>
      </c>
      <c r="L303" s="3">
        <v>3.766</v>
      </c>
      <c r="M303" s="3">
        <v>1.373</v>
      </c>
      <c r="N303" s="3">
        <v>0</v>
      </c>
      <c r="O303" s="3">
        <v>3.2930000000000001</v>
      </c>
      <c r="P303" s="3">
        <v>243</v>
      </c>
      <c r="Q303" s="3">
        <v>110.9</v>
      </c>
      <c r="R303" s="3">
        <v>1832</v>
      </c>
      <c r="S303" s="3">
        <v>3.8149999999999999</v>
      </c>
      <c r="T303" s="3">
        <v>3.6070000000000002</v>
      </c>
      <c r="U303" s="3">
        <v>1.484</v>
      </c>
      <c r="V303" s="3">
        <v>2.0299999999999998</v>
      </c>
      <c r="W303" s="3">
        <v>3.2</v>
      </c>
      <c r="X303" s="3">
        <v>3.9660000000000002</v>
      </c>
      <c r="Y303" s="3">
        <v>4.2110000000000003</v>
      </c>
      <c r="Z303" s="3">
        <v>848</v>
      </c>
      <c r="AA303" s="3">
        <v>-2.706</v>
      </c>
      <c r="AB303" s="3">
        <v>18</v>
      </c>
      <c r="AC303" s="3">
        <v>76.400000000000006</v>
      </c>
      <c r="AD303" s="3">
        <v>243</v>
      </c>
      <c r="AE303" s="3">
        <v>-3.64</v>
      </c>
      <c r="AF303" s="3">
        <v>-3.923</v>
      </c>
      <c r="AG303" s="3">
        <v>-2.258</v>
      </c>
      <c r="AH303" s="3">
        <v>1.2569999999999999</v>
      </c>
      <c r="AI303" s="3">
        <v>2.819</v>
      </c>
      <c r="AJ303" s="3">
        <v>3.6429999999999998</v>
      </c>
      <c r="AK303" s="3">
        <v>3.9E-2</v>
      </c>
      <c r="AL303" s="3">
        <v>5.8000000000000003E-2</v>
      </c>
      <c r="AM303" s="3">
        <v>5.0999999999999997E-2</v>
      </c>
      <c r="AN303" s="3">
        <v>0.04</v>
      </c>
      <c r="AO303" s="3">
        <v>0.20300000000000001</v>
      </c>
      <c r="AP303" s="3">
        <v>0.39</v>
      </c>
      <c r="AQ303" s="3">
        <v>0.16300000000000001</v>
      </c>
      <c r="AR303" s="3">
        <v>5.6000000000000001E-2</v>
      </c>
      <c r="AS303" s="3">
        <v>6999</v>
      </c>
      <c r="AT303" s="3">
        <v>5850</v>
      </c>
      <c r="AU303" s="3">
        <v>6999</v>
      </c>
      <c r="AV303" s="3">
        <v>-0.63700000000000001</v>
      </c>
      <c r="AW303" s="3">
        <v>-0.67800000000000005</v>
      </c>
      <c r="AX303" s="3">
        <v>1.3420000000000001</v>
      </c>
      <c r="AY303" s="3">
        <v>1.462</v>
      </c>
      <c r="AZ303" s="3">
        <v>-3.77</v>
      </c>
      <c r="BA303" s="3">
        <v>-4.0620000000000003</v>
      </c>
      <c r="BB303" s="3">
        <v>13.13</v>
      </c>
      <c r="BC303" s="3">
        <v>2876</v>
      </c>
      <c r="BD303" s="3"/>
      <c r="BE303" s="6"/>
      <c r="BG303" s="16">
        <v>9.9700000000000006</v>
      </c>
      <c r="BH303" s="16">
        <f t="shared" si="156"/>
        <v>20.139400000000002</v>
      </c>
      <c r="BI303" s="17">
        <f t="shared" si="154"/>
        <v>2.99</v>
      </c>
      <c r="BJ303" s="17">
        <f t="shared" si="155"/>
        <v>6.44</v>
      </c>
      <c r="BL303" s="1">
        <f t="shared" si="157"/>
        <v>99.6</v>
      </c>
      <c r="BM303" s="1">
        <f t="shared" si="158"/>
        <v>87.9</v>
      </c>
      <c r="BN303" s="1">
        <f t="shared" si="159"/>
        <v>60.2</v>
      </c>
      <c r="BO303" s="49">
        <f t="shared" si="165"/>
        <v>0.46600000000000003</v>
      </c>
      <c r="BP303" s="49">
        <f t="shared" si="166"/>
        <v>0.308</v>
      </c>
      <c r="BR303" s="3">
        <v>2</v>
      </c>
      <c r="BT303" s="16">
        <f t="shared" si="160"/>
        <v>2.99</v>
      </c>
      <c r="BU303" s="16">
        <f t="shared" si="161"/>
        <v>6.44</v>
      </c>
      <c r="BV303" s="3">
        <f t="shared" si="162"/>
        <v>0.2</v>
      </c>
      <c r="BW303" s="3">
        <f t="shared" si="189"/>
        <v>-0.2</v>
      </c>
      <c r="BX303" s="3">
        <f t="shared" si="189"/>
        <v>-0.3</v>
      </c>
      <c r="BY303" s="3">
        <f t="shared" si="189"/>
        <v>0</v>
      </c>
      <c r="BZ303" s="3">
        <f t="shared" si="188"/>
        <v>1.6</v>
      </c>
      <c r="CA303" s="3">
        <f t="shared" si="188"/>
        <v>3</v>
      </c>
      <c r="CB303" s="3">
        <f t="shared" si="188"/>
        <v>3.8</v>
      </c>
      <c r="CC303" s="22">
        <f t="shared" si="163"/>
        <v>87.9</v>
      </c>
      <c r="CD303" s="1">
        <f t="shared" si="167"/>
        <v>3.3</v>
      </c>
      <c r="CE303" s="1">
        <f t="shared" si="168"/>
        <v>3.8</v>
      </c>
      <c r="CF303" s="1">
        <f t="shared" si="169"/>
        <v>3.6</v>
      </c>
      <c r="CG303" s="1">
        <f t="shared" si="170"/>
        <v>1.5</v>
      </c>
      <c r="CH303" s="1">
        <f t="shared" si="171"/>
        <v>2</v>
      </c>
      <c r="CI303" s="1">
        <f t="shared" si="172"/>
        <v>3.2</v>
      </c>
      <c r="CJ303" s="1">
        <f t="shared" si="173"/>
        <v>4</v>
      </c>
      <c r="CK303" s="2">
        <f t="shared" si="164"/>
        <v>99.6</v>
      </c>
      <c r="CL303" s="1">
        <f t="shared" si="174"/>
        <v>-2.7</v>
      </c>
      <c r="CM303" s="1">
        <f t="shared" si="175"/>
        <v>-3.6</v>
      </c>
      <c r="CN303" s="1">
        <f t="shared" si="176"/>
        <v>-3.9</v>
      </c>
      <c r="CO303" s="1">
        <f t="shared" si="177"/>
        <v>-2.2999999999999998</v>
      </c>
      <c r="CP303" s="1">
        <f t="shared" si="178"/>
        <v>1.3</v>
      </c>
      <c r="CQ303" s="1">
        <f t="shared" si="179"/>
        <v>2.8</v>
      </c>
      <c r="CR303" s="1">
        <f t="shared" si="180"/>
        <v>3.6</v>
      </c>
      <c r="CS303" s="2">
        <f t="shared" si="181"/>
        <v>60.2</v>
      </c>
      <c r="CT303" s="6">
        <f t="shared" si="182"/>
        <v>0</v>
      </c>
      <c r="CU303" s="1">
        <f>PPTest!K303</f>
        <v>0</v>
      </c>
      <c r="CV303" s="3">
        <f t="shared" si="183"/>
        <v>1.37</v>
      </c>
      <c r="CW303" s="3">
        <f t="shared" si="184"/>
        <v>4.21</v>
      </c>
      <c r="CX303" s="24">
        <f t="shared" si="185"/>
        <v>0.46600000000000003</v>
      </c>
      <c r="CY303" s="24">
        <f t="shared" si="185"/>
        <v>0.308</v>
      </c>
      <c r="CZ303" s="16">
        <f t="shared" si="186"/>
        <v>13.13</v>
      </c>
    </row>
    <row r="304" spans="1:104" x14ac:dyDescent="0.2">
      <c r="A304" s="14">
        <f t="shared" si="187"/>
        <v>39015</v>
      </c>
      <c r="B304" s="1">
        <v>298</v>
      </c>
      <c r="C304" s="3">
        <v>5.3840000000000003</v>
      </c>
      <c r="D304" s="3">
        <v>9.4499999999999993</v>
      </c>
      <c r="E304" s="3">
        <v>-1.579</v>
      </c>
      <c r="F304" s="3">
        <v>104.4</v>
      </c>
      <c r="G304" s="3">
        <v>-1.708</v>
      </c>
      <c r="H304" s="3">
        <v>-1.8240000000000001</v>
      </c>
      <c r="I304" s="3">
        <v>-0.625</v>
      </c>
      <c r="J304" s="3">
        <v>1.3819999999999999</v>
      </c>
      <c r="K304" s="3">
        <v>2.7650000000000001</v>
      </c>
      <c r="L304" s="3">
        <v>3.5979999999999999</v>
      </c>
      <c r="M304" s="3">
        <v>0.96499999999999997</v>
      </c>
      <c r="N304" s="3">
        <v>1</v>
      </c>
      <c r="O304" s="3">
        <v>1.421</v>
      </c>
      <c r="P304" s="3">
        <v>1232</v>
      </c>
      <c r="Q304" s="3">
        <v>111.2</v>
      </c>
      <c r="R304" s="3">
        <v>553</v>
      </c>
      <c r="S304" s="3">
        <v>4.0860000000000003</v>
      </c>
      <c r="T304" s="3">
        <v>4.1840000000000002</v>
      </c>
      <c r="U304" s="3">
        <v>0.96699999999999997</v>
      </c>
      <c r="V304" s="3">
        <v>1.8160000000000001</v>
      </c>
      <c r="W304" s="3">
        <v>3.1179999999999999</v>
      </c>
      <c r="X304" s="3">
        <v>3.9319999999999999</v>
      </c>
      <c r="Y304" s="3">
        <v>3.306</v>
      </c>
      <c r="Z304" s="3">
        <v>1056</v>
      </c>
      <c r="AA304" s="3">
        <v>-6.6980000000000004</v>
      </c>
      <c r="AB304" s="3">
        <v>708</v>
      </c>
      <c r="AC304" s="3">
        <v>78.400000000000006</v>
      </c>
      <c r="AD304" s="3">
        <v>1039</v>
      </c>
      <c r="AE304" s="3">
        <v>-8.5299999999999994</v>
      </c>
      <c r="AF304" s="3">
        <v>-9.19</v>
      </c>
      <c r="AG304" s="3">
        <v>-4.8460000000000001</v>
      </c>
      <c r="AH304" s="3">
        <v>1.1180000000000001</v>
      </c>
      <c r="AI304" s="3">
        <v>2.6040000000000001</v>
      </c>
      <c r="AJ304" s="3">
        <v>3.41</v>
      </c>
      <c r="AK304" s="3">
        <v>3.5000000000000003E-2</v>
      </c>
      <c r="AL304" s="3">
        <v>7.5999999999999998E-2</v>
      </c>
      <c r="AM304" s="3">
        <v>7.6999999999999999E-2</v>
      </c>
      <c r="AN304" s="3">
        <v>6.3E-2</v>
      </c>
      <c r="AO304" s="3">
        <v>0.24099999999999999</v>
      </c>
      <c r="AP304" s="3">
        <v>0.35299999999999998</v>
      </c>
      <c r="AQ304" s="3">
        <v>0.11799999999999999</v>
      </c>
      <c r="AR304" s="3">
        <v>3.5999999999999997E-2</v>
      </c>
      <c r="AS304" s="3">
        <v>3545</v>
      </c>
      <c r="AT304" s="3">
        <v>3483</v>
      </c>
      <c r="AU304" s="3">
        <v>3511</v>
      </c>
      <c r="AV304" s="3">
        <v>-1.8380000000000001</v>
      </c>
      <c r="AW304" s="3">
        <v>-1.891</v>
      </c>
      <c r="AX304" s="3">
        <v>2.9289999999999998</v>
      </c>
      <c r="AY304" s="3">
        <v>3.2789999999999999</v>
      </c>
      <c r="AZ304" s="3">
        <v>-8.57</v>
      </c>
      <c r="BA304" s="3">
        <v>-8.8000000000000007</v>
      </c>
      <c r="BB304" s="3">
        <v>13.11</v>
      </c>
      <c r="BC304" s="3">
        <v>2876</v>
      </c>
      <c r="BD304" s="3"/>
      <c r="BE304" s="6"/>
      <c r="BG304" s="16">
        <v>9.7799999999999994</v>
      </c>
      <c r="BH304" s="16">
        <f t="shared" si="156"/>
        <v>19.755599999999998</v>
      </c>
      <c r="BI304" s="17">
        <f t="shared" si="154"/>
        <v>5.28</v>
      </c>
      <c r="BJ304" s="17">
        <f t="shared" si="155"/>
        <v>10.4</v>
      </c>
      <c r="BL304" s="1">
        <f t="shared" si="157"/>
        <v>100</v>
      </c>
      <c r="BM304" s="1">
        <f t="shared" si="158"/>
        <v>89.3</v>
      </c>
      <c r="BN304" s="1">
        <f t="shared" si="159"/>
        <v>62</v>
      </c>
      <c r="BO304" s="49">
        <f t="shared" si="165"/>
        <v>0.41899999999999998</v>
      </c>
      <c r="BP304" s="49">
        <f t="shared" si="166"/>
        <v>0.25700000000000001</v>
      </c>
      <c r="BR304" s="3">
        <v>0.2</v>
      </c>
      <c r="BT304" s="16">
        <f t="shared" si="160"/>
        <v>5.28</v>
      </c>
      <c r="BU304" s="16">
        <f t="shared" si="161"/>
        <v>10.4</v>
      </c>
      <c r="BV304" s="3">
        <f t="shared" si="162"/>
        <v>-1.6</v>
      </c>
      <c r="BW304" s="3">
        <f t="shared" si="189"/>
        <v>-1.7</v>
      </c>
      <c r="BX304" s="3">
        <f t="shared" si="189"/>
        <v>-1.8</v>
      </c>
      <c r="BY304" s="3">
        <f t="shared" si="189"/>
        <v>-0.6</v>
      </c>
      <c r="BZ304" s="3">
        <f t="shared" si="188"/>
        <v>1.4</v>
      </c>
      <c r="CA304" s="3">
        <f t="shared" si="188"/>
        <v>2.8</v>
      </c>
      <c r="CB304" s="3">
        <f t="shared" si="188"/>
        <v>3.6</v>
      </c>
      <c r="CC304" s="22">
        <f t="shared" si="163"/>
        <v>89.3</v>
      </c>
      <c r="CD304" s="1">
        <f t="shared" si="167"/>
        <v>1.4</v>
      </c>
      <c r="CE304" s="1">
        <f t="shared" si="168"/>
        <v>4.0999999999999996</v>
      </c>
      <c r="CF304" s="1">
        <f t="shared" si="169"/>
        <v>4.2</v>
      </c>
      <c r="CG304" s="1">
        <f t="shared" si="170"/>
        <v>1</v>
      </c>
      <c r="CH304" s="1">
        <f t="shared" si="171"/>
        <v>1.8</v>
      </c>
      <c r="CI304" s="1">
        <f t="shared" si="172"/>
        <v>3.1</v>
      </c>
      <c r="CJ304" s="1">
        <f t="shared" si="173"/>
        <v>3.9</v>
      </c>
      <c r="CK304" s="2">
        <f t="shared" si="164"/>
        <v>100</v>
      </c>
      <c r="CL304" s="1">
        <f t="shared" si="174"/>
        <v>-6.7</v>
      </c>
      <c r="CM304" s="1">
        <f t="shared" si="175"/>
        <v>-8.5</v>
      </c>
      <c r="CN304" s="1">
        <f t="shared" si="176"/>
        <v>-9.1999999999999993</v>
      </c>
      <c r="CO304" s="1">
        <f t="shared" si="177"/>
        <v>-4.8</v>
      </c>
      <c r="CP304" s="1">
        <f t="shared" si="178"/>
        <v>1.1000000000000001</v>
      </c>
      <c r="CQ304" s="1">
        <f t="shared" si="179"/>
        <v>2.6</v>
      </c>
      <c r="CR304" s="1">
        <f t="shared" si="180"/>
        <v>3.4</v>
      </c>
      <c r="CS304" s="2">
        <f t="shared" si="181"/>
        <v>62</v>
      </c>
      <c r="CT304" s="6">
        <f t="shared" si="182"/>
        <v>0</v>
      </c>
      <c r="CU304" s="1">
        <f>PPTest!K304</f>
        <v>1</v>
      </c>
      <c r="CV304" s="3">
        <f t="shared" si="183"/>
        <v>0.97</v>
      </c>
      <c r="CW304" s="3">
        <f t="shared" si="184"/>
        <v>3.31</v>
      </c>
      <c r="CX304" s="24">
        <f t="shared" si="185"/>
        <v>0.41899999999999998</v>
      </c>
      <c r="CY304" s="24">
        <f t="shared" si="185"/>
        <v>0.25700000000000001</v>
      </c>
      <c r="CZ304" s="16">
        <f t="shared" si="186"/>
        <v>13.11</v>
      </c>
    </row>
    <row r="305" spans="1:104" x14ac:dyDescent="0.2">
      <c r="A305" s="14">
        <f t="shared" si="187"/>
        <v>39016</v>
      </c>
      <c r="B305" s="1">
        <v>299</v>
      </c>
      <c r="C305" s="3">
        <v>1.105</v>
      </c>
      <c r="D305" s="3">
        <v>2.33</v>
      </c>
      <c r="E305" s="3">
        <v>2.2549999999999999</v>
      </c>
      <c r="F305" s="3">
        <v>101.9</v>
      </c>
      <c r="G305" s="3">
        <v>1.988</v>
      </c>
      <c r="H305" s="3">
        <v>1.9019999999999999</v>
      </c>
      <c r="I305" s="3">
        <v>1.5740000000000001</v>
      </c>
      <c r="J305" s="3">
        <v>1.7649999999999999</v>
      </c>
      <c r="K305" s="3">
        <v>2.6880000000000002</v>
      </c>
      <c r="L305" s="3">
        <v>3.524</v>
      </c>
      <c r="M305" s="3">
        <v>3.3490000000000002</v>
      </c>
      <c r="N305" s="3">
        <v>1</v>
      </c>
      <c r="O305" s="3">
        <v>3.121</v>
      </c>
      <c r="P305" s="3">
        <v>1230</v>
      </c>
      <c r="Q305" s="3">
        <v>109.8</v>
      </c>
      <c r="R305" s="3">
        <v>2136</v>
      </c>
      <c r="S305" s="3">
        <v>3.1970000000000001</v>
      </c>
      <c r="T305" s="3">
        <v>3.0840000000000001</v>
      </c>
      <c r="U305" s="3">
        <v>2.5430000000000001</v>
      </c>
      <c r="V305" s="3">
        <v>2.3410000000000002</v>
      </c>
      <c r="W305" s="3">
        <v>2.782</v>
      </c>
      <c r="X305" s="3">
        <v>3.5920000000000001</v>
      </c>
      <c r="Y305" s="3">
        <v>6.5380000000000003</v>
      </c>
      <c r="Z305" s="3">
        <v>1747</v>
      </c>
      <c r="AA305" s="3">
        <v>-0.30099999999999999</v>
      </c>
      <c r="AB305" s="3">
        <v>1</v>
      </c>
      <c r="AC305" s="3">
        <v>92.9</v>
      </c>
      <c r="AD305" s="3">
        <v>512</v>
      </c>
      <c r="AE305" s="3">
        <v>-0.70799999999999996</v>
      </c>
      <c r="AF305" s="3">
        <v>-0.81</v>
      </c>
      <c r="AG305" s="3">
        <v>-0.187</v>
      </c>
      <c r="AH305" s="3">
        <v>1.208</v>
      </c>
      <c r="AI305" s="3">
        <v>2.6349999999999998</v>
      </c>
      <c r="AJ305" s="3">
        <v>3.4369999999999998</v>
      </c>
      <c r="AK305" s="3">
        <v>1E-3</v>
      </c>
      <c r="AL305" s="3">
        <v>3.0000000000000001E-3</v>
      </c>
      <c r="AM305" s="3">
        <v>7.0000000000000001E-3</v>
      </c>
      <c r="AN305" s="3">
        <v>3.9E-2</v>
      </c>
      <c r="AO305" s="3">
        <v>0.31</v>
      </c>
      <c r="AP305" s="3">
        <v>0.49399999999999999</v>
      </c>
      <c r="AQ305" s="3">
        <v>0.13300000000000001</v>
      </c>
      <c r="AR305" s="3">
        <v>1.2999999999999999E-2</v>
      </c>
      <c r="AS305" s="3">
        <v>3505</v>
      </c>
      <c r="AT305" s="3">
        <v>1877</v>
      </c>
      <c r="AU305" s="3">
        <v>3250</v>
      </c>
      <c r="AV305" s="3">
        <v>1.5189999999999999</v>
      </c>
      <c r="AW305" s="3">
        <v>1.534</v>
      </c>
      <c r="AX305" s="3">
        <v>2.3919999999999999</v>
      </c>
      <c r="AY305" s="3">
        <v>2.34</v>
      </c>
      <c r="AZ305" s="3">
        <v>-1.456</v>
      </c>
      <c r="BA305" s="3">
        <v>-1.415</v>
      </c>
      <c r="BB305" s="3">
        <v>12.69</v>
      </c>
      <c r="BC305" s="3">
        <v>2876</v>
      </c>
      <c r="BD305" s="3"/>
      <c r="BE305" s="6"/>
      <c r="BG305" s="16">
        <v>9.59</v>
      </c>
      <c r="BH305" s="16">
        <f t="shared" si="156"/>
        <v>19.3718</v>
      </c>
      <c r="BI305" s="17">
        <f t="shared" ref="BI305:BI367" si="190">ROUND(C305*BI$2,2)</f>
        <v>1.08</v>
      </c>
      <c r="BJ305" s="17">
        <f t="shared" ref="BJ305:BJ367" si="191">ROUND(D305*BJ$2,2)</f>
        <v>2.56</v>
      </c>
      <c r="BL305" s="1">
        <f t="shared" si="157"/>
        <v>97.9</v>
      </c>
      <c r="BM305" s="1">
        <f t="shared" si="158"/>
        <v>85.3</v>
      </c>
      <c r="BN305" s="1">
        <f t="shared" si="159"/>
        <v>74.8</v>
      </c>
      <c r="BO305" s="49">
        <f t="shared" si="165"/>
        <v>0.57099999999999995</v>
      </c>
      <c r="BP305" s="49">
        <f t="shared" si="166"/>
        <v>0.192</v>
      </c>
      <c r="BR305" s="3">
        <v>4</v>
      </c>
      <c r="BT305" s="16">
        <f t="shared" si="160"/>
        <v>1.08</v>
      </c>
      <c r="BU305" s="16">
        <f t="shared" si="161"/>
        <v>2.56</v>
      </c>
      <c r="BV305" s="3">
        <f t="shared" si="162"/>
        <v>2.2999999999999998</v>
      </c>
      <c r="BW305" s="3">
        <f t="shared" si="189"/>
        <v>2</v>
      </c>
      <c r="BX305" s="3">
        <f t="shared" si="189"/>
        <v>1.9</v>
      </c>
      <c r="BY305" s="3">
        <f t="shared" si="189"/>
        <v>1.6</v>
      </c>
      <c r="BZ305" s="3">
        <f t="shared" si="188"/>
        <v>1.8</v>
      </c>
      <c r="CA305" s="3">
        <f t="shared" si="188"/>
        <v>2.7</v>
      </c>
      <c r="CB305" s="3">
        <f t="shared" si="188"/>
        <v>3.5</v>
      </c>
      <c r="CC305" s="22">
        <f t="shared" si="163"/>
        <v>85.3</v>
      </c>
      <c r="CD305" s="1">
        <f t="shared" si="167"/>
        <v>3.1</v>
      </c>
      <c r="CE305" s="1">
        <f t="shared" si="168"/>
        <v>3.2</v>
      </c>
      <c r="CF305" s="1">
        <f t="shared" si="169"/>
        <v>3.1</v>
      </c>
      <c r="CG305" s="1">
        <f t="shared" si="170"/>
        <v>2.5</v>
      </c>
      <c r="CH305" s="1">
        <f t="shared" si="171"/>
        <v>2.2999999999999998</v>
      </c>
      <c r="CI305" s="1">
        <f t="shared" si="172"/>
        <v>2.8</v>
      </c>
      <c r="CJ305" s="1">
        <f t="shared" si="173"/>
        <v>3.6</v>
      </c>
      <c r="CK305" s="2">
        <f t="shared" si="164"/>
        <v>97.9</v>
      </c>
      <c r="CL305" s="1">
        <f t="shared" si="174"/>
        <v>-0.3</v>
      </c>
      <c r="CM305" s="1">
        <f t="shared" si="175"/>
        <v>-0.7</v>
      </c>
      <c r="CN305" s="1">
        <f t="shared" si="176"/>
        <v>-0.8</v>
      </c>
      <c r="CO305" s="1">
        <f t="shared" si="177"/>
        <v>-0.2</v>
      </c>
      <c r="CP305" s="1">
        <f t="shared" si="178"/>
        <v>1.2</v>
      </c>
      <c r="CQ305" s="1">
        <f t="shared" si="179"/>
        <v>2.6</v>
      </c>
      <c r="CR305" s="1">
        <f t="shared" si="180"/>
        <v>3.4</v>
      </c>
      <c r="CS305" s="2">
        <f t="shared" si="181"/>
        <v>74.8</v>
      </c>
      <c r="CT305" s="6">
        <f t="shared" si="182"/>
        <v>0</v>
      </c>
      <c r="CU305" s="1">
        <f>PPTest!K305</f>
        <v>1</v>
      </c>
      <c r="CV305" s="3">
        <f t="shared" si="183"/>
        <v>3.35</v>
      </c>
      <c r="CW305" s="3">
        <f t="shared" si="184"/>
        <v>6.54</v>
      </c>
      <c r="CX305" s="24">
        <f t="shared" si="185"/>
        <v>0.57099999999999995</v>
      </c>
      <c r="CY305" s="24">
        <f t="shared" si="185"/>
        <v>0.192</v>
      </c>
      <c r="CZ305" s="16">
        <f t="shared" si="186"/>
        <v>12.69</v>
      </c>
    </row>
    <row r="306" spans="1:104" x14ac:dyDescent="0.2">
      <c r="A306" s="14">
        <f t="shared" si="187"/>
        <v>39017</v>
      </c>
      <c r="B306" s="1">
        <v>300</v>
      </c>
      <c r="C306" s="3">
        <v>4.6109999999999998</v>
      </c>
      <c r="D306" s="3">
        <v>8.77</v>
      </c>
      <c r="E306" s="3">
        <v>4.343</v>
      </c>
      <c r="F306" s="3">
        <v>100.7</v>
      </c>
      <c r="G306" s="3">
        <v>4.2329999999999997</v>
      </c>
      <c r="H306" s="3">
        <v>4.0949999999999998</v>
      </c>
      <c r="I306" s="3">
        <v>3.5640000000000001</v>
      </c>
      <c r="J306" s="3">
        <v>3.1389999999999998</v>
      </c>
      <c r="K306" s="3">
        <v>2.9359999999999999</v>
      </c>
      <c r="L306" s="3">
        <v>3.4060000000000001</v>
      </c>
      <c r="M306" s="3">
        <v>2.67</v>
      </c>
      <c r="N306" s="3">
        <v>2</v>
      </c>
      <c r="O306" s="3">
        <v>7.13</v>
      </c>
      <c r="P306" s="3">
        <v>1315</v>
      </c>
      <c r="Q306" s="3">
        <v>109.7</v>
      </c>
      <c r="R306" s="3">
        <v>20</v>
      </c>
      <c r="S306" s="3">
        <v>9.44</v>
      </c>
      <c r="T306" s="3">
        <v>9.36</v>
      </c>
      <c r="U306" s="3">
        <v>6.7329999999999997</v>
      </c>
      <c r="V306" s="3">
        <v>4.2169999999999996</v>
      </c>
      <c r="W306" s="3">
        <v>3.2050000000000001</v>
      </c>
      <c r="X306" s="3">
        <v>3.633</v>
      </c>
      <c r="Y306" s="3">
        <v>6.2859999999999996</v>
      </c>
      <c r="Z306" s="3">
        <v>1319</v>
      </c>
      <c r="AA306" s="3">
        <v>2.4239999999999999</v>
      </c>
      <c r="AB306" s="3">
        <v>20</v>
      </c>
      <c r="AC306" s="3">
        <v>88.7</v>
      </c>
      <c r="AD306" s="3">
        <v>1312</v>
      </c>
      <c r="AE306" s="3">
        <v>2.1949999999999998</v>
      </c>
      <c r="AF306" s="3">
        <v>1.792</v>
      </c>
      <c r="AG306" s="3">
        <v>1.75</v>
      </c>
      <c r="AH306" s="3">
        <v>2.2970000000000002</v>
      </c>
      <c r="AI306" s="3">
        <v>2.738</v>
      </c>
      <c r="AJ306" s="3">
        <v>3.198</v>
      </c>
      <c r="AK306" s="3">
        <v>2E-3</v>
      </c>
      <c r="AL306" s="3">
        <v>3.0000000000000001E-3</v>
      </c>
      <c r="AM306" s="3">
        <v>1.4999999999999999E-2</v>
      </c>
      <c r="AN306" s="3">
        <v>5.6000000000000001E-2</v>
      </c>
      <c r="AO306" s="3">
        <v>0.372</v>
      </c>
      <c r="AP306" s="3">
        <v>0.42199999999999999</v>
      </c>
      <c r="AQ306" s="3">
        <v>0.11700000000000001</v>
      </c>
      <c r="AR306" s="3">
        <v>1.4E-2</v>
      </c>
      <c r="AS306" s="3">
        <v>3513</v>
      </c>
      <c r="AT306" s="3">
        <v>3500</v>
      </c>
      <c r="AU306" s="3">
        <v>3510</v>
      </c>
      <c r="AV306" s="3">
        <v>3.8660000000000001</v>
      </c>
      <c r="AW306" s="3">
        <v>3.8050000000000002</v>
      </c>
      <c r="AX306" s="3">
        <v>7.74</v>
      </c>
      <c r="AY306" s="3">
        <v>8.15</v>
      </c>
      <c r="AZ306" s="3">
        <v>2.1429999999999998</v>
      </c>
      <c r="BA306" s="3">
        <v>2.06</v>
      </c>
      <c r="BB306" s="3">
        <v>13.04</v>
      </c>
      <c r="BC306" s="3">
        <v>2876</v>
      </c>
      <c r="BD306" s="3"/>
      <c r="BE306" s="6">
        <f>BE$2-AU306</f>
        <v>0</v>
      </c>
      <c r="BG306" s="16">
        <v>9.4</v>
      </c>
      <c r="BH306" s="16">
        <f t="shared" si="156"/>
        <v>18.988</v>
      </c>
      <c r="BI306" s="17">
        <f t="shared" si="190"/>
        <v>4.5199999999999996</v>
      </c>
      <c r="BJ306" s="17">
        <f t="shared" si="191"/>
        <v>9.65</v>
      </c>
      <c r="BL306" s="1">
        <f t="shared" si="157"/>
        <v>97.7</v>
      </c>
      <c r="BM306" s="1">
        <f t="shared" si="158"/>
        <v>83.4</v>
      </c>
      <c r="BN306" s="1">
        <f t="shared" si="159"/>
        <v>71.099999999999994</v>
      </c>
      <c r="BO306" s="49">
        <f t="shared" si="165"/>
        <v>0.71799999999999997</v>
      </c>
      <c r="BP306" s="49">
        <f t="shared" si="166"/>
        <v>0.29199999999999998</v>
      </c>
      <c r="BR306" s="3">
        <v>1.8</v>
      </c>
      <c r="BT306" s="16">
        <f t="shared" si="160"/>
        <v>4.5199999999999996</v>
      </c>
      <c r="BU306" s="16">
        <f t="shared" si="161"/>
        <v>9.65</v>
      </c>
      <c r="BV306" s="3">
        <f t="shared" si="162"/>
        <v>4.3</v>
      </c>
      <c r="BW306" s="3">
        <f t="shared" si="189"/>
        <v>4.2</v>
      </c>
      <c r="BX306" s="3">
        <f t="shared" si="189"/>
        <v>4.0999999999999996</v>
      </c>
      <c r="BY306" s="3">
        <f t="shared" si="189"/>
        <v>3.6</v>
      </c>
      <c r="BZ306" s="3">
        <f t="shared" si="188"/>
        <v>3.1</v>
      </c>
      <c r="CA306" s="3">
        <f t="shared" si="188"/>
        <v>2.9</v>
      </c>
      <c r="CB306" s="3">
        <f t="shared" si="188"/>
        <v>3.4</v>
      </c>
      <c r="CC306" s="22">
        <f t="shared" si="163"/>
        <v>83.4</v>
      </c>
      <c r="CD306" s="1">
        <f t="shared" si="167"/>
        <v>7.1</v>
      </c>
      <c r="CE306" s="1">
        <f t="shared" si="168"/>
        <v>9.4</v>
      </c>
      <c r="CF306" s="1">
        <f t="shared" si="169"/>
        <v>9.4</v>
      </c>
      <c r="CG306" s="1">
        <f t="shared" si="170"/>
        <v>6.7</v>
      </c>
      <c r="CH306" s="1">
        <f t="shared" si="171"/>
        <v>4.2</v>
      </c>
      <c r="CI306" s="1">
        <f t="shared" si="172"/>
        <v>3.2</v>
      </c>
      <c r="CJ306" s="1">
        <f t="shared" si="173"/>
        <v>3.6</v>
      </c>
      <c r="CK306" s="2">
        <f t="shared" si="164"/>
        <v>97.7</v>
      </c>
      <c r="CL306" s="1">
        <f t="shared" si="174"/>
        <v>2.4</v>
      </c>
      <c r="CM306" s="1">
        <f t="shared" si="175"/>
        <v>2.2000000000000002</v>
      </c>
      <c r="CN306" s="1">
        <f t="shared" si="176"/>
        <v>1.8</v>
      </c>
      <c r="CO306" s="1">
        <f t="shared" si="177"/>
        <v>1.8</v>
      </c>
      <c r="CP306" s="1">
        <f t="shared" si="178"/>
        <v>2.2999999999999998</v>
      </c>
      <c r="CQ306" s="1">
        <f t="shared" si="179"/>
        <v>2.7</v>
      </c>
      <c r="CR306" s="1">
        <f t="shared" si="180"/>
        <v>3.2</v>
      </c>
      <c r="CS306" s="2">
        <f t="shared" si="181"/>
        <v>71.099999999999994</v>
      </c>
      <c r="CT306" s="6">
        <f t="shared" si="182"/>
        <v>0</v>
      </c>
      <c r="CU306" s="1">
        <f>PPTest!K306</f>
        <v>2</v>
      </c>
      <c r="CV306" s="3">
        <f t="shared" si="183"/>
        <v>2.67</v>
      </c>
      <c r="CW306" s="3">
        <f t="shared" si="184"/>
        <v>6.29</v>
      </c>
      <c r="CX306" s="24">
        <f t="shared" si="185"/>
        <v>0.71799999999999997</v>
      </c>
      <c r="CY306" s="24">
        <f t="shared" si="185"/>
        <v>0.29199999999999998</v>
      </c>
      <c r="CZ306" s="16">
        <f t="shared" si="186"/>
        <v>13.04</v>
      </c>
    </row>
    <row r="307" spans="1:104" x14ac:dyDescent="0.2">
      <c r="A307" s="14">
        <f t="shared" si="187"/>
        <v>39018</v>
      </c>
      <c r="B307" s="1">
        <v>301</v>
      </c>
      <c r="C307" s="3">
        <v>3.65</v>
      </c>
      <c r="D307" s="3">
        <v>6.6630000000000003</v>
      </c>
      <c r="E307" s="3">
        <v>4.0529999999999999</v>
      </c>
      <c r="F307" s="3">
        <v>92.7</v>
      </c>
      <c r="G307" s="3">
        <v>3.8719999999999999</v>
      </c>
      <c r="H307" s="3">
        <v>3.8340000000000001</v>
      </c>
      <c r="I307" s="3">
        <v>3.04</v>
      </c>
      <c r="J307" s="3">
        <v>3.1739999999999999</v>
      </c>
      <c r="K307" s="3">
        <v>3.1680000000000001</v>
      </c>
      <c r="L307" s="3">
        <v>3.2919999999999998</v>
      </c>
      <c r="M307" s="3">
        <v>2.7429999999999999</v>
      </c>
      <c r="N307" s="3">
        <v>0</v>
      </c>
      <c r="O307" s="3">
        <v>4.9889999999999999</v>
      </c>
      <c r="P307" s="3">
        <v>1200</v>
      </c>
      <c r="Q307" s="3">
        <v>109.3</v>
      </c>
      <c r="R307" s="3">
        <v>0</v>
      </c>
      <c r="S307" s="3">
        <v>5.6390000000000002</v>
      </c>
      <c r="T307" s="3">
        <v>5.7530000000000001</v>
      </c>
      <c r="U307" s="3">
        <v>4.8869999999999996</v>
      </c>
      <c r="V307" s="3">
        <v>3.7229999999999999</v>
      </c>
      <c r="W307" s="3">
        <v>3.25</v>
      </c>
      <c r="X307" s="3">
        <v>3.3769999999999998</v>
      </c>
      <c r="Y307" s="3">
        <v>5.9130000000000003</v>
      </c>
      <c r="Z307" s="3">
        <v>2331</v>
      </c>
      <c r="AA307" s="3">
        <v>1.448</v>
      </c>
      <c r="AB307" s="3">
        <v>0</v>
      </c>
      <c r="AC307" s="3">
        <v>85.4</v>
      </c>
      <c r="AD307" s="3">
        <v>1707</v>
      </c>
      <c r="AE307" s="3">
        <v>1.048</v>
      </c>
      <c r="AF307" s="3">
        <v>0.377</v>
      </c>
      <c r="AG307" s="3">
        <v>1.887</v>
      </c>
      <c r="AH307" s="3">
        <v>2.8679999999999999</v>
      </c>
      <c r="AI307" s="3">
        <v>3.0680000000000001</v>
      </c>
      <c r="AJ307" s="3">
        <v>3.218</v>
      </c>
      <c r="AK307" s="3">
        <v>5.0000000000000001E-3</v>
      </c>
      <c r="AL307" s="3">
        <v>6.0000000000000001E-3</v>
      </c>
      <c r="AM307" s="3">
        <v>1.6E-2</v>
      </c>
      <c r="AN307" s="3">
        <v>6.7000000000000004E-2</v>
      </c>
      <c r="AO307" s="3">
        <v>0.39100000000000001</v>
      </c>
      <c r="AP307" s="3">
        <v>0.40799999999999997</v>
      </c>
      <c r="AQ307" s="3">
        <v>0.09</v>
      </c>
      <c r="AR307" s="3">
        <v>1.7999999999999999E-2</v>
      </c>
      <c r="AS307" s="3">
        <v>3509</v>
      </c>
      <c r="AT307" s="3">
        <v>2943</v>
      </c>
      <c r="AU307" s="3">
        <v>3450</v>
      </c>
      <c r="AV307" s="3">
        <v>3.629</v>
      </c>
      <c r="AW307" s="3">
        <v>3.5270000000000001</v>
      </c>
      <c r="AX307" s="3">
        <v>5.3789999999999996</v>
      </c>
      <c r="AY307" s="3">
        <v>5.2880000000000003</v>
      </c>
      <c r="AZ307" s="3">
        <v>2.3290000000000002</v>
      </c>
      <c r="BA307" s="3">
        <v>1.921</v>
      </c>
      <c r="BB307" s="3">
        <v>12.97</v>
      </c>
      <c r="BC307" s="3">
        <v>2876</v>
      </c>
      <c r="BD307" s="3"/>
      <c r="BE307" s="6">
        <f>BE$2-AU307</f>
        <v>60</v>
      </c>
      <c r="BG307" s="16">
        <v>9.2200000000000006</v>
      </c>
      <c r="BH307" s="16">
        <f t="shared" si="156"/>
        <v>18.624400000000001</v>
      </c>
      <c r="BI307" s="17">
        <f t="shared" si="190"/>
        <v>3.58</v>
      </c>
      <c r="BJ307" s="17">
        <f t="shared" si="191"/>
        <v>7.33</v>
      </c>
      <c r="BL307" s="1">
        <f t="shared" si="157"/>
        <v>97.1</v>
      </c>
      <c r="BM307" s="1">
        <f t="shared" si="158"/>
        <v>74.599999999999994</v>
      </c>
      <c r="BN307" s="1">
        <f t="shared" si="159"/>
        <v>68.2</v>
      </c>
      <c r="BO307" s="49">
        <f t="shared" si="165"/>
        <v>0.59399999999999997</v>
      </c>
      <c r="BP307" s="49">
        <f t="shared" si="166"/>
        <v>0.27700000000000002</v>
      </c>
      <c r="BR307" s="3">
        <v>0.8</v>
      </c>
      <c r="BT307" s="16">
        <f t="shared" si="160"/>
        <v>3.58</v>
      </c>
      <c r="BU307" s="16">
        <f t="shared" si="161"/>
        <v>7.33</v>
      </c>
      <c r="BV307" s="3">
        <f t="shared" si="162"/>
        <v>4.0999999999999996</v>
      </c>
      <c r="BW307" s="3">
        <f t="shared" si="189"/>
        <v>3.9</v>
      </c>
      <c r="BX307" s="3">
        <f t="shared" si="189"/>
        <v>3.8</v>
      </c>
      <c r="BY307" s="3">
        <f t="shared" si="189"/>
        <v>3</v>
      </c>
      <c r="BZ307" s="3">
        <f t="shared" si="188"/>
        <v>3.2</v>
      </c>
      <c r="CA307" s="3">
        <f t="shared" si="188"/>
        <v>3.2</v>
      </c>
      <c r="CB307" s="3">
        <f t="shared" si="188"/>
        <v>3.3</v>
      </c>
      <c r="CC307" s="22">
        <f t="shared" si="163"/>
        <v>74.599999999999994</v>
      </c>
      <c r="CD307" s="1">
        <f t="shared" si="167"/>
        <v>5</v>
      </c>
      <c r="CE307" s="1">
        <f t="shared" si="168"/>
        <v>5.6</v>
      </c>
      <c r="CF307" s="1">
        <f t="shared" si="169"/>
        <v>5.8</v>
      </c>
      <c r="CG307" s="1">
        <f t="shared" si="170"/>
        <v>4.9000000000000004</v>
      </c>
      <c r="CH307" s="1">
        <f t="shared" si="171"/>
        <v>3.7</v>
      </c>
      <c r="CI307" s="1">
        <f t="shared" si="172"/>
        <v>3.3</v>
      </c>
      <c r="CJ307" s="1">
        <f t="shared" si="173"/>
        <v>3.4</v>
      </c>
      <c r="CK307" s="2">
        <f t="shared" si="164"/>
        <v>97.1</v>
      </c>
      <c r="CL307" s="1">
        <f t="shared" si="174"/>
        <v>1.4</v>
      </c>
      <c r="CM307" s="1">
        <f t="shared" si="175"/>
        <v>1</v>
      </c>
      <c r="CN307" s="1">
        <f t="shared" si="176"/>
        <v>0.4</v>
      </c>
      <c r="CO307" s="1">
        <f t="shared" si="177"/>
        <v>1.9</v>
      </c>
      <c r="CP307" s="1">
        <f t="shared" si="178"/>
        <v>2.9</v>
      </c>
      <c r="CQ307" s="1">
        <f t="shared" si="179"/>
        <v>3.1</v>
      </c>
      <c r="CR307" s="1">
        <f t="shared" si="180"/>
        <v>3.2</v>
      </c>
      <c r="CS307" s="2">
        <f t="shared" si="181"/>
        <v>68.2</v>
      </c>
      <c r="CT307" s="6">
        <f t="shared" si="182"/>
        <v>60</v>
      </c>
      <c r="CU307" s="1">
        <f>PPTest!K307</f>
        <v>7.8</v>
      </c>
      <c r="CV307" s="3">
        <f t="shared" si="183"/>
        <v>2.74</v>
      </c>
      <c r="CW307" s="3">
        <f t="shared" si="184"/>
        <v>5.91</v>
      </c>
      <c r="CX307" s="24">
        <f t="shared" si="185"/>
        <v>0.59399999999999997</v>
      </c>
      <c r="CY307" s="24">
        <f t="shared" si="185"/>
        <v>0.27700000000000002</v>
      </c>
      <c r="CZ307" s="16">
        <f t="shared" si="186"/>
        <v>12.97</v>
      </c>
    </row>
    <row r="308" spans="1:104" x14ac:dyDescent="0.2">
      <c r="A308" s="14">
        <f t="shared" si="187"/>
        <v>39019</v>
      </c>
      <c r="B308" s="1">
        <v>302</v>
      </c>
      <c r="C308" s="3">
        <v>0.69099999999999995</v>
      </c>
      <c r="D308" s="3">
        <v>1.2749999999999999</v>
      </c>
      <c r="E308" s="3">
        <v>-6.0019999999999998</v>
      </c>
      <c r="F308" s="3">
        <v>109.6</v>
      </c>
      <c r="G308" s="3">
        <v>-6.1360000000000001</v>
      </c>
      <c r="H308" s="3">
        <v>-6.05</v>
      </c>
      <c r="I308" s="3">
        <v>0.82699999999999996</v>
      </c>
      <c r="J308" s="3">
        <v>1.65</v>
      </c>
      <c r="K308" s="3">
        <v>2.923</v>
      </c>
      <c r="L308" s="3">
        <v>3.1789999999999998</v>
      </c>
      <c r="M308" s="3">
        <v>1.9379999999999999</v>
      </c>
      <c r="N308" s="3">
        <v>0</v>
      </c>
      <c r="O308" s="3">
        <v>1.393</v>
      </c>
      <c r="P308" s="3">
        <v>1</v>
      </c>
      <c r="Q308" s="3">
        <v>111.1</v>
      </c>
      <c r="R308" s="3">
        <v>638</v>
      </c>
      <c r="S308" s="3">
        <v>1.0229999999999999</v>
      </c>
      <c r="T308" s="3">
        <v>0.93200000000000005</v>
      </c>
      <c r="U308" s="3">
        <v>1.9259999999999999</v>
      </c>
      <c r="V308" s="3">
        <v>2.875</v>
      </c>
      <c r="W308" s="3">
        <v>3.19</v>
      </c>
      <c r="X308" s="3">
        <v>3.2480000000000002</v>
      </c>
      <c r="Y308" s="3">
        <v>4.1980000000000004</v>
      </c>
      <c r="Z308" s="3">
        <v>339</v>
      </c>
      <c r="AA308" s="3">
        <v>-11.17</v>
      </c>
      <c r="AB308" s="3">
        <v>0</v>
      </c>
      <c r="AC308" s="3">
        <v>105.9</v>
      </c>
      <c r="AD308" s="3">
        <v>2351</v>
      </c>
      <c r="AE308" s="3">
        <v>-11.59</v>
      </c>
      <c r="AF308" s="3">
        <v>-11.4</v>
      </c>
      <c r="AG308" s="3">
        <v>-5.5E-2</v>
      </c>
      <c r="AH308" s="3">
        <v>0.99</v>
      </c>
      <c r="AI308" s="3">
        <v>2.6040000000000001</v>
      </c>
      <c r="AJ308" s="3">
        <v>3.1080000000000001</v>
      </c>
      <c r="AK308" s="3">
        <v>1.7000000000000001E-2</v>
      </c>
      <c r="AL308" s="3">
        <v>2.3E-2</v>
      </c>
      <c r="AM308" s="3">
        <v>3.1E-2</v>
      </c>
      <c r="AN308" s="3">
        <v>0.05</v>
      </c>
      <c r="AO308" s="3">
        <v>0.27400000000000002</v>
      </c>
      <c r="AP308" s="3">
        <v>0.42199999999999999</v>
      </c>
      <c r="AQ308" s="3">
        <v>0.158</v>
      </c>
      <c r="AR308" s="3">
        <v>2.5999999999999999E-2</v>
      </c>
      <c r="AS308" s="3">
        <v>3404</v>
      </c>
      <c r="AT308" s="3">
        <v>3385</v>
      </c>
      <c r="AU308" s="3">
        <v>3395</v>
      </c>
      <c r="AV308" s="3">
        <v>-4.9589999999999996</v>
      </c>
      <c r="AW308" s="3">
        <v>-5.2430000000000003</v>
      </c>
      <c r="AX308" s="3">
        <v>2.3079999999999998</v>
      </c>
      <c r="AY308" s="3">
        <v>1.903</v>
      </c>
      <c r="AZ308" s="3">
        <v>-10.4</v>
      </c>
      <c r="BA308" s="3">
        <v>-10.8</v>
      </c>
      <c r="BB308" s="3">
        <v>12.59</v>
      </c>
      <c r="BC308" s="3">
        <v>2876</v>
      </c>
      <c r="BD308" s="3"/>
      <c r="BE308" s="6">
        <f>BE$2-AU308</f>
        <v>115</v>
      </c>
      <c r="BG308" s="16">
        <v>9.0399999999999991</v>
      </c>
      <c r="BH308" s="16">
        <f t="shared" si="156"/>
        <v>18.2608</v>
      </c>
      <c r="BI308" s="17">
        <f t="shared" si="190"/>
        <v>0.68</v>
      </c>
      <c r="BJ308" s="17">
        <f t="shared" si="191"/>
        <v>1.4</v>
      </c>
      <c r="BL308" s="1">
        <f t="shared" si="157"/>
        <v>100</v>
      </c>
      <c r="BM308" s="1">
        <f t="shared" si="158"/>
        <v>97.6</v>
      </c>
      <c r="BN308" s="1">
        <f t="shared" si="159"/>
        <v>91.7</v>
      </c>
      <c r="BO308" s="49">
        <f t="shared" si="165"/>
        <v>0.61899999999999999</v>
      </c>
      <c r="BP308" s="49">
        <f t="shared" si="166"/>
        <v>5.6000000000000001E-2</v>
      </c>
      <c r="BR308" s="3">
        <v>1.4</v>
      </c>
      <c r="BT308" s="16">
        <f t="shared" si="160"/>
        <v>0.68</v>
      </c>
      <c r="BU308" s="16">
        <f t="shared" si="161"/>
        <v>1.4</v>
      </c>
      <c r="BV308" s="3">
        <f t="shared" si="162"/>
        <v>-6</v>
      </c>
      <c r="BW308" s="3">
        <f t="shared" si="189"/>
        <v>-6.1</v>
      </c>
      <c r="BX308" s="3">
        <f t="shared" si="189"/>
        <v>-6.1</v>
      </c>
      <c r="BY308" s="3">
        <f t="shared" si="189"/>
        <v>0.8</v>
      </c>
      <c r="BZ308" s="3">
        <f t="shared" si="188"/>
        <v>1.7</v>
      </c>
      <c r="CA308" s="3">
        <f t="shared" si="188"/>
        <v>2.9</v>
      </c>
      <c r="CB308" s="3">
        <f t="shared" si="188"/>
        <v>3.2</v>
      </c>
      <c r="CC308" s="22">
        <f t="shared" si="163"/>
        <v>97.6</v>
      </c>
      <c r="CD308" s="1">
        <f t="shared" si="167"/>
        <v>1.4</v>
      </c>
      <c r="CE308" s="1">
        <f t="shared" si="168"/>
        <v>1</v>
      </c>
      <c r="CF308" s="1">
        <f t="shared" si="169"/>
        <v>0.9</v>
      </c>
      <c r="CG308" s="1">
        <f t="shared" si="170"/>
        <v>1.9</v>
      </c>
      <c r="CH308" s="1">
        <f t="shared" si="171"/>
        <v>2.9</v>
      </c>
      <c r="CI308" s="1">
        <f t="shared" si="172"/>
        <v>3.2</v>
      </c>
      <c r="CJ308" s="1">
        <f t="shared" si="173"/>
        <v>3.2</v>
      </c>
      <c r="CK308" s="2">
        <f t="shared" si="164"/>
        <v>100</v>
      </c>
      <c r="CL308" s="1">
        <f t="shared" si="174"/>
        <v>-11.2</v>
      </c>
      <c r="CM308" s="1">
        <f t="shared" si="175"/>
        <v>-11.6</v>
      </c>
      <c r="CN308" s="1">
        <f t="shared" si="176"/>
        <v>-11.4</v>
      </c>
      <c r="CO308" s="1">
        <f t="shared" si="177"/>
        <v>-0.1</v>
      </c>
      <c r="CP308" s="1">
        <f t="shared" si="178"/>
        <v>1</v>
      </c>
      <c r="CQ308" s="1">
        <f t="shared" si="179"/>
        <v>2.6</v>
      </c>
      <c r="CR308" s="1">
        <f t="shared" si="180"/>
        <v>3.1</v>
      </c>
      <c r="CS308" s="2">
        <f t="shared" si="181"/>
        <v>91.7</v>
      </c>
      <c r="CT308" s="6">
        <f t="shared" si="182"/>
        <v>115</v>
      </c>
      <c r="CU308" s="1">
        <f>PPTest!K308</f>
        <v>7.2</v>
      </c>
      <c r="CV308" s="3">
        <f t="shared" si="183"/>
        <v>1.94</v>
      </c>
      <c r="CW308" s="3">
        <f t="shared" si="184"/>
        <v>4.2</v>
      </c>
      <c r="CX308" s="24">
        <f t="shared" si="185"/>
        <v>0.61899999999999999</v>
      </c>
      <c r="CY308" s="24">
        <f t="shared" si="185"/>
        <v>5.6000000000000001E-2</v>
      </c>
      <c r="CZ308" s="16">
        <f t="shared" si="186"/>
        <v>12.59</v>
      </c>
    </row>
    <row r="309" spans="1:104" x14ac:dyDescent="0.2">
      <c r="A309" s="14">
        <f t="shared" si="187"/>
        <v>39020</v>
      </c>
      <c r="B309" s="1">
        <v>303</v>
      </c>
      <c r="C309" s="3">
        <v>3.5760000000000001</v>
      </c>
      <c r="D309" s="3">
        <v>5.327</v>
      </c>
      <c r="E309" s="3">
        <v>-12.43</v>
      </c>
      <c r="F309" s="3">
        <v>104.9</v>
      </c>
      <c r="G309" s="3">
        <v>-13.06</v>
      </c>
      <c r="H309" s="3">
        <v>-13.12</v>
      </c>
      <c r="I309" s="3">
        <v>-1.0009999999999999</v>
      </c>
      <c r="J309" s="3">
        <v>0.56299999999999994</v>
      </c>
      <c r="K309" s="3">
        <v>2.319</v>
      </c>
      <c r="L309" s="3">
        <v>3.09</v>
      </c>
      <c r="M309" s="3">
        <v>0.93799999999999994</v>
      </c>
      <c r="N309" s="3">
        <v>0</v>
      </c>
      <c r="O309" s="3">
        <v>-7.38</v>
      </c>
      <c r="P309" s="3">
        <v>1427</v>
      </c>
      <c r="Q309" s="3">
        <v>107.5</v>
      </c>
      <c r="R309" s="3">
        <v>1740</v>
      </c>
      <c r="S309" s="3">
        <v>-5.7329999999999997</v>
      </c>
      <c r="T309" s="3">
        <v>-5.6</v>
      </c>
      <c r="U309" s="3">
        <v>0.193</v>
      </c>
      <c r="V309" s="3">
        <v>1.111</v>
      </c>
      <c r="W309" s="3">
        <v>2.82</v>
      </c>
      <c r="X309" s="3">
        <v>3.5259999999999998</v>
      </c>
      <c r="Y309" s="3">
        <v>2.681</v>
      </c>
      <c r="Z309" s="3">
        <v>1220</v>
      </c>
      <c r="AA309" s="3">
        <v>-18.079999999999998</v>
      </c>
      <c r="AB309" s="3">
        <v>617</v>
      </c>
      <c r="AC309" s="3">
        <v>96.1</v>
      </c>
      <c r="AD309" s="3">
        <v>1534</v>
      </c>
      <c r="AE309" s="3">
        <v>-19.510000000000002</v>
      </c>
      <c r="AF309" s="3">
        <v>-20.11</v>
      </c>
      <c r="AG309" s="3">
        <v>-1.8029999999999999</v>
      </c>
      <c r="AH309" s="3">
        <v>0.16500000000000001</v>
      </c>
      <c r="AI309" s="3">
        <v>1.958</v>
      </c>
      <c r="AJ309" s="3">
        <v>2.8559999999999999</v>
      </c>
      <c r="AK309" s="3">
        <v>6.2E-2</v>
      </c>
      <c r="AL309" s="3">
        <v>0.22800000000000001</v>
      </c>
      <c r="AM309" s="3">
        <v>0.19800000000000001</v>
      </c>
      <c r="AN309" s="3">
        <v>6.3E-2</v>
      </c>
      <c r="AO309" s="3">
        <v>0.14599999999999999</v>
      </c>
      <c r="AP309" s="3">
        <v>0.13700000000000001</v>
      </c>
      <c r="AQ309" s="3">
        <v>8.5000000000000006E-2</v>
      </c>
      <c r="AR309" s="3">
        <v>8.1000000000000003E-2</v>
      </c>
      <c r="AS309" s="3">
        <v>6999</v>
      </c>
      <c r="AT309" s="3">
        <v>6888</v>
      </c>
      <c r="AU309" s="3">
        <v>6999</v>
      </c>
      <c r="AV309" s="3">
        <v>-12.9</v>
      </c>
      <c r="AW309" s="3">
        <v>-13.04</v>
      </c>
      <c r="AX309" s="3">
        <v>-6.7839999999999998</v>
      </c>
      <c r="AY309" s="3">
        <v>-6.4779999999999998</v>
      </c>
      <c r="AZ309" s="3">
        <v>-19.690000000000001</v>
      </c>
      <c r="BA309" s="3">
        <v>-20.010000000000002</v>
      </c>
      <c r="BB309" s="3">
        <v>13.24</v>
      </c>
      <c r="BC309" s="3">
        <v>2876</v>
      </c>
      <c r="BD309" s="3"/>
      <c r="BE309" s="18">
        <v>90</v>
      </c>
      <c r="BG309" s="16">
        <v>8.86</v>
      </c>
      <c r="BH309" s="16">
        <f t="shared" si="156"/>
        <v>17.897199999999998</v>
      </c>
      <c r="BI309" s="17">
        <f t="shared" si="190"/>
        <v>3.5</v>
      </c>
      <c r="BJ309" s="17">
        <f t="shared" si="191"/>
        <v>5.86</v>
      </c>
      <c r="BL309" s="1">
        <f t="shared" si="157"/>
        <v>94.2</v>
      </c>
      <c r="BM309" s="1">
        <f t="shared" si="158"/>
        <v>90.1</v>
      </c>
      <c r="BN309" s="1">
        <f t="shared" si="159"/>
        <v>77.599999999999994</v>
      </c>
      <c r="BO309" s="49">
        <f t="shared" si="165"/>
        <v>0.27200000000000002</v>
      </c>
      <c r="BP309" s="49">
        <f t="shared" si="166"/>
        <v>7.9000000000000001E-2</v>
      </c>
      <c r="BR309" s="3">
        <v>3.2</v>
      </c>
      <c r="BT309" s="16">
        <f t="shared" si="160"/>
        <v>3.5</v>
      </c>
      <c r="BU309" s="16">
        <f t="shared" si="161"/>
        <v>5.86</v>
      </c>
      <c r="BV309" s="3">
        <f t="shared" si="162"/>
        <v>-12.4</v>
      </c>
      <c r="BW309" s="3">
        <f t="shared" si="189"/>
        <v>-13.1</v>
      </c>
      <c r="BX309" s="3">
        <f t="shared" si="189"/>
        <v>-13.1</v>
      </c>
      <c r="BY309" s="3">
        <f t="shared" si="189"/>
        <v>-1</v>
      </c>
      <c r="BZ309" s="3">
        <f t="shared" si="188"/>
        <v>0.6</v>
      </c>
      <c r="CA309" s="3">
        <f t="shared" si="188"/>
        <v>2.2999999999999998</v>
      </c>
      <c r="CB309" s="3">
        <f t="shared" si="188"/>
        <v>3.1</v>
      </c>
      <c r="CC309" s="22">
        <f t="shared" si="163"/>
        <v>90.1</v>
      </c>
      <c r="CD309" s="1">
        <f t="shared" si="167"/>
        <v>-7.4</v>
      </c>
      <c r="CE309" s="1">
        <f t="shared" si="168"/>
        <v>-5.7</v>
      </c>
      <c r="CF309" s="1">
        <f t="shared" si="169"/>
        <v>-5.6</v>
      </c>
      <c r="CG309" s="1">
        <f t="shared" si="170"/>
        <v>0.2</v>
      </c>
      <c r="CH309" s="1">
        <f t="shared" si="171"/>
        <v>1.1000000000000001</v>
      </c>
      <c r="CI309" s="1">
        <f t="shared" si="172"/>
        <v>2.8</v>
      </c>
      <c r="CJ309" s="1">
        <f t="shared" si="173"/>
        <v>3.5</v>
      </c>
      <c r="CK309" s="2">
        <f t="shared" si="164"/>
        <v>94.2</v>
      </c>
      <c r="CL309" s="1">
        <f t="shared" si="174"/>
        <v>-18.100000000000001</v>
      </c>
      <c r="CM309" s="1">
        <f t="shared" si="175"/>
        <v>-19.5</v>
      </c>
      <c r="CN309" s="1">
        <f t="shared" si="176"/>
        <v>-20.100000000000001</v>
      </c>
      <c r="CO309" s="1">
        <f t="shared" si="177"/>
        <v>-1.8</v>
      </c>
      <c r="CP309" s="1">
        <f t="shared" si="178"/>
        <v>0.2</v>
      </c>
      <c r="CQ309" s="1">
        <f t="shared" si="179"/>
        <v>2</v>
      </c>
      <c r="CR309" s="1">
        <f t="shared" si="180"/>
        <v>2.9</v>
      </c>
      <c r="CS309" s="2">
        <f t="shared" si="181"/>
        <v>77.599999999999994</v>
      </c>
      <c r="CT309" s="6">
        <f t="shared" si="182"/>
        <v>90</v>
      </c>
      <c r="CU309" s="1">
        <f>PPTest!K309</f>
        <v>0</v>
      </c>
      <c r="CV309" s="3">
        <f t="shared" si="183"/>
        <v>0.94</v>
      </c>
      <c r="CW309" s="3">
        <f t="shared" si="184"/>
        <v>2.68</v>
      </c>
      <c r="CX309" s="24">
        <f t="shared" si="185"/>
        <v>0.27200000000000002</v>
      </c>
      <c r="CY309" s="24">
        <f t="shared" si="185"/>
        <v>7.9000000000000001E-2</v>
      </c>
      <c r="CZ309" s="16">
        <f t="shared" si="186"/>
        <v>13.24</v>
      </c>
    </row>
    <row r="310" spans="1:104" x14ac:dyDescent="0.2">
      <c r="A310" s="14">
        <f t="shared" si="187"/>
        <v>39021</v>
      </c>
      <c r="B310" s="1">
        <v>304</v>
      </c>
      <c r="C310" s="3">
        <v>3.3210000000000002</v>
      </c>
      <c r="D310" s="3">
        <v>4.9930000000000003</v>
      </c>
      <c r="E310" s="3">
        <v>-11.72</v>
      </c>
      <c r="F310" s="3">
        <v>103.3</v>
      </c>
      <c r="G310" s="3">
        <v>-11.96</v>
      </c>
      <c r="H310" s="3">
        <v>-11.99</v>
      </c>
      <c r="I310" s="3">
        <v>-1.536</v>
      </c>
      <c r="J310" s="3">
        <v>-6.8000000000000005E-2</v>
      </c>
      <c r="K310" s="3">
        <v>1.8380000000000001</v>
      </c>
      <c r="L310" s="3">
        <v>2.9710000000000001</v>
      </c>
      <c r="M310" s="3">
        <v>1.139</v>
      </c>
      <c r="N310" s="3">
        <v>0</v>
      </c>
      <c r="O310" s="3">
        <v>-7.32</v>
      </c>
      <c r="P310" s="3">
        <v>1359</v>
      </c>
      <c r="Q310" s="3">
        <v>107.6</v>
      </c>
      <c r="R310" s="3">
        <v>128</v>
      </c>
      <c r="S310" s="3">
        <v>-5.351</v>
      </c>
      <c r="T310" s="3">
        <v>-5.3220000000000001</v>
      </c>
      <c r="U310" s="3">
        <v>-0.59599999999999997</v>
      </c>
      <c r="V310" s="3">
        <v>0.31</v>
      </c>
      <c r="W310" s="3">
        <v>2.1669999999999998</v>
      </c>
      <c r="X310" s="3">
        <v>3.2210000000000001</v>
      </c>
      <c r="Y310" s="3">
        <v>2.681</v>
      </c>
      <c r="Z310" s="3">
        <v>1135</v>
      </c>
      <c r="AA310" s="3">
        <v>-17.7</v>
      </c>
      <c r="AB310" s="3">
        <v>2359</v>
      </c>
      <c r="AC310" s="3">
        <v>83.9</v>
      </c>
      <c r="AD310" s="3">
        <v>1401</v>
      </c>
      <c r="AE310" s="3">
        <v>-18.489999999999998</v>
      </c>
      <c r="AF310" s="3">
        <v>-18.600000000000001</v>
      </c>
      <c r="AG310" s="3">
        <v>-3.714</v>
      </c>
      <c r="AH310" s="3">
        <v>-0.41699999999999998</v>
      </c>
      <c r="AI310" s="3">
        <v>1.5089999999999999</v>
      </c>
      <c r="AJ310" s="3">
        <v>2.7210000000000001</v>
      </c>
      <c r="AK310" s="3">
        <v>6.5000000000000002E-2</v>
      </c>
      <c r="AL310" s="3">
        <v>0.189</v>
      </c>
      <c r="AM310" s="3">
        <v>0.20100000000000001</v>
      </c>
      <c r="AN310" s="3">
        <v>0.03</v>
      </c>
      <c r="AO310" s="3">
        <v>0.14899999999999999</v>
      </c>
      <c r="AP310" s="3">
        <v>0.22800000000000001</v>
      </c>
      <c r="AQ310" s="3">
        <v>9.1999999999999998E-2</v>
      </c>
      <c r="AR310" s="3">
        <v>4.5999999999999999E-2</v>
      </c>
      <c r="AS310" s="3">
        <v>3424</v>
      </c>
      <c r="AT310" s="3">
        <v>3419</v>
      </c>
      <c r="AU310" s="3">
        <v>3422</v>
      </c>
      <c r="AV310" s="3">
        <v>-11.35</v>
      </c>
      <c r="AW310" s="3">
        <v>-11.49</v>
      </c>
      <c r="AX310" s="3">
        <v>-5.8179999999999996</v>
      </c>
      <c r="AY310" s="3">
        <v>-5.5179999999999998</v>
      </c>
      <c r="AZ310" s="3">
        <v>-18.22</v>
      </c>
      <c r="BA310" s="3">
        <v>-18.579999999999998</v>
      </c>
      <c r="BB310" s="3">
        <v>13.27</v>
      </c>
      <c r="BC310" s="3">
        <v>2876</v>
      </c>
      <c r="BD310" s="3"/>
      <c r="BE310" s="6">
        <f>BE$2-AU310</f>
        <v>88</v>
      </c>
      <c r="BG310" s="16">
        <v>8.68</v>
      </c>
      <c r="BH310" s="16">
        <f t="shared" si="156"/>
        <v>17.5336</v>
      </c>
      <c r="BI310" s="17">
        <f t="shared" si="190"/>
        <v>3.25</v>
      </c>
      <c r="BJ310" s="17">
        <f t="shared" si="191"/>
        <v>5.49</v>
      </c>
      <c r="BL310" s="1">
        <f t="shared" si="157"/>
        <v>94.4</v>
      </c>
      <c r="BM310" s="1">
        <f t="shared" si="158"/>
        <v>87.5</v>
      </c>
      <c r="BN310" s="1">
        <f t="shared" si="159"/>
        <v>66.8</v>
      </c>
      <c r="BO310" s="49">
        <f t="shared" si="165"/>
        <v>0.23499999999999999</v>
      </c>
      <c r="BP310" s="49">
        <f t="shared" si="166"/>
        <v>0.11700000000000001</v>
      </c>
      <c r="BR310" s="3">
        <v>0.2</v>
      </c>
      <c r="BT310" s="16">
        <f t="shared" si="160"/>
        <v>3.25</v>
      </c>
      <c r="BU310" s="16">
        <f t="shared" si="161"/>
        <v>5.49</v>
      </c>
      <c r="BV310" s="3">
        <f t="shared" si="162"/>
        <v>-11.7</v>
      </c>
      <c r="BW310" s="3">
        <f t="shared" si="189"/>
        <v>-12</v>
      </c>
      <c r="BX310" s="3">
        <f t="shared" si="189"/>
        <v>-12</v>
      </c>
      <c r="BY310" s="3">
        <f t="shared" si="189"/>
        <v>-1.5</v>
      </c>
      <c r="BZ310" s="3">
        <f t="shared" si="188"/>
        <v>-0.1</v>
      </c>
      <c r="CA310" s="3">
        <f t="shared" si="188"/>
        <v>1.8</v>
      </c>
      <c r="CB310" s="3">
        <f t="shared" si="188"/>
        <v>3</v>
      </c>
      <c r="CC310" s="22">
        <f t="shared" si="163"/>
        <v>87.5</v>
      </c>
      <c r="CD310" s="1">
        <f t="shared" si="167"/>
        <v>-7.3</v>
      </c>
      <c r="CE310" s="1">
        <f t="shared" si="168"/>
        <v>-5.4</v>
      </c>
      <c r="CF310" s="1">
        <f t="shared" si="169"/>
        <v>-5.3</v>
      </c>
      <c r="CG310" s="1">
        <f t="shared" si="170"/>
        <v>-0.6</v>
      </c>
      <c r="CH310" s="1">
        <f t="shared" si="171"/>
        <v>0.3</v>
      </c>
      <c r="CI310" s="1">
        <f t="shared" si="172"/>
        <v>2.2000000000000002</v>
      </c>
      <c r="CJ310" s="1">
        <f t="shared" si="173"/>
        <v>3.2</v>
      </c>
      <c r="CK310" s="2">
        <f t="shared" si="164"/>
        <v>94.4</v>
      </c>
      <c r="CL310" s="1">
        <f t="shared" si="174"/>
        <v>-17.7</v>
      </c>
      <c r="CM310" s="1">
        <f t="shared" si="175"/>
        <v>-18.5</v>
      </c>
      <c r="CN310" s="1">
        <f t="shared" si="176"/>
        <v>-18.600000000000001</v>
      </c>
      <c r="CO310" s="1">
        <f t="shared" si="177"/>
        <v>-3.7</v>
      </c>
      <c r="CP310" s="1">
        <f t="shared" si="178"/>
        <v>-0.4</v>
      </c>
      <c r="CQ310" s="1">
        <f t="shared" si="179"/>
        <v>1.5</v>
      </c>
      <c r="CR310" s="1">
        <f t="shared" si="180"/>
        <v>2.7</v>
      </c>
      <c r="CS310" s="2">
        <f t="shared" si="181"/>
        <v>66.8</v>
      </c>
      <c r="CT310" s="6">
        <f t="shared" si="182"/>
        <v>88</v>
      </c>
      <c r="CU310" s="1">
        <f>PPTest!K310</f>
        <v>0</v>
      </c>
      <c r="CV310" s="3">
        <f t="shared" si="183"/>
        <v>1.1399999999999999</v>
      </c>
      <c r="CW310" s="3">
        <f t="shared" si="184"/>
        <v>2.68</v>
      </c>
      <c r="CX310" s="24">
        <f t="shared" si="185"/>
        <v>0.23499999999999999</v>
      </c>
      <c r="CY310" s="24">
        <f t="shared" si="185"/>
        <v>0.11700000000000001</v>
      </c>
      <c r="CZ310" s="16">
        <f t="shared" si="186"/>
        <v>13.27</v>
      </c>
    </row>
    <row r="311" spans="1:104" x14ac:dyDescent="0.2">
      <c r="A311" s="14">
        <f t="shared" si="187"/>
        <v>39022</v>
      </c>
      <c r="B311" s="1">
        <v>305</v>
      </c>
      <c r="C311" s="3">
        <v>7.48</v>
      </c>
      <c r="D311" s="3">
        <v>9.49</v>
      </c>
      <c r="E311" s="3">
        <v>-10.7</v>
      </c>
      <c r="F311" s="3">
        <v>99.1</v>
      </c>
      <c r="G311" s="3">
        <v>-11.01</v>
      </c>
      <c r="H311" s="3">
        <v>-11.09</v>
      </c>
      <c r="I311" s="3">
        <v>-2.5299999999999998</v>
      </c>
      <c r="J311" s="3">
        <v>-0.47</v>
      </c>
      <c r="K311" s="3">
        <v>1.5129999999999999</v>
      </c>
      <c r="L311" s="3">
        <v>2.806</v>
      </c>
      <c r="M311" s="3">
        <v>1.405</v>
      </c>
      <c r="N311" s="3">
        <v>0</v>
      </c>
      <c r="O311" s="3">
        <v>-1.4850000000000001</v>
      </c>
      <c r="P311" s="3">
        <v>1412</v>
      </c>
      <c r="Q311" s="3">
        <v>106.7</v>
      </c>
      <c r="R311" s="3">
        <v>1956</v>
      </c>
      <c r="S311" s="3">
        <v>0.17399999999999999</v>
      </c>
      <c r="T311" s="3">
        <v>1.24</v>
      </c>
      <c r="U311" s="3">
        <v>-0.58499999999999996</v>
      </c>
      <c r="V311" s="3">
        <v>-0.15</v>
      </c>
      <c r="W311" s="3">
        <v>1.984</v>
      </c>
      <c r="X311" s="3">
        <v>3.2650000000000001</v>
      </c>
      <c r="Y311" s="3">
        <v>2.8010000000000002</v>
      </c>
      <c r="Z311" s="3">
        <v>2315</v>
      </c>
      <c r="AA311" s="3">
        <v>-18.93</v>
      </c>
      <c r="AB311" s="3">
        <v>343</v>
      </c>
      <c r="AC311" s="3">
        <v>74.7</v>
      </c>
      <c r="AD311" s="3">
        <v>1359</v>
      </c>
      <c r="AE311" s="3">
        <v>-19.72</v>
      </c>
      <c r="AF311" s="3">
        <v>-19.739999999999998</v>
      </c>
      <c r="AG311" s="3">
        <v>-4.5250000000000004</v>
      </c>
      <c r="AH311" s="3">
        <v>-0.68799999999999994</v>
      </c>
      <c r="AI311" s="3">
        <v>1.1559999999999999</v>
      </c>
      <c r="AJ311" s="3">
        <v>2.4689999999999999</v>
      </c>
      <c r="AK311" s="3">
        <v>2.5999999999999999E-2</v>
      </c>
      <c r="AL311" s="3">
        <v>0.30199999999999999</v>
      </c>
      <c r="AM311" s="3">
        <v>0.41699999999999998</v>
      </c>
      <c r="AN311" s="3">
        <v>2.9000000000000001E-2</v>
      </c>
      <c r="AO311" s="3">
        <v>7.4999999999999997E-2</v>
      </c>
      <c r="AP311" s="3">
        <v>9.9000000000000005E-2</v>
      </c>
      <c r="AQ311" s="3">
        <v>3.5000000000000003E-2</v>
      </c>
      <c r="AR311" s="3">
        <v>1.7000000000000001E-2</v>
      </c>
      <c r="AS311" s="3">
        <v>3423</v>
      </c>
      <c r="AT311" s="3">
        <v>3418</v>
      </c>
      <c r="AU311" s="3">
        <v>3420</v>
      </c>
      <c r="AV311" s="3">
        <v>-11.46</v>
      </c>
      <c r="AW311" s="3">
        <v>-11.37</v>
      </c>
      <c r="AX311" s="3">
        <v>0.439</v>
      </c>
      <c r="AY311" s="3">
        <v>0.44400000000000001</v>
      </c>
      <c r="AZ311" s="3">
        <v>-19.66</v>
      </c>
      <c r="BA311" s="3">
        <v>-19.87</v>
      </c>
      <c r="BB311" s="3">
        <v>13.26</v>
      </c>
      <c r="BC311" s="3">
        <v>2876</v>
      </c>
      <c r="BD311" s="3"/>
      <c r="BE311" s="6">
        <f>BE$2-AU311</f>
        <v>90</v>
      </c>
      <c r="BG311" s="16">
        <v>8.51</v>
      </c>
      <c r="BH311" s="16">
        <f t="shared" si="156"/>
        <v>17.190200000000001</v>
      </c>
      <c r="BI311" s="17">
        <f t="shared" si="190"/>
        <v>7.33</v>
      </c>
      <c r="BJ311" s="17">
        <f t="shared" si="191"/>
        <v>10.44</v>
      </c>
      <c r="BL311" s="1">
        <f t="shared" si="157"/>
        <v>93</v>
      </c>
      <c r="BM311" s="1">
        <f t="shared" si="158"/>
        <v>80.900000000000006</v>
      </c>
      <c r="BN311" s="1">
        <f t="shared" si="159"/>
        <v>58.7</v>
      </c>
      <c r="BO311" s="49">
        <f t="shared" si="165"/>
        <v>0.32100000000000001</v>
      </c>
      <c r="BP311" s="49">
        <f t="shared" si="166"/>
        <v>0.22600000000000001</v>
      </c>
      <c r="BQ311" s="1">
        <f t="shared" ref="BQ311:BQ340" si="192">E311</f>
        <v>-10.7</v>
      </c>
      <c r="BR311" s="3">
        <v>1.8</v>
      </c>
      <c r="BT311" s="16">
        <f t="shared" si="160"/>
        <v>7.33</v>
      </c>
      <c r="BU311" s="16">
        <f t="shared" si="161"/>
        <v>10.44</v>
      </c>
      <c r="BV311" s="3">
        <f t="shared" si="162"/>
        <v>-10.7</v>
      </c>
      <c r="BW311" s="3">
        <f t="shared" si="189"/>
        <v>-11</v>
      </c>
      <c r="BX311" s="3">
        <f t="shared" si="189"/>
        <v>-11.1</v>
      </c>
      <c r="BY311" s="3">
        <f t="shared" si="189"/>
        <v>-2.5</v>
      </c>
      <c r="BZ311" s="3">
        <f t="shared" si="188"/>
        <v>-0.5</v>
      </c>
      <c r="CA311" s="3">
        <f t="shared" si="188"/>
        <v>1.5</v>
      </c>
      <c r="CB311" s="3">
        <f t="shared" si="188"/>
        <v>2.8</v>
      </c>
      <c r="CC311" s="22">
        <f t="shared" si="163"/>
        <v>80.900000000000006</v>
      </c>
      <c r="CD311" s="1">
        <f t="shared" si="167"/>
        <v>-1.5</v>
      </c>
      <c r="CE311" s="1">
        <f t="shared" si="168"/>
        <v>0.2</v>
      </c>
      <c r="CF311" s="1">
        <f t="shared" si="169"/>
        <v>1.2</v>
      </c>
      <c r="CG311" s="1">
        <f t="shared" si="170"/>
        <v>-0.6</v>
      </c>
      <c r="CH311" s="1">
        <f t="shared" si="171"/>
        <v>-0.2</v>
      </c>
      <c r="CI311" s="1">
        <f t="shared" si="172"/>
        <v>2</v>
      </c>
      <c r="CJ311" s="1">
        <f t="shared" si="173"/>
        <v>3.3</v>
      </c>
      <c r="CK311" s="2">
        <f t="shared" si="164"/>
        <v>93</v>
      </c>
      <c r="CL311" s="1">
        <f t="shared" si="174"/>
        <v>-18.899999999999999</v>
      </c>
      <c r="CM311" s="1">
        <f t="shared" si="175"/>
        <v>-19.7</v>
      </c>
      <c r="CN311" s="1">
        <f t="shared" si="176"/>
        <v>-19.7</v>
      </c>
      <c r="CO311" s="1">
        <f t="shared" si="177"/>
        <v>-4.5</v>
      </c>
      <c r="CP311" s="1">
        <f t="shared" si="178"/>
        <v>-0.7</v>
      </c>
      <c r="CQ311" s="1">
        <f t="shared" si="179"/>
        <v>1.2</v>
      </c>
      <c r="CR311" s="1">
        <f t="shared" si="180"/>
        <v>2.5</v>
      </c>
      <c r="CS311" s="2">
        <f t="shared" si="181"/>
        <v>58.7</v>
      </c>
      <c r="CT311" s="6">
        <f t="shared" si="182"/>
        <v>90</v>
      </c>
      <c r="CU311" s="1">
        <f>PPTest!K311</f>
        <v>0.3</v>
      </c>
      <c r="CV311" s="3">
        <f t="shared" si="183"/>
        <v>1.41</v>
      </c>
      <c r="CW311" s="3">
        <f t="shared" si="184"/>
        <v>2.8</v>
      </c>
      <c r="CX311" s="24">
        <f t="shared" si="185"/>
        <v>0.32100000000000001</v>
      </c>
      <c r="CY311" s="24">
        <f t="shared" si="185"/>
        <v>0.22600000000000001</v>
      </c>
      <c r="CZ311" s="16">
        <f t="shared" si="186"/>
        <v>13.26</v>
      </c>
    </row>
    <row r="312" spans="1:104" x14ac:dyDescent="0.2">
      <c r="A312" s="14">
        <f t="shared" si="187"/>
        <v>39023</v>
      </c>
      <c r="B312" s="1">
        <v>306</v>
      </c>
      <c r="C312" s="3">
        <v>2.5150000000000001</v>
      </c>
      <c r="D312" s="3">
        <v>5.1340000000000003</v>
      </c>
      <c r="E312" s="3">
        <v>-4.7160000000000002</v>
      </c>
      <c r="F312" s="3">
        <v>101</v>
      </c>
      <c r="G312" s="3">
        <v>-4.7880000000000003</v>
      </c>
      <c r="H312" s="3">
        <v>-4.8179999999999996</v>
      </c>
      <c r="I312" s="3">
        <v>-1.1479999999999999</v>
      </c>
      <c r="J312" s="3">
        <v>-0.371</v>
      </c>
      <c r="K312" s="3">
        <v>1.357</v>
      </c>
      <c r="L312" s="3">
        <v>2.7130000000000001</v>
      </c>
      <c r="M312" s="3">
        <v>1.26</v>
      </c>
      <c r="N312" s="3">
        <v>0</v>
      </c>
      <c r="O312" s="3">
        <v>-1.375</v>
      </c>
      <c r="P312" s="3">
        <v>1016</v>
      </c>
      <c r="Q312" s="3">
        <v>110.7</v>
      </c>
      <c r="R312" s="3">
        <v>2126</v>
      </c>
      <c r="S312" s="3">
        <v>-0.80100000000000005</v>
      </c>
      <c r="T312" s="3">
        <v>-0.76</v>
      </c>
      <c r="U312" s="3">
        <v>-0.48399999999999999</v>
      </c>
      <c r="V312" s="3">
        <v>-0.26100000000000001</v>
      </c>
      <c r="W312" s="3">
        <v>1.5009999999999999</v>
      </c>
      <c r="X312" s="3">
        <v>2.8519999999999999</v>
      </c>
      <c r="Y312" s="3">
        <v>4.5570000000000004</v>
      </c>
      <c r="Z312" s="3">
        <v>935</v>
      </c>
      <c r="AA312" s="3">
        <v>-10.210000000000001</v>
      </c>
      <c r="AB312" s="3">
        <v>59</v>
      </c>
      <c r="AC312" s="3">
        <v>56.56</v>
      </c>
      <c r="AD312" s="3">
        <v>959</v>
      </c>
      <c r="AE312" s="3">
        <v>-10.74</v>
      </c>
      <c r="AF312" s="3">
        <v>-11.03</v>
      </c>
      <c r="AG312" s="3">
        <v>-2.5960000000000001</v>
      </c>
      <c r="AH312" s="3">
        <v>-0.498</v>
      </c>
      <c r="AI312" s="3">
        <v>1.252</v>
      </c>
      <c r="AJ312" s="3">
        <v>2.6139999999999999</v>
      </c>
      <c r="AK312" s="3">
        <v>0.14299999999999999</v>
      </c>
      <c r="AL312" s="3">
        <v>0.317</v>
      </c>
      <c r="AM312" s="3">
        <v>0.215</v>
      </c>
      <c r="AN312" s="3">
        <v>8.3000000000000004E-2</v>
      </c>
      <c r="AO312" s="3">
        <v>7.5999999999999998E-2</v>
      </c>
      <c r="AP312" s="3">
        <v>5.6000000000000001E-2</v>
      </c>
      <c r="AQ312" s="3">
        <v>4.3999999999999997E-2</v>
      </c>
      <c r="AR312" s="3">
        <v>6.6000000000000003E-2</v>
      </c>
      <c r="AS312" s="3">
        <v>3359</v>
      </c>
      <c r="AT312" s="3">
        <v>3355</v>
      </c>
      <c r="AU312" s="3">
        <v>3356</v>
      </c>
      <c r="AV312" s="3">
        <v>-5.306</v>
      </c>
      <c r="AW312" s="3">
        <v>-5.2240000000000002</v>
      </c>
      <c r="AX312" s="3">
        <v>-1.746</v>
      </c>
      <c r="AY312" s="3">
        <v>-1.657</v>
      </c>
      <c r="AZ312" s="3">
        <v>-10.81</v>
      </c>
      <c r="BA312" s="3">
        <v>-10.94</v>
      </c>
      <c r="BB312" s="3">
        <v>13.14</v>
      </c>
      <c r="BC312" s="3">
        <v>2876</v>
      </c>
      <c r="BD312" s="3"/>
      <c r="BE312" s="6">
        <f>BE$2-AU312</f>
        <v>154</v>
      </c>
      <c r="BG312" s="16">
        <v>8.34</v>
      </c>
      <c r="BH312" s="16">
        <f t="shared" si="156"/>
        <v>16.846799999999998</v>
      </c>
      <c r="BI312" s="17">
        <f t="shared" si="190"/>
        <v>2.46</v>
      </c>
      <c r="BJ312" s="17">
        <f t="shared" si="191"/>
        <v>5.65</v>
      </c>
      <c r="BL312" s="1">
        <f t="shared" si="157"/>
        <v>99.3</v>
      </c>
      <c r="BM312" s="1">
        <f t="shared" si="158"/>
        <v>83.9</v>
      </c>
      <c r="BN312" s="1">
        <f t="shared" si="159"/>
        <v>42.8</v>
      </c>
      <c r="BO312" s="49">
        <f t="shared" si="165"/>
        <v>0.23599999999999999</v>
      </c>
      <c r="BP312" s="49">
        <f t="shared" si="166"/>
        <v>0.315</v>
      </c>
      <c r="BQ312" s="1">
        <f t="shared" si="192"/>
        <v>-4.7160000000000002</v>
      </c>
      <c r="BR312" s="3">
        <v>0</v>
      </c>
      <c r="BT312" s="16">
        <f t="shared" si="160"/>
        <v>2.46</v>
      </c>
      <c r="BU312" s="16">
        <f t="shared" si="161"/>
        <v>5.65</v>
      </c>
      <c r="BV312" s="3">
        <f t="shared" si="162"/>
        <v>-4.7</v>
      </c>
      <c r="BW312" s="3">
        <f t="shared" si="189"/>
        <v>-4.8</v>
      </c>
      <c r="BX312" s="3">
        <f t="shared" si="189"/>
        <v>-4.8</v>
      </c>
      <c r="BY312" s="3">
        <f t="shared" si="189"/>
        <v>-1.1000000000000001</v>
      </c>
      <c r="BZ312" s="3">
        <f t="shared" si="188"/>
        <v>-0.4</v>
      </c>
      <c r="CA312" s="3">
        <f t="shared" si="188"/>
        <v>1.4</v>
      </c>
      <c r="CB312" s="3">
        <f t="shared" si="188"/>
        <v>2.7</v>
      </c>
      <c r="CC312" s="22">
        <f t="shared" si="163"/>
        <v>83.9</v>
      </c>
      <c r="CD312" s="1">
        <f t="shared" si="167"/>
        <v>-1.4</v>
      </c>
      <c r="CE312" s="1">
        <f t="shared" si="168"/>
        <v>-0.8</v>
      </c>
      <c r="CF312" s="1">
        <f t="shared" si="169"/>
        <v>-0.8</v>
      </c>
      <c r="CG312" s="1">
        <f t="shared" si="170"/>
        <v>-0.5</v>
      </c>
      <c r="CH312" s="1">
        <f t="shared" si="171"/>
        <v>-0.3</v>
      </c>
      <c r="CI312" s="1">
        <f t="shared" si="172"/>
        <v>1.5</v>
      </c>
      <c r="CJ312" s="1">
        <f t="shared" si="173"/>
        <v>2.9</v>
      </c>
      <c r="CK312" s="2">
        <f t="shared" si="164"/>
        <v>99.3</v>
      </c>
      <c r="CL312" s="1">
        <f t="shared" si="174"/>
        <v>-10.199999999999999</v>
      </c>
      <c r="CM312" s="1">
        <f t="shared" si="175"/>
        <v>-10.7</v>
      </c>
      <c r="CN312" s="1">
        <f t="shared" si="176"/>
        <v>-11</v>
      </c>
      <c r="CO312" s="1">
        <f t="shared" si="177"/>
        <v>-2.6</v>
      </c>
      <c r="CP312" s="1">
        <f t="shared" si="178"/>
        <v>-0.5</v>
      </c>
      <c r="CQ312" s="1">
        <f t="shared" si="179"/>
        <v>1.3</v>
      </c>
      <c r="CR312" s="1">
        <f t="shared" si="180"/>
        <v>2.6</v>
      </c>
      <c r="CS312" s="2">
        <f t="shared" si="181"/>
        <v>42.8</v>
      </c>
      <c r="CT312" s="6">
        <f t="shared" si="182"/>
        <v>154</v>
      </c>
      <c r="CU312" s="1">
        <f>PPTest!K312</f>
        <v>8.3000000000000007</v>
      </c>
      <c r="CV312" s="3">
        <f t="shared" si="183"/>
        <v>1.26</v>
      </c>
      <c r="CW312" s="3">
        <f t="shared" si="184"/>
        <v>4.5599999999999996</v>
      </c>
      <c r="CX312" s="24">
        <f t="shared" si="185"/>
        <v>0.23599999999999999</v>
      </c>
      <c r="CY312" s="24">
        <f t="shared" si="185"/>
        <v>0.315</v>
      </c>
      <c r="CZ312" s="16">
        <f t="shared" si="186"/>
        <v>13.14</v>
      </c>
    </row>
    <row r="313" spans="1:104" x14ac:dyDescent="0.2">
      <c r="A313" s="14">
        <f t="shared" si="187"/>
        <v>39024</v>
      </c>
      <c r="B313" s="1">
        <v>307</v>
      </c>
      <c r="C313" s="3">
        <v>0.23799999999999999</v>
      </c>
      <c r="D313" s="3">
        <v>0.59499999999999997</v>
      </c>
      <c r="E313" s="3">
        <v>-1.5820000000000001</v>
      </c>
      <c r="F313" s="3">
        <v>110.5</v>
      </c>
      <c r="G313" s="3">
        <v>-1.5940000000000001</v>
      </c>
      <c r="H313" s="3">
        <v>-1.603</v>
      </c>
      <c r="I313" s="3">
        <v>-0.23</v>
      </c>
      <c r="J313" s="3">
        <v>-0.2</v>
      </c>
      <c r="K313" s="3">
        <v>1.254</v>
      </c>
      <c r="L313" s="3">
        <v>2.6070000000000002</v>
      </c>
      <c r="M313" s="3">
        <v>0.65500000000000003</v>
      </c>
      <c r="N313" s="3">
        <v>0</v>
      </c>
      <c r="O313" s="3">
        <v>1.528</v>
      </c>
      <c r="P313" s="3">
        <v>1347</v>
      </c>
      <c r="Q313" s="3">
        <v>111</v>
      </c>
      <c r="R313" s="3">
        <v>646</v>
      </c>
      <c r="S313" s="3">
        <v>2.3010000000000002</v>
      </c>
      <c r="T313" s="3">
        <v>2.0950000000000002</v>
      </c>
      <c r="U313" s="3">
        <v>3.5999999999999997E-2</v>
      </c>
      <c r="V313" s="3">
        <v>-7.1999999999999995E-2</v>
      </c>
      <c r="W313" s="3">
        <v>1.3460000000000001</v>
      </c>
      <c r="X313" s="3">
        <v>2.7010000000000001</v>
      </c>
      <c r="Y313" s="3">
        <v>3.2269999999999999</v>
      </c>
      <c r="Z313" s="3">
        <v>1335</v>
      </c>
      <c r="AA313" s="3">
        <v>-4.0919999999999996</v>
      </c>
      <c r="AB313" s="3">
        <v>604</v>
      </c>
      <c r="AC313" s="3">
        <v>106.6</v>
      </c>
      <c r="AD313" s="3">
        <v>1346</v>
      </c>
      <c r="AE313" s="3">
        <v>-4.2380000000000004</v>
      </c>
      <c r="AF313" s="3">
        <v>-4.2039999999999997</v>
      </c>
      <c r="AG313" s="3">
        <v>-0.52400000000000002</v>
      </c>
      <c r="AH313" s="3">
        <v>-0.30499999999999999</v>
      </c>
      <c r="AI313" s="3">
        <v>1.1919999999999999</v>
      </c>
      <c r="AJ313" s="3">
        <v>2.5289999999999999</v>
      </c>
      <c r="AK313" s="3">
        <v>8.1000000000000003E-2</v>
      </c>
      <c r="AL313" s="3">
        <v>0.13300000000000001</v>
      </c>
      <c r="AM313" s="3">
        <v>0.13900000000000001</v>
      </c>
      <c r="AN313" s="3">
        <v>9.6000000000000002E-2</v>
      </c>
      <c r="AO313" s="3">
        <v>0.18</v>
      </c>
      <c r="AP313" s="3">
        <v>0.17</v>
      </c>
      <c r="AQ313" s="3">
        <v>0.121</v>
      </c>
      <c r="AR313" s="3">
        <v>8.1000000000000003E-2</v>
      </c>
      <c r="AS313" s="3">
        <v>3269</v>
      </c>
      <c r="AT313" s="3">
        <v>3260</v>
      </c>
      <c r="AU313" s="3">
        <v>3265</v>
      </c>
      <c r="AV313" s="3">
        <v>-1.5580000000000001</v>
      </c>
      <c r="AW313" s="3">
        <v>-1.5429999999999999</v>
      </c>
      <c r="AX313" s="3">
        <v>0.439</v>
      </c>
      <c r="AY313" s="3">
        <v>0.42599999999999999</v>
      </c>
      <c r="AZ313" s="3">
        <v>-3.4180000000000001</v>
      </c>
      <c r="BA313" s="3">
        <v>-3.4910000000000001</v>
      </c>
      <c r="BB313" s="3">
        <v>12.93</v>
      </c>
      <c r="BC313" s="3">
        <v>2876</v>
      </c>
      <c r="BD313" s="3"/>
      <c r="BE313" s="6">
        <f>BE$2-AU313</f>
        <v>245</v>
      </c>
      <c r="BG313" s="16">
        <v>8.18</v>
      </c>
      <c r="BH313" s="16">
        <f t="shared" si="156"/>
        <v>16.523599999999998</v>
      </c>
      <c r="BI313" s="17">
        <f t="shared" si="190"/>
        <v>0.23</v>
      </c>
      <c r="BJ313" s="17">
        <f t="shared" si="191"/>
        <v>0.65</v>
      </c>
      <c r="BL313" s="1">
        <f t="shared" si="157"/>
        <v>99.8</v>
      </c>
      <c r="BM313" s="1">
        <f t="shared" si="158"/>
        <v>99</v>
      </c>
      <c r="BN313" s="1">
        <f t="shared" si="159"/>
        <v>92.8</v>
      </c>
      <c r="BO313" s="49">
        <f t="shared" si="165"/>
        <v>0.63300000000000001</v>
      </c>
      <c r="BP313" s="49">
        <f t="shared" si="166"/>
        <v>4.9000000000000002E-2</v>
      </c>
      <c r="BQ313" s="1">
        <f t="shared" si="192"/>
        <v>-1.5820000000000001</v>
      </c>
      <c r="BR313" s="3">
        <v>0</v>
      </c>
      <c r="BT313" s="16">
        <f t="shared" si="160"/>
        <v>0.23</v>
      </c>
      <c r="BU313" s="16">
        <f t="shared" si="161"/>
        <v>0.65</v>
      </c>
      <c r="BV313" s="3">
        <f t="shared" si="162"/>
        <v>-1.6</v>
      </c>
      <c r="BW313" s="3">
        <f t="shared" si="189"/>
        <v>-1.6</v>
      </c>
      <c r="BX313" s="3">
        <f t="shared" si="189"/>
        <v>-1.6</v>
      </c>
      <c r="BY313" s="3">
        <f t="shared" si="189"/>
        <v>-0.2</v>
      </c>
      <c r="BZ313" s="3">
        <f t="shared" si="188"/>
        <v>-0.2</v>
      </c>
      <c r="CA313" s="3">
        <f t="shared" si="188"/>
        <v>1.3</v>
      </c>
      <c r="CB313" s="3">
        <f t="shared" si="188"/>
        <v>2.6</v>
      </c>
      <c r="CC313" s="22">
        <f t="shared" si="163"/>
        <v>99</v>
      </c>
      <c r="CD313" s="1">
        <f t="shared" si="167"/>
        <v>1.5</v>
      </c>
      <c r="CE313" s="1">
        <f t="shared" si="168"/>
        <v>2.2999999999999998</v>
      </c>
      <c r="CF313" s="1">
        <f t="shared" si="169"/>
        <v>2.1</v>
      </c>
      <c r="CG313" s="1">
        <f t="shared" si="170"/>
        <v>0</v>
      </c>
      <c r="CH313" s="1">
        <f t="shared" si="171"/>
        <v>-0.1</v>
      </c>
      <c r="CI313" s="1">
        <f t="shared" si="172"/>
        <v>1.3</v>
      </c>
      <c r="CJ313" s="1">
        <f t="shared" si="173"/>
        <v>2.7</v>
      </c>
      <c r="CK313" s="2">
        <f t="shared" si="164"/>
        <v>99.8</v>
      </c>
      <c r="CL313" s="1">
        <f t="shared" si="174"/>
        <v>-4.0999999999999996</v>
      </c>
      <c r="CM313" s="1">
        <f t="shared" si="175"/>
        <v>-4.2</v>
      </c>
      <c r="CN313" s="1">
        <f t="shared" si="176"/>
        <v>-4.2</v>
      </c>
      <c r="CO313" s="1">
        <f t="shared" si="177"/>
        <v>-0.5</v>
      </c>
      <c r="CP313" s="1">
        <f t="shared" si="178"/>
        <v>-0.3</v>
      </c>
      <c r="CQ313" s="1">
        <f t="shared" si="179"/>
        <v>1.2</v>
      </c>
      <c r="CR313" s="1">
        <f t="shared" si="180"/>
        <v>2.5</v>
      </c>
      <c r="CS313" s="2">
        <f t="shared" si="181"/>
        <v>92.8</v>
      </c>
      <c r="CT313" s="6">
        <f t="shared" si="182"/>
        <v>245</v>
      </c>
      <c r="CU313" s="1">
        <f>PPTest!K313</f>
        <v>0</v>
      </c>
      <c r="CV313" s="3">
        <f t="shared" si="183"/>
        <v>0.66</v>
      </c>
      <c r="CW313" s="3">
        <f t="shared" si="184"/>
        <v>3.23</v>
      </c>
      <c r="CX313" s="24">
        <f t="shared" si="185"/>
        <v>0.63300000000000001</v>
      </c>
      <c r="CY313" s="24">
        <f t="shared" si="185"/>
        <v>4.9000000000000002E-2</v>
      </c>
      <c r="CZ313" s="16">
        <f t="shared" si="186"/>
        <v>12.93</v>
      </c>
    </row>
    <row r="314" spans="1:104" x14ac:dyDescent="0.2">
      <c r="A314" s="14">
        <f t="shared" si="187"/>
        <v>39025</v>
      </c>
      <c r="B314" s="1">
        <v>308</v>
      </c>
      <c r="C314" s="3">
        <v>0.86</v>
      </c>
      <c r="D314" s="3">
        <v>2.1840000000000002</v>
      </c>
      <c r="E314" s="3">
        <v>1.7190000000000001</v>
      </c>
      <c r="F314" s="3">
        <v>107.2</v>
      </c>
      <c r="G314" s="3">
        <v>1.34</v>
      </c>
      <c r="H314" s="3">
        <v>1.2010000000000001</v>
      </c>
      <c r="I314" s="3">
        <v>0.63200000000000001</v>
      </c>
      <c r="J314" s="3">
        <v>4.5999999999999999E-2</v>
      </c>
      <c r="K314" s="3">
        <v>1.1240000000000001</v>
      </c>
      <c r="L314" s="3">
        <v>2.5049999999999999</v>
      </c>
      <c r="M314" s="3">
        <v>1.464</v>
      </c>
      <c r="N314" s="3">
        <v>4</v>
      </c>
      <c r="O314" s="3">
        <v>3.3260000000000001</v>
      </c>
      <c r="P314" s="3">
        <v>1840</v>
      </c>
      <c r="Q314" s="3">
        <v>110.9</v>
      </c>
      <c r="R314" s="3">
        <v>1</v>
      </c>
      <c r="S314" s="3">
        <v>3.8479999999999999</v>
      </c>
      <c r="T314" s="3">
        <v>3.6139999999999999</v>
      </c>
      <c r="U314" s="3">
        <v>1.677</v>
      </c>
      <c r="V314" s="3">
        <v>0.14099999999999999</v>
      </c>
      <c r="W314" s="3">
        <v>1.262</v>
      </c>
      <c r="X314" s="3">
        <v>2.5830000000000002</v>
      </c>
      <c r="Y314" s="3">
        <v>5.5010000000000003</v>
      </c>
      <c r="Z314" s="3">
        <v>2258</v>
      </c>
      <c r="AA314" s="3">
        <v>-0.13900000000000001</v>
      </c>
      <c r="AB314" s="3">
        <v>525</v>
      </c>
      <c r="AC314" s="3">
        <v>99.3</v>
      </c>
      <c r="AD314" s="3">
        <v>2100</v>
      </c>
      <c r="AE314" s="3">
        <v>-0.14399999999999999</v>
      </c>
      <c r="AF314" s="3">
        <v>-0.157</v>
      </c>
      <c r="AG314" s="3">
        <v>4.0000000000000001E-3</v>
      </c>
      <c r="AH314" s="3">
        <v>-0.11</v>
      </c>
      <c r="AI314" s="3">
        <v>0.90600000000000003</v>
      </c>
      <c r="AJ314" s="3">
        <v>2.3370000000000002</v>
      </c>
      <c r="AK314" s="3">
        <v>0.13100000000000001</v>
      </c>
      <c r="AL314" s="3">
        <v>0.14399999999999999</v>
      </c>
      <c r="AM314" s="3">
        <v>0.11799999999999999</v>
      </c>
      <c r="AN314" s="3">
        <v>8.5999999999999993E-2</v>
      </c>
      <c r="AO314" s="3">
        <v>0.161</v>
      </c>
      <c r="AP314" s="3">
        <v>0.16200000000000001</v>
      </c>
      <c r="AQ314" s="3">
        <v>0.124</v>
      </c>
      <c r="AR314" s="3">
        <v>7.3999999999999996E-2</v>
      </c>
      <c r="AS314" s="3">
        <v>3358</v>
      </c>
      <c r="AT314" s="3">
        <v>3329</v>
      </c>
      <c r="AU314" s="3">
        <v>3340</v>
      </c>
      <c r="AV314" s="3">
        <v>0.86299999999999999</v>
      </c>
      <c r="AW314" s="3">
        <v>0.80800000000000005</v>
      </c>
      <c r="AX314" s="3">
        <v>1.8180000000000001</v>
      </c>
      <c r="AY314" s="3">
        <v>1.7270000000000001</v>
      </c>
      <c r="AZ314" s="3">
        <v>-9.8000000000000004E-2</v>
      </c>
      <c r="BA314" s="3">
        <v>-0.13200000000000001</v>
      </c>
      <c r="BB314" s="3">
        <v>12.72</v>
      </c>
      <c r="BC314" s="3">
        <v>2876</v>
      </c>
      <c r="BD314" s="3"/>
      <c r="BE314" s="6">
        <f>BE$2-AU314</f>
        <v>170</v>
      </c>
      <c r="BG314" s="16">
        <v>8.02</v>
      </c>
      <c r="BH314" s="16">
        <f t="shared" si="156"/>
        <v>16.200399999999998</v>
      </c>
      <c r="BI314" s="17">
        <f t="shared" si="190"/>
        <v>0.84</v>
      </c>
      <c r="BJ314" s="17">
        <f t="shared" si="191"/>
        <v>2.4</v>
      </c>
      <c r="BL314" s="1">
        <f t="shared" si="157"/>
        <v>99.6</v>
      </c>
      <c r="BM314" s="1">
        <f t="shared" si="158"/>
        <v>93.7</v>
      </c>
      <c r="BN314" s="1">
        <f t="shared" si="159"/>
        <v>81.2</v>
      </c>
      <c r="BO314" s="49">
        <f t="shared" si="165"/>
        <v>0.629</v>
      </c>
      <c r="BP314" s="49">
        <f t="shared" si="166"/>
        <v>0.14599999999999999</v>
      </c>
      <c r="BQ314" s="1">
        <f t="shared" si="192"/>
        <v>1.7190000000000001</v>
      </c>
      <c r="BR314" s="3">
        <v>35.6</v>
      </c>
      <c r="BT314" s="16">
        <f t="shared" si="160"/>
        <v>0.84</v>
      </c>
      <c r="BU314" s="16">
        <f t="shared" si="161"/>
        <v>2.4</v>
      </c>
      <c r="BV314" s="3">
        <f t="shared" si="162"/>
        <v>1.7</v>
      </c>
      <c r="BW314" s="3">
        <f t="shared" si="189"/>
        <v>1.3</v>
      </c>
      <c r="BX314" s="3">
        <f t="shared" si="189"/>
        <v>1.2</v>
      </c>
      <c r="BY314" s="3">
        <f t="shared" si="189"/>
        <v>0.6</v>
      </c>
      <c r="BZ314" s="3">
        <f t="shared" si="188"/>
        <v>0</v>
      </c>
      <c r="CA314" s="3">
        <f t="shared" si="188"/>
        <v>1.1000000000000001</v>
      </c>
      <c r="CB314" s="3">
        <f t="shared" si="188"/>
        <v>2.5</v>
      </c>
      <c r="CC314" s="22">
        <f t="shared" si="163"/>
        <v>93.7</v>
      </c>
      <c r="CD314" s="1">
        <f t="shared" si="167"/>
        <v>3.3</v>
      </c>
      <c r="CE314" s="1">
        <f t="shared" si="168"/>
        <v>3.8</v>
      </c>
      <c r="CF314" s="1">
        <f t="shared" si="169"/>
        <v>3.6</v>
      </c>
      <c r="CG314" s="1">
        <f t="shared" si="170"/>
        <v>1.7</v>
      </c>
      <c r="CH314" s="1">
        <f t="shared" si="171"/>
        <v>0.1</v>
      </c>
      <c r="CI314" s="1">
        <f t="shared" si="172"/>
        <v>1.3</v>
      </c>
      <c r="CJ314" s="1">
        <f t="shared" si="173"/>
        <v>2.6</v>
      </c>
      <c r="CK314" s="2">
        <f t="shared" si="164"/>
        <v>99.6</v>
      </c>
      <c r="CL314" s="1">
        <f t="shared" si="174"/>
        <v>-0.1</v>
      </c>
      <c r="CM314" s="1">
        <f t="shared" si="175"/>
        <v>-0.1</v>
      </c>
      <c r="CN314" s="1">
        <f t="shared" si="176"/>
        <v>-0.2</v>
      </c>
      <c r="CO314" s="1">
        <f t="shared" si="177"/>
        <v>0</v>
      </c>
      <c r="CP314" s="1">
        <f t="shared" si="178"/>
        <v>-0.1</v>
      </c>
      <c r="CQ314" s="1">
        <f t="shared" si="179"/>
        <v>0.9</v>
      </c>
      <c r="CR314" s="1">
        <f t="shared" si="180"/>
        <v>2.2999999999999998</v>
      </c>
      <c r="CS314" s="2">
        <f t="shared" si="181"/>
        <v>81.2</v>
      </c>
      <c r="CT314" s="6">
        <f t="shared" si="182"/>
        <v>170</v>
      </c>
      <c r="CU314" s="1">
        <f>PPTest!K314</f>
        <v>37.4</v>
      </c>
      <c r="CV314" s="3">
        <f t="shared" si="183"/>
        <v>1.46</v>
      </c>
      <c r="CW314" s="3">
        <f t="shared" si="184"/>
        <v>5.5</v>
      </c>
      <c r="CX314" s="24">
        <f t="shared" si="185"/>
        <v>0.629</v>
      </c>
      <c r="CY314" s="24">
        <f t="shared" si="185"/>
        <v>0.14599999999999999</v>
      </c>
      <c r="CZ314" s="16">
        <f t="shared" si="186"/>
        <v>12.72</v>
      </c>
    </row>
    <row r="315" spans="1:104" x14ac:dyDescent="0.2">
      <c r="A315" s="14">
        <f t="shared" si="187"/>
        <v>39026</v>
      </c>
      <c r="B315" s="1">
        <v>309</v>
      </c>
      <c r="C315" s="3">
        <v>3.2170000000000001</v>
      </c>
      <c r="D315" s="3">
        <v>5.9539999999999997</v>
      </c>
      <c r="E315" s="3">
        <v>2.2839999999999998</v>
      </c>
      <c r="F315" s="3">
        <v>100</v>
      </c>
      <c r="G315" s="3">
        <v>2.016</v>
      </c>
      <c r="H315" s="3">
        <v>1.9319999999999999</v>
      </c>
      <c r="I315" s="3">
        <v>1.696</v>
      </c>
      <c r="J315" s="3">
        <v>0.105</v>
      </c>
      <c r="K315" s="3">
        <v>0.92700000000000005</v>
      </c>
      <c r="L315" s="3">
        <v>2.2770000000000001</v>
      </c>
      <c r="M315" s="3">
        <v>2.1960000000000002</v>
      </c>
      <c r="N315" s="3">
        <v>0</v>
      </c>
      <c r="O315" s="3">
        <v>4.33</v>
      </c>
      <c r="P315" s="3">
        <v>1322</v>
      </c>
      <c r="Q315" s="3">
        <v>110.9</v>
      </c>
      <c r="R315" s="3">
        <v>2236</v>
      </c>
      <c r="S315" s="3">
        <v>5.7939999999999996</v>
      </c>
      <c r="T315" s="3">
        <v>5.8460000000000001</v>
      </c>
      <c r="U315" s="3">
        <v>1.931</v>
      </c>
      <c r="V315" s="3">
        <v>0.28499999999999998</v>
      </c>
      <c r="W315" s="3">
        <v>1.0489999999999999</v>
      </c>
      <c r="X315" s="3">
        <v>2.4500000000000002</v>
      </c>
      <c r="Y315" s="3">
        <v>5.4880000000000004</v>
      </c>
      <c r="Z315" s="3">
        <v>32</v>
      </c>
      <c r="AA315" s="3">
        <v>-3.0000000000000001E-3</v>
      </c>
      <c r="AB315" s="3">
        <v>2228</v>
      </c>
      <c r="AC315" s="3">
        <v>88.4</v>
      </c>
      <c r="AD315" s="3">
        <v>1428</v>
      </c>
      <c r="AE315" s="3">
        <v>-0.122</v>
      </c>
      <c r="AF315" s="3">
        <v>-0.154</v>
      </c>
      <c r="AG315" s="3">
        <v>1.54</v>
      </c>
      <c r="AH315" s="3">
        <v>-1.7999999999999999E-2</v>
      </c>
      <c r="AI315" s="3">
        <v>0.78300000000000003</v>
      </c>
      <c r="AJ315" s="3">
        <v>2.0990000000000002</v>
      </c>
      <c r="AK315" s="3">
        <v>1.9E-2</v>
      </c>
      <c r="AL315" s="3">
        <v>1.7000000000000001E-2</v>
      </c>
      <c r="AM315" s="3">
        <v>2.8000000000000001E-2</v>
      </c>
      <c r="AN315" s="3">
        <v>7.2999999999999995E-2</v>
      </c>
      <c r="AO315" s="3">
        <v>0.32800000000000001</v>
      </c>
      <c r="AP315" s="3">
        <v>0.374</v>
      </c>
      <c r="AQ315" s="3">
        <v>0.11700000000000001</v>
      </c>
      <c r="AR315" s="3">
        <v>4.3999999999999997E-2</v>
      </c>
      <c r="AS315" s="3">
        <v>6999</v>
      </c>
      <c r="AT315" s="3">
        <v>3367</v>
      </c>
      <c r="AU315" s="3">
        <v>6999</v>
      </c>
      <c r="AV315" s="3">
        <v>1.75</v>
      </c>
      <c r="AW315" s="3">
        <v>1.6970000000000001</v>
      </c>
      <c r="AX315" s="3">
        <v>3.8380000000000001</v>
      </c>
      <c r="AY315" s="3">
        <v>4.1520000000000001</v>
      </c>
      <c r="AZ315" s="3">
        <v>0.191</v>
      </c>
      <c r="BA315" s="3">
        <v>8.4000000000000005E-2</v>
      </c>
      <c r="BB315" s="3">
        <v>13.11</v>
      </c>
      <c r="BC315" s="3">
        <v>2876</v>
      </c>
      <c r="BD315" s="3"/>
      <c r="BE315" s="18">
        <v>100</v>
      </c>
      <c r="BG315" s="16">
        <v>7.86</v>
      </c>
      <c r="BH315" s="16">
        <f t="shared" si="156"/>
        <v>15.8772</v>
      </c>
      <c r="BI315" s="17">
        <f t="shared" si="190"/>
        <v>3.15</v>
      </c>
      <c r="BJ315" s="17">
        <f t="shared" si="191"/>
        <v>6.55</v>
      </c>
      <c r="BL315" s="1">
        <f t="shared" si="157"/>
        <v>99.6</v>
      </c>
      <c r="BM315" s="1">
        <f t="shared" si="158"/>
        <v>82.3</v>
      </c>
      <c r="BN315" s="1">
        <f t="shared" si="159"/>
        <v>70.8</v>
      </c>
      <c r="BO315" s="49">
        <f t="shared" si="165"/>
        <v>0.58899999999999997</v>
      </c>
      <c r="BP315" s="49">
        <f t="shared" si="166"/>
        <v>0.24299999999999999</v>
      </c>
      <c r="BQ315" s="1">
        <f t="shared" si="192"/>
        <v>2.2839999999999998</v>
      </c>
      <c r="BR315" s="3">
        <v>7.8</v>
      </c>
      <c r="BT315" s="16">
        <f t="shared" si="160"/>
        <v>3.15</v>
      </c>
      <c r="BU315" s="16">
        <f t="shared" si="161"/>
        <v>6.55</v>
      </c>
      <c r="BV315" s="3">
        <f t="shared" si="162"/>
        <v>2.2999999999999998</v>
      </c>
      <c r="BW315" s="3">
        <f t="shared" si="189"/>
        <v>2</v>
      </c>
      <c r="BX315" s="3">
        <f t="shared" si="189"/>
        <v>1.9</v>
      </c>
      <c r="BY315" s="3">
        <f t="shared" si="189"/>
        <v>1.7</v>
      </c>
      <c r="BZ315" s="3">
        <f t="shared" si="188"/>
        <v>0.1</v>
      </c>
      <c r="CA315" s="3">
        <f t="shared" si="188"/>
        <v>0.9</v>
      </c>
      <c r="CB315" s="3">
        <f t="shared" si="188"/>
        <v>2.2999999999999998</v>
      </c>
      <c r="CC315" s="22">
        <f t="shared" si="163"/>
        <v>82.3</v>
      </c>
      <c r="CD315" s="1">
        <f t="shared" si="167"/>
        <v>4.3</v>
      </c>
      <c r="CE315" s="1">
        <f t="shared" si="168"/>
        <v>5.8</v>
      </c>
      <c r="CF315" s="1">
        <f t="shared" si="169"/>
        <v>5.8</v>
      </c>
      <c r="CG315" s="1">
        <f t="shared" si="170"/>
        <v>1.9</v>
      </c>
      <c r="CH315" s="1">
        <f t="shared" si="171"/>
        <v>0.3</v>
      </c>
      <c r="CI315" s="1">
        <f t="shared" si="172"/>
        <v>1</v>
      </c>
      <c r="CJ315" s="1">
        <f t="shared" si="173"/>
        <v>2.5</v>
      </c>
      <c r="CK315" s="2">
        <f t="shared" si="164"/>
        <v>99.6</v>
      </c>
      <c r="CL315" s="1">
        <f t="shared" si="174"/>
        <v>0</v>
      </c>
      <c r="CM315" s="1">
        <f t="shared" si="175"/>
        <v>-0.1</v>
      </c>
      <c r="CN315" s="1">
        <f t="shared" si="176"/>
        <v>-0.2</v>
      </c>
      <c r="CO315" s="1">
        <f t="shared" si="177"/>
        <v>1.5</v>
      </c>
      <c r="CP315" s="1">
        <f t="shared" si="178"/>
        <v>0</v>
      </c>
      <c r="CQ315" s="1">
        <f t="shared" si="179"/>
        <v>0.8</v>
      </c>
      <c r="CR315" s="1">
        <f t="shared" si="180"/>
        <v>2.1</v>
      </c>
      <c r="CS315" s="2">
        <f t="shared" si="181"/>
        <v>70.8</v>
      </c>
      <c r="CT315" s="6">
        <f t="shared" si="182"/>
        <v>100</v>
      </c>
      <c r="CU315" s="1">
        <f>PPTest!K315</f>
        <v>8.1999999999999993</v>
      </c>
      <c r="CV315" s="3">
        <f t="shared" si="183"/>
        <v>2.2000000000000002</v>
      </c>
      <c r="CW315" s="3">
        <f t="shared" si="184"/>
        <v>5.49</v>
      </c>
      <c r="CX315" s="24">
        <f t="shared" si="185"/>
        <v>0.58899999999999997</v>
      </c>
      <c r="CY315" s="24">
        <f t="shared" si="185"/>
        <v>0.24299999999999999</v>
      </c>
      <c r="CZ315" s="16">
        <f t="shared" si="186"/>
        <v>13.11</v>
      </c>
    </row>
    <row r="316" spans="1:104" x14ac:dyDescent="0.2">
      <c r="A316" s="14">
        <f t="shared" si="187"/>
        <v>39027</v>
      </c>
      <c r="B316" s="1">
        <v>310</v>
      </c>
      <c r="C316" s="3">
        <v>0.84499999999999997</v>
      </c>
      <c r="D316" s="3">
        <v>2.1579999999999999</v>
      </c>
      <c r="E316" s="3">
        <v>5.2190000000000003</v>
      </c>
      <c r="F316" s="3">
        <v>104.7</v>
      </c>
      <c r="G316" s="3">
        <v>4.8099999999999996</v>
      </c>
      <c r="H316" s="3">
        <v>4.5750000000000002</v>
      </c>
      <c r="I316" s="3">
        <v>1.0900000000000001</v>
      </c>
      <c r="J316" s="3">
        <v>0.182</v>
      </c>
      <c r="K316" s="3">
        <v>0.82199999999999995</v>
      </c>
      <c r="L316" s="3">
        <v>2.1059999999999999</v>
      </c>
      <c r="M316" s="3">
        <v>2.363</v>
      </c>
      <c r="N316" s="3">
        <v>4</v>
      </c>
      <c r="O316" s="3">
        <v>8.76</v>
      </c>
      <c r="P316" s="3">
        <v>1950</v>
      </c>
      <c r="Q316" s="3">
        <v>110.7</v>
      </c>
      <c r="R316" s="3">
        <v>221</v>
      </c>
      <c r="S316" s="3">
        <v>8.86</v>
      </c>
      <c r="T316" s="3">
        <v>8.8000000000000007</v>
      </c>
      <c r="U316" s="3">
        <v>1.7689999999999999</v>
      </c>
      <c r="V316" s="3">
        <v>0.28999999999999998</v>
      </c>
      <c r="W316" s="3">
        <v>0.91100000000000003</v>
      </c>
      <c r="X316" s="3">
        <v>2.218</v>
      </c>
      <c r="Y316" s="3">
        <v>8.33</v>
      </c>
      <c r="Z316" s="3">
        <v>2220</v>
      </c>
      <c r="AA316" s="3">
        <v>0.13700000000000001</v>
      </c>
      <c r="AB316" s="3">
        <v>14</v>
      </c>
      <c r="AC316" s="3">
        <v>92.2</v>
      </c>
      <c r="AD316" s="3">
        <v>2259</v>
      </c>
      <c r="AE316" s="3">
        <v>-7.5999999999999998E-2</v>
      </c>
      <c r="AF316" s="3">
        <v>-0.11600000000000001</v>
      </c>
      <c r="AG316" s="3">
        <v>0.67800000000000005</v>
      </c>
      <c r="AH316" s="3">
        <v>6.5000000000000002E-2</v>
      </c>
      <c r="AI316" s="3">
        <v>0.748</v>
      </c>
      <c r="AJ316" s="3">
        <v>1.9850000000000001</v>
      </c>
      <c r="AK316" s="3">
        <v>3.2000000000000001E-2</v>
      </c>
      <c r="AL316" s="3">
        <v>1.2E-2</v>
      </c>
      <c r="AM316" s="3">
        <v>2.9000000000000001E-2</v>
      </c>
      <c r="AN316" s="3">
        <v>6.4000000000000001E-2</v>
      </c>
      <c r="AO316" s="3">
        <v>0.25800000000000001</v>
      </c>
      <c r="AP316" s="3">
        <v>0.31900000000000001</v>
      </c>
      <c r="AQ316" s="3">
        <v>0.20599999999999999</v>
      </c>
      <c r="AR316" s="3">
        <v>7.8E-2</v>
      </c>
      <c r="AS316" s="3">
        <v>3440</v>
      </c>
      <c r="AT316" s="3">
        <v>3414</v>
      </c>
      <c r="AU316" s="3">
        <v>3425</v>
      </c>
      <c r="AV316" s="3">
        <v>3.51</v>
      </c>
      <c r="AW316" s="3">
        <v>3.5979999999999999</v>
      </c>
      <c r="AX316" s="3">
        <v>6.3140000000000001</v>
      </c>
      <c r="AY316" s="3">
        <v>6.3490000000000002</v>
      </c>
      <c r="AZ316" s="3">
        <v>0.129</v>
      </c>
      <c r="BA316" s="3">
        <v>4.3999999999999997E-2</v>
      </c>
      <c r="BB316" s="3">
        <v>12.67</v>
      </c>
      <c r="BC316" s="3">
        <v>2876</v>
      </c>
      <c r="BD316" s="3"/>
      <c r="BE316" s="6">
        <f>BE$2-AU316</f>
        <v>85</v>
      </c>
      <c r="BG316" s="16">
        <v>7.71</v>
      </c>
      <c r="BH316" s="16">
        <f t="shared" si="156"/>
        <v>15.574199999999999</v>
      </c>
      <c r="BI316" s="17">
        <f t="shared" si="190"/>
        <v>0.83</v>
      </c>
      <c r="BJ316" s="17">
        <f t="shared" si="191"/>
        <v>2.37</v>
      </c>
      <c r="BL316" s="1">
        <f t="shared" si="157"/>
        <v>99.3</v>
      </c>
      <c r="BM316" s="1">
        <f t="shared" si="158"/>
        <v>89.8</v>
      </c>
      <c r="BN316" s="1">
        <f t="shared" si="159"/>
        <v>74.099999999999994</v>
      </c>
      <c r="BO316" s="49">
        <f t="shared" si="165"/>
        <v>0.83699999999999997</v>
      </c>
      <c r="BP316" s="49">
        <f t="shared" si="166"/>
        <v>0.29299999999999998</v>
      </c>
      <c r="BQ316" s="1">
        <f t="shared" si="192"/>
        <v>5.2190000000000003</v>
      </c>
      <c r="BR316" s="3">
        <v>11.2</v>
      </c>
      <c r="BT316" s="16">
        <f t="shared" si="160"/>
        <v>0.83</v>
      </c>
      <c r="BU316" s="16">
        <f t="shared" si="161"/>
        <v>2.37</v>
      </c>
      <c r="BV316" s="3">
        <f t="shared" si="162"/>
        <v>5.2</v>
      </c>
      <c r="BW316" s="3">
        <f t="shared" si="189"/>
        <v>4.8</v>
      </c>
      <c r="BX316" s="3">
        <f t="shared" si="189"/>
        <v>4.5999999999999996</v>
      </c>
      <c r="BY316" s="3">
        <f t="shared" si="189"/>
        <v>1.1000000000000001</v>
      </c>
      <c r="BZ316" s="3">
        <f t="shared" si="188"/>
        <v>0.2</v>
      </c>
      <c r="CA316" s="3">
        <f t="shared" si="188"/>
        <v>0.8</v>
      </c>
      <c r="CB316" s="3">
        <f t="shared" si="188"/>
        <v>2.1</v>
      </c>
      <c r="CC316" s="22">
        <f t="shared" si="163"/>
        <v>89.8</v>
      </c>
      <c r="CD316" s="1">
        <f t="shared" si="167"/>
        <v>8.8000000000000007</v>
      </c>
      <c r="CE316" s="1">
        <f t="shared" si="168"/>
        <v>8.9</v>
      </c>
      <c r="CF316" s="1">
        <f t="shared" si="169"/>
        <v>8.8000000000000007</v>
      </c>
      <c r="CG316" s="1">
        <f t="shared" si="170"/>
        <v>1.8</v>
      </c>
      <c r="CH316" s="1">
        <f t="shared" si="171"/>
        <v>0.3</v>
      </c>
      <c r="CI316" s="1">
        <f t="shared" si="172"/>
        <v>0.9</v>
      </c>
      <c r="CJ316" s="1">
        <f t="shared" si="173"/>
        <v>2.2000000000000002</v>
      </c>
      <c r="CK316" s="2">
        <f t="shared" si="164"/>
        <v>99.3</v>
      </c>
      <c r="CL316" s="1">
        <f t="shared" si="174"/>
        <v>0.1</v>
      </c>
      <c r="CM316" s="1">
        <f t="shared" si="175"/>
        <v>-0.1</v>
      </c>
      <c r="CN316" s="1">
        <f t="shared" si="176"/>
        <v>-0.1</v>
      </c>
      <c r="CO316" s="1">
        <f t="shared" si="177"/>
        <v>0.7</v>
      </c>
      <c r="CP316" s="1">
        <f t="shared" si="178"/>
        <v>0.1</v>
      </c>
      <c r="CQ316" s="1">
        <f t="shared" si="179"/>
        <v>0.7</v>
      </c>
      <c r="CR316" s="1">
        <f t="shared" si="180"/>
        <v>2</v>
      </c>
      <c r="CS316" s="2">
        <f t="shared" si="181"/>
        <v>74.099999999999994</v>
      </c>
      <c r="CT316" s="6">
        <f t="shared" si="182"/>
        <v>85</v>
      </c>
      <c r="CU316" s="1">
        <f>PPTest!K316</f>
        <v>11.8</v>
      </c>
      <c r="CV316" s="3">
        <f t="shared" si="183"/>
        <v>2.36</v>
      </c>
      <c r="CW316" s="3">
        <f t="shared" si="184"/>
        <v>8.33</v>
      </c>
      <c r="CX316" s="24">
        <f t="shared" si="185"/>
        <v>0.83699999999999997</v>
      </c>
      <c r="CY316" s="24">
        <f t="shared" si="185"/>
        <v>0.29299999999999998</v>
      </c>
      <c r="CZ316" s="16">
        <f t="shared" si="186"/>
        <v>12.67</v>
      </c>
    </row>
    <row r="317" spans="1:104" x14ac:dyDescent="0.2">
      <c r="A317" s="14">
        <f t="shared" si="187"/>
        <v>39028</v>
      </c>
      <c r="B317" s="1">
        <v>311</v>
      </c>
      <c r="C317" s="3">
        <v>1.7250000000000001</v>
      </c>
      <c r="D317" s="3">
        <v>3.2839999999999998</v>
      </c>
      <c r="E317" s="3">
        <v>3.4460000000000002</v>
      </c>
      <c r="F317" s="3">
        <v>98.5</v>
      </c>
      <c r="G317" s="3">
        <v>2.919</v>
      </c>
      <c r="H317" s="3">
        <v>2.891</v>
      </c>
      <c r="I317" s="3">
        <v>1.4450000000000001</v>
      </c>
      <c r="J317" s="3">
        <v>0.27100000000000002</v>
      </c>
      <c r="K317" s="3">
        <v>0.72499999999999998</v>
      </c>
      <c r="L317" s="3">
        <v>1.885</v>
      </c>
      <c r="M317" s="3">
        <v>2.6760000000000002</v>
      </c>
      <c r="N317" s="3">
        <v>0</v>
      </c>
      <c r="O317" s="3">
        <v>6.7910000000000004</v>
      </c>
      <c r="P317" s="3">
        <v>9</v>
      </c>
      <c r="Q317" s="3">
        <v>109.4</v>
      </c>
      <c r="R317" s="3">
        <v>1322</v>
      </c>
      <c r="S317" s="3">
        <v>6.6740000000000004</v>
      </c>
      <c r="T317" s="3">
        <v>6.6180000000000003</v>
      </c>
      <c r="U317" s="3">
        <v>1.724</v>
      </c>
      <c r="V317" s="3">
        <v>0.44500000000000001</v>
      </c>
      <c r="W317" s="3">
        <v>0.86699999999999999</v>
      </c>
      <c r="X317" s="3">
        <v>2.0449999999999999</v>
      </c>
      <c r="Y317" s="3">
        <v>7.2</v>
      </c>
      <c r="Z317" s="3">
        <v>54</v>
      </c>
      <c r="AA317" s="3">
        <v>-0.47399999999999998</v>
      </c>
      <c r="AB317" s="3">
        <v>2357</v>
      </c>
      <c r="AC317" s="3">
        <v>88.4</v>
      </c>
      <c r="AD317" s="3">
        <v>304</v>
      </c>
      <c r="AE317" s="3">
        <v>-0.92700000000000005</v>
      </c>
      <c r="AF317" s="3">
        <v>-1.0289999999999999</v>
      </c>
      <c r="AG317" s="3">
        <v>1.0369999999999999</v>
      </c>
      <c r="AH317" s="3">
        <v>9.0999999999999998E-2</v>
      </c>
      <c r="AI317" s="3">
        <v>0.61299999999999999</v>
      </c>
      <c r="AJ317" s="3">
        <v>1.7</v>
      </c>
      <c r="AK317" s="3">
        <v>1.2999999999999999E-2</v>
      </c>
      <c r="AL317" s="3">
        <v>1.9E-2</v>
      </c>
      <c r="AM317" s="3">
        <v>2.4E-2</v>
      </c>
      <c r="AN317" s="3">
        <v>5.8000000000000003E-2</v>
      </c>
      <c r="AO317" s="3">
        <v>0.29099999999999998</v>
      </c>
      <c r="AP317" s="3">
        <v>0.435</v>
      </c>
      <c r="AQ317" s="3">
        <v>0.126</v>
      </c>
      <c r="AR317" s="3">
        <v>3.4000000000000002E-2</v>
      </c>
      <c r="AS317" s="3">
        <v>3454</v>
      </c>
      <c r="AT317" s="3">
        <v>3449</v>
      </c>
      <c r="AU317" s="3">
        <v>3452</v>
      </c>
      <c r="AV317" s="3">
        <v>2.819</v>
      </c>
      <c r="AW317" s="3">
        <v>2.645</v>
      </c>
      <c r="AX317" s="3">
        <v>5.77</v>
      </c>
      <c r="AY317" s="3">
        <v>5.4669999999999996</v>
      </c>
      <c r="AZ317" s="3">
        <v>-0.57299999999999995</v>
      </c>
      <c r="BA317" s="3">
        <v>-0.83499999999999996</v>
      </c>
      <c r="BB317" s="3">
        <v>12.6</v>
      </c>
      <c r="BC317" s="3">
        <v>2876</v>
      </c>
      <c r="BD317" s="3"/>
      <c r="BE317" s="6">
        <f>BE$2-AU317</f>
        <v>58</v>
      </c>
      <c r="BG317" s="16">
        <v>7.55</v>
      </c>
      <c r="BH317" s="16">
        <f t="shared" si="156"/>
        <v>15.250999999999999</v>
      </c>
      <c r="BI317" s="17">
        <f t="shared" si="190"/>
        <v>1.69</v>
      </c>
      <c r="BJ317" s="17">
        <f t="shared" si="191"/>
        <v>3.61</v>
      </c>
      <c r="BL317" s="1">
        <f t="shared" si="157"/>
        <v>97.2</v>
      </c>
      <c r="BM317" s="1">
        <f t="shared" si="158"/>
        <v>79.7</v>
      </c>
      <c r="BN317" s="1">
        <f t="shared" si="159"/>
        <v>70.8</v>
      </c>
      <c r="BO317" s="49">
        <f t="shared" si="165"/>
        <v>0.69899999999999995</v>
      </c>
      <c r="BP317" s="49">
        <f t="shared" si="166"/>
        <v>0.28799999999999998</v>
      </c>
      <c r="BQ317" s="1">
        <f t="shared" si="192"/>
        <v>3.4460000000000002</v>
      </c>
      <c r="BR317" s="3">
        <v>2.2000000000000002</v>
      </c>
      <c r="BT317" s="16">
        <f t="shared" si="160"/>
        <v>1.69</v>
      </c>
      <c r="BU317" s="16">
        <f t="shared" si="161"/>
        <v>3.61</v>
      </c>
      <c r="BV317" s="3">
        <f t="shared" si="162"/>
        <v>3.4</v>
      </c>
      <c r="BW317" s="3">
        <f t="shared" si="189"/>
        <v>2.9</v>
      </c>
      <c r="BX317" s="3">
        <f t="shared" si="189"/>
        <v>2.9</v>
      </c>
      <c r="BY317" s="3">
        <f t="shared" si="189"/>
        <v>1.4</v>
      </c>
      <c r="BZ317" s="3">
        <f t="shared" si="188"/>
        <v>0.3</v>
      </c>
      <c r="CA317" s="3">
        <f t="shared" si="188"/>
        <v>0.7</v>
      </c>
      <c r="CB317" s="3">
        <f t="shared" si="188"/>
        <v>1.9</v>
      </c>
      <c r="CC317" s="22">
        <f t="shared" si="163"/>
        <v>79.7</v>
      </c>
      <c r="CD317" s="1">
        <f t="shared" si="167"/>
        <v>6.8</v>
      </c>
      <c r="CE317" s="1">
        <f t="shared" si="168"/>
        <v>6.7</v>
      </c>
      <c r="CF317" s="1">
        <f t="shared" si="169"/>
        <v>6.6</v>
      </c>
      <c r="CG317" s="1">
        <f t="shared" si="170"/>
        <v>1.7</v>
      </c>
      <c r="CH317" s="1">
        <f t="shared" si="171"/>
        <v>0.4</v>
      </c>
      <c r="CI317" s="1">
        <f t="shared" si="172"/>
        <v>0.9</v>
      </c>
      <c r="CJ317" s="1">
        <f t="shared" si="173"/>
        <v>2</v>
      </c>
      <c r="CK317" s="2">
        <f t="shared" si="164"/>
        <v>97.2</v>
      </c>
      <c r="CL317" s="1">
        <f t="shared" si="174"/>
        <v>-0.5</v>
      </c>
      <c r="CM317" s="1">
        <f t="shared" si="175"/>
        <v>-0.9</v>
      </c>
      <c r="CN317" s="1">
        <f t="shared" si="176"/>
        <v>-1</v>
      </c>
      <c r="CO317" s="1">
        <f t="shared" si="177"/>
        <v>1</v>
      </c>
      <c r="CP317" s="1">
        <f t="shared" si="178"/>
        <v>0.1</v>
      </c>
      <c r="CQ317" s="1">
        <f t="shared" si="179"/>
        <v>0.6</v>
      </c>
      <c r="CR317" s="1">
        <f t="shared" si="180"/>
        <v>1.7</v>
      </c>
      <c r="CS317" s="2">
        <f t="shared" si="181"/>
        <v>70.8</v>
      </c>
      <c r="CT317" s="6">
        <f t="shared" si="182"/>
        <v>58</v>
      </c>
      <c r="CU317" s="1">
        <f>PPTest!K317</f>
        <v>2.2999999999999998</v>
      </c>
      <c r="CV317" s="3">
        <f t="shared" si="183"/>
        <v>2.68</v>
      </c>
      <c r="CW317" s="3">
        <f t="shared" si="184"/>
        <v>7.2</v>
      </c>
      <c r="CX317" s="24">
        <f t="shared" si="185"/>
        <v>0.69899999999999995</v>
      </c>
      <c r="CY317" s="24">
        <f t="shared" si="185"/>
        <v>0.28799999999999998</v>
      </c>
      <c r="CZ317" s="16">
        <f t="shared" si="186"/>
        <v>12.6</v>
      </c>
    </row>
    <row r="318" spans="1:104" x14ac:dyDescent="0.2">
      <c r="A318" s="14">
        <f t="shared" si="187"/>
        <v>39029</v>
      </c>
      <c r="B318" s="1">
        <v>312</v>
      </c>
      <c r="C318" s="3">
        <v>1.9610000000000001</v>
      </c>
      <c r="D318" s="3">
        <v>3.194</v>
      </c>
      <c r="E318" s="3">
        <v>-2.5539999999999998</v>
      </c>
      <c r="F318" s="3">
        <v>105.3</v>
      </c>
      <c r="G318" s="3">
        <v>-2.657</v>
      </c>
      <c r="H318" s="3">
        <v>-2.6520000000000001</v>
      </c>
      <c r="I318" s="3">
        <v>1.363</v>
      </c>
      <c r="J318" s="3">
        <v>7.0000000000000007E-2</v>
      </c>
      <c r="K318" s="3">
        <v>0.66900000000000004</v>
      </c>
      <c r="L318" s="3">
        <v>1.6879999999999999</v>
      </c>
      <c r="M318" s="3">
        <v>1.579</v>
      </c>
      <c r="N318" s="3">
        <v>0</v>
      </c>
      <c r="O318" s="3">
        <v>-0.51100000000000001</v>
      </c>
      <c r="P318" s="3">
        <v>1</v>
      </c>
      <c r="Q318" s="3">
        <v>111.2</v>
      </c>
      <c r="R318" s="3">
        <v>2300</v>
      </c>
      <c r="S318" s="3">
        <v>-6.3E-2</v>
      </c>
      <c r="T318" s="3">
        <v>-0.313</v>
      </c>
      <c r="U318" s="3">
        <v>1.7330000000000001</v>
      </c>
      <c r="V318" s="3">
        <v>0.184</v>
      </c>
      <c r="W318" s="3">
        <v>0.77400000000000002</v>
      </c>
      <c r="X318" s="3">
        <v>1.788</v>
      </c>
      <c r="Y318" s="3">
        <v>5.3550000000000004</v>
      </c>
      <c r="Z318" s="3">
        <v>52</v>
      </c>
      <c r="AA318" s="3">
        <v>-6.5</v>
      </c>
      <c r="AB318" s="3">
        <v>0</v>
      </c>
      <c r="AC318" s="3">
        <v>91.4</v>
      </c>
      <c r="AD318" s="3">
        <v>400</v>
      </c>
      <c r="AE318" s="3">
        <v>-7.69</v>
      </c>
      <c r="AF318" s="3">
        <v>-7.89</v>
      </c>
      <c r="AG318" s="3">
        <v>0.66400000000000003</v>
      </c>
      <c r="AH318" s="3">
        <v>-8.5999999999999993E-2</v>
      </c>
      <c r="AI318" s="3">
        <v>0.56100000000000005</v>
      </c>
      <c r="AJ318" s="3">
        <v>1.536</v>
      </c>
      <c r="AK318" s="3">
        <v>2.5999999999999999E-2</v>
      </c>
      <c r="AL318" s="3">
        <v>0.10299999999999999</v>
      </c>
      <c r="AM318" s="3">
        <v>4.9000000000000002E-2</v>
      </c>
      <c r="AN318" s="3">
        <v>3.9E-2</v>
      </c>
      <c r="AO318" s="3">
        <v>0.23300000000000001</v>
      </c>
      <c r="AP318" s="3">
        <v>0.39900000000000002</v>
      </c>
      <c r="AQ318" s="3">
        <v>0.11600000000000001</v>
      </c>
      <c r="AR318" s="3">
        <v>3.5000000000000003E-2</v>
      </c>
      <c r="AS318" s="3">
        <v>6999</v>
      </c>
      <c r="AT318" s="3">
        <v>6999</v>
      </c>
      <c r="AU318" s="3">
        <v>6999</v>
      </c>
      <c r="AV318" s="3">
        <v>-2.2389999999999999</v>
      </c>
      <c r="AW318" s="3">
        <v>-2.4159999999999999</v>
      </c>
      <c r="AX318" s="3">
        <v>-0.57299999999999995</v>
      </c>
      <c r="AY318" s="3">
        <v>-0.81599999999999995</v>
      </c>
      <c r="AZ318" s="3">
        <v>-6.3040000000000003</v>
      </c>
      <c r="BA318" s="3">
        <v>-6.9409999999999998</v>
      </c>
      <c r="BB318" s="3">
        <v>12.72</v>
      </c>
      <c r="BC318" s="3">
        <v>2876</v>
      </c>
      <c r="BD318" s="3"/>
      <c r="BE318" s="18">
        <v>58</v>
      </c>
      <c r="BG318" s="16">
        <v>7.41</v>
      </c>
      <c r="BH318" s="16">
        <f t="shared" si="156"/>
        <v>14.968200000000001</v>
      </c>
      <c r="BI318" s="17">
        <f t="shared" si="190"/>
        <v>1.92</v>
      </c>
      <c r="BJ318" s="17">
        <f t="shared" si="191"/>
        <v>3.51</v>
      </c>
      <c r="BL318" s="1">
        <f t="shared" si="157"/>
        <v>100</v>
      </c>
      <c r="BM318" s="1">
        <f t="shared" si="158"/>
        <v>90.7</v>
      </c>
      <c r="BN318" s="1">
        <f t="shared" si="159"/>
        <v>73.400000000000006</v>
      </c>
      <c r="BO318" s="49">
        <f t="shared" si="165"/>
        <v>0.432</v>
      </c>
      <c r="BP318" s="49">
        <f t="shared" si="166"/>
        <v>0.157</v>
      </c>
      <c r="BQ318" s="1">
        <f t="shared" si="192"/>
        <v>-2.5539999999999998</v>
      </c>
      <c r="BR318" s="3">
        <v>0</v>
      </c>
      <c r="BT318" s="16">
        <f t="shared" si="160"/>
        <v>1.92</v>
      </c>
      <c r="BU318" s="16">
        <f t="shared" si="161"/>
        <v>3.51</v>
      </c>
      <c r="BV318" s="3">
        <f t="shared" si="162"/>
        <v>-2.6</v>
      </c>
      <c r="BW318" s="3">
        <f t="shared" si="189"/>
        <v>-2.7</v>
      </c>
      <c r="BX318" s="3">
        <f t="shared" si="189"/>
        <v>-2.7</v>
      </c>
      <c r="BY318" s="3">
        <f t="shared" si="189"/>
        <v>1.4</v>
      </c>
      <c r="BZ318" s="3">
        <f t="shared" si="188"/>
        <v>0.1</v>
      </c>
      <c r="CA318" s="3">
        <f t="shared" si="188"/>
        <v>0.7</v>
      </c>
      <c r="CB318" s="3">
        <f t="shared" si="188"/>
        <v>1.7</v>
      </c>
      <c r="CC318" s="22">
        <f t="shared" si="163"/>
        <v>90.7</v>
      </c>
      <c r="CD318" s="1">
        <f t="shared" si="167"/>
        <v>-0.5</v>
      </c>
      <c r="CE318" s="1">
        <f t="shared" si="168"/>
        <v>-0.1</v>
      </c>
      <c r="CF318" s="1">
        <f t="shared" si="169"/>
        <v>-0.3</v>
      </c>
      <c r="CG318" s="1">
        <f t="shared" si="170"/>
        <v>1.7</v>
      </c>
      <c r="CH318" s="1">
        <f t="shared" si="171"/>
        <v>0.2</v>
      </c>
      <c r="CI318" s="1">
        <f t="shared" si="172"/>
        <v>0.8</v>
      </c>
      <c r="CJ318" s="1">
        <f t="shared" si="173"/>
        <v>1.8</v>
      </c>
      <c r="CK318" s="2">
        <f t="shared" si="164"/>
        <v>100</v>
      </c>
      <c r="CL318" s="1">
        <f t="shared" si="174"/>
        <v>-6.5</v>
      </c>
      <c r="CM318" s="1">
        <f t="shared" si="175"/>
        <v>-7.7</v>
      </c>
      <c r="CN318" s="1">
        <f t="shared" si="176"/>
        <v>-7.9</v>
      </c>
      <c r="CO318" s="1">
        <f t="shared" si="177"/>
        <v>0.7</v>
      </c>
      <c r="CP318" s="1">
        <f t="shared" si="178"/>
        <v>-0.1</v>
      </c>
      <c r="CQ318" s="1">
        <f t="shared" si="179"/>
        <v>0.6</v>
      </c>
      <c r="CR318" s="1">
        <f t="shared" si="180"/>
        <v>1.5</v>
      </c>
      <c r="CS318" s="2">
        <f t="shared" si="181"/>
        <v>73.400000000000006</v>
      </c>
      <c r="CT318" s="6">
        <f t="shared" si="182"/>
        <v>58</v>
      </c>
      <c r="CU318" s="1">
        <f>PPTest!K318</f>
        <v>0</v>
      </c>
      <c r="CV318" s="3">
        <f t="shared" si="183"/>
        <v>1.58</v>
      </c>
      <c r="CW318" s="3">
        <f t="shared" si="184"/>
        <v>5.36</v>
      </c>
      <c r="CX318" s="24">
        <f t="shared" si="185"/>
        <v>0.432</v>
      </c>
      <c r="CY318" s="24">
        <f t="shared" si="185"/>
        <v>0.157</v>
      </c>
      <c r="CZ318" s="16">
        <f t="shared" si="186"/>
        <v>12.72</v>
      </c>
    </row>
    <row r="319" spans="1:104" x14ac:dyDescent="0.2">
      <c r="A319" s="14">
        <f t="shared" si="187"/>
        <v>39030</v>
      </c>
      <c r="B319" s="1">
        <v>313</v>
      </c>
      <c r="C319" s="3">
        <v>1.351</v>
      </c>
      <c r="D319" s="3">
        <v>2.3650000000000002</v>
      </c>
      <c r="E319" s="3">
        <v>-6.4660000000000002</v>
      </c>
      <c r="F319" s="3">
        <v>107.4</v>
      </c>
      <c r="G319" s="3">
        <v>-6.89</v>
      </c>
      <c r="H319" s="3">
        <v>-7.02</v>
      </c>
      <c r="I319" s="3">
        <v>0.17699999999999999</v>
      </c>
      <c r="J319" s="3">
        <v>8.0000000000000002E-3</v>
      </c>
      <c r="K319" s="3">
        <v>0.65400000000000003</v>
      </c>
      <c r="L319" s="3">
        <v>1.5840000000000001</v>
      </c>
      <c r="M319" s="3">
        <v>1.0129999999999999</v>
      </c>
      <c r="N319" s="3">
        <v>0</v>
      </c>
      <c r="O319" s="3">
        <v>-2.6520000000000001</v>
      </c>
      <c r="P319" s="3">
        <v>1501</v>
      </c>
      <c r="Q319" s="3">
        <v>110.1</v>
      </c>
      <c r="R319" s="3">
        <v>2130</v>
      </c>
      <c r="S319" s="3">
        <v>-1.911</v>
      </c>
      <c r="T319" s="3">
        <v>-2.7349999999999999</v>
      </c>
      <c r="U319" s="3">
        <v>1.149</v>
      </c>
      <c r="V319" s="3">
        <v>0.17499999999999999</v>
      </c>
      <c r="W319" s="3">
        <v>0.80300000000000005</v>
      </c>
      <c r="X319" s="3">
        <v>1.7330000000000001</v>
      </c>
      <c r="Y319" s="3">
        <v>2.5350000000000001</v>
      </c>
      <c r="Z319" s="3">
        <v>2316</v>
      </c>
      <c r="AA319" s="3">
        <v>-9.99</v>
      </c>
      <c r="AB319" s="3">
        <v>2015</v>
      </c>
      <c r="AC319" s="3">
        <v>96.7</v>
      </c>
      <c r="AD319" s="3">
        <v>1504</v>
      </c>
      <c r="AE319" s="3">
        <v>-10.98</v>
      </c>
      <c r="AF319" s="3">
        <v>-11.26</v>
      </c>
      <c r="AG319" s="3">
        <v>-1.6950000000000001</v>
      </c>
      <c r="AH319" s="3">
        <v>-0.33800000000000002</v>
      </c>
      <c r="AI319" s="3">
        <v>0.33800000000000002</v>
      </c>
      <c r="AJ319" s="3">
        <v>1.2569999999999999</v>
      </c>
      <c r="AK319" s="3">
        <v>6.5000000000000002E-2</v>
      </c>
      <c r="AL319" s="3">
        <v>0.30599999999999999</v>
      </c>
      <c r="AM319" s="3">
        <v>0.28199999999999997</v>
      </c>
      <c r="AN319" s="3">
        <v>3.4000000000000002E-2</v>
      </c>
      <c r="AO319" s="3">
        <v>0.124</v>
      </c>
      <c r="AP319" s="3">
        <v>0.14699999999999999</v>
      </c>
      <c r="AQ319" s="3">
        <v>3.7999999999999999E-2</v>
      </c>
      <c r="AR319" s="3">
        <v>4.0000000000000001E-3</v>
      </c>
      <c r="AS319" s="3">
        <v>3443</v>
      </c>
      <c r="AT319" s="3">
        <v>3417</v>
      </c>
      <c r="AU319" s="3">
        <v>3423</v>
      </c>
      <c r="AV319" s="3">
        <v>-7.22</v>
      </c>
      <c r="AW319" s="3">
        <v>-7.32</v>
      </c>
      <c r="AX319" s="3">
        <v>-2.7789999999999999</v>
      </c>
      <c r="AY319" s="3">
        <v>-2.8359999999999999</v>
      </c>
      <c r="AZ319" s="3">
        <v>-10.63</v>
      </c>
      <c r="BA319" s="3">
        <v>-10.95</v>
      </c>
      <c r="BB319" s="3">
        <v>13.09</v>
      </c>
      <c r="BC319" s="3">
        <v>2876</v>
      </c>
      <c r="BD319" s="3"/>
      <c r="BE319" s="6">
        <f>BE$2-AU319</f>
        <v>87</v>
      </c>
      <c r="BG319" s="16">
        <v>7.26</v>
      </c>
      <c r="BH319" s="16">
        <f t="shared" si="156"/>
        <v>14.6652</v>
      </c>
      <c r="BI319" s="17">
        <f t="shared" si="190"/>
        <v>1.32</v>
      </c>
      <c r="BJ319" s="17">
        <f t="shared" si="191"/>
        <v>2.6</v>
      </c>
      <c r="BL319" s="1">
        <f t="shared" si="157"/>
        <v>98.4</v>
      </c>
      <c r="BM319" s="1">
        <f t="shared" si="158"/>
        <v>94.1</v>
      </c>
      <c r="BN319" s="1">
        <f t="shared" si="159"/>
        <v>78.099999999999994</v>
      </c>
      <c r="BO319" s="49">
        <f t="shared" si="165"/>
        <v>0.39200000000000002</v>
      </c>
      <c r="BP319" s="49">
        <f t="shared" si="166"/>
        <v>0.11</v>
      </c>
      <c r="BQ319" s="1">
        <f t="shared" si="192"/>
        <v>-6.4660000000000002</v>
      </c>
      <c r="BR319" s="3">
        <v>1.8</v>
      </c>
      <c r="BT319" s="16">
        <f t="shared" si="160"/>
        <v>1.32</v>
      </c>
      <c r="BU319" s="16">
        <f t="shared" si="161"/>
        <v>2.6</v>
      </c>
      <c r="BV319" s="3">
        <f t="shared" si="162"/>
        <v>-6.5</v>
      </c>
      <c r="BW319" s="3">
        <f t="shared" si="189"/>
        <v>-6.9</v>
      </c>
      <c r="BX319" s="3">
        <f t="shared" si="189"/>
        <v>-7</v>
      </c>
      <c r="BY319" s="3">
        <f t="shared" si="189"/>
        <v>0.2</v>
      </c>
      <c r="BZ319" s="3">
        <f t="shared" si="188"/>
        <v>0</v>
      </c>
      <c r="CA319" s="3">
        <f t="shared" si="188"/>
        <v>0.7</v>
      </c>
      <c r="CB319" s="3">
        <f t="shared" si="188"/>
        <v>1.6</v>
      </c>
      <c r="CC319" s="22">
        <f t="shared" si="163"/>
        <v>94.1</v>
      </c>
      <c r="CD319" s="1">
        <f t="shared" si="167"/>
        <v>-2.7</v>
      </c>
      <c r="CE319" s="1">
        <f t="shared" si="168"/>
        <v>-1.9</v>
      </c>
      <c r="CF319" s="1">
        <f t="shared" si="169"/>
        <v>-2.7</v>
      </c>
      <c r="CG319" s="1">
        <f t="shared" si="170"/>
        <v>1.1000000000000001</v>
      </c>
      <c r="CH319" s="1">
        <f t="shared" si="171"/>
        <v>0.2</v>
      </c>
      <c r="CI319" s="1">
        <f t="shared" si="172"/>
        <v>0.8</v>
      </c>
      <c r="CJ319" s="1">
        <f t="shared" si="173"/>
        <v>1.7</v>
      </c>
      <c r="CK319" s="2">
        <f t="shared" si="164"/>
        <v>98.4</v>
      </c>
      <c r="CL319" s="1">
        <f t="shared" si="174"/>
        <v>-10</v>
      </c>
      <c r="CM319" s="1">
        <f t="shared" si="175"/>
        <v>-11</v>
      </c>
      <c r="CN319" s="1">
        <f t="shared" si="176"/>
        <v>-11.3</v>
      </c>
      <c r="CO319" s="1">
        <f t="shared" si="177"/>
        <v>-1.7</v>
      </c>
      <c r="CP319" s="1">
        <f t="shared" si="178"/>
        <v>-0.3</v>
      </c>
      <c r="CQ319" s="1">
        <f t="shared" si="179"/>
        <v>0.3</v>
      </c>
      <c r="CR319" s="1">
        <f t="shared" si="180"/>
        <v>1.3</v>
      </c>
      <c r="CS319" s="2">
        <f t="shared" si="181"/>
        <v>78.099999999999994</v>
      </c>
      <c r="CT319" s="6">
        <f t="shared" si="182"/>
        <v>87</v>
      </c>
      <c r="CU319" s="1">
        <f>PPTest!K319</f>
        <v>1.9</v>
      </c>
      <c r="CV319" s="3">
        <f t="shared" si="183"/>
        <v>1.01</v>
      </c>
      <c r="CW319" s="3">
        <f t="shared" si="184"/>
        <v>2.54</v>
      </c>
      <c r="CX319" s="24">
        <f t="shared" si="185"/>
        <v>0.39200000000000002</v>
      </c>
      <c r="CY319" s="24">
        <f t="shared" si="185"/>
        <v>0.11</v>
      </c>
      <c r="CZ319" s="16">
        <f t="shared" si="186"/>
        <v>13.09</v>
      </c>
    </row>
    <row r="320" spans="1:104" x14ac:dyDescent="0.2">
      <c r="A320" s="14">
        <f t="shared" si="187"/>
        <v>39031</v>
      </c>
      <c r="B320" s="1">
        <v>314</v>
      </c>
      <c r="C320" s="3">
        <v>0.40899999999999997</v>
      </c>
      <c r="D320" s="3">
        <v>0.745</v>
      </c>
      <c r="E320" s="3">
        <v>-3.76</v>
      </c>
      <c r="F320" s="3">
        <v>107.4</v>
      </c>
      <c r="G320" s="3">
        <v>-3.7530000000000001</v>
      </c>
      <c r="H320" s="3">
        <v>-3.7839999999999998</v>
      </c>
      <c r="I320" s="3">
        <v>-0.24399999999999999</v>
      </c>
      <c r="J320" s="3">
        <v>-7.0000000000000007E-2</v>
      </c>
      <c r="K320" s="3">
        <v>0.61099999999999999</v>
      </c>
      <c r="L320" s="3">
        <v>1.492</v>
      </c>
      <c r="M320" s="3">
        <v>1.5129999999999999</v>
      </c>
      <c r="N320" s="3">
        <v>0</v>
      </c>
      <c r="O320" s="3">
        <v>-3.052</v>
      </c>
      <c r="P320" s="3">
        <v>2017</v>
      </c>
      <c r="Q320" s="3">
        <v>111</v>
      </c>
      <c r="R320" s="3">
        <v>2330</v>
      </c>
      <c r="S320" s="3">
        <v>-2.4319999999999999</v>
      </c>
      <c r="T320" s="3">
        <v>-2.4660000000000002</v>
      </c>
      <c r="U320" s="3">
        <v>0.318</v>
      </c>
      <c r="V320" s="3">
        <v>6.4000000000000001E-2</v>
      </c>
      <c r="W320" s="3">
        <v>0.71899999999999997</v>
      </c>
      <c r="X320" s="3">
        <v>1.619</v>
      </c>
      <c r="Y320" s="3">
        <v>4.5570000000000004</v>
      </c>
      <c r="Z320" s="3">
        <v>1357</v>
      </c>
      <c r="AA320" s="3">
        <v>-4.8949999999999996</v>
      </c>
      <c r="AB320" s="3">
        <v>203</v>
      </c>
      <c r="AC320" s="3">
        <v>94.6</v>
      </c>
      <c r="AD320" s="3">
        <v>400</v>
      </c>
      <c r="AE320" s="3">
        <v>-5.7750000000000004</v>
      </c>
      <c r="AF320" s="3">
        <v>-5.9459999999999997</v>
      </c>
      <c r="AG320" s="3">
        <v>-1.3420000000000001</v>
      </c>
      <c r="AH320" s="3">
        <v>-0.126</v>
      </c>
      <c r="AI320" s="3">
        <v>0.54500000000000004</v>
      </c>
      <c r="AJ320" s="3">
        <v>1.41</v>
      </c>
      <c r="AK320" s="3">
        <v>0.15</v>
      </c>
      <c r="AL320" s="3">
        <v>0.111</v>
      </c>
      <c r="AM320" s="3">
        <v>0.11600000000000001</v>
      </c>
      <c r="AN320" s="3">
        <v>0.08</v>
      </c>
      <c r="AO320" s="3">
        <v>0.10199999999999999</v>
      </c>
      <c r="AP320" s="3">
        <v>0.13400000000000001</v>
      </c>
      <c r="AQ320" s="3">
        <v>0.152</v>
      </c>
      <c r="AR320" s="3">
        <v>0.155</v>
      </c>
      <c r="AS320" s="3">
        <v>6999</v>
      </c>
      <c r="AT320" s="3">
        <v>298.2</v>
      </c>
      <c r="AU320" s="3">
        <v>6999</v>
      </c>
      <c r="AV320" s="3">
        <v>-4.1340000000000003</v>
      </c>
      <c r="AW320" s="3">
        <v>-4.125</v>
      </c>
      <c r="AX320" s="3">
        <v>-2.7149999999999999</v>
      </c>
      <c r="AY320" s="3">
        <v>-2.726</v>
      </c>
      <c r="AZ320" s="3">
        <v>-7.47</v>
      </c>
      <c r="BA320" s="3">
        <v>-6.726</v>
      </c>
      <c r="BB320" s="3">
        <v>12.76</v>
      </c>
      <c r="BC320" s="3">
        <v>2876</v>
      </c>
      <c r="BD320" s="3"/>
      <c r="BE320" s="18">
        <v>150</v>
      </c>
      <c r="BG320" s="16">
        <v>7.12</v>
      </c>
      <c r="BH320" s="16">
        <f t="shared" si="156"/>
        <v>14.382400000000001</v>
      </c>
      <c r="BI320" s="17">
        <f t="shared" si="190"/>
        <v>0.4</v>
      </c>
      <c r="BJ320" s="17">
        <f t="shared" si="191"/>
        <v>0.82</v>
      </c>
      <c r="BL320" s="1">
        <f t="shared" si="157"/>
        <v>99.8</v>
      </c>
      <c r="BM320" s="1">
        <f t="shared" si="158"/>
        <v>94.1</v>
      </c>
      <c r="BN320" s="1">
        <f t="shared" si="159"/>
        <v>76.2</v>
      </c>
      <c r="BO320" s="49">
        <f t="shared" si="165"/>
        <v>0.371</v>
      </c>
      <c r="BP320" s="49">
        <f t="shared" si="166"/>
        <v>0.11600000000000001</v>
      </c>
      <c r="BQ320" s="1">
        <f t="shared" si="192"/>
        <v>-3.76</v>
      </c>
      <c r="BR320" s="3">
        <v>0</v>
      </c>
      <c r="BT320" s="16">
        <f t="shared" si="160"/>
        <v>0.4</v>
      </c>
      <c r="BU320" s="16">
        <f t="shared" si="161"/>
        <v>0.82</v>
      </c>
      <c r="BV320" s="3">
        <f t="shared" si="162"/>
        <v>-3.8</v>
      </c>
      <c r="BW320" s="3">
        <f t="shared" si="189"/>
        <v>-3.8</v>
      </c>
      <c r="BX320" s="3">
        <f t="shared" si="189"/>
        <v>-3.8</v>
      </c>
      <c r="BY320" s="3">
        <f t="shared" si="189"/>
        <v>-0.2</v>
      </c>
      <c r="BZ320" s="3">
        <f t="shared" si="188"/>
        <v>-0.1</v>
      </c>
      <c r="CA320" s="3">
        <f t="shared" si="188"/>
        <v>0.6</v>
      </c>
      <c r="CB320" s="3">
        <f t="shared" si="188"/>
        <v>1.5</v>
      </c>
      <c r="CC320" s="22">
        <f t="shared" si="163"/>
        <v>94.1</v>
      </c>
      <c r="CD320" s="1">
        <f t="shared" si="167"/>
        <v>-3.1</v>
      </c>
      <c r="CE320" s="1">
        <f t="shared" si="168"/>
        <v>-2.4</v>
      </c>
      <c r="CF320" s="1">
        <f t="shared" si="169"/>
        <v>-2.5</v>
      </c>
      <c r="CG320" s="1">
        <f t="shared" si="170"/>
        <v>0.3</v>
      </c>
      <c r="CH320" s="1">
        <f t="shared" si="171"/>
        <v>0.1</v>
      </c>
      <c r="CI320" s="1">
        <f t="shared" si="172"/>
        <v>0.7</v>
      </c>
      <c r="CJ320" s="1">
        <f t="shared" si="173"/>
        <v>1.6</v>
      </c>
      <c r="CK320" s="2">
        <f t="shared" si="164"/>
        <v>99.8</v>
      </c>
      <c r="CL320" s="1">
        <f t="shared" si="174"/>
        <v>-4.9000000000000004</v>
      </c>
      <c r="CM320" s="1">
        <f t="shared" si="175"/>
        <v>-5.8</v>
      </c>
      <c r="CN320" s="1">
        <f t="shared" si="176"/>
        <v>-5.9</v>
      </c>
      <c r="CO320" s="1">
        <f t="shared" si="177"/>
        <v>-1.3</v>
      </c>
      <c r="CP320" s="1">
        <f t="shared" si="178"/>
        <v>-0.1</v>
      </c>
      <c r="CQ320" s="1">
        <f t="shared" si="179"/>
        <v>0.5</v>
      </c>
      <c r="CR320" s="1">
        <f t="shared" si="180"/>
        <v>1.4</v>
      </c>
      <c r="CS320" s="2">
        <f t="shared" si="181"/>
        <v>76.2</v>
      </c>
      <c r="CT320" s="6">
        <f t="shared" si="182"/>
        <v>150</v>
      </c>
      <c r="CU320" s="1">
        <f>PPTest!K320</f>
        <v>0</v>
      </c>
      <c r="CV320" s="3">
        <f t="shared" si="183"/>
        <v>1.51</v>
      </c>
      <c r="CW320" s="3">
        <f t="shared" si="184"/>
        <v>4.5599999999999996</v>
      </c>
      <c r="CX320" s="24">
        <f t="shared" si="185"/>
        <v>0.371</v>
      </c>
      <c r="CY320" s="24">
        <f t="shared" si="185"/>
        <v>0.11600000000000001</v>
      </c>
      <c r="CZ320" s="16">
        <f t="shared" si="186"/>
        <v>12.76</v>
      </c>
    </row>
    <row r="321" spans="1:104" x14ac:dyDescent="0.2">
      <c r="A321" s="14">
        <f t="shared" si="187"/>
        <v>39032</v>
      </c>
      <c r="B321" s="1">
        <v>315</v>
      </c>
      <c r="C321" s="3">
        <v>0.8</v>
      </c>
      <c r="D321" s="3">
        <v>1.43</v>
      </c>
      <c r="E321" s="3">
        <v>-3.9769999999999999</v>
      </c>
      <c r="F321" s="3">
        <v>108.7</v>
      </c>
      <c r="G321" s="3">
        <v>-3.7690000000000001</v>
      </c>
      <c r="H321" s="3">
        <v>-3.8</v>
      </c>
      <c r="I321" s="3">
        <v>0.33</v>
      </c>
      <c r="J321" s="3">
        <v>-0.115</v>
      </c>
      <c r="K321" s="3">
        <v>0.53700000000000003</v>
      </c>
      <c r="L321" s="3">
        <v>1.393</v>
      </c>
      <c r="M321" s="3">
        <v>2.2040000000000002</v>
      </c>
      <c r="N321" s="3">
        <v>0</v>
      </c>
      <c r="O321" s="3">
        <v>-3.0329999999999999</v>
      </c>
      <c r="P321" s="3">
        <v>148</v>
      </c>
      <c r="Q321" s="3">
        <v>111</v>
      </c>
      <c r="R321" s="3">
        <v>19</v>
      </c>
      <c r="S321" s="3">
        <v>-2.4329999999999998</v>
      </c>
      <c r="T321" s="3">
        <v>-2.4860000000000002</v>
      </c>
      <c r="U321" s="3">
        <v>0.434</v>
      </c>
      <c r="V321" s="3">
        <v>-2.4E-2</v>
      </c>
      <c r="W321" s="3">
        <v>0.61099999999999999</v>
      </c>
      <c r="X321" s="3">
        <v>1.478</v>
      </c>
      <c r="Y321" s="3">
        <v>5.2080000000000002</v>
      </c>
      <c r="Z321" s="3">
        <v>2143</v>
      </c>
      <c r="AA321" s="3">
        <v>-4.5659999999999998</v>
      </c>
      <c r="AB321" s="3">
        <v>2338</v>
      </c>
      <c r="AC321" s="3">
        <v>103.4</v>
      </c>
      <c r="AD321" s="3">
        <v>2242</v>
      </c>
      <c r="AE321" s="3">
        <v>-5.2140000000000004</v>
      </c>
      <c r="AF321" s="3">
        <v>-5.3620000000000001</v>
      </c>
      <c r="AG321" s="3">
        <v>0.191</v>
      </c>
      <c r="AH321" s="3">
        <v>-0.27900000000000003</v>
      </c>
      <c r="AI321" s="3">
        <v>0.38600000000000001</v>
      </c>
      <c r="AJ321" s="3">
        <v>1.2410000000000001</v>
      </c>
      <c r="AK321" s="3">
        <v>8.0000000000000002E-3</v>
      </c>
      <c r="AL321" s="3">
        <v>8.0000000000000002E-3</v>
      </c>
      <c r="AM321" s="3">
        <v>1.0999999999999999E-2</v>
      </c>
      <c r="AN321" s="3">
        <v>4.4999999999999998E-2</v>
      </c>
      <c r="AO321" s="3">
        <v>0.37</v>
      </c>
      <c r="AP321" s="3">
        <v>0.438</v>
      </c>
      <c r="AQ321" s="3">
        <v>0.104</v>
      </c>
      <c r="AR321" s="3">
        <v>1.4999999999999999E-2</v>
      </c>
      <c r="AS321" s="3">
        <v>3275</v>
      </c>
      <c r="AT321" s="3">
        <v>3255</v>
      </c>
      <c r="AU321" s="3">
        <v>3263</v>
      </c>
      <c r="AV321" s="3">
        <v>-3.8119999999999998</v>
      </c>
      <c r="AW321" s="3">
        <v>-3.9079999999999999</v>
      </c>
      <c r="AX321" s="3">
        <v>-2.407</v>
      </c>
      <c r="AY321" s="3">
        <v>-2.3820000000000001</v>
      </c>
      <c r="AZ321" s="3">
        <v>-5.3970000000000002</v>
      </c>
      <c r="BA321" s="3">
        <v>-5.5679999999999996</v>
      </c>
      <c r="BB321" s="3">
        <v>12.89</v>
      </c>
      <c r="BC321" s="3">
        <v>2876</v>
      </c>
      <c r="BD321" s="3"/>
      <c r="BE321" s="6">
        <f>BE$2-AU321</f>
        <v>247</v>
      </c>
      <c r="BG321" s="16">
        <v>6.99</v>
      </c>
      <c r="BH321" s="16">
        <f t="shared" si="156"/>
        <v>14.1198</v>
      </c>
      <c r="BI321" s="17">
        <f t="shared" si="190"/>
        <v>0.78</v>
      </c>
      <c r="BJ321" s="17">
        <f t="shared" si="191"/>
        <v>1.57</v>
      </c>
      <c r="BL321" s="1">
        <f t="shared" si="157"/>
        <v>99.8</v>
      </c>
      <c r="BM321" s="1">
        <f t="shared" si="158"/>
        <v>96.1</v>
      </c>
      <c r="BN321" s="1">
        <f t="shared" si="159"/>
        <v>87.7</v>
      </c>
      <c r="BO321" s="49">
        <f t="shared" si="165"/>
        <v>0.42799999999999999</v>
      </c>
      <c r="BP321" s="49">
        <f t="shared" si="166"/>
        <v>0.06</v>
      </c>
      <c r="BQ321" s="1">
        <f t="shared" si="192"/>
        <v>-3.9769999999999999</v>
      </c>
      <c r="BR321" s="3">
        <v>2.6</v>
      </c>
      <c r="BT321" s="16">
        <f t="shared" si="160"/>
        <v>0.78</v>
      </c>
      <c r="BU321" s="16">
        <f t="shared" si="161"/>
        <v>1.57</v>
      </c>
      <c r="BV321" s="3">
        <f t="shared" si="162"/>
        <v>-4</v>
      </c>
      <c r="BW321" s="3">
        <f t="shared" si="189"/>
        <v>-3.8</v>
      </c>
      <c r="BX321" s="3">
        <f t="shared" si="189"/>
        <v>-3.8</v>
      </c>
      <c r="BY321" s="3">
        <f t="shared" si="189"/>
        <v>0.3</v>
      </c>
      <c r="BZ321" s="3">
        <f t="shared" si="188"/>
        <v>-0.1</v>
      </c>
      <c r="CA321" s="3">
        <f t="shared" si="188"/>
        <v>0.5</v>
      </c>
      <c r="CB321" s="3">
        <f t="shared" si="188"/>
        <v>1.4</v>
      </c>
      <c r="CC321" s="22">
        <f t="shared" si="163"/>
        <v>96.1</v>
      </c>
      <c r="CD321" s="1">
        <f t="shared" si="167"/>
        <v>-3</v>
      </c>
      <c r="CE321" s="1">
        <f t="shared" si="168"/>
        <v>-2.4</v>
      </c>
      <c r="CF321" s="1">
        <f t="shared" si="169"/>
        <v>-2.5</v>
      </c>
      <c r="CG321" s="1">
        <f t="shared" si="170"/>
        <v>0.4</v>
      </c>
      <c r="CH321" s="1">
        <f t="shared" si="171"/>
        <v>0</v>
      </c>
      <c r="CI321" s="1">
        <f t="shared" si="172"/>
        <v>0.6</v>
      </c>
      <c r="CJ321" s="1">
        <f t="shared" si="173"/>
        <v>1.5</v>
      </c>
      <c r="CK321" s="2">
        <f t="shared" si="164"/>
        <v>99.8</v>
      </c>
      <c r="CL321" s="1">
        <f t="shared" si="174"/>
        <v>-4.5999999999999996</v>
      </c>
      <c r="CM321" s="1">
        <f t="shared" si="175"/>
        <v>-5.2</v>
      </c>
      <c r="CN321" s="1">
        <f t="shared" si="176"/>
        <v>-5.4</v>
      </c>
      <c r="CO321" s="1">
        <f t="shared" si="177"/>
        <v>0.2</v>
      </c>
      <c r="CP321" s="1">
        <f t="shared" si="178"/>
        <v>-0.3</v>
      </c>
      <c r="CQ321" s="1">
        <f t="shared" si="179"/>
        <v>0.4</v>
      </c>
      <c r="CR321" s="1">
        <f t="shared" si="180"/>
        <v>1.2</v>
      </c>
      <c r="CS321" s="2">
        <f t="shared" si="181"/>
        <v>87.7</v>
      </c>
      <c r="CT321" s="6">
        <f t="shared" si="182"/>
        <v>247</v>
      </c>
      <c r="CU321" s="1">
        <f>PPTest!K321</f>
        <v>12.6</v>
      </c>
      <c r="CV321" s="3">
        <f t="shared" si="183"/>
        <v>2.2000000000000002</v>
      </c>
      <c r="CW321" s="3">
        <f t="shared" si="184"/>
        <v>5.21</v>
      </c>
      <c r="CX321" s="24">
        <f t="shared" si="185"/>
        <v>0.42799999999999999</v>
      </c>
      <c r="CY321" s="24">
        <f t="shared" si="185"/>
        <v>0.06</v>
      </c>
      <c r="CZ321" s="16">
        <f t="shared" si="186"/>
        <v>12.89</v>
      </c>
    </row>
    <row r="322" spans="1:104" x14ac:dyDescent="0.2">
      <c r="A322" s="14">
        <f t="shared" si="187"/>
        <v>39033</v>
      </c>
      <c r="B322" s="1">
        <v>316</v>
      </c>
      <c r="C322" s="3">
        <v>0.498</v>
      </c>
      <c r="D322" s="3">
        <v>0.83</v>
      </c>
      <c r="E322" s="3">
        <v>-3.0489999999999999</v>
      </c>
      <c r="F322" s="3">
        <v>106.4</v>
      </c>
      <c r="G322" s="3">
        <v>-3.121</v>
      </c>
      <c r="H322" s="3">
        <v>-3.1360000000000001</v>
      </c>
      <c r="I322" s="3">
        <v>0.4</v>
      </c>
      <c r="J322" s="3">
        <v>-0.14399999999999999</v>
      </c>
      <c r="K322" s="3">
        <v>0.52700000000000002</v>
      </c>
      <c r="L322" s="3">
        <v>1.353</v>
      </c>
      <c r="M322" s="3">
        <v>1.8520000000000001</v>
      </c>
      <c r="N322" s="3">
        <v>0</v>
      </c>
      <c r="O322" s="3">
        <v>-1.9159999999999999</v>
      </c>
      <c r="P322" s="3">
        <v>1853</v>
      </c>
      <c r="Q322" s="3">
        <v>110.3</v>
      </c>
      <c r="R322" s="3">
        <v>1556</v>
      </c>
      <c r="S322" s="3">
        <v>-1.4</v>
      </c>
      <c r="T322" s="3">
        <v>-1.514</v>
      </c>
      <c r="U322" s="3">
        <v>0.51500000000000001</v>
      </c>
      <c r="V322" s="3">
        <v>-9.2999999999999999E-2</v>
      </c>
      <c r="W322" s="3">
        <v>0.56599999999999995</v>
      </c>
      <c r="X322" s="3">
        <v>1.403</v>
      </c>
      <c r="Y322" s="3">
        <v>5.1420000000000003</v>
      </c>
      <c r="Z322" s="3">
        <v>854</v>
      </c>
      <c r="AA322" s="3">
        <v>-4.4450000000000003</v>
      </c>
      <c r="AB322" s="3">
        <v>323</v>
      </c>
      <c r="AC322" s="3">
        <v>99.7</v>
      </c>
      <c r="AD322" s="3">
        <v>121</v>
      </c>
      <c r="AE322" s="3">
        <v>-4.7370000000000001</v>
      </c>
      <c r="AF322" s="3">
        <v>-4.7939999999999996</v>
      </c>
      <c r="AG322" s="3">
        <v>0.29799999999999999</v>
      </c>
      <c r="AH322" s="3">
        <v>-0.20200000000000001</v>
      </c>
      <c r="AI322" s="3">
        <v>0.48299999999999998</v>
      </c>
      <c r="AJ322" s="3">
        <v>1.3</v>
      </c>
      <c r="AK322" s="3">
        <v>6.2E-2</v>
      </c>
      <c r="AL322" s="3">
        <v>2.4E-2</v>
      </c>
      <c r="AM322" s="3">
        <v>3.1E-2</v>
      </c>
      <c r="AN322" s="3">
        <v>4.3999999999999997E-2</v>
      </c>
      <c r="AO322" s="3">
        <v>0.24299999999999999</v>
      </c>
      <c r="AP322" s="3">
        <v>0.30299999999999999</v>
      </c>
      <c r="AQ322" s="3">
        <v>0.17899999999999999</v>
      </c>
      <c r="AR322" s="3">
        <v>0.114</v>
      </c>
      <c r="AS322" s="3">
        <v>6999</v>
      </c>
      <c r="AT322" s="3">
        <v>6999</v>
      </c>
      <c r="AU322" s="3">
        <v>6999</v>
      </c>
      <c r="AV322" s="3">
        <v>-3.359</v>
      </c>
      <c r="AW322" s="3">
        <v>-3.36</v>
      </c>
      <c r="AX322" s="3">
        <v>-2.3039999999999998</v>
      </c>
      <c r="AY322" s="3">
        <v>-2.2970000000000002</v>
      </c>
      <c r="AZ322" s="3">
        <v>-5.4180000000000001</v>
      </c>
      <c r="BA322" s="3">
        <v>-5.5389999999999997</v>
      </c>
      <c r="BB322" s="3">
        <v>12.66</v>
      </c>
      <c r="BC322" s="3">
        <v>2876</v>
      </c>
      <c r="BD322" s="3"/>
      <c r="BE322" s="18">
        <v>300</v>
      </c>
      <c r="BG322" s="16">
        <v>6.85</v>
      </c>
      <c r="BH322" s="16">
        <f t="shared" si="156"/>
        <v>13.837</v>
      </c>
      <c r="BI322" s="17">
        <f t="shared" si="190"/>
        <v>0.49</v>
      </c>
      <c r="BJ322" s="17">
        <f t="shared" si="191"/>
        <v>0.91</v>
      </c>
      <c r="BL322" s="1">
        <f t="shared" si="157"/>
        <v>98.7</v>
      </c>
      <c r="BM322" s="1">
        <f t="shared" si="158"/>
        <v>92.5</v>
      </c>
      <c r="BN322" s="1">
        <f t="shared" si="159"/>
        <v>81.8</v>
      </c>
      <c r="BO322" s="49">
        <f t="shared" si="165"/>
        <v>0.434</v>
      </c>
      <c r="BP322" s="49">
        <f t="shared" si="166"/>
        <v>9.7000000000000003E-2</v>
      </c>
      <c r="BQ322" s="1">
        <f t="shared" si="192"/>
        <v>-3.0489999999999999</v>
      </c>
      <c r="BR322" s="3">
        <v>0</v>
      </c>
      <c r="BT322" s="16">
        <f t="shared" si="160"/>
        <v>0.49</v>
      </c>
      <c r="BU322" s="16">
        <f t="shared" si="161"/>
        <v>0.91</v>
      </c>
      <c r="BV322" s="3">
        <f t="shared" si="162"/>
        <v>-3</v>
      </c>
      <c r="BW322" s="3">
        <f t="shared" si="189"/>
        <v>-3.1</v>
      </c>
      <c r="BX322" s="3">
        <f t="shared" si="189"/>
        <v>-3.1</v>
      </c>
      <c r="BY322" s="3">
        <f t="shared" si="189"/>
        <v>0.4</v>
      </c>
      <c r="BZ322" s="3">
        <f t="shared" si="188"/>
        <v>-0.1</v>
      </c>
      <c r="CA322" s="3">
        <f t="shared" si="188"/>
        <v>0.5</v>
      </c>
      <c r="CB322" s="3">
        <f t="shared" si="188"/>
        <v>1.4</v>
      </c>
      <c r="CC322" s="22">
        <f t="shared" si="163"/>
        <v>92.5</v>
      </c>
      <c r="CD322" s="1">
        <f t="shared" si="167"/>
        <v>-1.9</v>
      </c>
      <c r="CE322" s="1">
        <f t="shared" si="168"/>
        <v>-1.4</v>
      </c>
      <c r="CF322" s="1">
        <f t="shared" si="169"/>
        <v>-1.5</v>
      </c>
      <c r="CG322" s="1">
        <f t="shared" si="170"/>
        <v>0.5</v>
      </c>
      <c r="CH322" s="1">
        <f t="shared" si="171"/>
        <v>-0.1</v>
      </c>
      <c r="CI322" s="1">
        <f t="shared" si="172"/>
        <v>0.6</v>
      </c>
      <c r="CJ322" s="1">
        <f t="shared" si="173"/>
        <v>1.4</v>
      </c>
      <c r="CK322" s="2">
        <f t="shared" si="164"/>
        <v>98.7</v>
      </c>
      <c r="CL322" s="1">
        <f t="shared" si="174"/>
        <v>-4.4000000000000004</v>
      </c>
      <c r="CM322" s="1">
        <f t="shared" si="175"/>
        <v>-4.7</v>
      </c>
      <c r="CN322" s="1">
        <f t="shared" si="176"/>
        <v>-4.8</v>
      </c>
      <c r="CO322" s="1">
        <f t="shared" si="177"/>
        <v>0.3</v>
      </c>
      <c r="CP322" s="1">
        <f t="shared" si="178"/>
        <v>-0.2</v>
      </c>
      <c r="CQ322" s="1">
        <f t="shared" si="179"/>
        <v>0.5</v>
      </c>
      <c r="CR322" s="1">
        <f t="shared" si="180"/>
        <v>1.3</v>
      </c>
      <c r="CS322" s="2">
        <f t="shared" si="181"/>
        <v>81.8</v>
      </c>
      <c r="CT322" s="6">
        <f t="shared" si="182"/>
        <v>300</v>
      </c>
      <c r="CU322" s="1">
        <f>PPTest!K322</f>
        <v>6.9</v>
      </c>
      <c r="CV322" s="3">
        <f t="shared" si="183"/>
        <v>1.85</v>
      </c>
      <c r="CW322" s="3">
        <f t="shared" si="184"/>
        <v>5.14</v>
      </c>
      <c r="CX322" s="24">
        <f t="shared" si="185"/>
        <v>0.434</v>
      </c>
      <c r="CY322" s="24">
        <f t="shared" si="185"/>
        <v>9.7000000000000003E-2</v>
      </c>
      <c r="CZ322" s="16">
        <f t="shared" si="186"/>
        <v>12.66</v>
      </c>
    </row>
    <row r="323" spans="1:104" x14ac:dyDescent="0.2">
      <c r="A323" s="14">
        <f t="shared" si="187"/>
        <v>39034</v>
      </c>
      <c r="B323" s="1">
        <v>317</v>
      </c>
      <c r="C323" s="3">
        <v>1.7529999999999999</v>
      </c>
      <c r="D323" s="3">
        <v>3.2290000000000001</v>
      </c>
      <c r="E323" s="3">
        <v>-4.0880000000000001</v>
      </c>
      <c r="F323" s="3">
        <v>110.2</v>
      </c>
      <c r="G323" s="3">
        <v>-3.9790000000000001</v>
      </c>
      <c r="H323" s="3">
        <v>-3.9929999999999999</v>
      </c>
      <c r="I323" s="3">
        <v>0.42599999999999999</v>
      </c>
      <c r="J323" s="3">
        <v>-0.14099999999999999</v>
      </c>
      <c r="K323" s="3">
        <v>0.505</v>
      </c>
      <c r="L323" s="3">
        <v>1.319</v>
      </c>
      <c r="M323" s="3">
        <v>2.1280000000000001</v>
      </c>
      <c r="N323" s="3">
        <v>0</v>
      </c>
      <c r="O323" s="3">
        <v>-3.081</v>
      </c>
      <c r="P323" s="3">
        <v>1</v>
      </c>
      <c r="Q323" s="3">
        <v>111</v>
      </c>
      <c r="R323" s="3">
        <v>810</v>
      </c>
      <c r="S323" s="3">
        <v>-2.016</v>
      </c>
      <c r="T323" s="3">
        <v>-1.754</v>
      </c>
      <c r="U323" s="3">
        <v>0.497</v>
      </c>
      <c r="V323" s="3">
        <v>-6.6000000000000003E-2</v>
      </c>
      <c r="W323" s="3">
        <v>0.58099999999999996</v>
      </c>
      <c r="X323" s="3">
        <v>1.397</v>
      </c>
      <c r="Y323" s="3">
        <v>7.59</v>
      </c>
      <c r="Z323" s="3">
        <v>1028</v>
      </c>
      <c r="AA323" s="3">
        <v>-5.9669999999999996</v>
      </c>
      <c r="AB323" s="3">
        <v>2318</v>
      </c>
      <c r="AC323" s="3">
        <v>108.2</v>
      </c>
      <c r="AD323" s="3">
        <v>1531</v>
      </c>
      <c r="AE323" s="3">
        <v>-6.5110000000000001</v>
      </c>
      <c r="AF323" s="3">
        <v>-6.66</v>
      </c>
      <c r="AG323" s="3">
        <v>0.32600000000000001</v>
      </c>
      <c r="AH323" s="3">
        <v>-0.26</v>
      </c>
      <c r="AI323" s="3">
        <v>0.40899999999999997</v>
      </c>
      <c r="AJ323" s="3">
        <v>1.2250000000000001</v>
      </c>
      <c r="AK323" s="3">
        <v>6.8000000000000005E-2</v>
      </c>
      <c r="AL323" s="3">
        <v>8.3000000000000004E-2</v>
      </c>
      <c r="AM323" s="3">
        <v>5.6000000000000001E-2</v>
      </c>
      <c r="AN323" s="3">
        <v>3.6999999999999998E-2</v>
      </c>
      <c r="AO323" s="3">
        <v>0.214</v>
      </c>
      <c r="AP323" s="3">
        <v>0.36299999999999999</v>
      </c>
      <c r="AQ323" s="3">
        <v>0.13500000000000001</v>
      </c>
      <c r="AR323" s="3">
        <v>4.2999999999999997E-2</v>
      </c>
      <c r="AS323" s="3">
        <v>6999</v>
      </c>
      <c r="AT323" s="3">
        <v>3093</v>
      </c>
      <c r="AU323" s="3">
        <v>6999</v>
      </c>
      <c r="AV323" s="3">
        <v>-3.7839999999999998</v>
      </c>
      <c r="AW323" s="3">
        <v>-3.8959999999999999</v>
      </c>
      <c r="AX323" s="3">
        <v>-2.573</v>
      </c>
      <c r="AY323" s="3">
        <v>-2.754</v>
      </c>
      <c r="AZ323" s="3">
        <v>-5.5659999999999998</v>
      </c>
      <c r="BA323" s="3">
        <v>-5.7290000000000001</v>
      </c>
      <c r="BB323" s="3">
        <v>12.78</v>
      </c>
      <c r="BC323" s="3">
        <v>2876</v>
      </c>
      <c r="BD323" s="3"/>
      <c r="BE323" s="18">
        <v>350</v>
      </c>
      <c r="BG323" s="16">
        <v>6.72</v>
      </c>
      <c r="BH323" s="16">
        <f t="shared" si="156"/>
        <v>13.574399999999999</v>
      </c>
      <c r="BI323" s="17">
        <f t="shared" si="190"/>
        <v>1.72</v>
      </c>
      <c r="BJ323" s="17">
        <f t="shared" si="191"/>
        <v>3.55</v>
      </c>
      <c r="BL323" s="1">
        <f t="shared" si="157"/>
        <v>99.8</v>
      </c>
      <c r="BM323" s="1">
        <f t="shared" si="158"/>
        <v>98.5</v>
      </c>
      <c r="BN323" s="1">
        <f t="shared" si="159"/>
        <v>95.3</v>
      </c>
      <c r="BO323" s="49">
        <f t="shared" si="165"/>
        <v>0.46400000000000002</v>
      </c>
      <c r="BP323" s="49">
        <f t="shared" si="166"/>
        <v>2.3E-2</v>
      </c>
      <c r="BQ323" s="1">
        <f t="shared" si="192"/>
        <v>-4.0880000000000001</v>
      </c>
      <c r="BR323" s="3">
        <v>0.4</v>
      </c>
      <c r="BT323" s="16">
        <f t="shared" si="160"/>
        <v>1.72</v>
      </c>
      <c r="BU323" s="16">
        <f t="shared" si="161"/>
        <v>3.55</v>
      </c>
      <c r="BV323" s="3">
        <f t="shared" si="162"/>
        <v>-4.0999999999999996</v>
      </c>
      <c r="BW323" s="3">
        <f t="shared" si="189"/>
        <v>-4</v>
      </c>
      <c r="BX323" s="3">
        <f t="shared" si="189"/>
        <v>-4</v>
      </c>
      <c r="BY323" s="3">
        <f t="shared" si="189"/>
        <v>0.4</v>
      </c>
      <c r="BZ323" s="3">
        <f t="shared" si="188"/>
        <v>-0.1</v>
      </c>
      <c r="CA323" s="3">
        <f t="shared" si="188"/>
        <v>0.5</v>
      </c>
      <c r="CB323" s="3">
        <f t="shared" si="188"/>
        <v>1.3</v>
      </c>
      <c r="CC323" s="22">
        <f t="shared" si="163"/>
        <v>98.5</v>
      </c>
      <c r="CD323" s="1">
        <f t="shared" si="167"/>
        <v>-3.1</v>
      </c>
      <c r="CE323" s="1">
        <f t="shared" si="168"/>
        <v>-2</v>
      </c>
      <c r="CF323" s="1">
        <f t="shared" si="169"/>
        <v>-1.8</v>
      </c>
      <c r="CG323" s="1">
        <f t="shared" si="170"/>
        <v>0.5</v>
      </c>
      <c r="CH323" s="1">
        <f t="shared" si="171"/>
        <v>-0.1</v>
      </c>
      <c r="CI323" s="1">
        <f t="shared" si="172"/>
        <v>0.6</v>
      </c>
      <c r="CJ323" s="1">
        <f t="shared" si="173"/>
        <v>1.4</v>
      </c>
      <c r="CK323" s="2">
        <f t="shared" si="164"/>
        <v>99.8</v>
      </c>
      <c r="CL323" s="1">
        <f t="shared" si="174"/>
        <v>-6</v>
      </c>
      <c r="CM323" s="1">
        <f t="shared" si="175"/>
        <v>-6.5</v>
      </c>
      <c r="CN323" s="1">
        <f t="shared" si="176"/>
        <v>-6.7</v>
      </c>
      <c r="CO323" s="1">
        <f t="shared" si="177"/>
        <v>0.3</v>
      </c>
      <c r="CP323" s="1">
        <f t="shared" si="178"/>
        <v>-0.3</v>
      </c>
      <c r="CQ323" s="1">
        <f t="shared" si="179"/>
        <v>0.4</v>
      </c>
      <c r="CR323" s="1">
        <f t="shared" si="180"/>
        <v>1.2</v>
      </c>
      <c r="CS323" s="2">
        <f t="shared" si="181"/>
        <v>95.3</v>
      </c>
      <c r="CT323" s="6">
        <f t="shared" si="182"/>
        <v>350</v>
      </c>
      <c r="CU323" s="1">
        <f>PPTest!K323</f>
        <v>6.5</v>
      </c>
      <c r="CV323" s="3">
        <f t="shared" si="183"/>
        <v>2.13</v>
      </c>
      <c r="CW323" s="3">
        <f t="shared" si="184"/>
        <v>7.59</v>
      </c>
      <c r="CX323" s="24">
        <f t="shared" si="185"/>
        <v>0.46400000000000002</v>
      </c>
      <c r="CY323" s="24">
        <f t="shared" si="185"/>
        <v>2.3E-2</v>
      </c>
      <c r="CZ323" s="16">
        <f t="shared" si="186"/>
        <v>12.78</v>
      </c>
    </row>
    <row r="324" spans="1:104" x14ac:dyDescent="0.2">
      <c r="A324" s="14">
        <f t="shared" si="187"/>
        <v>39035</v>
      </c>
      <c r="B324" s="1">
        <v>318</v>
      </c>
      <c r="C324" s="3">
        <v>1.843</v>
      </c>
      <c r="D324" s="3">
        <v>4.1459999999999999</v>
      </c>
      <c r="E324" s="3">
        <v>-5.9180000000000001</v>
      </c>
      <c r="F324" s="3">
        <v>105.6</v>
      </c>
      <c r="G324" s="3">
        <v>-6.0279999999999996</v>
      </c>
      <c r="H324" s="3">
        <v>-6.1470000000000002</v>
      </c>
      <c r="I324" s="3">
        <v>0.439</v>
      </c>
      <c r="J324" s="3">
        <v>-0.155</v>
      </c>
      <c r="K324" s="3">
        <v>0.504</v>
      </c>
      <c r="L324" s="3">
        <v>1.3069999999999999</v>
      </c>
      <c r="M324" s="3">
        <v>1.619</v>
      </c>
      <c r="N324" s="3">
        <v>0</v>
      </c>
      <c r="O324" s="3">
        <v>-3.415</v>
      </c>
      <c r="P324" s="3">
        <v>1334</v>
      </c>
      <c r="Q324" s="3">
        <v>110.3</v>
      </c>
      <c r="R324" s="3">
        <v>13</v>
      </c>
      <c r="S324" s="3">
        <v>-2.282</v>
      </c>
      <c r="T324" s="3">
        <v>-1.952</v>
      </c>
      <c r="U324" s="3">
        <v>0.68400000000000005</v>
      </c>
      <c r="V324" s="3">
        <v>0.122</v>
      </c>
      <c r="W324" s="3">
        <v>0.72899999999999998</v>
      </c>
      <c r="X324" s="3">
        <v>1.5349999999999999</v>
      </c>
      <c r="Y324" s="3">
        <v>4.37</v>
      </c>
      <c r="Z324" s="3">
        <v>1909</v>
      </c>
      <c r="AA324" s="3">
        <v>-12.4</v>
      </c>
      <c r="AB324" s="3">
        <v>732</v>
      </c>
      <c r="AC324" s="3">
        <v>91.5</v>
      </c>
      <c r="AD324" s="3">
        <v>2242</v>
      </c>
      <c r="AE324" s="3">
        <v>-14.05</v>
      </c>
      <c r="AF324" s="3">
        <v>-15</v>
      </c>
      <c r="AG324" s="3">
        <v>5.1999999999999998E-2</v>
      </c>
      <c r="AH324" s="3">
        <v>-0.52600000000000002</v>
      </c>
      <c r="AI324" s="3">
        <v>0.16700000000000001</v>
      </c>
      <c r="AJ324" s="3">
        <v>0.97299999999999998</v>
      </c>
      <c r="AK324" s="3">
        <v>4.7E-2</v>
      </c>
      <c r="AL324" s="3">
        <v>0.124</v>
      </c>
      <c r="AM324" s="3">
        <v>0.112</v>
      </c>
      <c r="AN324" s="3">
        <v>7.1999999999999995E-2</v>
      </c>
      <c r="AO324" s="3">
        <v>0.21</v>
      </c>
      <c r="AP324" s="3">
        <v>0.29399999999999998</v>
      </c>
      <c r="AQ324" s="3">
        <v>0.10299999999999999</v>
      </c>
      <c r="AR324" s="3">
        <v>0.04</v>
      </c>
      <c r="AS324" s="3">
        <v>3102</v>
      </c>
      <c r="AT324" s="3">
        <v>3092</v>
      </c>
      <c r="AU324" s="3">
        <v>3096</v>
      </c>
      <c r="AV324" s="3">
        <v>-6.2789999999999999</v>
      </c>
      <c r="AW324" s="3">
        <v>-6.3259999999999996</v>
      </c>
      <c r="AX324" s="3">
        <v>-3.2090000000000001</v>
      </c>
      <c r="AY324" s="3">
        <v>-3.21</v>
      </c>
      <c r="AZ324" s="3">
        <v>-12.99</v>
      </c>
      <c r="BA324" s="3">
        <v>-13.32</v>
      </c>
      <c r="BB324" s="3">
        <v>13.1</v>
      </c>
      <c r="BC324" s="3">
        <v>2876</v>
      </c>
      <c r="BD324" s="3"/>
      <c r="BE324" s="6">
        <f>BE$2-AU324</f>
        <v>414</v>
      </c>
      <c r="BG324" s="16">
        <v>6.59</v>
      </c>
      <c r="BH324" s="16">
        <f t="shared" si="156"/>
        <v>13.3118</v>
      </c>
      <c r="BI324" s="17">
        <f t="shared" si="190"/>
        <v>1.81</v>
      </c>
      <c r="BJ324" s="17">
        <f t="shared" si="191"/>
        <v>4.5599999999999996</v>
      </c>
      <c r="BL324" s="1">
        <f t="shared" si="157"/>
        <v>98.7</v>
      </c>
      <c r="BM324" s="1">
        <f t="shared" si="158"/>
        <v>91.2</v>
      </c>
      <c r="BN324" s="1">
        <f t="shared" si="159"/>
        <v>73.5</v>
      </c>
      <c r="BO324" s="49">
        <f t="shared" si="165"/>
        <v>0.34899999999999998</v>
      </c>
      <c r="BP324" s="49">
        <f t="shared" si="166"/>
        <v>0.126</v>
      </c>
      <c r="BQ324" s="1">
        <f t="shared" si="192"/>
        <v>-5.9180000000000001</v>
      </c>
      <c r="BR324" s="3">
        <v>0.4</v>
      </c>
      <c r="BT324" s="16">
        <f t="shared" si="160"/>
        <v>1.81</v>
      </c>
      <c r="BU324" s="16">
        <f t="shared" si="161"/>
        <v>4.5599999999999996</v>
      </c>
      <c r="BV324" s="3">
        <f t="shared" si="162"/>
        <v>-5.9</v>
      </c>
      <c r="BW324" s="3">
        <f t="shared" si="189"/>
        <v>-6</v>
      </c>
      <c r="BX324" s="3">
        <f t="shared" si="189"/>
        <v>-6.1</v>
      </c>
      <c r="BY324" s="3">
        <f t="shared" si="189"/>
        <v>0.4</v>
      </c>
      <c r="BZ324" s="3">
        <f t="shared" si="188"/>
        <v>-0.2</v>
      </c>
      <c r="CA324" s="3">
        <f t="shared" si="188"/>
        <v>0.5</v>
      </c>
      <c r="CB324" s="3">
        <f t="shared" si="188"/>
        <v>1.3</v>
      </c>
      <c r="CC324" s="22">
        <f t="shared" si="163"/>
        <v>91.2</v>
      </c>
      <c r="CD324" s="1">
        <f t="shared" si="167"/>
        <v>-3.4</v>
      </c>
      <c r="CE324" s="1">
        <f t="shared" si="168"/>
        <v>-2.2999999999999998</v>
      </c>
      <c r="CF324" s="1">
        <f t="shared" si="169"/>
        <v>-2</v>
      </c>
      <c r="CG324" s="1">
        <f t="shared" si="170"/>
        <v>0.7</v>
      </c>
      <c r="CH324" s="1">
        <f t="shared" si="171"/>
        <v>0.1</v>
      </c>
      <c r="CI324" s="1">
        <f t="shared" si="172"/>
        <v>0.7</v>
      </c>
      <c r="CJ324" s="1">
        <f t="shared" si="173"/>
        <v>1.5</v>
      </c>
      <c r="CK324" s="2">
        <f t="shared" si="164"/>
        <v>98.7</v>
      </c>
      <c r="CL324" s="1">
        <f t="shared" si="174"/>
        <v>-12.4</v>
      </c>
      <c r="CM324" s="1">
        <f t="shared" si="175"/>
        <v>-14.1</v>
      </c>
      <c r="CN324" s="1">
        <f t="shared" si="176"/>
        <v>-15</v>
      </c>
      <c r="CO324" s="1">
        <f t="shared" si="177"/>
        <v>0.1</v>
      </c>
      <c r="CP324" s="1">
        <f t="shared" si="178"/>
        <v>-0.5</v>
      </c>
      <c r="CQ324" s="1">
        <f t="shared" si="179"/>
        <v>0.2</v>
      </c>
      <c r="CR324" s="1">
        <f t="shared" si="180"/>
        <v>1</v>
      </c>
      <c r="CS324" s="2">
        <f t="shared" si="181"/>
        <v>73.5</v>
      </c>
      <c r="CT324" s="6">
        <f t="shared" si="182"/>
        <v>414</v>
      </c>
      <c r="CU324" s="1">
        <f>PPTest!K324</f>
        <v>8.3000000000000007</v>
      </c>
      <c r="CV324" s="3">
        <f t="shared" si="183"/>
        <v>1.62</v>
      </c>
      <c r="CW324" s="3">
        <f t="shared" si="184"/>
        <v>4.37</v>
      </c>
      <c r="CX324" s="24">
        <f t="shared" si="185"/>
        <v>0.34899999999999998</v>
      </c>
      <c r="CY324" s="24">
        <f t="shared" si="185"/>
        <v>0.126</v>
      </c>
      <c r="CZ324" s="16">
        <f t="shared" si="186"/>
        <v>13.1</v>
      </c>
    </row>
    <row r="325" spans="1:104" x14ac:dyDescent="0.2">
      <c r="A325" s="14">
        <f t="shared" si="187"/>
        <v>39036</v>
      </c>
      <c r="B325" s="1">
        <v>319</v>
      </c>
      <c r="C325" s="3">
        <v>1.421</v>
      </c>
      <c r="D325" s="3">
        <v>2.9140000000000001</v>
      </c>
      <c r="E325" s="3">
        <v>-1.5760000000000001</v>
      </c>
      <c r="F325" s="3">
        <v>105.6</v>
      </c>
      <c r="G325" s="3">
        <v>-1.5029999999999999</v>
      </c>
      <c r="H325" s="3">
        <v>-1.5880000000000001</v>
      </c>
      <c r="I325" s="3">
        <v>0.47299999999999998</v>
      </c>
      <c r="J325" s="3">
        <v>-9.5000000000000001E-2</v>
      </c>
      <c r="K325" s="3">
        <v>0.54900000000000004</v>
      </c>
      <c r="L325" s="3">
        <v>1.3460000000000001</v>
      </c>
      <c r="M325" s="3">
        <v>2.6549999999999998</v>
      </c>
      <c r="N325" s="3">
        <v>0</v>
      </c>
      <c r="O325" s="3">
        <v>1.59</v>
      </c>
      <c r="P325" s="3">
        <v>2300</v>
      </c>
      <c r="Q325" s="3">
        <v>110.9</v>
      </c>
      <c r="R325" s="3">
        <v>1648</v>
      </c>
      <c r="S325" s="3">
        <v>2.0609999999999999</v>
      </c>
      <c r="T325" s="3">
        <v>1.9590000000000001</v>
      </c>
      <c r="U325" s="3">
        <v>0.59399999999999997</v>
      </c>
      <c r="V325" s="3">
        <v>-7.0000000000000001E-3</v>
      </c>
      <c r="W325" s="3">
        <v>0.61699999999999999</v>
      </c>
      <c r="X325" s="3">
        <v>1.421</v>
      </c>
      <c r="Y325" s="3">
        <v>8.99</v>
      </c>
      <c r="Z325" s="3">
        <v>2350</v>
      </c>
      <c r="AA325" s="3">
        <v>-4.8310000000000004</v>
      </c>
      <c r="AB325" s="3">
        <v>423</v>
      </c>
      <c r="AC325" s="3">
        <v>94</v>
      </c>
      <c r="AD325" s="3">
        <v>23</v>
      </c>
      <c r="AE325" s="3">
        <v>-5.0389999999999997</v>
      </c>
      <c r="AF325" s="3">
        <v>-5.0049999999999999</v>
      </c>
      <c r="AG325" s="3">
        <v>0.29199999999999998</v>
      </c>
      <c r="AH325" s="3">
        <v>-0.19</v>
      </c>
      <c r="AI325" s="3">
        <v>0.48499999999999999</v>
      </c>
      <c r="AJ325" s="3">
        <v>1.282</v>
      </c>
      <c r="AK325" s="3">
        <v>0.11799999999999999</v>
      </c>
      <c r="AL325" s="3">
        <v>9.6000000000000002E-2</v>
      </c>
      <c r="AM325" s="3">
        <v>0.108</v>
      </c>
      <c r="AN325" s="3">
        <v>9.7000000000000003E-2</v>
      </c>
      <c r="AO325" s="3">
        <v>0.129</v>
      </c>
      <c r="AP325" s="3">
        <v>0.16500000000000001</v>
      </c>
      <c r="AQ325" s="3">
        <v>0.14899999999999999</v>
      </c>
      <c r="AR325" s="3">
        <v>0.13800000000000001</v>
      </c>
      <c r="AS325" s="3">
        <v>3058</v>
      </c>
      <c r="AT325" s="3">
        <v>3053</v>
      </c>
      <c r="AU325" s="3">
        <v>3055</v>
      </c>
      <c r="AV325" s="3">
        <v>-2.0979999999999999</v>
      </c>
      <c r="AW325" s="3">
        <v>-2.0819999999999999</v>
      </c>
      <c r="AX325" s="3">
        <v>0.439</v>
      </c>
      <c r="AY325" s="3">
        <v>0.32900000000000001</v>
      </c>
      <c r="AZ325" s="3">
        <v>-4.8099999999999996</v>
      </c>
      <c r="BA325" s="3">
        <v>-4.944</v>
      </c>
      <c r="BB325" s="3">
        <v>12.84</v>
      </c>
      <c r="BC325" s="3">
        <v>2876</v>
      </c>
      <c r="BD325" s="3"/>
      <c r="BE325" s="6">
        <f>BE$2-AU325</f>
        <v>455</v>
      </c>
      <c r="BG325" s="16">
        <v>6.47</v>
      </c>
      <c r="BH325" s="16">
        <f t="shared" si="156"/>
        <v>13.0694</v>
      </c>
      <c r="BI325" s="17">
        <f t="shared" si="190"/>
        <v>1.39</v>
      </c>
      <c r="BJ325" s="17">
        <f t="shared" si="191"/>
        <v>3.21</v>
      </c>
      <c r="BL325" s="1">
        <f t="shared" si="157"/>
        <v>99.6</v>
      </c>
      <c r="BM325" s="1">
        <f t="shared" si="158"/>
        <v>91.2</v>
      </c>
      <c r="BN325" s="1">
        <f t="shared" si="159"/>
        <v>75.7</v>
      </c>
      <c r="BO325" s="49">
        <f t="shared" si="165"/>
        <v>0.51800000000000002</v>
      </c>
      <c r="BP325" s="49">
        <f t="shared" si="166"/>
        <v>0.16600000000000001</v>
      </c>
      <c r="BQ325" s="1">
        <f t="shared" si="192"/>
        <v>-1.5760000000000001</v>
      </c>
      <c r="BR325" s="3">
        <v>10.6</v>
      </c>
      <c r="BT325" s="16">
        <f t="shared" si="160"/>
        <v>1.39</v>
      </c>
      <c r="BU325" s="16">
        <f t="shared" si="161"/>
        <v>3.21</v>
      </c>
      <c r="BV325" s="3">
        <f t="shared" si="162"/>
        <v>-1.6</v>
      </c>
      <c r="BW325" s="3">
        <f t="shared" si="189"/>
        <v>-1.5</v>
      </c>
      <c r="BX325" s="3">
        <f t="shared" si="189"/>
        <v>-1.6</v>
      </c>
      <c r="BY325" s="3">
        <f t="shared" si="189"/>
        <v>0.5</v>
      </c>
      <c r="BZ325" s="3">
        <f t="shared" si="188"/>
        <v>-0.1</v>
      </c>
      <c r="CA325" s="3">
        <f t="shared" si="188"/>
        <v>0.5</v>
      </c>
      <c r="CB325" s="3">
        <f t="shared" si="188"/>
        <v>1.3</v>
      </c>
      <c r="CC325" s="22">
        <f t="shared" si="163"/>
        <v>91.2</v>
      </c>
      <c r="CD325" s="1">
        <f t="shared" si="167"/>
        <v>1.6</v>
      </c>
      <c r="CE325" s="1">
        <f t="shared" si="168"/>
        <v>2.1</v>
      </c>
      <c r="CF325" s="1">
        <f t="shared" si="169"/>
        <v>2</v>
      </c>
      <c r="CG325" s="1">
        <f t="shared" si="170"/>
        <v>0.6</v>
      </c>
      <c r="CH325" s="1">
        <f t="shared" si="171"/>
        <v>0</v>
      </c>
      <c r="CI325" s="1">
        <f t="shared" si="172"/>
        <v>0.6</v>
      </c>
      <c r="CJ325" s="1">
        <f t="shared" si="173"/>
        <v>1.4</v>
      </c>
      <c r="CK325" s="2">
        <f t="shared" si="164"/>
        <v>99.6</v>
      </c>
      <c r="CL325" s="1">
        <f t="shared" si="174"/>
        <v>-4.8</v>
      </c>
      <c r="CM325" s="1">
        <f t="shared" si="175"/>
        <v>-5</v>
      </c>
      <c r="CN325" s="1">
        <f t="shared" si="176"/>
        <v>-5</v>
      </c>
      <c r="CO325" s="1">
        <f t="shared" si="177"/>
        <v>0.3</v>
      </c>
      <c r="CP325" s="1">
        <f t="shared" si="178"/>
        <v>-0.2</v>
      </c>
      <c r="CQ325" s="1">
        <f t="shared" si="179"/>
        <v>0.5</v>
      </c>
      <c r="CR325" s="1">
        <f t="shared" si="180"/>
        <v>1.3</v>
      </c>
      <c r="CS325" s="2">
        <f t="shared" si="181"/>
        <v>75.7</v>
      </c>
      <c r="CT325" s="6">
        <f t="shared" si="182"/>
        <v>455</v>
      </c>
      <c r="CU325" s="1">
        <f>PPTest!K325</f>
        <v>5.3</v>
      </c>
      <c r="CV325" s="3">
        <f t="shared" si="183"/>
        <v>2.66</v>
      </c>
      <c r="CW325" s="3">
        <f t="shared" si="184"/>
        <v>8.99</v>
      </c>
      <c r="CX325" s="24">
        <f t="shared" si="185"/>
        <v>0.51800000000000002</v>
      </c>
      <c r="CY325" s="24">
        <f t="shared" si="185"/>
        <v>0.16600000000000001</v>
      </c>
      <c r="CZ325" s="16">
        <f t="shared" si="186"/>
        <v>12.84</v>
      </c>
    </row>
    <row r="326" spans="1:104" x14ac:dyDescent="0.2">
      <c r="A326" s="14">
        <f t="shared" si="187"/>
        <v>39037</v>
      </c>
      <c r="B326" s="1">
        <v>320</v>
      </c>
      <c r="C326" s="3">
        <v>5.7160000000000002</v>
      </c>
      <c r="D326" s="3">
        <v>9.77</v>
      </c>
      <c r="E326" s="3">
        <v>-3.7919999999999998</v>
      </c>
      <c r="F326" s="3">
        <v>99.7</v>
      </c>
      <c r="G326" s="3">
        <v>-4.0620000000000003</v>
      </c>
      <c r="H326" s="3">
        <v>-4.2300000000000004</v>
      </c>
      <c r="I326" s="3">
        <v>0.47299999999999998</v>
      </c>
      <c r="J326" s="3">
        <v>-0.11799999999999999</v>
      </c>
      <c r="K326" s="3">
        <v>0.47699999999999998</v>
      </c>
      <c r="L326" s="3">
        <v>1.2729999999999999</v>
      </c>
      <c r="M326" s="3">
        <v>1.7809999999999999</v>
      </c>
      <c r="N326" s="3">
        <v>0</v>
      </c>
      <c r="O326" s="3">
        <v>0.95299999999999996</v>
      </c>
      <c r="P326" s="3">
        <v>2</v>
      </c>
      <c r="Q326" s="3">
        <v>111.1</v>
      </c>
      <c r="R326" s="3">
        <v>338</v>
      </c>
      <c r="S326" s="3">
        <v>1.1160000000000001</v>
      </c>
      <c r="T326" s="3">
        <v>1.1160000000000001</v>
      </c>
      <c r="U326" s="3">
        <v>0.64700000000000002</v>
      </c>
      <c r="V326" s="3">
        <v>5.8999999999999997E-2</v>
      </c>
      <c r="W326" s="3">
        <v>0.624</v>
      </c>
      <c r="X326" s="3">
        <v>1.43</v>
      </c>
      <c r="Y326" s="3">
        <v>7.03</v>
      </c>
      <c r="Z326" s="3">
        <v>47</v>
      </c>
      <c r="AA326" s="3">
        <v>-6.899</v>
      </c>
      <c r="AB326" s="3">
        <v>2128</v>
      </c>
      <c r="AC326" s="3">
        <v>77</v>
      </c>
      <c r="AD326" s="3">
        <v>1324</v>
      </c>
      <c r="AE326" s="3">
        <v>-9.0399999999999991</v>
      </c>
      <c r="AF326" s="3">
        <v>-9.68</v>
      </c>
      <c r="AG326" s="3">
        <v>0.161</v>
      </c>
      <c r="AH326" s="3">
        <v>-0.442</v>
      </c>
      <c r="AI326" s="3">
        <v>0.17299999999999999</v>
      </c>
      <c r="AJ326" s="3">
        <v>0.97399999999999998</v>
      </c>
      <c r="AK326" s="3">
        <v>2.4E-2</v>
      </c>
      <c r="AL326" s="3">
        <v>3.5999999999999997E-2</v>
      </c>
      <c r="AM326" s="3">
        <v>0.06</v>
      </c>
      <c r="AN326" s="3">
        <v>7.8E-2</v>
      </c>
      <c r="AO326" s="3">
        <v>0.254</v>
      </c>
      <c r="AP326" s="3">
        <v>0.376</v>
      </c>
      <c r="AQ326" s="3">
        <v>0.14399999999999999</v>
      </c>
      <c r="AR326" s="3">
        <v>2.7E-2</v>
      </c>
      <c r="AS326" s="3">
        <v>6999</v>
      </c>
      <c r="AT326" s="3">
        <v>3087</v>
      </c>
      <c r="AU326" s="3">
        <v>4016</v>
      </c>
      <c r="AV326" s="3">
        <v>-4.0750000000000002</v>
      </c>
      <c r="AW326" s="3">
        <v>-4.3579999999999997</v>
      </c>
      <c r="AX326" s="3">
        <v>0.41799999999999998</v>
      </c>
      <c r="AY326" s="3">
        <v>0.27600000000000002</v>
      </c>
      <c r="AZ326" s="3">
        <v>-8.59</v>
      </c>
      <c r="BA326" s="3">
        <v>-8.91</v>
      </c>
      <c r="BB326" s="3">
        <v>13.14</v>
      </c>
      <c r="BC326" s="3">
        <v>2876</v>
      </c>
      <c r="BD326" s="3"/>
      <c r="BE326" s="18">
        <v>430</v>
      </c>
      <c r="BG326" s="16">
        <v>6.35</v>
      </c>
      <c r="BH326" s="16">
        <f t="shared" si="156"/>
        <v>12.827</v>
      </c>
      <c r="BI326" s="17">
        <f t="shared" si="190"/>
        <v>5.6</v>
      </c>
      <c r="BJ326" s="17">
        <f t="shared" si="191"/>
        <v>10.75</v>
      </c>
      <c r="BL326" s="1">
        <f t="shared" si="157"/>
        <v>100</v>
      </c>
      <c r="BM326" s="1">
        <f t="shared" si="158"/>
        <v>81.8</v>
      </c>
      <c r="BN326" s="1">
        <f t="shared" si="159"/>
        <v>60.8</v>
      </c>
      <c r="BO326" s="49">
        <f t="shared" si="165"/>
        <v>0.39800000000000002</v>
      </c>
      <c r="BP326" s="49">
        <f t="shared" si="166"/>
        <v>0.25700000000000001</v>
      </c>
      <c r="BQ326" s="1">
        <f t="shared" si="192"/>
        <v>-3.7919999999999998</v>
      </c>
      <c r="BR326" s="3">
        <v>5.2</v>
      </c>
      <c r="BT326" s="16">
        <f t="shared" si="160"/>
        <v>5.6</v>
      </c>
      <c r="BU326" s="16">
        <f t="shared" si="161"/>
        <v>10.75</v>
      </c>
      <c r="BV326" s="3">
        <f t="shared" si="162"/>
        <v>-3.8</v>
      </c>
      <c r="BW326" s="3">
        <f t="shared" si="189"/>
        <v>-4.0999999999999996</v>
      </c>
      <c r="BX326" s="3">
        <f t="shared" si="189"/>
        <v>-4.2</v>
      </c>
      <c r="BY326" s="3">
        <f t="shared" si="189"/>
        <v>0.5</v>
      </c>
      <c r="BZ326" s="3">
        <f t="shared" si="188"/>
        <v>-0.1</v>
      </c>
      <c r="CA326" s="3">
        <f t="shared" si="188"/>
        <v>0.5</v>
      </c>
      <c r="CB326" s="3">
        <f t="shared" si="188"/>
        <v>1.3</v>
      </c>
      <c r="CC326" s="22">
        <f t="shared" si="163"/>
        <v>81.8</v>
      </c>
      <c r="CD326" s="1">
        <f t="shared" si="167"/>
        <v>1</v>
      </c>
      <c r="CE326" s="1">
        <f t="shared" si="168"/>
        <v>1.1000000000000001</v>
      </c>
      <c r="CF326" s="1">
        <f t="shared" si="169"/>
        <v>1.1000000000000001</v>
      </c>
      <c r="CG326" s="1">
        <f t="shared" si="170"/>
        <v>0.6</v>
      </c>
      <c r="CH326" s="1">
        <f t="shared" si="171"/>
        <v>0.1</v>
      </c>
      <c r="CI326" s="1">
        <f t="shared" si="172"/>
        <v>0.6</v>
      </c>
      <c r="CJ326" s="1">
        <f t="shared" si="173"/>
        <v>1.4</v>
      </c>
      <c r="CK326" s="2">
        <f t="shared" si="164"/>
        <v>100</v>
      </c>
      <c r="CL326" s="1">
        <f t="shared" si="174"/>
        <v>-6.9</v>
      </c>
      <c r="CM326" s="1">
        <f t="shared" si="175"/>
        <v>-9</v>
      </c>
      <c r="CN326" s="1">
        <f t="shared" si="176"/>
        <v>-9.6999999999999993</v>
      </c>
      <c r="CO326" s="1">
        <f t="shared" si="177"/>
        <v>0.2</v>
      </c>
      <c r="CP326" s="1">
        <f t="shared" si="178"/>
        <v>-0.4</v>
      </c>
      <c r="CQ326" s="1">
        <f t="shared" si="179"/>
        <v>0.2</v>
      </c>
      <c r="CR326" s="1">
        <f t="shared" si="180"/>
        <v>1</v>
      </c>
      <c r="CS326" s="2">
        <f t="shared" si="181"/>
        <v>60.8</v>
      </c>
      <c r="CT326" s="6">
        <f t="shared" si="182"/>
        <v>430</v>
      </c>
      <c r="CU326" s="1">
        <f>PPTest!K326</f>
        <v>0</v>
      </c>
      <c r="CV326" s="3">
        <f t="shared" si="183"/>
        <v>1.78</v>
      </c>
      <c r="CW326" s="3">
        <f t="shared" si="184"/>
        <v>7.03</v>
      </c>
      <c r="CX326" s="24">
        <f t="shared" si="185"/>
        <v>0.39800000000000002</v>
      </c>
      <c r="CY326" s="24">
        <f t="shared" si="185"/>
        <v>0.25700000000000001</v>
      </c>
      <c r="CZ326" s="16">
        <f t="shared" si="186"/>
        <v>13.14</v>
      </c>
    </row>
    <row r="327" spans="1:104" x14ac:dyDescent="0.2">
      <c r="A327" s="14">
        <f t="shared" si="187"/>
        <v>39038</v>
      </c>
      <c r="B327" s="1">
        <v>321</v>
      </c>
      <c r="C327" s="3">
        <v>2.8460000000000001</v>
      </c>
      <c r="D327" s="3">
        <v>5.2619999999999996</v>
      </c>
      <c r="E327" s="3">
        <v>-3.508</v>
      </c>
      <c r="F327" s="3">
        <v>95.9</v>
      </c>
      <c r="G327" s="3">
        <v>-3.7829999999999999</v>
      </c>
      <c r="H327" s="3">
        <v>-3.9430000000000001</v>
      </c>
      <c r="I327" s="3">
        <v>0.54300000000000004</v>
      </c>
      <c r="J327" s="3">
        <v>-7.1999999999999995E-2</v>
      </c>
      <c r="K327" s="3">
        <v>0.53300000000000003</v>
      </c>
      <c r="L327" s="3">
        <v>1.3149999999999999</v>
      </c>
      <c r="M327" s="3">
        <v>1.302</v>
      </c>
      <c r="N327" s="3">
        <v>0</v>
      </c>
      <c r="O327" s="3">
        <v>-1.3120000000000001</v>
      </c>
      <c r="P327" s="3">
        <v>1248</v>
      </c>
      <c r="Q327" s="3">
        <v>106.4</v>
      </c>
      <c r="R327" s="3">
        <v>2233</v>
      </c>
      <c r="S327" s="3">
        <v>-0.39400000000000002</v>
      </c>
      <c r="T327" s="3">
        <v>-0.34</v>
      </c>
      <c r="U327" s="3">
        <v>0.66700000000000004</v>
      </c>
      <c r="V327" s="3">
        <v>2.7E-2</v>
      </c>
      <c r="W327" s="3">
        <v>0.61699999999999999</v>
      </c>
      <c r="X327" s="3">
        <v>1.399</v>
      </c>
      <c r="Y327" s="3">
        <v>3.1339999999999999</v>
      </c>
      <c r="Z327" s="3">
        <v>519</v>
      </c>
      <c r="AA327" s="3">
        <v>-6.7460000000000004</v>
      </c>
      <c r="AB327" s="3">
        <v>133</v>
      </c>
      <c r="AC327" s="3">
        <v>81</v>
      </c>
      <c r="AD327" s="3">
        <v>13</v>
      </c>
      <c r="AE327" s="3">
        <v>-8.36</v>
      </c>
      <c r="AF327" s="3">
        <v>-9.01</v>
      </c>
      <c r="AG327" s="3">
        <v>0.316</v>
      </c>
      <c r="AH327" s="3">
        <v>-0.218</v>
      </c>
      <c r="AI327" s="3">
        <v>0.372</v>
      </c>
      <c r="AJ327" s="3">
        <v>1.165</v>
      </c>
      <c r="AK327" s="3">
        <v>0.11600000000000001</v>
      </c>
      <c r="AL327" s="3">
        <v>0.10299999999999999</v>
      </c>
      <c r="AM327" s="3">
        <v>8.6999999999999994E-2</v>
      </c>
      <c r="AN327" s="3">
        <v>7.0999999999999994E-2</v>
      </c>
      <c r="AO327" s="3">
        <v>0.127</v>
      </c>
      <c r="AP327" s="3">
        <v>0.189</v>
      </c>
      <c r="AQ327" s="3">
        <v>0.183</v>
      </c>
      <c r="AR327" s="3">
        <v>0.124</v>
      </c>
      <c r="AS327" s="3">
        <v>3113</v>
      </c>
      <c r="AT327" s="3">
        <v>3096</v>
      </c>
      <c r="AU327" s="3">
        <v>3106</v>
      </c>
      <c r="AV327" s="3">
        <v>-4.6369999999999996</v>
      </c>
      <c r="AW327" s="3">
        <v>-4.5999999999999996</v>
      </c>
      <c r="AX327" s="3">
        <v>-1.6419999999999999</v>
      </c>
      <c r="AY327" s="3">
        <v>-1.554</v>
      </c>
      <c r="AZ327" s="3">
        <v>-8.44</v>
      </c>
      <c r="BA327" s="3">
        <v>-8.4499999999999993</v>
      </c>
      <c r="BB327" s="3">
        <v>13.14</v>
      </c>
      <c r="BC327" s="3">
        <v>2876</v>
      </c>
      <c r="BD327" s="3"/>
      <c r="BE327" s="6">
        <f t="shared" ref="BE327:BE334" si="193">BE$2-AU327</f>
        <v>404</v>
      </c>
      <c r="BG327" s="16">
        <v>6.24</v>
      </c>
      <c r="BH327" s="16">
        <f t="shared" ref="BH327:BH371" si="194">BG327*$BH$1</f>
        <v>12.604800000000001</v>
      </c>
      <c r="BI327" s="17">
        <f t="shared" si="190"/>
        <v>2.79</v>
      </c>
      <c r="BJ327" s="17">
        <f t="shared" si="191"/>
        <v>5.79</v>
      </c>
      <c r="BL327" s="1">
        <f t="shared" ref="BL327:BL371" si="195">ROUND(IF(Q327&gt;BL$2,100,IF(Q327&gt;BL$3,BM$1*Q327+BM$2, Q327*BM$3+BM$4)),1)</f>
        <v>92.5</v>
      </c>
      <c r="BM327" s="1">
        <f t="shared" ref="BM327:BM371" si="196">ROUND(IF(F327&gt;BL$2,100, IF(F327&gt;BL$3,BM$1*F327+BM$2, F327*BM$3+BM$4)),1)</f>
        <v>77.400000000000006</v>
      </c>
      <c r="BN327" s="1">
        <f t="shared" ref="BN327:BN371" si="197">ROUND(IF(AC327&gt;BL$2,100,IF(AC327&gt;BL$3,BM$1*AC327+BM$2, AC327*BM$3+BM$4)),1)</f>
        <v>64.3</v>
      </c>
      <c r="BO327" s="49">
        <f t="shared" si="165"/>
        <v>0.35699999999999998</v>
      </c>
      <c r="BP327" s="49">
        <f t="shared" si="166"/>
        <v>0.19800000000000001</v>
      </c>
      <c r="BQ327" s="1">
        <f t="shared" si="192"/>
        <v>-3.508</v>
      </c>
      <c r="BR327" s="3">
        <v>0.4</v>
      </c>
      <c r="BT327" s="16">
        <f t="shared" ref="BT327:BT371" si="198">BI327</f>
        <v>2.79</v>
      </c>
      <c r="BU327" s="16">
        <f t="shared" ref="BU327:BU371" si="199">BJ327</f>
        <v>5.79</v>
      </c>
      <c r="BV327" s="3">
        <f t="shared" ref="BV327:BV371" si="200">ROUND(E327,1)</f>
        <v>-3.5</v>
      </c>
      <c r="BW327" s="3">
        <f t="shared" si="189"/>
        <v>-3.8</v>
      </c>
      <c r="BX327" s="3">
        <f t="shared" si="189"/>
        <v>-3.9</v>
      </c>
      <c r="BY327" s="3">
        <f t="shared" si="189"/>
        <v>0.5</v>
      </c>
      <c r="BZ327" s="3">
        <f t="shared" si="188"/>
        <v>-0.1</v>
      </c>
      <c r="CA327" s="3">
        <f t="shared" si="188"/>
        <v>0.5</v>
      </c>
      <c r="CB327" s="3">
        <f t="shared" si="188"/>
        <v>1.3</v>
      </c>
      <c r="CC327" s="22">
        <f t="shared" ref="CC327:CC371" si="201">ROUND(BM327,1)</f>
        <v>77.400000000000006</v>
      </c>
      <c r="CD327" s="1">
        <f t="shared" si="167"/>
        <v>-1.3</v>
      </c>
      <c r="CE327" s="1">
        <f t="shared" si="168"/>
        <v>-0.4</v>
      </c>
      <c r="CF327" s="1">
        <f t="shared" si="169"/>
        <v>-0.3</v>
      </c>
      <c r="CG327" s="1">
        <f t="shared" si="170"/>
        <v>0.7</v>
      </c>
      <c r="CH327" s="1">
        <f t="shared" si="171"/>
        <v>0</v>
      </c>
      <c r="CI327" s="1">
        <f t="shared" si="172"/>
        <v>0.6</v>
      </c>
      <c r="CJ327" s="1">
        <f t="shared" si="173"/>
        <v>1.4</v>
      </c>
      <c r="CK327" s="2">
        <f t="shared" ref="CK327:CK371" si="202">ROUND(BL327,1)</f>
        <v>92.5</v>
      </c>
      <c r="CL327" s="1">
        <f t="shared" si="174"/>
        <v>-6.7</v>
      </c>
      <c r="CM327" s="1">
        <f t="shared" si="175"/>
        <v>-8.4</v>
      </c>
      <c r="CN327" s="1">
        <f t="shared" si="176"/>
        <v>-9</v>
      </c>
      <c r="CO327" s="1">
        <f t="shared" si="177"/>
        <v>0.3</v>
      </c>
      <c r="CP327" s="1">
        <f t="shared" si="178"/>
        <v>-0.2</v>
      </c>
      <c r="CQ327" s="1">
        <f t="shared" si="179"/>
        <v>0.4</v>
      </c>
      <c r="CR327" s="1">
        <f t="shared" si="180"/>
        <v>1.2</v>
      </c>
      <c r="CS327" s="2">
        <f t="shared" si="181"/>
        <v>64.3</v>
      </c>
      <c r="CT327" s="6">
        <f t="shared" si="182"/>
        <v>404</v>
      </c>
      <c r="CU327" s="1">
        <f>PPTest!K327</f>
        <v>0</v>
      </c>
      <c r="CV327" s="3">
        <f t="shared" si="183"/>
        <v>1.3</v>
      </c>
      <c r="CW327" s="3">
        <f t="shared" si="184"/>
        <v>3.13</v>
      </c>
      <c r="CX327" s="24">
        <f t="shared" si="185"/>
        <v>0.35699999999999998</v>
      </c>
      <c r="CY327" s="24">
        <f t="shared" si="185"/>
        <v>0.19800000000000001</v>
      </c>
      <c r="CZ327" s="16">
        <f t="shared" si="186"/>
        <v>13.14</v>
      </c>
    </row>
    <row r="328" spans="1:104" x14ac:dyDescent="0.2">
      <c r="A328" s="14">
        <f t="shared" si="187"/>
        <v>39039</v>
      </c>
      <c r="B328" s="1">
        <v>322</v>
      </c>
      <c r="C328" s="3">
        <v>3.1760000000000002</v>
      </c>
      <c r="D328" s="3">
        <v>5.766</v>
      </c>
      <c r="E328" s="3">
        <v>-2.4060000000000001</v>
      </c>
      <c r="F328" s="3">
        <v>98.7</v>
      </c>
      <c r="G328" s="3">
        <v>-2.6259999999999999</v>
      </c>
      <c r="H328" s="3">
        <v>-2.7290000000000001</v>
      </c>
      <c r="I328" s="3">
        <v>0.53700000000000003</v>
      </c>
      <c r="J328" s="3">
        <v>-6.6000000000000003E-2</v>
      </c>
      <c r="K328" s="3">
        <v>0.54100000000000004</v>
      </c>
      <c r="L328" s="3">
        <v>1.3160000000000001</v>
      </c>
      <c r="M328" s="3">
        <v>1.262</v>
      </c>
      <c r="N328" s="3">
        <v>0</v>
      </c>
      <c r="O328" s="3">
        <v>0.26200000000000001</v>
      </c>
      <c r="P328" s="3">
        <v>1112</v>
      </c>
      <c r="Q328" s="3">
        <v>109.9</v>
      </c>
      <c r="R328" s="3">
        <v>431</v>
      </c>
      <c r="S328" s="3">
        <v>1.2090000000000001</v>
      </c>
      <c r="T328" s="3">
        <v>1.821</v>
      </c>
      <c r="U328" s="3">
        <v>0.70399999999999996</v>
      </c>
      <c r="V328" s="3">
        <v>8.2000000000000003E-2</v>
      </c>
      <c r="W328" s="3">
        <v>0.66400000000000003</v>
      </c>
      <c r="X328" s="3">
        <v>1.4450000000000001</v>
      </c>
      <c r="Y328" s="3">
        <v>4.3170000000000002</v>
      </c>
      <c r="Z328" s="3">
        <v>1935</v>
      </c>
      <c r="AA328" s="3">
        <v>-4.8209999999999997</v>
      </c>
      <c r="AB328" s="3">
        <v>407</v>
      </c>
      <c r="AC328" s="3">
        <v>77</v>
      </c>
      <c r="AD328" s="3">
        <v>2354</v>
      </c>
      <c r="AE328" s="3">
        <v>-5.4509999999999996</v>
      </c>
      <c r="AF328" s="3">
        <v>-5.7380000000000004</v>
      </c>
      <c r="AG328" s="3">
        <v>0.41599999999999998</v>
      </c>
      <c r="AH328" s="3">
        <v>-0.19700000000000001</v>
      </c>
      <c r="AI328" s="3">
        <v>0.42299999999999999</v>
      </c>
      <c r="AJ328" s="3">
        <v>1.208</v>
      </c>
      <c r="AK328" s="3">
        <v>0.108</v>
      </c>
      <c r="AL328" s="3">
        <v>0.192</v>
      </c>
      <c r="AM328" s="3">
        <v>0.17199999999999999</v>
      </c>
      <c r="AN328" s="3">
        <v>9.9000000000000005E-2</v>
      </c>
      <c r="AO328" s="3">
        <v>0.11</v>
      </c>
      <c r="AP328" s="3">
        <v>0.13300000000000001</v>
      </c>
      <c r="AQ328" s="3">
        <v>9.7000000000000003E-2</v>
      </c>
      <c r="AR328" s="3">
        <v>8.8999999999999996E-2</v>
      </c>
      <c r="AS328" s="3">
        <v>3116</v>
      </c>
      <c r="AT328" s="3">
        <v>3109</v>
      </c>
      <c r="AU328" s="3">
        <v>3112</v>
      </c>
      <c r="AV328" s="3">
        <v>-3.1869999999999998</v>
      </c>
      <c r="AW328" s="3">
        <v>-3.23</v>
      </c>
      <c r="AX328" s="3">
        <v>-0.32500000000000001</v>
      </c>
      <c r="AY328" s="3">
        <v>-0.29599999999999999</v>
      </c>
      <c r="AZ328" s="3">
        <v>-5.1660000000000004</v>
      </c>
      <c r="BA328" s="3">
        <v>-5.2830000000000004</v>
      </c>
      <c r="BB328" s="3">
        <v>13.11</v>
      </c>
      <c r="BC328" s="3">
        <v>2876</v>
      </c>
      <c r="BD328" s="3"/>
      <c r="BE328" s="6">
        <f t="shared" si="193"/>
        <v>398</v>
      </c>
      <c r="BG328" s="16">
        <v>6.13</v>
      </c>
      <c r="BH328" s="16">
        <f t="shared" si="194"/>
        <v>12.3826</v>
      </c>
      <c r="BI328" s="17">
        <f t="shared" si="190"/>
        <v>3.11</v>
      </c>
      <c r="BJ328" s="17">
        <f t="shared" si="191"/>
        <v>6.34</v>
      </c>
      <c r="BL328" s="1">
        <f t="shared" si="195"/>
        <v>98</v>
      </c>
      <c r="BM328" s="1">
        <f t="shared" si="196"/>
        <v>79.900000000000006</v>
      </c>
      <c r="BN328" s="1">
        <f t="shared" si="197"/>
        <v>60.8</v>
      </c>
      <c r="BO328" s="49">
        <f t="shared" ref="BO328:BO371" si="203">ROUND((0.6105*(EXP((17.273*O328)/(O328+237.3))))*BN328/100,3)</f>
        <v>0.378</v>
      </c>
      <c r="BP328" s="49">
        <f t="shared" ref="BP328:BP371" si="204">ROUND((100-BN328)*BO328/BN328,3)</f>
        <v>0.24399999999999999</v>
      </c>
      <c r="BQ328" s="1">
        <f t="shared" si="192"/>
        <v>-2.4060000000000001</v>
      </c>
      <c r="BR328" s="3">
        <v>0.8</v>
      </c>
      <c r="BT328" s="16">
        <f t="shared" si="198"/>
        <v>3.11</v>
      </c>
      <c r="BU328" s="16">
        <f t="shared" si="199"/>
        <v>6.34</v>
      </c>
      <c r="BV328" s="3">
        <f t="shared" si="200"/>
        <v>-2.4</v>
      </c>
      <c r="BW328" s="3">
        <f t="shared" si="189"/>
        <v>-2.6</v>
      </c>
      <c r="BX328" s="3">
        <f t="shared" si="189"/>
        <v>-2.7</v>
      </c>
      <c r="BY328" s="3">
        <f t="shared" si="189"/>
        <v>0.5</v>
      </c>
      <c r="BZ328" s="3">
        <f t="shared" si="188"/>
        <v>-0.1</v>
      </c>
      <c r="CA328" s="3">
        <f t="shared" si="188"/>
        <v>0.5</v>
      </c>
      <c r="CB328" s="3">
        <f t="shared" si="188"/>
        <v>1.3</v>
      </c>
      <c r="CC328" s="22">
        <f t="shared" si="201"/>
        <v>79.900000000000006</v>
      </c>
      <c r="CD328" s="1">
        <f t="shared" ref="CD328:CD371" si="205">ROUND(O328,1)</f>
        <v>0.3</v>
      </c>
      <c r="CE328" s="1">
        <f t="shared" ref="CE328:CE371" si="206">ROUND(S328,1)</f>
        <v>1.2</v>
      </c>
      <c r="CF328" s="1">
        <f t="shared" ref="CF328:CF371" si="207">ROUND(T328,1)</f>
        <v>1.8</v>
      </c>
      <c r="CG328" s="1">
        <f t="shared" ref="CG328:CG371" si="208">ROUND(U328,1)</f>
        <v>0.7</v>
      </c>
      <c r="CH328" s="1">
        <f t="shared" ref="CH328:CH371" si="209">ROUND(V328,1)</f>
        <v>0.1</v>
      </c>
      <c r="CI328" s="1">
        <f t="shared" ref="CI328:CI371" si="210">ROUND(W328,1)</f>
        <v>0.7</v>
      </c>
      <c r="CJ328" s="1">
        <f t="shared" ref="CJ328:CJ371" si="211">ROUND(X328,1)</f>
        <v>1.4</v>
      </c>
      <c r="CK328" s="2">
        <f t="shared" si="202"/>
        <v>98</v>
      </c>
      <c r="CL328" s="1">
        <f t="shared" ref="CL328:CL371" si="212">ROUND(AA328,1)</f>
        <v>-4.8</v>
      </c>
      <c r="CM328" s="1">
        <f t="shared" ref="CM328:CM371" si="213">ROUND(AE328,1)</f>
        <v>-5.5</v>
      </c>
      <c r="CN328" s="1">
        <f t="shared" ref="CN328:CN371" si="214">ROUND(AF328,1)</f>
        <v>-5.7</v>
      </c>
      <c r="CO328" s="1">
        <f t="shared" ref="CO328:CO371" si="215">ROUND(AG328,1)</f>
        <v>0.4</v>
      </c>
      <c r="CP328" s="1">
        <f t="shared" ref="CP328:CP371" si="216">ROUND(AH328,1)</f>
        <v>-0.2</v>
      </c>
      <c r="CQ328" s="1">
        <f t="shared" ref="CQ328:CQ371" si="217">ROUND(AI328,1)</f>
        <v>0.4</v>
      </c>
      <c r="CR328" s="1">
        <f t="shared" ref="CR328:CR371" si="218">ROUND(AJ328,1)</f>
        <v>1.2</v>
      </c>
      <c r="CS328" s="2">
        <f t="shared" ref="CS328:CS371" si="219">ROUND(BN328,1)</f>
        <v>60.8</v>
      </c>
      <c r="CT328" s="6">
        <f t="shared" ref="CT328:CT371" si="220">BE328</f>
        <v>398</v>
      </c>
      <c r="CU328" s="1">
        <f>PPTest!K328</f>
        <v>0</v>
      </c>
      <c r="CV328" s="3">
        <f t="shared" ref="CV328:CV371" si="221">ROUND(M328,2)</f>
        <v>1.26</v>
      </c>
      <c r="CW328" s="3">
        <f t="shared" ref="CW328:CW371" si="222">ROUND(Y328,2)</f>
        <v>4.32</v>
      </c>
      <c r="CX328" s="24">
        <f t="shared" ref="CX328:CY371" si="223">BO328</f>
        <v>0.378</v>
      </c>
      <c r="CY328" s="24">
        <f t="shared" si="223"/>
        <v>0.24399999999999999</v>
      </c>
      <c r="CZ328" s="16">
        <f t="shared" ref="CZ328:CZ371" si="224">BB328</f>
        <v>13.11</v>
      </c>
    </row>
    <row r="329" spans="1:104" x14ac:dyDescent="0.2">
      <c r="A329" s="14">
        <f t="shared" ref="A329:A371" si="225">A328+1</f>
        <v>39040</v>
      </c>
      <c r="B329" s="1">
        <v>323</v>
      </c>
      <c r="C329" s="3">
        <v>1.423</v>
      </c>
      <c r="D329" s="3">
        <v>2.851</v>
      </c>
      <c r="E329" s="3">
        <v>0.88600000000000001</v>
      </c>
      <c r="F329" s="3">
        <v>96.8</v>
      </c>
      <c r="G329" s="3">
        <v>0.50700000000000001</v>
      </c>
      <c r="H329" s="3">
        <v>0.434</v>
      </c>
      <c r="I329" s="3">
        <v>0.65900000000000003</v>
      </c>
      <c r="J329" s="3">
        <v>3.0000000000000001E-3</v>
      </c>
      <c r="K329" s="3">
        <v>0.59799999999999998</v>
      </c>
      <c r="L329" s="3">
        <v>1.371</v>
      </c>
      <c r="M329" s="3">
        <v>2.4470000000000001</v>
      </c>
      <c r="N329" s="3">
        <v>1</v>
      </c>
      <c r="O329" s="3">
        <v>3.7269999999999999</v>
      </c>
      <c r="P329" s="3">
        <v>933</v>
      </c>
      <c r="Q329" s="3">
        <v>110.8</v>
      </c>
      <c r="R329" s="3">
        <v>1958</v>
      </c>
      <c r="S329" s="3">
        <v>3.7650000000000001</v>
      </c>
      <c r="T329" s="3">
        <v>3.6840000000000002</v>
      </c>
      <c r="U329" s="3">
        <v>1.1180000000000001</v>
      </c>
      <c r="V329" s="3">
        <v>9.4E-2</v>
      </c>
      <c r="W329" s="3">
        <v>0.69199999999999995</v>
      </c>
      <c r="X329" s="3">
        <v>1.458</v>
      </c>
      <c r="Y329" s="3">
        <v>6.6180000000000003</v>
      </c>
      <c r="Z329" s="3">
        <v>1914</v>
      </c>
      <c r="AA329" s="3">
        <v>-4.1280000000000001</v>
      </c>
      <c r="AB329" s="3">
        <v>2356</v>
      </c>
      <c r="AC329" s="3">
        <v>70.099999999999994</v>
      </c>
      <c r="AD329" s="3">
        <v>56</v>
      </c>
      <c r="AE329" s="3">
        <v>-5.5490000000000004</v>
      </c>
      <c r="AF329" s="3">
        <v>-5.95</v>
      </c>
      <c r="AG329" s="3">
        <v>0.41899999999999998</v>
      </c>
      <c r="AH329" s="3">
        <v>-0.253</v>
      </c>
      <c r="AI329" s="3">
        <v>0.33</v>
      </c>
      <c r="AJ329" s="3">
        <v>1.1160000000000001</v>
      </c>
      <c r="AK329" s="3">
        <v>0.13800000000000001</v>
      </c>
      <c r="AL329" s="3">
        <v>0.14199999999999999</v>
      </c>
      <c r="AM329" s="3">
        <v>0.13100000000000001</v>
      </c>
      <c r="AN329" s="3">
        <v>0.108</v>
      </c>
      <c r="AO329" s="3">
        <v>0.14000000000000001</v>
      </c>
      <c r="AP329" s="3">
        <v>0.14799999999999999</v>
      </c>
      <c r="AQ329" s="3">
        <v>8.5000000000000006E-2</v>
      </c>
      <c r="AR329" s="3">
        <v>0.108</v>
      </c>
      <c r="AS329" s="3">
        <v>3165</v>
      </c>
      <c r="AT329" s="3">
        <v>3146</v>
      </c>
      <c r="AU329" s="3">
        <v>3151</v>
      </c>
      <c r="AV329" s="3">
        <v>-3.4000000000000002E-2</v>
      </c>
      <c r="AW329" s="3">
        <v>-0.16800000000000001</v>
      </c>
      <c r="AX329" s="3">
        <v>1.8180000000000001</v>
      </c>
      <c r="AY329" s="3">
        <v>1.7450000000000001</v>
      </c>
      <c r="AZ329" s="3">
        <v>-3.4620000000000002</v>
      </c>
      <c r="BA329" s="3">
        <v>-4.5890000000000004</v>
      </c>
      <c r="BB329" s="3">
        <v>12.86</v>
      </c>
      <c r="BC329" s="3">
        <v>2876</v>
      </c>
      <c r="BD329" s="3"/>
      <c r="BE329" s="6">
        <f t="shared" si="193"/>
        <v>359</v>
      </c>
      <c r="BG329" s="16">
        <v>6.02</v>
      </c>
      <c r="BH329" s="16">
        <f t="shared" si="194"/>
        <v>12.160399999999999</v>
      </c>
      <c r="BI329" s="17">
        <f t="shared" si="190"/>
        <v>1.39</v>
      </c>
      <c r="BJ329" s="17">
        <f t="shared" si="191"/>
        <v>3.14</v>
      </c>
      <c r="BL329" s="1">
        <f t="shared" si="195"/>
        <v>99.5</v>
      </c>
      <c r="BM329" s="1">
        <f t="shared" si="196"/>
        <v>78.2</v>
      </c>
      <c r="BN329" s="1">
        <f t="shared" si="197"/>
        <v>54.7</v>
      </c>
      <c r="BO329" s="49">
        <f t="shared" si="203"/>
        <v>0.436</v>
      </c>
      <c r="BP329" s="49">
        <f t="shared" si="204"/>
        <v>0.36099999999999999</v>
      </c>
      <c r="BQ329" s="1">
        <f t="shared" si="192"/>
        <v>0.88600000000000001</v>
      </c>
      <c r="BR329" s="3">
        <v>7.6</v>
      </c>
      <c r="BT329" s="16">
        <f t="shared" si="198"/>
        <v>1.39</v>
      </c>
      <c r="BU329" s="16">
        <f t="shared" si="199"/>
        <v>3.14</v>
      </c>
      <c r="BV329" s="3">
        <f t="shared" si="200"/>
        <v>0.9</v>
      </c>
      <c r="BW329" s="3">
        <f t="shared" si="189"/>
        <v>0.5</v>
      </c>
      <c r="BX329" s="3">
        <f t="shared" si="189"/>
        <v>0.4</v>
      </c>
      <c r="BY329" s="3">
        <f t="shared" si="189"/>
        <v>0.7</v>
      </c>
      <c r="BZ329" s="3">
        <f t="shared" si="188"/>
        <v>0</v>
      </c>
      <c r="CA329" s="3">
        <f t="shared" si="188"/>
        <v>0.6</v>
      </c>
      <c r="CB329" s="3">
        <f t="shared" si="188"/>
        <v>1.4</v>
      </c>
      <c r="CC329" s="22">
        <f t="shared" si="201"/>
        <v>78.2</v>
      </c>
      <c r="CD329" s="1">
        <f t="shared" si="205"/>
        <v>3.7</v>
      </c>
      <c r="CE329" s="1">
        <f t="shared" si="206"/>
        <v>3.8</v>
      </c>
      <c r="CF329" s="1">
        <f t="shared" si="207"/>
        <v>3.7</v>
      </c>
      <c r="CG329" s="1">
        <f t="shared" si="208"/>
        <v>1.1000000000000001</v>
      </c>
      <c r="CH329" s="1">
        <f t="shared" si="209"/>
        <v>0.1</v>
      </c>
      <c r="CI329" s="1">
        <f t="shared" si="210"/>
        <v>0.7</v>
      </c>
      <c r="CJ329" s="1">
        <f t="shared" si="211"/>
        <v>1.5</v>
      </c>
      <c r="CK329" s="2">
        <f t="shared" si="202"/>
        <v>99.5</v>
      </c>
      <c r="CL329" s="1">
        <f t="shared" si="212"/>
        <v>-4.0999999999999996</v>
      </c>
      <c r="CM329" s="1">
        <f t="shared" si="213"/>
        <v>-5.5</v>
      </c>
      <c r="CN329" s="1">
        <f t="shared" si="214"/>
        <v>-6</v>
      </c>
      <c r="CO329" s="1">
        <f t="shared" si="215"/>
        <v>0.4</v>
      </c>
      <c r="CP329" s="1">
        <f t="shared" si="216"/>
        <v>-0.3</v>
      </c>
      <c r="CQ329" s="1">
        <f t="shared" si="217"/>
        <v>0.3</v>
      </c>
      <c r="CR329" s="1">
        <f t="shared" si="218"/>
        <v>1.1000000000000001</v>
      </c>
      <c r="CS329" s="2">
        <f t="shared" si="219"/>
        <v>54.7</v>
      </c>
      <c r="CT329" s="6">
        <f t="shared" si="220"/>
        <v>359</v>
      </c>
      <c r="CU329" s="1">
        <f>PPTest!K329</f>
        <v>8</v>
      </c>
      <c r="CV329" s="3">
        <f t="shared" si="221"/>
        <v>2.4500000000000002</v>
      </c>
      <c r="CW329" s="3">
        <f t="shared" si="222"/>
        <v>6.62</v>
      </c>
      <c r="CX329" s="24">
        <f t="shared" si="223"/>
        <v>0.436</v>
      </c>
      <c r="CY329" s="24">
        <f t="shared" si="223"/>
        <v>0.36099999999999999</v>
      </c>
      <c r="CZ329" s="16">
        <f t="shared" si="224"/>
        <v>12.86</v>
      </c>
    </row>
    <row r="330" spans="1:104" x14ac:dyDescent="0.2">
      <c r="A330" s="14">
        <f t="shared" si="225"/>
        <v>39041</v>
      </c>
      <c r="B330" s="1">
        <v>324</v>
      </c>
      <c r="C330" s="3">
        <v>5.4059999999999997</v>
      </c>
      <c r="D330" s="3">
        <v>9.35</v>
      </c>
      <c r="E330" s="3">
        <v>-2.629</v>
      </c>
      <c r="F330" s="3">
        <v>95.5</v>
      </c>
      <c r="G330" s="3">
        <v>-2.931</v>
      </c>
      <c r="H330" s="3">
        <v>-3.0990000000000002</v>
      </c>
      <c r="I330" s="3">
        <v>0.69199999999999995</v>
      </c>
      <c r="J330" s="3">
        <v>-1.2E-2</v>
      </c>
      <c r="K330" s="3">
        <v>0.51200000000000001</v>
      </c>
      <c r="L330" s="3">
        <v>1.2829999999999999</v>
      </c>
      <c r="M330" s="3">
        <v>1.9379999999999999</v>
      </c>
      <c r="N330" s="3">
        <v>0</v>
      </c>
      <c r="O330" s="3">
        <v>1.464</v>
      </c>
      <c r="P330" s="3">
        <v>1225</v>
      </c>
      <c r="Q330" s="3">
        <v>110.8</v>
      </c>
      <c r="R330" s="3">
        <v>405</v>
      </c>
      <c r="S330" s="3">
        <v>4.3159999999999998</v>
      </c>
      <c r="T330" s="3">
        <v>3.887</v>
      </c>
      <c r="U330" s="3">
        <v>0.92300000000000004</v>
      </c>
      <c r="V330" s="3">
        <v>0.19900000000000001</v>
      </c>
      <c r="W330" s="3">
        <v>0.67900000000000005</v>
      </c>
      <c r="X330" s="3">
        <v>1.4390000000000001</v>
      </c>
      <c r="Y330" s="3">
        <v>5.6070000000000002</v>
      </c>
      <c r="Z330" s="3">
        <v>2310</v>
      </c>
      <c r="AA330" s="3">
        <v>-8.23</v>
      </c>
      <c r="AB330" s="3">
        <v>516</v>
      </c>
      <c r="AC330" s="3">
        <v>72.099999999999994</v>
      </c>
      <c r="AD330" s="3">
        <v>1239</v>
      </c>
      <c r="AE330" s="3">
        <v>-10.26</v>
      </c>
      <c r="AF330" s="3">
        <v>-10.85</v>
      </c>
      <c r="AG330" s="3">
        <v>0.47399999999999998</v>
      </c>
      <c r="AH330" s="3">
        <v>-0.26500000000000001</v>
      </c>
      <c r="AI330" s="3">
        <v>0.32100000000000001</v>
      </c>
      <c r="AJ330" s="3">
        <v>1.1040000000000001</v>
      </c>
      <c r="AK330" s="3">
        <v>6.2E-2</v>
      </c>
      <c r="AL330" s="3">
        <v>0.156</v>
      </c>
      <c r="AM330" s="3">
        <v>0.13700000000000001</v>
      </c>
      <c r="AN330" s="3">
        <v>9.1999999999999998E-2</v>
      </c>
      <c r="AO330" s="3">
        <v>0.17799999999999999</v>
      </c>
      <c r="AP330" s="3">
        <v>0.217</v>
      </c>
      <c r="AQ330" s="3">
        <v>0.106</v>
      </c>
      <c r="AR330" s="3">
        <v>5.2999999999999999E-2</v>
      </c>
      <c r="AS330" s="3">
        <v>3203</v>
      </c>
      <c r="AT330" s="3">
        <v>3166</v>
      </c>
      <c r="AU330" s="3">
        <v>3181</v>
      </c>
      <c r="AV330" s="3">
        <v>-3.8140000000000001</v>
      </c>
      <c r="AW330" s="3">
        <v>-3.8620000000000001</v>
      </c>
      <c r="AX330" s="3">
        <v>1.3839999999999999</v>
      </c>
      <c r="AY330" s="3">
        <v>1.7769999999999999</v>
      </c>
      <c r="AZ330" s="3">
        <v>-10.09</v>
      </c>
      <c r="BA330" s="3">
        <v>-10.4</v>
      </c>
      <c r="BB330" s="3">
        <v>13.14</v>
      </c>
      <c r="BC330" s="3">
        <v>2876</v>
      </c>
      <c r="BD330" s="3"/>
      <c r="BE330" s="6">
        <f t="shared" si="193"/>
        <v>329</v>
      </c>
      <c r="BG330" s="16">
        <v>5.91</v>
      </c>
      <c r="BH330" s="16">
        <f t="shared" si="194"/>
        <v>11.9382</v>
      </c>
      <c r="BI330" s="17">
        <f t="shared" si="190"/>
        <v>5.3</v>
      </c>
      <c r="BJ330" s="17">
        <f t="shared" si="191"/>
        <v>10.29</v>
      </c>
      <c r="BL330" s="1">
        <f t="shared" si="195"/>
        <v>99.5</v>
      </c>
      <c r="BM330" s="1">
        <f t="shared" si="196"/>
        <v>77</v>
      </c>
      <c r="BN330" s="1">
        <f t="shared" si="197"/>
        <v>56.4</v>
      </c>
      <c r="BO330" s="49">
        <f t="shared" si="203"/>
        <v>0.38300000000000001</v>
      </c>
      <c r="BP330" s="49">
        <f t="shared" si="204"/>
        <v>0.29599999999999999</v>
      </c>
      <c r="BQ330" s="1">
        <f t="shared" si="192"/>
        <v>-2.629</v>
      </c>
      <c r="BR330" s="3">
        <v>0</v>
      </c>
      <c r="BT330" s="16">
        <f t="shared" si="198"/>
        <v>5.3</v>
      </c>
      <c r="BU330" s="16">
        <f t="shared" si="199"/>
        <v>10.29</v>
      </c>
      <c r="BV330" s="3">
        <f t="shared" si="200"/>
        <v>-2.6</v>
      </c>
      <c r="BW330" s="3">
        <f t="shared" si="189"/>
        <v>-2.9</v>
      </c>
      <c r="BX330" s="3">
        <f t="shared" si="189"/>
        <v>-3.1</v>
      </c>
      <c r="BY330" s="3">
        <f t="shared" si="189"/>
        <v>0.7</v>
      </c>
      <c r="BZ330" s="3">
        <f t="shared" si="188"/>
        <v>0</v>
      </c>
      <c r="CA330" s="3">
        <f t="shared" si="188"/>
        <v>0.5</v>
      </c>
      <c r="CB330" s="3">
        <f t="shared" si="188"/>
        <v>1.3</v>
      </c>
      <c r="CC330" s="22">
        <f t="shared" si="201"/>
        <v>77</v>
      </c>
      <c r="CD330" s="1">
        <f t="shared" si="205"/>
        <v>1.5</v>
      </c>
      <c r="CE330" s="1">
        <f t="shared" si="206"/>
        <v>4.3</v>
      </c>
      <c r="CF330" s="1">
        <f t="shared" si="207"/>
        <v>3.9</v>
      </c>
      <c r="CG330" s="1">
        <f t="shared" si="208"/>
        <v>0.9</v>
      </c>
      <c r="CH330" s="1">
        <f t="shared" si="209"/>
        <v>0.2</v>
      </c>
      <c r="CI330" s="1">
        <f t="shared" si="210"/>
        <v>0.7</v>
      </c>
      <c r="CJ330" s="1">
        <f t="shared" si="211"/>
        <v>1.4</v>
      </c>
      <c r="CK330" s="2">
        <f t="shared" si="202"/>
        <v>99.5</v>
      </c>
      <c r="CL330" s="1">
        <f t="shared" si="212"/>
        <v>-8.1999999999999993</v>
      </c>
      <c r="CM330" s="1">
        <f t="shared" si="213"/>
        <v>-10.3</v>
      </c>
      <c r="CN330" s="1">
        <f t="shared" si="214"/>
        <v>-10.9</v>
      </c>
      <c r="CO330" s="1">
        <f t="shared" si="215"/>
        <v>0.5</v>
      </c>
      <c r="CP330" s="1">
        <f t="shared" si="216"/>
        <v>-0.3</v>
      </c>
      <c r="CQ330" s="1">
        <f t="shared" si="217"/>
        <v>0.3</v>
      </c>
      <c r="CR330" s="1">
        <f t="shared" si="218"/>
        <v>1.1000000000000001</v>
      </c>
      <c r="CS330" s="2">
        <f t="shared" si="219"/>
        <v>56.4</v>
      </c>
      <c r="CT330" s="6">
        <f t="shared" si="220"/>
        <v>329</v>
      </c>
      <c r="CU330" s="1">
        <f>PPTest!K330</f>
        <v>0</v>
      </c>
      <c r="CV330" s="3">
        <f t="shared" si="221"/>
        <v>1.94</v>
      </c>
      <c r="CW330" s="3">
        <f t="shared" si="222"/>
        <v>5.61</v>
      </c>
      <c r="CX330" s="24">
        <f t="shared" si="223"/>
        <v>0.38300000000000001</v>
      </c>
      <c r="CY330" s="24">
        <f t="shared" si="223"/>
        <v>0.29599999999999999</v>
      </c>
      <c r="CZ330" s="16">
        <f t="shared" si="224"/>
        <v>13.14</v>
      </c>
    </row>
    <row r="331" spans="1:104" x14ac:dyDescent="0.2">
      <c r="A331" s="14">
        <f t="shared" si="225"/>
        <v>39042</v>
      </c>
      <c r="B331" s="1">
        <v>325</v>
      </c>
      <c r="C331" s="3">
        <v>0.876</v>
      </c>
      <c r="D331" s="3">
        <v>1.6080000000000001</v>
      </c>
      <c r="E331" s="3">
        <v>-1.63</v>
      </c>
      <c r="F331" s="3">
        <v>99.9</v>
      </c>
      <c r="G331" s="3">
        <v>-1.744</v>
      </c>
      <c r="H331" s="3">
        <v>-1.8089999999999999</v>
      </c>
      <c r="I331" s="3">
        <v>0.54500000000000004</v>
      </c>
      <c r="J331" s="3">
        <v>2E-3</v>
      </c>
      <c r="K331" s="3">
        <v>0.47599999999999998</v>
      </c>
      <c r="L331" s="3">
        <v>1.2450000000000001</v>
      </c>
      <c r="M331" s="3">
        <v>2.2109999999999999</v>
      </c>
      <c r="N331" s="3">
        <v>0</v>
      </c>
      <c r="O331" s="3">
        <v>6.4000000000000001E-2</v>
      </c>
      <c r="P331" s="3">
        <v>1333</v>
      </c>
      <c r="Q331" s="3">
        <v>110.1</v>
      </c>
      <c r="R331" s="3">
        <v>539</v>
      </c>
      <c r="S331" s="3">
        <v>0.90400000000000003</v>
      </c>
      <c r="T331" s="3">
        <v>0.68799999999999994</v>
      </c>
      <c r="U331" s="3">
        <v>0.63300000000000001</v>
      </c>
      <c r="V331" s="3">
        <v>0.10199999999999999</v>
      </c>
      <c r="W331" s="3">
        <v>0.54400000000000004</v>
      </c>
      <c r="X331" s="3">
        <v>1.3149999999999999</v>
      </c>
      <c r="Y331" s="3">
        <v>6.4720000000000004</v>
      </c>
      <c r="Z331" s="3">
        <v>1950</v>
      </c>
      <c r="AA331" s="3">
        <v>-3.423</v>
      </c>
      <c r="AB331" s="3">
        <v>2330</v>
      </c>
      <c r="AC331" s="3">
        <v>88.1</v>
      </c>
      <c r="AD331" s="3">
        <v>1913</v>
      </c>
      <c r="AE331" s="3">
        <v>-4.3959999999999999</v>
      </c>
      <c r="AF331" s="3">
        <v>-4.7859999999999996</v>
      </c>
      <c r="AG331" s="3">
        <v>0.39600000000000002</v>
      </c>
      <c r="AH331" s="3">
        <v>-0.112</v>
      </c>
      <c r="AI331" s="3">
        <v>0.36499999999999999</v>
      </c>
      <c r="AJ331" s="3">
        <v>1.131</v>
      </c>
      <c r="AK331" s="3">
        <v>0.10100000000000001</v>
      </c>
      <c r="AL331" s="3">
        <v>0.108</v>
      </c>
      <c r="AM331" s="3">
        <v>9.6000000000000002E-2</v>
      </c>
      <c r="AN331" s="3">
        <v>0.10299999999999999</v>
      </c>
      <c r="AO331" s="3">
        <v>0.24</v>
      </c>
      <c r="AP331" s="3">
        <v>0.22600000000000001</v>
      </c>
      <c r="AQ331" s="3">
        <v>7.0000000000000007E-2</v>
      </c>
      <c r="AR331" s="3">
        <v>5.7000000000000002E-2</v>
      </c>
      <c r="AS331" s="3">
        <v>3064</v>
      </c>
      <c r="AT331" s="3">
        <v>3060</v>
      </c>
      <c r="AU331" s="3">
        <v>3062</v>
      </c>
      <c r="AV331" s="3">
        <v>-2.117</v>
      </c>
      <c r="AW331" s="3">
        <v>-2.2330000000000001</v>
      </c>
      <c r="AX331" s="3">
        <v>0.17</v>
      </c>
      <c r="AY331" s="3">
        <v>0.13</v>
      </c>
      <c r="AZ331" s="3">
        <v>-4.7270000000000003</v>
      </c>
      <c r="BA331" s="3">
        <v>-5.0199999999999996</v>
      </c>
      <c r="BB331" s="3">
        <v>13.07</v>
      </c>
      <c r="BC331" s="3">
        <v>2876</v>
      </c>
      <c r="BD331" s="3"/>
      <c r="BE331" s="6">
        <f t="shared" si="193"/>
        <v>448</v>
      </c>
      <c r="BG331" s="16">
        <v>5.81</v>
      </c>
      <c r="BH331" s="16">
        <f t="shared" si="194"/>
        <v>11.7362</v>
      </c>
      <c r="BI331" s="17">
        <f t="shared" si="190"/>
        <v>0.86</v>
      </c>
      <c r="BJ331" s="17">
        <f t="shared" si="191"/>
        <v>1.77</v>
      </c>
      <c r="BL331" s="1">
        <f t="shared" si="195"/>
        <v>98.4</v>
      </c>
      <c r="BM331" s="1">
        <f t="shared" si="196"/>
        <v>82.1</v>
      </c>
      <c r="BN331" s="1">
        <f t="shared" si="197"/>
        <v>70.5</v>
      </c>
      <c r="BO331" s="49">
        <f t="shared" si="203"/>
        <v>0.432</v>
      </c>
      <c r="BP331" s="49">
        <f t="shared" si="204"/>
        <v>0.18099999999999999</v>
      </c>
      <c r="BQ331" s="1">
        <f t="shared" si="192"/>
        <v>-1.63</v>
      </c>
      <c r="BR331" s="3">
        <v>2</v>
      </c>
      <c r="BT331" s="16">
        <f t="shared" si="198"/>
        <v>0.86</v>
      </c>
      <c r="BU331" s="16">
        <f t="shared" si="199"/>
        <v>1.77</v>
      </c>
      <c r="BV331" s="3">
        <f t="shared" si="200"/>
        <v>-1.6</v>
      </c>
      <c r="BW331" s="3">
        <f t="shared" si="189"/>
        <v>-1.7</v>
      </c>
      <c r="BX331" s="3">
        <f t="shared" si="189"/>
        <v>-1.8</v>
      </c>
      <c r="BY331" s="3">
        <f t="shared" si="189"/>
        <v>0.5</v>
      </c>
      <c r="BZ331" s="3">
        <f t="shared" si="189"/>
        <v>0</v>
      </c>
      <c r="CA331" s="3">
        <f t="shared" si="189"/>
        <v>0.5</v>
      </c>
      <c r="CB331" s="3">
        <f t="shared" si="189"/>
        <v>1.2</v>
      </c>
      <c r="CC331" s="22">
        <f t="shared" si="201"/>
        <v>82.1</v>
      </c>
      <c r="CD331" s="1">
        <f t="shared" si="205"/>
        <v>0.1</v>
      </c>
      <c r="CE331" s="1">
        <f t="shared" si="206"/>
        <v>0.9</v>
      </c>
      <c r="CF331" s="1">
        <f t="shared" si="207"/>
        <v>0.7</v>
      </c>
      <c r="CG331" s="1">
        <f t="shared" si="208"/>
        <v>0.6</v>
      </c>
      <c r="CH331" s="1">
        <f t="shared" si="209"/>
        <v>0.1</v>
      </c>
      <c r="CI331" s="1">
        <f t="shared" si="210"/>
        <v>0.5</v>
      </c>
      <c r="CJ331" s="1">
        <f t="shared" si="211"/>
        <v>1.3</v>
      </c>
      <c r="CK331" s="2">
        <f t="shared" si="202"/>
        <v>98.4</v>
      </c>
      <c r="CL331" s="1">
        <f t="shared" si="212"/>
        <v>-3.4</v>
      </c>
      <c r="CM331" s="1">
        <f t="shared" si="213"/>
        <v>-4.4000000000000004</v>
      </c>
      <c r="CN331" s="1">
        <f t="shared" si="214"/>
        <v>-4.8</v>
      </c>
      <c r="CO331" s="1">
        <f t="shared" si="215"/>
        <v>0.4</v>
      </c>
      <c r="CP331" s="1">
        <f t="shared" si="216"/>
        <v>-0.1</v>
      </c>
      <c r="CQ331" s="1">
        <f t="shared" si="217"/>
        <v>0.4</v>
      </c>
      <c r="CR331" s="1">
        <f t="shared" si="218"/>
        <v>1.1000000000000001</v>
      </c>
      <c r="CS331" s="2">
        <f t="shared" si="219"/>
        <v>70.5</v>
      </c>
      <c r="CT331" s="6">
        <f t="shared" si="220"/>
        <v>448</v>
      </c>
      <c r="CU331" s="1">
        <f>PPTest!K331</f>
        <v>15.5</v>
      </c>
      <c r="CV331" s="3">
        <f t="shared" si="221"/>
        <v>2.21</v>
      </c>
      <c r="CW331" s="3">
        <f t="shared" si="222"/>
        <v>6.47</v>
      </c>
      <c r="CX331" s="24">
        <f t="shared" si="223"/>
        <v>0.432</v>
      </c>
      <c r="CY331" s="24">
        <f t="shared" si="223"/>
        <v>0.18099999999999999</v>
      </c>
      <c r="CZ331" s="16">
        <f t="shared" si="224"/>
        <v>13.07</v>
      </c>
    </row>
    <row r="332" spans="1:104" x14ac:dyDescent="0.2">
      <c r="A332" s="14">
        <f t="shared" si="225"/>
        <v>39043</v>
      </c>
      <c r="B332" s="1">
        <v>326</v>
      </c>
      <c r="C332" s="3">
        <v>2.694</v>
      </c>
      <c r="D332" s="3">
        <v>5.1040000000000001</v>
      </c>
      <c r="E332" s="3">
        <v>-3.5710000000000002</v>
      </c>
      <c r="F332" s="3">
        <v>99.2</v>
      </c>
      <c r="G332" s="3">
        <v>-3.8109999999999999</v>
      </c>
      <c r="H332" s="3">
        <v>-3.9039999999999999</v>
      </c>
      <c r="I332" s="3">
        <v>0.52300000000000002</v>
      </c>
      <c r="J332" s="3">
        <v>-1.7000000000000001E-2</v>
      </c>
      <c r="K332" s="3">
        <v>0.46400000000000002</v>
      </c>
      <c r="L332" s="3">
        <v>1.216</v>
      </c>
      <c r="M332" s="3">
        <v>1.403</v>
      </c>
      <c r="N332" s="3">
        <v>0</v>
      </c>
      <c r="O332" s="3">
        <v>-1.5529999999999999</v>
      </c>
      <c r="P332" s="3">
        <v>1159</v>
      </c>
      <c r="Q332" s="3">
        <v>109.7</v>
      </c>
      <c r="R332" s="3">
        <v>2358</v>
      </c>
      <c r="S332" s="3">
        <v>-1.7999999999999999E-2</v>
      </c>
      <c r="T332" s="3">
        <v>0.22600000000000001</v>
      </c>
      <c r="U332" s="3">
        <v>0.67300000000000004</v>
      </c>
      <c r="V332" s="3">
        <v>0.126</v>
      </c>
      <c r="W332" s="3">
        <v>0.58799999999999997</v>
      </c>
      <c r="X332" s="3">
        <v>1.347</v>
      </c>
      <c r="Y332" s="3">
        <v>3.5329999999999999</v>
      </c>
      <c r="Z332" s="3">
        <v>2135</v>
      </c>
      <c r="AA332" s="3">
        <v>-5.1609999999999996</v>
      </c>
      <c r="AB332" s="3">
        <v>217</v>
      </c>
      <c r="AC332" s="3">
        <v>86.6</v>
      </c>
      <c r="AD332" s="3">
        <v>23</v>
      </c>
      <c r="AE332" s="3">
        <v>-6.6840000000000002</v>
      </c>
      <c r="AF332" s="3">
        <v>-7.08</v>
      </c>
      <c r="AG332" s="3">
        <v>0.38800000000000001</v>
      </c>
      <c r="AH332" s="3">
        <v>-0.14399999999999999</v>
      </c>
      <c r="AI332" s="3">
        <v>0.34799999999999998</v>
      </c>
      <c r="AJ332" s="3">
        <v>1.1040000000000001</v>
      </c>
      <c r="AK332" s="3">
        <v>0.17799999999999999</v>
      </c>
      <c r="AL332" s="3">
        <v>0.108</v>
      </c>
      <c r="AM332" s="3">
        <v>8.3000000000000004E-2</v>
      </c>
      <c r="AN332" s="3">
        <v>0.09</v>
      </c>
      <c r="AO332" s="3">
        <v>0.151</v>
      </c>
      <c r="AP332" s="3">
        <v>0.17100000000000001</v>
      </c>
      <c r="AQ332" s="3">
        <v>0.122</v>
      </c>
      <c r="AR332" s="3">
        <v>9.7000000000000003E-2</v>
      </c>
      <c r="AS332" s="3">
        <v>3112</v>
      </c>
      <c r="AT332" s="3">
        <v>3109</v>
      </c>
      <c r="AU332" s="3">
        <v>3111</v>
      </c>
      <c r="AV332" s="3">
        <v>-4.2350000000000003</v>
      </c>
      <c r="AW332" s="3">
        <v>-4.2969999999999997</v>
      </c>
      <c r="AX332" s="3">
        <v>-1.5389999999999999</v>
      </c>
      <c r="AY332" s="3">
        <v>-1.323</v>
      </c>
      <c r="AZ332" s="3">
        <v>-6.0510000000000002</v>
      </c>
      <c r="BA332" s="3">
        <v>-6.32</v>
      </c>
      <c r="BB332" s="3">
        <v>13.14</v>
      </c>
      <c r="BC332" s="3">
        <v>2876</v>
      </c>
      <c r="BD332" s="3"/>
      <c r="BE332" s="6">
        <f t="shared" si="193"/>
        <v>399</v>
      </c>
      <c r="BG332" s="16">
        <v>5.71</v>
      </c>
      <c r="BH332" s="16">
        <f t="shared" si="194"/>
        <v>11.5342</v>
      </c>
      <c r="BI332" s="17">
        <f t="shared" si="190"/>
        <v>2.64</v>
      </c>
      <c r="BJ332" s="17">
        <f t="shared" si="191"/>
        <v>5.61</v>
      </c>
      <c r="BL332" s="1">
        <f t="shared" si="195"/>
        <v>97.7</v>
      </c>
      <c r="BM332" s="1">
        <f t="shared" si="196"/>
        <v>81</v>
      </c>
      <c r="BN332" s="1">
        <f t="shared" si="197"/>
        <v>69.2</v>
      </c>
      <c r="BO332" s="49">
        <f t="shared" si="203"/>
        <v>0.377</v>
      </c>
      <c r="BP332" s="49">
        <f t="shared" si="204"/>
        <v>0.16800000000000001</v>
      </c>
      <c r="BQ332" s="1">
        <f t="shared" si="192"/>
        <v>-3.5710000000000002</v>
      </c>
      <c r="BR332" s="3">
        <v>0</v>
      </c>
      <c r="BT332" s="16">
        <f t="shared" si="198"/>
        <v>2.64</v>
      </c>
      <c r="BU332" s="16">
        <f t="shared" si="199"/>
        <v>5.61</v>
      </c>
      <c r="BV332" s="3">
        <f t="shared" si="200"/>
        <v>-3.6</v>
      </c>
      <c r="BW332" s="3">
        <f t="shared" si="189"/>
        <v>-3.8</v>
      </c>
      <c r="BX332" s="3">
        <f t="shared" si="189"/>
        <v>-3.9</v>
      </c>
      <c r="BY332" s="3">
        <f t="shared" si="189"/>
        <v>0.5</v>
      </c>
      <c r="BZ332" s="3">
        <f t="shared" si="189"/>
        <v>0</v>
      </c>
      <c r="CA332" s="3">
        <f t="shared" si="189"/>
        <v>0.5</v>
      </c>
      <c r="CB332" s="3">
        <f t="shared" si="189"/>
        <v>1.2</v>
      </c>
      <c r="CC332" s="22">
        <f t="shared" si="201"/>
        <v>81</v>
      </c>
      <c r="CD332" s="1">
        <f t="shared" si="205"/>
        <v>-1.6</v>
      </c>
      <c r="CE332" s="1">
        <f t="shared" si="206"/>
        <v>0</v>
      </c>
      <c r="CF332" s="1">
        <f t="shared" si="207"/>
        <v>0.2</v>
      </c>
      <c r="CG332" s="1">
        <f t="shared" si="208"/>
        <v>0.7</v>
      </c>
      <c r="CH332" s="1">
        <f t="shared" si="209"/>
        <v>0.1</v>
      </c>
      <c r="CI332" s="1">
        <f t="shared" si="210"/>
        <v>0.6</v>
      </c>
      <c r="CJ332" s="1">
        <f t="shared" si="211"/>
        <v>1.3</v>
      </c>
      <c r="CK332" s="2">
        <f t="shared" si="202"/>
        <v>97.7</v>
      </c>
      <c r="CL332" s="1">
        <f t="shared" si="212"/>
        <v>-5.2</v>
      </c>
      <c r="CM332" s="1">
        <f t="shared" si="213"/>
        <v>-6.7</v>
      </c>
      <c r="CN332" s="1">
        <f t="shared" si="214"/>
        <v>-7.1</v>
      </c>
      <c r="CO332" s="1">
        <f t="shared" si="215"/>
        <v>0.4</v>
      </c>
      <c r="CP332" s="1">
        <f t="shared" si="216"/>
        <v>-0.1</v>
      </c>
      <c r="CQ332" s="1">
        <f t="shared" si="217"/>
        <v>0.3</v>
      </c>
      <c r="CR332" s="1">
        <f t="shared" si="218"/>
        <v>1.1000000000000001</v>
      </c>
      <c r="CS332" s="2">
        <f t="shared" si="219"/>
        <v>69.2</v>
      </c>
      <c r="CT332" s="6">
        <f t="shared" si="220"/>
        <v>399</v>
      </c>
      <c r="CU332" s="1">
        <f>PPTest!K332</f>
        <v>0</v>
      </c>
      <c r="CV332" s="3">
        <f t="shared" si="221"/>
        <v>1.4</v>
      </c>
      <c r="CW332" s="3">
        <f t="shared" si="222"/>
        <v>3.53</v>
      </c>
      <c r="CX332" s="24">
        <f t="shared" si="223"/>
        <v>0.377</v>
      </c>
      <c r="CY332" s="24">
        <f t="shared" si="223"/>
        <v>0.16800000000000001</v>
      </c>
      <c r="CZ332" s="16">
        <f t="shared" si="224"/>
        <v>13.14</v>
      </c>
    </row>
    <row r="333" spans="1:104" x14ac:dyDescent="0.2">
      <c r="A333" s="14">
        <f t="shared" si="225"/>
        <v>39044</v>
      </c>
      <c r="B333" s="1">
        <v>327</v>
      </c>
      <c r="C333" s="3">
        <v>0.61</v>
      </c>
      <c r="D333" s="3">
        <v>1.004</v>
      </c>
      <c r="E333" s="3">
        <v>-5.3490000000000002</v>
      </c>
      <c r="F333" s="3">
        <v>109.6</v>
      </c>
      <c r="G333" s="3">
        <v>-5.2140000000000004</v>
      </c>
      <c r="H333" s="3">
        <v>-5.26</v>
      </c>
      <c r="I333" s="3">
        <v>0.505</v>
      </c>
      <c r="J333" s="3">
        <v>-5.0999999999999997E-2</v>
      </c>
      <c r="K333" s="3">
        <v>0.46100000000000002</v>
      </c>
      <c r="L333" s="3">
        <v>1.1990000000000001</v>
      </c>
      <c r="M333" s="3">
        <v>1.8759999999999999</v>
      </c>
      <c r="N333" s="3">
        <v>0</v>
      </c>
      <c r="O333" s="3">
        <v>-3.9390000000000001</v>
      </c>
      <c r="P333" s="3">
        <v>41</v>
      </c>
      <c r="Q333" s="3">
        <v>110.3</v>
      </c>
      <c r="R333" s="3">
        <v>139</v>
      </c>
      <c r="S333" s="3">
        <v>-2.798</v>
      </c>
      <c r="T333" s="3">
        <v>-2.8690000000000002</v>
      </c>
      <c r="U333" s="3">
        <v>0.60899999999999999</v>
      </c>
      <c r="V333" s="3">
        <v>7.6999999999999999E-2</v>
      </c>
      <c r="W333" s="3">
        <v>0.56499999999999995</v>
      </c>
      <c r="X333" s="3">
        <v>1.302</v>
      </c>
      <c r="Y333" s="3">
        <v>5.7539999999999996</v>
      </c>
      <c r="Z333" s="3">
        <v>639</v>
      </c>
      <c r="AA333" s="3">
        <v>-6.7889999999999997</v>
      </c>
      <c r="AB333" s="3">
        <v>2353</v>
      </c>
      <c r="AC333" s="3">
        <v>108.1</v>
      </c>
      <c r="AD333" s="3">
        <v>2354</v>
      </c>
      <c r="AE333" s="3">
        <v>-7.43</v>
      </c>
      <c r="AF333" s="3">
        <v>-7.75</v>
      </c>
      <c r="AG333" s="3">
        <v>0.36199999999999999</v>
      </c>
      <c r="AH333" s="3">
        <v>-0.20200000000000001</v>
      </c>
      <c r="AI333" s="3">
        <v>0.32800000000000001</v>
      </c>
      <c r="AJ333" s="3">
        <v>1.0660000000000001</v>
      </c>
      <c r="AK333" s="3">
        <v>6.2E-2</v>
      </c>
      <c r="AL333" s="3">
        <v>3.6999999999999998E-2</v>
      </c>
      <c r="AM333" s="3">
        <v>4.7E-2</v>
      </c>
      <c r="AN333" s="3">
        <v>6.6000000000000003E-2</v>
      </c>
      <c r="AO333" s="3">
        <v>0.35199999999999998</v>
      </c>
      <c r="AP333" s="3">
        <v>0.315</v>
      </c>
      <c r="AQ333" s="3">
        <v>0.09</v>
      </c>
      <c r="AR333" s="3">
        <v>3.1E-2</v>
      </c>
      <c r="AS333" s="3">
        <v>2963</v>
      </c>
      <c r="AT333" s="3">
        <v>2952</v>
      </c>
      <c r="AU333" s="3">
        <v>2957</v>
      </c>
      <c r="AV333" s="3">
        <v>-5.2480000000000002</v>
      </c>
      <c r="AW333" s="3">
        <v>-5.3570000000000002</v>
      </c>
      <c r="AX333" s="3">
        <v>-4.0170000000000003</v>
      </c>
      <c r="AY333" s="3">
        <v>-3.8919999999999999</v>
      </c>
      <c r="AZ333" s="3">
        <v>-6.976</v>
      </c>
      <c r="BA333" s="3">
        <v>-7.33</v>
      </c>
      <c r="BB333" s="3">
        <v>12.88</v>
      </c>
      <c r="BC333" s="3">
        <v>2876</v>
      </c>
      <c r="BD333" s="3"/>
      <c r="BE333" s="6">
        <f t="shared" si="193"/>
        <v>553</v>
      </c>
      <c r="BG333" s="16">
        <v>5.62</v>
      </c>
      <c r="BH333" s="16">
        <f t="shared" si="194"/>
        <v>11.352400000000001</v>
      </c>
      <c r="BI333" s="17">
        <f t="shared" si="190"/>
        <v>0.6</v>
      </c>
      <c r="BJ333" s="17">
        <f t="shared" si="191"/>
        <v>1.1000000000000001</v>
      </c>
      <c r="BL333" s="1">
        <f t="shared" si="195"/>
        <v>98.7</v>
      </c>
      <c r="BM333" s="1">
        <f t="shared" si="196"/>
        <v>97.6</v>
      </c>
      <c r="BN333" s="1">
        <f t="shared" si="197"/>
        <v>95.2</v>
      </c>
      <c r="BO333" s="49">
        <f t="shared" si="203"/>
        <v>0.434</v>
      </c>
      <c r="BP333" s="49">
        <f t="shared" si="204"/>
        <v>2.1999999999999999E-2</v>
      </c>
      <c r="BQ333" s="1">
        <f t="shared" si="192"/>
        <v>-5.3490000000000002</v>
      </c>
      <c r="BR333" s="3">
        <v>0</v>
      </c>
      <c r="BT333" s="16">
        <f t="shared" si="198"/>
        <v>0.6</v>
      </c>
      <c r="BU333" s="16">
        <f t="shared" si="199"/>
        <v>1.1000000000000001</v>
      </c>
      <c r="BV333" s="3">
        <f t="shared" si="200"/>
        <v>-5.3</v>
      </c>
      <c r="BW333" s="3">
        <f t="shared" si="189"/>
        <v>-5.2</v>
      </c>
      <c r="BX333" s="3">
        <f t="shared" si="189"/>
        <v>-5.3</v>
      </c>
      <c r="BY333" s="3">
        <f t="shared" si="189"/>
        <v>0.5</v>
      </c>
      <c r="BZ333" s="3">
        <f t="shared" si="189"/>
        <v>-0.1</v>
      </c>
      <c r="CA333" s="3">
        <f t="shared" si="189"/>
        <v>0.5</v>
      </c>
      <c r="CB333" s="3">
        <f t="shared" si="189"/>
        <v>1.2</v>
      </c>
      <c r="CC333" s="22">
        <f t="shared" si="201"/>
        <v>97.6</v>
      </c>
      <c r="CD333" s="1">
        <f t="shared" si="205"/>
        <v>-3.9</v>
      </c>
      <c r="CE333" s="1">
        <f t="shared" si="206"/>
        <v>-2.8</v>
      </c>
      <c r="CF333" s="1">
        <f t="shared" si="207"/>
        <v>-2.9</v>
      </c>
      <c r="CG333" s="1">
        <f t="shared" si="208"/>
        <v>0.6</v>
      </c>
      <c r="CH333" s="1">
        <f t="shared" si="209"/>
        <v>0.1</v>
      </c>
      <c r="CI333" s="1">
        <f t="shared" si="210"/>
        <v>0.6</v>
      </c>
      <c r="CJ333" s="1">
        <f t="shared" si="211"/>
        <v>1.3</v>
      </c>
      <c r="CK333" s="2">
        <f t="shared" si="202"/>
        <v>98.7</v>
      </c>
      <c r="CL333" s="1">
        <f t="shared" si="212"/>
        <v>-6.8</v>
      </c>
      <c r="CM333" s="1">
        <f t="shared" si="213"/>
        <v>-7.4</v>
      </c>
      <c r="CN333" s="1">
        <f t="shared" si="214"/>
        <v>-7.8</v>
      </c>
      <c r="CO333" s="1">
        <f t="shared" si="215"/>
        <v>0.4</v>
      </c>
      <c r="CP333" s="1">
        <f t="shared" si="216"/>
        <v>-0.2</v>
      </c>
      <c r="CQ333" s="1">
        <f t="shared" si="217"/>
        <v>0.3</v>
      </c>
      <c r="CR333" s="1">
        <f t="shared" si="218"/>
        <v>1.1000000000000001</v>
      </c>
      <c r="CS333" s="2">
        <f t="shared" si="219"/>
        <v>95.2</v>
      </c>
      <c r="CT333" s="6">
        <f t="shared" si="220"/>
        <v>553</v>
      </c>
      <c r="CU333" s="1">
        <f>PPTest!K333</f>
        <v>20</v>
      </c>
      <c r="CV333" s="3">
        <f t="shared" si="221"/>
        <v>1.88</v>
      </c>
      <c r="CW333" s="3">
        <f t="shared" si="222"/>
        <v>5.75</v>
      </c>
      <c r="CX333" s="24">
        <f t="shared" si="223"/>
        <v>0.434</v>
      </c>
      <c r="CY333" s="24">
        <f t="shared" si="223"/>
        <v>2.1999999999999999E-2</v>
      </c>
      <c r="CZ333" s="16">
        <f t="shared" si="224"/>
        <v>12.88</v>
      </c>
    </row>
    <row r="334" spans="1:104" x14ac:dyDescent="0.2">
      <c r="A334" s="14">
        <f t="shared" si="225"/>
        <v>39045</v>
      </c>
      <c r="B334" s="1">
        <v>328</v>
      </c>
      <c r="C334" s="3">
        <v>0.84299999999999997</v>
      </c>
      <c r="D334" s="3">
        <v>1.1479999999999999</v>
      </c>
      <c r="E334" s="3">
        <v>-9.17</v>
      </c>
      <c r="F334" s="3">
        <v>107.9</v>
      </c>
      <c r="G334" s="3">
        <v>-9.5500000000000007</v>
      </c>
      <c r="H334" s="3">
        <v>-9.6300000000000008</v>
      </c>
      <c r="I334" s="3">
        <v>0.41</v>
      </c>
      <c r="J334" s="3">
        <v>-0.14000000000000001</v>
      </c>
      <c r="K334" s="3">
        <v>0.437</v>
      </c>
      <c r="L334" s="3">
        <v>1.169</v>
      </c>
      <c r="M334" s="3">
        <v>1.677</v>
      </c>
      <c r="N334" s="3">
        <v>0</v>
      </c>
      <c r="O334" s="3">
        <v>-5.6509999999999998</v>
      </c>
      <c r="P334" s="3">
        <v>1200</v>
      </c>
      <c r="Q334" s="3">
        <v>109.4</v>
      </c>
      <c r="R334" s="3">
        <v>751</v>
      </c>
      <c r="S334" s="3">
        <v>-5.05</v>
      </c>
      <c r="T334" s="3">
        <v>-4.3460000000000001</v>
      </c>
      <c r="U334" s="3">
        <v>0.58499999999999996</v>
      </c>
      <c r="V334" s="3">
        <v>1.6E-2</v>
      </c>
      <c r="W334" s="3">
        <v>0.55000000000000004</v>
      </c>
      <c r="X334" s="3">
        <v>1.2869999999999999</v>
      </c>
      <c r="Y334" s="3">
        <v>4.2370000000000001</v>
      </c>
      <c r="Z334" s="3">
        <v>815</v>
      </c>
      <c r="AA334" s="3">
        <v>-16.149999999999999</v>
      </c>
      <c r="AB334" s="3">
        <v>2134</v>
      </c>
      <c r="AC334" s="3">
        <v>105</v>
      </c>
      <c r="AD334" s="3">
        <v>2206</v>
      </c>
      <c r="AE334" s="3">
        <v>-17.45</v>
      </c>
      <c r="AF334" s="3">
        <v>-17.93</v>
      </c>
      <c r="AG334" s="3">
        <v>0.107</v>
      </c>
      <c r="AH334" s="3">
        <v>-0.38400000000000001</v>
      </c>
      <c r="AI334" s="3">
        <v>0.252</v>
      </c>
      <c r="AJ334" s="3">
        <v>0.99</v>
      </c>
      <c r="AK334" s="3">
        <v>5.0000000000000001E-3</v>
      </c>
      <c r="AL334" s="3">
        <v>0.14000000000000001</v>
      </c>
      <c r="AM334" s="3">
        <v>0.17100000000000001</v>
      </c>
      <c r="AN334" s="3">
        <v>1.9E-2</v>
      </c>
      <c r="AO334" s="3">
        <v>0.20300000000000001</v>
      </c>
      <c r="AP334" s="3">
        <v>0.35699999999999998</v>
      </c>
      <c r="AQ334" s="3">
        <v>9.2999999999999999E-2</v>
      </c>
      <c r="AR334" s="3">
        <v>1.2E-2</v>
      </c>
      <c r="AS334" s="3">
        <v>2973</v>
      </c>
      <c r="AT334" s="3">
        <v>2967</v>
      </c>
      <c r="AU334" s="3">
        <v>2971</v>
      </c>
      <c r="AV334" s="3">
        <v>-8.94</v>
      </c>
      <c r="AW334" s="3">
        <v>-9.2100000000000009</v>
      </c>
      <c r="AX334" s="3">
        <v>-6.3639999999999999</v>
      </c>
      <c r="AY334" s="3">
        <v>-6.2789999999999999</v>
      </c>
      <c r="AZ334" s="3">
        <v>-16.29</v>
      </c>
      <c r="BA334" s="3">
        <v>-16.649999999999999</v>
      </c>
      <c r="BB334" s="3">
        <v>13.15</v>
      </c>
      <c r="BC334" s="3">
        <v>2876</v>
      </c>
      <c r="BD334" s="3"/>
      <c r="BE334" s="6">
        <f t="shared" si="193"/>
        <v>539</v>
      </c>
      <c r="BG334" s="16">
        <v>5.53</v>
      </c>
      <c r="BH334" s="16">
        <f t="shared" si="194"/>
        <v>11.1706</v>
      </c>
      <c r="BI334" s="17">
        <f t="shared" si="190"/>
        <v>0.83</v>
      </c>
      <c r="BJ334" s="17">
        <f t="shared" si="191"/>
        <v>1.26</v>
      </c>
      <c r="BL334" s="1">
        <f t="shared" si="195"/>
        <v>97.2</v>
      </c>
      <c r="BM334" s="1">
        <f t="shared" si="196"/>
        <v>94.9</v>
      </c>
      <c r="BN334" s="1">
        <f t="shared" si="197"/>
        <v>90.3</v>
      </c>
      <c r="BO334" s="49">
        <f t="shared" si="203"/>
        <v>0.36199999999999999</v>
      </c>
      <c r="BP334" s="49">
        <f t="shared" si="204"/>
        <v>3.9E-2</v>
      </c>
      <c r="BQ334" s="1">
        <f t="shared" si="192"/>
        <v>-9.17</v>
      </c>
      <c r="BR334" s="3">
        <v>0.8</v>
      </c>
      <c r="BT334" s="16">
        <f t="shared" si="198"/>
        <v>0.83</v>
      </c>
      <c r="BU334" s="16">
        <f t="shared" si="199"/>
        <v>1.26</v>
      </c>
      <c r="BV334" s="3">
        <f t="shared" si="200"/>
        <v>-9.1999999999999993</v>
      </c>
      <c r="BW334" s="3">
        <f t="shared" si="189"/>
        <v>-9.6</v>
      </c>
      <c r="BX334" s="3">
        <f t="shared" si="189"/>
        <v>-9.6</v>
      </c>
      <c r="BY334" s="3">
        <f t="shared" si="189"/>
        <v>0.4</v>
      </c>
      <c r="BZ334" s="3">
        <f t="shared" si="189"/>
        <v>-0.1</v>
      </c>
      <c r="CA334" s="3">
        <f t="shared" si="189"/>
        <v>0.4</v>
      </c>
      <c r="CB334" s="3">
        <f t="shared" si="189"/>
        <v>1.2</v>
      </c>
      <c r="CC334" s="22">
        <f t="shared" si="201"/>
        <v>94.9</v>
      </c>
      <c r="CD334" s="1">
        <f t="shared" si="205"/>
        <v>-5.7</v>
      </c>
      <c r="CE334" s="1">
        <f t="shared" si="206"/>
        <v>-5.0999999999999996</v>
      </c>
      <c r="CF334" s="1">
        <f t="shared" si="207"/>
        <v>-4.3</v>
      </c>
      <c r="CG334" s="1">
        <f t="shared" si="208"/>
        <v>0.6</v>
      </c>
      <c r="CH334" s="1">
        <f t="shared" si="209"/>
        <v>0</v>
      </c>
      <c r="CI334" s="1">
        <f t="shared" si="210"/>
        <v>0.6</v>
      </c>
      <c r="CJ334" s="1">
        <f t="shared" si="211"/>
        <v>1.3</v>
      </c>
      <c r="CK334" s="2">
        <f t="shared" si="202"/>
        <v>97.2</v>
      </c>
      <c r="CL334" s="1">
        <f t="shared" si="212"/>
        <v>-16.2</v>
      </c>
      <c r="CM334" s="1">
        <f t="shared" si="213"/>
        <v>-17.5</v>
      </c>
      <c r="CN334" s="1">
        <f t="shared" si="214"/>
        <v>-17.899999999999999</v>
      </c>
      <c r="CO334" s="1">
        <f t="shared" si="215"/>
        <v>0.1</v>
      </c>
      <c r="CP334" s="1">
        <f t="shared" si="216"/>
        <v>-0.4</v>
      </c>
      <c r="CQ334" s="1">
        <f t="shared" si="217"/>
        <v>0.3</v>
      </c>
      <c r="CR334" s="1">
        <f t="shared" si="218"/>
        <v>1</v>
      </c>
      <c r="CS334" s="2">
        <f t="shared" si="219"/>
        <v>90.3</v>
      </c>
      <c r="CT334" s="6">
        <f t="shared" si="220"/>
        <v>539</v>
      </c>
      <c r="CU334" s="1">
        <f>PPTest!K334</f>
        <v>0</v>
      </c>
      <c r="CV334" s="3">
        <f t="shared" si="221"/>
        <v>1.68</v>
      </c>
      <c r="CW334" s="3">
        <f t="shared" si="222"/>
        <v>4.24</v>
      </c>
      <c r="CX334" s="24">
        <f t="shared" si="223"/>
        <v>0.36199999999999999</v>
      </c>
      <c r="CY334" s="24">
        <f t="shared" si="223"/>
        <v>3.9E-2</v>
      </c>
      <c r="CZ334" s="16">
        <f t="shared" si="224"/>
        <v>13.15</v>
      </c>
    </row>
    <row r="335" spans="1:104" x14ac:dyDescent="0.2">
      <c r="A335" s="14">
        <f t="shared" si="225"/>
        <v>39046</v>
      </c>
      <c r="B335" s="1">
        <v>329</v>
      </c>
      <c r="C335" s="3">
        <v>0.999</v>
      </c>
      <c r="D335" s="3">
        <v>1.542</v>
      </c>
      <c r="E335" s="3">
        <v>-12.83</v>
      </c>
      <c r="F335" s="3">
        <v>106.4</v>
      </c>
      <c r="G335" s="3">
        <v>-13.19</v>
      </c>
      <c r="H335" s="3">
        <v>-13.3</v>
      </c>
      <c r="I335" s="3">
        <v>0.11799999999999999</v>
      </c>
      <c r="J335" s="3">
        <v>-0.252</v>
      </c>
      <c r="K335" s="3">
        <v>0.44600000000000001</v>
      </c>
      <c r="L335" s="3">
        <v>1.1850000000000001</v>
      </c>
      <c r="M335" s="3">
        <v>0.93799999999999994</v>
      </c>
      <c r="N335" s="3">
        <v>0</v>
      </c>
      <c r="O335" s="3">
        <v>-9.24</v>
      </c>
      <c r="P335" s="3">
        <v>1446</v>
      </c>
      <c r="Q335" s="3">
        <v>108.4</v>
      </c>
      <c r="R335" s="3">
        <v>535</v>
      </c>
      <c r="S335" s="3">
        <v>-9.42</v>
      </c>
      <c r="T335" s="3">
        <v>-9.56</v>
      </c>
      <c r="U335" s="3">
        <v>0.40400000000000003</v>
      </c>
      <c r="V335" s="3">
        <v>-9.7000000000000003E-2</v>
      </c>
      <c r="W335" s="3">
        <v>0.56200000000000006</v>
      </c>
      <c r="X335" s="3">
        <v>1.2949999999999999</v>
      </c>
      <c r="Y335" s="3">
        <v>2.8940000000000001</v>
      </c>
      <c r="Z335" s="3">
        <v>1006</v>
      </c>
      <c r="AA335" s="3">
        <v>-18.48</v>
      </c>
      <c r="AB335" s="3">
        <v>1827</v>
      </c>
      <c r="AC335" s="3">
        <v>103.6</v>
      </c>
      <c r="AD335" s="3">
        <v>1759</v>
      </c>
      <c r="AE335" s="3">
        <v>-19.829999999999998</v>
      </c>
      <c r="AF335" s="3">
        <v>-20.74</v>
      </c>
      <c r="AG335" s="3">
        <v>-0.50800000000000001</v>
      </c>
      <c r="AH335" s="3">
        <v>-0.755</v>
      </c>
      <c r="AI335" s="3">
        <v>-2.1999999999999999E-2</v>
      </c>
      <c r="AJ335" s="3">
        <v>0.73499999999999999</v>
      </c>
      <c r="AK335" s="3">
        <v>0.05</v>
      </c>
      <c r="AL335" s="3">
        <v>0.28999999999999998</v>
      </c>
      <c r="AM335" s="3">
        <v>0.19400000000000001</v>
      </c>
      <c r="AN335" s="3">
        <v>8.9999999999999993E-3</v>
      </c>
      <c r="AO335" s="3">
        <v>0.13300000000000001</v>
      </c>
      <c r="AP335" s="3">
        <v>0.22800000000000001</v>
      </c>
      <c r="AQ335" s="3">
        <v>8.5999999999999993E-2</v>
      </c>
      <c r="AR335" s="3">
        <v>0.01</v>
      </c>
      <c r="AS335" s="3">
        <v>6999</v>
      </c>
      <c r="AT335" s="3">
        <v>2999</v>
      </c>
      <c r="AU335" s="3">
        <v>4979</v>
      </c>
      <c r="AV335" s="3">
        <v>-12.82</v>
      </c>
      <c r="AW335" s="3">
        <v>-12.94</v>
      </c>
      <c r="AX335" s="3">
        <v>-9.49</v>
      </c>
      <c r="AY335" s="3">
        <v>-9.4600000000000009</v>
      </c>
      <c r="AZ335" s="3">
        <v>-17.77</v>
      </c>
      <c r="BA335" s="3">
        <v>-18.11</v>
      </c>
      <c r="BB335" s="3">
        <v>13.27</v>
      </c>
      <c r="BC335" s="3">
        <v>2876</v>
      </c>
      <c r="BD335" s="3"/>
      <c r="BE335" s="18">
        <v>550</v>
      </c>
      <c r="BG335" s="16">
        <v>5.45</v>
      </c>
      <c r="BH335" s="16">
        <f t="shared" si="194"/>
        <v>11.009</v>
      </c>
      <c r="BI335" s="17">
        <f t="shared" si="190"/>
        <v>0.98</v>
      </c>
      <c r="BJ335" s="17">
        <f t="shared" si="191"/>
        <v>1.7</v>
      </c>
      <c r="BL335" s="1">
        <f t="shared" si="195"/>
        <v>95.7</v>
      </c>
      <c r="BM335" s="1">
        <f t="shared" si="196"/>
        <v>92.5</v>
      </c>
      <c r="BN335" s="1">
        <f t="shared" si="197"/>
        <v>88</v>
      </c>
      <c r="BO335" s="49">
        <f t="shared" si="203"/>
        <v>0.26700000000000002</v>
      </c>
      <c r="BP335" s="49">
        <f t="shared" si="204"/>
        <v>3.5999999999999997E-2</v>
      </c>
      <c r="BQ335" s="1">
        <f t="shared" si="192"/>
        <v>-12.83</v>
      </c>
      <c r="BR335" s="3">
        <v>0.6</v>
      </c>
      <c r="BT335" s="16">
        <f t="shared" si="198"/>
        <v>0.98</v>
      </c>
      <c r="BU335" s="16">
        <f t="shared" si="199"/>
        <v>1.7</v>
      </c>
      <c r="BV335" s="3">
        <f t="shared" si="200"/>
        <v>-12.8</v>
      </c>
      <c r="BW335" s="3">
        <f t="shared" si="189"/>
        <v>-13.2</v>
      </c>
      <c r="BX335" s="3">
        <f t="shared" si="189"/>
        <v>-13.3</v>
      </c>
      <c r="BY335" s="3">
        <f t="shared" si="189"/>
        <v>0.1</v>
      </c>
      <c r="BZ335" s="3">
        <f t="shared" si="189"/>
        <v>-0.3</v>
      </c>
      <c r="CA335" s="3">
        <f t="shared" si="189"/>
        <v>0.4</v>
      </c>
      <c r="CB335" s="3">
        <f t="shared" si="189"/>
        <v>1.2</v>
      </c>
      <c r="CC335" s="22">
        <f t="shared" si="201"/>
        <v>92.5</v>
      </c>
      <c r="CD335" s="1">
        <f t="shared" si="205"/>
        <v>-9.1999999999999993</v>
      </c>
      <c r="CE335" s="1">
        <f t="shared" si="206"/>
        <v>-9.4</v>
      </c>
      <c r="CF335" s="1">
        <f t="shared" si="207"/>
        <v>-9.6</v>
      </c>
      <c r="CG335" s="1">
        <f t="shared" si="208"/>
        <v>0.4</v>
      </c>
      <c r="CH335" s="1">
        <f t="shared" si="209"/>
        <v>-0.1</v>
      </c>
      <c r="CI335" s="1">
        <f t="shared" si="210"/>
        <v>0.6</v>
      </c>
      <c r="CJ335" s="1">
        <f t="shared" si="211"/>
        <v>1.3</v>
      </c>
      <c r="CK335" s="2">
        <f t="shared" si="202"/>
        <v>95.7</v>
      </c>
      <c r="CL335" s="1">
        <f t="shared" si="212"/>
        <v>-18.5</v>
      </c>
      <c r="CM335" s="1">
        <f t="shared" si="213"/>
        <v>-19.8</v>
      </c>
      <c r="CN335" s="1">
        <f t="shared" si="214"/>
        <v>-20.7</v>
      </c>
      <c r="CO335" s="1">
        <f t="shared" si="215"/>
        <v>-0.5</v>
      </c>
      <c r="CP335" s="1">
        <f t="shared" si="216"/>
        <v>-0.8</v>
      </c>
      <c r="CQ335" s="1">
        <f t="shared" si="217"/>
        <v>0</v>
      </c>
      <c r="CR335" s="1">
        <f t="shared" si="218"/>
        <v>0.7</v>
      </c>
      <c r="CS335" s="2">
        <f t="shared" si="219"/>
        <v>88</v>
      </c>
      <c r="CT335" s="6">
        <f t="shared" si="220"/>
        <v>550</v>
      </c>
      <c r="CU335" s="1">
        <f>PPTest!K335</f>
        <v>1.4</v>
      </c>
      <c r="CV335" s="3">
        <f t="shared" si="221"/>
        <v>0.94</v>
      </c>
      <c r="CW335" s="3">
        <f t="shared" si="222"/>
        <v>2.89</v>
      </c>
      <c r="CX335" s="24">
        <f t="shared" si="223"/>
        <v>0.26700000000000002</v>
      </c>
      <c r="CY335" s="24">
        <f t="shared" si="223"/>
        <v>3.5999999999999997E-2</v>
      </c>
      <c r="CZ335" s="16">
        <f t="shared" si="224"/>
        <v>13.27</v>
      </c>
    </row>
    <row r="336" spans="1:104" x14ac:dyDescent="0.2">
      <c r="A336" s="14">
        <f t="shared" si="225"/>
        <v>39047</v>
      </c>
      <c r="B336" s="1">
        <v>330</v>
      </c>
      <c r="C336" s="3">
        <v>0.53300000000000003</v>
      </c>
      <c r="D336" s="3">
        <v>1.0169999999999999</v>
      </c>
      <c r="E336" s="3">
        <v>-9.94</v>
      </c>
      <c r="F336" s="3">
        <v>107.8</v>
      </c>
      <c r="G336" s="3">
        <v>-10.01</v>
      </c>
      <c r="H336" s="3">
        <v>-10.06</v>
      </c>
      <c r="I336" s="3">
        <v>-0.08</v>
      </c>
      <c r="J336" s="3">
        <v>-0.3</v>
      </c>
      <c r="K336" s="3">
        <v>0.46200000000000002</v>
      </c>
      <c r="L336" s="3">
        <v>1.2310000000000001</v>
      </c>
      <c r="M336" s="3">
        <v>1.6379999999999999</v>
      </c>
      <c r="N336" s="3">
        <v>0</v>
      </c>
      <c r="O336" s="3">
        <v>-7.6</v>
      </c>
      <c r="P336" s="3">
        <v>1321</v>
      </c>
      <c r="Q336" s="3">
        <v>108.9</v>
      </c>
      <c r="R336" s="3">
        <v>1750</v>
      </c>
      <c r="S336" s="3">
        <v>-7.15</v>
      </c>
      <c r="T336" s="3">
        <v>-7.13</v>
      </c>
      <c r="U336" s="3">
        <v>0.13300000000000001</v>
      </c>
      <c r="V336" s="3">
        <v>-0.19500000000000001</v>
      </c>
      <c r="W336" s="3">
        <v>0.55700000000000005</v>
      </c>
      <c r="X336" s="3">
        <v>1.3260000000000001</v>
      </c>
      <c r="Y336" s="3">
        <v>4.3970000000000002</v>
      </c>
      <c r="Z336" s="3">
        <v>1703</v>
      </c>
      <c r="AA336" s="3">
        <v>-16.77</v>
      </c>
      <c r="AB336" s="3">
        <v>0</v>
      </c>
      <c r="AC336" s="3">
        <v>104.3</v>
      </c>
      <c r="AD336" s="3">
        <v>2357</v>
      </c>
      <c r="AE336" s="3">
        <v>-17.38</v>
      </c>
      <c r="AF336" s="3">
        <v>-17.260000000000002</v>
      </c>
      <c r="AG336" s="3">
        <v>-0.58599999999999997</v>
      </c>
      <c r="AH336" s="3">
        <v>-0.57699999999999996</v>
      </c>
      <c r="AI336" s="3">
        <v>0.23</v>
      </c>
      <c r="AJ336" s="3">
        <v>1.036</v>
      </c>
      <c r="AK336" s="3">
        <v>0.37</v>
      </c>
      <c r="AL336" s="3">
        <v>0.371</v>
      </c>
      <c r="AM336" s="3">
        <v>8.3000000000000004E-2</v>
      </c>
      <c r="AN336" s="3">
        <v>8.0000000000000002E-3</v>
      </c>
      <c r="AO336" s="3">
        <v>2.9000000000000001E-2</v>
      </c>
      <c r="AP336" s="3">
        <v>6.3E-2</v>
      </c>
      <c r="AQ336" s="3">
        <v>2.1999999999999999E-2</v>
      </c>
      <c r="AR336" s="3">
        <v>5.6000000000000001E-2</v>
      </c>
      <c r="AS336" s="3">
        <v>6999</v>
      </c>
      <c r="AT336" s="3">
        <v>6787</v>
      </c>
      <c r="AU336" s="3">
        <v>6943</v>
      </c>
      <c r="AV336" s="3">
        <v>-10.029999999999999</v>
      </c>
      <c r="AW336" s="3">
        <v>-10.01</v>
      </c>
      <c r="AX336" s="3">
        <v>-7.66</v>
      </c>
      <c r="AY336" s="3">
        <v>-7.65</v>
      </c>
      <c r="AZ336" s="3">
        <v>-16.260000000000002</v>
      </c>
      <c r="BA336" s="3">
        <v>-16.05</v>
      </c>
      <c r="BB336" s="3">
        <v>13.15</v>
      </c>
      <c r="BC336" s="3">
        <v>2876</v>
      </c>
      <c r="BD336" s="3"/>
      <c r="BE336" s="18">
        <v>570</v>
      </c>
      <c r="BG336" s="16">
        <v>5.36</v>
      </c>
      <c r="BH336" s="16">
        <f t="shared" si="194"/>
        <v>10.827200000000001</v>
      </c>
      <c r="BI336" s="17">
        <f t="shared" si="190"/>
        <v>0.52</v>
      </c>
      <c r="BJ336" s="17">
        <f t="shared" si="191"/>
        <v>1.1200000000000001</v>
      </c>
      <c r="BL336" s="1">
        <f t="shared" si="195"/>
        <v>96.5</v>
      </c>
      <c r="BM336" s="1">
        <f t="shared" si="196"/>
        <v>94.7</v>
      </c>
      <c r="BN336" s="1">
        <f t="shared" si="197"/>
        <v>89.1</v>
      </c>
      <c r="BO336" s="49">
        <f t="shared" si="203"/>
        <v>0.307</v>
      </c>
      <c r="BP336" s="49">
        <f t="shared" si="204"/>
        <v>3.7999999999999999E-2</v>
      </c>
      <c r="BQ336" s="1">
        <f t="shared" si="192"/>
        <v>-9.94</v>
      </c>
      <c r="BR336" s="3">
        <v>0</v>
      </c>
      <c r="BT336" s="16">
        <f t="shared" si="198"/>
        <v>0.52</v>
      </c>
      <c r="BU336" s="16">
        <f t="shared" si="199"/>
        <v>1.1200000000000001</v>
      </c>
      <c r="BV336" s="3">
        <f t="shared" si="200"/>
        <v>-9.9</v>
      </c>
      <c r="BW336" s="3">
        <f t="shared" si="189"/>
        <v>-10</v>
      </c>
      <c r="BX336" s="3">
        <f t="shared" si="189"/>
        <v>-10.1</v>
      </c>
      <c r="BY336" s="3">
        <f t="shared" si="189"/>
        <v>-0.1</v>
      </c>
      <c r="BZ336" s="3">
        <f t="shared" si="189"/>
        <v>-0.3</v>
      </c>
      <c r="CA336" s="3">
        <f t="shared" si="189"/>
        <v>0.5</v>
      </c>
      <c r="CB336" s="3">
        <f t="shared" si="189"/>
        <v>1.2</v>
      </c>
      <c r="CC336" s="22">
        <f t="shared" si="201"/>
        <v>94.7</v>
      </c>
      <c r="CD336" s="1">
        <f t="shared" si="205"/>
        <v>-7.6</v>
      </c>
      <c r="CE336" s="1">
        <f t="shared" si="206"/>
        <v>-7.2</v>
      </c>
      <c r="CF336" s="1">
        <f t="shared" si="207"/>
        <v>-7.1</v>
      </c>
      <c r="CG336" s="1">
        <f t="shared" si="208"/>
        <v>0.1</v>
      </c>
      <c r="CH336" s="1">
        <f t="shared" si="209"/>
        <v>-0.2</v>
      </c>
      <c r="CI336" s="1">
        <f t="shared" si="210"/>
        <v>0.6</v>
      </c>
      <c r="CJ336" s="1">
        <f t="shared" si="211"/>
        <v>1.3</v>
      </c>
      <c r="CK336" s="2">
        <f t="shared" si="202"/>
        <v>96.5</v>
      </c>
      <c r="CL336" s="1">
        <f t="shared" si="212"/>
        <v>-16.8</v>
      </c>
      <c r="CM336" s="1">
        <f t="shared" si="213"/>
        <v>-17.399999999999999</v>
      </c>
      <c r="CN336" s="1">
        <f t="shared" si="214"/>
        <v>-17.3</v>
      </c>
      <c r="CO336" s="1">
        <f t="shared" si="215"/>
        <v>-0.6</v>
      </c>
      <c r="CP336" s="1">
        <f t="shared" si="216"/>
        <v>-0.6</v>
      </c>
      <c r="CQ336" s="1">
        <f t="shared" si="217"/>
        <v>0.2</v>
      </c>
      <c r="CR336" s="1">
        <f t="shared" si="218"/>
        <v>1</v>
      </c>
      <c r="CS336" s="2">
        <f t="shared" si="219"/>
        <v>89.1</v>
      </c>
      <c r="CT336" s="6">
        <f t="shared" si="220"/>
        <v>570</v>
      </c>
      <c r="CU336" s="1">
        <f>PPTest!K336</f>
        <v>2.6</v>
      </c>
      <c r="CV336" s="3">
        <f t="shared" si="221"/>
        <v>1.64</v>
      </c>
      <c r="CW336" s="3">
        <f t="shared" si="222"/>
        <v>4.4000000000000004</v>
      </c>
      <c r="CX336" s="24">
        <f t="shared" si="223"/>
        <v>0.307</v>
      </c>
      <c r="CY336" s="24">
        <f t="shared" si="223"/>
        <v>3.7999999999999999E-2</v>
      </c>
      <c r="CZ336" s="16">
        <f t="shared" si="224"/>
        <v>13.15</v>
      </c>
    </row>
    <row r="337" spans="1:104" x14ac:dyDescent="0.2">
      <c r="A337" s="14">
        <f t="shared" si="225"/>
        <v>39048</v>
      </c>
      <c r="B337" s="1">
        <v>331</v>
      </c>
      <c r="C337" s="3">
        <v>0.67800000000000005</v>
      </c>
      <c r="D337" s="3">
        <v>1.125</v>
      </c>
      <c r="E337" s="3">
        <v>-22.24</v>
      </c>
      <c r="F337" s="3">
        <v>101</v>
      </c>
      <c r="G337" s="3">
        <v>-22.64</v>
      </c>
      <c r="H337" s="3">
        <v>-23.01</v>
      </c>
      <c r="I337" s="3">
        <v>-0.93400000000000005</v>
      </c>
      <c r="J337" s="3">
        <v>-0.84899999999999998</v>
      </c>
      <c r="K337" s="3">
        <v>0.23</v>
      </c>
      <c r="L337" s="3">
        <v>1.04</v>
      </c>
      <c r="M337" s="3">
        <v>0.90700000000000003</v>
      </c>
      <c r="N337" s="3">
        <v>0</v>
      </c>
      <c r="O337" s="3">
        <v>-16.8</v>
      </c>
      <c r="P337" s="3">
        <v>1</v>
      </c>
      <c r="Q337" s="3">
        <v>104.4</v>
      </c>
      <c r="R337" s="3">
        <v>3</v>
      </c>
      <c r="S337" s="3">
        <v>-17.48</v>
      </c>
      <c r="T337" s="3">
        <v>-17.13</v>
      </c>
      <c r="U337" s="3">
        <v>-0.40899999999999997</v>
      </c>
      <c r="V337" s="3">
        <v>-0.51500000000000001</v>
      </c>
      <c r="W337" s="3">
        <v>0.38700000000000001</v>
      </c>
      <c r="X337" s="3">
        <v>1.173</v>
      </c>
      <c r="Y337" s="3">
        <v>3.1339999999999999</v>
      </c>
      <c r="Z337" s="3">
        <v>1059</v>
      </c>
      <c r="AA337" s="3">
        <v>-25.18</v>
      </c>
      <c r="AB337" s="3">
        <v>720</v>
      </c>
      <c r="AC337" s="3">
        <v>99.3</v>
      </c>
      <c r="AD337" s="3">
        <v>716</v>
      </c>
      <c r="AE337" s="3">
        <v>-27.07</v>
      </c>
      <c r="AF337" s="3">
        <v>-30.25</v>
      </c>
      <c r="AG337" s="3">
        <v>-1.4239999999999999</v>
      </c>
      <c r="AH337" s="3">
        <v>-1.206</v>
      </c>
      <c r="AI337" s="3">
        <v>-0.16700000000000001</v>
      </c>
      <c r="AJ337" s="3">
        <v>0.629</v>
      </c>
      <c r="AK337" s="3">
        <v>6.0000000000000001E-3</v>
      </c>
      <c r="AL337" s="3">
        <v>6.0000000000000001E-3</v>
      </c>
      <c r="AM337" s="3">
        <v>1.2E-2</v>
      </c>
      <c r="AN337" s="3">
        <v>4.4999999999999998E-2</v>
      </c>
      <c r="AO337" s="3">
        <v>0.26700000000000002</v>
      </c>
      <c r="AP337" s="3">
        <v>0.46800000000000003</v>
      </c>
      <c r="AQ337" s="3">
        <v>0.16200000000000001</v>
      </c>
      <c r="AR337" s="3">
        <v>3.4000000000000002E-2</v>
      </c>
      <c r="AS337" s="3">
        <v>6716</v>
      </c>
      <c r="AT337" s="3">
        <v>2817</v>
      </c>
      <c r="AU337" s="3">
        <v>3211</v>
      </c>
      <c r="AV337" s="3">
        <v>-21.1</v>
      </c>
      <c r="AW337" s="3">
        <v>-21.44</v>
      </c>
      <c r="AX337" s="3">
        <v>-12.68</v>
      </c>
      <c r="AY337" s="3">
        <v>-13.73</v>
      </c>
      <c r="AZ337" s="3">
        <v>-24.57</v>
      </c>
      <c r="BA337" s="3">
        <v>-24.89</v>
      </c>
      <c r="BB337" s="3">
        <v>13.23</v>
      </c>
      <c r="BC337" s="3">
        <v>2876</v>
      </c>
      <c r="BD337" s="3"/>
      <c r="BE337" s="18">
        <v>590</v>
      </c>
      <c r="BG337" s="16">
        <v>5.28</v>
      </c>
      <c r="BH337" s="16">
        <f t="shared" si="194"/>
        <v>10.665600000000001</v>
      </c>
      <c r="BI337" s="17">
        <f t="shared" si="190"/>
        <v>0.66</v>
      </c>
      <c r="BJ337" s="17">
        <f t="shared" si="191"/>
        <v>1.24</v>
      </c>
      <c r="BL337" s="1">
        <f t="shared" si="195"/>
        <v>89.3</v>
      </c>
      <c r="BM337" s="1">
        <f t="shared" si="196"/>
        <v>83.9</v>
      </c>
      <c r="BN337" s="1">
        <f t="shared" si="197"/>
        <v>81.2</v>
      </c>
      <c r="BO337" s="49">
        <f t="shared" si="203"/>
        <v>0.13300000000000001</v>
      </c>
      <c r="BP337" s="49">
        <f t="shared" si="204"/>
        <v>3.1E-2</v>
      </c>
      <c r="BQ337" s="1">
        <f t="shared" si="192"/>
        <v>-22.24</v>
      </c>
      <c r="BR337" s="3">
        <v>0</v>
      </c>
      <c r="BT337" s="16">
        <f t="shared" si="198"/>
        <v>0.66</v>
      </c>
      <c r="BU337" s="16">
        <f t="shared" si="199"/>
        <v>1.24</v>
      </c>
      <c r="BV337" s="3">
        <f t="shared" si="200"/>
        <v>-22.2</v>
      </c>
      <c r="BW337" s="3">
        <f t="shared" si="189"/>
        <v>-22.6</v>
      </c>
      <c r="BX337" s="3">
        <f t="shared" si="189"/>
        <v>-23</v>
      </c>
      <c r="BY337" s="3">
        <f t="shared" si="189"/>
        <v>-0.9</v>
      </c>
      <c r="BZ337" s="3">
        <f t="shared" si="189"/>
        <v>-0.8</v>
      </c>
      <c r="CA337" s="3">
        <f t="shared" si="189"/>
        <v>0.2</v>
      </c>
      <c r="CB337" s="3">
        <f t="shared" si="189"/>
        <v>1</v>
      </c>
      <c r="CC337" s="22">
        <f t="shared" si="201"/>
        <v>83.9</v>
      </c>
      <c r="CD337" s="1">
        <f t="shared" si="205"/>
        <v>-16.8</v>
      </c>
      <c r="CE337" s="1">
        <f t="shared" si="206"/>
        <v>-17.5</v>
      </c>
      <c r="CF337" s="1">
        <f t="shared" si="207"/>
        <v>-17.100000000000001</v>
      </c>
      <c r="CG337" s="1">
        <f t="shared" si="208"/>
        <v>-0.4</v>
      </c>
      <c r="CH337" s="1">
        <f t="shared" si="209"/>
        <v>-0.5</v>
      </c>
      <c r="CI337" s="1">
        <f t="shared" si="210"/>
        <v>0.4</v>
      </c>
      <c r="CJ337" s="1">
        <f t="shared" si="211"/>
        <v>1.2</v>
      </c>
      <c r="CK337" s="2">
        <f t="shared" si="202"/>
        <v>89.3</v>
      </c>
      <c r="CL337" s="1">
        <f t="shared" si="212"/>
        <v>-25.2</v>
      </c>
      <c r="CM337" s="1">
        <f t="shared" si="213"/>
        <v>-27.1</v>
      </c>
      <c r="CN337" s="1">
        <f t="shared" si="214"/>
        <v>-30.3</v>
      </c>
      <c r="CO337" s="1">
        <f t="shared" si="215"/>
        <v>-1.4</v>
      </c>
      <c r="CP337" s="1">
        <f t="shared" si="216"/>
        <v>-1.2</v>
      </c>
      <c r="CQ337" s="1">
        <f t="shared" si="217"/>
        <v>-0.2</v>
      </c>
      <c r="CR337" s="1">
        <f t="shared" si="218"/>
        <v>0.6</v>
      </c>
      <c r="CS337" s="2">
        <f t="shared" si="219"/>
        <v>81.2</v>
      </c>
      <c r="CT337" s="6">
        <f t="shared" si="220"/>
        <v>590</v>
      </c>
      <c r="CU337" s="1">
        <f>PPTest!K337</f>
        <v>2.6</v>
      </c>
      <c r="CV337" s="3">
        <f t="shared" si="221"/>
        <v>0.91</v>
      </c>
      <c r="CW337" s="3">
        <f t="shared" si="222"/>
        <v>3.13</v>
      </c>
      <c r="CX337" s="24">
        <f t="shared" si="223"/>
        <v>0.13300000000000001</v>
      </c>
      <c r="CY337" s="24">
        <f t="shared" si="223"/>
        <v>3.1E-2</v>
      </c>
      <c r="CZ337" s="16">
        <f t="shared" si="224"/>
        <v>13.23</v>
      </c>
    </row>
    <row r="338" spans="1:104" x14ac:dyDescent="0.2">
      <c r="A338" s="14">
        <f t="shared" si="225"/>
        <v>39049</v>
      </c>
      <c r="B338" s="1">
        <v>332</v>
      </c>
      <c r="C338" s="3">
        <v>1.74</v>
      </c>
      <c r="D338" s="3">
        <v>1.986</v>
      </c>
      <c r="E338" s="3">
        <v>-26.14</v>
      </c>
      <c r="F338" s="3">
        <v>98</v>
      </c>
      <c r="G338" s="3">
        <v>-27.03</v>
      </c>
      <c r="H338" s="3">
        <v>-27.22</v>
      </c>
      <c r="I338" s="3">
        <v>-2.028</v>
      </c>
      <c r="J338" s="3">
        <v>-1.347</v>
      </c>
      <c r="K338" s="3">
        <v>4.4999999999999998E-2</v>
      </c>
      <c r="L338" s="3">
        <v>0.90900000000000003</v>
      </c>
      <c r="M338" s="3">
        <v>0.51500000000000001</v>
      </c>
      <c r="N338" s="3">
        <v>0</v>
      </c>
      <c r="O338" s="3">
        <v>-21.59</v>
      </c>
      <c r="P338" s="3">
        <v>1041</v>
      </c>
      <c r="Q338" s="3">
        <v>100.4</v>
      </c>
      <c r="R338" s="3">
        <v>5</v>
      </c>
      <c r="S338" s="3">
        <v>-23.01</v>
      </c>
      <c r="T338" s="3">
        <v>-19.53</v>
      </c>
      <c r="U338" s="3">
        <v>-1.091</v>
      </c>
      <c r="V338" s="3">
        <v>-1.002</v>
      </c>
      <c r="W338" s="3">
        <v>0.22600000000000001</v>
      </c>
      <c r="X338" s="3">
        <v>1.085</v>
      </c>
      <c r="Y338" s="3">
        <v>1.7769999999999999</v>
      </c>
      <c r="Z338" s="3">
        <v>1304</v>
      </c>
      <c r="AA338" s="3">
        <v>-32.950000000000003</v>
      </c>
      <c r="AB338" s="3">
        <v>0</v>
      </c>
      <c r="AC338" s="3">
        <v>92.1</v>
      </c>
      <c r="AD338" s="3">
        <v>0</v>
      </c>
      <c r="AE338" s="3">
        <v>-34.840000000000003</v>
      </c>
      <c r="AF338" s="3">
        <v>-36.03</v>
      </c>
      <c r="AG338" s="3">
        <v>-3.5680000000000001</v>
      </c>
      <c r="AH338" s="3">
        <v>-1.966</v>
      </c>
      <c r="AI338" s="3">
        <v>-0.39200000000000002</v>
      </c>
      <c r="AJ338" s="3">
        <v>0.48499999999999999</v>
      </c>
      <c r="AK338" s="3">
        <v>2.7E-2</v>
      </c>
      <c r="AL338" s="3">
        <v>0.17399999999999999</v>
      </c>
      <c r="AM338" s="3">
        <v>0.13200000000000001</v>
      </c>
      <c r="AN338" s="3">
        <v>8.9999999999999993E-3</v>
      </c>
      <c r="AO338" s="3">
        <v>0.161</v>
      </c>
      <c r="AP338" s="3">
        <v>0.31900000000000001</v>
      </c>
      <c r="AQ338" s="3">
        <v>0.153</v>
      </c>
      <c r="AR338" s="3">
        <v>2.5000000000000001E-2</v>
      </c>
      <c r="AS338" s="3">
        <v>6559</v>
      </c>
      <c r="AT338" s="3">
        <v>2849</v>
      </c>
      <c r="AU338" s="3">
        <v>3589</v>
      </c>
      <c r="AV338" s="3">
        <v>-25.37</v>
      </c>
      <c r="AW338" s="3">
        <v>-25.68</v>
      </c>
      <c r="AX338" s="3">
        <v>-22.59</v>
      </c>
      <c r="AY338" s="3">
        <v>-22.77</v>
      </c>
      <c r="AZ338" s="3">
        <v>-31.76</v>
      </c>
      <c r="BA338" s="3">
        <v>-32.35</v>
      </c>
      <c r="BB338" s="3">
        <v>13.25</v>
      </c>
      <c r="BC338" s="3">
        <v>2876</v>
      </c>
      <c r="BD338" s="3"/>
      <c r="BE338" s="18">
        <v>600</v>
      </c>
      <c r="BG338" s="16">
        <v>5.2</v>
      </c>
      <c r="BH338" s="16">
        <f t="shared" si="194"/>
        <v>10.504000000000001</v>
      </c>
      <c r="BI338" s="17">
        <f t="shared" si="190"/>
        <v>1.71</v>
      </c>
      <c r="BJ338" s="17">
        <f t="shared" si="191"/>
        <v>2.1800000000000002</v>
      </c>
      <c r="BL338" s="1">
        <f t="shared" si="195"/>
        <v>82.9</v>
      </c>
      <c r="BM338" s="1">
        <f t="shared" si="196"/>
        <v>79.2</v>
      </c>
      <c r="BN338" s="1">
        <f t="shared" si="197"/>
        <v>74</v>
      </c>
      <c r="BO338" s="49">
        <f t="shared" si="203"/>
        <v>0.08</v>
      </c>
      <c r="BP338" s="49">
        <f t="shared" si="204"/>
        <v>2.8000000000000001E-2</v>
      </c>
      <c r="BQ338" s="1">
        <f t="shared" si="192"/>
        <v>-26.14</v>
      </c>
      <c r="BR338" s="3">
        <v>0</v>
      </c>
      <c r="BT338" s="16">
        <f t="shared" si="198"/>
        <v>1.71</v>
      </c>
      <c r="BU338" s="16">
        <f t="shared" si="199"/>
        <v>2.1800000000000002</v>
      </c>
      <c r="BV338" s="3">
        <f t="shared" si="200"/>
        <v>-26.1</v>
      </c>
      <c r="BW338" s="3">
        <f t="shared" si="189"/>
        <v>-27</v>
      </c>
      <c r="BX338" s="3">
        <f t="shared" si="189"/>
        <v>-27.2</v>
      </c>
      <c r="BY338" s="3">
        <f t="shared" si="189"/>
        <v>-2</v>
      </c>
      <c r="BZ338" s="3">
        <f t="shared" si="189"/>
        <v>-1.3</v>
      </c>
      <c r="CA338" s="3">
        <f t="shared" si="189"/>
        <v>0</v>
      </c>
      <c r="CB338" s="3">
        <f t="shared" si="189"/>
        <v>0.9</v>
      </c>
      <c r="CC338" s="22">
        <f t="shared" si="201"/>
        <v>79.2</v>
      </c>
      <c r="CD338" s="1">
        <f t="shared" si="205"/>
        <v>-21.6</v>
      </c>
      <c r="CE338" s="1">
        <f t="shared" si="206"/>
        <v>-23</v>
      </c>
      <c r="CF338" s="1">
        <f t="shared" si="207"/>
        <v>-19.5</v>
      </c>
      <c r="CG338" s="1">
        <f t="shared" si="208"/>
        <v>-1.1000000000000001</v>
      </c>
      <c r="CH338" s="1">
        <f t="shared" si="209"/>
        <v>-1</v>
      </c>
      <c r="CI338" s="1">
        <f t="shared" si="210"/>
        <v>0.2</v>
      </c>
      <c r="CJ338" s="1">
        <f t="shared" si="211"/>
        <v>1.1000000000000001</v>
      </c>
      <c r="CK338" s="2">
        <f t="shared" si="202"/>
        <v>82.9</v>
      </c>
      <c r="CL338" s="1">
        <f t="shared" si="212"/>
        <v>-33</v>
      </c>
      <c r="CM338" s="1">
        <f t="shared" si="213"/>
        <v>-34.799999999999997</v>
      </c>
      <c r="CN338" s="1">
        <f t="shared" si="214"/>
        <v>-36</v>
      </c>
      <c r="CO338" s="1">
        <f t="shared" si="215"/>
        <v>-3.6</v>
      </c>
      <c r="CP338" s="1">
        <f t="shared" si="216"/>
        <v>-2</v>
      </c>
      <c r="CQ338" s="1">
        <f t="shared" si="217"/>
        <v>-0.4</v>
      </c>
      <c r="CR338" s="1">
        <f t="shared" si="218"/>
        <v>0.5</v>
      </c>
      <c r="CS338" s="2">
        <f t="shared" si="219"/>
        <v>74</v>
      </c>
      <c r="CT338" s="6">
        <f t="shared" si="220"/>
        <v>600</v>
      </c>
      <c r="CU338" s="1">
        <f>PPTest!K338</f>
        <v>1.3</v>
      </c>
      <c r="CV338" s="3">
        <f t="shared" si="221"/>
        <v>0.52</v>
      </c>
      <c r="CW338" s="3">
        <f t="shared" si="222"/>
        <v>1.78</v>
      </c>
      <c r="CX338" s="24">
        <f t="shared" si="223"/>
        <v>0.08</v>
      </c>
      <c r="CY338" s="24">
        <f t="shared" si="223"/>
        <v>2.8000000000000001E-2</v>
      </c>
      <c r="CZ338" s="16">
        <f t="shared" si="224"/>
        <v>13.25</v>
      </c>
    </row>
    <row r="339" spans="1:104" x14ac:dyDescent="0.2">
      <c r="A339" s="14">
        <f t="shared" si="225"/>
        <v>39050</v>
      </c>
      <c r="B339" s="1">
        <v>333</v>
      </c>
      <c r="C339" s="3">
        <v>0.82399999999999995</v>
      </c>
      <c r="D339" s="3">
        <v>1.331</v>
      </c>
      <c r="E339" s="3">
        <v>-23.97</v>
      </c>
      <c r="F339" s="3">
        <v>98.5</v>
      </c>
      <c r="G339" s="3">
        <v>-24.21</v>
      </c>
      <c r="H339" s="3">
        <v>-24.4</v>
      </c>
      <c r="I339" s="3">
        <v>-2.2050000000000001</v>
      </c>
      <c r="J339" s="3">
        <v>-1.536</v>
      </c>
      <c r="K339" s="3">
        <v>0.182</v>
      </c>
      <c r="L339" s="3">
        <v>1.121</v>
      </c>
      <c r="M339" s="3">
        <v>0.54900000000000004</v>
      </c>
      <c r="N339" s="3">
        <v>0</v>
      </c>
      <c r="O339" s="3">
        <v>-14.02</v>
      </c>
      <c r="P339" s="3">
        <v>1311</v>
      </c>
      <c r="Q339" s="3">
        <v>105.3</v>
      </c>
      <c r="R339" s="3">
        <v>1313</v>
      </c>
      <c r="S339" s="3">
        <v>-13.95</v>
      </c>
      <c r="T339" s="3">
        <v>-13.18</v>
      </c>
      <c r="U339" s="3">
        <v>-0.92400000000000004</v>
      </c>
      <c r="V339" s="3">
        <v>-1.129</v>
      </c>
      <c r="W339" s="3">
        <v>0.47899999999999998</v>
      </c>
      <c r="X339" s="3">
        <v>1.4219999999999999</v>
      </c>
      <c r="Y339" s="3">
        <v>2.1230000000000002</v>
      </c>
      <c r="Z339" s="3">
        <v>2045</v>
      </c>
      <c r="AA339" s="3">
        <v>-35.32</v>
      </c>
      <c r="AB339" s="3">
        <v>352</v>
      </c>
      <c r="AC339" s="3">
        <v>89.1</v>
      </c>
      <c r="AD339" s="3">
        <v>419</v>
      </c>
      <c r="AE339" s="3">
        <v>-36.72</v>
      </c>
      <c r="AF339" s="3">
        <v>-37.94</v>
      </c>
      <c r="AG339" s="3">
        <v>-3.7719999999999998</v>
      </c>
      <c r="AH339" s="3">
        <v>-2.0289999999999999</v>
      </c>
      <c r="AI339" s="3">
        <v>-0.221</v>
      </c>
      <c r="AJ339" s="3">
        <v>0.67600000000000005</v>
      </c>
      <c r="AK339" s="3">
        <v>5.2999999999999999E-2</v>
      </c>
      <c r="AL339" s="3">
        <v>0.27500000000000002</v>
      </c>
      <c r="AM339" s="3">
        <v>0.308</v>
      </c>
      <c r="AN339" s="3">
        <v>5.8000000000000003E-2</v>
      </c>
      <c r="AO339" s="3">
        <v>0.121</v>
      </c>
      <c r="AP339" s="3">
        <v>9.4E-2</v>
      </c>
      <c r="AQ339" s="3">
        <v>4.7E-2</v>
      </c>
      <c r="AR339" s="3">
        <v>4.3999999999999997E-2</v>
      </c>
      <c r="AS339" s="3">
        <v>6999</v>
      </c>
      <c r="AT339" s="3">
        <v>6999</v>
      </c>
      <c r="AU339" s="3">
        <v>6999</v>
      </c>
      <c r="AV339" s="3">
        <v>-24.9</v>
      </c>
      <c r="AW339" s="3">
        <v>-24.58</v>
      </c>
      <c r="AX339" s="3">
        <v>-15.71</v>
      </c>
      <c r="AY339" s="3">
        <v>-15.65</v>
      </c>
      <c r="AZ339" s="3">
        <v>-35.53</v>
      </c>
      <c r="BA339" s="3">
        <v>-35.61</v>
      </c>
      <c r="BB339" s="3">
        <v>13.34</v>
      </c>
      <c r="BC339" s="3">
        <v>2876</v>
      </c>
      <c r="BD339" s="3"/>
      <c r="BE339" s="18">
        <v>650</v>
      </c>
      <c r="BG339" s="16">
        <v>5.13</v>
      </c>
      <c r="BH339" s="16">
        <f t="shared" si="194"/>
        <v>10.3626</v>
      </c>
      <c r="BI339" s="17">
        <f t="shared" si="190"/>
        <v>0.81</v>
      </c>
      <c r="BJ339" s="17">
        <f t="shared" si="191"/>
        <v>1.46</v>
      </c>
      <c r="BL339" s="1">
        <f t="shared" si="195"/>
        <v>90.7</v>
      </c>
      <c r="BM339" s="1">
        <f t="shared" si="196"/>
        <v>79.7</v>
      </c>
      <c r="BN339" s="1">
        <f t="shared" si="197"/>
        <v>71.400000000000006</v>
      </c>
      <c r="BO339" s="49">
        <f t="shared" si="203"/>
        <v>0.14699999999999999</v>
      </c>
      <c r="BP339" s="49">
        <f t="shared" si="204"/>
        <v>5.8999999999999997E-2</v>
      </c>
      <c r="BQ339" s="1">
        <f t="shared" si="192"/>
        <v>-23.97</v>
      </c>
      <c r="BR339" s="3">
        <v>0</v>
      </c>
      <c r="BT339" s="16">
        <f t="shared" si="198"/>
        <v>0.81</v>
      </c>
      <c r="BU339" s="16">
        <f t="shared" si="199"/>
        <v>1.46</v>
      </c>
      <c r="BV339" s="3">
        <f t="shared" si="200"/>
        <v>-24</v>
      </c>
      <c r="BW339" s="3">
        <f t="shared" si="189"/>
        <v>-24.2</v>
      </c>
      <c r="BX339" s="3">
        <f t="shared" si="189"/>
        <v>-24.4</v>
      </c>
      <c r="BY339" s="3">
        <f t="shared" si="189"/>
        <v>-2.2000000000000002</v>
      </c>
      <c r="BZ339" s="3">
        <f t="shared" si="189"/>
        <v>-1.5</v>
      </c>
      <c r="CA339" s="3">
        <f t="shared" si="189"/>
        <v>0.2</v>
      </c>
      <c r="CB339" s="3">
        <f t="shared" si="189"/>
        <v>1.1000000000000001</v>
      </c>
      <c r="CC339" s="22">
        <f t="shared" si="201"/>
        <v>79.7</v>
      </c>
      <c r="CD339" s="1">
        <f t="shared" si="205"/>
        <v>-14</v>
      </c>
      <c r="CE339" s="1">
        <f t="shared" si="206"/>
        <v>-14</v>
      </c>
      <c r="CF339" s="1">
        <f t="shared" si="207"/>
        <v>-13.2</v>
      </c>
      <c r="CG339" s="1">
        <f t="shared" si="208"/>
        <v>-0.9</v>
      </c>
      <c r="CH339" s="1">
        <f t="shared" si="209"/>
        <v>-1.1000000000000001</v>
      </c>
      <c r="CI339" s="1">
        <f t="shared" si="210"/>
        <v>0.5</v>
      </c>
      <c r="CJ339" s="1">
        <f t="shared" si="211"/>
        <v>1.4</v>
      </c>
      <c r="CK339" s="2">
        <f t="shared" si="202"/>
        <v>90.7</v>
      </c>
      <c r="CL339" s="1">
        <f t="shared" si="212"/>
        <v>-35.299999999999997</v>
      </c>
      <c r="CM339" s="1">
        <f t="shared" si="213"/>
        <v>-36.700000000000003</v>
      </c>
      <c r="CN339" s="1">
        <f t="shared" si="214"/>
        <v>-37.9</v>
      </c>
      <c r="CO339" s="1">
        <f t="shared" si="215"/>
        <v>-3.8</v>
      </c>
      <c r="CP339" s="1">
        <f t="shared" si="216"/>
        <v>-2</v>
      </c>
      <c r="CQ339" s="1">
        <f t="shared" si="217"/>
        <v>-0.2</v>
      </c>
      <c r="CR339" s="1">
        <f t="shared" si="218"/>
        <v>0.7</v>
      </c>
      <c r="CS339" s="2">
        <f t="shared" si="219"/>
        <v>71.400000000000006</v>
      </c>
      <c r="CT339" s="6">
        <f t="shared" si="220"/>
        <v>650</v>
      </c>
      <c r="CU339" s="1">
        <f>PPTest!K339</f>
        <v>6.5</v>
      </c>
      <c r="CV339" s="3">
        <f t="shared" si="221"/>
        <v>0.55000000000000004</v>
      </c>
      <c r="CW339" s="3">
        <f t="shared" si="222"/>
        <v>2.12</v>
      </c>
      <c r="CX339" s="24">
        <f t="shared" si="223"/>
        <v>0.14699999999999999</v>
      </c>
      <c r="CY339" s="24">
        <f t="shared" si="223"/>
        <v>5.8999999999999997E-2</v>
      </c>
      <c r="CZ339" s="16">
        <f t="shared" si="224"/>
        <v>13.34</v>
      </c>
    </row>
    <row r="340" spans="1:104" x14ac:dyDescent="0.2">
      <c r="A340" s="14">
        <f t="shared" si="225"/>
        <v>39051</v>
      </c>
      <c r="B340" s="1">
        <v>334</v>
      </c>
      <c r="C340" s="3">
        <v>0.48099999999999998</v>
      </c>
      <c r="D340" s="3">
        <v>0.98399999999999999</v>
      </c>
      <c r="E340" s="3">
        <v>-12.36</v>
      </c>
      <c r="F340" s="3">
        <v>106.4</v>
      </c>
      <c r="G340" s="3">
        <v>-12.6</v>
      </c>
      <c r="H340" s="3">
        <v>-12.47</v>
      </c>
      <c r="I340" s="3">
        <v>-0.96399999999999997</v>
      </c>
      <c r="J340" s="3">
        <v>-0.96299999999999997</v>
      </c>
      <c r="K340" s="3">
        <v>0.22800000000000001</v>
      </c>
      <c r="L340" s="3">
        <v>1.2450000000000001</v>
      </c>
      <c r="M340" s="3">
        <v>0.57499999999999996</v>
      </c>
      <c r="N340" s="3">
        <v>0</v>
      </c>
      <c r="O340" s="3">
        <v>-8.39</v>
      </c>
      <c r="P340" s="3">
        <v>2359</v>
      </c>
      <c r="Q340" s="3">
        <v>108.3</v>
      </c>
      <c r="R340" s="3">
        <v>2250</v>
      </c>
      <c r="S340" s="3">
        <v>-8.51</v>
      </c>
      <c r="T340" s="3">
        <v>-7.13</v>
      </c>
      <c r="U340" s="3">
        <v>-0.67700000000000005</v>
      </c>
      <c r="V340" s="3">
        <v>-0.749</v>
      </c>
      <c r="W340" s="3">
        <v>0.31900000000000001</v>
      </c>
      <c r="X340" s="3">
        <v>1.34</v>
      </c>
      <c r="Y340" s="3">
        <v>2.2029999999999998</v>
      </c>
      <c r="Z340" s="3">
        <v>2259</v>
      </c>
      <c r="AA340" s="3">
        <v>-17.98</v>
      </c>
      <c r="AB340" s="3">
        <v>102</v>
      </c>
      <c r="AC340" s="3">
        <v>103.5</v>
      </c>
      <c r="AD340" s="3">
        <v>100</v>
      </c>
      <c r="AE340" s="3">
        <v>-18.62</v>
      </c>
      <c r="AF340" s="3">
        <v>-17.54</v>
      </c>
      <c r="AG340" s="3">
        <v>-1.613</v>
      </c>
      <c r="AH340" s="3">
        <v>-1.224</v>
      </c>
      <c r="AI340" s="3">
        <v>0.14199999999999999</v>
      </c>
      <c r="AJ340" s="3">
        <v>1.1419999999999999</v>
      </c>
      <c r="AK340" s="3">
        <v>0.17399999999999999</v>
      </c>
      <c r="AL340" s="3">
        <v>7.3999999999999996E-2</v>
      </c>
      <c r="AM340" s="3">
        <v>8.4000000000000005E-2</v>
      </c>
      <c r="AN340" s="3">
        <v>6.4000000000000001E-2</v>
      </c>
      <c r="AO340" s="3">
        <v>0.24199999999999999</v>
      </c>
      <c r="AP340" s="3">
        <v>0.214</v>
      </c>
      <c r="AQ340" s="3">
        <v>0.112</v>
      </c>
      <c r="AR340" s="3">
        <v>3.6999999999999998E-2</v>
      </c>
      <c r="AS340" s="3">
        <v>6999</v>
      </c>
      <c r="AT340" s="3">
        <v>6872</v>
      </c>
      <c r="AU340" s="3">
        <v>6999</v>
      </c>
      <c r="AV340" s="3">
        <v>-12.86</v>
      </c>
      <c r="AW340" s="3">
        <v>-12.82</v>
      </c>
      <c r="AX340" s="3">
        <v>-8.98</v>
      </c>
      <c r="AY340" s="3">
        <v>-8.93</v>
      </c>
      <c r="AZ340" s="3">
        <v>-16.47</v>
      </c>
      <c r="BA340" s="3">
        <v>-16.64</v>
      </c>
      <c r="BB340" s="3">
        <v>13.22</v>
      </c>
      <c r="BC340" s="3">
        <v>2876</v>
      </c>
      <c r="BD340" s="3"/>
      <c r="BE340" s="18">
        <v>700</v>
      </c>
      <c r="BG340" s="16">
        <v>5.0599999999999996</v>
      </c>
      <c r="BH340" s="16">
        <f t="shared" si="194"/>
        <v>10.2212</v>
      </c>
      <c r="BI340" s="17">
        <f t="shared" si="190"/>
        <v>0.47</v>
      </c>
      <c r="BJ340" s="17">
        <f t="shared" si="191"/>
        <v>1.08</v>
      </c>
      <c r="BL340" s="1">
        <f t="shared" si="195"/>
        <v>95.5</v>
      </c>
      <c r="BM340" s="1">
        <f t="shared" si="196"/>
        <v>92.5</v>
      </c>
      <c r="BN340" s="1">
        <f t="shared" si="197"/>
        <v>87.9</v>
      </c>
      <c r="BO340" s="49">
        <f t="shared" si="203"/>
        <v>0.28499999999999998</v>
      </c>
      <c r="BP340" s="49">
        <f t="shared" si="204"/>
        <v>3.9E-2</v>
      </c>
      <c r="BQ340" s="1">
        <f t="shared" si="192"/>
        <v>-12.36</v>
      </c>
      <c r="BR340" s="3">
        <v>0</v>
      </c>
      <c r="BS340" s="20">
        <f>SUM(BR311:BR340)</f>
        <v>91.799999999999983</v>
      </c>
      <c r="BT340" s="16">
        <f t="shared" si="198"/>
        <v>0.47</v>
      </c>
      <c r="BU340" s="16">
        <f t="shared" si="199"/>
        <v>1.08</v>
      </c>
      <c r="BV340" s="3">
        <f t="shared" si="200"/>
        <v>-12.4</v>
      </c>
      <c r="BW340" s="3">
        <f t="shared" si="189"/>
        <v>-12.6</v>
      </c>
      <c r="BX340" s="3">
        <f t="shared" si="189"/>
        <v>-12.5</v>
      </c>
      <c r="BY340" s="3">
        <f t="shared" si="189"/>
        <v>-1</v>
      </c>
      <c r="BZ340" s="3">
        <f t="shared" si="189"/>
        <v>-1</v>
      </c>
      <c r="CA340" s="3">
        <f t="shared" si="189"/>
        <v>0.2</v>
      </c>
      <c r="CB340" s="3">
        <f t="shared" si="189"/>
        <v>1.2</v>
      </c>
      <c r="CC340" s="22">
        <f t="shared" si="201"/>
        <v>92.5</v>
      </c>
      <c r="CD340" s="1">
        <f t="shared" si="205"/>
        <v>-8.4</v>
      </c>
      <c r="CE340" s="1">
        <f t="shared" si="206"/>
        <v>-8.5</v>
      </c>
      <c r="CF340" s="1">
        <f t="shared" si="207"/>
        <v>-7.1</v>
      </c>
      <c r="CG340" s="1">
        <f t="shared" si="208"/>
        <v>-0.7</v>
      </c>
      <c r="CH340" s="1">
        <f t="shared" si="209"/>
        <v>-0.7</v>
      </c>
      <c r="CI340" s="1">
        <f t="shared" si="210"/>
        <v>0.3</v>
      </c>
      <c r="CJ340" s="1">
        <f t="shared" si="211"/>
        <v>1.3</v>
      </c>
      <c r="CK340" s="2">
        <f t="shared" si="202"/>
        <v>95.5</v>
      </c>
      <c r="CL340" s="1">
        <f t="shared" si="212"/>
        <v>-18</v>
      </c>
      <c r="CM340" s="1">
        <f t="shared" si="213"/>
        <v>-18.600000000000001</v>
      </c>
      <c r="CN340" s="1">
        <f t="shared" si="214"/>
        <v>-17.5</v>
      </c>
      <c r="CO340" s="1">
        <f t="shared" si="215"/>
        <v>-1.6</v>
      </c>
      <c r="CP340" s="1">
        <f t="shared" si="216"/>
        <v>-1.2</v>
      </c>
      <c r="CQ340" s="1">
        <f t="shared" si="217"/>
        <v>0.1</v>
      </c>
      <c r="CR340" s="1">
        <f t="shared" si="218"/>
        <v>1.1000000000000001</v>
      </c>
      <c r="CS340" s="2">
        <f t="shared" si="219"/>
        <v>87.9</v>
      </c>
      <c r="CT340" s="6">
        <f t="shared" si="220"/>
        <v>700</v>
      </c>
      <c r="CU340" s="1">
        <f>PPTest!K340</f>
        <v>6.5</v>
      </c>
      <c r="CV340" s="3">
        <f t="shared" si="221"/>
        <v>0.57999999999999996</v>
      </c>
      <c r="CW340" s="3">
        <f t="shared" si="222"/>
        <v>2.2000000000000002</v>
      </c>
      <c r="CX340" s="24">
        <f t="shared" si="223"/>
        <v>0.28499999999999998</v>
      </c>
      <c r="CY340" s="24">
        <f t="shared" si="223"/>
        <v>3.9E-2</v>
      </c>
      <c r="CZ340" s="16">
        <f t="shared" si="224"/>
        <v>13.22</v>
      </c>
    </row>
    <row r="341" spans="1:104" x14ac:dyDescent="0.2">
      <c r="A341" s="14">
        <f t="shared" si="225"/>
        <v>39052</v>
      </c>
      <c r="B341" s="1">
        <v>335</v>
      </c>
      <c r="C341" s="3">
        <v>0.29799999999999999</v>
      </c>
      <c r="D341" s="3">
        <v>0.59699999999999998</v>
      </c>
      <c r="E341" s="3">
        <v>-9.56</v>
      </c>
      <c r="F341" s="3">
        <v>107.8</v>
      </c>
      <c r="G341" s="3">
        <v>-9.91</v>
      </c>
      <c r="H341" s="3">
        <v>-9.8000000000000007</v>
      </c>
      <c r="I341" s="3">
        <v>-0.64600000000000002</v>
      </c>
      <c r="J341" s="3">
        <v>-0.72599999999999998</v>
      </c>
      <c r="K341" s="3">
        <v>0.155</v>
      </c>
      <c r="L341" s="3">
        <v>1.214</v>
      </c>
      <c r="M341" s="3">
        <v>0.746</v>
      </c>
      <c r="N341" s="3">
        <v>0</v>
      </c>
      <c r="O341" s="3">
        <v>-8.39</v>
      </c>
      <c r="P341" s="3">
        <v>15</v>
      </c>
      <c r="Q341" s="3">
        <v>108.4</v>
      </c>
      <c r="R341" s="3">
        <v>28</v>
      </c>
      <c r="S341" s="3">
        <v>-8.51</v>
      </c>
      <c r="T341" s="3">
        <v>-8.1199999999999992</v>
      </c>
      <c r="U341" s="3">
        <v>-0.51</v>
      </c>
      <c r="V341" s="3">
        <v>-0.64100000000000001</v>
      </c>
      <c r="W341" s="3">
        <v>0.219</v>
      </c>
      <c r="X341" s="3">
        <v>1.2669999999999999</v>
      </c>
      <c r="Y341" s="3">
        <v>2.7480000000000002</v>
      </c>
      <c r="Z341" s="3">
        <v>21</v>
      </c>
      <c r="AA341" s="3">
        <v>-13.69</v>
      </c>
      <c r="AB341" s="3">
        <v>0</v>
      </c>
      <c r="AC341" s="3">
        <v>106.1</v>
      </c>
      <c r="AD341" s="3">
        <v>2354</v>
      </c>
      <c r="AE341" s="3">
        <v>-15.29</v>
      </c>
      <c r="AF341" s="3">
        <v>-15.82</v>
      </c>
      <c r="AG341" s="3">
        <v>-0.97499999999999998</v>
      </c>
      <c r="AH341" s="3">
        <v>-0.96399999999999997</v>
      </c>
      <c r="AI341" s="3">
        <v>-3.1E-2</v>
      </c>
      <c r="AJ341" s="3">
        <v>1.048</v>
      </c>
      <c r="AK341" s="3">
        <v>2.3E-2</v>
      </c>
      <c r="AL341" s="3">
        <v>0.08</v>
      </c>
      <c r="AM341" s="3">
        <v>0.06</v>
      </c>
      <c r="AN341" s="3">
        <v>3.4000000000000002E-2</v>
      </c>
      <c r="AO341" s="3">
        <v>0.33500000000000002</v>
      </c>
      <c r="AP341" s="3">
        <v>0.32200000000000001</v>
      </c>
      <c r="AQ341" s="3">
        <v>0.11600000000000001</v>
      </c>
      <c r="AR341" s="3">
        <v>3.1E-2</v>
      </c>
      <c r="AS341" s="3">
        <v>2809</v>
      </c>
      <c r="AT341" s="3">
        <v>2788</v>
      </c>
      <c r="AU341" s="3">
        <v>2797</v>
      </c>
      <c r="AV341" s="3">
        <v>-9.19</v>
      </c>
      <c r="AW341" s="3">
        <v>-9.35</v>
      </c>
      <c r="AX341" s="3">
        <v>-8.5</v>
      </c>
      <c r="AY341" s="3">
        <v>-8.52</v>
      </c>
      <c r="AZ341" s="3">
        <v>-12.99</v>
      </c>
      <c r="BA341" s="3">
        <v>-13.69</v>
      </c>
      <c r="BB341" s="3">
        <v>13.09</v>
      </c>
      <c r="BC341" s="3">
        <v>2876</v>
      </c>
      <c r="BD341" s="3"/>
      <c r="BE341" s="6">
        <f>BE$2-AU341</f>
        <v>713</v>
      </c>
      <c r="BG341" s="16">
        <v>5</v>
      </c>
      <c r="BH341" s="16">
        <f t="shared" si="194"/>
        <v>10.1</v>
      </c>
      <c r="BI341" s="17">
        <f t="shared" si="190"/>
        <v>0.28999999999999998</v>
      </c>
      <c r="BJ341" s="17">
        <f t="shared" si="191"/>
        <v>0.66</v>
      </c>
      <c r="BL341" s="1">
        <f t="shared" si="195"/>
        <v>95.7</v>
      </c>
      <c r="BM341" s="1">
        <f t="shared" si="196"/>
        <v>94.7</v>
      </c>
      <c r="BN341" s="1">
        <f t="shared" si="197"/>
        <v>92</v>
      </c>
      <c r="BO341" s="49">
        <f t="shared" si="203"/>
        <v>0.29799999999999999</v>
      </c>
      <c r="BP341" s="49">
        <f t="shared" si="204"/>
        <v>2.5999999999999999E-2</v>
      </c>
      <c r="BR341" s="3">
        <v>0</v>
      </c>
      <c r="BT341" s="16">
        <f t="shared" si="198"/>
        <v>0.28999999999999998</v>
      </c>
      <c r="BU341" s="16">
        <f t="shared" si="199"/>
        <v>0.66</v>
      </c>
      <c r="BV341" s="3">
        <f t="shared" si="200"/>
        <v>-9.6</v>
      </c>
      <c r="BW341" s="3">
        <f t="shared" si="189"/>
        <v>-9.9</v>
      </c>
      <c r="BX341" s="3">
        <f t="shared" si="189"/>
        <v>-9.8000000000000007</v>
      </c>
      <c r="BY341" s="3">
        <f t="shared" si="189"/>
        <v>-0.6</v>
      </c>
      <c r="BZ341" s="3">
        <f t="shared" si="189"/>
        <v>-0.7</v>
      </c>
      <c r="CA341" s="3">
        <f t="shared" si="189"/>
        <v>0.2</v>
      </c>
      <c r="CB341" s="3">
        <f t="shared" si="189"/>
        <v>1.2</v>
      </c>
      <c r="CC341" s="22">
        <f t="shared" si="201"/>
        <v>94.7</v>
      </c>
      <c r="CD341" s="1">
        <f t="shared" si="205"/>
        <v>-8.4</v>
      </c>
      <c r="CE341" s="1">
        <f t="shared" si="206"/>
        <v>-8.5</v>
      </c>
      <c r="CF341" s="1">
        <f t="shared" si="207"/>
        <v>-8.1</v>
      </c>
      <c r="CG341" s="1">
        <f t="shared" si="208"/>
        <v>-0.5</v>
      </c>
      <c r="CH341" s="1">
        <f t="shared" si="209"/>
        <v>-0.6</v>
      </c>
      <c r="CI341" s="1">
        <f t="shared" si="210"/>
        <v>0.2</v>
      </c>
      <c r="CJ341" s="1">
        <f t="shared" si="211"/>
        <v>1.3</v>
      </c>
      <c r="CK341" s="2">
        <f t="shared" si="202"/>
        <v>95.7</v>
      </c>
      <c r="CL341" s="1">
        <f t="shared" si="212"/>
        <v>-13.7</v>
      </c>
      <c r="CM341" s="1">
        <f t="shared" si="213"/>
        <v>-15.3</v>
      </c>
      <c r="CN341" s="1">
        <f t="shared" si="214"/>
        <v>-15.8</v>
      </c>
      <c r="CO341" s="1">
        <f t="shared" si="215"/>
        <v>-1</v>
      </c>
      <c r="CP341" s="1">
        <f t="shared" si="216"/>
        <v>-1</v>
      </c>
      <c r="CQ341" s="1">
        <f t="shared" si="217"/>
        <v>0</v>
      </c>
      <c r="CR341" s="1">
        <f t="shared" si="218"/>
        <v>1</v>
      </c>
      <c r="CS341" s="2">
        <f t="shared" si="219"/>
        <v>92</v>
      </c>
      <c r="CT341" s="6">
        <f t="shared" si="220"/>
        <v>713</v>
      </c>
      <c r="CU341" s="1">
        <f>PPTest!K341</f>
        <v>1.7</v>
      </c>
      <c r="CV341" s="3">
        <f t="shared" si="221"/>
        <v>0.75</v>
      </c>
      <c r="CW341" s="3">
        <f t="shared" si="222"/>
        <v>2.75</v>
      </c>
      <c r="CX341" s="24">
        <f t="shared" si="223"/>
        <v>0.29799999999999999</v>
      </c>
      <c r="CY341" s="24">
        <f t="shared" si="223"/>
        <v>2.5999999999999999E-2</v>
      </c>
      <c r="CZ341" s="16">
        <f t="shared" si="224"/>
        <v>13.09</v>
      </c>
    </row>
    <row r="342" spans="1:104" x14ac:dyDescent="0.2">
      <c r="A342" s="14">
        <f t="shared" si="225"/>
        <v>39053</v>
      </c>
      <c r="B342" s="1">
        <v>336</v>
      </c>
      <c r="C342" s="3">
        <v>1.571</v>
      </c>
      <c r="D342" s="3">
        <v>2.6059999999999999</v>
      </c>
      <c r="E342" s="3">
        <v>-12.68</v>
      </c>
      <c r="F342" s="3">
        <v>105.7</v>
      </c>
      <c r="G342" s="3">
        <v>-13.38</v>
      </c>
      <c r="H342" s="3">
        <v>-13.48</v>
      </c>
      <c r="I342" s="3">
        <v>-0.84899999999999998</v>
      </c>
      <c r="J342" s="3">
        <v>-0.98899999999999999</v>
      </c>
      <c r="K342" s="3">
        <v>0.10199999999999999</v>
      </c>
      <c r="L342" s="3">
        <v>1.1839999999999999</v>
      </c>
      <c r="M342" s="3">
        <v>0.45500000000000002</v>
      </c>
      <c r="N342" s="3">
        <v>0</v>
      </c>
      <c r="O342" s="3">
        <v>-6.1719999999999997</v>
      </c>
      <c r="P342" s="3">
        <v>1230</v>
      </c>
      <c r="Q342" s="3">
        <v>108.1</v>
      </c>
      <c r="R342" s="3">
        <v>1327</v>
      </c>
      <c r="S342" s="3">
        <v>-6.7350000000000003</v>
      </c>
      <c r="T342" s="3">
        <v>-3.0870000000000002</v>
      </c>
      <c r="U342" s="3">
        <v>-0.23599999999999999</v>
      </c>
      <c r="V342" s="3">
        <v>-0.77700000000000002</v>
      </c>
      <c r="W342" s="3">
        <v>0.41699999999999998</v>
      </c>
      <c r="X342" s="3">
        <v>1.4850000000000001</v>
      </c>
      <c r="Y342" s="3">
        <v>1.2849999999999999</v>
      </c>
      <c r="Z342" s="3">
        <v>1334</v>
      </c>
      <c r="AA342" s="3">
        <v>-20.100000000000001</v>
      </c>
      <c r="AB342" s="3">
        <v>801</v>
      </c>
      <c r="AC342" s="3">
        <v>101.5</v>
      </c>
      <c r="AD342" s="3">
        <v>823</v>
      </c>
      <c r="AE342" s="3">
        <v>-21.12</v>
      </c>
      <c r="AF342" s="3">
        <v>-22.02</v>
      </c>
      <c r="AG342" s="3">
        <v>-1.7450000000000001</v>
      </c>
      <c r="AH342" s="3">
        <v>-1.3049999999999999</v>
      </c>
      <c r="AI342" s="3">
        <v>-8.1000000000000003E-2</v>
      </c>
      <c r="AJ342" s="3">
        <v>1.006</v>
      </c>
      <c r="AK342" s="3">
        <v>0.04</v>
      </c>
      <c r="AL342" s="3">
        <v>0.33500000000000002</v>
      </c>
      <c r="AM342" s="3">
        <v>0.45600000000000002</v>
      </c>
      <c r="AN342" s="3">
        <v>3.3000000000000002E-2</v>
      </c>
      <c r="AO342" s="3">
        <v>6.4000000000000001E-2</v>
      </c>
      <c r="AP342" s="3">
        <v>5.0999999999999997E-2</v>
      </c>
      <c r="AQ342" s="3">
        <v>1.6E-2</v>
      </c>
      <c r="AR342" s="3">
        <v>6.0000000000000001E-3</v>
      </c>
      <c r="AS342" s="3">
        <v>2799</v>
      </c>
      <c r="AT342" s="3">
        <v>2798</v>
      </c>
      <c r="AU342" s="3">
        <v>2799</v>
      </c>
      <c r="AV342" s="3">
        <v>-13.59</v>
      </c>
      <c r="AW342" s="3">
        <v>-13.57</v>
      </c>
      <c r="AX342" s="3">
        <v>-8.76</v>
      </c>
      <c r="AY342" s="3">
        <v>-8.68</v>
      </c>
      <c r="AZ342" s="3">
        <v>-20.25</v>
      </c>
      <c r="BA342" s="3">
        <v>-20.43</v>
      </c>
      <c r="BB342" s="3">
        <v>13.21</v>
      </c>
      <c r="BC342" s="3">
        <v>2876</v>
      </c>
      <c r="BD342" s="3"/>
      <c r="BE342" s="6">
        <f>BE$2-AU342</f>
        <v>711</v>
      </c>
      <c r="BG342" s="16">
        <v>4.93</v>
      </c>
      <c r="BH342" s="16">
        <f t="shared" si="194"/>
        <v>9.9585999999999988</v>
      </c>
      <c r="BI342" s="17">
        <f t="shared" si="190"/>
        <v>1.54</v>
      </c>
      <c r="BJ342" s="17">
        <f t="shared" si="191"/>
        <v>2.87</v>
      </c>
      <c r="BL342" s="1">
        <f t="shared" si="195"/>
        <v>95.2</v>
      </c>
      <c r="BM342" s="1">
        <f t="shared" si="196"/>
        <v>91.4</v>
      </c>
      <c r="BN342" s="1">
        <f t="shared" si="197"/>
        <v>84.7</v>
      </c>
      <c r="BO342" s="49">
        <f t="shared" si="203"/>
        <v>0.32600000000000001</v>
      </c>
      <c r="BP342" s="49">
        <f t="shared" si="204"/>
        <v>5.8999999999999997E-2</v>
      </c>
      <c r="BR342" s="3">
        <v>0</v>
      </c>
      <c r="BT342" s="16">
        <f t="shared" si="198"/>
        <v>1.54</v>
      </c>
      <c r="BU342" s="16">
        <f t="shared" si="199"/>
        <v>2.87</v>
      </c>
      <c r="BV342" s="3">
        <f t="shared" si="200"/>
        <v>-12.7</v>
      </c>
      <c r="BW342" s="3">
        <f t="shared" si="189"/>
        <v>-13.4</v>
      </c>
      <c r="BX342" s="3">
        <f t="shared" si="189"/>
        <v>-13.5</v>
      </c>
      <c r="BY342" s="3">
        <f t="shared" si="189"/>
        <v>-0.8</v>
      </c>
      <c r="BZ342" s="3">
        <f t="shared" si="189"/>
        <v>-1</v>
      </c>
      <c r="CA342" s="3">
        <f t="shared" si="189"/>
        <v>0.1</v>
      </c>
      <c r="CB342" s="3">
        <f t="shared" si="189"/>
        <v>1.2</v>
      </c>
      <c r="CC342" s="22">
        <f t="shared" si="201"/>
        <v>91.4</v>
      </c>
      <c r="CD342" s="1">
        <f t="shared" si="205"/>
        <v>-6.2</v>
      </c>
      <c r="CE342" s="1">
        <f t="shared" si="206"/>
        <v>-6.7</v>
      </c>
      <c r="CF342" s="1">
        <f t="shared" si="207"/>
        <v>-3.1</v>
      </c>
      <c r="CG342" s="1">
        <f t="shared" si="208"/>
        <v>-0.2</v>
      </c>
      <c r="CH342" s="1">
        <f t="shared" si="209"/>
        <v>-0.8</v>
      </c>
      <c r="CI342" s="1">
        <f t="shared" si="210"/>
        <v>0.4</v>
      </c>
      <c r="CJ342" s="1">
        <f t="shared" si="211"/>
        <v>1.5</v>
      </c>
      <c r="CK342" s="2">
        <f t="shared" si="202"/>
        <v>95.2</v>
      </c>
      <c r="CL342" s="1">
        <f t="shared" si="212"/>
        <v>-20.100000000000001</v>
      </c>
      <c r="CM342" s="1">
        <f t="shared" si="213"/>
        <v>-21.1</v>
      </c>
      <c r="CN342" s="1">
        <f t="shared" si="214"/>
        <v>-22</v>
      </c>
      <c r="CO342" s="1">
        <f t="shared" si="215"/>
        <v>-1.7</v>
      </c>
      <c r="CP342" s="1">
        <f t="shared" si="216"/>
        <v>-1.3</v>
      </c>
      <c r="CQ342" s="1">
        <f t="shared" si="217"/>
        <v>-0.1</v>
      </c>
      <c r="CR342" s="1">
        <f t="shared" si="218"/>
        <v>1</v>
      </c>
      <c r="CS342" s="2">
        <f t="shared" si="219"/>
        <v>84.7</v>
      </c>
      <c r="CT342" s="6">
        <f t="shared" si="220"/>
        <v>711</v>
      </c>
      <c r="CU342" s="1">
        <f>PPTest!K342</f>
        <v>0</v>
      </c>
      <c r="CV342" s="3">
        <f t="shared" si="221"/>
        <v>0.46</v>
      </c>
      <c r="CW342" s="3">
        <f t="shared" si="222"/>
        <v>1.29</v>
      </c>
      <c r="CX342" s="24">
        <f t="shared" si="223"/>
        <v>0.32600000000000001</v>
      </c>
      <c r="CY342" s="24">
        <f t="shared" si="223"/>
        <v>5.8999999999999997E-2</v>
      </c>
      <c r="CZ342" s="16">
        <f t="shared" si="224"/>
        <v>13.21</v>
      </c>
    </row>
    <row r="343" spans="1:104" x14ac:dyDescent="0.2">
      <c r="A343" s="14">
        <f t="shared" si="225"/>
        <v>39054</v>
      </c>
      <c r="B343" s="1">
        <v>337</v>
      </c>
      <c r="C343" s="3">
        <v>0.28299999999999997</v>
      </c>
      <c r="D343" s="3">
        <v>0.55800000000000005</v>
      </c>
      <c r="E343" s="3">
        <v>-8.34</v>
      </c>
      <c r="F343" s="3">
        <v>108.2</v>
      </c>
      <c r="G343" s="3">
        <v>-8.43</v>
      </c>
      <c r="H343" s="3">
        <v>-8.18</v>
      </c>
      <c r="I343" s="3">
        <v>-0.48599999999999999</v>
      </c>
      <c r="J343" s="3">
        <v>-0.72499999999999998</v>
      </c>
      <c r="K343" s="3">
        <v>8.8999999999999996E-2</v>
      </c>
      <c r="L343" s="3">
        <v>1.1990000000000001</v>
      </c>
      <c r="M343" s="3">
        <v>0.48499999999999999</v>
      </c>
      <c r="N343" s="3">
        <v>0</v>
      </c>
      <c r="O343" s="3">
        <v>-6.9109999999999996</v>
      </c>
      <c r="P343" s="3">
        <v>1217</v>
      </c>
      <c r="Q343" s="3">
        <v>108.9</v>
      </c>
      <c r="R343" s="3">
        <v>2307</v>
      </c>
      <c r="S343" s="3">
        <v>-6.665</v>
      </c>
      <c r="T343" s="3">
        <v>-6.55</v>
      </c>
      <c r="U343" s="3">
        <v>-0.374</v>
      </c>
      <c r="V343" s="3">
        <v>-0.63700000000000001</v>
      </c>
      <c r="W343" s="3">
        <v>0.14799999999999999</v>
      </c>
      <c r="X343" s="3">
        <v>1.248</v>
      </c>
      <c r="Y343" s="3">
        <v>1.857</v>
      </c>
      <c r="Z343" s="3">
        <v>1225</v>
      </c>
      <c r="AA343" s="3">
        <v>-9.9499999999999993</v>
      </c>
      <c r="AB343" s="3">
        <v>1</v>
      </c>
      <c r="AC343" s="3">
        <v>107.4</v>
      </c>
      <c r="AD343" s="3">
        <v>1259</v>
      </c>
      <c r="AE343" s="3">
        <v>-10.02</v>
      </c>
      <c r="AF343" s="3">
        <v>-10.15</v>
      </c>
      <c r="AG343" s="3">
        <v>-0.73</v>
      </c>
      <c r="AH343" s="3">
        <v>-0.84399999999999997</v>
      </c>
      <c r="AI343" s="3">
        <v>2.5000000000000001E-2</v>
      </c>
      <c r="AJ343" s="3">
        <v>1.137</v>
      </c>
      <c r="AK343" s="3">
        <v>0.108</v>
      </c>
      <c r="AL343" s="3">
        <v>0.23200000000000001</v>
      </c>
      <c r="AM343" s="3">
        <v>0.189</v>
      </c>
      <c r="AN343" s="3">
        <v>6.5000000000000002E-2</v>
      </c>
      <c r="AO343" s="3">
        <v>0.157</v>
      </c>
      <c r="AP343" s="3">
        <v>0.14399999999999999</v>
      </c>
      <c r="AQ343" s="3">
        <v>5.6000000000000001E-2</v>
      </c>
      <c r="AR343" s="3">
        <v>4.9000000000000002E-2</v>
      </c>
      <c r="AS343" s="3">
        <v>2776</v>
      </c>
      <c r="AT343" s="3">
        <v>2775</v>
      </c>
      <c r="AU343" s="3">
        <v>2776</v>
      </c>
      <c r="AV343" s="3">
        <v>-8.11</v>
      </c>
      <c r="AW343" s="3">
        <v>-8.1300000000000008</v>
      </c>
      <c r="AX343" s="3">
        <v>-7.06</v>
      </c>
      <c r="AY343" s="3">
        <v>-6.9880000000000004</v>
      </c>
      <c r="AZ343" s="3">
        <v>-9.73</v>
      </c>
      <c r="BA343" s="3">
        <v>-9.82</v>
      </c>
      <c r="BB343" s="3">
        <v>13.02</v>
      </c>
      <c r="BC343" s="3">
        <v>2876</v>
      </c>
      <c r="BD343" s="3"/>
      <c r="BE343" s="6">
        <f>BE$2-AU343</f>
        <v>734</v>
      </c>
      <c r="BG343" s="16">
        <v>4.87</v>
      </c>
      <c r="BH343" s="16">
        <f t="shared" si="194"/>
        <v>9.8374000000000006</v>
      </c>
      <c r="BI343" s="17">
        <f t="shared" si="190"/>
        <v>0.28000000000000003</v>
      </c>
      <c r="BJ343" s="17">
        <f t="shared" si="191"/>
        <v>0.61</v>
      </c>
      <c r="BL343" s="1">
        <f t="shared" si="195"/>
        <v>96.5</v>
      </c>
      <c r="BM343" s="1">
        <f t="shared" si="196"/>
        <v>95.3</v>
      </c>
      <c r="BN343" s="1">
        <f t="shared" si="197"/>
        <v>94.1</v>
      </c>
      <c r="BO343" s="49">
        <f t="shared" si="203"/>
        <v>0.34200000000000003</v>
      </c>
      <c r="BP343" s="49">
        <f t="shared" si="204"/>
        <v>2.1000000000000001E-2</v>
      </c>
      <c r="BR343" s="3">
        <v>0</v>
      </c>
      <c r="BT343" s="16">
        <f t="shared" si="198"/>
        <v>0.28000000000000003</v>
      </c>
      <c r="BU343" s="16">
        <f t="shared" si="199"/>
        <v>0.61</v>
      </c>
      <c r="BV343" s="3">
        <f t="shared" si="200"/>
        <v>-8.3000000000000007</v>
      </c>
      <c r="BW343" s="3">
        <f t="shared" si="189"/>
        <v>-8.4</v>
      </c>
      <c r="BX343" s="3">
        <f t="shared" si="189"/>
        <v>-8.1999999999999993</v>
      </c>
      <c r="BY343" s="3">
        <f t="shared" si="189"/>
        <v>-0.5</v>
      </c>
      <c r="BZ343" s="3">
        <f t="shared" si="189"/>
        <v>-0.7</v>
      </c>
      <c r="CA343" s="3">
        <f t="shared" si="189"/>
        <v>0.1</v>
      </c>
      <c r="CB343" s="3">
        <f t="shared" si="189"/>
        <v>1.2</v>
      </c>
      <c r="CC343" s="22">
        <f t="shared" si="201"/>
        <v>95.3</v>
      </c>
      <c r="CD343" s="1">
        <f t="shared" si="205"/>
        <v>-6.9</v>
      </c>
      <c r="CE343" s="1">
        <f t="shared" si="206"/>
        <v>-6.7</v>
      </c>
      <c r="CF343" s="1">
        <f t="shared" si="207"/>
        <v>-6.6</v>
      </c>
      <c r="CG343" s="1">
        <f t="shared" si="208"/>
        <v>-0.4</v>
      </c>
      <c r="CH343" s="1">
        <f t="shared" si="209"/>
        <v>-0.6</v>
      </c>
      <c r="CI343" s="1">
        <f t="shared" si="210"/>
        <v>0.1</v>
      </c>
      <c r="CJ343" s="1">
        <f t="shared" si="211"/>
        <v>1.2</v>
      </c>
      <c r="CK343" s="2">
        <f t="shared" si="202"/>
        <v>96.5</v>
      </c>
      <c r="CL343" s="1">
        <f t="shared" si="212"/>
        <v>-10</v>
      </c>
      <c r="CM343" s="1">
        <f t="shared" si="213"/>
        <v>-10</v>
      </c>
      <c r="CN343" s="1">
        <f t="shared" si="214"/>
        <v>-10.199999999999999</v>
      </c>
      <c r="CO343" s="1">
        <f t="shared" si="215"/>
        <v>-0.7</v>
      </c>
      <c r="CP343" s="1">
        <f t="shared" si="216"/>
        <v>-0.8</v>
      </c>
      <c r="CQ343" s="1">
        <f t="shared" si="217"/>
        <v>0</v>
      </c>
      <c r="CR343" s="1">
        <f t="shared" si="218"/>
        <v>1.1000000000000001</v>
      </c>
      <c r="CS343" s="2">
        <f t="shared" si="219"/>
        <v>94.1</v>
      </c>
      <c r="CT343" s="6">
        <f t="shared" si="220"/>
        <v>734</v>
      </c>
      <c r="CU343" s="1">
        <f>PPTest!K343</f>
        <v>3</v>
      </c>
      <c r="CV343" s="3">
        <f t="shared" si="221"/>
        <v>0.49</v>
      </c>
      <c r="CW343" s="3">
        <f t="shared" si="222"/>
        <v>1.86</v>
      </c>
      <c r="CX343" s="24">
        <f t="shared" si="223"/>
        <v>0.34200000000000003</v>
      </c>
      <c r="CY343" s="24">
        <f t="shared" si="223"/>
        <v>2.1000000000000001E-2</v>
      </c>
      <c r="CZ343" s="16">
        <f t="shared" si="224"/>
        <v>13.02</v>
      </c>
    </row>
    <row r="344" spans="1:104" x14ac:dyDescent="0.2">
      <c r="A344" s="14">
        <f t="shared" si="225"/>
        <v>39055</v>
      </c>
      <c r="B344" s="1">
        <v>338</v>
      </c>
      <c r="C344" s="3">
        <v>0.17</v>
      </c>
      <c r="D344" s="3">
        <v>0.36799999999999999</v>
      </c>
      <c r="E344" s="3">
        <v>-6.5259999999999998</v>
      </c>
      <c r="F344" s="3">
        <v>109.1</v>
      </c>
      <c r="G344" s="3">
        <v>-6.6349999999999998</v>
      </c>
      <c r="H344" s="3">
        <v>-6.5439999999999996</v>
      </c>
      <c r="I344" s="3">
        <v>-0.378</v>
      </c>
      <c r="J344" s="3">
        <v>-0.61399999999999999</v>
      </c>
      <c r="K344" s="3">
        <v>6.3E-2</v>
      </c>
      <c r="L344" s="3">
        <v>1.1870000000000001</v>
      </c>
      <c r="M344" s="3">
        <v>0.53</v>
      </c>
      <c r="N344" s="3">
        <v>0</v>
      </c>
      <c r="O344" s="3">
        <v>-4.407</v>
      </c>
      <c r="P344" s="3">
        <v>2252</v>
      </c>
      <c r="Q344" s="3">
        <v>110.4</v>
      </c>
      <c r="R344" s="3">
        <v>2240</v>
      </c>
      <c r="S344" s="3">
        <v>-4.4740000000000002</v>
      </c>
      <c r="T344" s="3">
        <v>-4.7430000000000003</v>
      </c>
      <c r="U344" s="3">
        <v>-0.28299999999999997</v>
      </c>
      <c r="V344" s="3">
        <v>-0.51300000000000001</v>
      </c>
      <c r="W344" s="3">
        <v>0.10299999999999999</v>
      </c>
      <c r="X344" s="3">
        <v>1.2210000000000001</v>
      </c>
      <c r="Y344" s="3">
        <v>3.4</v>
      </c>
      <c r="Z344" s="3">
        <v>902</v>
      </c>
      <c r="AA344" s="3">
        <v>-8.27</v>
      </c>
      <c r="AB344" s="3">
        <v>922</v>
      </c>
      <c r="AC344" s="3">
        <v>107.9</v>
      </c>
      <c r="AD344" s="3">
        <v>916</v>
      </c>
      <c r="AE344" s="3">
        <v>-8.7100000000000009</v>
      </c>
      <c r="AF344" s="3">
        <v>-7.78</v>
      </c>
      <c r="AG344" s="3">
        <v>-0.55900000000000005</v>
      </c>
      <c r="AH344" s="3">
        <v>-0.68400000000000005</v>
      </c>
      <c r="AI344" s="3">
        <v>1.9E-2</v>
      </c>
      <c r="AJ344" s="3">
        <v>1.155</v>
      </c>
      <c r="AK344" s="3">
        <v>6.5000000000000002E-2</v>
      </c>
      <c r="AL344" s="3">
        <v>0.11</v>
      </c>
      <c r="AM344" s="3">
        <v>0.13200000000000001</v>
      </c>
      <c r="AN344" s="3">
        <v>8.1000000000000003E-2</v>
      </c>
      <c r="AO344" s="3">
        <v>0.247</v>
      </c>
      <c r="AP344" s="3">
        <v>0.19700000000000001</v>
      </c>
      <c r="AQ344" s="3">
        <v>0.108</v>
      </c>
      <c r="AR344" s="3">
        <v>0.06</v>
      </c>
      <c r="AS344" s="3">
        <v>2793</v>
      </c>
      <c r="AT344" s="3">
        <v>2788</v>
      </c>
      <c r="AU344" s="3">
        <v>2791</v>
      </c>
      <c r="AV344" s="3">
        <v>-6.4530000000000003</v>
      </c>
      <c r="AW344" s="3">
        <v>-6.4729999999999999</v>
      </c>
      <c r="AX344" s="3">
        <v>-4.7679999999999998</v>
      </c>
      <c r="AY344" s="3">
        <v>-4.766</v>
      </c>
      <c r="AZ344" s="3">
        <v>-7.3</v>
      </c>
      <c r="BA344" s="3">
        <v>-7.37</v>
      </c>
      <c r="BB344" s="3">
        <v>12.75</v>
      </c>
      <c r="BC344" s="3">
        <v>2876</v>
      </c>
      <c r="BD344" s="3"/>
      <c r="BE344" s="6">
        <f>BE$2-AU344</f>
        <v>719</v>
      </c>
      <c r="BG344" s="16">
        <v>4.82</v>
      </c>
      <c r="BH344" s="16">
        <f t="shared" si="194"/>
        <v>9.7364000000000015</v>
      </c>
      <c r="BI344" s="17">
        <f t="shared" si="190"/>
        <v>0.17</v>
      </c>
      <c r="BJ344" s="17">
        <f t="shared" si="191"/>
        <v>0.4</v>
      </c>
      <c r="BL344" s="1">
        <f t="shared" si="195"/>
        <v>98.8</v>
      </c>
      <c r="BM344" s="1">
        <f t="shared" si="196"/>
        <v>96.8</v>
      </c>
      <c r="BN344" s="1">
        <f t="shared" si="197"/>
        <v>94.9</v>
      </c>
      <c r="BO344" s="49">
        <f t="shared" si="203"/>
        <v>0.41799999999999998</v>
      </c>
      <c r="BP344" s="49">
        <f t="shared" si="204"/>
        <v>2.1999999999999999E-2</v>
      </c>
      <c r="BR344" s="3">
        <v>0</v>
      </c>
      <c r="BT344" s="16">
        <f t="shared" si="198"/>
        <v>0.17</v>
      </c>
      <c r="BU344" s="16">
        <f t="shared" si="199"/>
        <v>0.4</v>
      </c>
      <c r="BV344" s="3">
        <f t="shared" si="200"/>
        <v>-6.5</v>
      </c>
      <c r="BW344" s="3">
        <f t="shared" ref="BW344:CB371" si="226">ROUND(G344,1)</f>
        <v>-6.6</v>
      </c>
      <c r="BX344" s="3">
        <f t="shared" si="226"/>
        <v>-6.5</v>
      </c>
      <c r="BY344" s="3">
        <f t="shared" si="226"/>
        <v>-0.4</v>
      </c>
      <c r="BZ344" s="3">
        <f t="shared" si="226"/>
        <v>-0.6</v>
      </c>
      <c r="CA344" s="3">
        <f t="shared" si="226"/>
        <v>0.1</v>
      </c>
      <c r="CB344" s="3">
        <f t="shared" si="226"/>
        <v>1.2</v>
      </c>
      <c r="CC344" s="22">
        <f t="shared" si="201"/>
        <v>96.8</v>
      </c>
      <c r="CD344" s="1">
        <f t="shared" si="205"/>
        <v>-4.4000000000000004</v>
      </c>
      <c r="CE344" s="1">
        <f t="shared" si="206"/>
        <v>-4.5</v>
      </c>
      <c r="CF344" s="1">
        <f t="shared" si="207"/>
        <v>-4.7</v>
      </c>
      <c r="CG344" s="1">
        <f t="shared" si="208"/>
        <v>-0.3</v>
      </c>
      <c r="CH344" s="1">
        <f t="shared" si="209"/>
        <v>-0.5</v>
      </c>
      <c r="CI344" s="1">
        <f t="shared" si="210"/>
        <v>0.1</v>
      </c>
      <c r="CJ344" s="1">
        <f t="shared" si="211"/>
        <v>1.2</v>
      </c>
      <c r="CK344" s="2">
        <f t="shared" si="202"/>
        <v>98.8</v>
      </c>
      <c r="CL344" s="1">
        <f t="shared" si="212"/>
        <v>-8.3000000000000007</v>
      </c>
      <c r="CM344" s="1">
        <f t="shared" si="213"/>
        <v>-8.6999999999999993</v>
      </c>
      <c r="CN344" s="1">
        <f t="shared" si="214"/>
        <v>-7.8</v>
      </c>
      <c r="CO344" s="1">
        <f t="shared" si="215"/>
        <v>-0.6</v>
      </c>
      <c r="CP344" s="1">
        <f t="shared" si="216"/>
        <v>-0.7</v>
      </c>
      <c r="CQ344" s="1">
        <f t="shared" si="217"/>
        <v>0</v>
      </c>
      <c r="CR344" s="1">
        <f t="shared" si="218"/>
        <v>1.2</v>
      </c>
      <c r="CS344" s="2">
        <f t="shared" si="219"/>
        <v>94.9</v>
      </c>
      <c r="CT344" s="6">
        <f t="shared" si="220"/>
        <v>719</v>
      </c>
      <c r="CU344" s="1">
        <f>PPTest!K344</f>
        <v>0</v>
      </c>
      <c r="CV344" s="3">
        <f t="shared" si="221"/>
        <v>0.53</v>
      </c>
      <c r="CW344" s="3">
        <f t="shared" si="222"/>
        <v>3.4</v>
      </c>
      <c r="CX344" s="24">
        <f t="shared" si="223"/>
        <v>0.41799999999999998</v>
      </c>
      <c r="CY344" s="24">
        <f t="shared" si="223"/>
        <v>2.1999999999999999E-2</v>
      </c>
      <c r="CZ344" s="16">
        <f t="shared" si="224"/>
        <v>12.75</v>
      </c>
    </row>
    <row r="345" spans="1:104" x14ac:dyDescent="0.2">
      <c r="A345" s="14">
        <f t="shared" si="225"/>
        <v>39056</v>
      </c>
      <c r="B345" s="1">
        <v>339</v>
      </c>
      <c r="C345" s="3">
        <v>2.3780000000000001</v>
      </c>
      <c r="D345" s="3">
        <v>4.5369999999999999</v>
      </c>
      <c r="E345" s="3">
        <v>-4.4649999999999999</v>
      </c>
      <c r="F345" s="3">
        <v>110.2</v>
      </c>
      <c r="G345" s="3">
        <v>-4.8559999999999999</v>
      </c>
      <c r="H345" s="3">
        <v>-5.12</v>
      </c>
      <c r="I345" s="3">
        <v>-0.30299999999999999</v>
      </c>
      <c r="J345" s="3">
        <v>-0.52400000000000002</v>
      </c>
      <c r="K345" s="3">
        <v>4.5999999999999999E-2</v>
      </c>
      <c r="L345" s="3">
        <v>1.171</v>
      </c>
      <c r="M345" s="3">
        <v>0.44700000000000001</v>
      </c>
      <c r="N345" s="3">
        <v>0</v>
      </c>
      <c r="O345" s="3">
        <v>-0.73699999999999999</v>
      </c>
      <c r="P345" s="3">
        <v>1108</v>
      </c>
      <c r="Q345" s="3">
        <v>111</v>
      </c>
      <c r="R345" s="3">
        <v>1122</v>
      </c>
      <c r="S345" s="3">
        <v>-1.708</v>
      </c>
      <c r="T345" s="3">
        <v>-2.363</v>
      </c>
      <c r="U345" s="3">
        <v>-0.16500000000000001</v>
      </c>
      <c r="V345" s="3">
        <v>-0.42599999999999999</v>
      </c>
      <c r="W345" s="3">
        <v>0.16500000000000001</v>
      </c>
      <c r="X345" s="3">
        <v>1.292</v>
      </c>
      <c r="Y345" s="3">
        <v>0.52700000000000002</v>
      </c>
      <c r="Z345" s="3">
        <v>42</v>
      </c>
      <c r="AA345" s="3">
        <v>-7.88</v>
      </c>
      <c r="AB345" s="3">
        <v>820</v>
      </c>
      <c r="AC345" s="3">
        <v>107.9</v>
      </c>
      <c r="AD345" s="3">
        <v>925</v>
      </c>
      <c r="AE345" s="3">
        <v>-9.07</v>
      </c>
      <c r="AF345" s="3">
        <v>-9.48</v>
      </c>
      <c r="AG345" s="3">
        <v>-0.56100000000000005</v>
      </c>
      <c r="AH345" s="3">
        <v>-0.74</v>
      </c>
      <c r="AI345" s="3">
        <v>-0.14899999999999999</v>
      </c>
      <c r="AJ345" s="3">
        <v>0.97499999999999998</v>
      </c>
      <c r="AK345" s="3">
        <v>8.6999999999999994E-2</v>
      </c>
      <c r="AL345" s="3">
        <v>0.255</v>
      </c>
      <c r="AM345" s="3">
        <v>0.24199999999999999</v>
      </c>
      <c r="AN345" s="3">
        <v>5.6000000000000001E-2</v>
      </c>
      <c r="AO345" s="3">
        <v>0.14399999999999999</v>
      </c>
      <c r="AP345" s="3">
        <v>0.14000000000000001</v>
      </c>
      <c r="AQ345" s="3">
        <v>5.2999999999999999E-2</v>
      </c>
      <c r="AR345" s="3">
        <v>2.1999999999999999E-2</v>
      </c>
      <c r="AS345" s="3">
        <v>2745</v>
      </c>
      <c r="AT345" s="3">
        <v>2744</v>
      </c>
      <c r="AU345" s="3">
        <v>2745</v>
      </c>
      <c r="AV345" s="3">
        <v>-4.9400000000000004</v>
      </c>
      <c r="AW345" s="3">
        <v>-4.9880000000000004</v>
      </c>
      <c r="AX345" s="3">
        <v>-3.3929999999999998</v>
      </c>
      <c r="AY345" s="3">
        <v>-3.3879999999999999</v>
      </c>
      <c r="AZ345" s="3">
        <v>-7.75</v>
      </c>
      <c r="BA345" s="3">
        <v>-8.01</v>
      </c>
      <c r="BB345" s="3">
        <v>13.16</v>
      </c>
      <c r="BC345" s="3">
        <v>2876</v>
      </c>
      <c r="BD345" s="3"/>
      <c r="BE345" s="6">
        <f>BE$2-AU345</f>
        <v>765</v>
      </c>
      <c r="BG345" s="16">
        <v>4.7699999999999996</v>
      </c>
      <c r="BH345" s="16">
        <f t="shared" si="194"/>
        <v>9.6353999999999989</v>
      </c>
      <c r="BI345" s="17">
        <f t="shared" si="190"/>
        <v>2.33</v>
      </c>
      <c r="BJ345" s="17">
        <f t="shared" si="191"/>
        <v>4.99</v>
      </c>
      <c r="BL345" s="1">
        <f t="shared" si="195"/>
        <v>99.8</v>
      </c>
      <c r="BM345" s="1">
        <f t="shared" si="196"/>
        <v>98.5</v>
      </c>
      <c r="BN345" s="1">
        <f t="shared" si="197"/>
        <v>94.9</v>
      </c>
      <c r="BO345" s="49">
        <f t="shared" si="203"/>
        <v>0.54900000000000004</v>
      </c>
      <c r="BP345" s="49">
        <f t="shared" si="204"/>
        <v>0.03</v>
      </c>
      <c r="BR345" s="3">
        <v>0</v>
      </c>
      <c r="BT345" s="16">
        <f t="shared" si="198"/>
        <v>2.33</v>
      </c>
      <c r="BU345" s="16">
        <f t="shared" si="199"/>
        <v>4.99</v>
      </c>
      <c r="BV345" s="3">
        <f t="shared" si="200"/>
        <v>-4.5</v>
      </c>
      <c r="BW345" s="3">
        <f t="shared" si="226"/>
        <v>-4.9000000000000004</v>
      </c>
      <c r="BX345" s="3">
        <f t="shared" si="226"/>
        <v>-5.0999999999999996</v>
      </c>
      <c r="BY345" s="3">
        <f t="shared" si="226"/>
        <v>-0.3</v>
      </c>
      <c r="BZ345" s="3">
        <f t="shared" si="226"/>
        <v>-0.5</v>
      </c>
      <c r="CA345" s="3">
        <f t="shared" si="226"/>
        <v>0</v>
      </c>
      <c r="CB345" s="3">
        <f t="shared" si="226"/>
        <v>1.2</v>
      </c>
      <c r="CC345" s="22">
        <f t="shared" si="201"/>
        <v>98.5</v>
      </c>
      <c r="CD345" s="1">
        <f t="shared" si="205"/>
        <v>-0.7</v>
      </c>
      <c r="CE345" s="1">
        <f t="shared" si="206"/>
        <v>-1.7</v>
      </c>
      <c r="CF345" s="1">
        <f t="shared" si="207"/>
        <v>-2.4</v>
      </c>
      <c r="CG345" s="1">
        <f t="shared" si="208"/>
        <v>-0.2</v>
      </c>
      <c r="CH345" s="1">
        <f t="shared" si="209"/>
        <v>-0.4</v>
      </c>
      <c r="CI345" s="1">
        <f t="shared" si="210"/>
        <v>0.2</v>
      </c>
      <c r="CJ345" s="1">
        <f t="shared" si="211"/>
        <v>1.3</v>
      </c>
      <c r="CK345" s="2">
        <f t="shared" si="202"/>
        <v>99.8</v>
      </c>
      <c r="CL345" s="1">
        <f t="shared" si="212"/>
        <v>-7.9</v>
      </c>
      <c r="CM345" s="1">
        <f t="shared" si="213"/>
        <v>-9.1</v>
      </c>
      <c r="CN345" s="1">
        <f t="shared" si="214"/>
        <v>-9.5</v>
      </c>
      <c r="CO345" s="1">
        <f t="shared" si="215"/>
        <v>-0.6</v>
      </c>
      <c r="CP345" s="1">
        <f t="shared" si="216"/>
        <v>-0.7</v>
      </c>
      <c r="CQ345" s="1">
        <f t="shared" si="217"/>
        <v>-0.1</v>
      </c>
      <c r="CR345" s="1">
        <f t="shared" si="218"/>
        <v>1</v>
      </c>
      <c r="CS345" s="2">
        <f t="shared" si="219"/>
        <v>94.9</v>
      </c>
      <c r="CT345" s="6">
        <f t="shared" si="220"/>
        <v>765</v>
      </c>
      <c r="CU345" s="1">
        <f>PPTest!K345</f>
        <v>6</v>
      </c>
      <c r="CV345" s="3">
        <f t="shared" si="221"/>
        <v>0.45</v>
      </c>
      <c r="CW345" s="3">
        <f t="shared" si="222"/>
        <v>0.53</v>
      </c>
      <c r="CX345" s="24">
        <f t="shared" si="223"/>
        <v>0.54900000000000004</v>
      </c>
      <c r="CY345" s="24">
        <f t="shared" si="223"/>
        <v>0.03</v>
      </c>
      <c r="CZ345" s="16">
        <f t="shared" si="224"/>
        <v>13.16</v>
      </c>
    </row>
    <row r="346" spans="1:104" x14ac:dyDescent="0.2">
      <c r="A346" s="14">
        <f t="shared" si="225"/>
        <v>39057</v>
      </c>
      <c r="B346" s="1">
        <v>340</v>
      </c>
      <c r="C346" s="3">
        <v>2.173</v>
      </c>
      <c r="D346" s="3">
        <v>3.6850000000000001</v>
      </c>
      <c r="E346" s="3">
        <v>-3.153</v>
      </c>
      <c r="F346" s="3">
        <v>110.5</v>
      </c>
      <c r="G346" s="3">
        <v>-3.6890000000000001</v>
      </c>
      <c r="H346" s="3">
        <v>-4.0949999999999998</v>
      </c>
      <c r="I346" s="3">
        <v>-0.254</v>
      </c>
      <c r="J346" s="3">
        <v>-0.47399999999999998</v>
      </c>
      <c r="K346" s="3">
        <v>3.2000000000000001E-2</v>
      </c>
      <c r="L346" s="3">
        <v>1.151</v>
      </c>
      <c r="M346" s="3">
        <v>0.69299999999999995</v>
      </c>
      <c r="N346" s="3">
        <v>0</v>
      </c>
      <c r="O346" s="3">
        <v>0.72699999999999998</v>
      </c>
      <c r="P346" s="3">
        <v>1338</v>
      </c>
      <c r="Q346" s="3">
        <v>111.3</v>
      </c>
      <c r="R346" s="3">
        <v>2033</v>
      </c>
      <c r="S346" s="3">
        <v>3.3719999999999999</v>
      </c>
      <c r="T346" s="3">
        <v>1.7629999999999999</v>
      </c>
      <c r="U346" s="3">
        <v>-9.6000000000000002E-2</v>
      </c>
      <c r="V346" s="3">
        <v>-0.34300000000000003</v>
      </c>
      <c r="W346" s="3">
        <v>0.14199999999999999</v>
      </c>
      <c r="X346" s="3">
        <v>1.2609999999999999</v>
      </c>
      <c r="Y346" s="3">
        <v>2.508</v>
      </c>
      <c r="Z346" s="3">
        <v>1636</v>
      </c>
      <c r="AA346" s="3">
        <v>-7.35</v>
      </c>
      <c r="AB346" s="3">
        <v>2308</v>
      </c>
      <c r="AC346" s="3">
        <v>108.9</v>
      </c>
      <c r="AD346" s="3">
        <v>1239</v>
      </c>
      <c r="AE346" s="3">
        <v>-8.8000000000000007</v>
      </c>
      <c r="AF346" s="3">
        <v>-9.75</v>
      </c>
      <c r="AG346" s="3">
        <v>-0.46200000000000002</v>
      </c>
      <c r="AH346" s="3">
        <v>-0.65500000000000003</v>
      </c>
      <c r="AI346" s="3">
        <v>-0.156</v>
      </c>
      <c r="AJ346" s="3">
        <v>0.95899999999999996</v>
      </c>
      <c r="AK346" s="3">
        <v>8.5999999999999993E-2</v>
      </c>
      <c r="AL346" s="3">
        <v>0.33700000000000002</v>
      </c>
      <c r="AM346" s="3">
        <v>0.35499999999999998</v>
      </c>
      <c r="AN346" s="3">
        <v>5.6000000000000001E-2</v>
      </c>
      <c r="AO346" s="3">
        <v>7.8E-2</v>
      </c>
      <c r="AP346" s="3">
        <v>3.9E-2</v>
      </c>
      <c r="AQ346" s="3">
        <v>0.01</v>
      </c>
      <c r="AR346" s="3">
        <v>3.9E-2</v>
      </c>
      <c r="AS346" s="3">
        <v>6983</v>
      </c>
      <c r="AT346" s="3">
        <v>2770</v>
      </c>
      <c r="AU346" s="3">
        <v>4368</v>
      </c>
      <c r="AV346" s="3">
        <v>-4.0110000000000001</v>
      </c>
      <c r="AW346" s="3">
        <v>-4.1529999999999996</v>
      </c>
      <c r="AX346" s="3">
        <v>-1.621</v>
      </c>
      <c r="AY346" s="3">
        <v>-1.5469999999999999</v>
      </c>
      <c r="AZ346" s="3">
        <v>-8.01</v>
      </c>
      <c r="BA346" s="3">
        <v>-8.24</v>
      </c>
      <c r="BB346" s="3">
        <v>13.21</v>
      </c>
      <c r="BC346" s="3">
        <v>2876</v>
      </c>
      <c r="BD346" s="3"/>
      <c r="BE346" s="18">
        <v>750</v>
      </c>
      <c r="BG346" s="16">
        <v>4.71</v>
      </c>
      <c r="BH346" s="16">
        <f t="shared" si="194"/>
        <v>9.5142000000000007</v>
      </c>
      <c r="BI346" s="17">
        <f t="shared" si="190"/>
        <v>2.13</v>
      </c>
      <c r="BJ346" s="17">
        <f t="shared" si="191"/>
        <v>4.05</v>
      </c>
      <c r="BL346" s="1">
        <f t="shared" si="195"/>
        <v>100</v>
      </c>
      <c r="BM346" s="1">
        <f t="shared" si="196"/>
        <v>99</v>
      </c>
      <c r="BN346" s="1">
        <f t="shared" si="197"/>
        <v>96.5</v>
      </c>
      <c r="BO346" s="49">
        <f t="shared" si="203"/>
        <v>0.621</v>
      </c>
      <c r="BP346" s="49">
        <f t="shared" si="204"/>
        <v>2.3E-2</v>
      </c>
      <c r="BR346" s="3">
        <v>0.4</v>
      </c>
      <c r="BT346" s="16">
        <f t="shared" si="198"/>
        <v>2.13</v>
      </c>
      <c r="BU346" s="16">
        <f t="shared" si="199"/>
        <v>4.05</v>
      </c>
      <c r="BV346" s="3">
        <f t="shared" si="200"/>
        <v>-3.2</v>
      </c>
      <c r="BW346" s="3">
        <f t="shared" si="226"/>
        <v>-3.7</v>
      </c>
      <c r="BX346" s="3">
        <f t="shared" si="226"/>
        <v>-4.0999999999999996</v>
      </c>
      <c r="BY346" s="3">
        <f t="shared" si="226"/>
        <v>-0.3</v>
      </c>
      <c r="BZ346" s="3">
        <f t="shared" si="226"/>
        <v>-0.5</v>
      </c>
      <c r="CA346" s="3">
        <f t="shared" si="226"/>
        <v>0</v>
      </c>
      <c r="CB346" s="3">
        <f t="shared" si="226"/>
        <v>1.2</v>
      </c>
      <c r="CC346" s="22">
        <f t="shared" si="201"/>
        <v>99</v>
      </c>
      <c r="CD346" s="1">
        <f t="shared" si="205"/>
        <v>0.7</v>
      </c>
      <c r="CE346" s="1">
        <f t="shared" si="206"/>
        <v>3.4</v>
      </c>
      <c r="CF346" s="1">
        <f t="shared" si="207"/>
        <v>1.8</v>
      </c>
      <c r="CG346" s="1">
        <f t="shared" si="208"/>
        <v>-0.1</v>
      </c>
      <c r="CH346" s="1">
        <f t="shared" si="209"/>
        <v>-0.3</v>
      </c>
      <c r="CI346" s="1">
        <f t="shared" si="210"/>
        <v>0.1</v>
      </c>
      <c r="CJ346" s="1">
        <f t="shared" si="211"/>
        <v>1.3</v>
      </c>
      <c r="CK346" s="2">
        <f t="shared" si="202"/>
        <v>100</v>
      </c>
      <c r="CL346" s="1">
        <f t="shared" si="212"/>
        <v>-7.4</v>
      </c>
      <c r="CM346" s="1">
        <f t="shared" si="213"/>
        <v>-8.8000000000000007</v>
      </c>
      <c r="CN346" s="1">
        <f t="shared" si="214"/>
        <v>-9.8000000000000007</v>
      </c>
      <c r="CO346" s="1">
        <f t="shared" si="215"/>
        <v>-0.5</v>
      </c>
      <c r="CP346" s="1">
        <f t="shared" si="216"/>
        <v>-0.7</v>
      </c>
      <c r="CQ346" s="1">
        <f t="shared" si="217"/>
        <v>-0.2</v>
      </c>
      <c r="CR346" s="1">
        <f t="shared" si="218"/>
        <v>1</v>
      </c>
      <c r="CS346" s="2">
        <f t="shared" si="219"/>
        <v>96.5</v>
      </c>
      <c r="CT346" s="6">
        <f t="shared" si="220"/>
        <v>750</v>
      </c>
      <c r="CU346" s="1">
        <f>PPTest!K346</f>
        <v>0</v>
      </c>
      <c r="CV346" s="3">
        <f t="shared" si="221"/>
        <v>0.69</v>
      </c>
      <c r="CW346" s="3">
        <f t="shared" si="222"/>
        <v>2.5099999999999998</v>
      </c>
      <c r="CX346" s="24">
        <f t="shared" si="223"/>
        <v>0.621</v>
      </c>
      <c r="CY346" s="24">
        <f t="shared" si="223"/>
        <v>2.3E-2</v>
      </c>
      <c r="CZ346" s="16">
        <f t="shared" si="224"/>
        <v>13.21</v>
      </c>
    </row>
    <row r="347" spans="1:104" x14ac:dyDescent="0.2">
      <c r="A347" s="14">
        <f t="shared" si="225"/>
        <v>39058</v>
      </c>
      <c r="B347" s="1">
        <v>341</v>
      </c>
      <c r="C347" s="3">
        <v>1.599</v>
      </c>
      <c r="D347" s="3">
        <v>2.9180000000000001</v>
      </c>
      <c r="E347" s="3">
        <v>-3.6840000000000002</v>
      </c>
      <c r="F347" s="3">
        <v>110.7</v>
      </c>
      <c r="G347" s="3">
        <v>-4.0810000000000004</v>
      </c>
      <c r="H347" s="3">
        <v>-4.2910000000000004</v>
      </c>
      <c r="I347" s="3">
        <v>-0.188</v>
      </c>
      <c r="J347" s="3">
        <v>-0.45600000000000002</v>
      </c>
      <c r="K347" s="3">
        <v>5.7000000000000002E-2</v>
      </c>
      <c r="L347" s="3">
        <v>1.173</v>
      </c>
      <c r="M347" s="3">
        <v>0.72499999999999998</v>
      </c>
      <c r="N347" s="3">
        <v>0</v>
      </c>
      <c r="O347" s="3">
        <v>-0.84599999999999997</v>
      </c>
      <c r="P347" s="3">
        <v>1227</v>
      </c>
      <c r="Q347" s="3">
        <v>111.3</v>
      </c>
      <c r="R347" s="3">
        <v>303</v>
      </c>
      <c r="S347" s="3">
        <v>-1.014</v>
      </c>
      <c r="T347" s="3">
        <v>-0.88300000000000001</v>
      </c>
      <c r="U347" s="3">
        <v>-6.5000000000000002E-2</v>
      </c>
      <c r="V347" s="3">
        <v>-0.35499999999999998</v>
      </c>
      <c r="W347" s="3">
        <v>0.156</v>
      </c>
      <c r="X347" s="3">
        <v>1.262</v>
      </c>
      <c r="Y347" s="3">
        <v>2.6150000000000002</v>
      </c>
      <c r="Z347" s="3">
        <v>632</v>
      </c>
      <c r="AA347" s="3">
        <v>-7.81</v>
      </c>
      <c r="AB347" s="3">
        <v>35</v>
      </c>
      <c r="AC347" s="3">
        <v>109.5</v>
      </c>
      <c r="AD347" s="3">
        <v>112</v>
      </c>
      <c r="AE347" s="3">
        <v>-8.98</v>
      </c>
      <c r="AF347" s="3">
        <v>-10</v>
      </c>
      <c r="AG347" s="3">
        <v>-0.378</v>
      </c>
      <c r="AH347" s="3">
        <v>-0.58599999999999997</v>
      </c>
      <c r="AI347" s="3">
        <v>-3.5000000000000003E-2</v>
      </c>
      <c r="AJ347" s="3">
        <v>1.073</v>
      </c>
      <c r="AK347" s="3">
        <v>0.14399999999999999</v>
      </c>
      <c r="AL347" s="3">
        <v>0.315</v>
      </c>
      <c r="AM347" s="3">
        <v>0.218</v>
      </c>
      <c r="AN347" s="3">
        <v>7.3999999999999996E-2</v>
      </c>
      <c r="AO347" s="3">
        <v>8.5000000000000006E-2</v>
      </c>
      <c r="AP347" s="3">
        <v>5.3999999999999999E-2</v>
      </c>
      <c r="AQ347" s="3">
        <v>4.2000000000000003E-2</v>
      </c>
      <c r="AR347" s="3">
        <v>6.7000000000000004E-2</v>
      </c>
      <c r="AS347" s="3">
        <v>2805</v>
      </c>
      <c r="AT347" s="3">
        <v>2795</v>
      </c>
      <c r="AU347" s="3">
        <v>2798</v>
      </c>
      <c r="AV347" s="3">
        <v>-4.7889999999999997</v>
      </c>
      <c r="AW347" s="3">
        <v>-4.7569999999999997</v>
      </c>
      <c r="AX347" s="3">
        <v>-2.4460000000000002</v>
      </c>
      <c r="AY347" s="3">
        <v>-2.4009999999999998</v>
      </c>
      <c r="AZ347" s="3">
        <v>-8.35</v>
      </c>
      <c r="BA347" s="3">
        <v>-8.6</v>
      </c>
      <c r="BB347" s="3">
        <v>13.04</v>
      </c>
      <c r="BC347" s="3">
        <v>2876</v>
      </c>
      <c r="BD347" s="3"/>
      <c r="BE347" s="6">
        <f>BE$2-AU347</f>
        <v>712</v>
      </c>
      <c r="BG347" s="16">
        <v>4.67</v>
      </c>
      <c r="BH347" s="16">
        <f t="shared" si="194"/>
        <v>9.4334000000000007</v>
      </c>
      <c r="BI347" s="17">
        <f t="shared" si="190"/>
        <v>1.57</v>
      </c>
      <c r="BJ347" s="17">
        <f t="shared" si="191"/>
        <v>3.21</v>
      </c>
      <c r="BL347" s="1">
        <f t="shared" si="195"/>
        <v>100</v>
      </c>
      <c r="BM347" s="1">
        <f t="shared" si="196"/>
        <v>99.3</v>
      </c>
      <c r="BN347" s="1">
        <f t="shared" si="197"/>
        <v>97.4</v>
      </c>
      <c r="BO347" s="49">
        <f t="shared" si="203"/>
        <v>0.55900000000000005</v>
      </c>
      <c r="BP347" s="49">
        <f t="shared" si="204"/>
        <v>1.4999999999999999E-2</v>
      </c>
      <c r="BR347" s="3">
        <v>0</v>
      </c>
      <c r="BT347" s="16">
        <f t="shared" si="198"/>
        <v>1.57</v>
      </c>
      <c r="BU347" s="16">
        <f t="shared" si="199"/>
        <v>3.21</v>
      </c>
      <c r="BV347" s="3">
        <f t="shared" si="200"/>
        <v>-3.7</v>
      </c>
      <c r="BW347" s="3">
        <f t="shared" si="226"/>
        <v>-4.0999999999999996</v>
      </c>
      <c r="BX347" s="3">
        <f t="shared" si="226"/>
        <v>-4.3</v>
      </c>
      <c r="BY347" s="3">
        <f t="shared" si="226"/>
        <v>-0.2</v>
      </c>
      <c r="BZ347" s="3">
        <f t="shared" si="226"/>
        <v>-0.5</v>
      </c>
      <c r="CA347" s="3">
        <f t="shared" si="226"/>
        <v>0.1</v>
      </c>
      <c r="CB347" s="3">
        <f t="shared" si="226"/>
        <v>1.2</v>
      </c>
      <c r="CC347" s="22">
        <f t="shared" si="201"/>
        <v>99.3</v>
      </c>
      <c r="CD347" s="1">
        <f t="shared" si="205"/>
        <v>-0.8</v>
      </c>
      <c r="CE347" s="1">
        <f t="shared" si="206"/>
        <v>-1</v>
      </c>
      <c r="CF347" s="1">
        <f t="shared" si="207"/>
        <v>-0.9</v>
      </c>
      <c r="CG347" s="1">
        <f t="shared" si="208"/>
        <v>-0.1</v>
      </c>
      <c r="CH347" s="1">
        <f t="shared" si="209"/>
        <v>-0.4</v>
      </c>
      <c r="CI347" s="1">
        <f t="shared" si="210"/>
        <v>0.2</v>
      </c>
      <c r="CJ347" s="1">
        <f t="shared" si="211"/>
        <v>1.3</v>
      </c>
      <c r="CK347" s="2">
        <f t="shared" si="202"/>
        <v>100</v>
      </c>
      <c r="CL347" s="1">
        <f t="shared" si="212"/>
        <v>-7.8</v>
      </c>
      <c r="CM347" s="1">
        <f t="shared" si="213"/>
        <v>-9</v>
      </c>
      <c r="CN347" s="1">
        <f t="shared" si="214"/>
        <v>-10</v>
      </c>
      <c r="CO347" s="1">
        <f t="shared" si="215"/>
        <v>-0.4</v>
      </c>
      <c r="CP347" s="1">
        <f t="shared" si="216"/>
        <v>-0.6</v>
      </c>
      <c r="CQ347" s="1">
        <f t="shared" si="217"/>
        <v>0</v>
      </c>
      <c r="CR347" s="1">
        <f t="shared" si="218"/>
        <v>1.1000000000000001</v>
      </c>
      <c r="CS347" s="2">
        <f t="shared" si="219"/>
        <v>97.4</v>
      </c>
      <c r="CT347" s="6">
        <f t="shared" si="220"/>
        <v>712</v>
      </c>
      <c r="CU347" s="1">
        <f>PPTest!K347</f>
        <v>0</v>
      </c>
      <c r="CV347" s="3">
        <f t="shared" si="221"/>
        <v>0.73</v>
      </c>
      <c r="CW347" s="3">
        <f t="shared" si="222"/>
        <v>2.62</v>
      </c>
      <c r="CX347" s="24">
        <f t="shared" si="223"/>
        <v>0.55900000000000005</v>
      </c>
      <c r="CY347" s="24">
        <f t="shared" si="223"/>
        <v>1.4999999999999999E-2</v>
      </c>
      <c r="CZ347" s="16">
        <f t="shared" si="224"/>
        <v>13.04</v>
      </c>
    </row>
    <row r="348" spans="1:104" x14ac:dyDescent="0.2">
      <c r="A348" s="14">
        <f t="shared" si="225"/>
        <v>39059</v>
      </c>
      <c r="B348" s="1">
        <v>342</v>
      </c>
      <c r="C348" s="3">
        <v>0.69299999999999995</v>
      </c>
      <c r="D348" s="3">
        <v>0.99199999999999999</v>
      </c>
      <c r="E348" s="3">
        <v>-1.6659999999999999</v>
      </c>
      <c r="F348" s="3">
        <v>110.7</v>
      </c>
      <c r="G348" s="3">
        <v>-1.84</v>
      </c>
      <c r="H348" s="3">
        <v>-1.992</v>
      </c>
      <c r="I348" s="3">
        <v>-9.7000000000000003E-2</v>
      </c>
      <c r="J348" s="3">
        <v>-0.34399999999999997</v>
      </c>
      <c r="K348" s="3">
        <v>6.6000000000000003E-2</v>
      </c>
      <c r="L348" s="3">
        <v>1.1739999999999999</v>
      </c>
      <c r="M348" s="3">
        <v>0.76</v>
      </c>
      <c r="N348" s="3">
        <v>0</v>
      </c>
      <c r="O348" s="3">
        <v>-2.3E-2</v>
      </c>
      <c r="P348" s="3">
        <v>1103</v>
      </c>
      <c r="Q348" s="3">
        <v>111.1</v>
      </c>
      <c r="R348" s="3">
        <v>2327</v>
      </c>
      <c r="S348" s="3">
        <v>1.385</v>
      </c>
      <c r="T348" s="3">
        <v>1.1919999999999999</v>
      </c>
      <c r="U348" s="3">
        <v>-2.3E-2</v>
      </c>
      <c r="V348" s="3">
        <v>-0.27300000000000002</v>
      </c>
      <c r="W348" s="3">
        <v>0.126</v>
      </c>
      <c r="X348" s="3">
        <v>1.2350000000000001</v>
      </c>
      <c r="Y348" s="3">
        <v>4.4640000000000004</v>
      </c>
      <c r="Z348" s="3">
        <v>1151</v>
      </c>
      <c r="AA348" s="3">
        <v>-2.8679999999999999</v>
      </c>
      <c r="AB348" s="3">
        <v>641</v>
      </c>
      <c r="AC348" s="3">
        <v>106.9</v>
      </c>
      <c r="AD348" s="3">
        <v>1157</v>
      </c>
      <c r="AE348" s="3">
        <v>-3.93</v>
      </c>
      <c r="AF348" s="3">
        <v>-4.8339999999999996</v>
      </c>
      <c r="AG348" s="3">
        <v>-0.252</v>
      </c>
      <c r="AH348" s="3">
        <v>-0.44</v>
      </c>
      <c r="AI348" s="3">
        <v>-4.2999999999999997E-2</v>
      </c>
      <c r="AJ348" s="3">
        <v>1.0680000000000001</v>
      </c>
      <c r="AK348" s="3">
        <v>0.182</v>
      </c>
      <c r="AL348" s="3">
        <v>0.193</v>
      </c>
      <c r="AM348" s="3">
        <v>0.16</v>
      </c>
      <c r="AN348" s="3">
        <v>0.09</v>
      </c>
      <c r="AO348" s="3">
        <v>0.1</v>
      </c>
      <c r="AP348" s="3">
        <v>9.6000000000000002E-2</v>
      </c>
      <c r="AQ348" s="3">
        <v>7.8E-2</v>
      </c>
      <c r="AR348" s="3">
        <v>0.10100000000000001</v>
      </c>
      <c r="AS348" s="3">
        <v>6999</v>
      </c>
      <c r="AT348" s="3">
        <v>2807</v>
      </c>
      <c r="AU348" s="3">
        <v>3706</v>
      </c>
      <c r="AV348" s="3">
        <v>-2.1320000000000001</v>
      </c>
      <c r="AW348" s="3">
        <v>-2.1829999999999998</v>
      </c>
      <c r="AX348" s="3">
        <v>-1.0840000000000001</v>
      </c>
      <c r="AY348" s="3">
        <v>-1.075</v>
      </c>
      <c r="AZ348" s="3">
        <v>-3.294</v>
      </c>
      <c r="BA348" s="3">
        <v>-3.5009999999999999</v>
      </c>
      <c r="BB348" s="3">
        <v>12.7</v>
      </c>
      <c r="BC348" s="3">
        <v>2876</v>
      </c>
      <c r="BD348" s="3"/>
      <c r="BE348" s="18">
        <v>720</v>
      </c>
      <c r="BG348" s="16">
        <v>4.63</v>
      </c>
      <c r="BH348" s="16">
        <f t="shared" si="194"/>
        <v>9.3526000000000007</v>
      </c>
      <c r="BI348" s="17">
        <f t="shared" si="190"/>
        <v>0.68</v>
      </c>
      <c r="BJ348" s="17">
        <f t="shared" si="191"/>
        <v>1.0900000000000001</v>
      </c>
      <c r="BL348" s="1">
        <f t="shared" si="195"/>
        <v>100</v>
      </c>
      <c r="BM348" s="1">
        <f t="shared" si="196"/>
        <v>99.3</v>
      </c>
      <c r="BN348" s="1">
        <f t="shared" si="197"/>
        <v>93.3</v>
      </c>
      <c r="BO348" s="49">
        <f t="shared" si="203"/>
        <v>0.56899999999999995</v>
      </c>
      <c r="BP348" s="49">
        <f t="shared" si="204"/>
        <v>4.1000000000000002E-2</v>
      </c>
      <c r="BR348" s="3">
        <v>0</v>
      </c>
      <c r="BT348" s="16">
        <f t="shared" si="198"/>
        <v>0.68</v>
      </c>
      <c r="BU348" s="16">
        <f t="shared" si="199"/>
        <v>1.0900000000000001</v>
      </c>
      <c r="BV348" s="3">
        <f t="shared" si="200"/>
        <v>-1.7</v>
      </c>
      <c r="BW348" s="3">
        <f t="shared" si="226"/>
        <v>-1.8</v>
      </c>
      <c r="BX348" s="3">
        <f t="shared" si="226"/>
        <v>-2</v>
      </c>
      <c r="BY348" s="3">
        <f t="shared" si="226"/>
        <v>-0.1</v>
      </c>
      <c r="BZ348" s="3">
        <f t="shared" si="226"/>
        <v>-0.3</v>
      </c>
      <c r="CA348" s="3">
        <f t="shared" si="226"/>
        <v>0.1</v>
      </c>
      <c r="CB348" s="3">
        <f t="shared" si="226"/>
        <v>1.2</v>
      </c>
      <c r="CC348" s="22">
        <f t="shared" si="201"/>
        <v>99.3</v>
      </c>
      <c r="CD348" s="1">
        <f t="shared" si="205"/>
        <v>0</v>
      </c>
      <c r="CE348" s="1">
        <f t="shared" si="206"/>
        <v>1.4</v>
      </c>
      <c r="CF348" s="1">
        <f t="shared" si="207"/>
        <v>1.2</v>
      </c>
      <c r="CG348" s="1">
        <f t="shared" si="208"/>
        <v>0</v>
      </c>
      <c r="CH348" s="1">
        <f t="shared" si="209"/>
        <v>-0.3</v>
      </c>
      <c r="CI348" s="1">
        <f t="shared" si="210"/>
        <v>0.1</v>
      </c>
      <c r="CJ348" s="1">
        <f t="shared" si="211"/>
        <v>1.2</v>
      </c>
      <c r="CK348" s="2">
        <f t="shared" si="202"/>
        <v>100</v>
      </c>
      <c r="CL348" s="1">
        <f t="shared" si="212"/>
        <v>-2.9</v>
      </c>
      <c r="CM348" s="1">
        <f t="shared" si="213"/>
        <v>-3.9</v>
      </c>
      <c r="CN348" s="1">
        <f t="shared" si="214"/>
        <v>-4.8</v>
      </c>
      <c r="CO348" s="1">
        <f t="shared" si="215"/>
        <v>-0.3</v>
      </c>
      <c r="CP348" s="1">
        <f t="shared" si="216"/>
        <v>-0.4</v>
      </c>
      <c r="CQ348" s="1">
        <f t="shared" si="217"/>
        <v>0</v>
      </c>
      <c r="CR348" s="1">
        <f t="shared" si="218"/>
        <v>1.1000000000000001</v>
      </c>
      <c r="CS348" s="2">
        <f t="shared" si="219"/>
        <v>93.3</v>
      </c>
      <c r="CT348" s="6">
        <f t="shared" si="220"/>
        <v>720</v>
      </c>
      <c r="CU348" s="1">
        <f>PPTest!K348</f>
        <v>1</v>
      </c>
      <c r="CV348" s="3">
        <f t="shared" si="221"/>
        <v>0.76</v>
      </c>
      <c r="CW348" s="3">
        <f t="shared" si="222"/>
        <v>4.46</v>
      </c>
      <c r="CX348" s="24">
        <f t="shared" si="223"/>
        <v>0.56899999999999995</v>
      </c>
      <c r="CY348" s="24">
        <f t="shared" si="223"/>
        <v>4.1000000000000002E-2</v>
      </c>
      <c r="CZ348" s="16">
        <f t="shared" si="224"/>
        <v>12.7</v>
      </c>
    </row>
    <row r="349" spans="1:104" x14ac:dyDescent="0.2">
      <c r="A349" s="14">
        <f t="shared" si="225"/>
        <v>39060</v>
      </c>
      <c r="B349" s="1">
        <v>343</v>
      </c>
      <c r="C349" s="3">
        <v>1.869</v>
      </c>
      <c r="D349" s="3">
        <v>3.137</v>
      </c>
      <c r="E349" s="3">
        <v>-0.84799999999999998</v>
      </c>
      <c r="F349" s="3">
        <v>104.7</v>
      </c>
      <c r="G349" s="3">
        <v>-1.2809999999999999</v>
      </c>
      <c r="H349" s="3">
        <v>-1.5680000000000001</v>
      </c>
      <c r="I349" s="3">
        <v>3.0000000000000001E-3</v>
      </c>
      <c r="J349" s="3">
        <v>-0.314</v>
      </c>
      <c r="K349" s="3">
        <v>7.6999999999999999E-2</v>
      </c>
      <c r="L349" s="3">
        <v>1.1739999999999999</v>
      </c>
      <c r="M349" s="3">
        <v>1.2450000000000001</v>
      </c>
      <c r="N349" s="3">
        <v>0</v>
      </c>
      <c r="O349" s="3">
        <v>2.8780000000000001</v>
      </c>
      <c r="P349" s="3">
        <v>1235</v>
      </c>
      <c r="Q349" s="3">
        <v>111</v>
      </c>
      <c r="R349" s="3">
        <v>107</v>
      </c>
      <c r="S349" s="3">
        <v>3.5129999999999999</v>
      </c>
      <c r="T349" s="3">
        <v>3.3050000000000002</v>
      </c>
      <c r="U349" s="3">
        <v>0.18</v>
      </c>
      <c r="V349" s="3">
        <v>-0.187</v>
      </c>
      <c r="W349" s="3">
        <v>0.20499999999999999</v>
      </c>
      <c r="X349" s="3">
        <v>1.2969999999999999</v>
      </c>
      <c r="Y349" s="3">
        <v>3.8250000000000002</v>
      </c>
      <c r="Z349" s="3">
        <v>1352</v>
      </c>
      <c r="AA349" s="3">
        <v>-3.4049999999999998</v>
      </c>
      <c r="AB349" s="3">
        <v>525</v>
      </c>
      <c r="AC349" s="3">
        <v>75.7</v>
      </c>
      <c r="AD349" s="3">
        <v>1231</v>
      </c>
      <c r="AE349" s="3">
        <v>-4.8630000000000004</v>
      </c>
      <c r="AF349" s="3">
        <v>-5.726</v>
      </c>
      <c r="AG349" s="3">
        <v>-0.23</v>
      </c>
      <c r="AH349" s="3">
        <v>-0.47899999999999998</v>
      </c>
      <c r="AI349" s="3">
        <v>-0.06</v>
      </c>
      <c r="AJ349" s="3">
        <v>1.0329999999999999</v>
      </c>
      <c r="AK349" s="3">
        <v>0.20599999999999999</v>
      </c>
      <c r="AL349" s="3">
        <v>0.17</v>
      </c>
      <c r="AM349" s="3">
        <v>0.14000000000000001</v>
      </c>
      <c r="AN349" s="3">
        <v>9.7000000000000003E-2</v>
      </c>
      <c r="AO349" s="3">
        <v>9.8000000000000004E-2</v>
      </c>
      <c r="AP349" s="3">
        <v>9.6000000000000002E-2</v>
      </c>
      <c r="AQ349" s="3">
        <v>7.1999999999999995E-2</v>
      </c>
      <c r="AR349" s="3">
        <v>0.122</v>
      </c>
      <c r="AS349" s="3">
        <v>6999</v>
      </c>
      <c r="AT349" s="3">
        <v>2830</v>
      </c>
      <c r="AU349" s="3">
        <v>4465</v>
      </c>
      <c r="AV349" s="3">
        <v>-2.2879999999999998</v>
      </c>
      <c r="AW349" s="3">
        <v>-2.3050000000000002</v>
      </c>
      <c r="AX349" s="3">
        <v>-0.11899999999999999</v>
      </c>
      <c r="AY349" s="3">
        <v>-5.8000000000000003E-2</v>
      </c>
      <c r="AZ349" s="3">
        <v>-4.3310000000000004</v>
      </c>
      <c r="BA349" s="3">
        <v>-4.5309999999999997</v>
      </c>
      <c r="BB349" s="3">
        <v>12.83</v>
      </c>
      <c r="BC349" s="3">
        <v>2876</v>
      </c>
      <c r="BD349" s="3"/>
      <c r="BE349" s="18">
        <v>740</v>
      </c>
      <c r="BG349" s="16">
        <v>4.59</v>
      </c>
      <c r="BH349" s="16">
        <f t="shared" si="194"/>
        <v>9.2717999999999989</v>
      </c>
      <c r="BI349" s="17">
        <f t="shared" si="190"/>
        <v>1.83</v>
      </c>
      <c r="BJ349" s="17">
        <f t="shared" si="191"/>
        <v>3.45</v>
      </c>
      <c r="BL349" s="1">
        <f t="shared" si="195"/>
        <v>99.8</v>
      </c>
      <c r="BM349" s="1">
        <f t="shared" si="196"/>
        <v>89.8</v>
      </c>
      <c r="BN349" s="1">
        <f t="shared" si="197"/>
        <v>59.6</v>
      </c>
      <c r="BO349" s="49">
        <f t="shared" si="203"/>
        <v>0.44800000000000001</v>
      </c>
      <c r="BP349" s="49">
        <f t="shared" si="204"/>
        <v>0.30399999999999999</v>
      </c>
      <c r="BR349" s="3">
        <v>1.2</v>
      </c>
      <c r="BT349" s="16">
        <f t="shared" si="198"/>
        <v>1.83</v>
      </c>
      <c r="BU349" s="16">
        <f t="shared" si="199"/>
        <v>3.45</v>
      </c>
      <c r="BV349" s="3">
        <f t="shared" si="200"/>
        <v>-0.8</v>
      </c>
      <c r="BW349" s="3">
        <f t="shared" si="226"/>
        <v>-1.3</v>
      </c>
      <c r="BX349" s="3">
        <f t="shared" si="226"/>
        <v>-1.6</v>
      </c>
      <c r="BY349" s="3">
        <f t="shared" si="226"/>
        <v>0</v>
      </c>
      <c r="BZ349" s="3">
        <f t="shared" si="226"/>
        <v>-0.3</v>
      </c>
      <c r="CA349" s="3">
        <f t="shared" si="226"/>
        <v>0.1</v>
      </c>
      <c r="CB349" s="3">
        <f t="shared" si="226"/>
        <v>1.2</v>
      </c>
      <c r="CC349" s="22">
        <f t="shared" si="201"/>
        <v>89.8</v>
      </c>
      <c r="CD349" s="1">
        <f t="shared" si="205"/>
        <v>2.9</v>
      </c>
      <c r="CE349" s="1">
        <f t="shared" si="206"/>
        <v>3.5</v>
      </c>
      <c r="CF349" s="1">
        <f t="shared" si="207"/>
        <v>3.3</v>
      </c>
      <c r="CG349" s="1">
        <f t="shared" si="208"/>
        <v>0.2</v>
      </c>
      <c r="CH349" s="1">
        <f t="shared" si="209"/>
        <v>-0.2</v>
      </c>
      <c r="CI349" s="1">
        <f t="shared" si="210"/>
        <v>0.2</v>
      </c>
      <c r="CJ349" s="1">
        <f t="shared" si="211"/>
        <v>1.3</v>
      </c>
      <c r="CK349" s="2">
        <f t="shared" si="202"/>
        <v>99.8</v>
      </c>
      <c r="CL349" s="1">
        <f t="shared" si="212"/>
        <v>-3.4</v>
      </c>
      <c r="CM349" s="1">
        <f t="shared" si="213"/>
        <v>-4.9000000000000004</v>
      </c>
      <c r="CN349" s="1">
        <f t="shared" si="214"/>
        <v>-5.7</v>
      </c>
      <c r="CO349" s="1">
        <f t="shared" si="215"/>
        <v>-0.2</v>
      </c>
      <c r="CP349" s="1">
        <f t="shared" si="216"/>
        <v>-0.5</v>
      </c>
      <c r="CQ349" s="1">
        <f t="shared" si="217"/>
        <v>-0.1</v>
      </c>
      <c r="CR349" s="1">
        <f t="shared" si="218"/>
        <v>1</v>
      </c>
      <c r="CS349" s="2">
        <f t="shared" si="219"/>
        <v>59.6</v>
      </c>
      <c r="CT349" s="6">
        <f t="shared" si="220"/>
        <v>740</v>
      </c>
      <c r="CU349" s="1">
        <f>PPTest!K349</f>
        <v>2.6</v>
      </c>
      <c r="CV349" s="3">
        <f t="shared" si="221"/>
        <v>1.25</v>
      </c>
      <c r="CW349" s="3">
        <f t="shared" si="222"/>
        <v>3.83</v>
      </c>
      <c r="CX349" s="24">
        <f t="shared" si="223"/>
        <v>0.44800000000000001</v>
      </c>
      <c r="CY349" s="24">
        <f t="shared" si="223"/>
        <v>0.30399999999999999</v>
      </c>
      <c r="CZ349" s="16">
        <f t="shared" si="224"/>
        <v>12.83</v>
      </c>
    </row>
    <row r="350" spans="1:104" x14ac:dyDescent="0.2">
      <c r="A350" s="14">
        <f t="shared" si="225"/>
        <v>39061</v>
      </c>
      <c r="B350" s="1">
        <v>344</v>
      </c>
      <c r="C350" s="3">
        <v>2.9089999999999998</v>
      </c>
      <c r="D350" s="3">
        <v>5.1580000000000004</v>
      </c>
      <c r="E350" s="3">
        <v>-0.622</v>
      </c>
      <c r="F350" s="3">
        <v>104.8</v>
      </c>
      <c r="G350" s="3">
        <v>-1.0529999999999999</v>
      </c>
      <c r="H350" s="3">
        <v>-1.226</v>
      </c>
      <c r="I350" s="3">
        <v>0.129</v>
      </c>
      <c r="J350" s="3">
        <v>-0.28100000000000003</v>
      </c>
      <c r="K350" s="3">
        <v>8.3000000000000004E-2</v>
      </c>
      <c r="L350" s="3">
        <v>1.1679999999999999</v>
      </c>
      <c r="M350" s="3">
        <v>1.151</v>
      </c>
      <c r="N350" s="3">
        <v>0</v>
      </c>
      <c r="O350" s="3">
        <v>2.581</v>
      </c>
      <c r="P350" s="3">
        <v>1245</v>
      </c>
      <c r="Q350" s="3">
        <v>111</v>
      </c>
      <c r="R350" s="3">
        <v>1936</v>
      </c>
      <c r="S350" s="3">
        <v>3.6160000000000001</v>
      </c>
      <c r="T350" s="3">
        <v>3.5680000000000001</v>
      </c>
      <c r="U350" s="3">
        <v>0.29299999999999998</v>
      </c>
      <c r="V350" s="3">
        <v>-0.13200000000000001</v>
      </c>
      <c r="W350" s="3">
        <v>0.215</v>
      </c>
      <c r="X350" s="3">
        <v>1.3080000000000001</v>
      </c>
      <c r="Y350" s="3">
        <v>3.9580000000000002</v>
      </c>
      <c r="Z350" s="3">
        <v>346</v>
      </c>
      <c r="AA350" s="3">
        <v>-3.4350000000000001</v>
      </c>
      <c r="AB350" s="3">
        <v>529</v>
      </c>
      <c r="AC350" s="3">
        <v>92.5</v>
      </c>
      <c r="AD350" s="3">
        <v>1245</v>
      </c>
      <c r="AE350" s="3">
        <v>-4.8760000000000003</v>
      </c>
      <c r="AF350" s="3">
        <v>-5.5730000000000004</v>
      </c>
      <c r="AG350" s="3">
        <v>-0.151</v>
      </c>
      <c r="AH350" s="3">
        <v>-0.503</v>
      </c>
      <c r="AI350" s="3">
        <v>-0.11700000000000001</v>
      </c>
      <c r="AJ350" s="3">
        <v>0.98299999999999998</v>
      </c>
      <c r="AK350" s="3">
        <v>0.129</v>
      </c>
      <c r="AL350" s="3">
        <v>0.17199999999999999</v>
      </c>
      <c r="AM350" s="3">
        <v>0.11799999999999999</v>
      </c>
      <c r="AN350" s="3">
        <v>0.09</v>
      </c>
      <c r="AO350" s="3">
        <v>0.122</v>
      </c>
      <c r="AP350" s="3">
        <v>0.14000000000000001</v>
      </c>
      <c r="AQ350" s="3">
        <v>0.13300000000000001</v>
      </c>
      <c r="AR350" s="3">
        <v>9.4E-2</v>
      </c>
      <c r="AS350" s="3">
        <v>6999</v>
      </c>
      <c r="AT350" s="3">
        <v>6365</v>
      </c>
      <c r="AU350" s="3">
        <v>6999</v>
      </c>
      <c r="AV350" s="3">
        <v>-1.72</v>
      </c>
      <c r="AW350" s="3">
        <v>-1.7729999999999999</v>
      </c>
      <c r="AX350" s="3">
        <v>0.15</v>
      </c>
      <c r="AY350" s="3">
        <v>0.249</v>
      </c>
      <c r="AZ350" s="3">
        <v>-4.2690000000000001</v>
      </c>
      <c r="BA350" s="3">
        <v>-4.4930000000000003</v>
      </c>
      <c r="BB350" s="3">
        <v>13.1</v>
      </c>
      <c r="BC350" s="3">
        <v>2876</v>
      </c>
      <c r="BD350" s="3"/>
      <c r="BE350" s="18">
        <v>750</v>
      </c>
      <c r="BG350" s="16">
        <v>4.55</v>
      </c>
      <c r="BH350" s="16">
        <f t="shared" si="194"/>
        <v>9.1909999999999989</v>
      </c>
      <c r="BI350" s="17">
        <f t="shared" si="190"/>
        <v>2.85</v>
      </c>
      <c r="BJ350" s="17">
        <f t="shared" si="191"/>
        <v>5.67</v>
      </c>
      <c r="BL350" s="1">
        <f t="shared" si="195"/>
        <v>99.8</v>
      </c>
      <c r="BM350" s="1">
        <f t="shared" si="196"/>
        <v>89.9</v>
      </c>
      <c r="BN350" s="1">
        <f t="shared" si="197"/>
        <v>74.400000000000006</v>
      </c>
      <c r="BO350" s="49">
        <f t="shared" si="203"/>
        <v>0.54700000000000004</v>
      </c>
      <c r="BP350" s="49">
        <f t="shared" si="204"/>
        <v>0.188</v>
      </c>
      <c r="BR350" s="3">
        <v>1.4</v>
      </c>
      <c r="BT350" s="16">
        <f t="shared" si="198"/>
        <v>2.85</v>
      </c>
      <c r="BU350" s="16">
        <f t="shared" si="199"/>
        <v>5.67</v>
      </c>
      <c r="BV350" s="3">
        <f t="shared" si="200"/>
        <v>-0.6</v>
      </c>
      <c r="BW350" s="3">
        <f t="shared" si="226"/>
        <v>-1.1000000000000001</v>
      </c>
      <c r="BX350" s="3">
        <f t="shared" si="226"/>
        <v>-1.2</v>
      </c>
      <c r="BY350" s="3">
        <f t="shared" si="226"/>
        <v>0.1</v>
      </c>
      <c r="BZ350" s="3">
        <f t="shared" si="226"/>
        <v>-0.3</v>
      </c>
      <c r="CA350" s="3">
        <f t="shared" si="226"/>
        <v>0.1</v>
      </c>
      <c r="CB350" s="3">
        <f t="shared" si="226"/>
        <v>1.2</v>
      </c>
      <c r="CC350" s="22">
        <f t="shared" si="201"/>
        <v>89.9</v>
      </c>
      <c r="CD350" s="1">
        <f t="shared" si="205"/>
        <v>2.6</v>
      </c>
      <c r="CE350" s="1">
        <f t="shared" si="206"/>
        <v>3.6</v>
      </c>
      <c r="CF350" s="1">
        <f t="shared" si="207"/>
        <v>3.6</v>
      </c>
      <c r="CG350" s="1">
        <f t="shared" si="208"/>
        <v>0.3</v>
      </c>
      <c r="CH350" s="1">
        <f t="shared" si="209"/>
        <v>-0.1</v>
      </c>
      <c r="CI350" s="1">
        <f t="shared" si="210"/>
        <v>0.2</v>
      </c>
      <c r="CJ350" s="1">
        <f t="shared" si="211"/>
        <v>1.3</v>
      </c>
      <c r="CK350" s="2">
        <f t="shared" si="202"/>
        <v>99.8</v>
      </c>
      <c r="CL350" s="1">
        <f t="shared" si="212"/>
        <v>-3.4</v>
      </c>
      <c r="CM350" s="1">
        <f t="shared" si="213"/>
        <v>-4.9000000000000004</v>
      </c>
      <c r="CN350" s="1">
        <f t="shared" si="214"/>
        <v>-5.6</v>
      </c>
      <c r="CO350" s="1">
        <f t="shared" si="215"/>
        <v>-0.2</v>
      </c>
      <c r="CP350" s="1">
        <f t="shared" si="216"/>
        <v>-0.5</v>
      </c>
      <c r="CQ350" s="1">
        <f t="shared" si="217"/>
        <v>-0.1</v>
      </c>
      <c r="CR350" s="1">
        <f t="shared" si="218"/>
        <v>1</v>
      </c>
      <c r="CS350" s="2">
        <f t="shared" si="219"/>
        <v>74.400000000000006</v>
      </c>
      <c r="CT350" s="6">
        <f t="shared" si="220"/>
        <v>750</v>
      </c>
      <c r="CU350" s="1">
        <f>PPTest!K350</f>
        <v>1.3</v>
      </c>
      <c r="CV350" s="3">
        <f t="shared" si="221"/>
        <v>1.1499999999999999</v>
      </c>
      <c r="CW350" s="3">
        <f t="shared" si="222"/>
        <v>3.96</v>
      </c>
      <c r="CX350" s="24">
        <f t="shared" si="223"/>
        <v>0.54700000000000004</v>
      </c>
      <c r="CY350" s="24">
        <f t="shared" si="223"/>
        <v>0.188</v>
      </c>
      <c r="CZ350" s="16">
        <f t="shared" si="224"/>
        <v>13.1</v>
      </c>
    </row>
    <row r="351" spans="1:104" x14ac:dyDescent="0.2">
      <c r="A351" s="14">
        <f t="shared" si="225"/>
        <v>39062</v>
      </c>
      <c r="B351" s="1">
        <v>345</v>
      </c>
      <c r="C351" s="3">
        <v>0.33</v>
      </c>
      <c r="D351" s="3">
        <v>0.55800000000000005</v>
      </c>
      <c r="E351" s="3">
        <v>-1.012</v>
      </c>
      <c r="F351" s="3">
        <v>105.1</v>
      </c>
      <c r="G351" s="3">
        <v>-1.1739999999999999</v>
      </c>
      <c r="H351" s="3">
        <v>-1.234</v>
      </c>
      <c r="I351" s="3">
        <v>0.127</v>
      </c>
      <c r="J351" s="3">
        <v>-0.26100000000000001</v>
      </c>
      <c r="K351" s="3">
        <v>8.5000000000000006E-2</v>
      </c>
      <c r="L351" s="3">
        <v>1.159</v>
      </c>
      <c r="M351" s="3">
        <v>2.0329999999999999</v>
      </c>
      <c r="N351" s="3">
        <v>0</v>
      </c>
      <c r="O351" s="3">
        <v>-0.28399999999999997</v>
      </c>
      <c r="P351" s="3">
        <v>1313</v>
      </c>
      <c r="Q351" s="3">
        <v>110.5</v>
      </c>
      <c r="R351" s="3">
        <v>1644</v>
      </c>
      <c r="S351" s="3">
        <v>-9.8000000000000004E-2</v>
      </c>
      <c r="T351" s="3">
        <v>-0.109</v>
      </c>
      <c r="U351" s="3">
        <v>0.22700000000000001</v>
      </c>
      <c r="V351" s="3">
        <v>-0.21099999999999999</v>
      </c>
      <c r="W351" s="3">
        <v>0.13600000000000001</v>
      </c>
      <c r="X351" s="3">
        <v>1.212</v>
      </c>
      <c r="Y351" s="3">
        <v>6.0730000000000004</v>
      </c>
      <c r="Z351" s="3">
        <v>2222</v>
      </c>
      <c r="AA351" s="3">
        <v>-1.7609999999999999</v>
      </c>
      <c r="AB351" s="3">
        <v>437</v>
      </c>
      <c r="AC351" s="3">
        <v>96.1</v>
      </c>
      <c r="AD351" s="3">
        <v>2326</v>
      </c>
      <c r="AE351" s="3">
        <v>-2.278</v>
      </c>
      <c r="AF351" s="3">
        <v>-2.87</v>
      </c>
      <c r="AG351" s="3">
        <v>-3.7999999999999999E-2</v>
      </c>
      <c r="AH351" s="3">
        <v>-0.34</v>
      </c>
      <c r="AI351" s="3">
        <v>1.2999999999999999E-2</v>
      </c>
      <c r="AJ351" s="3">
        <v>1.0860000000000001</v>
      </c>
      <c r="AK351" s="3">
        <v>0.11</v>
      </c>
      <c r="AL351" s="3">
        <v>8.4000000000000005E-2</v>
      </c>
      <c r="AM351" s="3">
        <v>0.10100000000000001</v>
      </c>
      <c r="AN351" s="3">
        <v>9.5000000000000001E-2</v>
      </c>
      <c r="AO351" s="3">
        <v>0.152</v>
      </c>
      <c r="AP351" s="3">
        <v>0.13700000000000001</v>
      </c>
      <c r="AQ351" s="3">
        <v>0.151</v>
      </c>
      <c r="AR351" s="3">
        <v>0.17</v>
      </c>
      <c r="AS351" s="3">
        <v>2739</v>
      </c>
      <c r="AT351" s="3">
        <v>2735</v>
      </c>
      <c r="AU351" s="3">
        <v>2736</v>
      </c>
      <c r="AV351" s="3">
        <v>-1.677</v>
      </c>
      <c r="AW351" s="3">
        <v>-1.754</v>
      </c>
      <c r="AX351" s="3">
        <v>-1.167</v>
      </c>
      <c r="AY351" s="3">
        <v>-1.1679999999999999</v>
      </c>
      <c r="AZ351" s="3">
        <v>-2.3450000000000002</v>
      </c>
      <c r="BA351" s="3">
        <v>-2.6440000000000001</v>
      </c>
      <c r="BB351" s="3">
        <v>12.81</v>
      </c>
      <c r="BC351" s="3">
        <v>2876</v>
      </c>
      <c r="BD351" s="3"/>
      <c r="BE351" s="6">
        <f t="shared" ref="BE351:BE366" si="227">BE$2-AU351</f>
        <v>774</v>
      </c>
      <c r="BG351" s="16">
        <v>4.5199999999999996</v>
      </c>
      <c r="BH351" s="16">
        <f t="shared" si="194"/>
        <v>9.1303999999999998</v>
      </c>
      <c r="BI351" s="17">
        <f t="shared" si="190"/>
        <v>0.32</v>
      </c>
      <c r="BJ351" s="17">
        <f t="shared" si="191"/>
        <v>0.61</v>
      </c>
      <c r="BL351" s="1">
        <f t="shared" si="195"/>
        <v>99</v>
      </c>
      <c r="BM351" s="1">
        <f t="shared" si="196"/>
        <v>90.4</v>
      </c>
      <c r="BN351" s="1">
        <f t="shared" si="197"/>
        <v>77.599999999999994</v>
      </c>
      <c r="BO351" s="49">
        <f t="shared" si="203"/>
        <v>0.46400000000000002</v>
      </c>
      <c r="BP351" s="49">
        <f t="shared" si="204"/>
        <v>0.13400000000000001</v>
      </c>
      <c r="BR351" s="3">
        <v>0.8</v>
      </c>
      <c r="BT351" s="16">
        <f t="shared" si="198"/>
        <v>0.32</v>
      </c>
      <c r="BU351" s="16">
        <f t="shared" si="199"/>
        <v>0.61</v>
      </c>
      <c r="BV351" s="3">
        <f t="shared" si="200"/>
        <v>-1</v>
      </c>
      <c r="BW351" s="3">
        <f t="shared" si="226"/>
        <v>-1.2</v>
      </c>
      <c r="BX351" s="3">
        <f t="shared" si="226"/>
        <v>-1.2</v>
      </c>
      <c r="BY351" s="3">
        <f t="shared" si="226"/>
        <v>0.1</v>
      </c>
      <c r="BZ351" s="3">
        <f t="shared" si="226"/>
        <v>-0.3</v>
      </c>
      <c r="CA351" s="3">
        <f t="shared" si="226"/>
        <v>0.1</v>
      </c>
      <c r="CB351" s="3">
        <f t="shared" si="226"/>
        <v>1.2</v>
      </c>
      <c r="CC351" s="22">
        <f t="shared" si="201"/>
        <v>90.4</v>
      </c>
      <c r="CD351" s="1">
        <f t="shared" si="205"/>
        <v>-0.3</v>
      </c>
      <c r="CE351" s="1">
        <f t="shared" si="206"/>
        <v>-0.1</v>
      </c>
      <c r="CF351" s="1">
        <f t="shared" si="207"/>
        <v>-0.1</v>
      </c>
      <c r="CG351" s="1">
        <f t="shared" si="208"/>
        <v>0.2</v>
      </c>
      <c r="CH351" s="1">
        <f t="shared" si="209"/>
        <v>-0.2</v>
      </c>
      <c r="CI351" s="1">
        <f t="shared" si="210"/>
        <v>0.1</v>
      </c>
      <c r="CJ351" s="1">
        <f t="shared" si="211"/>
        <v>1.2</v>
      </c>
      <c r="CK351" s="2">
        <f t="shared" si="202"/>
        <v>99</v>
      </c>
      <c r="CL351" s="1">
        <f t="shared" si="212"/>
        <v>-1.8</v>
      </c>
      <c r="CM351" s="1">
        <f t="shared" si="213"/>
        <v>-2.2999999999999998</v>
      </c>
      <c r="CN351" s="1">
        <f t="shared" si="214"/>
        <v>-2.9</v>
      </c>
      <c r="CO351" s="1">
        <f t="shared" si="215"/>
        <v>0</v>
      </c>
      <c r="CP351" s="1">
        <f t="shared" si="216"/>
        <v>-0.3</v>
      </c>
      <c r="CQ351" s="1">
        <f t="shared" si="217"/>
        <v>0</v>
      </c>
      <c r="CR351" s="1">
        <f t="shared" si="218"/>
        <v>1.1000000000000001</v>
      </c>
      <c r="CS351" s="2">
        <f t="shared" si="219"/>
        <v>77.599999999999994</v>
      </c>
      <c r="CT351" s="6">
        <f t="shared" si="220"/>
        <v>774</v>
      </c>
      <c r="CU351" s="1">
        <f>PPTest!K351</f>
        <v>3.1</v>
      </c>
      <c r="CV351" s="3">
        <f t="shared" si="221"/>
        <v>2.0299999999999998</v>
      </c>
      <c r="CW351" s="3">
        <f t="shared" si="222"/>
        <v>6.07</v>
      </c>
      <c r="CX351" s="24">
        <f t="shared" si="223"/>
        <v>0.46400000000000002</v>
      </c>
      <c r="CY351" s="24">
        <f t="shared" si="223"/>
        <v>0.13400000000000001</v>
      </c>
      <c r="CZ351" s="16">
        <f t="shared" si="224"/>
        <v>12.81</v>
      </c>
    </row>
    <row r="352" spans="1:104" x14ac:dyDescent="0.2">
      <c r="A352" s="14">
        <f t="shared" si="225"/>
        <v>39063</v>
      </c>
      <c r="B352" s="1">
        <v>346</v>
      </c>
      <c r="C352" s="3">
        <v>4.2050000000000001</v>
      </c>
      <c r="D352" s="3">
        <v>4.0309999999999997</v>
      </c>
      <c r="E352" s="3">
        <v>-3.012</v>
      </c>
      <c r="F352" s="3">
        <v>103.4</v>
      </c>
      <c r="G352" s="3">
        <v>-3.2450000000000001</v>
      </c>
      <c r="H352" s="3">
        <v>-3.3839999999999999</v>
      </c>
      <c r="I352" s="3">
        <v>0.185</v>
      </c>
      <c r="J352" s="3">
        <v>-0.32400000000000001</v>
      </c>
      <c r="K352" s="3">
        <v>4.2999999999999997E-2</v>
      </c>
      <c r="L352" s="3">
        <v>1.1060000000000001</v>
      </c>
      <c r="M352" s="3">
        <v>2.1579999999999999</v>
      </c>
      <c r="N352" s="3">
        <v>0</v>
      </c>
      <c r="O352" s="3">
        <v>-0.98799999999999999</v>
      </c>
      <c r="P352" s="3">
        <v>20</v>
      </c>
      <c r="Q352" s="3">
        <v>111</v>
      </c>
      <c r="R352" s="3">
        <v>524</v>
      </c>
      <c r="S352" s="3">
        <v>1.1100000000000001</v>
      </c>
      <c r="T352" s="3">
        <v>0.52300000000000002</v>
      </c>
      <c r="U352" s="3">
        <v>0.311</v>
      </c>
      <c r="V352" s="3">
        <v>-0.216</v>
      </c>
      <c r="W352" s="3">
        <v>0.13600000000000001</v>
      </c>
      <c r="X352" s="3">
        <v>1.1970000000000001</v>
      </c>
      <c r="Y352" s="3">
        <v>5.3550000000000004</v>
      </c>
      <c r="Z352" s="3">
        <v>551</v>
      </c>
      <c r="AA352" s="3">
        <v>-6.3310000000000004</v>
      </c>
      <c r="AB352" s="3">
        <v>2108</v>
      </c>
      <c r="AC352" s="3">
        <v>93.5</v>
      </c>
      <c r="AD352" s="3">
        <v>2335</v>
      </c>
      <c r="AE352" s="3">
        <v>-8.8699999999999992</v>
      </c>
      <c r="AF352" s="3">
        <v>-9.93</v>
      </c>
      <c r="AG352" s="3">
        <v>-3.3000000000000002E-2</v>
      </c>
      <c r="AH352" s="3">
        <v>-0.54200000000000004</v>
      </c>
      <c r="AI352" s="3">
        <v>-0.14599999999999999</v>
      </c>
      <c r="AJ352" s="3">
        <v>0.92200000000000004</v>
      </c>
      <c r="AK352" s="3">
        <v>2.9000000000000001E-2</v>
      </c>
      <c r="AL352" s="3">
        <v>4.7E-2</v>
      </c>
      <c r="AM352" s="3">
        <v>6.4000000000000001E-2</v>
      </c>
      <c r="AN352" s="3">
        <v>7.4999999999999997E-2</v>
      </c>
      <c r="AO352" s="3">
        <v>0.28599999999999998</v>
      </c>
      <c r="AP352" s="3">
        <v>0.35499999999999998</v>
      </c>
      <c r="AQ352" s="3">
        <v>0.107</v>
      </c>
      <c r="AR352" s="3">
        <v>3.6999999999999998E-2</v>
      </c>
      <c r="AS352" s="3">
        <v>2718</v>
      </c>
      <c r="AT352" s="3">
        <v>2715</v>
      </c>
      <c r="AU352" s="3">
        <v>2716</v>
      </c>
      <c r="AV352" s="3">
        <v>-3.2690000000000001</v>
      </c>
      <c r="AW352" s="3">
        <v>-3.5030000000000001</v>
      </c>
      <c r="AX352" s="3">
        <v>-2.0350000000000001</v>
      </c>
      <c r="AY352" s="3">
        <v>-1.992</v>
      </c>
      <c r="AZ352" s="3">
        <v>-6.6609999999999996</v>
      </c>
      <c r="BA352" s="3">
        <v>-7.1</v>
      </c>
      <c r="BB352" s="3">
        <v>13.12</v>
      </c>
      <c r="BC352" s="3">
        <v>2876</v>
      </c>
      <c r="BD352" s="3"/>
      <c r="BE352" s="6">
        <f t="shared" si="227"/>
        <v>794</v>
      </c>
      <c r="BG352" s="16">
        <v>4.49</v>
      </c>
      <c r="BH352" s="16">
        <f t="shared" si="194"/>
        <v>9.0698000000000008</v>
      </c>
      <c r="BI352" s="17">
        <f t="shared" si="190"/>
        <v>4.12</v>
      </c>
      <c r="BJ352" s="17">
        <f t="shared" si="191"/>
        <v>4.43</v>
      </c>
      <c r="BL352" s="1">
        <f t="shared" si="195"/>
        <v>99.8</v>
      </c>
      <c r="BM352" s="1">
        <f t="shared" si="196"/>
        <v>87.7</v>
      </c>
      <c r="BN352" s="1">
        <f t="shared" si="197"/>
        <v>75.3</v>
      </c>
      <c r="BO352" s="49">
        <f t="shared" si="203"/>
        <v>0.42799999999999999</v>
      </c>
      <c r="BP352" s="49">
        <f t="shared" si="204"/>
        <v>0.14000000000000001</v>
      </c>
      <c r="BR352" s="3">
        <v>2.4</v>
      </c>
      <c r="BT352" s="16">
        <f t="shared" si="198"/>
        <v>4.12</v>
      </c>
      <c r="BU352" s="16">
        <f t="shared" si="199"/>
        <v>4.43</v>
      </c>
      <c r="BV352" s="3">
        <f t="shared" si="200"/>
        <v>-3</v>
      </c>
      <c r="BW352" s="3">
        <f t="shared" si="226"/>
        <v>-3.2</v>
      </c>
      <c r="BX352" s="3">
        <f t="shared" si="226"/>
        <v>-3.4</v>
      </c>
      <c r="BY352" s="3">
        <f t="shared" si="226"/>
        <v>0.2</v>
      </c>
      <c r="BZ352" s="3">
        <f t="shared" si="226"/>
        <v>-0.3</v>
      </c>
      <c r="CA352" s="3">
        <f t="shared" si="226"/>
        <v>0</v>
      </c>
      <c r="CB352" s="3">
        <f t="shared" si="226"/>
        <v>1.1000000000000001</v>
      </c>
      <c r="CC352" s="22">
        <f t="shared" si="201"/>
        <v>87.7</v>
      </c>
      <c r="CD352" s="1">
        <f t="shared" si="205"/>
        <v>-1</v>
      </c>
      <c r="CE352" s="1">
        <f t="shared" si="206"/>
        <v>1.1000000000000001</v>
      </c>
      <c r="CF352" s="1">
        <f t="shared" si="207"/>
        <v>0.5</v>
      </c>
      <c r="CG352" s="1">
        <f t="shared" si="208"/>
        <v>0.3</v>
      </c>
      <c r="CH352" s="1">
        <f t="shared" si="209"/>
        <v>-0.2</v>
      </c>
      <c r="CI352" s="1">
        <f t="shared" si="210"/>
        <v>0.1</v>
      </c>
      <c r="CJ352" s="1">
        <f t="shared" si="211"/>
        <v>1.2</v>
      </c>
      <c r="CK352" s="2">
        <f t="shared" si="202"/>
        <v>99.8</v>
      </c>
      <c r="CL352" s="1">
        <f t="shared" si="212"/>
        <v>-6.3</v>
      </c>
      <c r="CM352" s="1">
        <f t="shared" si="213"/>
        <v>-8.9</v>
      </c>
      <c r="CN352" s="1">
        <f t="shared" si="214"/>
        <v>-9.9</v>
      </c>
      <c r="CO352" s="1">
        <f t="shared" si="215"/>
        <v>0</v>
      </c>
      <c r="CP352" s="1">
        <f t="shared" si="216"/>
        <v>-0.5</v>
      </c>
      <c r="CQ352" s="1">
        <f t="shared" si="217"/>
        <v>-0.1</v>
      </c>
      <c r="CR352" s="1">
        <f t="shared" si="218"/>
        <v>0.9</v>
      </c>
      <c r="CS352" s="2">
        <f t="shared" si="219"/>
        <v>75.3</v>
      </c>
      <c r="CT352" s="6">
        <f t="shared" si="220"/>
        <v>794</v>
      </c>
      <c r="CU352" s="1">
        <f>PPTest!K352</f>
        <v>2.6</v>
      </c>
      <c r="CV352" s="3">
        <f t="shared" si="221"/>
        <v>2.16</v>
      </c>
      <c r="CW352" s="3">
        <f t="shared" si="222"/>
        <v>5.36</v>
      </c>
      <c r="CX352" s="24">
        <f t="shared" si="223"/>
        <v>0.42799999999999999</v>
      </c>
      <c r="CY352" s="24">
        <f t="shared" si="223"/>
        <v>0.14000000000000001</v>
      </c>
      <c r="CZ352" s="16">
        <f t="shared" si="224"/>
        <v>13.12</v>
      </c>
    </row>
    <row r="353" spans="1:104" x14ac:dyDescent="0.2">
      <c r="A353" s="14">
        <f t="shared" si="225"/>
        <v>39064</v>
      </c>
      <c r="B353" s="1">
        <v>347</v>
      </c>
      <c r="C353" s="3">
        <v>2.157</v>
      </c>
      <c r="D353" s="3">
        <v>3.734</v>
      </c>
      <c r="E353" s="3">
        <v>-2.5619999999999998</v>
      </c>
      <c r="F353" s="3">
        <v>101.2</v>
      </c>
      <c r="G353" s="3">
        <v>-2.7480000000000002</v>
      </c>
      <c r="H353" s="3">
        <v>-2.8170000000000002</v>
      </c>
      <c r="I353" s="3">
        <v>0.2</v>
      </c>
      <c r="J353" s="3">
        <v>-0.32400000000000001</v>
      </c>
      <c r="K353" s="3">
        <v>7.1999999999999995E-2</v>
      </c>
      <c r="L353" s="3">
        <v>1.125</v>
      </c>
      <c r="M353" s="3">
        <v>2.86</v>
      </c>
      <c r="N353" s="3">
        <v>0</v>
      </c>
      <c r="O353" s="3">
        <v>0.45800000000000002</v>
      </c>
      <c r="P353" s="3">
        <v>1421</v>
      </c>
      <c r="Q353" s="3">
        <v>110.2</v>
      </c>
      <c r="R353" s="3">
        <v>538</v>
      </c>
      <c r="S353" s="3">
        <v>0.65900000000000003</v>
      </c>
      <c r="T353" s="3">
        <v>0.36599999999999999</v>
      </c>
      <c r="U353" s="3">
        <v>0.38900000000000001</v>
      </c>
      <c r="V353" s="3">
        <v>-0.23799999999999999</v>
      </c>
      <c r="W353" s="3">
        <v>0.14799999999999999</v>
      </c>
      <c r="X353" s="3">
        <v>1.1990000000000001</v>
      </c>
      <c r="Y353" s="3">
        <v>6.7910000000000004</v>
      </c>
      <c r="Z353" s="3">
        <v>1616</v>
      </c>
      <c r="AA353" s="3">
        <v>-5</v>
      </c>
      <c r="AB353" s="3">
        <v>115</v>
      </c>
      <c r="AC353" s="3">
        <v>87.8</v>
      </c>
      <c r="AD353" s="3">
        <v>2229</v>
      </c>
      <c r="AE353" s="3">
        <v>-5.2779999999999996</v>
      </c>
      <c r="AF353" s="3">
        <v>-5.3239999999999998</v>
      </c>
      <c r="AG353" s="3">
        <v>-4.3999999999999997E-2</v>
      </c>
      <c r="AH353" s="3">
        <v>-0.435</v>
      </c>
      <c r="AI353" s="3">
        <v>-4.9000000000000002E-2</v>
      </c>
      <c r="AJ353" s="3">
        <v>1.006</v>
      </c>
      <c r="AK353" s="3">
        <v>6.5000000000000002E-2</v>
      </c>
      <c r="AL353" s="3">
        <v>3.1E-2</v>
      </c>
      <c r="AM353" s="3">
        <v>3.2000000000000001E-2</v>
      </c>
      <c r="AN353" s="3">
        <v>5.0999999999999997E-2</v>
      </c>
      <c r="AO353" s="3">
        <v>0.27400000000000002</v>
      </c>
      <c r="AP353" s="3">
        <v>0.32700000000000001</v>
      </c>
      <c r="AQ353" s="3">
        <v>0.14399999999999999</v>
      </c>
      <c r="AR353" s="3">
        <v>7.5999999999999998E-2</v>
      </c>
      <c r="AS353" s="3">
        <v>2702</v>
      </c>
      <c r="AT353" s="3">
        <v>2699</v>
      </c>
      <c r="AU353" s="3">
        <v>2700</v>
      </c>
      <c r="AV353" s="3">
        <v>-3.2759999999999998</v>
      </c>
      <c r="AW353" s="3">
        <v>-3.3180000000000001</v>
      </c>
      <c r="AX353" s="3">
        <v>-1.4970000000000001</v>
      </c>
      <c r="AY353" s="3">
        <v>-1.4159999999999999</v>
      </c>
      <c r="AZ353" s="3">
        <v>-6.1109999999999998</v>
      </c>
      <c r="BA353" s="3">
        <v>-6.0149999999999997</v>
      </c>
      <c r="BB353" s="3">
        <v>13.08</v>
      </c>
      <c r="BC353" s="3">
        <v>2876</v>
      </c>
      <c r="BD353" s="3"/>
      <c r="BE353" s="6">
        <f t="shared" si="227"/>
        <v>810</v>
      </c>
      <c r="BG353" s="16">
        <v>4.47</v>
      </c>
      <c r="BH353" s="16">
        <f t="shared" si="194"/>
        <v>9.029399999999999</v>
      </c>
      <c r="BI353" s="17">
        <f t="shared" si="190"/>
        <v>2.11</v>
      </c>
      <c r="BJ353" s="17">
        <f t="shared" si="191"/>
        <v>4.1100000000000003</v>
      </c>
      <c r="BL353" s="1">
        <f t="shared" si="195"/>
        <v>98.5</v>
      </c>
      <c r="BM353" s="1">
        <f t="shared" si="196"/>
        <v>84.2</v>
      </c>
      <c r="BN353" s="1">
        <f t="shared" si="197"/>
        <v>70.3</v>
      </c>
      <c r="BO353" s="49">
        <f t="shared" si="203"/>
        <v>0.44400000000000001</v>
      </c>
      <c r="BP353" s="49">
        <f t="shared" si="204"/>
        <v>0.188</v>
      </c>
      <c r="BR353" s="3">
        <v>1.4</v>
      </c>
      <c r="BT353" s="16">
        <f t="shared" si="198"/>
        <v>2.11</v>
      </c>
      <c r="BU353" s="16">
        <f t="shared" si="199"/>
        <v>4.1100000000000003</v>
      </c>
      <c r="BV353" s="3">
        <f t="shared" si="200"/>
        <v>-2.6</v>
      </c>
      <c r="BW353" s="3">
        <f t="shared" si="226"/>
        <v>-2.7</v>
      </c>
      <c r="BX353" s="3">
        <f t="shared" si="226"/>
        <v>-2.8</v>
      </c>
      <c r="BY353" s="3">
        <f t="shared" si="226"/>
        <v>0.2</v>
      </c>
      <c r="BZ353" s="3">
        <f t="shared" si="226"/>
        <v>-0.3</v>
      </c>
      <c r="CA353" s="3">
        <f t="shared" si="226"/>
        <v>0.1</v>
      </c>
      <c r="CB353" s="3">
        <f t="shared" si="226"/>
        <v>1.1000000000000001</v>
      </c>
      <c r="CC353" s="22">
        <f t="shared" si="201"/>
        <v>84.2</v>
      </c>
      <c r="CD353" s="1">
        <f t="shared" si="205"/>
        <v>0.5</v>
      </c>
      <c r="CE353" s="1">
        <f t="shared" si="206"/>
        <v>0.7</v>
      </c>
      <c r="CF353" s="1">
        <f t="shared" si="207"/>
        <v>0.4</v>
      </c>
      <c r="CG353" s="1">
        <f t="shared" si="208"/>
        <v>0.4</v>
      </c>
      <c r="CH353" s="1">
        <f t="shared" si="209"/>
        <v>-0.2</v>
      </c>
      <c r="CI353" s="1">
        <f t="shared" si="210"/>
        <v>0.1</v>
      </c>
      <c r="CJ353" s="1">
        <f t="shared" si="211"/>
        <v>1.2</v>
      </c>
      <c r="CK353" s="2">
        <f t="shared" si="202"/>
        <v>98.5</v>
      </c>
      <c r="CL353" s="1">
        <f t="shared" si="212"/>
        <v>-5</v>
      </c>
      <c r="CM353" s="1">
        <f t="shared" si="213"/>
        <v>-5.3</v>
      </c>
      <c r="CN353" s="1">
        <f t="shared" si="214"/>
        <v>-5.3</v>
      </c>
      <c r="CO353" s="1">
        <f t="shared" si="215"/>
        <v>0</v>
      </c>
      <c r="CP353" s="1">
        <f t="shared" si="216"/>
        <v>-0.4</v>
      </c>
      <c r="CQ353" s="1">
        <f t="shared" si="217"/>
        <v>0</v>
      </c>
      <c r="CR353" s="1">
        <f t="shared" si="218"/>
        <v>1</v>
      </c>
      <c r="CS353" s="2">
        <f t="shared" si="219"/>
        <v>70.3</v>
      </c>
      <c r="CT353" s="6">
        <f t="shared" si="220"/>
        <v>810</v>
      </c>
      <c r="CU353" s="1">
        <f>PPTest!K353</f>
        <v>2.1</v>
      </c>
      <c r="CV353" s="3">
        <f t="shared" si="221"/>
        <v>2.86</v>
      </c>
      <c r="CW353" s="3">
        <f t="shared" si="222"/>
        <v>6.79</v>
      </c>
      <c r="CX353" s="24">
        <f t="shared" si="223"/>
        <v>0.44400000000000001</v>
      </c>
      <c r="CY353" s="24">
        <f t="shared" si="223"/>
        <v>0.188</v>
      </c>
      <c r="CZ353" s="16">
        <f t="shared" si="224"/>
        <v>13.08</v>
      </c>
    </row>
    <row r="354" spans="1:104" x14ac:dyDescent="0.2">
      <c r="A354" s="14">
        <f t="shared" si="225"/>
        <v>39065</v>
      </c>
      <c r="B354" s="1">
        <v>348</v>
      </c>
      <c r="C354" s="3">
        <v>1.7789999999999999</v>
      </c>
      <c r="D354" s="3">
        <v>3.18</v>
      </c>
      <c r="E354" s="3">
        <v>-5.6269999999999998</v>
      </c>
      <c r="F354" s="3">
        <v>98.8</v>
      </c>
      <c r="G354" s="3">
        <v>-5.9939999999999998</v>
      </c>
      <c r="H354" s="3">
        <v>-6.1970000000000001</v>
      </c>
      <c r="I354" s="3">
        <v>0.14599999999999999</v>
      </c>
      <c r="J354" s="3">
        <v>-0.44900000000000001</v>
      </c>
      <c r="K354" s="3">
        <v>1.2999999999999999E-2</v>
      </c>
      <c r="L354" s="3">
        <v>1.0609999999999999</v>
      </c>
      <c r="M354" s="3">
        <v>2.0830000000000002</v>
      </c>
      <c r="N354" s="3">
        <v>0</v>
      </c>
      <c r="O354" s="3">
        <v>-1.7929999999999999</v>
      </c>
      <c r="P354" s="3">
        <v>2354</v>
      </c>
      <c r="Q354" s="3">
        <v>110.6</v>
      </c>
      <c r="R354" s="3">
        <v>2213</v>
      </c>
      <c r="S354" s="3">
        <v>-0.73399999999999999</v>
      </c>
      <c r="T354" s="3">
        <v>-0.78</v>
      </c>
      <c r="U354" s="3">
        <v>0.34300000000000003</v>
      </c>
      <c r="V354" s="3">
        <v>-0.34</v>
      </c>
      <c r="W354" s="3">
        <v>0.12</v>
      </c>
      <c r="X354" s="3">
        <v>1.1639999999999999</v>
      </c>
      <c r="Y354" s="3">
        <v>5.3410000000000002</v>
      </c>
      <c r="Z354" s="3">
        <v>2034</v>
      </c>
      <c r="AA354" s="3">
        <v>-11.17</v>
      </c>
      <c r="AB354" s="3">
        <v>739</v>
      </c>
      <c r="AC354" s="3">
        <v>79.900000000000006</v>
      </c>
      <c r="AD354" s="3">
        <v>1336</v>
      </c>
      <c r="AE354" s="3">
        <v>-13.31</v>
      </c>
      <c r="AF354" s="3">
        <v>-14.99</v>
      </c>
      <c r="AG354" s="3">
        <v>-0.27300000000000002</v>
      </c>
      <c r="AH354" s="3">
        <v>-0.84099999999999997</v>
      </c>
      <c r="AI354" s="3">
        <v>-0.375</v>
      </c>
      <c r="AJ354" s="3">
        <v>0.68700000000000006</v>
      </c>
      <c r="AK354" s="3">
        <v>0.183</v>
      </c>
      <c r="AL354" s="3">
        <v>0.222</v>
      </c>
      <c r="AM354" s="3">
        <v>0.114</v>
      </c>
      <c r="AN354" s="3">
        <v>7.5999999999999998E-2</v>
      </c>
      <c r="AO354" s="3">
        <v>0.13900000000000001</v>
      </c>
      <c r="AP354" s="3">
        <v>0.14399999999999999</v>
      </c>
      <c r="AQ354" s="3">
        <v>6.4000000000000001E-2</v>
      </c>
      <c r="AR354" s="3">
        <v>0.06</v>
      </c>
      <c r="AS354" s="3">
        <v>2646</v>
      </c>
      <c r="AT354" s="3">
        <v>2642</v>
      </c>
      <c r="AU354" s="3">
        <v>2643</v>
      </c>
      <c r="AV354" s="3">
        <v>-5.9969999999999999</v>
      </c>
      <c r="AW354" s="3">
        <v>-6.266</v>
      </c>
      <c r="AX354" s="3">
        <v>-3.7669999999999999</v>
      </c>
      <c r="AY354" s="3">
        <v>-4.0049999999999999</v>
      </c>
      <c r="AZ354" s="3">
        <v>-9.25</v>
      </c>
      <c r="BA354" s="3">
        <v>-10.19</v>
      </c>
      <c r="BB354" s="3">
        <v>12.98</v>
      </c>
      <c r="BC354" s="3">
        <v>2876</v>
      </c>
      <c r="BD354" s="3"/>
      <c r="BE354" s="6">
        <f t="shared" si="227"/>
        <v>867</v>
      </c>
      <c r="BG354" s="16">
        <v>4.4400000000000004</v>
      </c>
      <c r="BH354" s="16">
        <f t="shared" si="194"/>
        <v>8.9688000000000017</v>
      </c>
      <c r="BI354" s="17">
        <f t="shared" si="190"/>
        <v>1.74</v>
      </c>
      <c r="BJ354" s="17">
        <f t="shared" si="191"/>
        <v>3.5</v>
      </c>
      <c r="BL354" s="1">
        <f t="shared" si="195"/>
        <v>99.2</v>
      </c>
      <c r="BM354" s="1">
        <f t="shared" si="196"/>
        <v>79.900000000000006</v>
      </c>
      <c r="BN354" s="1">
        <f t="shared" si="197"/>
        <v>63.3</v>
      </c>
      <c r="BO354" s="49">
        <f t="shared" si="203"/>
        <v>0.33900000000000002</v>
      </c>
      <c r="BP354" s="49">
        <f t="shared" si="204"/>
        <v>0.19700000000000001</v>
      </c>
      <c r="BR354" s="3">
        <v>0</v>
      </c>
      <c r="BT354" s="16">
        <f t="shared" si="198"/>
        <v>1.74</v>
      </c>
      <c r="BU354" s="16">
        <f t="shared" si="199"/>
        <v>3.5</v>
      </c>
      <c r="BV354" s="3">
        <f t="shared" si="200"/>
        <v>-5.6</v>
      </c>
      <c r="BW354" s="3">
        <f t="shared" si="226"/>
        <v>-6</v>
      </c>
      <c r="BX354" s="3">
        <f t="shared" si="226"/>
        <v>-6.2</v>
      </c>
      <c r="BY354" s="3">
        <f t="shared" si="226"/>
        <v>0.1</v>
      </c>
      <c r="BZ354" s="3">
        <f t="shared" si="226"/>
        <v>-0.4</v>
      </c>
      <c r="CA354" s="3">
        <f t="shared" si="226"/>
        <v>0</v>
      </c>
      <c r="CB354" s="3">
        <f t="shared" si="226"/>
        <v>1.1000000000000001</v>
      </c>
      <c r="CC354" s="22">
        <f t="shared" si="201"/>
        <v>79.900000000000006</v>
      </c>
      <c r="CD354" s="1">
        <f t="shared" si="205"/>
        <v>-1.8</v>
      </c>
      <c r="CE354" s="1">
        <f t="shared" si="206"/>
        <v>-0.7</v>
      </c>
      <c r="CF354" s="1">
        <f t="shared" si="207"/>
        <v>-0.8</v>
      </c>
      <c r="CG354" s="1">
        <f t="shared" si="208"/>
        <v>0.3</v>
      </c>
      <c r="CH354" s="1">
        <f t="shared" si="209"/>
        <v>-0.3</v>
      </c>
      <c r="CI354" s="1">
        <f t="shared" si="210"/>
        <v>0.1</v>
      </c>
      <c r="CJ354" s="1">
        <f t="shared" si="211"/>
        <v>1.2</v>
      </c>
      <c r="CK354" s="2">
        <f t="shared" si="202"/>
        <v>99.2</v>
      </c>
      <c r="CL354" s="1">
        <f t="shared" si="212"/>
        <v>-11.2</v>
      </c>
      <c r="CM354" s="1">
        <f t="shared" si="213"/>
        <v>-13.3</v>
      </c>
      <c r="CN354" s="1">
        <f t="shared" si="214"/>
        <v>-15</v>
      </c>
      <c r="CO354" s="1">
        <f t="shared" si="215"/>
        <v>-0.3</v>
      </c>
      <c r="CP354" s="1">
        <f t="shared" si="216"/>
        <v>-0.8</v>
      </c>
      <c r="CQ354" s="1">
        <f t="shared" si="217"/>
        <v>-0.4</v>
      </c>
      <c r="CR354" s="1">
        <f t="shared" si="218"/>
        <v>0.7</v>
      </c>
      <c r="CS354" s="2">
        <f t="shared" si="219"/>
        <v>63.3</v>
      </c>
      <c r="CT354" s="6">
        <f t="shared" si="220"/>
        <v>867</v>
      </c>
      <c r="CU354" s="1">
        <f>PPTest!K354</f>
        <v>7.4</v>
      </c>
      <c r="CV354" s="3">
        <f t="shared" si="221"/>
        <v>2.08</v>
      </c>
      <c r="CW354" s="3">
        <f t="shared" si="222"/>
        <v>5.34</v>
      </c>
      <c r="CX354" s="24">
        <f t="shared" si="223"/>
        <v>0.33900000000000002</v>
      </c>
      <c r="CY354" s="24">
        <f t="shared" si="223"/>
        <v>0.19700000000000001</v>
      </c>
      <c r="CZ354" s="16">
        <f t="shared" si="224"/>
        <v>12.98</v>
      </c>
    </row>
    <row r="355" spans="1:104" x14ac:dyDescent="0.2">
      <c r="A355" s="14">
        <f t="shared" si="225"/>
        <v>39066</v>
      </c>
      <c r="B355" s="1">
        <v>349</v>
      </c>
      <c r="C355" s="3">
        <v>0.41199999999999998</v>
      </c>
      <c r="D355" s="3">
        <v>0.77400000000000002</v>
      </c>
      <c r="E355" s="3">
        <v>-6.7779999999999996</v>
      </c>
      <c r="F355" s="3">
        <v>108.7</v>
      </c>
      <c r="G355" s="3">
        <v>-7.17</v>
      </c>
      <c r="H355" s="3">
        <v>-7.35</v>
      </c>
      <c r="I355" s="3">
        <v>0.19400000000000001</v>
      </c>
      <c r="J355" s="3">
        <v>-0.39500000000000002</v>
      </c>
      <c r="K355" s="3">
        <v>-1E-3</v>
      </c>
      <c r="L355" s="3">
        <v>1.0449999999999999</v>
      </c>
      <c r="M355" s="3">
        <v>2.6150000000000002</v>
      </c>
      <c r="N355" s="3">
        <v>0</v>
      </c>
      <c r="O355" s="3">
        <v>-1.34</v>
      </c>
      <c r="P355" s="3">
        <v>229</v>
      </c>
      <c r="Q355" s="3">
        <v>110.5</v>
      </c>
      <c r="R355" s="3">
        <v>619</v>
      </c>
      <c r="S355" s="3">
        <v>-0.82599999999999996</v>
      </c>
      <c r="T355" s="3">
        <v>-0.54400000000000004</v>
      </c>
      <c r="U355" s="3">
        <v>0.34200000000000003</v>
      </c>
      <c r="V355" s="3">
        <v>-0.30399999999999999</v>
      </c>
      <c r="W355" s="3">
        <v>9.7000000000000003E-2</v>
      </c>
      <c r="X355" s="3">
        <v>1.151</v>
      </c>
      <c r="Y355" s="3">
        <v>8.4</v>
      </c>
      <c r="Z355" s="3">
        <v>629</v>
      </c>
      <c r="AA355" s="3">
        <v>-16.690000000000001</v>
      </c>
      <c r="AB355" s="3">
        <v>2357</v>
      </c>
      <c r="AC355" s="3">
        <v>104.9</v>
      </c>
      <c r="AD355" s="3">
        <v>2344</v>
      </c>
      <c r="AE355" s="3">
        <v>-19.07</v>
      </c>
      <c r="AF355" s="3">
        <v>-21.14</v>
      </c>
      <c r="AG355" s="3">
        <v>-0.19700000000000001</v>
      </c>
      <c r="AH355" s="3">
        <v>-0.63300000000000001</v>
      </c>
      <c r="AI355" s="3">
        <v>-0.246</v>
      </c>
      <c r="AJ355" s="3">
        <v>0.80900000000000005</v>
      </c>
      <c r="AK355" s="3">
        <v>1.7000000000000001E-2</v>
      </c>
      <c r="AL355" s="3">
        <v>5.0999999999999997E-2</v>
      </c>
      <c r="AM355" s="3">
        <v>3.9E-2</v>
      </c>
      <c r="AN355" s="3">
        <v>2.5999999999999999E-2</v>
      </c>
      <c r="AO355" s="3">
        <v>0.23300000000000001</v>
      </c>
      <c r="AP355" s="3">
        <v>0.41</v>
      </c>
      <c r="AQ355" s="3">
        <v>0.17599999999999999</v>
      </c>
      <c r="AR355" s="3">
        <v>4.7E-2</v>
      </c>
      <c r="AS355" s="3">
        <v>2576</v>
      </c>
      <c r="AT355" s="3">
        <v>2572</v>
      </c>
      <c r="AU355" s="3">
        <v>2574</v>
      </c>
      <c r="AV355" s="3">
        <v>-3.9089999999999998</v>
      </c>
      <c r="AW355" s="3">
        <v>-4.2460000000000004</v>
      </c>
      <c r="AX355" s="3">
        <v>-3.0659999999999998</v>
      </c>
      <c r="AY355" s="3">
        <v>-3.109</v>
      </c>
      <c r="AZ355" s="3">
        <v>-7.73</v>
      </c>
      <c r="BA355" s="3">
        <v>-8.91</v>
      </c>
      <c r="BB355" s="3">
        <v>12.61</v>
      </c>
      <c r="BC355" s="3">
        <v>2876</v>
      </c>
      <c r="BD355" s="3"/>
      <c r="BE355" s="6">
        <f t="shared" si="227"/>
        <v>936</v>
      </c>
      <c r="BG355" s="16">
        <v>4.42</v>
      </c>
      <c r="BH355" s="16">
        <f t="shared" si="194"/>
        <v>8.9283999999999999</v>
      </c>
      <c r="BI355" s="17">
        <f t="shared" si="190"/>
        <v>0.4</v>
      </c>
      <c r="BJ355" s="17">
        <f t="shared" si="191"/>
        <v>0.85</v>
      </c>
      <c r="BL355" s="1">
        <f t="shared" si="195"/>
        <v>99</v>
      </c>
      <c r="BM355" s="1">
        <f t="shared" si="196"/>
        <v>96.1</v>
      </c>
      <c r="BN355" s="1">
        <f t="shared" si="197"/>
        <v>90.1</v>
      </c>
      <c r="BO355" s="49">
        <f t="shared" si="203"/>
        <v>0.499</v>
      </c>
      <c r="BP355" s="49">
        <f t="shared" si="204"/>
        <v>5.5E-2</v>
      </c>
      <c r="BR355" s="3">
        <v>0</v>
      </c>
      <c r="BT355" s="16">
        <f t="shared" si="198"/>
        <v>0.4</v>
      </c>
      <c r="BU355" s="16">
        <f t="shared" si="199"/>
        <v>0.85</v>
      </c>
      <c r="BV355" s="3">
        <f t="shared" si="200"/>
        <v>-6.8</v>
      </c>
      <c r="BW355" s="3">
        <f t="shared" si="226"/>
        <v>-7.2</v>
      </c>
      <c r="BX355" s="3">
        <f t="shared" si="226"/>
        <v>-7.4</v>
      </c>
      <c r="BY355" s="3">
        <f t="shared" si="226"/>
        <v>0.2</v>
      </c>
      <c r="BZ355" s="3">
        <f t="shared" si="226"/>
        <v>-0.4</v>
      </c>
      <c r="CA355" s="3">
        <f t="shared" si="226"/>
        <v>0</v>
      </c>
      <c r="CB355" s="3">
        <f t="shared" si="226"/>
        <v>1</v>
      </c>
      <c r="CC355" s="22">
        <f t="shared" si="201"/>
        <v>96.1</v>
      </c>
      <c r="CD355" s="1">
        <f t="shared" si="205"/>
        <v>-1.3</v>
      </c>
      <c r="CE355" s="1">
        <f t="shared" si="206"/>
        <v>-0.8</v>
      </c>
      <c r="CF355" s="1">
        <f t="shared" si="207"/>
        <v>-0.5</v>
      </c>
      <c r="CG355" s="1">
        <f t="shared" si="208"/>
        <v>0.3</v>
      </c>
      <c r="CH355" s="1">
        <f t="shared" si="209"/>
        <v>-0.3</v>
      </c>
      <c r="CI355" s="1">
        <f t="shared" si="210"/>
        <v>0.1</v>
      </c>
      <c r="CJ355" s="1">
        <f t="shared" si="211"/>
        <v>1.2</v>
      </c>
      <c r="CK355" s="2">
        <f t="shared" si="202"/>
        <v>99</v>
      </c>
      <c r="CL355" s="1">
        <f t="shared" si="212"/>
        <v>-16.7</v>
      </c>
      <c r="CM355" s="1">
        <f t="shared" si="213"/>
        <v>-19.100000000000001</v>
      </c>
      <c r="CN355" s="1">
        <f t="shared" si="214"/>
        <v>-21.1</v>
      </c>
      <c r="CO355" s="1">
        <f t="shared" si="215"/>
        <v>-0.2</v>
      </c>
      <c r="CP355" s="1">
        <f t="shared" si="216"/>
        <v>-0.6</v>
      </c>
      <c r="CQ355" s="1">
        <f t="shared" si="217"/>
        <v>-0.2</v>
      </c>
      <c r="CR355" s="1">
        <f t="shared" si="218"/>
        <v>0.8</v>
      </c>
      <c r="CS355" s="2">
        <f t="shared" si="219"/>
        <v>90.1</v>
      </c>
      <c r="CT355" s="6">
        <f t="shared" si="220"/>
        <v>936</v>
      </c>
      <c r="CU355" s="1">
        <f>PPTest!K355</f>
        <v>9</v>
      </c>
      <c r="CV355" s="3">
        <f t="shared" si="221"/>
        <v>2.62</v>
      </c>
      <c r="CW355" s="3">
        <f t="shared" si="222"/>
        <v>8.4</v>
      </c>
      <c r="CX355" s="24">
        <f t="shared" si="223"/>
        <v>0.499</v>
      </c>
      <c r="CY355" s="24">
        <f t="shared" si="223"/>
        <v>5.5E-2</v>
      </c>
      <c r="CZ355" s="16">
        <f t="shared" si="224"/>
        <v>12.61</v>
      </c>
    </row>
    <row r="356" spans="1:104" x14ac:dyDescent="0.2">
      <c r="A356" s="14">
        <f t="shared" si="225"/>
        <v>39067</v>
      </c>
      <c r="B356" s="1">
        <v>350</v>
      </c>
      <c r="C356" s="3">
        <v>2.9140000000000001</v>
      </c>
      <c r="D356" s="3">
        <v>5.0270000000000001</v>
      </c>
      <c r="E356" s="3">
        <v>-15.17</v>
      </c>
      <c r="F356" s="3">
        <v>104.9</v>
      </c>
      <c r="G356" s="3">
        <v>-15.91</v>
      </c>
      <c r="H356" s="3">
        <v>-16.47</v>
      </c>
      <c r="I356" s="3">
        <v>-0.13</v>
      </c>
      <c r="J356" s="3">
        <v>-0.44500000000000001</v>
      </c>
      <c r="K356" s="3">
        <v>-7.0999999999999994E-2</v>
      </c>
      <c r="L356" s="3">
        <v>0.96</v>
      </c>
      <c r="M356" s="3">
        <v>0.70399999999999996</v>
      </c>
      <c r="N356" s="3">
        <v>0</v>
      </c>
      <c r="O356" s="3">
        <v>-9.0500000000000007</v>
      </c>
      <c r="P356" s="3">
        <v>1328</v>
      </c>
      <c r="Q356" s="3">
        <v>107.8</v>
      </c>
      <c r="R356" s="3">
        <v>1318</v>
      </c>
      <c r="S356" s="3">
        <v>-8.57</v>
      </c>
      <c r="T356" s="3">
        <v>-9.14</v>
      </c>
      <c r="U356" s="3">
        <v>0.22700000000000001</v>
      </c>
      <c r="V356" s="3">
        <v>-0.28899999999999998</v>
      </c>
      <c r="W356" s="3">
        <v>8.2000000000000003E-2</v>
      </c>
      <c r="X356" s="3">
        <v>1.109</v>
      </c>
      <c r="Y356" s="3">
        <v>2.7480000000000002</v>
      </c>
      <c r="Z356" s="3">
        <v>1615</v>
      </c>
      <c r="AA356" s="3">
        <v>-23.47</v>
      </c>
      <c r="AB356" s="3">
        <v>759</v>
      </c>
      <c r="AC356" s="3">
        <v>100.3</v>
      </c>
      <c r="AD356" s="3">
        <v>832</v>
      </c>
      <c r="AE356" s="3">
        <v>-25.01</v>
      </c>
      <c r="AF356" s="3">
        <v>-25.59</v>
      </c>
      <c r="AG356" s="3">
        <v>-0.68799999999999994</v>
      </c>
      <c r="AH356" s="3">
        <v>-0.65500000000000003</v>
      </c>
      <c r="AI356" s="3">
        <v>-0.26800000000000002</v>
      </c>
      <c r="AJ356" s="3">
        <v>0.76600000000000001</v>
      </c>
      <c r="AK356" s="3">
        <v>6.5000000000000002E-2</v>
      </c>
      <c r="AL356" s="3">
        <v>0.38900000000000001</v>
      </c>
      <c r="AM356" s="3">
        <v>0.32600000000000001</v>
      </c>
      <c r="AN356" s="3">
        <v>4.7E-2</v>
      </c>
      <c r="AO356" s="3">
        <v>3.5000000000000003E-2</v>
      </c>
      <c r="AP356" s="3">
        <v>5.8000000000000003E-2</v>
      </c>
      <c r="AQ356" s="3">
        <v>4.7E-2</v>
      </c>
      <c r="AR356" s="3">
        <v>3.4000000000000002E-2</v>
      </c>
      <c r="AS356" s="3">
        <v>2612</v>
      </c>
      <c r="AT356" s="3">
        <v>2611</v>
      </c>
      <c r="AU356" s="3">
        <v>2611</v>
      </c>
      <c r="AV356" s="3">
        <v>-11.62</v>
      </c>
      <c r="AW356" s="3">
        <v>-12.19</v>
      </c>
      <c r="AX356" s="3">
        <v>-7.75</v>
      </c>
      <c r="AY356" s="3">
        <v>-8.92</v>
      </c>
      <c r="AZ356" s="3">
        <v>-15.25</v>
      </c>
      <c r="BA356" s="3">
        <v>-16.170000000000002</v>
      </c>
      <c r="BB356" s="3">
        <v>13.14</v>
      </c>
      <c r="BC356" s="3">
        <v>2876</v>
      </c>
      <c r="BD356" s="3"/>
      <c r="BE356" s="6">
        <f t="shared" si="227"/>
        <v>899</v>
      </c>
      <c r="BG356" s="16">
        <v>4.4000000000000004</v>
      </c>
      <c r="BH356" s="16">
        <f t="shared" si="194"/>
        <v>8.8880000000000017</v>
      </c>
      <c r="BI356" s="17">
        <f t="shared" si="190"/>
        <v>2.86</v>
      </c>
      <c r="BJ356" s="17">
        <f t="shared" si="191"/>
        <v>5.53</v>
      </c>
      <c r="BL356" s="1">
        <f t="shared" si="195"/>
        <v>94.7</v>
      </c>
      <c r="BM356" s="1">
        <f t="shared" si="196"/>
        <v>90.1</v>
      </c>
      <c r="BN356" s="1">
        <f t="shared" si="197"/>
        <v>82.8</v>
      </c>
      <c r="BO356" s="49">
        <f t="shared" si="203"/>
        <v>0.255</v>
      </c>
      <c r="BP356" s="49">
        <f t="shared" si="204"/>
        <v>5.2999999999999999E-2</v>
      </c>
      <c r="BR356" s="3">
        <v>0</v>
      </c>
      <c r="BT356" s="16">
        <f t="shared" si="198"/>
        <v>2.86</v>
      </c>
      <c r="BU356" s="16">
        <f t="shared" si="199"/>
        <v>5.53</v>
      </c>
      <c r="BV356" s="3">
        <f t="shared" si="200"/>
        <v>-15.2</v>
      </c>
      <c r="BW356" s="3">
        <f t="shared" si="226"/>
        <v>-15.9</v>
      </c>
      <c r="BX356" s="3">
        <f t="shared" si="226"/>
        <v>-16.5</v>
      </c>
      <c r="BY356" s="3">
        <f t="shared" si="226"/>
        <v>-0.1</v>
      </c>
      <c r="BZ356" s="3">
        <f t="shared" si="226"/>
        <v>-0.4</v>
      </c>
      <c r="CA356" s="3">
        <f t="shared" si="226"/>
        <v>-0.1</v>
      </c>
      <c r="CB356" s="3">
        <f t="shared" si="226"/>
        <v>1</v>
      </c>
      <c r="CC356" s="22">
        <f t="shared" si="201"/>
        <v>90.1</v>
      </c>
      <c r="CD356" s="1">
        <f t="shared" si="205"/>
        <v>-9.1</v>
      </c>
      <c r="CE356" s="1">
        <f t="shared" si="206"/>
        <v>-8.6</v>
      </c>
      <c r="CF356" s="1">
        <f t="shared" si="207"/>
        <v>-9.1</v>
      </c>
      <c r="CG356" s="1">
        <f t="shared" si="208"/>
        <v>0.2</v>
      </c>
      <c r="CH356" s="1">
        <f t="shared" si="209"/>
        <v>-0.3</v>
      </c>
      <c r="CI356" s="1">
        <f t="shared" si="210"/>
        <v>0.1</v>
      </c>
      <c r="CJ356" s="1">
        <f t="shared" si="211"/>
        <v>1.1000000000000001</v>
      </c>
      <c r="CK356" s="2">
        <f t="shared" si="202"/>
        <v>94.7</v>
      </c>
      <c r="CL356" s="1">
        <f t="shared" si="212"/>
        <v>-23.5</v>
      </c>
      <c r="CM356" s="1">
        <f t="shared" si="213"/>
        <v>-25</v>
      </c>
      <c r="CN356" s="1">
        <f t="shared" si="214"/>
        <v>-25.6</v>
      </c>
      <c r="CO356" s="1">
        <f t="shared" si="215"/>
        <v>-0.7</v>
      </c>
      <c r="CP356" s="1">
        <f t="shared" si="216"/>
        <v>-0.7</v>
      </c>
      <c r="CQ356" s="1">
        <f t="shared" si="217"/>
        <v>-0.3</v>
      </c>
      <c r="CR356" s="1">
        <f t="shared" si="218"/>
        <v>0.8</v>
      </c>
      <c r="CS356" s="2">
        <f t="shared" si="219"/>
        <v>82.8</v>
      </c>
      <c r="CT356" s="6">
        <f t="shared" si="220"/>
        <v>899</v>
      </c>
      <c r="CU356" s="1">
        <f>PPTest!K356</f>
        <v>0</v>
      </c>
      <c r="CV356" s="3">
        <f t="shared" si="221"/>
        <v>0.7</v>
      </c>
      <c r="CW356" s="3">
        <f t="shared" si="222"/>
        <v>2.75</v>
      </c>
      <c r="CX356" s="24">
        <f t="shared" si="223"/>
        <v>0.255</v>
      </c>
      <c r="CY356" s="24">
        <f t="shared" si="223"/>
        <v>5.2999999999999999E-2</v>
      </c>
      <c r="CZ356" s="16">
        <f t="shared" si="224"/>
        <v>13.14</v>
      </c>
    </row>
    <row r="357" spans="1:104" x14ac:dyDescent="0.2">
      <c r="A357" s="14">
        <f t="shared" si="225"/>
        <v>39068</v>
      </c>
      <c r="B357" s="1">
        <v>351</v>
      </c>
      <c r="C357" s="3">
        <v>1.643</v>
      </c>
      <c r="D357" s="3">
        <v>3.1469999999999998</v>
      </c>
      <c r="E357" s="3">
        <v>-11.62</v>
      </c>
      <c r="F357" s="3">
        <v>106.6</v>
      </c>
      <c r="G357" s="3">
        <v>-12.38</v>
      </c>
      <c r="H357" s="3">
        <v>-12.93</v>
      </c>
      <c r="I357" s="3">
        <v>-6.8000000000000005E-2</v>
      </c>
      <c r="J357" s="3">
        <v>-0.41899999999999998</v>
      </c>
      <c r="K357" s="3">
        <v>-0.05</v>
      </c>
      <c r="L357" s="3">
        <v>0.96899999999999997</v>
      </c>
      <c r="M357" s="3">
        <v>0.72599999999999998</v>
      </c>
      <c r="N357" s="3">
        <v>0</v>
      </c>
      <c r="O357" s="3">
        <v>-7.32</v>
      </c>
      <c r="P357" s="3">
        <v>1039</v>
      </c>
      <c r="Q357" s="3">
        <v>108.5</v>
      </c>
      <c r="R357" s="3">
        <v>2324</v>
      </c>
      <c r="S357" s="3">
        <v>-6.6890000000000001</v>
      </c>
      <c r="T357" s="3">
        <v>-7.23</v>
      </c>
      <c r="U357" s="3">
        <v>0.223</v>
      </c>
      <c r="V357" s="3">
        <v>-0.32100000000000001</v>
      </c>
      <c r="W357" s="3">
        <v>4.2999999999999997E-2</v>
      </c>
      <c r="X357" s="3">
        <v>1.069</v>
      </c>
      <c r="Y357" s="3">
        <v>2.7480000000000002</v>
      </c>
      <c r="Z357" s="3">
        <v>1321</v>
      </c>
      <c r="AA357" s="3">
        <v>-17.2</v>
      </c>
      <c r="AB357" s="3">
        <v>1912</v>
      </c>
      <c r="AC357" s="3">
        <v>102.2</v>
      </c>
      <c r="AD357" s="3">
        <v>1055</v>
      </c>
      <c r="AE357" s="3">
        <v>-19.52</v>
      </c>
      <c r="AF357" s="3">
        <v>-21.22</v>
      </c>
      <c r="AG357" s="3">
        <v>-0.53600000000000003</v>
      </c>
      <c r="AH357" s="3">
        <v>-0.59899999999999998</v>
      </c>
      <c r="AI357" s="3">
        <v>-0.222</v>
      </c>
      <c r="AJ357" s="3">
        <v>0.8</v>
      </c>
      <c r="AK357" s="3">
        <v>7.3999999999999996E-2</v>
      </c>
      <c r="AL357" s="3">
        <v>0.32200000000000001</v>
      </c>
      <c r="AM357" s="3">
        <v>0.16800000000000001</v>
      </c>
      <c r="AN357" s="3">
        <v>3.6999999999999998E-2</v>
      </c>
      <c r="AO357" s="3">
        <v>0.14199999999999999</v>
      </c>
      <c r="AP357" s="3">
        <v>0.125</v>
      </c>
      <c r="AQ357" s="3">
        <v>8.5000000000000006E-2</v>
      </c>
      <c r="AR357" s="3">
        <v>4.5999999999999999E-2</v>
      </c>
      <c r="AS357" s="3">
        <v>2668</v>
      </c>
      <c r="AT357" s="3">
        <v>2659</v>
      </c>
      <c r="AU357" s="3">
        <v>2665</v>
      </c>
      <c r="AV357" s="3">
        <v>-9.35</v>
      </c>
      <c r="AW357" s="3">
        <v>-9.92</v>
      </c>
      <c r="AX357" s="3">
        <v>-7.45</v>
      </c>
      <c r="AY357" s="3">
        <v>-7.74</v>
      </c>
      <c r="AZ357" s="3">
        <v>-14.03</v>
      </c>
      <c r="BA357" s="3">
        <v>-14.63</v>
      </c>
      <c r="BB357" s="3">
        <v>13.19</v>
      </c>
      <c r="BC357" s="3">
        <v>2876</v>
      </c>
      <c r="BD357" s="3"/>
      <c r="BE357" s="6">
        <f t="shared" si="227"/>
        <v>845</v>
      </c>
      <c r="BG357" s="16">
        <v>4.3899999999999997</v>
      </c>
      <c r="BH357" s="16">
        <f t="shared" si="194"/>
        <v>8.867799999999999</v>
      </c>
      <c r="BI357" s="17">
        <f t="shared" si="190"/>
        <v>1.61</v>
      </c>
      <c r="BJ357" s="17">
        <f t="shared" si="191"/>
        <v>3.46</v>
      </c>
      <c r="BL357" s="1">
        <f t="shared" si="195"/>
        <v>95.8</v>
      </c>
      <c r="BM357" s="1">
        <f t="shared" si="196"/>
        <v>92.8</v>
      </c>
      <c r="BN357" s="1">
        <f t="shared" si="197"/>
        <v>85.8</v>
      </c>
      <c r="BO357" s="49">
        <f t="shared" si="203"/>
        <v>0.30199999999999999</v>
      </c>
      <c r="BP357" s="49">
        <f t="shared" si="204"/>
        <v>0.05</v>
      </c>
      <c r="BR357" s="3">
        <v>0.2</v>
      </c>
      <c r="BT357" s="16">
        <f t="shared" si="198"/>
        <v>1.61</v>
      </c>
      <c r="BU357" s="16">
        <f t="shared" si="199"/>
        <v>3.46</v>
      </c>
      <c r="BV357" s="3">
        <f t="shared" si="200"/>
        <v>-11.6</v>
      </c>
      <c r="BW357" s="3">
        <f t="shared" si="226"/>
        <v>-12.4</v>
      </c>
      <c r="BX357" s="3">
        <f t="shared" si="226"/>
        <v>-12.9</v>
      </c>
      <c r="BY357" s="3">
        <f t="shared" si="226"/>
        <v>-0.1</v>
      </c>
      <c r="BZ357" s="3">
        <f t="shared" si="226"/>
        <v>-0.4</v>
      </c>
      <c r="CA357" s="3">
        <f t="shared" si="226"/>
        <v>-0.1</v>
      </c>
      <c r="CB357" s="3">
        <f t="shared" si="226"/>
        <v>1</v>
      </c>
      <c r="CC357" s="22">
        <f t="shared" si="201"/>
        <v>92.8</v>
      </c>
      <c r="CD357" s="1">
        <f t="shared" si="205"/>
        <v>-7.3</v>
      </c>
      <c r="CE357" s="1">
        <f t="shared" si="206"/>
        <v>-6.7</v>
      </c>
      <c r="CF357" s="1">
        <f t="shared" si="207"/>
        <v>-7.2</v>
      </c>
      <c r="CG357" s="1">
        <f t="shared" si="208"/>
        <v>0.2</v>
      </c>
      <c r="CH357" s="1">
        <f t="shared" si="209"/>
        <v>-0.3</v>
      </c>
      <c r="CI357" s="1">
        <f t="shared" si="210"/>
        <v>0</v>
      </c>
      <c r="CJ357" s="1">
        <f t="shared" si="211"/>
        <v>1.1000000000000001</v>
      </c>
      <c r="CK357" s="2">
        <f t="shared" si="202"/>
        <v>95.8</v>
      </c>
      <c r="CL357" s="1">
        <f t="shared" si="212"/>
        <v>-17.2</v>
      </c>
      <c r="CM357" s="1">
        <f t="shared" si="213"/>
        <v>-19.5</v>
      </c>
      <c r="CN357" s="1">
        <f t="shared" si="214"/>
        <v>-21.2</v>
      </c>
      <c r="CO357" s="1">
        <f t="shared" si="215"/>
        <v>-0.5</v>
      </c>
      <c r="CP357" s="1">
        <f t="shared" si="216"/>
        <v>-0.6</v>
      </c>
      <c r="CQ357" s="1">
        <f t="shared" si="217"/>
        <v>-0.2</v>
      </c>
      <c r="CR357" s="1">
        <f t="shared" si="218"/>
        <v>0.8</v>
      </c>
      <c r="CS357" s="2">
        <f t="shared" si="219"/>
        <v>85.8</v>
      </c>
      <c r="CT357" s="6">
        <f t="shared" si="220"/>
        <v>845</v>
      </c>
      <c r="CU357" s="1">
        <f>PPTest!K357</f>
        <v>0</v>
      </c>
      <c r="CV357" s="3">
        <f t="shared" si="221"/>
        <v>0.73</v>
      </c>
      <c r="CW357" s="3">
        <f t="shared" si="222"/>
        <v>2.75</v>
      </c>
      <c r="CX357" s="24">
        <f t="shared" si="223"/>
        <v>0.30199999999999999</v>
      </c>
      <c r="CY357" s="24">
        <f t="shared" si="223"/>
        <v>0.05</v>
      </c>
      <c r="CZ357" s="16">
        <f t="shared" si="224"/>
        <v>13.19</v>
      </c>
    </row>
    <row r="358" spans="1:104" x14ac:dyDescent="0.2">
      <c r="A358" s="14">
        <f t="shared" si="225"/>
        <v>39069</v>
      </c>
      <c r="B358" s="1">
        <v>352</v>
      </c>
      <c r="C358" s="3">
        <v>0.42099999999999999</v>
      </c>
      <c r="D358" s="3">
        <v>0.84299999999999997</v>
      </c>
      <c r="E358" s="3">
        <v>-8.82</v>
      </c>
      <c r="F358" s="3">
        <v>107.9</v>
      </c>
      <c r="G358" s="3">
        <v>-9.1199999999999992</v>
      </c>
      <c r="H358" s="3">
        <v>-9.23</v>
      </c>
      <c r="I358" s="3">
        <v>4.7E-2</v>
      </c>
      <c r="J358" s="3">
        <v>-0.34499999999999997</v>
      </c>
      <c r="K358" s="3">
        <v>3.3000000000000002E-2</v>
      </c>
      <c r="L358" s="3">
        <v>1.0369999999999999</v>
      </c>
      <c r="M358" s="3">
        <v>0.72</v>
      </c>
      <c r="N358" s="3">
        <v>0</v>
      </c>
      <c r="O358" s="3">
        <v>-5.7729999999999997</v>
      </c>
      <c r="P358" s="3">
        <v>1435</v>
      </c>
      <c r="Q358" s="3">
        <v>109.7</v>
      </c>
      <c r="R358" s="3">
        <v>1432</v>
      </c>
      <c r="S358" s="3">
        <v>-5.1710000000000003</v>
      </c>
      <c r="T358" s="3">
        <v>-5.274</v>
      </c>
      <c r="U358" s="3">
        <v>0.24399999999999999</v>
      </c>
      <c r="V358" s="3">
        <v>-0.29799999999999999</v>
      </c>
      <c r="W358" s="3">
        <v>7.5999999999999998E-2</v>
      </c>
      <c r="X358" s="3">
        <v>1.085</v>
      </c>
      <c r="Y358" s="3">
        <v>3.0670000000000002</v>
      </c>
      <c r="Z358" s="3">
        <v>1442</v>
      </c>
      <c r="AA358" s="3">
        <v>-13.83</v>
      </c>
      <c r="AB358" s="3">
        <v>7</v>
      </c>
      <c r="AC358" s="3">
        <v>103.4</v>
      </c>
      <c r="AD358" s="3">
        <v>231</v>
      </c>
      <c r="AE358" s="3">
        <v>-15.22</v>
      </c>
      <c r="AF358" s="3">
        <v>-15.81</v>
      </c>
      <c r="AG358" s="3">
        <v>-0.38</v>
      </c>
      <c r="AH358" s="3">
        <v>-0.437</v>
      </c>
      <c r="AI358" s="3">
        <v>-5.0999999999999997E-2</v>
      </c>
      <c r="AJ358" s="3">
        <v>0.96099999999999997</v>
      </c>
      <c r="AK358" s="3">
        <v>0.111</v>
      </c>
      <c r="AL358" s="3">
        <v>0.192</v>
      </c>
      <c r="AM358" s="3">
        <v>0.153</v>
      </c>
      <c r="AN358" s="3">
        <v>0.10100000000000001</v>
      </c>
      <c r="AO358" s="3">
        <v>0.14399999999999999</v>
      </c>
      <c r="AP358" s="3">
        <v>0.153</v>
      </c>
      <c r="AQ358" s="3">
        <v>8.2000000000000003E-2</v>
      </c>
      <c r="AR358" s="3">
        <v>6.5000000000000002E-2</v>
      </c>
      <c r="AS358" s="3">
        <v>2646</v>
      </c>
      <c r="AT358" s="3">
        <v>2645</v>
      </c>
      <c r="AU358" s="3">
        <v>2646</v>
      </c>
      <c r="AV358" s="3">
        <v>-9.0299999999999994</v>
      </c>
      <c r="AW358" s="3">
        <v>-9.17</v>
      </c>
      <c r="AX358" s="3">
        <v>-6.2789999999999999</v>
      </c>
      <c r="AY358" s="3">
        <v>-6.53</v>
      </c>
      <c r="AZ358" s="3">
        <v>-13.76</v>
      </c>
      <c r="BA358" s="3">
        <v>-14.05</v>
      </c>
      <c r="BB358" s="3">
        <v>12.76</v>
      </c>
      <c r="BC358" s="3">
        <v>2876</v>
      </c>
      <c r="BD358" s="3"/>
      <c r="BE358" s="6">
        <f t="shared" si="227"/>
        <v>864</v>
      </c>
      <c r="BG358" s="16">
        <v>4.3899999999999997</v>
      </c>
      <c r="BH358" s="16">
        <f t="shared" si="194"/>
        <v>8.867799999999999</v>
      </c>
      <c r="BI358" s="17">
        <f t="shared" si="190"/>
        <v>0.41</v>
      </c>
      <c r="BJ358" s="17">
        <f t="shared" si="191"/>
        <v>0.93</v>
      </c>
      <c r="BL358" s="1">
        <f t="shared" si="195"/>
        <v>97.7</v>
      </c>
      <c r="BM358" s="1">
        <f t="shared" si="196"/>
        <v>94.9</v>
      </c>
      <c r="BN358" s="1">
        <f t="shared" si="197"/>
        <v>87.7</v>
      </c>
      <c r="BO358" s="49">
        <f t="shared" si="203"/>
        <v>0.34799999999999998</v>
      </c>
      <c r="BP358" s="49">
        <f t="shared" si="204"/>
        <v>4.9000000000000002E-2</v>
      </c>
      <c r="BR358" s="3">
        <v>0</v>
      </c>
      <c r="BT358" s="16">
        <f t="shared" si="198"/>
        <v>0.41</v>
      </c>
      <c r="BU358" s="16">
        <f t="shared" si="199"/>
        <v>0.93</v>
      </c>
      <c r="BV358" s="3">
        <f t="shared" si="200"/>
        <v>-8.8000000000000007</v>
      </c>
      <c r="BW358" s="3">
        <f t="shared" si="226"/>
        <v>-9.1</v>
      </c>
      <c r="BX358" s="3">
        <f t="shared" si="226"/>
        <v>-9.1999999999999993</v>
      </c>
      <c r="BY358" s="3">
        <f t="shared" si="226"/>
        <v>0</v>
      </c>
      <c r="BZ358" s="3">
        <f t="shared" si="226"/>
        <v>-0.3</v>
      </c>
      <c r="CA358" s="3">
        <f t="shared" si="226"/>
        <v>0</v>
      </c>
      <c r="CB358" s="3">
        <f t="shared" si="226"/>
        <v>1</v>
      </c>
      <c r="CC358" s="22">
        <f t="shared" si="201"/>
        <v>94.9</v>
      </c>
      <c r="CD358" s="1">
        <f t="shared" si="205"/>
        <v>-5.8</v>
      </c>
      <c r="CE358" s="1">
        <f t="shared" si="206"/>
        <v>-5.2</v>
      </c>
      <c r="CF358" s="1">
        <f t="shared" si="207"/>
        <v>-5.3</v>
      </c>
      <c r="CG358" s="1">
        <f t="shared" si="208"/>
        <v>0.2</v>
      </c>
      <c r="CH358" s="1">
        <f t="shared" si="209"/>
        <v>-0.3</v>
      </c>
      <c r="CI358" s="1">
        <f t="shared" si="210"/>
        <v>0.1</v>
      </c>
      <c r="CJ358" s="1">
        <f t="shared" si="211"/>
        <v>1.1000000000000001</v>
      </c>
      <c r="CK358" s="2">
        <f t="shared" si="202"/>
        <v>97.7</v>
      </c>
      <c r="CL358" s="1">
        <f t="shared" si="212"/>
        <v>-13.8</v>
      </c>
      <c r="CM358" s="1">
        <f t="shared" si="213"/>
        <v>-15.2</v>
      </c>
      <c r="CN358" s="1">
        <f t="shared" si="214"/>
        <v>-15.8</v>
      </c>
      <c r="CO358" s="1">
        <f t="shared" si="215"/>
        <v>-0.4</v>
      </c>
      <c r="CP358" s="1">
        <f t="shared" si="216"/>
        <v>-0.4</v>
      </c>
      <c r="CQ358" s="1">
        <f t="shared" si="217"/>
        <v>-0.1</v>
      </c>
      <c r="CR358" s="1">
        <f t="shared" si="218"/>
        <v>1</v>
      </c>
      <c r="CS358" s="2">
        <f t="shared" si="219"/>
        <v>87.7</v>
      </c>
      <c r="CT358" s="6">
        <f t="shared" si="220"/>
        <v>864</v>
      </c>
      <c r="CU358" s="1">
        <f>PPTest!K358</f>
        <v>2.5</v>
      </c>
      <c r="CV358" s="3">
        <f t="shared" si="221"/>
        <v>0.72</v>
      </c>
      <c r="CW358" s="3">
        <f t="shared" si="222"/>
        <v>3.07</v>
      </c>
      <c r="CX358" s="24">
        <f t="shared" si="223"/>
        <v>0.34799999999999998</v>
      </c>
      <c r="CY358" s="24">
        <f t="shared" si="223"/>
        <v>4.9000000000000002E-2</v>
      </c>
      <c r="CZ358" s="16">
        <f t="shared" si="224"/>
        <v>12.76</v>
      </c>
    </row>
    <row r="359" spans="1:104" x14ac:dyDescent="0.2">
      <c r="A359" s="14">
        <f t="shared" si="225"/>
        <v>39070</v>
      </c>
      <c r="B359" s="1">
        <v>353</v>
      </c>
      <c r="C359" s="3">
        <v>1.0029999999999999</v>
      </c>
      <c r="D359" s="3">
        <v>1.9259999999999999</v>
      </c>
      <c r="E359" s="3">
        <v>-5.3869999999999996</v>
      </c>
      <c r="F359" s="3">
        <v>108.4</v>
      </c>
      <c r="G359" s="3">
        <v>-5.7329999999999997</v>
      </c>
      <c r="H359" s="3">
        <v>-5.931</v>
      </c>
      <c r="I359" s="3">
        <v>0.152</v>
      </c>
      <c r="J359" s="3">
        <v>-0.33</v>
      </c>
      <c r="K359" s="3">
        <v>1.7999999999999999E-2</v>
      </c>
      <c r="L359" s="3">
        <v>1.0129999999999999</v>
      </c>
      <c r="M359" s="3">
        <v>1.008</v>
      </c>
      <c r="N359" s="3">
        <v>0</v>
      </c>
      <c r="O359" s="3">
        <v>-2.133</v>
      </c>
      <c r="P359" s="3">
        <v>2020</v>
      </c>
      <c r="Q359" s="3">
        <v>111.3</v>
      </c>
      <c r="R359" s="3">
        <v>1653</v>
      </c>
      <c r="S359" s="3">
        <v>-1.641</v>
      </c>
      <c r="T359" s="3">
        <v>-1.653</v>
      </c>
      <c r="U359" s="3">
        <v>0.28100000000000003</v>
      </c>
      <c r="V359" s="3">
        <v>-0.248</v>
      </c>
      <c r="W359" s="3">
        <v>8.7999999999999995E-2</v>
      </c>
      <c r="X359" s="3">
        <v>1.079</v>
      </c>
      <c r="Y359" s="3">
        <v>3.6389999999999998</v>
      </c>
      <c r="Z359" s="3">
        <v>222</v>
      </c>
      <c r="AA359" s="3">
        <v>-7.77</v>
      </c>
      <c r="AB359" s="3">
        <v>1735</v>
      </c>
      <c r="AC359" s="3">
        <v>101.7</v>
      </c>
      <c r="AD359" s="3">
        <v>2017</v>
      </c>
      <c r="AE359" s="3">
        <v>-9.44</v>
      </c>
      <c r="AF359" s="3">
        <v>-10.56</v>
      </c>
      <c r="AG359" s="3">
        <v>-8.3000000000000004E-2</v>
      </c>
      <c r="AH359" s="3">
        <v>-0.46899999999999997</v>
      </c>
      <c r="AI359" s="3">
        <v>-0.11700000000000001</v>
      </c>
      <c r="AJ359" s="3">
        <v>0.88100000000000001</v>
      </c>
      <c r="AK359" s="3">
        <v>0.121</v>
      </c>
      <c r="AL359" s="3">
        <v>0.223</v>
      </c>
      <c r="AM359" s="3">
        <v>0.183</v>
      </c>
      <c r="AN359" s="3">
        <v>7.8E-2</v>
      </c>
      <c r="AO359" s="3">
        <v>0.121</v>
      </c>
      <c r="AP359" s="3">
        <v>0.13500000000000001</v>
      </c>
      <c r="AQ359" s="3">
        <v>8.3000000000000004E-2</v>
      </c>
      <c r="AR359" s="3">
        <v>5.6000000000000001E-2</v>
      </c>
      <c r="AS359" s="3">
        <v>2668</v>
      </c>
      <c r="AT359" s="3">
        <v>2667</v>
      </c>
      <c r="AU359" s="3">
        <v>2667</v>
      </c>
      <c r="AV359" s="3">
        <v>-5.63</v>
      </c>
      <c r="AW359" s="3">
        <v>-5.78</v>
      </c>
      <c r="AX359" s="3">
        <v>-4.601</v>
      </c>
      <c r="AY359" s="3">
        <v>-4.6139999999999999</v>
      </c>
      <c r="AZ359" s="3">
        <v>-6.3650000000000002</v>
      </c>
      <c r="BA359" s="3">
        <v>-6.7510000000000003</v>
      </c>
      <c r="BB359" s="3">
        <v>12.93</v>
      </c>
      <c r="BC359" s="3">
        <v>2876</v>
      </c>
      <c r="BD359" s="3"/>
      <c r="BE359" s="6">
        <f t="shared" si="227"/>
        <v>843</v>
      </c>
      <c r="BG359" s="16">
        <v>4.38</v>
      </c>
      <c r="BH359" s="16">
        <f t="shared" si="194"/>
        <v>8.8475999999999999</v>
      </c>
      <c r="BI359" s="17">
        <f t="shared" si="190"/>
        <v>0.98</v>
      </c>
      <c r="BJ359" s="17">
        <f t="shared" si="191"/>
        <v>2.12</v>
      </c>
      <c r="BL359" s="1">
        <f t="shared" si="195"/>
        <v>100</v>
      </c>
      <c r="BM359" s="1">
        <f t="shared" si="196"/>
        <v>95.7</v>
      </c>
      <c r="BN359" s="1">
        <f t="shared" si="197"/>
        <v>85</v>
      </c>
      <c r="BO359" s="49">
        <f t="shared" si="203"/>
        <v>0.44400000000000001</v>
      </c>
      <c r="BP359" s="49">
        <f t="shared" si="204"/>
        <v>7.8E-2</v>
      </c>
      <c r="BR359" s="3">
        <v>0</v>
      </c>
      <c r="BT359" s="16">
        <f t="shared" si="198"/>
        <v>0.98</v>
      </c>
      <c r="BU359" s="16">
        <f t="shared" si="199"/>
        <v>2.12</v>
      </c>
      <c r="BV359" s="3">
        <f t="shared" si="200"/>
        <v>-5.4</v>
      </c>
      <c r="BW359" s="3">
        <f t="shared" si="226"/>
        <v>-5.7</v>
      </c>
      <c r="BX359" s="3">
        <f t="shared" si="226"/>
        <v>-5.9</v>
      </c>
      <c r="BY359" s="3">
        <f t="shared" si="226"/>
        <v>0.2</v>
      </c>
      <c r="BZ359" s="3">
        <f t="shared" si="226"/>
        <v>-0.3</v>
      </c>
      <c r="CA359" s="3">
        <f t="shared" si="226"/>
        <v>0</v>
      </c>
      <c r="CB359" s="3">
        <f t="shared" si="226"/>
        <v>1</v>
      </c>
      <c r="CC359" s="22">
        <f t="shared" si="201"/>
        <v>95.7</v>
      </c>
      <c r="CD359" s="1">
        <f t="shared" si="205"/>
        <v>-2.1</v>
      </c>
      <c r="CE359" s="1">
        <f t="shared" si="206"/>
        <v>-1.6</v>
      </c>
      <c r="CF359" s="1">
        <f t="shared" si="207"/>
        <v>-1.7</v>
      </c>
      <c r="CG359" s="1">
        <f t="shared" si="208"/>
        <v>0.3</v>
      </c>
      <c r="CH359" s="1">
        <f t="shared" si="209"/>
        <v>-0.2</v>
      </c>
      <c r="CI359" s="1">
        <f t="shared" si="210"/>
        <v>0.1</v>
      </c>
      <c r="CJ359" s="1">
        <f t="shared" si="211"/>
        <v>1.1000000000000001</v>
      </c>
      <c r="CK359" s="2">
        <f t="shared" si="202"/>
        <v>100</v>
      </c>
      <c r="CL359" s="1">
        <f t="shared" si="212"/>
        <v>-7.8</v>
      </c>
      <c r="CM359" s="1">
        <f t="shared" si="213"/>
        <v>-9.4</v>
      </c>
      <c r="CN359" s="1">
        <f t="shared" si="214"/>
        <v>-10.6</v>
      </c>
      <c r="CO359" s="1">
        <f t="shared" si="215"/>
        <v>-0.1</v>
      </c>
      <c r="CP359" s="1">
        <f t="shared" si="216"/>
        <v>-0.5</v>
      </c>
      <c r="CQ359" s="1">
        <f t="shared" si="217"/>
        <v>-0.1</v>
      </c>
      <c r="CR359" s="1">
        <f t="shared" si="218"/>
        <v>0.9</v>
      </c>
      <c r="CS359" s="2">
        <f t="shared" si="219"/>
        <v>85</v>
      </c>
      <c r="CT359" s="6">
        <f t="shared" si="220"/>
        <v>843</v>
      </c>
      <c r="CU359" s="1">
        <f>PPTest!K359</f>
        <v>0</v>
      </c>
      <c r="CV359" s="3">
        <f t="shared" si="221"/>
        <v>1.01</v>
      </c>
      <c r="CW359" s="3">
        <f t="shared" si="222"/>
        <v>3.64</v>
      </c>
      <c r="CX359" s="24">
        <f t="shared" si="223"/>
        <v>0.44400000000000001</v>
      </c>
      <c r="CY359" s="24">
        <f t="shared" si="223"/>
        <v>7.8E-2</v>
      </c>
      <c r="CZ359" s="16">
        <f t="shared" si="224"/>
        <v>12.93</v>
      </c>
    </row>
    <row r="360" spans="1:104" x14ac:dyDescent="0.2">
      <c r="A360" s="14">
        <f t="shared" si="225"/>
        <v>39071</v>
      </c>
      <c r="B360" s="1">
        <v>354</v>
      </c>
      <c r="C360" s="3">
        <v>0.82499999999999996</v>
      </c>
      <c r="D360" s="3">
        <v>1.466</v>
      </c>
      <c r="E360" s="3">
        <v>-3.117</v>
      </c>
      <c r="F360" s="3">
        <v>101.9</v>
      </c>
      <c r="G360" s="3">
        <v>-3.3719999999999999</v>
      </c>
      <c r="H360" s="3">
        <v>-3.516</v>
      </c>
      <c r="I360" s="3">
        <v>0.20300000000000001</v>
      </c>
      <c r="J360" s="3">
        <v>-0.28000000000000003</v>
      </c>
      <c r="K360" s="3">
        <v>4.7E-2</v>
      </c>
      <c r="L360" s="3">
        <v>1.03</v>
      </c>
      <c r="M360" s="3">
        <v>1.3640000000000001</v>
      </c>
      <c r="N360" s="3">
        <v>0</v>
      </c>
      <c r="O360" s="3">
        <v>-0.755</v>
      </c>
      <c r="P360" s="3">
        <v>2344</v>
      </c>
      <c r="Q360" s="3">
        <v>110.4</v>
      </c>
      <c r="R360" s="3">
        <v>326</v>
      </c>
      <c r="S360" s="3">
        <v>-0.73799999999999999</v>
      </c>
      <c r="T360" s="3">
        <v>-0.93100000000000005</v>
      </c>
      <c r="U360" s="3">
        <v>0.29099999999999998</v>
      </c>
      <c r="V360" s="3">
        <v>-0.221</v>
      </c>
      <c r="W360" s="3">
        <v>9.9000000000000005E-2</v>
      </c>
      <c r="X360" s="3">
        <v>1.08</v>
      </c>
      <c r="Y360" s="3">
        <v>4.6760000000000002</v>
      </c>
      <c r="Z360" s="3">
        <v>2240</v>
      </c>
      <c r="AA360" s="3">
        <v>-5.5620000000000003</v>
      </c>
      <c r="AB360" s="3">
        <v>1543</v>
      </c>
      <c r="AC360" s="3">
        <v>70.2</v>
      </c>
      <c r="AD360" s="3">
        <v>2253</v>
      </c>
      <c r="AE360" s="3">
        <v>-6.0570000000000004</v>
      </c>
      <c r="AF360" s="3">
        <v>-5.976</v>
      </c>
      <c r="AG360" s="3">
        <v>3.0000000000000001E-3</v>
      </c>
      <c r="AH360" s="3">
        <v>-0.37</v>
      </c>
      <c r="AI360" s="3">
        <v>-2.9000000000000001E-2</v>
      </c>
      <c r="AJ360" s="3">
        <v>0.94699999999999995</v>
      </c>
      <c r="AK360" s="3">
        <v>0.153</v>
      </c>
      <c r="AL360" s="3">
        <v>9.9000000000000005E-2</v>
      </c>
      <c r="AM360" s="3">
        <v>9.1999999999999998E-2</v>
      </c>
      <c r="AN360" s="3">
        <v>9.5000000000000001E-2</v>
      </c>
      <c r="AO360" s="3">
        <v>0.155</v>
      </c>
      <c r="AP360" s="3">
        <v>0.14799999999999999</v>
      </c>
      <c r="AQ360" s="3">
        <v>0.12</v>
      </c>
      <c r="AR360" s="3">
        <v>0.13700000000000001</v>
      </c>
      <c r="AS360" s="3">
        <v>2692</v>
      </c>
      <c r="AT360" s="3">
        <v>2690</v>
      </c>
      <c r="AU360" s="3">
        <v>2691</v>
      </c>
      <c r="AV360" s="3">
        <v>-3.8759999999999999</v>
      </c>
      <c r="AW360" s="3">
        <v>-3.9359999999999999</v>
      </c>
      <c r="AX360" s="3">
        <v>-3.355</v>
      </c>
      <c r="AY360" s="3">
        <v>-3.3879999999999999</v>
      </c>
      <c r="AZ360" s="3">
        <v>-4.7480000000000002</v>
      </c>
      <c r="BA360" s="3">
        <v>-4.7930000000000001</v>
      </c>
      <c r="BB360" s="3">
        <v>12.73</v>
      </c>
      <c r="BC360" s="3">
        <v>2876</v>
      </c>
      <c r="BD360" s="3"/>
      <c r="BE360" s="6">
        <f t="shared" si="227"/>
        <v>819</v>
      </c>
      <c r="BG360" s="16">
        <v>4.37</v>
      </c>
      <c r="BH360" s="16">
        <f t="shared" si="194"/>
        <v>8.8274000000000008</v>
      </c>
      <c r="BI360" s="17">
        <f t="shared" si="190"/>
        <v>0.81</v>
      </c>
      <c r="BJ360" s="17">
        <f t="shared" si="191"/>
        <v>1.61</v>
      </c>
      <c r="BL360" s="1">
        <f t="shared" si="195"/>
        <v>98.8</v>
      </c>
      <c r="BM360" s="1">
        <f t="shared" si="196"/>
        <v>85.3</v>
      </c>
      <c r="BN360" s="1">
        <f t="shared" si="197"/>
        <v>54.8</v>
      </c>
      <c r="BO360" s="49">
        <f t="shared" si="203"/>
        <v>0.317</v>
      </c>
      <c r="BP360" s="49">
        <f t="shared" si="204"/>
        <v>0.26100000000000001</v>
      </c>
      <c r="BR360" s="3">
        <v>0</v>
      </c>
      <c r="BT360" s="16">
        <f t="shared" si="198"/>
        <v>0.81</v>
      </c>
      <c r="BU360" s="16">
        <f t="shared" si="199"/>
        <v>1.61</v>
      </c>
      <c r="BV360" s="3">
        <f t="shared" si="200"/>
        <v>-3.1</v>
      </c>
      <c r="BW360" s="3">
        <f t="shared" si="226"/>
        <v>-3.4</v>
      </c>
      <c r="BX360" s="3">
        <f t="shared" si="226"/>
        <v>-3.5</v>
      </c>
      <c r="BY360" s="3">
        <f t="shared" si="226"/>
        <v>0.2</v>
      </c>
      <c r="BZ360" s="3">
        <f t="shared" si="226"/>
        <v>-0.3</v>
      </c>
      <c r="CA360" s="3">
        <f t="shared" si="226"/>
        <v>0</v>
      </c>
      <c r="CB360" s="3">
        <f t="shared" si="226"/>
        <v>1</v>
      </c>
      <c r="CC360" s="22">
        <f t="shared" si="201"/>
        <v>85.3</v>
      </c>
      <c r="CD360" s="1">
        <f t="shared" si="205"/>
        <v>-0.8</v>
      </c>
      <c r="CE360" s="1">
        <f t="shared" si="206"/>
        <v>-0.7</v>
      </c>
      <c r="CF360" s="1">
        <f t="shared" si="207"/>
        <v>-0.9</v>
      </c>
      <c r="CG360" s="1">
        <f t="shared" si="208"/>
        <v>0.3</v>
      </c>
      <c r="CH360" s="1">
        <f t="shared" si="209"/>
        <v>-0.2</v>
      </c>
      <c r="CI360" s="1">
        <f t="shared" si="210"/>
        <v>0.1</v>
      </c>
      <c r="CJ360" s="1">
        <f t="shared" si="211"/>
        <v>1.1000000000000001</v>
      </c>
      <c r="CK360" s="2">
        <f t="shared" si="202"/>
        <v>98.8</v>
      </c>
      <c r="CL360" s="1">
        <f t="shared" si="212"/>
        <v>-5.6</v>
      </c>
      <c r="CM360" s="1">
        <f t="shared" si="213"/>
        <v>-6.1</v>
      </c>
      <c r="CN360" s="1">
        <f t="shared" si="214"/>
        <v>-6</v>
      </c>
      <c r="CO360" s="1">
        <f t="shared" si="215"/>
        <v>0</v>
      </c>
      <c r="CP360" s="1">
        <f t="shared" si="216"/>
        <v>-0.4</v>
      </c>
      <c r="CQ360" s="1">
        <f t="shared" si="217"/>
        <v>0</v>
      </c>
      <c r="CR360" s="1">
        <f t="shared" si="218"/>
        <v>0.9</v>
      </c>
      <c r="CS360" s="2">
        <f t="shared" si="219"/>
        <v>54.8</v>
      </c>
      <c r="CT360" s="6">
        <f t="shared" si="220"/>
        <v>819</v>
      </c>
      <c r="CU360" s="1">
        <f>PPTest!K360</f>
        <v>0</v>
      </c>
      <c r="CV360" s="3">
        <f t="shared" si="221"/>
        <v>1.36</v>
      </c>
      <c r="CW360" s="3">
        <f t="shared" si="222"/>
        <v>4.68</v>
      </c>
      <c r="CX360" s="24">
        <f t="shared" si="223"/>
        <v>0.317</v>
      </c>
      <c r="CY360" s="24">
        <f t="shared" si="223"/>
        <v>0.26100000000000001</v>
      </c>
      <c r="CZ360" s="16">
        <f t="shared" si="224"/>
        <v>12.73</v>
      </c>
    </row>
    <row r="361" spans="1:104" x14ac:dyDescent="0.2">
      <c r="A361" s="14">
        <f t="shared" si="225"/>
        <v>39072</v>
      </c>
      <c r="B361" s="1">
        <v>355</v>
      </c>
      <c r="C361" s="3">
        <v>2.75</v>
      </c>
      <c r="D361" s="3">
        <v>4.8129999999999997</v>
      </c>
      <c r="E361" s="3">
        <v>-3.6379999999999999</v>
      </c>
      <c r="F361" s="3">
        <v>99.9</v>
      </c>
      <c r="G361" s="3">
        <v>-4.0149999999999997</v>
      </c>
      <c r="H361" s="3">
        <v>-4.1950000000000003</v>
      </c>
      <c r="I361" s="3">
        <v>0.17299999999999999</v>
      </c>
      <c r="J361" s="3">
        <v>-0.28199999999999997</v>
      </c>
      <c r="K361" s="3">
        <v>2.7E-2</v>
      </c>
      <c r="L361" s="3">
        <v>1.004</v>
      </c>
      <c r="M361" s="3">
        <v>1.8779999999999999</v>
      </c>
      <c r="N361" s="3">
        <v>0</v>
      </c>
      <c r="O361" s="3">
        <v>-1.1439999999999999</v>
      </c>
      <c r="P361" s="3">
        <v>33</v>
      </c>
      <c r="Q361" s="3">
        <v>109</v>
      </c>
      <c r="R361" s="3">
        <v>325</v>
      </c>
      <c r="S361" s="3">
        <v>-1.121</v>
      </c>
      <c r="T361" s="3">
        <v>-1.0649999999999999</v>
      </c>
      <c r="U361" s="3">
        <v>0.28299999999999997</v>
      </c>
      <c r="V361" s="3">
        <v>-0.21</v>
      </c>
      <c r="W361" s="3">
        <v>8.7999999999999995E-2</v>
      </c>
      <c r="X361" s="3">
        <v>1.0680000000000001</v>
      </c>
      <c r="Y361" s="3">
        <v>6.6580000000000004</v>
      </c>
      <c r="Z361" s="3">
        <v>345</v>
      </c>
      <c r="AA361" s="3">
        <v>-6.2450000000000001</v>
      </c>
      <c r="AB361" s="3">
        <v>2032</v>
      </c>
      <c r="AC361" s="3">
        <v>79.8</v>
      </c>
      <c r="AD361" s="3">
        <v>36</v>
      </c>
      <c r="AE361" s="3">
        <v>-7.46</v>
      </c>
      <c r="AF361" s="3">
        <v>-8.17</v>
      </c>
      <c r="AG361" s="3">
        <v>-7.0000000000000007E-2</v>
      </c>
      <c r="AH361" s="3">
        <v>-0.38300000000000001</v>
      </c>
      <c r="AI361" s="3">
        <v>-7.1999999999999995E-2</v>
      </c>
      <c r="AJ361" s="3">
        <v>0.90400000000000003</v>
      </c>
      <c r="AK361" s="3">
        <v>7.3999999999999996E-2</v>
      </c>
      <c r="AL361" s="3">
        <v>7.1999999999999995E-2</v>
      </c>
      <c r="AM361" s="3">
        <v>7.3999999999999996E-2</v>
      </c>
      <c r="AN361" s="3">
        <v>8.5999999999999993E-2</v>
      </c>
      <c r="AO361" s="3">
        <v>0.17699999999999999</v>
      </c>
      <c r="AP361" s="3">
        <v>0.222</v>
      </c>
      <c r="AQ361" s="3">
        <v>0.159</v>
      </c>
      <c r="AR361" s="3">
        <v>0.13500000000000001</v>
      </c>
      <c r="AS361" s="3">
        <v>2678</v>
      </c>
      <c r="AT361" s="3">
        <v>2677</v>
      </c>
      <c r="AU361" s="3">
        <v>2678</v>
      </c>
      <c r="AV361" s="3">
        <v>-3.8460000000000001</v>
      </c>
      <c r="AW361" s="3">
        <v>-4.04</v>
      </c>
      <c r="AX361" s="3">
        <v>-3.2930000000000001</v>
      </c>
      <c r="AY361" s="3">
        <v>-3.4340000000000002</v>
      </c>
      <c r="AZ361" s="3">
        <v>-4.7270000000000003</v>
      </c>
      <c r="BA361" s="3">
        <v>-5.077</v>
      </c>
      <c r="BB361" s="3">
        <v>13.18</v>
      </c>
      <c r="BC361" s="3">
        <v>2876</v>
      </c>
      <c r="BD361" s="3"/>
      <c r="BE361" s="6">
        <f t="shared" si="227"/>
        <v>832</v>
      </c>
      <c r="BG361" s="16">
        <v>4.38</v>
      </c>
      <c r="BH361" s="16">
        <f t="shared" si="194"/>
        <v>8.8475999999999999</v>
      </c>
      <c r="BI361" s="17">
        <f t="shared" si="190"/>
        <v>2.7</v>
      </c>
      <c r="BJ361" s="17">
        <f t="shared" si="191"/>
        <v>5.29</v>
      </c>
      <c r="BL361" s="1">
        <f t="shared" si="195"/>
        <v>96.6</v>
      </c>
      <c r="BM361" s="1">
        <f t="shared" si="196"/>
        <v>82.1</v>
      </c>
      <c r="BN361" s="1">
        <f t="shared" si="197"/>
        <v>63.2</v>
      </c>
      <c r="BO361" s="49">
        <f t="shared" si="203"/>
        <v>0.35499999999999998</v>
      </c>
      <c r="BP361" s="49">
        <f t="shared" si="204"/>
        <v>0.20699999999999999</v>
      </c>
      <c r="BR361" s="3">
        <v>0</v>
      </c>
      <c r="BT361" s="16">
        <f t="shared" si="198"/>
        <v>2.7</v>
      </c>
      <c r="BU361" s="16">
        <f t="shared" si="199"/>
        <v>5.29</v>
      </c>
      <c r="BV361" s="3">
        <f t="shared" si="200"/>
        <v>-3.6</v>
      </c>
      <c r="BW361" s="3">
        <f t="shared" si="226"/>
        <v>-4</v>
      </c>
      <c r="BX361" s="3">
        <f t="shared" si="226"/>
        <v>-4.2</v>
      </c>
      <c r="BY361" s="3">
        <f t="shared" si="226"/>
        <v>0.2</v>
      </c>
      <c r="BZ361" s="3">
        <f t="shared" si="226"/>
        <v>-0.3</v>
      </c>
      <c r="CA361" s="3">
        <f t="shared" si="226"/>
        <v>0</v>
      </c>
      <c r="CB361" s="3">
        <f t="shared" si="226"/>
        <v>1</v>
      </c>
      <c r="CC361" s="22">
        <f t="shared" si="201"/>
        <v>82.1</v>
      </c>
      <c r="CD361" s="1">
        <f t="shared" si="205"/>
        <v>-1.1000000000000001</v>
      </c>
      <c r="CE361" s="1">
        <f t="shared" si="206"/>
        <v>-1.1000000000000001</v>
      </c>
      <c r="CF361" s="1">
        <f t="shared" si="207"/>
        <v>-1.1000000000000001</v>
      </c>
      <c r="CG361" s="1">
        <f t="shared" si="208"/>
        <v>0.3</v>
      </c>
      <c r="CH361" s="1">
        <f t="shared" si="209"/>
        <v>-0.2</v>
      </c>
      <c r="CI361" s="1">
        <f t="shared" si="210"/>
        <v>0.1</v>
      </c>
      <c r="CJ361" s="1">
        <f t="shared" si="211"/>
        <v>1.1000000000000001</v>
      </c>
      <c r="CK361" s="2">
        <f t="shared" si="202"/>
        <v>96.6</v>
      </c>
      <c r="CL361" s="1">
        <f t="shared" si="212"/>
        <v>-6.2</v>
      </c>
      <c r="CM361" s="1">
        <f t="shared" si="213"/>
        <v>-7.5</v>
      </c>
      <c r="CN361" s="1">
        <f t="shared" si="214"/>
        <v>-8.1999999999999993</v>
      </c>
      <c r="CO361" s="1">
        <f t="shared" si="215"/>
        <v>-0.1</v>
      </c>
      <c r="CP361" s="1">
        <f t="shared" si="216"/>
        <v>-0.4</v>
      </c>
      <c r="CQ361" s="1">
        <f t="shared" si="217"/>
        <v>-0.1</v>
      </c>
      <c r="CR361" s="1">
        <f t="shared" si="218"/>
        <v>0.9</v>
      </c>
      <c r="CS361" s="2">
        <f t="shared" si="219"/>
        <v>63.2</v>
      </c>
      <c r="CT361" s="6">
        <f t="shared" si="220"/>
        <v>832</v>
      </c>
      <c r="CU361" s="1">
        <f>PPTest!K361</f>
        <v>1.7</v>
      </c>
      <c r="CV361" s="3">
        <f t="shared" si="221"/>
        <v>1.88</v>
      </c>
      <c r="CW361" s="3">
        <f t="shared" si="222"/>
        <v>6.66</v>
      </c>
      <c r="CX361" s="24">
        <f t="shared" si="223"/>
        <v>0.35499999999999998</v>
      </c>
      <c r="CY361" s="24">
        <f t="shared" si="223"/>
        <v>0.20699999999999999</v>
      </c>
      <c r="CZ361" s="16">
        <f t="shared" si="224"/>
        <v>13.18</v>
      </c>
    </row>
    <row r="362" spans="1:104" x14ac:dyDescent="0.2">
      <c r="A362" s="14">
        <f t="shared" si="225"/>
        <v>39073</v>
      </c>
      <c r="B362" s="1">
        <v>356</v>
      </c>
      <c r="C362" s="3">
        <v>2.0819999999999999</v>
      </c>
      <c r="D362" s="3">
        <v>3.8650000000000002</v>
      </c>
      <c r="E362" s="3">
        <v>-5.431</v>
      </c>
      <c r="F362" s="3">
        <v>98.6</v>
      </c>
      <c r="G362" s="3">
        <v>-5.8159999999999998</v>
      </c>
      <c r="H362" s="3">
        <v>-6.0030000000000001</v>
      </c>
      <c r="I362" s="3">
        <v>0.191</v>
      </c>
      <c r="J362" s="3">
        <v>-0.29299999999999998</v>
      </c>
      <c r="K362" s="3">
        <v>4.0000000000000001E-3</v>
      </c>
      <c r="L362" s="3">
        <v>0.97899999999999998</v>
      </c>
      <c r="M362" s="3">
        <v>1.389</v>
      </c>
      <c r="N362" s="3">
        <v>0</v>
      </c>
      <c r="O362" s="3">
        <v>-2.863</v>
      </c>
      <c r="P362" s="3">
        <v>1354</v>
      </c>
      <c r="Q362" s="3">
        <v>107.4</v>
      </c>
      <c r="R362" s="3">
        <v>233</v>
      </c>
      <c r="S362" s="3">
        <v>-1.72</v>
      </c>
      <c r="T362" s="3">
        <v>-2.2829999999999999</v>
      </c>
      <c r="U362" s="3">
        <v>0.30499999999999999</v>
      </c>
      <c r="V362" s="3">
        <v>-0.22500000000000001</v>
      </c>
      <c r="W362" s="3">
        <v>6.3E-2</v>
      </c>
      <c r="X362" s="3">
        <v>1.04</v>
      </c>
      <c r="Y362" s="3">
        <v>4.3040000000000003</v>
      </c>
      <c r="Z362" s="3">
        <v>2024</v>
      </c>
      <c r="AA362" s="3">
        <v>-7.92</v>
      </c>
      <c r="AB362" s="3">
        <v>1721</v>
      </c>
      <c r="AC362" s="3">
        <v>75.3</v>
      </c>
      <c r="AD362" s="3">
        <v>2311</v>
      </c>
      <c r="AE362" s="3">
        <v>-9.36</v>
      </c>
      <c r="AF362" s="3">
        <v>-10</v>
      </c>
      <c r="AG362" s="3">
        <v>-1.4E-2</v>
      </c>
      <c r="AH362" s="3">
        <v>-0.4</v>
      </c>
      <c r="AI362" s="3">
        <v>-9.5000000000000001E-2</v>
      </c>
      <c r="AJ362" s="3">
        <v>0.88</v>
      </c>
      <c r="AK362" s="3">
        <v>7.3999999999999996E-2</v>
      </c>
      <c r="AL362" s="3">
        <v>7.8E-2</v>
      </c>
      <c r="AM362" s="3">
        <v>0.104</v>
      </c>
      <c r="AN362" s="3">
        <v>8.3000000000000004E-2</v>
      </c>
      <c r="AO362" s="3">
        <v>0.20300000000000001</v>
      </c>
      <c r="AP362" s="3">
        <v>0.28699999999999998</v>
      </c>
      <c r="AQ362" s="3">
        <v>0.11600000000000001</v>
      </c>
      <c r="AR362" s="3">
        <v>5.3999999999999999E-2</v>
      </c>
      <c r="AS362" s="3">
        <v>2715</v>
      </c>
      <c r="AT362" s="3">
        <v>2699</v>
      </c>
      <c r="AU362" s="3">
        <v>2704</v>
      </c>
      <c r="AV362" s="3">
        <v>-4.843</v>
      </c>
      <c r="AW362" s="3">
        <v>-5.1760000000000002</v>
      </c>
      <c r="AX362" s="3">
        <v>-4.1420000000000003</v>
      </c>
      <c r="AY362" s="3">
        <v>-4.3040000000000003</v>
      </c>
      <c r="AZ362" s="3">
        <v>-5.8179999999999996</v>
      </c>
      <c r="BA362" s="3">
        <v>-6.141</v>
      </c>
      <c r="BB362" s="3">
        <v>13.17</v>
      </c>
      <c r="BC362" s="3">
        <v>2876</v>
      </c>
      <c r="BD362" s="3"/>
      <c r="BE362" s="6">
        <f t="shared" si="227"/>
        <v>806</v>
      </c>
      <c r="BG362" s="16">
        <v>4.38</v>
      </c>
      <c r="BH362" s="16">
        <f t="shared" si="194"/>
        <v>8.8475999999999999</v>
      </c>
      <c r="BI362" s="17">
        <f t="shared" si="190"/>
        <v>2.04</v>
      </c>
      <c r="BJ362" s="17">
        <f t="shared" si="191"/>
        <v>4.25</v>
      </c>
      <c r="BL362" s="1">
        <f t="shared" si="195"/>
        <v>94.1</v>
      </c>
      <c r="BM362" s="1">
        <f t="shared" si="196"/>
        <v>79.8</v>
      </c>
      <c r="BN362" s="1">
        <f t="shared" si="197"/>
        <v>59.3</v>
      </c>
      <c r="BO362" s="49">
        <f t="shared" si="203"/>
        <v>0.29299999999999998</v>
      </c>
      <c r="BP362" s="49">
        <f t="shared" si="204"/>
        <v>0.20100000000000001</v>
      </c>
      <c r="BR362" s="3">
        <v>0.6</v>
      </c>
      <c r="BT362" s="16">
        <f t="shared" si="198"/>
        <v>2.04</v>
      </c>
      <c r="BU362" s="16">
        <f t="shared" si="199"/>
        <v>4.25</v>
      </c>
      <c r="BV362" s="3">
        <f t="shared" si="200"/>
        <v>-5.4</v>
      </c>
      <c r="BW362" s="3">
        <f t="shared" si="226"/>
        <v>-5.8</v>
      </c>
      <c r="BX362" s="3">
        <f t="shared" si="226"/>
        <v>-6</v>
      </c>
      <c r="BY362" s="3">
        <f t="shared" si="226"/>
        <v>0.2</v>
      </c>
      <c r="BZ362" s="3">
        <f t="shared" si="226"/>
        <v>-0.3</v>
      </c>
      <c r="CA362" s="3">
        <f t="shared" si="226"/>
        <v>0</v>
      </c>
      <c r="CB362" s="3">
        <f t="shared" si="226"/>
        <v>1</v>
      </c>
      <c r="CC362" s="22">
        <f t="shared" si="201"/>
        <v>79.8</v>
      </c>
      <c r="CD362" s="1">
        <f t="shared" si="205"/>
        <v>-2.9</v>
      </c>
      <c r="CE362" s="1">
        <f t="shared" si="206"/>
        <v>-1.7</v>
      </c>
      <c r="CF362" s="1">
        <f t="shared" si="207"/>
        <v>-2.2999999999999998</v>
      </c>
      <c r="CG362" s="1">
        <f t="shared" si="208"/>
        <v>0.3</v>
      </c>
      <c r="CH362" s="1">
        <f t="shared" si="209"/>
        <v>-0.2</v>
      </c>
      <c r="CI362" s="1">
        <f t="shared" si="210"/>
        <v>0.1</v>
      </c>
      <c r="CJ362" s="1">
        <f t="shared" si="211"/>
        <v>1</v>
      </c>
      <c r="CK362" s="2">
        <f t="shared" si="202"/>
        <v>94.1</v>
      </c>
      <c r="CL362" s="1">
        <f t="shared" si="212"/>
        <v>-7.9</v>
      </c>
      <c r="CM362" s="1">
        <f t="shared" si="213"/>
        <v>-9.4</v>
      </c>
      <c r="CN362" s="1">
        <f t="shared" si="214"/>
        <v>-10</v>
      </c>
      <c r="CO362" s="1">
        <f t="shared" si="215"/>
        <v>0</v>
      </c>
      <c r="CP362" s="1">
        <f t="shared" si="216"/>
        <v>-0.4</v>
      </c>
      <c r="CQ362" s="1">
        <f t="shared" si="217"/>
        <v>-0.1</v>
      </c>
      <c r="CR362" s="1">
        <f t="shared" si="218"/>
        <v>0.9</v>
      </c>
      <c r="CS362" s="2">
        <f t="shared" si="219"/>
        <v>59.3</v>
      </c>
      <c r="CT362" s="6">
        <f t="shared" si="220"/>
        <v>806</v>
      </c>
      <c r="CU362" s="1">
        <f>PPTest!K362</f>
        <v>0</v>
      </c>
      <c r="CV362" s="3">
        <f t="shared" si="221"/>
        <v>1.39</v>
      </c>
      <c r="CW362" s="3">
        <f t="shared" si="222"/>
        <v>4.3</v>
      </c>
      <c r="CX362" s="24">
        <f t="shared" si="223"/>
        <v>0.29299999999999998</v>
      </c>
      <c r="CY362" s="24">
        <f t="shared" si="223"/>
        <v>0.20100000000000001</v>
      </c>
      <c r="CZ362" s="16">
        <f t="shared" si="224"/>
        <v>13.17</v>
      </c>
    </row>
    <row r="363" spans="1:104" x14ac:dyDescent="0.2">
      <c r="A363" s="14">
        <f t="shared" si="225"/>
        <v>39074</v>
      </c>
      <c r="B363" s="1">
        <v>357</v>
      </c>
      <c r="C363" s="3">
        <v>0.49099999999999999</v>
      </c>
      <c r="D363" s="3">
        <v>0.877</v>
      </c>
      <c r="E363" s="3">
        <v>-6.9580000000000002</v>
      </c>
      <c r="F363" s="3">
        <v>105.6</v>
      </c>
      <c r="G363" s="3">
        <v>-7.37</v>
      </c>
      <c r="H363" s="3">
        <v>-7.58</v>
      </c>
      <c r="I363" s="3">
        <v>0.14599999999999999</v>
      </c>
      <c r="J363" s="3">
        <v>-0.29399999999999998</v>
      </c>
      <c r="K363" s="3">
        <v>2E-3</v>
      </c>
      <c r="L363" s="3">
        <v>0.97499999999999998</v>
      </c>
      <c r="M363" s="3">
        <v>1.196</v>
      </c>
      <c r="N363" s="3">
        <v>0</v>
      </c>
      <c r="O363" s="3">
        <v>-5.0209999999999999</v>
      </c>
      <c r="P363" s="3">
        <v>115</v>
      </c>
      <c r="Q363" s="3">
        <v>109.8</v>
      </c>
      <c r="R363" s="3">
        <v>1732</v>
      </c>
      <c r="S363" s="3">
        <v>-4.968</v>
      </c>
      <c r="T363" s="3">
        <v>-5.0490000000000004</v>
      </c>
      <c r="U363" s="3">
        <v>0.245</v>
      </c>
      <c r="V363" s="3">
        <v>-0.218</v>
      </c>
      <c r="W363" s="3">
        <v>6.6000000000000003E-2</v>
      </c>
      <c r="X363" s="3">
        <v>1.0349999999999999</v>
      </c>
      <c r="Y363" s="3">
        <v>4.5570000000000004</v>
      </c>
      <c r="Z363" s="3">
        <v>56</v>
      </c>
      <c r="AA363" s="3">
        <v>-14.17</v>
      </c>
      <c r="AB363" s="3">
        <v>2358</v>
      </c>
      <c r="AC363" s="3">
        <v>78.8</v>
      </c>
      <c r="AD363" s="3">
        <v>112</v>
      </c>
      <c r="AE363" s="3">
        <v>-16.53</v>
      </c>
      <c r="AF363" s="3">
        <v>-18.09</v>
      </c>
      <c r="AG363" s="3">
        <v>-0.23899999999999999</v>
      </c>
      <c r="AH363" s="3">
        <v>-0.52600000000000002</v>
      </c>
      <c r="AI363" s="3">
        <v>-0.20599999999999999</v>
      </c>
      <c r="AJ363" s="3">
        <v>0.77600000000000002</v>
      </c>
      <c r="AK363" s="3">
        <v>0.11</v>
      </c>
      <c r="AL363" s="3">
        <v>0.129</v>
      </c>
      <c r="AM363" s="3">
        <v>9.7000000000000003E-2</v>
      </c>
      <c r="AN363" s="3">
        <v>4.2000000000000003E-2</v>
      </c>
      <c r="AO363" s="3">
        <v>0.126</v>
      </c>
      <c r="AP363" s="3">
        <v>0.27200000000000002</v>
      </c>
      <c r="AQ363" s="3">
        <v>0.14599999999999999</v>
      </c>
      <c r="AR363" s="3">
        <v>7.9000000000000001E-2</v>
      </c>
      <c r="AS363" s="3">
        <v>2636</v>
      </c>
      <c r="AT363" s="3">
        <v>2633</v>
      </c>
      <c r="AU363" s="3">
        <v>2634</v>
      </c>
      <c r="AV363" s="3">
        <v>-5.6859999999999999</v>
      </c>
      <c r="AW363" s="3">
        <v>-6.032</v>
      </c>
      <c r="AX363" s="3">
        <v>-4.8940000000000001</v>
      </c>
      <c r="AY363" s="3">
        <v>-5.2009999999999996</v>
      </c>
      <c r="AZ363" s="3">
        <v>-8.85</v>
      </c>
      <c r="BA363" s="3">
        <v>-10.3</v>
      </c>
      <c r="BB363" s="3">
        <v>12.9</v>
      </c>
      <c r="BC363" s="3">
        <v>2876</v>
      </c>
      <c r="BD363" s="3"/>
      <c r="BE363" s="6">
        <f t="shared" si="227"/>
        <v>876</v>
      </c>
      <c r="BG363" s="16">
        <v>4.3899999999999997</v>
      </c>
      <c r="BH363" s="16">
        <f t="shared" si="194"/>
        <v>8.867799999999999</v>
      </c>
      <c r="BI363" s="17">
        <f t="shared" si="190"/>
        <v>0.48</v>
      </c>
      <c r="BJ363" s="17">
        <f t="shared" si="191"/>
        <v>0.96</v>
      </c>
      <c r="BL363" s="1">
        <f t="shared" si="195"/>
        <v>97.9</v>
      </c>
      <c r="BM363" s="1">
        <f t="shared" si="196"/>
        <v>91.2</v>
      </c>
      <c r="BN363" s="1">
        <f t="shared" si="197"/>
        <v>62.3</v>
      </c>
      <c r="BO363" s="49">
        <f t="shared" si="203"/>
        <v>0.26200000000000001</v>
      </c>
      <c r="BP363" s="49">
        <f t="shared" si="204"/>
        <v>0.159</v>
      </c>
      <c r="BR363" s="3">
        <v>0</v>
      </c>
      <c r="BT363" s="16">
        <f t="shared" si="198"/>
        <v>0.48</v>
      </c>
      <c r="BU363" s="16">
        <f t="shared" si="199"/>
        <v>0.96</v>
      </c>
      <c r="BV363" s="3">
        <f t="shared" si="200"/>
        <v>-7</v>
      </c>
      <c r="BW363" s="3">
        <f t="shared" si="226"/>
        <v>-7.4</v>
      </c>
      <c r="BX363" s="3">
        <f t="shared" si="226"/>
        <v>-7.6</v>
      </c>
      <c r="BY363" s="3">
        <f t="shared" si="226"/>
        <v>0.1</v>
      </c>
      <c r="BZ363" s="3">
        <f t="shared" si="226"/>
        <v>-0.3</v>
      </c>
      <c r="CA363" s="3">
        <f t="shared" si="226"/>
        <v>0</v>
      </c>
      <c r="CB363" s="3">
        <f t="shared" si="226"/>
        <v>1</v>
      </c>
      <c r="CC363" s="22">
        <f t="shared" si="201"/>
        <v>91.2</v>
      </c>
      <c r="CD363" s="1">
        <f t="shared" si="205"/>
        <v>-5</v>
      </c>
      <c r="CE363" s="1">
        <f t="shared" si="206"/>
        <v>-5</v>
      </c>
      <c r="CF363" s="1">
        <f t="shared" si="207"/>
        <v>-5</v>
      </c>
      <c r="CG363" s="1">
        <f t="shared" si="208"/>
        <v>0.2</v>
      </c>
      <c r="CH363" s="1">
        <f t="shared" si="209"/>
        <v>-0.2</v>
      </c>
      <c r="CI363" s="1">
        <f t="shared" si="210"/>
        <v>0.1</v>
      </c>
      <c r="CJ363" s="1">
        <f t="shared" si="211"/>
        <v>1</v>
      </c>
      <c r="CK363" s="2">
        <f t="shared" si="202"/>
        <v>97.9</v>
      </c>
      <c r="CL363" s="1">
        <f t="shared" si="212"/>
        <v>-14.2</v>
      </c>
      <c r="CM363" s="1">
        <f t="shared" si="213"/>
        <v>-16.5</v>
      </c>
      <c r="CN363" s="1">
        <f t="shared" si="214"/>
        <v>-18.100000000000001</v>
      </c>
      <c r="CO363" s="1">
        <f t="shared" si="215"/>
        <v>-0.2</v>
      </c>
      <c r="CP363" s="1">
        <f t="shared" si="216"/>
        <v>-0.5</v>
      </c>
      <c r="CQ363" s="1">
        <f t="shared" si="217"/>
        <v>-0.2</v>
      </c>
      <c r="CR363" s="1">
        <f t="shared" si="218"/>
        <v>0.8</v>
      </c>
      <c r="CS363" s="2">
        <f t="shared" si="219"/>
        <v>62.3</v>
      </c>
      <c r="CT363" s="6">
        <f t="shared" si="220"/>
        <v>876</v>
      </c>
      <c r="CU363" s="1">
        <f>PPTest!K363</f>
        <v>9.1</v>
      </c>
      <c r="CV363" s="3">
        <f t="shared" si="221"/>
        <v>1.2</v>
      </c>
      <c r="CW363" s="3">
        <f t="shared" si="222"/>
        <v>4.5599999999999996</v>
      </c>
      <c r="CX363" s="24">
        <f t="shared" si="223"/>
        <v>0.26200000000000001</v>
      </c>
      <c r="CY363" s="24">
        <f t="shared" si="223"/>
        <v>0.159</v>
      </c>
      <c r="CZ363" s="16">
        <f t="shared" si="224"/>
        <v>12.9</v>
      </c>
    </row>
    <row r="364" spans="1:104" x14ac:dyDescent="0.2">
      <c r="A364" s="14">
        <f t="shared" si="225"/>
        <v>39075</v>
      </c>
      <c r="B364" s="1">
        <v>358</v>
      </c>
      <c r="C364" s="3">
        <v>0.45500000000000002</v>
      </c>
      <c r="D364" s="3">
        <v>0.76</v>
      </c>
      <c r="E364" s="3">
        <v>-9.82</v>
      </c>
      <c r="F364" s="3">
        <v>100.7</v>
      </c>
      <c r="G364" s="3">
        <v>-10.42</v>
      </c>
      <c r="H364" s="3">
        <v>-10.78</v>
      </c>
      <c r="I364" s="3">
        <v>-9.0999999999999998E-2</v>
      </c>
      <c r="J364" s="3">
        <v>-0.30599999999999999</v>
      </c>
      <c r="K364" s="3">
        <v>1.2E-2</v>
      </c>
      <c r="L364" s="3">
        <v>0.98299999999999998</v>
      </c>
      <c r="M364" s="3">
        <v>1.9590000000000001</v>
      </c>
      <c r="N364" s="3">
        <v>0</v>
      </c>
      <c r="O364" s="3">
        <v>-3.956</v>
      </c>
      <c r="P364" s="3">
        <v>2358</v>
      </c>
      <c r="Q364" s="3">
        <v>109.8</v>
      </c>
      <c r="R364" s="3">
        <v>844</v>
      </c>
      <c r="S364" s="3">
        <v>-3.4350000000000001</v>
      </c>
      <c r="T364" s="3">
        <v>-3.4</v>
      </c>
      <c r="U364" s="3">
        <v>0.27900000000000003</v>
      </c>
      <c r="V364" s="3">
        <v>-9.1999999999999998E-2</v>
      </c>
      <c r="W364" s="3">
        <v>0.20399999999999999</v>
      </c>
      <c r="X364" s="3">
        <v>1.1619999999999999</v>
      </c>
      <c r="Y364" s="3">
        <v>5.0490000000000004</v>
      </c>
      <c r="Z364" s="3">
        <v>1347</v>
      </c>
      <c r="AA364" s="3">
        <v>-20.079999999999998</v>
      </c>
      <c r="AB364" s="3">
        <v>701</v>
      </c>
      <c r="AC364" s="3">
        <v>71.5</v>
      </c>
      <c r="AD364" s="3">
        <v>1411</v>
      </c>
      <c r="AE364" s="3">
        <v>-22.59</v>
      </c>
      <c r="AF364" s="3">
        <v>-22.61</v>
      </c>
      <c r="AG364" s="3">
        <v>-0.54400000000000004</v>
      </c>
      <c r="AH364" s="3">
        <v>-0.56100000000000005</v>
      </c>
      <c r="AI364" s="3">
        <v>-0.254</v>
      </c>
      <c r="AJ364" s="3">
        <v>0.73499999999999999</v>
      </c>
      <c r="AK364" s="3">
        <v>0.16</v>
      </c>
      <c r="AL364" s="3">
        <v>0.28100000000000003</v>
      </c>
      <c r="AM364" s="3">
        <v>0.19800000000000001</v>
      </c>
      <c r="AN364" s="3">
        <v>2.1999999999999999E-2</v>
      </c>
      <c r="AO364" s="3">
        <v>2.5000000000000001E-2</v>
      </c>
      <c r="AP364" s="3">
        <v>7.3999999999999996E-2</v>
      </c>
      <c r="AQ364" s="3">
        <v>9.5000000000000001E-2</v>
      </c>
      <c r="AR364" s="3">
        <v>0.14499999999999999</v>
      </c>
      <c r="AS364" s="3">
        <v>2609</v>
      </c>
      <c r="AT364" s="3">
        <v>2606</v>
      </c>
      <c r="AU364" s="3">
        <v>2607</v>
      </c>
      <c r="AV364" s="3">
        <v>-10.29</v>
      </c>
      <c r="AW364" s="3">
        <v>-10.5</v>
      </c>
      <c r="AX364" s="3">
        <v>-5.25</v>
      </c>
      <c r="AY364" s="3">
        <v>-5.2169999999999996</v>
      </c>
      <c r="AZ364" s="3">
        <v>-16.39</v>
      </c>
      <c r="BA364" s="3">
        <v>-17.11</v>
      </c>
      <c r="BB364" s="3">
        <v>12.84</v>
      </c>
      <c r="BC364" s="3">
        <v>2876</v>
      </c>
      <c r="BD364" s="3"/>
      <c r="BE364" s="6">
        <f t="shared" si="227"/>
        <v>903</v>
      </c>
      <c r="BG364" s="16">
        <v>4.4000000000000004</v>
      </c>
      <c r="BH364" s="16">
        <f t="shared" si="194"/>
        <v>8.8880000000000017</v>
      </c>
      <c r="BI364" s="17">
        <f t="shared" si="190"/>
        <v>0.45</v>
      </c>
      <c r="BJ364" s="17">
        <f t="shared" si="191"/>
        <v>0.84</v>
      </c>
      <c r="BL364" s="1">
        <f t="shared" si="195"/>
        <v>97.9</v>
      </c>
      <c r="BM364" s="1">
        <f t="shared" si="196"/>
        <v>83.4</v>
      </c>
      <c r="BN364" s="1">
        <f t="shared" si="197"/>
        <v>55.9</v>
      </c>
      <c r="BO364" s="49">
        <f t="shared" si="203"/>
        <v>0.255</v>
      </c>
      <c r="BP364" s="49">
        <f t="shared" si="204"/>
        <v>0.20100000000000001</v>
      </c>
      <c r="BR364" s="3">
        <v>0</v>
      </c>
      <c r="BT364" s="16">
        <f t="shared" si="198"/>
        <v>0.45</v>
      </c>
      <c r="BU364" s="16">
        <f t="shared" si="199"/>
        <v>0.84</v>
      </c>
      <c r="BV364" s="3">
        <f t="shared" si="200"/>
        <v>-9.8000000000000007</v>
      </c>
      <c r="BW364" s="3">
        <f t="shared" si="226"/>
        <v>-10.4</v>
      </c>
      <c r="BX364" s="3">
        <f t="shared" si="226"/>
        <v>-10.8</v>
      </c>
      <c r="BY364" s="3">
        <f t="shared" si="226"/>
        <v>-0.1</v>
      </c>
      <c r="BZ364" s="3">
        <f t="shared" si="226"/>
        <v>-0.3</v>
      </c>
      <c r="CA364" s="3">
        <f t="shared" si="226"/>
        <v>0</v>
      </c>
      <c r="CB364" s="3">
        <f t="shared" si="226"/>
        <v>1</v>
      </c>
      <c r="CC364" s="22">
        <f t="shared" si="201"/>
        <v>83.4</v>
      </c>
      <c r="CD364" s="1">
        <f t="shared" si="205"/>
        <v>-4</v>
      </c>
      <c r="CE364" s="1">
        <f t="shared" si="206"/>
        <v>-3.4</v>
      </c>
      <c r="CF364" s="1">
        <f t="shared" si="207"/>
        <v>-3.4</v>
      </c>
      <c r="CG364" s="1">
        <f t="shared" si="208"/>
        <v>0.3</v>
      </c>
      <c r="CH364" s="1">
        <f t="shared" si="209"/>
        <v>-0.1</v>
      </c>
      <c r="CI364" s="1">
        <f t="shared" si="210"/>
        <v>0.2</v>
      </c>
      <c r="CJ364" s="1">
        <f t="shared" si="211"/>
        <v>1.2</v>
      </c>
      <c r="CK364" s="2">
        <f t="shared" si="202"/>
        <v>97.9</v>
      </c>
      <c r="CL364" s="1">
        <f t="shared" si="212"/>
        <v>-20.100000000000001</v>
      </c>
      <c r="CM364" s="1">
        <f t="shared" si="213"/>
        <v>-22.6</v>
      </c>
      <c r="CN364" s="1">
        <f t="shared" si="214"/>
        <v>-22.6</v>
      </c>
      <c r="CO364" s="1">
        <f t="shared" si="215"/>
        <v>-0.5</v>
      </c>
      <c r="CP364" s="1">
        <f t="shared" si="216"/>
        <v>-0.6</v>
      </c>
      <c r="CQ364" s="1">
        <f t="shared" si="217"/>
        <v>-0.3</v>
      </c>
      <c r="CR364" s="1">
        <f t="shared" si="218"/>
        <v>0.7</v>
      </c>
      <c r="CS364" s="2">
        <f t="shared" si="219"/>
        <v>55.9</v>
      </c>
      <c r="CT364" s="6">
        <f t="shared" si="220"/>
        <v>903</v>
      </c>
      <c r="CU364" s="1">
        <f>PPTest!K364</f>
        <v>3.5</v>
      </c>
      <c r="CV364" s="3">
        <f t="shared" si="221"/>
        <v>1.96</v>
      </c>
      <c r="CW364" s="3">
        <f t="shared" si="222"/>
        <v>5.05</v>
      </c>
      <c r="CX364" s="24">
        <f t="shared" si="223"/>
        <v>0.255</v>
      </c>
      <c r="CY364" s="24">
        <f t="shared" si="223"/>
        <v>0.20100000000000001</v>
      </c>
      <c r="CZ364" s="16">
        <f t="shared" si="224"/>
        <v>12.84</v>
      </c>
    </row>
    <row r="365" spans="1:104" x14ac:dyDescent="0.2">
      <c r="A365" s="14">
        <f t="shared" si="225"/>
        <v>39076</v>
      </c>
      <c r="B365" s="1">
        <v>359</v>
      </c>
      <c r="C365" s="3">
        <v>3.3340000000000001</v>
      </c>
      <c r="D365" s="3">
        <v>6.1870000000000003</v>
      </c>
      <c r="E365" s="3">
        <v>-4.2069999999999999</v>
      </c>
      <c r="F365" s="3">
        <v>95.4</v>
      </c>
      <c r="G365" s="3">
        <v>-4.7850000000000001</v>
      </c>
      <c r="H365" s="3">
        <v>-5.3040000000000003</v>
      </c>
      <c r="I365" s="3">
        <v>0.125</v>
      </c>
      <c r="J365" s="3">
        <v>-0.307</v>
      </c>
      <c r="K365" s="3">
        <v>1.7999999999999999E-2</v>
      </c>
      <c r="L365" s="3">
        <v>0.99199999999999999</v>
      </c>
      <c r="M365" s="3">
        <v>1.9279999999999999</v>
      </c>
      <c r="N365" s="3">
        <v>0</v>
      </c>
      <c r="O365" s="3">
        <v>-1.885</v>
      </c>
      <c r="P365" s="3">
        <v>1343</v>
      </c>
      <c r="Q365" s="3">
        <v>109.9</v>
      </c>
      <c r="R365" s="3">
        <v>530</v>
      </c>
      <c r="S365" s="3">
        <v>-0.93799999999999994</v>
      </c>
      <c r="T365" s="3">
        <v>-0.58499999999999996</v>
      </c>
      <c r="U365" s="3">
        <v>0.25900000000000001</v>
      </c>
      <c r="V365" s="3">
        <v>-0.215</v>
      </c>
      <c r="W365" s="3">
        <v>0.10100000000000001</v>
      </c>
      <c r="X365" s="3">
        <v>1.0760000000000001</v>
      </c>
      <c r="Y365" s="3">
        <v>5.2220000000000004</v>
      </c>
      <c r="Z365" s="3">
        <v>1206</v>
      </c>
      <c r="AA365" s="3">
        <v>-9.01</v>
      </c>
      <c r="AB365" s="3">
        <v>1742</v>
      </c>
      <c r="AC365" s="3">
        <v>79.599999999999994</v>
      </c>
      <c r="AD365" s="3">
        <v>1345</v>
      </c>
      <c r="AE365" s="3">
        <v>-11.37</v>
      </c>
      <c r="AF365" s="3">
        <v>-12.71</v>
      </c>
      <c r="AG365" s="3">
        <v>-0.115</v>
      </c>
      <c r="AH365" s="3">
        <v>-0.48</v>
      </c>
      <c r="AI365" s="3">
        <v>-0.151</v>
      </c>
      <c r="AJ365" s="3">
        <v>0.83599999999999997</v>
      </c>
      <c r="AK365" s="3">
        <v>3.9E-2</v>
      </c>
      <c r="AL365" s="3">
        <v>5.0999999999999997E-2</v>
      </c>
      <c r="AM365" s="3">
        <v>6.3E-2</v>
      </c>
      <c r="AN365" s="3">
        <v>7.8E-2</v>
      </c>
      <c r="AO365" s="3">
        <v>0.313</v>
      </c>
      <c r="AP365" s="3">
        <v>0.30199999999999999</v>
      </c>
      <c r="AQ365" s="3">
        <v>0.123</v>
      </c>
      <c r="AR365" s="3">
        <v>3.2000000000000001E-2</v>
      </c>
      <c r="AS365" s="3">
        <v>2633</v>
      </c>
      <c r="AT365" s="3">
        <v>2628</v>
      </c>
      <c r="AU365" s="3">
        <v>2631</v>
      </c>
      <c r="AV365" s="3">
        <v>-5.218</v>
      </c>
      <c r="AW365" s="3">
        <v>-5.4969999999999999</v>
      </c>
      <c r="AX365" s="3">
        <v>-4.1420000000000003</v>
      </c>
      <c r="AY365" s="3">
        <v>-4.2949999999999999</v>
      </c>
      <c r="AZ365" s="3">
        <v>-7.1</v>
      </c>
      <c r="BA365" s="3">
        <v>-7.67</v>
      </c>
      <c r="BB365" s="3">
        <v>13.21</v>
      </c>
      <c r="BC365" s="3">
        <v>2876</v>
      </c>
      <c r="BD365" s="3"/>
      <c r="BE365" s="6">
        <f t="shared" si="227"/>
        <v>879</v>
      </c>
      <c r="BG365" s="16">
        <v>4.41</v>
      </c>
      <c r="BH365" s="16">
        <f t="shared" si="194"/>
        <v>8.9082000000000008</v>
      </c>
      <c r="BI365" s="17">
        <f t="shared" si="190"/>
        <v>3.27</v>
      </c>
      <c r="BJ365" s="17">
        <f t="shared" si="191"/>
        <v>6.81</v>
      </c>
      <c r="BL365" s="1">
        <f t="shared" si="195"/>
        <v>98</v>
      </c>
      <c r="BM365" s="1">
        <f t="shared" si="196"/>
        <v>77</v>
      </c>
      <c r="BN365" s="1">
        <f t="shared" si="197"/>
        <v>63</v>
      </c>
      <c r="BO365" s="49">
        <f t="shared" si="203"/>
        <v>0.33500000000000002</v>
      </c>
      <c r="BP365" s="49">
        <f t="shared" si="204"/>
        <v>0.19700000000000001</v>
      </c>
      <c r="BR365" s="3">
        <v>5.2</v>
      </c>
      <c r="BT365" s="16">
        <f t="shared" si="198"/>
        <v>3.27</v>
      </c>
      <c r="BU365" s="16">
        <f t="shared" si="199"/>
        <v>6.81</v>
      </c>
      <c r="BV365" s="3">
        <f t="shared" si="200"/>
        <v>-4.2</v>
      </c>
      <c r="BW365" s="3">
        <f t="shared" si="226"/>
        <v>-4.8</v>
      </c>
      <c r="BX365" s="3">
        <f t="shared" si="226"/>
        <v>-5.3</v>
      </c>
      <c r="BY365" s="3">
        <f t="shared" si="226"/>
        <v>0.1</v>
      </c>
      <c r="BZ365" s="3">
        <f t="shared" si="226"/>
        <v>-0.3</v>
      </c>
      <c r="CA365" s="3">
        <f t="shared" si="226"/>
        <v>0</v>
      </c>
      <c r="CB365" s="3">
        <f t="shared" si="226"/>
        <v>1</v>
      </c>
      <c r="CC365" s="22">
        <f t="shared" si="201"/>
        <v>77</v>
      </c>
      <c r="CD365" s="1">
        <f t="shared" si="205"/>
        <v>-1.9</v>
      </c>
      <c r="CE365" s="1">
        <f t="shared" si="206"/>
        <v>-0.9</v>
      </c>
      <c r="CF365" s="1">
        <f t="shared" si="207"/>
        <v>-0.6</v>
      </c>
      <c r="CG365" s="1">
        <f t="shared" si="208"/>
        <v>0.3</v>
      </c>
      <c r="CH365" s="1">
        <f t="shared" si="209"/>
        <v>-0.2</v>
      </c>
      <c r="CI365" s="1">
        <f t="shared" si="210"/>
        <v>0.1</v>
      </c>
      <c r="CJ365" s="1">
        <f t="shared" si="211"/>
        <v>1.1000000000000001</v>
      </c>
      <c r="CK365" s="2">
        <f t="shared" si="202"/>
        <v>98</v>
      </c>
      <c r="CL365" s="1">
        <f t="shared" si="212"/>
        <v>-9</v>
      </c>
      <c r="CM365" s="1">
        <f t="shared" si="213"/>
        <v>-11.4</v>
      </c>
      <c r="CN365" s="1">
        <f t="shared" si="214"/>
        <v>-12.7</v>
      </c>
      <c r="CO365" s="1">
        <f t="shared" si="215"/>
        <v>-0.1</v>
      </c>
      <c r="CP365" s="1">
        <f t="shared" si="216"/>
        <v>-0.5</v>
      </c>
      <c r="CQ365" s="1">
        <f t="shared" si="217"/>
        <v>-0.2</v>
      </c>
      <c r="CR365" s="1">
        <f t="shared" si="218"/>
        <v>0.8</v>
      </c>
      <c r="CS365" s="2">
        <f t="shared" si="219"/>
        <v>63</v>
      </c>
      <c r="CT365" s="6">
        <f t="shared" si="220"/>
        <v>879</v>
      </c>
      <c r="CU365" s="1">
        <f>PPTest!K365</f>
        <v>0</v>
      </c>
      <c r="CV365" s="3">
        <f t="shared" si="221"/>
        <v>1.93</v>
      </c>
      <c r="CW365" s="3">
        <f t="shared" si="222"/>
        <v>5.22</v>
      </c>
      <c r="CX365" s="24">
        <f t="shared" si="223"/>
        <v>0.33500000000000002</v>
      </c>
      <c r="CY365" s="24">
        <f t="shared" si="223"/>
        <v>0.19700000000000001</v>
      </c>
      <c r="CZ365" s="16">
        <f t="shared" si="224"/>
        <v>13.21</v>
      </c>
    </row>
    <row r="366" spans="1:104" x14ac:dyDescent="0.2">
      <c r="A366" s="14">
        <f t="shared" si="225"/>
        <v>39077</v>
      </c>
      <c r="B366" s="1">
        <v>360</v>
      </c>
      <c r="C366" s="3">
        <v>2.266</v>
      </c>
      <c r="D366" s="3">
        <v>4.2720000000000002</v>
      </c>
      <c r="E366" s="3">
        <v>-5.3879999999999999</v>
      </c>
      <c r="F366" s="3">
        <v>101.3</v>
      </c>
      <c r="G366" s="3">
        <v>-5.8280000000000003</v>
      </c>
      <c r="H366" s="3">
        <v>-6.1680000000000001</v>
      </c>
      <c r="I366" s="3">
        <v>0.161</v>
      </c>
      <c r="J366" s="3">
        <v>-0.28000000000000003</v>
      </c>
      <c r="K366" s="3">
        <v>0.03</v>
      </c>
      <c r="L366" s="3">
        <v>1.004</v>
      </c>
      <c r="M366" s="3">
        <v>1.151</v>
      </c>
      <c r="N366" s="3">
        <v>0</v>
      </c>
      <c r="O366" s="3">
        <v>-2.9940000000000002</v>
      </c>
      <c r="P366" s="3">
        <v>1305</v>
      </c>
      <c r="Q366" s="3">
        <v>109.4</v>
      </c>
      <c r="R366" s="3">
        <v>2311</v>
      </c>
      <c r="S366" s="3">
        <v>-2.8769999999999998</v>
      </c>
      <c r="T366" s="3">
        <v>-3.1960000000000002</v>
      </c>
      <c r="U366" s="3">
        <v>0.27800000000000002</v>
      </c>
      <c r="V366" s="3">
        <v>-0.216</v>
      </c>
      <c r="W366" s="3">
        <v>0.09</v>
      </c>
      <c r="X366" s="3">
        <v>1.0549999999999999</v>
      </c>
      <c r="Y366" s="3">
        <v>3.4929999999999999</v>
      </c>
      <c r="Z366" s="3">
        <v>151</v>
      </c>
      <c r="AA366" s="3">
        <v>-8.42</v>
      </c>
      <c r="AB366" s="3">
        <v>710</v>
      </c>
      <c r="AC366" s="3">
        <v>81.2</v>
      </c>
      <c r="AD366" s="3">
        <v>151</v>
      </c>
      <c r="AE366" s="3">
        <v>-9.56</v>
      </c>
      <c r="AF366" s="3">
        <v>-10.28</v>
      </c>
      <c r="AG366" s="3">
        <v>2.3E-2</v>
      </c>
      <c r="AH366" s="3">
        <v>-0.376</v>
      </c>
      <c r="AI366" s="3">
        <v>-5.1999999999999998E-2</v>
      </c>
      <c r="AJ366" s="3">
        <v>0.92</v>
      </c>
      <c r="AK366" s="3">
        <v>0.246</v>
      </c>
      <c r="AL366" s="3">
        <v>0.36899999999999999</v>
      </c>
      <c r="AM366" s="3">
        <v>0.13700000000000001</v>
      </c>
      <c r="AN366" s="3">
        <v>2.4E-2</v>
      </c>
      <c r="AO366" s="3">
        <v>5.6000000000000001E-2</v>
      </c>
      <c r="AP366" s="3">
        <v>8.3000000000000004E-2</v>
      </c>
      <c r="AQ366" s="3">
        <v>3.4000000000000002E-2</v>
      </c>
      <c r="AR366" s="3">
        <v>5.0999999999999997E-2</v>
      </c>
      <c r="AS366" s="3">
        <v>2684</v>
      </c>
      <c r="AT366" s="3">
        <v>2678</v>
      </c>
      <c r="AU366" s="3">
        <v>2681</v>
      </c>
      <c r="AV366" s="3">
        <v>-5.7610000000000001</v>
      </c>
      <c r="AW366" s="3">
        <v>-5.9660000000000002</v>
      </c>
      <c r="AX366" s="3">
        <v>-5.0830000000000002</v>
      </c>
      <c r="AY366" s="3">
        <v>-5.18</v>
      </c>
      <c r="AZ366" s="3">
        <v>-6.6180000000000003</v>
      </c>
      <c r="BA366" s="3">
        <v>-7.03</v>
      </c>
      <c r="BB366" s="3">
        <v>13.14</v>
      </c>
      <c r="BC366" s="3">
        <v>2876</v>
      </c>
      <c r="BD366" s="3"/>
      <c r="BE366" s="6">
        <f t="shared" si="227"/>
        <v>829</v>
      </c>
      <c r="BG366" s="16">
        <v>4.43</v>
      </c>
      <c r="BH366" s="16">
        <f t="shared" si="194"/>
        <v>8.948599999999999</v>
      </c>
      <c r="BI366" s="17">
        <f t="shared" si="190"/>
        <v>2.2200000000000002</v>
      </c>
      <c r="BJ366" s="17">
        <f t="shared" si="191"/>
        <v>4.7</v>
      </c>
      <c r="BL366" s="1">
        <f t="shared" si="195"/>
        <v>97.2</v>
      </c>
      <c r="BM366" s="1">
        <f t="shared" si="196"/>
        <v>84.4</v>
      </c>
      <c r="BN366" s="1">
        <f t="shared" si="197"/>
        <v>64.5</v>
      </c>
      <c r="BO366" s="49">
        <f t="shared" si="203"/>
        <v>0.316</v>
      </c>
      <c r="BP366" s="49">
        <f t="shared" si="204"/>
        <v>0.17399999999999999</v>
      </c>
      <c r="BR366" s="3">
        <v>0</v>
      </c>
      <c r="BT366" s="16">
        <f t="shared" si="198"/>
        <v>2.2200000000000002</v>
      </c>
      <c r="BU366" s="16">
        <f t="shared" si="199"/>
        <v>4.7</v>
      </c>
      <c r="BV366" s="3">
        <f t="shared" si="200"/>
        <v>-5.4</v>
      </c>
      <c r="BW366" s="3">
        <f t="shared" si="226"/>
        <v>-5.8</v>
      </c>
      <c r="BX366" s="3">
        <f t="shared" si="226"/>
        <v>-6.2</v>
      </c>
      <c r="BY366" s="3">
        <f t="shared" si="226"/>
        <v>0.2</v>
      </c>
      <c r="BZ366" s="3">
        <f t="shared" si="226"/>
        <v>-0.3</v>
      </c>
      <c r="CA366" s="3">
        <f t="shared" si="226"/>
        <v>0</v>
      </c>
      <c r="CB366" s="3">
        <f t="shared" si="226"/>
        <v>1</v>
      </c>
      <c r="CC366" s="22">
        <f t="shared" si="201"/>
        <v>84.4</v>
      </c>
      <c r="CD366" s="1">
        <f t="shared" si="205"/>
        <v>-3</v>
      </c>
      <c r="CE366" s="1">
        <f t="shared" si="206"/>
        <v>-2.9</v>
      </c>
      <c r="CF366" s="1">
        <f t="shared" si="207"/>
        <v>-3.2</v>
      </c>
      <c r="CG366" s="1">
        <f t="shared" si="208"/>
        <v>0.3</v>
      </c>
      <c r="CH366" s="1">
        <f t="shared" si="209"/>
        <v>-0.2</v>
      </c>
      <c r="CI366" s="1">
        <f t="shared" si="210"/>
        <v>0.1</v>
      </c>
      <c r="CJ366" s="1">
        <f t="shared" si="211"/>
        <v>1.1000000000000001</v>
      </c>
      <c r="CK366" s="2">
        <f t="shared" si="202"/>
        <v>97.2</v>
      </c>
      <c r="CL366" s="1">
        <f t="shared" si="212"/>
        <v>-8.4</v>
      </c>
      <c r="CM366" s="1">
        <f t="shared" si="213"/>
        <v>-9.6</v>
      </c>
      <c r="CN366" s="1">
        <f t="shared" si="214"/>
        <v>-10.3</v>
      </c>
      <c r="CO366" s="1">
        <f t="shared" si="215"/>
        <v>0</v>
      </c>
      <c r="CP366" s="1">
        <f t="shared" si="216"/>
        <v>-0.4</v>
      </c>
      <c r="CQ366" s="1">
        <f t="shared" si="217"/>
        <v>-0.1</v>
      </c>
      <c r="CR366" s="1">
        <f t="shared" si="218"/>
        <v>0.9</v>
      </c>
      <c r="CS366" s="2">
        <f t="shared" si="219"/>
        <v>64.5</v>
      </c>
      <c r="CT366" s="6">
        <f t="shared" si="220"/>
        <v>829</v>
      </c>
      <c r="CU366" s="1">
        <f>PPTest!K366</f>
        <v>0</v>
      </c>
      <c r="CV366" s="3">
        <f t="shared" si="221"/>
        <v>1.1499999999999999</v>
      </c>
      <c r="CW366" s="3">
        <f t="shared" si="222"/>
        <v>3.49</v>
      </c>
      <c r="CX366" s="24">
        <f t="shared" si="223"/>
        <v>0.316</v>
      </c>
      <c r="CY366" s="24">
        <f t="shared" si="223"/>
        <v>0.17399999999999999</v>
      </c>
      <c r="CZ366" s="16">
        <f t="shared" si="224"/>
        <v>13.14</v>
      </c>
    </row>
    <row r="367" spans="1:104" x14ac:dyDescent="0.2">
      <c r="A367" s="14">
        <f t="shared" si="225"/>
        <v>39078</v>
      </c>
      <c r="B367" s="1">
        <v>361</v>
      </c>
      <c r="C367" s="3">
        <v>0.72199999999999998</v>
      </c>
      <c r="D367" s="3">
        <v>1.482</v>
      </c>
      <c r="E367" s="3">
        <v>-7.57</v>
      </c>
      <c r="F367" s="3">
        <v>108.9</v>
      </c>
      <c r="G367" s="3">
        <v>-7.84</v>
      </c>
      <c r="H367" s="3">
        <v>-7.93</v>
      </c>
      <c r="I367" s="3">
        <v>0.13200000000000001</v>
      </c>
      <c r="J367" s="3">
        <v>-0.29199999999999998</v>
      </c>
      <c r="K367" s="3">
        <v>1.7000000000000001E-2</v>
      </c>
      <c r="L367" s="3">
        <v>0.99</v>
      </c>
      <c r="M367" s="3">
        <v>1.4930000000000001</v>
      </c>
      <c r="N367" s="3">
        <v>0</v>
      </c>
      <c r="O367" s="3">
        <v>-5.2370000000000001</v>
      </c>
      <c r="P367" s="3">
        <v>356</v>
      </c>
      <c r="Q367" s="3">
        <v>110.7</v>
      </c>
      <c r="R367" s="3">
        <v>555</v>
      </c>
      <c r="S367" s="3">
        <v>-5.3470000000000004</v>
      </c>
      <c r="T367" s="3">
        <v>-5.4059999999999997</v>
      </c>
      <c r="U367" s="3">
        <v>0.27500000000000002</v>
      </c>
      <c r="V367" s="3">
        <v>-0.22800000000000001</v>
      </c>
      <c r="W367" s="3">
        <v>7.9000000000000001E-2</v>
      </c>
      <c r="X367" s="3">
        <v>1.054</v>
      </c>
      <c r="Y367" s="3">
        <v>3.7320000000000002</v>
      </c>
      <c r="Z367" s="3">
        <v>758</v>
      </c>
      <c r="AA367" s="3">
        <v>-11.79</v>
      </c>
      <c r="AB367" s="3">
        <v>2354</v>
      </c>
      <c r="AC367" s="3">
        <v>106.6</v>
      </c>
      <c r="AD367" s="3">
        <v>2349</v>
      </c>
      <c r="AE367" s="3">
        <v>-13.87</v>
      </c>
      <c r="AF367" s="3">
        <v>-15.22</v>
      </c>
      <c r="AG367" s="3">
        <v>-0.155</v>
      </c>
      <c r="AH367" s="3">
        <v>-0.41699999999999998</v>
      </c>
      <c r="AI367" s="3">
        <v>-0.09</v>
      </c>
      <c r="AJ367" s="3">
        <v>0.88600000000000001</v>
      </c>
      <c r="AK367" s="3">
        <v>1.4999999999999999E-2</v>
      </c>
      <c r="AL367" s="3">
        <v>6.9000000000000006E-2</v>
      </c>
      <c r="AM367" s="3">
        <v>8.3000000000000004E-2</v>
      </c>
      <c r="AN367" s="3">
        <v>5.5E-2</v>
      </c>
      <c r="AO367" s="3">
        <v>0.318</v>
      </c>
      <c r="AP367" s="3">
        <v>0.34499999999999997</v>
      </c>
      <c r="AQ367" s="3">
        <v>9.7000000000000003E-2</v>
      </c>
      <c r="AR367" s="3">
        <v>1.7999999999999999E-2</v>
      </c>
      <c r="AS367" s="3">
        <v>6850</v>
      </c>
      <c r="AT367" s="3">
        <v>2583</v>
      </c>
      <c r="AU367" s="3">
        <v>3426</v>
      </c>
      <c r="AV367" s="3">
        <v>-4.7990000000000004</v>
      </c>
      <c r="AW367" s="3">
        <v>-5.1360000000000001</v>
      </c>
      <c r="AX367" s="3">
        <v>-4.5179999999999998</v>
      </c>
      <c r="AY367" s="3">
        <v>-4.8120000000000003</v>
      </c>
      <c r="AZ367" s="3">
        <v>-5.9859999999999998</v>
      </c>
      <c r="BA367" s="3">
        <v>-6.859</v>
      </c>
      <c r="BB367" s="3">
        <v>12.87</v>
      </c>
      <c r="BC367" s="3">
        <v>2876</v>
      </c>
      <c r="BD367" s="3"/>
      <c r="BE367" s="18">
        <v>870</v>
      </c>
      <c r="BG367" s="16">
        <v>4.45</v>
      </c>
      <c r="BH367" s="16">
        <f t="shared" si="194"/>
        <v>8.9890000000000008</v>
      </c>
      <c r="BI367" s="17">
        <f t="shared" si="190"/>
        <v>0.71</v>
      </c>
      <c r="BJ367" s="17">
        <f t="shared" si="191"/>
        <v>1.63</v>
      </c>
      <c r="BL367" s="1">
        <f t="shared" si="195"/>
        <v>99.3</v>
      </c>
      <c r="BM367" s="1">
        <f t="shared" si="196"/>
        <v>96.5</v>
      </c>
      <c r="BN367" s="1">
        <f t="shared" si="197"/>
        <v>92.8</v>
      </c>
      <c r="BO367" s="49">
        <f t="shared" si="203"/>
        <v>0.38400000000000001</v>
      </c>
      <c r="BP367" s="49">
        <f t="shared" si="204"/>
        <v>0.03</v>
      </c>
      <c r="BR367" s="3">
        <v>0</v>
      </c>
      <c r="BT367" s="16">
        <f t="shared" si="198"/>
        <v>0.71</v>
      </c>
      <c r="BU367" s="16">
        <f t="shared" si="199"/>
        <v>1.63</v>
      </c>
      <c r="BV367" s="3">
        <f t="shared" si="200"/>
        <v>-7.6</v>
      </c>
      <c r="BW367" s="3">
        <f t="shared" si="226"/>
        <v>-7.8</v>
      </c>
      <c r="BX367" s="3">
        <f t="shared" si="226"/>
        <v>-7.9</v>
      </c>
      <c r="BY367" s="3">
        <f t="shared" si="226"/>
        <v>0.1</v>
      </c>
      <c r="BZ367" s="3">
        <f t="shared" si="226"/>
        <v>-0.3</v>
      </c>
      <c r="CA367" s="3">
        <f t="shared" si="226"/>
        <v>0</v>
      </c>
      <c r="CB367" s="3">
        <f t="shared" si="226"/>
        <v>1</v>
      </c>
      <c r="CC367" s="22">
        <f t="shared" si="201"/>
        <v>96.5</v>
      </c>
      <c r="CD367" s="1">
        <f t="shared" si="205"/>
        <v>-5.2</v>
      </c>
      <c r="CE367" s="1">
        <f t="shared" si="206"/>
        <v>-5.3</v>
      </c>
      <c r="CF367" s="1">
        <f t="shared" si="207"/>
        <v>-5.4</v>
      </c>
      <c r="CG367" s="1">
        <f t="shared" si="208"/>
        <v>0.3</v>
      </c>
      <c r="CH367" s="1">
        <f t="shared" si="209"/>
        <v>-0.2</v>
      </c>
      <c r="CI367" s="1">
        <f t="shared" si="210"/>
        <v>0.1</v>
      </c>
      <c r="CJ367" s="1">
        <f t="shared" si="211"/>
        <v>1.1000000000000001</v>
      </c>
      <c r="CK367" s="2">
        <f t="shared" si="202"/>
        <v>99.3</v>
      </c>
      <c r="CL367" s="1">
        <f t="shared" si="212"/>
        <v>-11.8</v>
      </c>
      <c r="CM367" s="1">
        <f t="shared" si="213"/>
        <v>-13.9</v>
      </c>
      <c r="CN367" s="1">
        <f t="shared" si="214"/>
        <v>-15.2</v>
      </c>
      <c r="CO367" s="1">
        <f t="shared" si="215"/>
        <v>-0.2</v>
      </c>
      <c r="CP367" s="1">
        <f t="shared" si="216"/>
        <v>-0.4</v>
      </c>
      <c r="CQ367" s="1">
        <f t="shared" si="217"/>
        <v>-0.1</v>
      </c>
      <c r="CR367" s="1">
        <f t="shared" si="218"/>
        <v>0.9</v>
      </c>
      <c r="CS367" s="2">
        <f t="shared" si="219"/>
        <v>92.8</v>
      </c>
      <c r="CT367" s="6">
        <f t="shared" si="220"/>
        <v>870</v>
      </c>
      <c r="CU367" s="1">
        <f>PPTest!K367</f>
        <v>5.3</v>
      </c>
      <c r="CV367" s="3">
        <f t="shared" si="221"/>
        <v>1.49</v>
      </c>
      <c r="CW367" s="3">
        <f t="shared" si="222"/>
        <v>3.73</v>
      </c>
      <c r="CX367" s="24">
        <f t="shared" si="223"/>
        <v>0.38400000000000001</v>
      </c>
      <c r="CY367" s="24">
        <f t="shared" si="223"/>
        <v>0.03</v>
      </c>
      <c r="CZ367" s="16">
        <f t="shared" si="224"/>
        <v>12.87</v>
      </c>
    </row>
    <row r="368" spans="1:104" x14ac:dyDescent="0.2">
      <c r="A368" s="14">
        <f t="shared" si="225"/>
        <v>39079</v>
      </c>
      <c r="B368" s="1">
        <v>362</v>
      </c>
      <c r="C368" s="3">
        <v>6.7169999999999996</v>
      </c>
      <c r="D368" s="3">
        <v>5.6079999999999997</v>
      </c>
      <c r="E368" s="3">
        <v>-14.68</v>
      </c>
      <c r="F368" s="3">
        <v>104.9</v>
      </c>
      <c r="G368" s="3">
        <v>-15.89</v>
      </c>
      <c r="H368" s="3">
        <v>-17.03</v>
      </c>
      <c r="I368" s="3">
        <v>-0.25900000000000001</v>
      </c>
      <c r="J368" s="3">
        <v>-0.36899999999999999</v>
      </c>
      <c r="K368" s="3">
        <v>-4.8000000000000001E-2</v>
      </c>
      <c r="L368" s="3">
        <v>0.92700000000000005</v>
      </c>
      <c r="M368" s="3">
        <v>1.405</v>
      </c>
      <c r="N368" s="3">
        <v>0</v>
      </c>
      <c r="O368" s="3">
        <v>-7.48</v>
      </c>
      <c r="P368" s="3">
        <v>1337</v>
      </c>
      <c r="Q368" s="3">
        <v>108.8</v>
      </c>
      <c r="R368" s="3">
        <v>35</v>
      </c>
      <c r="S368" s="3">
        <v>-6.4539999999999997</v>
      </c>
      <c r="T368" s="3">
        <v>-6.5069999999999997</v>
      </c>
      <c r="U368" s="3">
        <v>0.126</v>
      </c>
      <c r="V368" s="3">
        <v>-0.186</v>
      </c>
      <c r="W368" s="3">
        <v>0.109</v>
      </c>
      <c r="X368" s="3">
        <v>1.075</v>
      </c>
      <c r="Y368" s="3">
        <v>3.0139999999999998</v>
      </c>
      <c r="Z368" s="3">
        <v>1941</v>
      </c>
      <c r="AA368" s="3">
        <v>-20.02</v>
      </c>
      <c r="AB368" s="3">
        <v>910</v>
      </c>
      <c r="AC368" s="3">
        <v>100.7</v>
      </c>
      <c r="AD368" s="3">
        <v>944</v>
      </c>
      <c r="AE368" s="3">
        <v>-21.86</v>
      </c>
      <c r="AF368" s="3">
        <v>-23.7</v>
      </c>
      <c r="AG368" s="3">
        <v>-0.626</v>
      </c>
      <c r="AH368" s="3">
        <v>-0.55400000000000005</v>
      </c>
      <c r="AI368" s="3">
        <v>-0.217</v>
      </c>
      <c r="AJ368" s="3">
        <v>0.77100000000000002</v>
      </c>
      <c r="AK368" s="3">
        <v>3.9E-2</v>
      </c>
      <c r="AL368" s="3">
        <v>0.34599999999999997</v>
      </c>
      <c r="AM368" s="3">
        <v>0.39700000000000002</v>
      </c>
      <c r="AN368" s="3">
        <v>7.0999999999999994E-2</v>
      </c>
      <c r="AO368" s="3">
        <v>7.5999999999999998E-2</v>
      </c>
      <c r="AP368" s="3">
        <v>4.2000000000000003E-2</v>
      </c>
      <c r="AQ368" s="3">
        <v>1.2E-2</v>
      </c>
      <c r="AR368" s="3">
        <v>1.7999999999999999E-2</v>
      </c>
      <c r="AS368" s="3">
        <v>2614</v>
      </c>
      <c r="AT368" s="3">
        <v>2601</v>
      </c>
      <c r="AU368" s="3">
        <v>2607</v>
      </c>
      <c r="AV368" s="3">
        <v>-11.93</v>
      </c>
      <c r="AW368" s="3">
        <v>-12.65</v>
      </c>
      <c r="AX368" s="3">
        <v>-6.008</v>
      </c>
      <c r="AY368" s="3">
        <v>-6.859</v>
      </c>
      <c r="AZ368" s="3">
        <v>-14.57</v>
      </c>
      <c r="BA368" s="3">
        <v>-15.2</v>
      </c>
      <c r="BB368" s="3">
        <v>13.18</v>
      </c>
      <c r="BC368" s="3">
        <v>2876</v>
      </c>
      <c r="BD368" s="3"/>
      <c r="BE368" s="6">
        <f>BE$2-AU368</f>
        <v>903</v>
      </c>
      <c r="BG368" s="16">
        <v>4.47</v>
      </c>
      <c r="BH368" s="16">
        <f t="shared" si="194"/>
        <v>9.029399999999999</v>
      </c>
      <c r="BI368" s="44">
        <v>4.1969992844562736</v>
      </c>
      <c r="BJ368" s="17">
        <f>ROUND(D368*BJ$2,2)</f>
        <v>6.17</v>
      </c>
      <c r="BL368" s="1">
        <f t="shared" si="195"/>
        <v>96.3</v>
      </c>
      <c r="BM368" s="1">
        <f t="shared" si="196"/>
        <v>90.1</v>
      </c>
      <c r="BN368" s="1">
        <f t="shared" si="197"/>
        <v>83.4</v>
      </c>
      <c r="BO368" s="49">
        <f t="shared" si="203"/>
        <v>0.28999999999999998</v>
      </c>
      <c r="BP368" s="49">
        <f t="shared" si="204"/>
        <v>5.8000000000000003E-2</v>
      </c>
      <c r="BR368" s="3">
        <v>0.6</v>
      </c>
      <c r="BT368" s="16">
        <f t="shared" si="198"/>
        <v>4.1969992844562736</v>
      </c>
      <c r="BU368" s="16">
        <f t="shared" si="199"/>
        <v>6.17</v>
      </c>
      <c r="BV368" s="3">
        <f t="shared" si="200"/>
        <v>-14.7</v>
      </c>
      <c r="BW368" s="3">
        <f t="shared" si="226"/>
        <v>-15.9</v>
      </c>
      <c r="BX368" s="3">
        <f t="shared" si="226"/>
        <v>-17</v>
      </c>
      <c r="BY368" s="3">
        <f t="shared" si="226"/>
        <v>-0.3</v>
      </c>
      <c r="BZ368" s="3">
        <f t="shared" si="226"/>
        <v>-0.4</v>
      </c>
      <c r="CA368" s="3">
        <f t="shared" si="226"/>
        <v>0</v>
      </c>
      <c r="CB368" s="3">
        <f t="shared" si="226"/>
        <v>0.9</v>
      </c>
      <c r="CC368" s="22">
        <f t="shared" si="201"/>
        <v>90.1</v>
      </c>
      <c r="CD368" s="1">
        <f t="shared" si="205"/>
        <v>-7.5</v>
      </c>
      <c r="CE368" s="1">
        <f t="shared" si="206"/>
        <v>-6.5</v>
      </c>
      <c r="CF368" s="1">
        <f t="shared" si="207"/>
        <v>-6.5</v>
      </c>
      <c r="CG368" s="1">
        <f t="shared" si="208"/>
        <v>0.1</v>
      </c>
      <c r="CH368" s="1">
        <f t="shared" si="209"/>
        <v>-0.2</v>
      </c>
      <c r="CI368" s="1">
        <f t="shared" si="210"/>
        <v>0.1</v>
      </c>
      <c r="CJ368" s="1">
        <f t="shared" si="211"/>
        <v>1.1000000000000001</v>
      </c>
      <c r="CK368" s="2">
        <f t="shared" si="202"/>
        <v>96.3</v>
      </c>
      <c r="CL368" s="1">
        <f t="shared" si="212"/>
        <v>-20</v>
      </c>
      <c r="CM368" s="1">
        <f t="shared" si="213"/>
        <v>-21.9</v>
      </c>
      <c r="CN368" s="1">
        <f t="shared" si="214"/>
        <v>-23.7</v>
      </c>
      <c r="CO368" s="1">
        <f t="shared" si="215"/>
        <v>-0.6</v>
      </c>
      <c r="CP368" s="1">
        <f t="shared" si="216"/>
        <v>-0.6</v>
      </c>
      <c r="CQ368" s="1">
        <f t="shared" si="217"/>
        <v>-0.2</v>
      </c>
      <c r="CR368" s="1">
        <f t="shared" si="218"/>
        <v>0.8</v>
      </c>
      <c r="CS368" s="2">
        <f t="shared" si="219"/>
        <v>83.4</v>
      </c>
      <c r="CT368" s="6">
        <f t="shared" si="220"/>
        <v>903</v>
      </c>
      <c r="CU368" s="1">
        <f>PPTest!K368</f>
        <v>4.3</v>
      </c>
      <c r="CV368" s="3">
        <f t="shared" si="221"/>
        <v>1.41</v>
      </c>
      <c r="CW368" s="3">
        <f t="shared" si="222"/>
        <v>3.01</v>
      </c>
      <c r="CX368" s="24">
        <f t="shared" si="223"/>
        <v>0.28999999999999998</v>
      </c>
      <c r="CY368" s="24">
        <f t="shared" si="223"/>
        <v>5.8000000000000003E-2</v>
      </c>
      <c r="CZ368" s="16">
        <f t="shared" si="224"/>
        <v>13.18</v>
      </c>
    </row>
    <row r="369" spans="1:104" x14ac:dyDescent="0.2">
      <c r="A369" s="14">
        <f t="shared" si="225"/>
        <v>39080</v>
      </c>
      <c r="B369" s="1">
        <v>363</v>
      </c>
      <c r="C369" s="3">
        <v>2.4780000000000002</v>
      </c>
      <c r="D369" s="3">
        <v>4.2690000000000001</v>
      </c>
      <c r="E369" s="3">
        <v>-8.86</v>
      </c>
      <c r="F369" s="3">
        <v>99.9</v>
      </c>
      <c r="G369" s="3">
        <v>-9.4</v>
      </c>
      <c r="H369" s="3">
        <v>-10.039999999999999</v>
      </c>
      <c r="I369" s="3">
        <v>-0.13400000000000001</v>
      </c>
      <c r="J369" s="3">
        <v>-0.28499999999999998</v>
      </c>
      <c r="K369" s="3">
        <v>0.05</v>
      </c>
      <c r="L369" s="3">
        <v>1.018</v>
      </c>
      <c r="M369" s="3">
        <v>1.32</v>
      </c>
      <c r="N369" s="3">
        <v>0</v>
      </c>
      <c r="O369" s="3">
        <v>-3.22</v>
      </c>
      <c r="P369" s="3">
        <v>1334</v>
      </c>
      <c r="Q369" s="3">
        <v>108.7</v>
      </c>
      <c r="R369" s="3">
        <v>727</v>
      </c>
      <c r="S369" s="3">
        <v>-1.4330000000000001</v>
      </c>
      <c r="T369" s="3">
        <v>-1.4330000000000001</v>
      </c>
      <c r="U369" s="3">
        <v>0.16800000000000001</v>
      </c>
      <c r="V369" s="3">
        <v>-0.16400000000000001</v>
      </c>
      <c r="W369" s="3">
        <v>0.155</v>
      </c>
      <c r="X369" s="3">
        <v>1.109</v>
      </c>
      <c r="Y369" s="3">
        <v>5.78</v>
      </c>
      <c r="Z369" s="3">
        <v>1306</v>
      </c>
      <c r="AA369" s="3">
        <v>-15.93</v>
      </c>
      <c r="AB369" s="3">
        <v>34</v>
      </c>
      <c r="AC369" s="3">
        <v>55.24</v>
      </c>
      <c r="AD369" s="3">
        <v>1333</v>
      </c>
      <c r="AE369" s="3">
        <v>-17.82</v>
      </c>
      <c r="AF369" s="3">
        <v>-19.79</v>
      </c>
      <c r="AG369" s="3">
        <v>-0.69499999999999995</v>
      </c>
      <c r="AH369" s="3">
        <v>-0.38600000000000001</v>
      </c>
      <c r="AI369" s="3">
        <v>-5.7000000000000002E-2</v>
      </c>
      <c r="AJ369" s="3">
        <v>0.91800000000000004</v>
      </c>
      <c r="AK369" s="3">
        <v>0.13500000000000001</v>
      </c>
      <c r="AL369" s="3">
        <v>0.19900000000000001</v>
      </c>
      <c r="AM369" s="3">
        <v>0.151</v>
      </c>
      <c r="AN369" s="3">
        <v>7.5999999999999998E-2</v>
      </c>
      <c r="AO369" s="3">
        <v>0.124</v>
      </c>
      <c r="AP369" s="3">
        <v>0.13600000000000001</v>
      </c>
      <c r="AQ369" s="3">
        <v>9.1999999999999998E-2</v>
      </c>
      <c r="AR369" s="3">
        <v>8.5999999999999993E-2</v>
      </c>
      <c r="AS369" s="3">
        <v>2602</v>
      </c>
      <c r="AT369" s="3">
        <v>2601</v>
      </c>
      <c r="AU369" s="3">
        <v>2602</v>
      </c>
      <c r="AV369" s="3">
        <v>-10.31</v>
      </c>
      <c r="AW369" s="3">
        <v>-10.46</v>
      </c>
      <c r="AX369" s="3">
        <v>-6.89</v>
      </c>
      <c r="AY369" s="3">
        <v>-7.11</v>
      </c>
      <c r="AZ369" s="3">
        <v>-14.35</v>
      </c>
      <c r="BA369" s="3">
        <v>-14.92</v>
      </c>
      <c r="BB369" s="3">
        <v>13.25</v>
      </c>
      <c r="BC369" s="3">
        <v>2876</v>
      </c>
      <c r="BD369" s="3"/>
      <c r="BE369" s="6">
        <f>BE$2-AU369</f>
        <v>908</v>
      </c>
      <c r="BG369" s="16">
        <v>4.5</v>
      </c>
      <c r="BH369" s="16">
        <f t="shared" si="194"/>
        <v>9.09</v>
      </c>
      <c r="BI369" s="17">
        <f>ROUND(C369*BI$2,2)</f>
        <v>2.4300000000000002</v>
      </c>
      <c r="BJ369" s="17">
        <f>ROUND(D369*BJ$2,2)</f>
        <v>4.7</v>
      </c>
      <c r="BL369" s="1">
        <f t="shared" si="195"/>
        <v>96.1</v>
      </c>
      <c r="BM369" s="1">
        <f t="shared" si="196"/>
        <v>82.1</v>
      </c>
      <c r="BN369" s="1">
        <f t="shared" si="197"/>
        <v>41.6</v>
      </c>
      <c r="BO369" s="49">
        <f t="shared" si="203"/>
        <v>0.2</v>
      </c>
      <c r="BP369" s="49">
        <f t="shared" si="204"/>
        <v>0.28100000000000003</v>
      </c>
      <c r="BR369" s="3">
        <v>0</v>
      </c>
      <c r="BT369" s="16">
        <f t="shared" si="198"/>
        <v>2.4300000000000002</v>
      </c>
      <c r="BU369" s="16">
        <f t="shared" si="199"/>
        <v>4.7</v>
      </c>
      <c r="BV369" s="3">
        <f t="shared" si="200"/>
        <v>-8.9</v>
      </c>
      <c r="BW369" s="3">
        <f t="shared" si="226"/>
        <v>-9.4</v>
      </c>
      <c r="BX369" s="3">
        <f t="shared" si="226"/>
        <v>-10</v>
      </c>
      <c r="BY369" s="3">
        <f t="shared" si="226"/>
        <v>-0.1</v>
      </c>
      <c r="BZ369" s="3">
        <f t="shared" si="226"/>
        <v>-0.3</v>
      </c>
      <c r="CA369" s="3">
        <f t="shared" si="226"/>
        <v>0.1</v>
      </c>
      <c r="CB369" s="3">
        <f t="shared" si="226"/>
        <v>1</v>
      </c>
      <c r="CC369" s="22">
        <f t="shared" si="201"/>
        <v>82.1</v>
      </c>
      <c r="CD369" s="1">
        <f t="shared" si="205"/>
        <v>-3.2</v>
      </c>
      <c r="CE369" s="1">
        <f t="shared" si="206"/>
        <v>-1.4</v>
      </c>
      <c r="CF369" s="1">
        <f t="shared" si="207"/>
        <v>-1.4</v>
      </c>
      <c r="CG369" s="1">
        <f t="shared" si="208"/>
        <v>0.2</v>
      </c>
      <c r="CH369" s="1">
        <f t="shared" si="209"/>
        <v>-0.2</v>
      </c>
      <c r="CI369" s="1">
        <f t="shared" si="210"/>
        <v>0.2</v>
      </c>
      <c r="CJ369" s="1">
        <f t="shared" si="211"/>
        <v>1.1000000000000001</v>
      </c>
      <c r="CK369" s="2">
        <f t="shared" si="202"/>
        <v>96.1</v>
      </c>
      <c r="CL369" s="1">
        <f t="shared" si="212"/>
        <v>-15.9</v>
      </c>
      <c r="CM369" s="1">
        <f t="shared" si="213"/>
        <v>-17.8</v>
      </c>
      <c r="CN369" s="1">
        <f t="shared" si="214"/>
        <v>-19.8</v>
      </c>
      <c r="CO369" s="1">
        <f t="shared" si="215"/>
        <v>-0.7</v>
      </c>
      <c r="CP369" s="1">
        <f t="shared" si="216"/>
        <v>-0.4</v>
      </c>
      <c r="CQ369" s="1">
        <f t="shared" si="217"/>
        <v>-0.1</v>
      </c>
      <c r="CR369" s="1">
        <f t="shared" si="218"/>
        <v>0.9</v>
      </c>
      <c r="CS369" s="2">
        <f t="shared" si="219"/>
        <v>41.6</v>
      </c>
      <c r="CT369" s="6">
        <f t="shared" si="220"/>
        <v>908</v>
      </c>
      <c r="CU369" s="1">
        <f>PPTest!K369</f>
        <v>0.7</v>
      </c>
      <c r="CV369" s="3">
        <f t="shared" si="221"/>
        <v>1.32</v>
      </c>
      <c r="CW369" s="3">
        <f t="shared" si="222"/>
        <v>5.78</v>
      </c>
      <c r="CX369" s="24">
        <f t="shared" si="223"/>
        <v>0.2</v>
      </c>
      <c r="CY369" s="24">
        <f t="shared" si="223"/>
        <v>0.28100000000000003</v>
      </c>
      <c r="CZ369" s="16">
        <f t="shared" si="224"/>
        <v>13.25</v>
      </c>
    </row>
    <row r="370" spans="1:104" x14ac:dyDescent="0.2">
      <c r="A370" s="14">
        <f t="shared" si="225"/>
        <v>39081</v>
      </c>
      <c r="B370" s="1">
        <v>364</v>
      </c>
      <c r="C370" s="3">
        <v>4.0369999999999999</v>
      </c>
      <c r="D370" s="3">
        <v>7.2</v>
      </c>
      <c r="E370" s="3">
        <v>-10.59</v>
      </c>
      <c r="F370" s="3">
        <v>103.5</v>
      </c>
      <c r="G370" s="3">
        <v>-11.71</v>
      </c>
      <c r="H370" s="3">
        <v>-12.82</v>
      </c>
      <c r="I370" s="3">
        <v>-0.18099999999999999</v>
      </c>
      <c r="J370" s="3">
        <v>-0.35799999999999998</v>
      </c>
      <c r="K370" s="3">
        <v>-1.0999999999999999E-2</v>
      </c>
      <c r="L370" s="3">
        <v>0.96499999999999997</v>
      </c>
      <c r="M370" s="3">
        <v>1.1950000000000001</v>
      </c>
      <c r="N370" s="3">
        <v>0</v>
      </c>
      <c r="O370" s="3">
        <v>-2.9020000000000001</v>
      </c>
      <c r="P370" s="3">
        <v>1239</v>
      </c>
      <c r="Q370" s="3">
        <v>109.7</v>
      </c>
      <c r="R370" s="3">
        <v>258</v>
      </c>
      <c r="S370" s="3">
        <v>-1.6950000000000001</v>
      </c>
      <c r="T370" s="3">
        <v>-4.2370000000000001</v>
      </c>
      <c r="U370" s="3">
        <v>0.13500000000000001</v>
      </c>
      <c r="V370" s="3">
        <v>-0.246</v>
      </c>
      <c r="W370" s="3">
        <v>9.2999999999999999E-2</v>
      </c>
      <c r="X370" s="3">
        <v>1.081</v>
      </c>
      <c r="Y370" s="3">
        <v>2.6549999999999998</v>
      </c>
      <c r="Z370" s="3">
        <v>2025</v>
      </c>
      <c r="AA370" s="3">
        <v>-15.69</v>
      </c>
      <c r="AB370" s="3">
        <v>2107</v>
      </c>
      <c r="AC370" s="3">
        <v>76.599999999999994</v>
      </c>
      <c r="AD370" s="3">
        <v>1208</v>
      </c>
      <c r="AE370" s="3">
        <v>-17.16</v>
      </c>
      <c r="AF370" s="3">
        <v>-17.82</v>
      </c>
      <c r="AG370" s="3">
        <v>-0.54800000000000004</v>
      </c>
      <c r="AH370" s="3">
        <v>-0.54300000000000004</v>
      </c>
      <c r="AI370" s="3">
        <v>-0.17899999999999999</v>
      </c>
      <c r="AJ370" s="3">
        <v>0.80800000000000005</v>
      </c>
      <c r="AK370" s="3">
        <v>5.8000000000000003E-2</v>
      </c>
      <c r="AL370" s="3">
        <v>0.46400000000000002</v>
      </c>
      <c r="AM370" s="3">
        <v>0.373</v>
      </c>
      <c r="AN370" s="3">
        <v>4.9000000000000002E-2</v>
      </c>
      <c r="AO370" s="3">
        <v>0.04</v>
      </c>
      <c r="AP370" s="3">
        <v>1.2999999999999999E-2</v>
      </c>
      <c r="AQ370" s="3">
        <v>2E-3</v>
      </c>
      <c r="AR370" s="3">
        <v>1E-3</v>
      </c>
      <c r="AS370" s="3">
        <v>2624</v>
      </c>
      <c r="AT370" s="3">
        <v>2624</v>
      </c>
      <c r="AU370" s="3">
        <v>2624</v>
      </c>
      <c r="AV370" s="3">
        <v>-9.9499999999999993</v>
      </c>
      <c r="AW370" s="3">
        <v>-10.54</v>
      </c>
      <c r="AX370" s="3">
        <v>-6.7409999999999997</v>
      </c>
      <c r="AY370" s="3">
        <v>-7.01</v>
      </c>
      <c r="AZ370" s="3">
        <v>-12.35</v>
      </c>
      <c r="BA370" s="3">
        <v>-12.91</v>
      </c>
      <c r="BB370" s="3">
        <v>13.2</v>
      </c>
      <c r="BC370" s="3">
        <v>2876</v>
      </c>
      <c r="BD370" s="3"/>
      <c r="BE370" s="6">
        <f>BE$2-AU370</f>
        <v>886</v>
      </c>
      <c r="BG370" s="16">
        <v>4.53</v>
      </c>
      <c r="BH370" s="16">
        <f t="shared" si="194"/>
        <v>9.1506000000000007</v>
      </c>
      <c r="BI370" s="17">
        <f>ROUND(C370*BI$2,2)</f>
        <v>3.96</v>
      </c>
      <c r="BJ370" s="17">
        <f>ROUND(D370*BJ$2,2)</f>
        <v>7.92</v>
      </c>
      <c r="BL370" s="1">
        <f t="shared" si="195"/>
        <v>97.7</v>
      </c>
      <c r="BM370" s="1">
        <f t="shared" si="196"/>
        <v>87.9</v>
      </c>
      <c r="BN370" s="1">
        <f t="shared" si="197"/>
        <v>60.4</v>
      </c>
      <c r="BO370" s="49">
        <f t="shared" si="203"/>
        <v>0.29799999999999999</v>
      </c>
      <c r="BP370" s="49">
        <f t="shared" si="204"/>
        <v>0.19500000000000001</v>
      </c>
      <c r="BR370" s="3">
        <v>2.2000000000000002</v>
      </c>
      <c r="BT370" s="16">
        <f t="shared" si="198"/>
        <v>3.96</v>
      </c>
      <c r="BU370" s="16">
        <f t="shared" si="199"/>
        <v>7.92</v>
      </c>
      <c r="BV370" s="3">
        <f t="shared" si="200"/>
        <v>-10.6</v>
      </c>
      <c r="BW370" s="3">
        <f t="shared" si="226"/>
        <v>-11.7</v>
      </c>
      <c r="BX370" s="3">
        <f t="shared" si="226"/>
        <v>-12.8</v>
      </c>
      <c r="BY370" s="3">
        <f t="shared" si="226"/>
        <v>-0.2</v>
      </c>
      <c r="BZ370" s="3">
        <f t="shared" si="226"/>
        <v>-0.4</v>
      </c>
      <c r="CA370" s="3">
        <f t="shared" si="226"/>
        <v>0</v>
      </c>
      <c r="CB370" s="3">
        <f t="shared" si="226"/>
        <v>1</v>
      </c>
      <c r="CC370" s="22">
        <f t="shared" si="201"/>
        <v>87.9</v>
      </c>
      <c r="CD370" s="1">
        <f t="shared" si="205"/>
        <v>-2.9</v>
      </c>
      <c r="CE370" s="1">
        <f t="shared" si="206"/>
        <v>-1.7</v>
      </c>
      <c r="CF370" s="1">
        <f t="shared" si="207"/>
        <v>-4.2</v>
      </c>
      <c r="CG370" s="1">
        <f t="shared" si="208"/>
        <v>0.1</v>
      </c>
      <c r="CH370" s="1">
        <f t="shared" si="209"/>
        <v>-0.2</v>
      </c>
      <c r="CI370" s="1">
        <f t="shared" si="210"/>
        <v>0.1</v>
      </c>
      <c r="CJ370" s="1">
        <f t="shared" si="211"/>
        <v>1.1000000000000001</v>
      </c>
      <c r="CK370" s="2">
        <f t="shared" si="202"/>
        <v>97.7</v>
      </c>
      <c r="CL370" s="1">
        <f t="shared" si="212"/>
        <v>-15.7</v>
      </c>
      <c r="CM370" s="1">
        <f t="shared" si="213"/>
        <v>-17.2</v>
      </c>
      <c r="CN370" s="1">
        <f t="shared" si="214"/>
        <v>-17.8</v>
      </c>
      <c r="CO370" s="1">
        <f t="shared" si="215"/>
        <v>-0.5</v>
      </c>
      <c r="CP370" s="1">
        <f t="shared" si="216"/>
        <v>-0.5</v>
      </c>
      <c r="CQ370" s="1">
        <f t="shared" si="217"/>
        <v>-0.2</v>
      </c>
      <c r="CR370" s="1">
        <f t="shared" si="218"/>
        <v>0.8</v>
      </c>
      <c r="CS370" s="2">
        <f t="shared" si="219"/>
        <v>60.4</v>
      </c>
      <c r="CT370" s="6">
        <f t="shared" si="220"/>
        <v>886</v>
      </c>
      <c r="CU370" s="1">
        <f>PPTest!K370</f>
        <v>0</v>
      </c>
      <c r="CV370" s="3">
        <f t="shared" si="221"/>
        <v>1.2</v>
      </c>
      <c r="CW370" s="3">
        <f t="shared" si="222"/>
        <v>2.66</v>
      </c>
      <c r="CX370" s="24">
        <f t="shared" si="223"/>
        <v>0.29799999999999999</v>
      </c>
      <c r="CY370" s="24">
        <f t="shared" si="223"/>
        <v>0.19500000000000001</v>
      </c>
      <c r="CZ370" s="16">
        <f t="shared" si="224"/>
        <v>13.2</v>
      </c>
    </row>
    <row r="371" spans="1:104" x14ac:dyDescent="0.2">
      <c r="A371" s="14">
        <f t="shared" si="225"/>
        <v>39082</v>
      </c>
      <c r="B371" s="1">
        <v>365</v>
      </c>
      <c r="C371" s="3">
        <v>1.5660000000000001</v>
      </c>
      <c r="D371" s="3">
        <v>3.081</v>
      </c>
      <c r="E371" s="3">
        <v>-7.12</v>
      </c>
      <c r="F371" s="3">
        <v>104.6</v>
      </c>
      <c r="G371" s="3">
        <v>-7.39</v>
      </c>
      <c r="H371" s="3">
        <v>-7.53</v>
      </c>
      <c r="I371" s="3">
        <v>-2.4E-2</v>
      </c>
      <c r="J371" s="3">
        <v>-0.28199999999999997</v>
      </c>
      <c r="K371" s="3">
        <v>6.4000000000000001E-2</v>
      </c>
      <c r="L371" s="3">
        <v>1.0369999999999999</v>
      </c>
      <c r="M371" s="3">
        <v>0.96299999999999997</v>
      </c>
      <c r="N371" s="3">
        <v>0</v>
      </c>
      <c r="O371" s="3">
        <v>-3.7040000000000002</v>
      </c>
      <c r="P371" s="3">
        <v>0</v>
      </c>
      <c r="Q371" s="3">
        <v>108.3</v>
      </c>
      <c r="R371" s="3">
        <v>2051</v>
      </c>
      <c r="S371" s="3">
        <v>-3.8210000000000002</v>
      </c>
      <c r="T371" s="3">
        <v>-4.0229999999999997</v>
      </c>
      <c r="U371" s="3">
        <v>0.13600000000000001</v>
      </c>
      <c r="V371" s="3">
        <v>-0.22500000000000001</v>
      </c>
      <c r="W371" s="3">
        <v>0.112</v>
      </c>
      <c r="X371" s="3">
        <v>1.081</v>
      </c>
      <c r="Y371" s="3">
        <v>2.508</v>
      </c>
      <c r="Z371" s="3">
        <v>2330</v>
      </c>
      <c r="AA371" s="3">
        <v>-14.07</v>
      </c>
      <c r="AB371" s="3">
        <v>1</v>
      </c>
      <c r="AC371" s="3">
        <v>96.1</v>
      </c>
      <c r="AD371" s="3">
        <v>1218</v>
      </c>
      <c r="AE371" s="3">
        <v>-14.24</v>
      </c>
      <c r="AF371" s="3">
        <v>-14.17</v>
      </c>
      <c r="AG371" s="3">
        <v>-0.39100000000000001</v>
      </c>
      <c r="AH371" s="3">
        <v>-0.36099999999999999</v>
      </c>
      <c r="AI371" s="3">
        <v>1E-3</v>
      </c>
      <c r="AJ371" s="3">
        <v>0.96899999999999997</v>
      </c>
      <c r="AK371" s="3">
        <v>0.11700000000000001</v>
      </c>
      <c r="AL371" s="3">
        <v>0.376</v>
      </c>
      <c r="AM371" s="3">
        <v>0.18</v>
      </c>
      <c r="AN371" s="3">
        <v>6.0999999999999999E-2</v>
      </c>
      <c r="AO371" s="3">
        <v>9.8000000000000004E-2</v>
      </c>
      <c r="AP371" s="3">
        <v>9.9000000000000005E-2</v>
      </c>
      <c r="AQ371" s="3">
        <v>2.5999999999999999E-2</v>
      </c>
      <c r="AR371" s="3">
        <v>4.2999999999999997E-2</v>
      </c>
      <c r="AS371" s="3">
        <v>2649</v>
      </c>
      <c r="AT371" s="3">
        <v>2648</v>
      </c>
      <c r="AU371" s="3">
        <v>2648</v>
      </c>
      <c r="AV371" s="3">
        <v>-8.16</v>
      </c>
      <c r="AW371" s="3">
        <v>-8.24</v>
      </c>
      <c r="AX371" s="3">
        <v>-5.5030000000000001</v>
      </c>
      <c r="AY371" s="3">
        <v>-5.5590000000000002</v>
      </c>
      <c r="AZ371" s="3">
        <v>-12.38</v>
      </c>
      <c r="BA371" s="3">
        <v>-12.88</v>
      </c>
      <c r="BB371" s="3">
        <v>12.97</v>
      </c>
      <c r="BC371" s="3">
        <v>2876</v>
      </c>
      <c r="BD371" s="3"/>
      <c r="BE371" s="6">
        <f>BE$2-AU371</f>
        <v>862</v>
      </c>
      <c r="BG371" s="16">
        <v>4.5599999999999996</v>
      </c>
      <c r="BH371" s="16">
        <f t="shared" si="194"/>
        <v>9.2111999999999998</v>
      </c>
      <c r="BI371" s="17">
        <f>ROUND(C371*BI$2,2)</f>
        <v>1.53</v>
      </c>
      <c r="BJ371" s="17">
        <f>ROUND(D371*BJ$2,2)</f>
        <v>3.39</v>
      </c>
      <c r="BL371" s="1">
        <f t="shared" si="195"/>
        <v>95.5</v>
      </c>
      <c r="BM371" s="1">
        <f t="shared" si="196"/>
        <v>89.6</v>
      </c>
      <c r="BN371" s="1">
        <f t="shared" si="197"/>
        <v>77.599999999999994</v>
      </c>
      <c r="BO371" s="49">
        <f t="shared" si="203"/>
        <v>0.36</v>
      </c>
      <c r="BP371" s="49">
        <f t="shared" si="204"/>
        <v>0.104</v>
      </c>
      <c r="BR371" s="3">
        <v>0</v>
      </c>
      <c r="BT371" s="16">
        <f t="shared" si="198"/>
        <v>1.53</v>
      </c>
      <c r="BU371" s="16">
        <f t="shared" si="199"/>
        <v>3.39</v>
      </c>
      <c r="BV371" s="3">
        <f t="shared" si="200"/>
        <v>-7.1</v>
      </c>
      <c r="BW371" s="3">
        <f t="shared" si="226"/>
        <v>-7.4</v>
      </c>
      <c r="BX371" s="3">
        <f t="shared" si="226"/>
        <v>-7.5</v>
      </c>
      <c r="BY371" s="3">
        <f t="shared" si="226"/>
        <v>0</v>
      </c>
      <c r="BZ371" s="3">
        <f t="shared" si="226"/>
        <v>-0.3</v>
      </c>
      <c r="CA371" s="3">
        <f t="shared" si="226"/>
        <v>0.1</v>
      </c>
      <c r="CB371" s="3">
        <f t="shared" si="226"/>
        <v>1</v>
      </c>
      <c r="CC371" s="22">
        <f t="shared" si="201"/>
        <v>89.6</v>
      </c>
      <c r="CD371" s="1">
        <f t="shared" si="205"/>
        <v>-3.7</v>
      </c>
      <c r="CE371" s="1">
        <f t="shared" si="206"/>
        <v>-3.8</v>
      </c>
      <c r="CF371" s="1">
        <f t="shared" si="207"/>
        <v>-4</v>
      </c>
      <c r="CG371" s="1">
        <f t="shared" si="208"/>
        <v>0.1</v>
      </c>
      <c r="CH371" s="1">
        <f t="shared" si="209"/>
        <v>-0.2</v>
      </c>
      <c r="CI371" s="1">
        <f t="shared" si="210"/>
        <v>0.1</v>
      </c>
      <c r="CJ371" s="1">
        <f t="shared" si="211"/>
        <v>1.1000000000000001</v>
      </c>
      <c r="CK371" s="2">
        <f t="shared" si="202"/>
        <v>95.5</v>
      </c>
      <c r="CL371" s="1">
        <f t="shared" si="212"/>
        <v>-14.1</v>
      </c>
      <c r="CM371" s="1">
        <f t="shared" si="213"/>
        <v>-14.2</v>
      </c>
      <c r="CN371" s="1">
        <f t="shared" si="214"/>
        <v>-14.2</v>
      </c>
      <c r="CO371" s="1">
        <f t="shared" si="215"/>
        <v>-0.4</v>
      </c>
      <c r="CP371" s="1">
        <f t="shared" si="216"/>
        <v>-0.4</v>
      </c>
      <c r="CQ371" s="1">
        <f t="shared" si="217"/>
        <v>0</v>
      </c>
      <c r="CR371" s="1">
        <f t="shared" si="218"/>
        <v>1</v>
      </c>
      <c r="CS371" s="2">
        <f t="shared" si="219"/>
        <v>77.599999999999994</v>
      </c>
      <c r="CT371" s="6">
        <f t="shared" si="220"/>
        <v>862</v>
      </c>
      <c r="CU371" s="1">
        <f>PPTest!K371</f>
        <v>0</v>
      </c>
      <c r="CV371" s="3">
        <f t="shared" si="221"/>
        <v>0.96</v>
      </c>
      <c r="CW371" s="3">
        <f t="shared" si="222"/>
        <v>2.5099999999999998</v>
      </c>
      <c r="CX371" s="24">
        <f t="shared" si="223"/>
        <v>0.36</v>
      </c>
      <c r="CY371" s="24">
        <f t="shared" si="223"/>
        <v>0.104</v>
      </c>
      <c r="CZ371" s="16">
        <f t="shared" si="224"/>
        <v>12.97</v>
      </c>
    </row>
    <row r="372" spans="1:104" x14ac:dyDescent="0.2">
      <c r="A372" s="14"/>
      <c r="B372" s="2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6"/>
      <c r="BG372" s="16">
        <v>4.5999999999999996</v>
      </c>
      <c r="BH372" s="16"/>
      <c r="BO372" s="15"/>
      <c r="BP372" s="15"/>
    </row>
    <row r="374" spans="1:104" x14ac:dyDescent="0.2">
      <c r="A374" s="3" t="s">
        <v>63</v>
      </c>
      <c r="C374" s="3" t="s">
        <v>64</v>
      </c>
      <c r="D374" s="4" t="s">
        <v>1</v>
      </c>
      <c r="E374" s="4" t="s">
        <v>2</v>
      </c>
      <c r="F374" s="4" t="s">
        <v>3</v>
      </c>
      <c r="G374" s="4" t="s">
        <v>4</v>
      </c>
      <c r="H374" s="4" t="s">
        <v>5</v>
      </c>
      <c r="I374" s="4" t="s">
        <v>6</v>
      </c>
      <c r="J374" s="4" t="s">
        <v>46</v>
      </c>
      <c r="K374" s="4" t="s">
        <v>47</v>
      </c>
      <c r="L374" s="4" t="s">
        <v>48</v>
      </c>
      <c r="M374" s="4" t="s">
        <v>36</v>
      </c>
      <c r="N374" s="4" t="s">
        <v>41</v>
      </c>
      <c r="O374" s="4" t="s">
        <v>65</v>
      </c>
      <c r="P374" s="4" t="s">
        <v>66</v>
      </c>
      <c r="Q374" s="4"/>
      <c r="R374" s="3"/>
      <c r="S374" s="4" t="s">
        <v>67</v>
      </c>
      <c r="T374" s="4" t="s">
        <v>68</v>
      </c>
      <c r="U374" s="4" t="s">
        <v>69</v>
      </c>
      <c r="V374" s="4" t="s">
        <v>70</v>
      </c>
      <c r="W374" s="4"/>
      <c r="X374" s="3"/>
      <c r="Y374" s="4" t="s">
        <v>71</v>
      </c>
      <c r="Z374" s="4" t="s">
        <v>36</v>
      </c>
      <c r="AA374" s="4" t="s">
        <v>2</v>
      </c>
      <c r="AB374" s="4" t="s">
        <v>72</v>
      </c>
      <c r="AC374" s="4" t="s">
        <v>73</v>
      </c>
      <c r="AD374" s="4" t="s">
        <v>74</v>
      </c>
      <c r="AE374" s="4" t="s">
        <v>4</v>
      </c>
      <c r="AF374" s="4" t="s">
        <v>75</v>
      </c>
      <c r="AG374" s="4" t="s">
        <v>6</v>
      </c>
      <c r="AH374" s="4" t="s">
        <v>76</v>
      </c>
      <c r="AI374" s="4"/>
      <c r="AJ374" s="10"/>
      <c r="AK374" s="10"/>
      <c r="AL374" s="10"/>
      <c r="AM374" s="10"/>
      <c r="AN374" s="10"/>
      <c r="AO374" s="10"/>
      <c r="AP374" s="10"/>
      <c r="AQ374" s="10"/>
      <c r="AR374" s="10"/>
      <c r="AS374" s="3"/>
      <c r="AT374" s="10"/>
      <c r="AU374" s="10"/>
      <c r="AV374" s="3"/>
      <c r="AW374" s="3"/>
      <c r="AX374" s="3"/>
      <c r="AY374" s="3"/>
      <c r="AZ374" s="3"/>
      <c r="BA374" s="3"/>
      <c r="BB374" s="3"/>
      <c r="BC374" s="3"/>
      <c r="BD374" s="24"/>
      <c r="BE374" s="24" t="s">
        <v>77</v>
      </c>
      <c r="BF374" s="3"/>
      <c r="BG374" s="3"/>
      <c r="BH374" s="3"/>
      <c r="BI374" s="3" t="s">
        <v>64</v>
      </c>
      <c r="BJ374" s="4" t="s">
        <v>1</v>
      </c>
      <c r="BK374" s="3"/>
      <c r="BM374" s="4"/>
      <c r="BN374" s="4" t="s">
        <v>73</v>
      </c>
      <c r="BO374" s="3" t="s">
        <v>191</v>
      </c>
      <c r="BP374" s="3" t="s">
        <v>78</v>
      </c>
      <c r="BQ374" s="4" t="s">
        <v>74</v>
      </c>
      <c r="BR374" s="1" t="s">
        <v>62</v>
      </c>
      <c r="BS374" s="3" t="s">
        <v>79</v>
      </c>
    </row>
    <row r="375" spans="1:104" x14ac:dyDescent="0.2">
      <c r="A375" s="3" t="s">
        <v>80</v>
      </c>
      <c r="C375" s="25">
        <f>ROUND(AVERAGE(C7:C37),2)</f>
        <v>1.7</v>
      </c>
      <c r="D375" s="25">
        <f>ROUND(AVERAGE(D7:D37),2)</f>
        <v>2.89</v>
      </c>
      <c r="E375" s="13">
        <f>ROUND(AVERAGE(E7:E37),1)</f>
        <v>-3.6</v>
      </c>
      <c r="F375" s="13">
        <f>ROUND(AVERAGE(F7:F37),1)</f>
        <v>105</v>
      </c>
      <c r="G375" s="13">
        <f t="shared" ref="G375:M375" si="228">ROUND(AVERAGE(G7:G37),1)</f>
        <v>-4.0999999999999996</v>
      </c>
      <c r="H375" s="13">
        <f t="shared" si="228"/>
        <v>-4.3</v>
      </c>
      <c r="I375" s="13">
        <f t="shared" si="228"/>
        <v>0.1</v>
      </c>
      <c r="J375" s="13">
        <f t="shared" si="228"/>
        <v>-0.5</v>
      </c>
      <c r="K375" s="13">
        <f t="shared" si="228"/>
        <v>-0.2</v>
      </c>
      <c r="L375" s="13">
        <f t="shared" si="228"/>
        <v>0.8</v>
      </c>
      <c r="M375" s="13">
        <f t="shared" si="228"/>
        <v>1.5</v>
      </c>
      <c r="N375" s="13">
        <f>SUM(N7:N37)</f>
        <v>1</v>
      </c>
      <c r="O375" s="13">
        <f>ROUND(AVERAGE(O7:O37),1)</f>
        <v>-1.1000000000000001</v>
      </c>
      <c r="P375" s="13">
        <f>ROUND(MAX(O7:O37),1)</f>
        <v>4.4000000000000004</v>
      </c>
      <c r="Q375" s="13"/>
      <c r="R375" s="3"/>
      <c r="S375" s="13">
        <f>ROUND(AVERAGE(S7:S37),1)</f>
        <v>-0.4</v>
      </c>
      <c r="T375" s="13">
        <f>ROUND(MAX(S7:S37),1)</f>
        <v>6</v>
      </c>
      <c r="U375" s="13">
        <f>ROUND(AVERAGE(U7:U37),1)</f>
        <v>0.2</v>
      </c>
      <c r="V375" s="13">
        <f>ROUND(AVERAGE(V7:V37),1)</f>
        <v>-0.4</v>
      </c>
      <c r="W375" s="13"/>
      <c r="X375" s="13"/>
      <c r="Y375" s="13">
        <f>ROUND(AVERAGE(Y7:Y37),1)</f>
        <v>4.5</v>
      </c>
      <c r="Z375" s="13">
        <f>ROUND(MAX(Y7:Y37),1)</f>
        <v>6.8</v>
      </c>
      <c r="AA375" s="13">
        <f>ROUND(AVERAGE(AA7:AA37),1)</f>
        <v>-7.2</v>
      </c>
      <c r="AB375" s="13">
        <f>ROUND(MIN(AA7:AA37),1)</f>
        <v>-15.7</v>
      </c>
      <c r="AC375" s="13">
        <f>ROUND(AVERAGE(AC7:AC37),1)</f>
        <v>93.7</v>
      </c>
      <c r="AD375" s="13">
        <f>ROUND(MIN(AC7:AC37),1)</f>
        <v>71.3</v>
      </c>
      <c r="AE375" s="13">
        <f>ROUND(AVERAGE(AE7:AE37),1)</f>
        <v>-8.5</v>
      </c>
      <c r="AF375" s="13">
        <f>ROUND(MIN(AE7:AE37),1)</f>
        <v>-17.5</v>
      </c>
      <c r="AG375" s="13">
        <f>ROUND(AVERAGE(AG7:AG37),1)</f>
        <v>-0.1</v>
      </c>
      <c r="AH375" s="13">
        <f>ROUND(AVERAGE(AH7:AH37),1)</f>
        <v>-0.7</v>
      </c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21"/>
      <c r="BE375" s="21">
        <f>BE37</f>
        <v>1264</v>
      </c>
      <c r="BF375" s="13"/>
      <c r="BG375" s="13"/>
      <c r="BH375" s="13"/>
      <c r="BI375" s="25">
        <f t="shared" ref="BI375:BJ375" si="229">ROUND(AVERAGE(BI7:BI37),2)</f>
        <v>1.67</v>
      </c>
      <c r="BJ375" s="25">
        <f t="shared" si="229"/>
        <v>3.18</v>
      </c>
      <c r="BK375" s="25"/>
      <c r="BM375" s="25"/>
      <c r="BN375" s="13">
        <f>ROUND(AVERAGE(BN7:BN37),1)</f>
        <v>77.099999999999994</v>
      </c>
      <c r="BO375" s="13">
        <f>ROUND(AVERAGE(BO7:BO37),1)</f>
        <v>0.4</v>
      </c>
      <c r="BP375" s="25">
        <f>ROUND(AVERAGE(BP7:BP37),2)</f>
        <v>0.14000000000000001</v>
      </c>
      <c r="BQ375" s="13">
        <f>ROUND(MIN(BN7:BN37),1)</f>
        <v>55.7</v>
      </c>
      <c r="BR375" s="13">
        <f>SUM(BR7:BR37)</f>
        <v>0</v>
      </c>
      <c r="BS375" s="25">
        <f>ROUND(MAX(BP7:BP37),2)</f>
        <v>0.36</v>
      </c>
    </row>
    <row r="376" spans="1:104" x14ac:dyDescent="0.2">
      <c r="A376" s="3" t="s">
        <v>81</v>
      </c>
      <c r="C376" s="25">
        <f>ROUND(AVERAGE(C38:C65),2)</f>
        <v>5.09</v>
      </c>
      <c r="D376" s="25">
        <f>ROUND(AVERAGE(D38:D65),2)</f>
        <v>7.6</v>
      </c>
      <c r="E376" s="13">
        <f>ROUND(AVERAGE(E38:E65),1)</f>
        <v>-8.9</v>
      </c>
      <c r="F376" s="13">
        <f>ROUND(AVERAGE(F38:F65),1)</f>
        <v>98.3</v>
      </c>
      <c r="G376" s="13">
        <f t="shared" ref="G376:M376" si="230">ROUND(AVERAGE(G38:G65),1)</f>
        <v>-9.4</v>
      </c>
      <c r="H376" s="13">
        <f t="shared" si="230"/>
        <v>-8.6</v>
      </c>
      <c r="I376" s="13">
        <f t="shared" si="230"/>
        <v>-0.5</v>
      </c>
      <c r="J376" s="13">
        <f t="shared" si="230"/>
        <v>-1.2</v>
      </c>
      <c r="K376" s="13">
        <f t="shared" si="230"/>
        <v>-0.6</v>
      </c>
      <c r="L376" s="13">
        <f t="shared" si="230"/>
        <v>0.7</v>
      </c>
      <c r="M376" s="13">
        <f t="shared" si="230"/>
        <v>1.8</v>
      </c>
      <c r="N376" s="13">
        <f>SUM(N38:N65)</f>
        <v>5</v>
      </c>
      <c r="O376" s="13">
        <f>ROUND(AVERAGE(O38:O65),1)</f>
        <v>-3</v>
      </c>
      <c r="P376" s="13">
        <f>ROUND(MAX(O38:O65),1)</f>
        <v>5.9</v>
      </c>
      <c r="Q376" s="13"/>
      <c r="R376" s="3"/>
      <c r="S376" s="13">
        <f>ROUND(AVERAGE(S38:S65),1)</f>
        <v>-1.9</v>
      </c>
      <c r="T376" s="13">
        <f>ROUND(MAX(S38:S65),1)</f>
        <v>7.3</v>
      </c>
      <c r="U376" s="13">
        <f>ROUND(AVERAGE(U38:U65),1)</f>
        <v>-0.3</v>
      </c>
      <c r="V376" s="13">
        <f>ROUND(AVERAGE(V38:V65),1)</f>
        <v>-1</v>
      </c>
      <c r="W376" s="13"/>
      <c r="X376" s="13"/>
      <c r="Y376" s="13">
        <f>ROUND(AVERAGE(Y38:Y65),1)</f>
        <v>4.0999999999999996</v>
      </c>
      <c r="Z376" s="13">
        <f>ROUND(MAX(Y38:Y65),1)</f>
        <v>7.2</v>
      </c>
      <c r="AA376" s="13">
        <f>ROUND(AVERAGE(AA38:AA65),1)</f>
        <v>-15</v>
      </c>
      <c r="AB376" s="13">
        <f>ROUND(MIN(AA38:AA65),1)</f>
        <v>-29.7</v>
      </c>
      <c r="AC376" s="13">
        <f>ROUND(AVERAGE(AC38:AC65),1)</f>
        <v>76</v>
      </c>
      <c r="AD376" s="13">
        <f>ROUND(MIN(AC38:AC65),1)</f>
        <v>23.7</v>
      </c>
      <c r="AE376" s="13">
        <f>ROUND(AVERAGE(AE38:AE65),1)</f>
        <v>-16.3</v>
      </c>
      <c r="AF376" s="13">
        <f>ROUND(MIN(AE38:AE65),1)</f>
        <v>-31</v>
      </c>
      <c r="AG376" s="13">
        <f>ROUND(AVERAGE(AG38:AG65),1)</f>
        <v>-1</v>
      </c>
      <c r="AH376" s="13">
        <f>ROUND(AVERAGE(AH38:AH65),1)</f>
        <v>-1.4</v>
      </c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21"/>
      <c r="BE376" s="21">
        <f>BE65</f>
        <v>1242</v>
      </c>
      <c r="BF376" s="13"/>
      <c r="BG376" s="13"/>
      <c r="BH376" s="13"/>
      <c r="BI376" s="25">
        <f t="shared" ref="BI376:BJ376" si="231">ROUND(AVERAGE(BI38:BI65),2)</f>
        <v>4.43</v>
      </c>
      <c r="BJ376" s="25">
        <f t="shared" si="231"/>
        <v>8.25</v>
      </c>
      <c r="BK376" s="25"/>
      <c r="BM376" s="25"/>
      <c r="BN376" s="13">
        <f>ROUND(AVERAGE(BN38:BN65),1)</f>
        <v>60.4</v>
      </c>
      <c r="BO376" s="13">
        <f>ROUND(AVERAGE(BO38:BO65),1)</f>
        <v>0.3</v>
      </c>
      <c r="BP376" s="25">
        <f>ROUND(AVERAGE(BP38:BP65),2)</f>
        <v>0.2</v>
      </c>
      <c r="BQ376" s="13">
        <f>ROUND(MIN(BN38:BN65),1)</f>
        <v>13.9</v>
      </c>
      <c r="BR376" s="13">
        <f>SUM(BR38:BR65)</f>
        <v>0</v>
      </c>
      <c r="BS376" s="25">
        <f>ROUND(MAX(BP38:BP65),2)</f>
        <v>0.66</v>
      </c>
    </row>
    <row r="377" spans="1:104" x14ac:dyDescent="0.2">
      <c r="A377" s="3" t="s">
        <v>82</v>
      </c>
      <c r="C377" s="25">
        <f>ROUND(AVERAGE(C66:C96),2)</f>
        <v>10.4</v>
      </c>
      <c r="D377" s="25">
        <f>ROUND(AVERAGE(D66:D96),2)</f>
        <v>18.46</v>
      </c>
      <c r="E377" s="13">
        <f>ROUND(AVERAGE(E66:E96),1)</f>
        <v>-4.7</v>
      </c>
      <c r="F377" s="13">
        <f>ROUND(AVERAGE(F66:F96),1)</f>
        <v>94.3</v>
      </c>
      <c r="G377" s="13">
        <f t="shared" ref="G377:M377" si="232">ROUND(AVERAGE(G66:G96),1)</f>
        <v>-5.3</v>
      </c>
      <c r="H377" s="13">
        <f t="shared" si="232"/>
        <v>-2.5</v>
      </c>
      <c r="I377" s="13">
        <f t="shared" si="232"/>
        <v>-0.8</v>
      </c>
      <c r="J377" s="13">
        <f t="shared" si="232"/>
        <v>-1.1000000000000001</v>
      </c>
      <c r="K377" s="13">
        <f t="shared" si="232"/>
        <v>-0.7</v>
      </c>
      <c r="L377" s="13">
        <f t="shared" si="232"/>
        <v>0.5</v>
      </c>
      <c r="M377" s="13">
        <f t="shared" si="232"/>
        <v>1.6</v>
      </c>
      <c r="N377" s="13">
        <f>SUM(N66:N96)</f>
        <v>2</v>
      </c>
      <c r="O377" s="13">
        <f>ROUND(AVERAGE(O66:O96),1)</f>
        <v>1.7</v>
      </c>
      <c r="P377" s="13">
        <f>ROUND(MAX(O66:O96),1)</f>
        <v>8.6999999999999993</v>
      </c>
      <c r="Q377" s="13"/>
      <c r="R377" s="3"/>
      <c r="S377" s="13">
        <f>ROUND(AVERAGE(S66:S96),1)</f>
        <v>3.3</v>
      </c>
      <c r="T377" s="13">
        <f>ROUND(MAX(S66:S96),1)</f>
        <v>10.1</v>
      </c>
      <c r="U377" s="13">
        <f>ROUND(AVERAGE(U66:U96),1)</f>
        <v>-0.4</v>
      </c>
      <c r="V377" s="13">
        <f>ROUND(AVERAGE(V66:V96),1)</f>
        <v>-0.9</v>
      </c>
      <c r="W377" s="13"/>
      <c r="X377" s="13"/>
      <c r="Y377" s="13">
        <f>ROUND(AVERAGE(Y66:Y96),1)</f>
        <v>4.3</v>
      </c>
      <c r="Z377" s="13">
        <f>ROUND(MAX(Y66:Y96),1)</f>
        <v>6.6</v>
      </c>
      <c r="AA377" s="13">
        <f>ROUND(AVERAGE(AA66:AA96),1)</f>
        <v>-11.8</v>
      </c>
      <c r="AB377" s="13">
        <f>ROUND(MIN(AA66:AA96),1)</f>
        <v>-23.8</v>
      </c>
      <c r="AC377" s="13">
        <f>ROUND(AVERAGE(AC66:AC96),1)</f>
        <v>63.4</v>
      </c>
      <c r="AD377" s="13">
        <f>ROUND(MIN(AC66:AC96),1)</f>
        <v>36</v>
      </c>
      <c r="AE377" s="13">
        <f>ROUND(AVERAGE(AE66:AE96),1)</f>
        <v>-13.4</v>
      </c>
      <c r="AF377" s="13">
        <f>ROUND(MIN(AE66:AE96),1)</f>
        <v>-24.9</v>
      </c>
      <c r="AG377" s="13">
        <f>ROUND(AVERAGE(AG66:AG96),1)</f>
        <v>-1.6</v>
      </c>
      <c r="AH377" s="13">
        <f>ROUND(AVERAGE(AH66:AH96),1)</f>
        <v>-1.3</v>
      </c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21"/>
      <c r="BE377" s="21">
        <f>BE96</f>
        <v>1226</v>
      </c>
      <c r="BF377" s="13"/>
      <c r="BG377" s="13"/>
      <c r="BH377" s="13"/>
      <c r="BI377" s="25">
        <f t="shared" ref="BI377:BJ377" si="233">ROUND(AVERAGE(BI66:BI96),2)</f>
        <v>10.19</v>
      </c>
      <c r="BJ377" s="25">
        <f t="shared" si="233"/>
        <v>20.309999999999999</v>
      </c>
      <c r="BK377" s="25"/>
      <c r="BM377" s="25"/>
      <c r="BN377" s="13">
        <f>ROUND(AVERAGE(BN66:BN96),1)</f>
        <v>48.8</v>
      </c>
      <c r="BO377" s="13">
        <f>ROUND(AVERAGE(BO66:BO96),1)</f>
        <v>0.3</v>
      </c>
      <c r="BP377" s="25">
        <f>ROUND(AVERAGE(BP66:BP96),2)</f>
        <v>0.37</v>
      </c>
      <c r="BQ377" s="13">
        <f>ROUND(MIN(BN66:BN96),1)</f>
        <v>24.7</v>
      </c>
      <c r="BR377" s="13">
        <f>SUM(BR66:BR96)</f>
        <v>35.4</v>
      </c>
      <c r="BS377" s="25">
        <f>ROUND(MAX(BP66:BP96),2)</f>
        <v>0.76</v>
      </c>
    </row>
    <row r="378" spans="1:104" x14ac:dyDescent="0.2">
      <c r="A378" s="3" t="s">
        <v>83</v>
      </c>
      <c r="C378" s="25">
        <f>ROUND(AVERAGE(C97:C126),2)</f>
        <v>15.99</v>
      </c>
      <c r="D378" s="25">
        <f>ROUND(AVERAGE(D97:D126),2)</f>
        <v>29.05</v>
      </c>
      <c r="E378" s="13">
        <f>ROUND(AVERAGE(E97:E126),1)</f>
        <v>1.3</v>
      </c>
      <c r="F378" s="13">
        <f>ROUND(AVERAGE(F97:F126),1)</f>
        <v>89.6</v>
      </c>
      <c r="G378" s="13">
        <f t="shared" ref="G378:M378" si="234">ROUND(AVERAGE(G97:G126),1)</f>
        <v>0.9</v>
      </c>
      <c r="H378" s="13">
        <f t="shared" si="234"/>
        <v>0.6</v>
      </c>
      <c r="I378" s="13">
        <f t="shared" si="234"/>
        <v>0.2</v>
      </c>
      <c r="J378" s="13">
        <f t="shared" si="234"/>
        <v>-0.3</v>
      </c>
      <c r="K378" s="13">
        <f t="shared" si="234"/>
        <v>-0.2</v>
      </c>
      <c r="L378" s="13">
        <f t="shared" si="234"/>
        <v>0.3</v>
      </c>
      <c r="M378" s="13">
        <f t="shared" si="234"/>
        <v>1.6</v>
      </c>
      <c r="N378" s="13">
        <f>SUM(N97:N126)</f>
        <v>44</v>
      </c>
      <c r="O378" s="13">
        <f>ROUND(AVERAGE(O97:O126),1)</f>
        <v>7.4</v>
      </c>
      <c r="P378" s="13">
        <f>ROUND(MAX(O97:O126),1)</f>
        <v>15.2</v>
      </c>
      <c r="Q378" s="13"/>
      <c r="R378" s="3"/>
      <c r="S378" s="13">
        <f>ROUND(AVERAGE(S97:S126),1)</f>
        <v>9.1</v>
      </c>
      <c r="T378" s="13">
        <f>ROUND(MAX(S97:S126),1)</f>
        <v>17.600000000000001</v>
      </c>
      <c r="U378" s="13">
        <f>ROUND(AVERAGE(U97:U126),1)</f>
        <v>0.5</v>
      </c>
      <c r="V378" s="13">
        <f>ROUND(AVERAGE(V97:V126),1)</f>
        <v>-0.1</v>
      </c>
      <c r="W378" s="13"/>
      <c r="X378" s="13"/>
      <c r="Y378" s="13">
        <f>ROUND(AVERAGE(Y97:Y126),1)</f>
        <v>4.5</v>
      </c>
      <c r="Z378" s="13">
        <f>ROUND(MAX(Y97:Y126),1)</f>
        <v>7.3</v>
      </c>
      <c r="AA378" s="13">
        <f>ROUND(AVERAGE(AA97:AA126),1)</f>
        <v>-5.0999999999999996</v>
      </c>
      <c r="AB378" s="13">
        <f>ROUND(MIN(AA97:AA126),1)</f>
        <v>-14.6</v>
      </c>
      <c r="AC378" s="13">
        <f>ROUND(AVERAGE(AC97:AC126),1)</f>
        <v>58.8</v>
      </c>
      <c r="AD378" s="13">
        <f>ROUND(MIN(AC97:AC126),1)</f>
        <v>16.7</v>
      </c>
      <c r="AE378" s="13">
        <f>ROUND(AVERAGE(AE97:AE126),1)</f>
        <v>-6</v>
      </c>
      <c r="AF378" s="13">
        <f>ROUND(MIN(AE97:AE126),1)</f>
        <v>-16.100000000000001</v>
      </c>
      <c r="AG378" s="13">
        <f>ROUND(AVERAGE(AG97:AG126),1)</f>
        <v>0</v>
      </c>
      <c r="AH378" s="13">
        <f>ROUND(AVERAGE(AH97:AH126),1)</f>
        <v>-0.4</v>
      </c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21"/>
      <c r="BE378" s="21">
        <f>BE126</f>
        <v>620</v>
      </c>
      <c r="BF378" s="13"/>
      <c r="BG378" s="13"/>
      <c r="BH378" s="13"/>
      <c r="BI378" s="25">
        <f t="shared" ref="BI378:BJ378" si="235">ROUND(AVERAGE(BI97:BI126),2)</f>
        <v>15.67</v>
      </c>
      <c r="BJ378" s="25">
        <f t="shared" si="235"/>
        <v>31.96</v>
      </c>
      <c r="BK378" s="25"/>
      <c r="BM378" s="25"/>
      <c r="BN378" s="13">
        <f>ROUND(AVERAGE(BN97:BN126),1)</f>
        <v>44.8</v>
      </c>
      <c r="BO378" s="13">
        <f>ROUND(AVERAGE(BO97:BO126),1)</f>
        <v>0.4</v>
      </c>
      <c r="BP378" s="25">
        <f>ROUND(AVERAGE(BP97:BP126),2)</f>
        <v>0.61</v>
      </c>
      <c r="BQ378" s="13">
        <f>ROUND(MIN(BN97:BN126),1)</f>
        <v>7.7</v>
      </c>
      <c r="BR378" s="13">
        <f>SUM(BR97:BR126)</f>
        <v>58.20000000000001</v>
      </c>
      <c r="BS378" s="25">
        <f>ROUND(MAX(BP97:BP126),2)</f>
        <v>1.52</v>
      </c>
    </row>
    <row r="379" spans="1:104" x14ac:dyDescent="0.2">
      <c r="A379" s="3" t="s">
        <v>84</v>
      </c>
      <c r="C379" s="25">
        <f>ROUND(AVERAGE(C127:C157),2)</f>
        <v>20.04</v>
      </c>
      <c r="D379" s="25">
        <f>ROUND(AVERAGE(D127:D157),2)</f>
        <v>36.85</v>
      </c>
      <c r="E379" s="13">
        <f>ROUND(AVERAGE(E127:E157),1)</f>
        <v>5</v>
      </c>
      <c r="F379" s="13">
        <f>ROUND(AVERAGE(F127:F157),1)</f>
        <v>86.6</v>
      </c>
      <c r="G379" s="13">
        <f t="shared" ref="G379:M379" si="236">ROUND(AVERAGE(G127:G157),1)</f>
        <v>5</v>
      </c>
      <c r="H379" s="13">
        <f t="shared" si="236"/>
        <v>4.8</v>
      </c>
      <c r="I379" s="13">
        <f t="shared" si="236"/>
        <v>3.2</v>
      </c>
      <c r="J379" s="13">
        <f t="shared" si="236"/>
        <v>1.8</v>
      </c>
      <c r="K379" s="13">
        <f t="shared" si="236"/>
        <v>0.2</v>
      </c>
      <c r="L379" s="13">
        <f t="shared" si="236"/>
        <v>1.1000000000000001</v>
      </c>
      <c r="M379" s="13">
        <f t="shared" si="236"/>
        <v>1.6</v>
      </c>
      <c r="N379" s="13">
        <f>SUM(N127:N157)</f>
        <v>79</v>
      </c>
      <c r="O379" s="13">
        <f>ROUND(AVERAGE(O127:O157),1)</f>
        <v>11.9</v>
      </c>
      <c r="P379" s="13">
        <f>ROUND(MAX(O127:O157),1)</f>
        <v>24.5</v>
      </c>
      <c r="Q379" s="13"/>
      <c r="R379" s="3"/>
      <c r="S379" s="13">
        <f>ROUND(AVERAGE(S127:S157),1)</f>
        <v>14.3</v>
      </c>
      <c r="T379" s="13">
        <f>ROUND(MAX(S127:S157),1)</f>
        <v>27.5</v>
      </c>
      <c r="U379" s="13">
        <f>ROUND(AVERAGE(U127:U157),1)</f>
        <v>6.2</v>
      </c>
      <c r="V379" s="13">
        <f>ROUND(AVERAGE(V127:V157),1)</f>
        <v>3.6</v>
      </c>
      <c r="W379" s="13"/>
      <c r="X379" s="13"/>
      <c r="Y379" s="13">
        <f>ROUND(AVERAGE(Y127:Y157),1)</f>
        <v>4.5</v>
      </c>
      <c r="Z379" s="13">
        <f>ROUND(MAX(Y127:Y157),1)</f>
        <v>7.6</v>
      </c>
      <c r="AA379" s="13">
        <f>ROUND(AVERAGE(AA127:AA157),1)</f>
        <v>-1.9</v>
      </c>
      <c r="AB379" s="13">
        <f>ROUND(MIN(AA127:AA157),1)</f>
        <v>-8.9</v>
      </c>
      <c r="AC379" s="13">
        <f>ROUND(AVERAGE(AC127:AC157),1)</f>
        <v>55.1</v>
      </c>
      <c r="AD379" s="13">
        <f>ROUND(MIN(AC127:AC157),1)</f>
        <v>30.5</v>
      </c>
      <c r="AE379" s="13">
        <f>ROUND(AVERAGE(AE127:AE157),1)</f>
        <v>-2.6</v>
      </c>
      <c r="AF379" s="13">
        <f>ROUND(MIN(AE127:AE157),1)</f>
        <v>-9.6</v>
      </c>
      <c r="AG379" s="13">
        <f>ROUND(AVERAGE(AG127:AG157),1)</f>
        <v>1.2</v>
      </c>
      <c r="AH379" s="13">
        <f>ROUND(AVERAGE(AH127:AH157),1)</f>
        <v>0.5</v>
      </c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21"/>
      <c r="BE379" s="21">
        <f>BE157</f>
        <v>0</v>
      </c>
      <c r="BF379" s="13"/>
      <c r="BG379" s="13"/>
      <c r="BH379" s="13"/>
      <c r="BI379" s="25">
        <f t="shared" ref="BI379:BJ379" si="237">ROUND(AVERAGE(BI127:BI157),2)</f>
        <v>19.64</v>
      </c>
      <c r="BJ379" s="25">
        <f t="shared" si="237"/>
        <v>40.54</v>
      </c>
      <c r="BK379" s="25"/>
      <c r="BM379" s="25"/>
      <c r="BN379" s="13">
        <f>ROUND(AVERAGE(BN127:BN157),1)</f>
        <v>41.5</v>
      </c>
      <c r="BO379" s="13">
        <f>ROUND(AVERAGE(BO127:BO157),1)</f>
        <v>0.5</v>
      </c>
      <c r="BP379" s="25">
        <f>ROUND(AVERAGE(BP127:BP157),2)</f>
        <v>0.95</v>
      </c>
      <c r="BQ379" s="13">
        <f>ROUND(MIN(BN127:BN157),1)</f>
        <v>19.899999999999999</v>
      </c>
      <c r="BR379" s="13">
        <f>SUM(BR127:BR157)</f>
        <v>69.8</v>
      </c>
      <c r="BS379" s="25">
        <f>ROUND(MAX(BP127:BP157),2)</f>
        <v>2.4700000000000002</v>
      </c>
    </row>
    <row r="380" spans="1:104" x14ac:dyDescent="0.2">
      <c r="A380" s="3" t="s">
        <v>85</v>
      </c>
      <c r="C380" s="25">
        <f>ROUND(AVERAGE(C158:C187),2)</f>
        <v>20.8</v>
      </c>
      <c r="D380" s="25">
        <f>ROUND(AVERAGE(D158:D187),2)</f>
        <v>38.630000000000003</v>
      </c>
      <c r="E380" s="13">
        <f>ROUND(AVERAGE(E158:E187),1)</f>
        <v>9.9</v>
      </c>
      <c r="F380" s="13">
        <f>ROUND(AVERAGE(F158:F187),1)</f>
        <v>86.4</v>
      </c>
      <c r="G380" s="13">
        <f t="shared" ref="G380:M380" si="238">ROUND(AVERAGE(G158:G187),1)</f>
        <v>9.9</v>
      </c>
      <c r="H380" s="13">
        <f t="shared" si="238"/>
        <v>10</v>
      </c>
      <c r="I380" s="13">
        <f t="shared" si="238"/>
        <v>9.5</v>
      </c>
      <c r="J380" s="13">
        <f t="shared" si="238"/>
        <v>10.1</v>
      </c>
      <c r="K380" s="13">
        <f t="shared" si="238"/>
        <v>9</v>
      </c>
      <c r="L380" s="13">
        <f t="shared" si="238"/>
        <v>8.1</v>
      </c>
      <c r="M380" s="13">
        <f t="shared" si="238"/>
        <v>1.6</v>
      </c>
      <c r="N380" s="13">
        <f>SUM(N158:N187)</f>
        <v>103</v>
      </c>
      <c r="O380" s="13">
        <f>ROUND(AVERAGE(O158:O187),1)</f>
        <v>16.100000000000001</v>
      </c>
      <c r="P380" s="13">
        <f>ROUND(MAX(O158:O187),1)</f>
        <v>26.5</v>
      </c>
      <c r="Q380" s="13"/>
      <c r="R380" s="3"/>
      <c r="S380" s="13">
        <f>ROUND(AVERAGE(S158:S187),1)</f>
        <v>19</v>
      </c>
      <c r="T380" s="13">
        <f>ROUND(MAX(S158:S187),1)</f>
        <v>29.5</v>
      </c>
      <c r="U380" s="13">
        <f>ROUND(AVERAGE(U158:U187),1)</f>
        <v>18</v>
      </c>
      <c r="V380" s="13">
        <f>ROUND(AVERAGE(V158:V187),1)</f>
        <v>12.6</v>
      </c>
      <c r="W380" s="13"/>
      <c r="X380" s="13"/>
      <c r="Y380" s="13">
        <f>ROUND(AVERAGE(Y158:Y187),1)</f>
        <v>4.4000000000000004</v>
      </c>
      <c r="Z380" s="13">
        <f>ROUND(MAX(Y158:Y187),1)</f>
        <v>5.9</v>
      </c>
      <c r="AA380" s="13">
        <f>ROUND(AVERAGE(AA158:AA187),1)</f>
        <v>2.6</v>
      </c>
      <c r="AB380" s="13">
        <f>ROUND(MIN(AA158:AA187),1)</f>
        <v>-1.5</v>
      </c>
      <c r="AC380" s="13">
        <f>ROUND(AVERAGE(AC158:AC187),1)</f>
        <v>56</v>
      </c>
      <c r="AD380" s="13">
        <f>ROUND(MIN(AC158:AC187),1)</f>
        <v>18.2</v>
      </c>
      <c r="AE380" s="13">
        <f>ROUND(AVERAGE(AE158:AE187),1)</f>
        <v>1.8</v>
      </c>
      <c r="AF380" s="13">
        <f>ROUND(MIN(AE158:AE187),1)</f>
        <v>-2</v>
      </c>
      <c r="AG380" s="13">
        <f>ROUND(AVERAGE(AG158:AG187),1)</f>
        <v>3.5</v>
      </c>
      <c r="AH380" s="13">
        <f>ROUND(AVERAGE(AH158:AH187),1)</f>
        <v>8</v>
      </c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21"/>
      <c r="BE380" s="21">
        <f>BE187</f>
        <v>0</v>
      </c>
      <c r="BF380" s="13"/>
      <c r="BG380" s="13"/>
      <c r="BH380" s="13"/>
      <c r="BI380" s="25">
        <f t="shared" ref="BI380:BJ380" si="239">ROUND(AVERAGE(BI158:BI187),2)</f>
        <v>20.38</v>
      </c>
      <c r="BJ380" s="25">
        <f t="shared" si="239"/>
        <v>42.49</v>
      </c>
      <c r="BK380" s="25"/>
      <c r="BM380" s="25"/>
      <c r="BN380" s="13">
        <f>ROUND(AVERAGE(BN158:BN187),1)</f>
        <v>42.8</v>
      </c>
      <c r="BO380" s="13">
        <f>ROUND(AVERAGE(BO158:BO187),1)</f>
        <v>0.7</v>
      </c>
      <c r="BP380" s="25">
        <f>ROUND(AVERAGE(BP158:BP187),2)</f>
        <v>1.22</v>
      </c>
      <c r="BQ380" s="13">
        <f>ROUND(MIN(BN158:BN187),1)</f>
        <v>9</v>
      </c>
      <c r="BR380" s="13">
        <f>SUM(BR158:BR187)</f>
        <v>63</v>
      </c>
      <c r="BS380" s="25">
        <f>ROUND(MAX(BP158:BP187),2)</f>
        <v>2.91</v>
      </c>
    </row>
    <row r="381" spans="1:104" x14ac:dyDescent="0.2">
      <c r="A381" s="3" t="s">
        <v>86</v>
      </c>
      <c r="C381" s="25">
        <f>ROUND(AVERAGE(C188:C218),2)</f>
        <v>24.68</v>
      </c>
      <c r="D381" s="25">
        <f>ROUND(AVERAGE(D188:D218),2)</f>
        <v>45.18</v>
      </c>
      <c r="E381" s="13">
        <f>ROUND(AVERAGE(E188:E218),1)</f>
        <v>13.2</v>
      </c>
      <c r="F381" s="13">
        <f>ROUND(AVERAGE(F188:F218),1)</f>
        <v>79.400000000000006</v>
      </c>
      <c r="G381" s="13">
        <f t="shared" ref="G381:M381" si="240">ROUND(AVERAGE(G188:G218),1)</f>
        <v>13.2</v>
      </c>
      <c r="H381" s="13">
        <f t="shared" si="240"/>
        <v>13.2</v>
      </c>
      <c r="I381" s="13">
        <f t="shared" si="240"/>
        <v>11.9</v>
      </c>
      <c r="J381" s="13">
        <f t="shared" si="240"/>
        <v>12.3</v>
      </c>
      <c r="K381" s="13">
        <f t="shared" si="240"/>
        <v>11.1</v>
      </c>
      <c r="L381" s="13">
        <f t="shared" si="240"/>
        <v>9.4</v>
      </c>
      <c r="M381" s="13">
        <f t="shared" si="240"/>
        <v>1.6</v>
      </c>
      <c r="N381" s="13">
        <f>SUM(N188:N218)</f>
        <v>50</v>
      </c>
      <c r="O381" s="13">
        <f>ROUND(AVERAGE(O188:O218),1)</f>
        <v>20.9</v>
      </c>
      <c r="P381" s="13">
        <f>ROUND(MAX(O188:O218),1)</f>
        <v>29.3</v>
      </c>
      <c r="Q381" s="13"/>
      <c r="R381" s="3"/>
      <c r="S381" s="13">
        <f>ROUND(AVERAGE(S188:S218),1)</f>
        <v>24.2</v>
      </c>
      <c r="T381" s="13">
        <f>ROUND(MAX(S188:S218),1)</f>
        <v>32.6</v>
      </c>
      <c r="U381" s="13">
        <f>ROUND(AVERAGE(U188:U218),1)</f>
        <v>23.4</v>
      </c>
      <c r="V381" s="13">
        <f>ROUND(AVERAGE(V188:V218),1)</f>
        <v>14.9</v>
      </c>
      <c r="W381" s="13"/>
      <c r="X381" s="13"/>
      <c r="Y381" s="13">
        <f>ROUND(AVERAGE(Y188:Y218),1)</f>
        <v>4.5999999999999996</v>
      </c>
      <c r="Z381" s="13">
        <f>ROUND(MAX(Y188:Y218),1)</f>
        <v>9.9</v>
      </c>
      <c r="AA381" s="13">
        <f>ROUND(AVERAGE(AA188:AA218),1)</f>
        <v>4.5999999999999996</v>
      </c>
      <c r="AB381" s="13">
        <f>ROUND(MIN(AA188:AA218),1)</f>
        <v>-0.3</v>
      </c>
      <c r="AC381" s="13">
        <f>ROUND(AVERAGE(AC188:AC218),1)</f>
        <v>42.7</v>
      </c>
      <c r="AD381" s="13">
        <f>ROUND(MIN(AC188:AC218),1)</f>
        <v>24.1</v>
      </c>
      <c r="AE381" s="13">
        <f>ROUND(AVERAGE(AE188:AE218),1)</f>
        <v>3.5</v>
      </c>
      <c r="AF381" s="13">
        <f>ROUND(MIN(AE188:AE218),1)</f>
        <v>-1.3</v>
      </c>
      <c r="AG381" s="13">
        <f>ROUND(AVERAGE(AG188:AG218),1)</f>
        <v>4.4000000000000004</v>
      </c>
      <c r="AH381" s="13">
        <f>ROUND(AVERAGE(AH188:AH218),1)</f>
        <v>10</v>
      </c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21"/>
      <c r="BE381" s="21"/>
      <c r="BF381" s="13"/>
      <c r="BG381" s="13"/>
      <c r="BH381" s="13"/>
      <c r="BI381" s="25">
        <f t="shared" ref="BI381:BJ381" si="241">ROUND(AVERAGE(BI188:BI218),2)</f>
        <v>24.18</v>
      </c>
      <c r="BJ381" s="25">
        <f t="shared" si="241"/>
        <v>49.69</v>
      </c>
      <c r="BK381" s="25"/>
      <c r="BM381" s="25"/>
      <c r="BN381" s="13">
        <f>ROUND(AVERAGE(BN188:BN218),1)</f>
        <v>30.6</v>
      </c>
      <c r="BO381" s="13">
        <f>ROUND(AVERAGE(BO188:BO218),1)</f>
        <v>0.7</v>
      </c>
      <c r="BP381" s="25">
        <f>ROUND(AVERAGE(BP188:BP218),2)</f>
        <v>1.84</v>
      </c>
      <c r="BQ381" s="13">
        <f>ROUND(MIN(BN188:BN218),1)</f>
        <v>14.2</v>
      </c>
      <c r="BR381" s="13">
        <f>SUM(BR188:BR218)</f>
        <v>25.2</v>
      </c>
      <c r="BS381" s="25">
        <f>ROUND(MAX(BP188:BP218),2)</f>
        <v>3.43</v>
      </c>
    </row>
    <row r="382" spans="1:104" x14ac:dyDescent="0.2">
      <c r="A382" s="3" t="s">
        <v>87</v>
      </c>
      <c r="C382" s="25">
        <f>ROUND(AVERAGE(C219:C249),2)</f>
        <v>21.01</v>
      </c>
      <c r="D382" s="25">
        <f>ROUND(AVERAGE(D219:D249),2)</f>
        <v>38.1</v>
      </c>
      <c r="E382" s="13">
        <f>ROUND(AVERAGE(E219:E249),1)</f>
        <v>10.3</v>
      </c>
      <c r="F382" s="13">
        <f>ROUND(AVERAGE(F219:F249),1)</f>
        <v>81.099999999999994</v>
      </c>
      <c r="G382" s="13">
        <f t="shared" ref="G382:M382" si="242">ROUND(AVERAGE(G219:G249),1)</f>
        <v>10.199999999999999</v>
      </c>
      <c r="H382" s="13">
        <f t="shared" si="242"/>
        <v>10.1</v>
      </c>
      <c r="I382" s="13">
        <f t="shared" si="242"/>
        <v>9.1</v>
      </c>
      <c r="J382" s="13">
        <f t="shared" si="242"/>
        <v>10.3</v>
      </c>
      <c r="K382" s="13">
        <f t="shared" si="242"/>
        <v>10</v>
      </c>
      <c r="L382" s="13">
        <f t="shared" si="242"/>
        <v>9.1999999999999993</v>
      </c>
      <c r="M382" s="13">
        <f t="shared" si="242"/>
        <v>1.6</v>
      </c>
      <c r="N382" s="13">
        <f>SUM(N219:N249)</f>
        <v>54</v>
      </c>
      <c r="O382" s="13">
        <f>ROUND(AVERAGE(O219:O249),1)</f>
        <v>18.8</v>
      </c>
      <c r="P382" s="13">
        <f>ROUND(MAX(O219:O249),1)</f>
        <v>26.2</v>
      </c>
      <c r="Q382" s="13"/>
      <c r="R382" s="3"/>
      <c r="S382" s="13">
        <f>ROUND(AVERAGE(S219:S249),1)</f>
        <v>21.7</v>
      </c>
      <c r="T382" s="13">
        <f>ROUND(MAX(S219:S249),1)</f>
        <v>29.4</v>
      </c>
      <c r="U382" s="13">
        <f>ROUND(AVERAGE(U219:U249),1)</f>
        <v>19.399999999999999</v>
      </c>
      <c r="V382" s="13">
        <f>ROUND(AVERAGE(V219:V249),1)</f>
        <v>13.4</v>
      </c>
      <c r="W382" s="13"/>
      <c r="X382" s="13"/>
      <c r="Y382" s="13">
        <f>ROUND(AVERAGE(Y219:Y249),1)</f>
        <v>4.3</v>
      </c>
      <c r="Z382" s="13">
        <f>ROUND(MAX(Y219:Y249),1)</f>
        <v>6</v>
      </c>
      <c r="AA382" s="13">
        <f>ROUND(AVERAGE(AA219:AA249),1)</f>
        <v>1.4</v>
      </c>
      <c r="AB382" s="13">
        <f>ROUND(MIN(AA219:AA249),1)</f>
        <v>-2.9</v>
      </c>
      <c r="AC382" s="13">
        <f>ROUND(AVERAGE(AC219:AC249),1)</f>
        <v>44</v>
      </c>
      <c r="AD382" s="13">
        <f>ROUND(MIN(AC219:AC249),1)</f>
        <v>15.1</v>
      </c>
      <c r="AE382" s="13">
        <f>ROUND(AVERAGE(AE219:AE249),1)</f>
        <v>0.4</v>
      </c>
      <c r="AF382" s="13">
        <f>ROUND(MIN(AE219:AE249),1)</f>
        <v>-3.7</v>
      </c>
      <c r="AG382" s="13">
        <f>ROUND(AVERAGE(AG219:AG249),1)</f>
        <v>1.6</v>
      </c>
      <c r="AH382" s="13">
        <f>ROUND(AVERAGE(AH219:AH249),1)</f>
        <v>7.7</v>
      </c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21"/>
      <c r="BE382" s="21"/>
      <c r="BF382" s="13"/>
      <c r="BG382" s="13"/>
      <c r="BH382" s="13"/>
      <c r="BI382" s="25">
        <f t="shared" ref="BI382:BJ382" si="243">ROUND(AVERAGE(BI219:BI249),2)</f>
        <v>20.59</v>
      </c>
      <c r="BJ382" s="25">
        <f t="shared" si="243"/>
        <v>41.92</v>
      </c>
      <c r="BK382" s="25"/>
      <c r="BM382" s="25"/>
      <c r="BN382" s="13">
        <f>ROUND(AVERAGE(BN219:BN249),1)</f>
        <v>31.8</v>
      </c>
      <c r="BO382" s="13">
        <f>ROUND(AVERAGE(BO219:BO249),1)</f>
        <v>0.6</v>
      </c>
      <c r="BP382" s="25">
        <f>ROUND(AVERAGE(BP219:BP249),2)</f>
        <v>1.59</v>
      </c>
      <c r="BQ382" s="13">
        <f>ROUND(MIN(BN219:BN249),1)</f>
        <v>6.3</v>
      </c>
      <c r="BR382" s="13">
        <f>SUM(BR219:BR249)</f>
        <v>43.2</v>
      </c>
      <c r="BS382" s="25">
        <f>ROUND(MAX(BP219:BP249),2)</f>
        <v>3.2</v>
      </c>
    </row>
    <row r="383" spans="1:104" x14ac:dyDescent="0.2">
      <c r="A383" s="3" t="s">
        <v>88</v>
      </c>
      <c r="C383" s="25">
        <f>ROUND(AVERAGE(C250:C279),2)</f>
        <v>13.86</v>
      </c>
      <c r="D383" s="25">
        <f>ROUND(AVERAGE(D250:D279),2)</f>
        <v>25.01</v>
      </c>
      <c r="E383" s="13">
        <f>ROUND(AVERAGE(E250:E279),1)</f>
        <v>7.5</v>
      </c>
      <c r="F383" s="13">
        <f>ROUND(AVERAGE(F250:F279),1)</f>
        <v>91.7</v>
      </c>
      <c r="G383" s="13">
        <f t="shared" ref="G383:M383" si="244">ROUND(AVERAGE(G250:G279),1)</f>
        <v>7.4</v>
      </c>
      <c r="H383" s="13">
        <f t="shared" si="244"/>
        <v>7.3</v>
      </c>
      <c r="I383" s="13">
        <f t="shared" si="244"/>
        <v>6.8</v>
      </c>
      <c r="J383" s="13">
        <f t="shared" si="244"/>
        <v>8.1</v>
      </c>
      <c r="K383" s="13">
        <f t="shared" si="244"/>
        <v>8.1</v>
      </c>
      <c r="L383" s="13">
        <f t="shared" si="244"/>
        <v>7.9</v>
      </c>
      <c r="M383" s="13">
        <f t="shared" si="244"/>
        <v>1.4</v>
      </c>
      <c r="N383" s="13">
        <f>SUM(N250:N279)</f>
        <v>95</v>
      </c>
      <c r="O383" s="13">
        <f>ROUND(AVERAGE(O250:O279),1)</f>
        <v>15.2</v>
      </c>
      <c r="P383" s="13">
        <f>ROUND(MAX(O250:O279),1)</f>
        <v>26.2</v>
      </c>
      <c r="Q383" s="13"/>
      <c r="R383" s="3"/>
      <c r="S383" s="13">
        <f>ROUND(AVERAGE(S250:S279),1)</f>
        <v>18.2</v>
      </c>
      <c r="T383" s="13">
        <f>ROUND(MAX(S250:S279),1)</f>
        <v>30</v>
      </c>
      <c r="U383" s="13">
        <f>ROUND(AVERAGE(U250:U279),1)</f>
        <v>15.2</v>
      </c>
      <c r="V383" s="13">
        <f>ROUND(AVERAGE(V250:V279),1)</f>
        <v>11</v>
      </c>
      <c r="W383" s="13"/>
      <c r="X383" s="13"/>
      <c r="Y383" s="13">
        <f>ROUND(AVERAGE(Y250:Y279),1)</f>
        <v>3.6</v>
      </c>
      <c r="Z383" s="13">
        <f>ROUND(MAX(Y250:Y279),1)</f>
        <v>4.9000000000000004</v>
      </c>
      <c r="AA383" s="13">
        <f>ROUND(AVERAGE(AA250:AA279),1)</f>
        <v>0.8</v>
      </c>
      <c r="AB383" s="13">
        <f>ROUND(MIN(AA250:AA279),1)</f>
        <v>-4.5</v>
      </c>
      <c r="AC383" s="13">
        <f>ROUND(AVERAGE(AC250:AC279),1)</f>
        <v>59.9</v>
      </c>
      <c r="AD383" s="13">
        <f>ROUND(MIN(AC250:AC279),1)</f>
        <v>22.5</v>
      </c>
      <c r="AE383" s="13">
        <f>ROUND(AVERAGE(AE250:AE279),1)</f>
        <v>-0.1</v>
      </c>
      <c r="AF383" s="13">
        <f>ROUND(MIN(AE250:AE279),1)</f>
        <v>-5.3</v>
      </c>
      <c r="AG383" s="13">
        <f>ROUND(AVERAGE(AG250:AG279),1)</f>
        <v>1.2</v>
      </c>
      <c r="AH383" s="13">
        <f>ROUND(AVERAGE(AH250:AH279),1)</f>
        <v>5.9</v>
      </c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21"/>
      <c r="BE383" s="21">
        <f>BE279</f>
        <v>0</v>
      </c>
      <c r="BF383" s="13"/>
      <c r="BG383" s="13"/>
      <c r="BH383" s="13"/>
      <c r="BI383" s="25">
        <f t="shared" ref="BI383:BJ383" si="245">ROUND(AVERAGE(BI250:BI279),2)</f>
        <v>13.59</v>
      </c>
      <c r="BJ383" s="25">
        <f t="shared" si="245"/>
        <v>27.51</v>
      </c>
      <c r="BK383" s="25"/>
      <c r="BM383" s="25"/>
      <c r="BN383" s="13">
        <f>ROUND(AVERAGE(BN250:BN279),1)</f>
        <v>46.2</v>
      </c>
      <c r="BO383" s="13">
        <f>ROUND(AVERAGE(BO250:BO279),1)</f>
        <v>0.7</v>
      </c>
      <c r="BP383" s="25">
        <f>ROUND(AVERAGE(BP250:BP279),2)</f>
        <v>1.18</v>
      </c>
      <c r="BQ383" s="13">
        <f>ROUND(MIN(BN250:BN279),1)</f>
        <v>12.8</v>
      </c>
      <c r="BR383" s="13">
        <f>SUM(BR250:BR279)</f>
        <v>95.600000000000023</v>
      </c>
      <c r="BS383" s="25">
        <f>ROUND(MAX(BP250:BP279),2)</f>
        <v>2.96</v>
      </c>
    </row>
    <row r="384" spans="1:104" x14ac:dyDescent="0.2">
      <c r="A384" s="3" t="s">
        <v>89</v>
      </c>
      <c r="C384" s="25">
        <f>ROUND(AVERAGE(C280:C310),2)</f>
        <v>8.02</v>
      </c>
      <c r="D384" s="25">
        <f>ROUND(AVERAGE(D280:D310),2)</f>
        <v>14.38</v>
      </c>
      <c r="E384" s="13">
        <f>ROUND(AVERAGE(E280:E310),1)</f>
        <v>0.3</v>
      </c>
      <c r="F384" s="13">
        <f>ROUND(AVERAGE(F280:F310),1)</f>
        <v>96.9</v>
      </c>
      <c r="G384" s="13">
        <f t="shared" ref="G384:M384" si="246">ROUND(AVERAGE(G280:G310),1)</f>
        <v>0.2</v>
      </c>
      <c r="H384" s="13">
        <f t="shared" si="246"/>
        <v>0.1</v>
      </c>
      <c r="I384" s="13">
        <f t="shared" si="246"/>
        <v>1.2</v>
      </c>
      <c r="J384" s="13">
        <f t="shared" si="246"/>
        <v>3.2</v>
      </c>
      <c r="K384" s="13">
        <f t="shared" si="246"/>
        <v>4.3</v>
      </c>
      <c r="L384" s="13">
        <f t="shared" si="246"/>
        <v>5</v>
      </c>
      <c r="M384" s="13">
        <f t="shared" si="246"/>
        <v>1.5</v>
      </c>
      <c r="N384" s="13">
        <f>SUM(N280:N310)</f>
        <v>21</v>
      </c>
      <c r="O384" s="13">
        <f>ROUND(AVERAGE(O280:O310),1)</f>
        <v>6.4</v>
      </c>
      <c r="P384" s="26">
        <f>ROUND(MAX(O280:O310),1)</f>
        <v>14.9</v>
      </c>
      <c r="Q384" s="26"/>
      <c r="R384" s="3"/>
      <c r="S384" s="13">
        <f>ROUND(AVERAGE(S280:S310),1)</f>
        <v>8.6</v>
      </c>
      <c r="T384" s="26">
        <f>ROUND(MAX(S280:S310),1)</f>
        <v>18.3</v>
      </c>
      <c r="U384" s="13">
        <f>ROUND(AVERAGE(U280:U310),1)</f>
        <v>6.1</v>
      </c>
      <c r="V384" s="13">
        <f>ROUND(AVERAGE(V280:V310),1)</f>
        <v>4.9000000000000004</v>
      </c>
      <c r="W384" s="13"/>
      <c r="X384" s="26"/>
      <c r="Y384" s="13">
        <f>ROUND(AVERAGE(Y280:Y310),1)</f>
        <v>3.7</v>
      </c>
      <c r="Z384" s="26">
        <f>ROUND(MAX(Y280:Y310),1)</f>
        <v>6.5</v>
      </c>
      <c r="AA384" s="13">
        <f>ROUND(AVERAGE(AA280:AA310),1)</f>
        <v>-4.8</v>
      </c>
      <c r="AB384" s="26">
        <f>ROUND(MIN(AA280:AA310),1)</f>
        <v>-18.100000000000001</v>
      </c>
      <c r="AC384" s="13">
        <f>ROUND(AVERAGE(AC280:AC310),1)</f>
        <v>70.400000000000006</v>
      </c>
      <c r="AD384" s="26">
        <f>ROUND(MIN(AC280:AC310),1)</f>
        <v>31.6</v>
      </c>
      <c r="AE384" s="13">
        <f>ROUND(AVERAGE(AE280:AE310),1)</f>
        <v>-5.6</v>
      </c>
      <c r="AF384" s="26">
        <f>ROUND(MIN(AE280:AE310),1)</f>
        <v>-19.5</v>
      </c>
      <c r="AG384" s="13">
        <f>ROUND(AVERAGE(AG280:AG310),1)</f>
        <v>-2.2999999999999998</v>
      </c>
      <c r="AH384" s="13">
        <f>ROUND(AVERAGE(AH280:AH310),1)</f>
        <v>1.9</v>
      </c>
      <c r="AI384" s="13"/>
      <c r="AJ384" s="26"/>
      <c r="AK384" s="26"/>
      <c r="AL384" s="26"/>
      <c r="AM384" s="26"/>
      <c r="AN384" s="26"/>
      <c r="AO384" s="26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21"/>
      <c r="BE384" s="21">
        <f>BE310</f>
        <v>88</v>
      </c>
      <c r="BF384" s="13"/>
      <c r="BG384" s="13"/>
      <c r="BH384" s="26"/>
      <c r="BI384" s="25">
        <f t="shared" ref="BI384:BJ384" si="247">ROUND(AVERAGE(BI280:BI310),2)</f>
        <v>7.86</v>
      </c>
      <c r="BJ384" s="25">
        <f t="shared" si="247"/>
        <v>15.82</v>
      </c>
      <c r="BK384" s="25"/>
      <c r="BL384" s="3"/>
      <c r="BM384" s="25"/>
      <c r="BN384" s="13">
        <f>ROUND(AVERAGE(BN280:BN310),1)</f>
        <v>55.8</v>
      </c>
      <c r="BO384" s="13">
        <f>ROUND(AVERAGE(BO280:BO310),1)</f>
        <v>0.5</v>
      </c>
      <c r="BP384" s="25">
        <f>ROUND(AVERAGE(BP280:BP310),2)</f>
        <v>0.5</v>
      </c>
      <c r="BQ384" s="26">
        <f>ROUND(MIN(BN280:BN310),1)</f>
        <v>20.8</v>
      </c>
      <c r="BR384" s="13">
        <f>SUM(BR280:BR310)</f>
        <v>37</v>
      </c>
      <c r="BS384" s="42">
        <f>ROUND(MAX(BP280:BP310),2)</f>
        <v>1.1200000000000001</v>
      </c>
      <c r="BT384" s="22"/>
      <c r="BU384" s="22"/>
      <c r="BV384" s="3"/>
      <c r="BW384" s="3"/>
      <c r="BX384" s="3"/>
      <c r="BY384" s="3"/>
      <c r="BZ384" s="3"/>
      <c r="CA384" s="22"/>
    </row>
    <row r="385" spans="1:79" x14ac:dyDescent="0.2">
      <c r="A385" s="3" t="s">
        <v>90</v>
      </c>
      <c r="C385" s="27">
        <f>ROUND(AVERAGE(C311:C340),2)</f>
        <v>1.86</v>
      </c>
      <c r="D385" s="27">
        <f>ROUND(AVERAGE(D311:D340),2)</f>
        <v>3.25</v>
      </c>
      <c r="E385" s="28">
        <f>ROUND(AVERAGE(E311:E340),1)</f>
        <v>-5.8</v>
      </c>
      <c r="F385" s="28">
        <f>ROUND(AVERAGE(F311:F340),1)</f>
        <v>103.3</v>
      </c>
      <c r="G385" s="28">
        <f t="shared" ref="G385:M385" si="248">ROUND(AVERAGE(G311:G340),1)</f>
        <v>-6</v>
      </c>
      <c r="H385" s="28">
        <f t="shared" si="248"/>
        <v>-6.1</v>
      </c>
      <c r="I385" s="28">
        <f t="shared" si="248"/>
        <v>0.1</v>
      </c>
      <c r="J385" s="28">
        <f t="shared" si="248"/>
        <v>-0.2</v>
      </c>
      <c r="K385" s="28">
        <f t="shared" si="248"/>
        <v>0.6</v>
      </c>
      <c r="L385" s="28">
        <f t="shared" si="248"/>
        <v>1.5</v>
      </c>
      <c r="M385" s="28">
        <f t="shared" si="248"/>
        <v>1.6</v>
      </c>
      <c r="N385" s="13">
        <f>SUM(N311:N340)</f>
        <v>9</v>
      </c>
      <c r="O385" s="28">
        <f>ROUND(AVERAGE(O311:O340),1)</f>
        <v>-2.6</v>
      </c>
      <c r="P385" s="13">
        <f>ROUND(MAX(O311:O340),1)</f>
        <v>8.8000000000000007</v>
      </c>
      <c r="Q385" s="13"/>
      <c r="R385" s="3"/>
      <c r="S385" s="28">
        <f>ROUND(AVERAGE(S311:S340),1)</f>
        <v>-2</v>
      </c>
      <c r="T385" s="13">
        <f>ROUND(MAX(S311:S340),1)</f>
        <v>8.9</v>
      </c>
      <c r="U385" s="28">
        <f>ROUND(AVERAGE(U311:U340),1)</f>
        <v>0.5</v>
      </c>
      <c r="V385" s="28">
        <f>ROUND(AVERAGE(V311:V340),1)</f>
        <v>-0.1</v>
      </c>
      <c r="W385" s="28"/>
      <c r="X385" s="13"/>
      <c r="Y385" s="28">
        <f>ROUND(AVERAGE(Y311:Y340),1)</f>
        <v>4.8</v>
      </c>
      <c r="Z385" s="13">
        <f>ROUND(MAX(Y311:Y340),1)</f>
        <v>9</v>
      </c>
      <c r="AA385" s="28">
        <f>ROUND(AVERAGE(AA311:AA340),1)</f>
        <v>-9.9</v>
      </c>
      <c r="AB385" s="13">
        <f>ROUND(MIN(AA311:AA340),1)</f>
        <v>-35.299999999999997</v>
      </c>
      <c r="AC385" s="28">
        <f>ROUND(AVERAGE(AC311:AC340),1)</f>
        <v>91.4</v>
      </c>
      <c r="AD385" s="13">
        <f>ROUND(MIN(AC311:AC340),1)</f>
        <v>56.6</v>
      </c>
      <c r="AE385" s="28">
        <f>ROUND(AVERAGE(AE311:AE340),1)</f>
        <v>-10.8</v>
      </c>
      <c r="AF385" s="13">
        <f>ROUND(MIN(AE311:AE340),1)</f>
        <v>-36.700000000000003</v>
      </c>
      <c r="AG385" s="28">
        <f>ROUND(AVERAGE(AG311:AG340),1)</f>
        <v>-0.5</v>
      </c>
      <c r="AH385" s="28">
        <f>ROUND(AVERAGE(AH311:AH340),1)</f>
        <v>-0.4</v>
      </c>
      <c r="AI385" s="28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21"/>
      <c r="BE385" s="21">
        <f>BE340</f>
        <v>700</v>
      </c>
      <c r="BF385" s="13"/>
      <c r="BG385" s="28"/>
      <c r="BH385" s="13"/>
      <c r="BI385" s="27">
        <f t="shared" ref="BI385:BJ385" si="249">ROUND(AVERAGE(BI311:BI340),2)</f>
        <v>1.82</v>
      </c>
      <c r="BJ385" s="27">
        <f t="shared" si="249"/>
        <v>3.57</v>
      </c>
      <c r="BK385" s="27"/>
      <c r="BL385" s="3"/>
      <c r="BM385" s="27"/>
      <c r="BN385" s="28">
        <f>ROUND(AVERAGE(BN311:BN340),1)</f>
        <v>74.900000000000006</v>
      </c>
      <c r="BO385" s="28">
        <f>ROUND(AVERAGE(BO311:BO340),1)</f>
        <v>0.4</v>
      </c>
      <c r="BP385" s="27">
        <f>ROUND(AVERAGE(BP311:BP340),2)</f>
        <v>0.15</v>
      </c>
      <c r="BQ385" s="13">
        <f>ROUND(MIN(BN311:BN340),1)</f>
        <v>42.8</v>
      </c>
      <c r="BR385" s="13">
        <f>SUM(BR311:BR340)</f>
        <v>91.799999999999983</v>
      </c>
      <c r="BS385" s="25">
        <f>ROUND(MAX(BP311:BP340),2)</f>
        <v>0.36</v>
      </c>
      <c r="BT385" s="22"/>
      <c r="BU385" s="22"/>
      <c r="BV385" s="3"/>
      <c r="BW385" s="3"/>
      <c r="BX385" s="3"/>
      <c r="BY385" s="3"/>
      <c r="BZ385" s="3"/>
      <c r="CA385" s="22"/>
    </row>
    <row r="386" spans="1:79" x14ac:dyDescent="0.2">
      <c r="A386" s="3" t="s">
        <v>91</v>
      </c>
      <c r="C386" s="25">
        <f>ROUND(AVERAGE(C341:C371),2)</f>
        <v>1.82</v>
      </c>
      <c r="D386" s="25">
        <f>ROUND(AVERAGE(D341:D371),2)</f>
        <v>2.96</v>
      </c>
      <c r="E386" s="13">
        <f>ROUND(AVERAGE(E341:E371),1)</f>
        <v>-6.4</v>
      </c>
      <c r="F386" s="13">
        <f>ROUND(AVERAGE(F341:F371),1)</f>
        <v>104.9</v>
      </c>
      <c r="G386" s="13">
        <f t="shared" ref="G386:M386" si="250">ROUND(AVERAGE(G341:G371),1)</f>
        <v>-6.9</v>
      </c>
      <c r="H386" s="13">
        <f t="shared" si="250"/>
        <v>-7.1</v>
      </c>
      <c r="I386" s="13">
        <f t="shared" si="250"/>
        <v>-0.1</v>
      </c>
      <c r="J386" s="13">
        <f t="shared" si="250"/>
        <v>-0.4</v>
      </c>
      <c r="K386" s="13">
        <f t="shared" si="250"/>
        <v>0</v>
      </c>
      <c r="L386" s="13">
        <f t="shared" si="250"/>
        <v>1.1000000000000001</v>
      </c>
      <c r="M386" s="13">
        <f t="shared" si="250"/>
        <v>1.3</v>
      </c>
      <c r="N386" s="13">
        <f>SUM(N341:N371)</f>
        <v>0</v>
      </c>
      <c r="O386" s="13">
        <f>ROUND(AVERAGE(O341:O371),1)</f>
        <v>-2.9</v>
      </c>
      <c r="P386" s="13">
        <f>ROUND(MAX(O341:O371),1)</f>
        <v>2.9</v>
      </c>
      <c r="Q386" s="13"/>
      <c r="R386" s="3"/>
      <c r="S386" s="13">
        <f>ROUND(AVERAGE(S341:S371),1)</f>
        <v>-2.4</v>
      </c>
      <c r="T386" s="13">
        <f>ROUND(MAX(S341:S371),1)</f>
        <v>3.6</v>
      </c>
      <c r="U386" s="13">
        <f>ROUND(AVERAGE(U341:U371),1)</f>
        <v>0.1</v>
      </c>
      <c r="V386" s="13">
        <f>ROUND(AVERAGE(V341:V371),1)</f>
        <v>-0.3</v>
      </c>
      <c r="W386" s="13"/>
      <c r="X386" s="13"/>
      <c r="Y386" s="13">
        <f>ROUND(AVERAGE(Y341:Y371),1)</f>
        <v>4</v>
      </c>
      <c r="Z386" s="13">
        <f>ROUND(MAX(Y341:Y371),1)</f>
        <v>8.4</v>
      </c>
      <c r="AA386" s="13">
        <f>ROUND(AVERAGE(AA341:AA371),1)</f>
        <v>-10.9</v>
      </c>
      <c r="AB386" s="13">
        <f>ROUND(MIN(AA341:AA371),1)</f>
        <v>-23.5</v>
      </c>
      <c r="AC386" s="13">
        <f>ROUND(AVERAGE(AC341:AC371),1)</f>
        <v>92.4</v>
      </c>
      <c r="AD386" s="13">
        <f>ROUND(MIN(AC341:AC371),1)</f>
        <v>55.2</v>
      </c>
      <c r="AE386" s="13">
        <f>ROUND(AVERAGE(AE341:AE371),1)</f>
        <v>-12.3</v>
      </c>
      <c r="AF386" s="13">
        <f>ROUND(MIN(AE341:AE371),1)</f>
        <v>-25</v>
      </c>
      <c r="AG386" s="13">
        <f>ROUND(AVERAGE(AG341:AG371),1)</f>
        <v>-0.4</v>
      </c>
      <c r="AH386" s="13">
        <f>ROUND(AVERAGE(AH341:AH371),1)</f>
        <v>-0.6</v>
      </c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21"/>
      <c r="BE386" s="21">
        <f>BE371</f>
        <v>862</v>
      </c>
      <c r="BF386" s="13"/>
      <c r="BG386" s="13"/>
      <c r="BH386" s="13"/>
      <c r="BI386" s="25">
        <f t="shared" ref="BI386:BJ386" si="251">ROUND(AVERAGE(BI341:BI371),2)</f>
        <v>1.71</v>
      </c>
      <c r="BJ386" s="25">
        <f t="shared" si="251"/>
        <v>3.25</v>
      </c>
      <c r="BK386" s="25"/>
      <c r="BL386" s="3"/>
      <c r="BM386" s="25"/>
      <c r="BN386" s="13">
        <f>ROUND(AVERAGE(BN341:BN371),1)</f>
        <v>76.7</v>
      </c>
      <c r="BO386" s="13">
        <f>ROUND(AVERAGE(BO341:BO371),1)</f>
        <v>0.4</v>
      </c>
      <c r="BP386" s="25">
        <f>ROUND(AVERAGE(BP341:BP371),2)</f>
        <v>0.12</v>
      </c>
      <c r="BQ386" s="13">
        <f>ROUND(MIN(BN341:BN371),1)</f>
        <v>41.6</v>
      </c>
      <c r="BR386" s="13">
        <f>SUM(BR341:BR371)</f>
        <v>16.400000000000002</v>
      </c>
      <c r="BS386" s="25">
        <f>ROUND(MAX(BP341:BP371),2)</f>
        <v>0.3</v>
      </c>
      <c r="BT386" s="22"/>
      <c r="BU386" s="22"/>
      <c r="BV386" s="3"/>
      <c r="BW386" s="3"/>
      <c r="BX386" s="3"/>
      <c r="BY386" s="3"/>
      <c r="BZ386" s="3"/>
      <c r="CA386" s="22"/>
    </row>
    <row r="387" spans="1:79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M387" s="3"/>
      <c r="BO387" s="3"/>
      <c r="BP387" s="3"/>
      <c r="BR387" s="3"/>
    </row>
    <row r="388" spans="1:79" x14ac:dyDescent="0.2">
      <c r="A388" s="21" t="s">
        <v>92</v>
      </c>
      <c r="C388" s="21">
        <f>COUNT(C7:C37)</f>
        <v>31</v>
      </c>
      <c r="D388" s="21">
        <f>COUNT(D7:D37)</f>
        <v>31</v>
      </c>
      <c r="E388" s="21">
        <f>COUNT(E7:E37)</f>
        <v>31</v>
      </c>
      <c r="F388" s="21">
        <f t="shared" ref="F388:AH388" si="252">COUNT(F7:F37)</f>
        <v>31</v>
      </c>
      <c r="G388" s="21">
        <f t="shared" si="252"/>
        <v>31</v>
      </c>
      <c r="H388" s="21">
        <f t="shared" si="252"/>
        <v>31</v>
      </c>
      <c r="I388" s="21">
        <f t="shared" si="252"/>
        <v>31</v>
      </c>
      <c r="J388" s="21">
        <f t="shared" si="252"/>
        <v>31</v>
      </c>
      <c r="K388" s="21">
        <f t="shared" si="252"/>
        <v>31</v>
      </c>
      <c r="L388" s="21">
        <f t="shared" si="252"/>
        <v>31</v>
      </c>
      <c r="M388" s="21">
        <f t="shared" si="252"/>
        <v>31</v>
      </c>
      <c r="N388" s="21">
        <f t="shared" si="252"/>
        <v>31</v>
      </c>
      <c r="O388" s="21">
        <f t="shared" si="252"/>
        <v>31</v>
      </c>
      <c r="P388" s="21">
        <f t="shared" si="252"/>
        <v>31</v>
      </c>
      <c r="Q388" s="21">
        <f t="shared" si="252"/>
        <v>31</v>
      </c>
      <c r="R388" s="21">
        <f t="shared" si="252"/>
        <v>31</v>
      </c>
      <c r="S388" s="21">
        <f t="shared" si="252"/>
        <v>31</v>
      </c>
      <c r="T388" s="21">
        <f t="shared" si="252"/>
        <v>31</v>
      </c>
      <c r="U388" s="21">
        <f t="shared" si="252"/>
        <v>31</v>
      </c>
      <c r="V388" s="21">
        <f t="shared" si="252"/>
        <v>31</v>
      </c>
      <c r="W388" s="21">
        <f t="shared" si="252"/>
        <v>31</v>
      </c>
      <c r="X388" s="21">
        <f t="shared" si="252"/>
        <v>31</v>
      </c>
      <c r="Y388" s="21">
        <f t="shared" si="252"/>
        <v>31</v>
      </c>
      <c r="Z388" s="21">
        <f t="shared" si="252"/>
        <v>31</v>
      </c>
      <c r="AA388" s="21">
        <f t="shared" si="252"/>
        <v>31</v>
      </c>
      <c r="AB388" s="21">
        <f t="shared" si="252"/>
        <v>31</v>
      </c>
      <c r="AC388" s="21">
        <f t="shared" si="252"/>
        <v>31</v>
      </c>
      <c r="AD388" s="21">
        <f t="shared" si="252"/>
        <v>31</v>
      </c>
      <c r="AE388" s="21">
        <f t="shared" si="252"/>
        <v>31</v>
      </c>
      <c r="AF388" s="21">
        <f t="shared" si="252"/>
        <v>31</v>
      </c>
      <c r="AG388" s="21">
        <f t="shared" si="252"/>
        <v>31</v>
      </c>
      <c r="AH388" s="21">
        <f t="shared" si="252"/>
        <v>31</v>
      </c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>
        <f t="shared" ref="BE388" si="253">COUNT(BE7:BE37)</f>
        <v>31</v>
      </c>
      <c r="BF388" s="21"/>
      <c r="BG388" s="21"/>
      <c r="BH388" s="3"/>
      <c r="BI388" s="21">
        <f t="shared" ref="BI388:BJ388" si="254">COUNT(BI7:BI37)</f>
        <v>31</v>
      </c>
      <c r="BJ388" s="21">
        <f t="shared" si="254"/>
        <v>31</v>
      </c>
      <c r="BK388" s="21"/>
      <c r="BM388" s="21"/>
      <c r="BN388" s="21">
        <f t="shared" ref="BN388:BR388" si="255">COUNT(BN7:BN37)</f>
        <v>31</v>
      </c>
      <c r="BO388" s="21"/>
      <c r="BP388" s="21">
        <f t="shared" ref="BP388" si="256">COUNT(BP7:BP37)</f>
        <v>31</v>
      </c>
      <c r="BR388" s="21">
        <f t="shared" si="255"/>
        <v>0</v>
      </c>
    </row>
    <row r="389" spans="1:79" x14ac:dyDescent="0.2">
      <c r="A389" s="21" t="s">
        <v>93</v>
      </c>
      <c r="C389" s="21">
        <f t="shared" ref="C389:AH389" si="257">COUNT(C38:C65)</f>
        <v>28</v>
      </c>
      <c r="D389" s="21">
        <f t="shared" si="257"/>
        <v>28</v>
      </c>
      <c r="E389" s="21">
        <f t="shared" si="257"/>
        <v>28</v>
      </c>
      <c r="F389" s="21">
        <f t="shared" si="257"/>
        <v>28</v>
      </c>
      <c r="G389" s="21">
        <f t="shared" si="257"/>
        <v>28</v>
      </c>
      <c r="H389" s="21">
        <f t="shared" si="257"/>
        <v>28</v>
      </c>
      <c r="I389" s="21">
        <f t="shared" si="257"/>
        <v>28</v>
      </c>
      <c r="J389" s="21">
        <f t="shared" si="257"/>
        <v>28</v>
      </c>
      <c r="K389" s="21">
        <f t="shared" si="257"/>
        <v>28</v>
      </c>
      <c r="L389" s="21">
        <f t="shared" si="257"/>
        <v>28</v>
      </c>
      <c r="M389" s="21">
        <f t="shared" si="257"/>
        <v>28</v>
      </c>
      <c r="N389" s="21">
        <f t="shared" si="257"/>
        <v>28</v>
      </c>
      <c r="O389" s="21">
        <f t="shared" si="257"/>
        <v>28</v>
      </c>
      <c r="P389" s="21">
        <f t="shared" si="257"/>
        <v>28</v>
      </c>
      <c r="Q389" s="21">
        <f t="shared" si="257"/>
        <v>28</v>
      </c>
      <c r="R389" s="21">
        <f t="shared" si="257"/>
        <v>28</v>
      </c>
      <c r="S389" s="21">
        <f t="shared" si="257"/>
        <v>28</v>
      </c>
      <c r="T389" s="21">
        <f t="shared" si="257"/>
        <v>28</v>
      </c>
      <c r="U389" s="21">
        <f t="shared" si="257"/>
        <v>28</v>
      </c>
      <c r="V389" s="21">
        <f t="shared" si="257"/>
        <v>28</v>
      </c>
      <c r="W389" s="21">
        <f t="shared" si="257"/>
        <v>28</v>
      </c>
      <c r="X389" s="21">
        <f t="shared" si="257"/>
        <v>28</v>
      </c>
      <c r="Y389" s="21">
        <f t="shared" si="257"/>
        <v>28</v>
      </c>
      <c r="Z389" s="21">
        <f t="shared" si="257"/>
        <v>28</v>
      </c>
      <c r="AA389" s="21">
        <f t="shared" si="257"/>
        <v>28</v>
      </c>
      <c r="AB389" s="21">
        <f t="shared" si="257"/>
        <v>28</v>
      </c>
      <c r="AC389" s="21">
        <f t="shared" si="257"/>
        <v>28</v>
      </c>
      <c r="AD389" s="21">
        <f t="shared" si="257"/>
        <v>28</v>
      </c>
      <c r="AE389" s="21">
        <f t="shared" si="257"/>
        <v>28</v>
      </c>
      <c r="AF389" s="21">
        <f t="shared" si="257"/>
        <v>28</v>
      </c>
      <c r="AG389" s="21">
        <f t="shared" si="257"/>
        <v>28</v>
      </c>
      <c r="AH389" s="21">
        <f t="shared" si="257"/>
        <v>28</v>
      </c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>
        <f t="shared" ref="BE389" si="258">COUNT(BE38:BE65)</f>
        <v>28</v>
      </c>
      <c r="BF389" s="21"/>
      <c r="BG389" s="21"/>
      <c r="BH389" s="3"/>
      <c r="BI389" s="21">
        <f t="shared" ref="BI389:BJ389" si="259">COUNT(BI38:BI65)</f>
        <v>28</v>
      </c>
      <c r="BJ389" s="21">
        <f t="shared" si="259"/>
        <v>28</v>
      </c>
      <c r="BK389" s="21"/>
      <c r="BM389" s="21"/>
      <c r="BN389" s="21">
        <f t="shared" ref="BN389:BR389" si="260">COUNT(BN38:BN65)</f>
        <v>28</v>
      </c>
      <c r="BO389" s="21"/>
      <c r="BP389" s="21">
        <f t="shared" ref="BP389" si="261">COUNT(BP38:BP65)</f>
        <v>28</v>
      </c>
      <c r="BR389" s="21">
        <f t="shared" si="260"/>
        <v>0</v>
      </c>
    </row>
    <row r="390" spans="1:79" x14ac:dyDescent="0.2">
      <c r="A390" s="21" t="s">
        <v>94</v>
      </c>
      <c r="C390" s="21">
        <f>COUNT(C66:C96)</f>
        <v>31</v>
      </c>
      <c r="D390" s="21">
        <f>COUNT(D66:D96)</f>
        <v>31</v>
      </c>
      <c r="E390" s="21">
        <f>COUNT(E66:E96)</f>
        <v>31</v>
      </c>
      <c r="F390" s="21">
        <f t="shared" ref="F390:AH390" si="262">COUNT(F66:F96)</f>
        <v>31</v>
      </c>
      <c r="G390" s="21">
        <f t="shared" si="262"/>
        <v>31</v>
      </c>
      <c r="H390" s="21">
        <f t="shared" si="262"/>
        <v>31</v>
      </c>
      <c r="I390" s="21">
        <f t="shared" si="262"/>
        <v>31</v>
      </c>
      <c r="J390" s="21">
        <f t="shared" si="262"/>
        <v>31</v>
      </c>
      <c r="K390" s="21">
        <f t="shared" si="262"/>
        <v>31</v>
      </c>
      <c r="L390" s="21">
        <f t="shared" si="262"/>
        <v>31</v>
      </c>
      <c r="M390" s="21">
        <f t="shared" si="262"/>
        <v>31</v>
      </c>
      <c r="N390" s="21">
        <f t="shared" si="262"/>
        <v>31</v>
      </c>
      <c r="O390" s="21">
        <f t="shared" si="262"/>
        <v>31</v>
      </c>
      <c r="P390" s="21">
        <f t="shared" si="262"/>
        <v>31</v>
      </c>
      <c r="Q390" s="21">
        <f t="shared" si="262"/>
        <v>31</v>
      </c>
      <c r="R390" s="21">
        <f t="shared" si="262"/>
        <v>31</v>
      </c>
      <c r="S390" s="21">
        <f t="shared" si="262"/>
        <v>31</v>
      </c>
      <c r="T390" s="21">
        <f t="shared" si="262"/>
        <v>31</v>
      </c>
      <c r="U390" s="21">
        <f t="shared" si="262"/>
        <v>31</v>
      </c>
      <c r="V390" s="21">
        <f t="shared" si="262"/>
        <v>31</v>
      </c>
      <c r="W390" s="21">
        <f t="shared" si="262"/>
        <v>31</v>
      </c>
      <c r="X390" s="21">
        <f t="shared" si="262"/>
        <v>31</v>
      </c>
      <c r="Y390" s="21">
        <f t="shared" si="262"/>
        <v>31</v>
      </c>
      <c r="Z390" s="21">
        <f t="shared" si="262"/>
        <v>31</v>
      </c>
      <c r="AA390" s="21">
        <f t="shared" si="262"/>
        <v>31</v>
      </c>
      <c r="AB390" s="21">
        <f t="shared" si="262"/>
        <v>31</v>
      </c>
      <c r="AC390" s="21">
        <f t="shared" si="262"/>
        <v>31</v>
      </c>
      <c r="AD390" s="21">
        <f t="shared" si="262"/>
        <v>31</v>
      </c>
      <c r="AE390" s="21">
        <f t="shared" si="262"/>
        <v>31</v>
      </c>
      <c r="AF390" s="21">
        <f t="shared" si="262"/>
        <v>31</v>
      </c>
      <c r="AG390" s="21">
        <f t="shared" si="262"/>
        <v>31</v>
      </c>
      <c r="AH390" s="21">
        <f t="shared" si="262"/>
        <v>31</v>
      </c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>
        <f t="shared" ref="BE390" si="263">COUNT(BE66:BE96)</f>
        <v>31</v>
      </c>
      <c r="BF390" s="21"/>
      <c r="BG390" s="21"/>
      <c r="BH390" s="3"/>
      <c r="BI390" s="21">
        <f t="shared" ref="BI390:BJ390" si="264">COUNT(BI66:BI96)</f>
        <v>31</v>
      </c>
      <c r="BJ390" s="21">
        <f t="shared" si="264"/>
        <v>31</v>
      </c>
      <c r="BK390" s="21"/>
      <c r="BM390" s="21"/>
      <c r="BN390" s="21">
        <f t="shared" ref="BN390:BR390" si="265">COUNT(BN66:BN96)</f>
        <v>31</v>
      </c>
      <c r="BO390" s="21"/>
      <c r="BP390" s="21">
        <f t="shared" ref="BP390" si="266">COUNT(BP66:BP96)</f>
        <v>31</v>
      </c>
      <c r="BR390" s="21">
        <f t="shared" si="265"/>
        <v>25</v>
      </c>
    </row>
    <row r="391" spans="1:79" x14ac:dyDescent="0.2">
      <c r="A391" s="21" t="s">
        <v>83</v>
      </c>
      <c r="C391" s="21">
        <f>COUNT(C97:C126)</f>
        <v>30</v>
      </c>
      <c r="D391" s="21">
        <f>COUNT(D97:D126)</f>
        <v>30</v>
      </c>
      <c r="E391" s="21">
        <f>COUNT(E97:E126)</f>
        <v>30</v>
      </c>
      <c r="F391" s="21">
        <f t="shared" ref="F391:AH391" si="267">COUNT(F97:F126)</f>
        <v>30</v>
      </c>
      <c r="G391" s="21">
        <f t="shared" si="267"/>
        <v>30</v>
      </c>
      <c r="H391" s="21">
        <f t="shared" si="267"/>
        <v>30</v>
      </c>
      <c r="I391" s="21">
        <f t="shared" si="267"/>
        <v>30</v>
      </c>
      <c r="J391" s="21">
        <f t="shared" si="267"/>
        <v>30</v>
      </c>
      <c r="K391" s="21">
        <f t="shared" si="267"/>
        <v>30</v>
      </c>
      <c r="L391" s="21">
        <f t="shared" si="267"/>
        <v>30</v>
      </c>
      <c r="M391" s="21">
        <f t="shared" si="267"/>
        <v>30</v>
      </c>
      <c r="N391" s="21">
        <f t="shared" si="267"/>
        <v>30</v>
      </c>
      <c r="O391" s="21">
        <f t="shared" si="267"/>
        <v>30</v>
      </c>
      <c r="P391" s="21">
        <f t="shared" si="267"/>
        <v>30</v>
      </c>
      <c r="Q391" s="21">
        <f t="shared" si="267"/>
        <v>30</v>
      </c>
      <c r="R391" s="21">
        <f t="shared" si="267"/>
        <v>30</v>
      </c>
      <c r="S391" s="21">
        <f t="shared" si="267"/>
        <v>30</v>
      </c>
      <c r="T391" s="21">
        <f t="shared" si="267"/>
        <v>30</v>
      </c>
      <c r="U391" s="21">
        <f t="shared" si="267"/>
        <v>30</v>
      </c>
      <c r="V391" s="21">
        <f t="shared" si="267"/>
        <v>30</v>
      </c>
      <c r="W391" s="21">
        <f t="shared" si="267"/>
        <v>30</v>
      </c>
      <c r="X391" s="21">
        <f t="shared" si="267"/>
        <v>30</v>
      </c>
      <c r="Y391" s="21">
        <f t="shared" si="267"/>
        <v>30</v>
      </c>
      <c r="Z391" s="21">
        <f t="shared" si="267"/>
        <v>30</v>
      </c>
      <c r="AA391" s="21">
        <f t="shared" si="267"/>
        <v>30</v>
      </c>
      <c r="AB391" s="21">
        <f t="shared" si="267"/>
        <v>30</v>
      </c>
      <c r="AC391" s="21">
        <f t="shared" si="267"/>
        <v>30</v>
      </c>
      <c r="AD391" s="21">
        <f t="shared" si="267"/>
        <v>30</v>
      </c>
      <c r="AE391" s="21">
        <f t="shared" si="267"/>
        <v>30</v>
      </c>
      <c r="AF391" s="21">
        <f t="shared" si="267"/>
        <v>30</v>
      </c>
      <c r="AG391" s="21">
        <f t="shared" si="267"/>
        <v>30</v>
      </c>
      <c r="AH391" s="21">
        <f t="shared" si="267"/>
        <v>30</v>
      </c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>
        <f t="shared" ref="BE391" si="268">COUNT(BE97:BE126)</f>
        <v>30</v>
      </c>
      <c r="BF391" s="21"/>
      <c r="BG391" s="21"/>
      <c r="BH391" s="3"/>
      <c r="BI391" s="21">
        <f t="shared" ref="BI391:BJ391" si="269">COUNT(BI97:BI126)</f>
        <v>30</v>
      </c>
      <c r="BJ391" s="21">
        <f t="shared" si="269"/>
        <v>30</v>
      </c>
      <c r="BK391" s="21"/>
      <c r="BM391" s="21"/>
      <c r="BN391" s="21">
        <f t="shared" ref="BN391:BR391" si="270">COUNT(BN97:BN126)</f>
        <v>30</v>
      </c>
      <c r="BO391" s="21"/>
      <c r="BP391" s="21">
        <f t="shared" ref="BP391" si="271">COUNT(BP97:BP126)</f>
        <v>30</v>
      </c>
      <c r="BR391" s="21">
        <f t="shared" si="270"/>
        <v>30</v>
      </c>
    </row>
    <row r="392" spans="1:79" x14ac:dyDescent="0.2">
      <c r="A392" s="21" t="s">
        <v>84</v>
      </c>
      <c r="C392" s="21">
        <f>COUNT(C127:C157)</f>
        <v>31</v>
      </c>
      <c r="D392" s="21">
        <f>COUNT(D127:D157)</f>
        <v>31</v>
      </c>
      <c r="E392" s="21">
        <f>COUNT(E127:E157)</f>
        <v>31</v>
      </c>
      <c r="F392" s="21">
        <f t="shared" ref="F392:AH392" si="272">COUNT(F127:F157)</f>
        <v>31</v>
      </c>
      <c r="G392" s="21">
        <f t="shared" si="272"/>
        <v>31</v>
      </c>
      <c r="H392" s="21">
        <f t="shared" si="272"/>
        <v>31</v>
      </c>
      <c r="I392" s="21">
        <f t="shared" si="272"/>
        <v>31</v>
      </c>
      <c r="J392" s="21">
        <f t="shared" si="272"/>
        <v>31</v>
      </c>
      <c r="K392" s="21">
        <f t="shared" si="272"/>
        <v>31</v>
      </c>
      <c r="L392" s="21">
        <f t="shared" si="272"/>
        <v>31</v>
      </c>
      <c r="M392" s="21">
        <f t="shared" si="272"/>
        <v>31</v>
      </c>
      <c r="N392" s="21">
        <f t="shared" si="272"/>
        <v>31</v>
      </c>
      <c r="O392" s="21">
        <f t="shared" si="272"/>
        <v>31</v>
      </c>
      <c r="P392" s="21">
        <f t="shared" si="272"/>
        <v>31</v>
      </c>
      <c r="Q392" s="21">
        <f t="shared" si="272"/>
        <v>31</v>
      </c>
      <c r="R392" s="21">
        <f t="shared" si="272"/>
        <v>31</v>
      </c>
      <c r="S392" s="21">
        <f t="shared" si="272"/>
        <v>31</v>
      </c>
      <c r="T392" s="21">
        <f t="shared" si="272"/>
        <v>31</v>
      </c>
      <c r="U392" s="21">
        <f t="shared" si="272"/>
        <v>31</v>
      </c>
      <c r="V392" s="21">
        <f t="shared" si="272"/>
        <v>31</v>
      </c>
      <c r="W392" s="21">
        <f t="shared" si="272"/>
        <v>31</v>
      </c>
      <c r="X392" s="21">
        <f t="shared" si="272"/>
        <v>31</v>
      </c>
      <c r="Y392" s="21">
        <f t="shared" si="272"/>
        <v>31</v>
      </c>
      <c r="Z392" s="21">
        <f t="shared" si="272"/>
        <v>31</v>
      </c>
      <c r="AA392" s="21">
        <f t="shared" si="272"/>
        <v>31</v>
      </c>
      <c r="AB392" s="21">
        <f t="shared" si="272"/>
        <v>31</v>
      </c>
      <c r="AC392" s="21">
        <f t="shared" si="272"/>
        <v>31</v>
      </c>
      <c r="AD392" s="21">
        <f t="shared" si="272"/>
        <v>31</v>
      </c>
      <c r="AE392" s="21">
        <f t="shared" si="272"/>
        <v>31</v>
      </c>
      <c r="AF392" s="21">
        <f t="shared" si="272"/>
        <v>31</v>
      </c>
      <c r="AG392" s="21">
        <f t="shared" si="272"/>
        <v>31</v>
      </c>
      <c r="AH392" s="21">
        <f t="shared" si="272"/>
        <v>31</v>
      </c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>
        <f t="shared" ref="BE392" si="273">COUNT(BE127:BE157)</f>
        <v>17</v>
      </c>
      <c r="BF392" s="21"/>
      <c r="BG392" s="21"/>
      <c r="BH392" s="3"/>
      <c r="BI392" s="21">
        <f t="shared" ref="BI392:BJ392" si="274">COUNT(BI127:BI157)</f>
        <v>31</v>
      </c>
      <c r="BJ392" s="21">
        <f t="shared" si="274"/>
        <v>31</v>
      </c>
      <c r="BK392" s="21"/>
      <c r="BM392" s="21"/>
      <c r="BN392" s="21">
        <f t="shared" ref="BN392:BR392" si="275">COUNT(BN127:BN157)</f>
        <v>31</v>
      </c>
      <c r="BO392" s="21"/>
      <c r="BP392" s="21">
        <f t="shared" ref="BP392" si="276">COUNT(BP127:BP157)</f>
        <v>31</v>
      </c>
      <c r="BR392" s="21">
        <f t="shared" si="275"/>
        <v>31</v>
      </c>
    </row>
    <row r="393" spans="1:79" x14ac:dyDescent="0.2">
      <c r="A393" s="21" t="s">
        <v>85</v>
      </c>
      <c r="C393" s="21">
        <f>COUNT(C158:C187)</f>
        <v>30</v>
      </c>
      <c r="D393" s="21">
        <f>COUNT(D158:D187)</f>
        <v>30</v>
      </c>
      <c r="E393" s="21">
        <f>COUNT(E158:E187)</f>
        <v>30</v>
      </c>
      <c r="F393" s="21">
        <f t="shared" ref="F393:AH393" si="277">COUNT(F158:F187)</f>
        <v>30</v>
      </c>
      <c r="G393" s="21">
        <f t="shared" si="277"/>
        <v>30</v>
      </c>
      <c r="H393" s="21">
        <f t="shared" si="277"/>
        <v>30</v>
      </c>
      <c r="I393" s="21">
        <f t="shared" si="277"/>
        <v>30</v>
      </c>
      <c r="J393" s="21">
        <f t="shared" si="277"/>
        <v>30</v>
      </c>
      <c r="K393" s="21">
        <f t="shared" si="277"/>
        <v>30</v>
      </c>
      <c r="L393" s="21">
        <f t="shared" si="277"/>
        <v>30</v>
      </c>
      <c r="M393" s="21">
        <f t="shared" si="277"/>
        <v>30</v>
      </c>
      <c r="N393" s="21">
        <f t="shared" si="277"/>
        <v>30</v>
      </c>
      <c r="O393" s="21">
        <f t="shared" si="277"/>
        <v>30</v>
      </c>
      <c r="P393" s="21">
        <f t="shared" si="277"/>
        <v>30</v>
      </c>
      <c r="Q393" s="21">
        <f t="shared" si="277"/>
        <v>30</v>
      </c>
      <c r="R393" s="21">
        <f t="shared" si="277"/>
        <v>30</v>
      </c>
      <c r="S393" s="21">
        <f t="shared" si="277"/>
        <v>30</v>
      </c>
      <c r="T393" s="21">
        <f t="shared" si="277"/>
        <v>30</v>
      </c>
      <c r="U393" s="21">
        <f t="shared" si="277"/>
        <v>30</v>
      </c>
      <c r="V393" s="21">
        <f t="shared" si="277"/>
        <v>30</v>
      </c>
      <c r="W393" s="21">
        <f t="shared" si="277"/>
        <v>30</v>
      </c>
      <c r="X393" s="21">
        <f t="shared" si="277"/>
        <v>30</v>
      </c>
      <c r="Y393" s="21">
        <f t="shared" si="277"/>
        <v>30</v>
      </c>
      <c r="Z393" s="21">
        <f t="shared" si="277"/>
        <v>30</v>
      </c>
      <c r="AA393" s="21">
        <f t="shared" si="277"/>
        <v>30</v>
      </c>
      <c r="AB393" s="21">
        <f t="shared" si="277"/>
        <v>30</v>
      </c>
      <c r="AC393" s="21">
        <f t="shared" si="277"/>
        <v>30</v>
      </c>
      <c r="AD393" s="21">
        <f t="shared" si="277"/>
        <v>30</v>
      </c>
      <c r="AE393" s="21">
        <f t="shared" si="277"/>
        <v>30</v>
      </c>
      <c r="AF393" s="21">
        <f t="shared" si="277"/>
        <v>30</v>
      </c>
      <c r="AG393" s="21">
        <f t="shared" si="277"/>
        <v>30</v>
      </c>
      <c r="AH393" s="21">
        <f t="shared" si="277"/>
        <v>30</v>
      </c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>
        <f t="shared" ref="BE393" si="278">COUNT(BE158:BE187)</f>
        <v>0</v>
      </c>
      <c r="BF393" s="21"/>
      <c r="BG393" s="21"/>
      <c r="BH393" s="3"/>
      <c r="BI393" s="21">
        <f t="shared" ref="BI393:BJ393" si="279">COUNT(BI158:BI187)</f>
        <v>30</v>
      </c>
      <c r="BJ393" s="21">
        <f t="shared" si="279"/>
        <v>30</v>
      </c>
      <c r="BK393" s="21"/>
      <c r="BM393" s="21"/>
      <c r="BN393" s="21">
        <f t="shared" ref="BN393:BR393" si="280">COUNT(BN158:BN187)</f>
        <v>30</v>
      </c>
      <c r="BO393" s="21"/>
      <c r="BP393" s="21">
        <f t="shared" ref="BP393" si="281">COUNT(BP158:BP187)</f>
        <v>30</v>
      </c>
      <c r="BR393" s="21">
        <f t="shared" si="280"/>
        <v>30</v>
      </c>
    </row>
    <row r="394" spans="1:79" x14ac:dyDescent="0.2">
      <c r="A394" s="21" t="s">
        <v>86</v>
      </c>
      <c r="C394" s="21">
        <f>COUNT(C188:C218)</f>
        <v>31</v>
      </c>
      <c r="D394" s="21">
        <f>COUNT(D188:D218)</f>
        <v>31</v>
      </c>
      <c r="E394" s="21">
        <f>COUNT(E188:E218)</f>
        <v>31</v>
      </c>
      <c r="F394" s="21">
        <f t="shared" ref="F394:AH394" si="282">COUNT(F188:F218)</f>
        <v>31</v>
      </c>
      <c r="G394" s="21">
        <f t="shared" si="282"/>
        <v>31</v>
      </c>
      <c r="H394" s="21">
        <f t="shared" si="282"/>
        <v>31</v>
      </c>
      <c r="I394" s="21">
        <f t="shared" si="282"/>
        <v>31</v>
      </c>
      <c r="J394" s="21">
        <f t="shared" si="282"/>
        <v>31</v>
      </c>
      <c r="K394" s="21">
        <f t="shared" si="282"/>
        <v>31</v>
      </c>
      <c r="L394" s="21">
        <f t="shared" si="282"/>
        <v>31</v>
      </c>
      <c r="M394" s="21">
        <f t="shared" si="282"/>
        <v>31</v>
      </c>
      <c r="N394" s="21">
        <f t="shared" si="282"/>
        <v>31</v>
      </c>
      <c r="O394" s="21">
        <f t="shared" si="282"/>
        <v>31</v>
      </c>
      <c r="P394" s="21">
        <f t="shared" si="282"/>
        <v>31</v>
      </c>
      <c r="Q394" s="21">
        <f t="shared" si="282"/>
        <v>31</v>
      </c>
      <c r="R394" s="21">
        <f t="shared" si="282"/>
        <v>31</v>
      </c>
      <c r="S394" s="21">
        <f t="shared" si="282"/>
        <v>31</v>
      </c>
      <c r="T394" s="21">
        <f t="shared" si="282"/>
        <v>31</v>
      </c>
      <c r="U394" s="21">
        <f t="shared" si="282"/>
        <v>31</v>
      </c>
      <c r="V394" s="21">
        <f t="shared" si="282"/>
        <v>31</v>
      </c>
      <c r="W394" s="21">
        <f t="shared" si="282"/>
        <v>31</v>
      </c>
      <c r="X394" s="21">
        <f t="shared" si="282"/>
        <v>31</v>
      </c>
      <c r="Y394" s="21">
        <f t="shared" si="282"/>
        <v>31</v>
      </c>
      <c r="Z394" s="21">
        <f t="shared" si="282"/>
        <v>31</v>
      </c>
      <c r="AA394" s="21">
        <f t="shared" si="282"/>
        <v>31</v>
      </c>
      <c r="AB394" s="21">
        <f t="shared" si="282"/>
        <v>31</v>
      </c>
      <c r="AC394" s="21">
        <f t="shared" si="282"/>
        <v>31</v>
      </c>
      <c r="AD394" s="21">
        <f t="shared" si="282"/>
        <v>31</v>
      </c>
      <c r="AE394" s="21">
        <f t="shared" si="282"/>
        <v>31</v>
      </c>
      <c r="AF394" s="21">
        <f t="shared" si="282"/>
        <v>31</v>
      </c>
      <c r="AG394" s="21">
        <f t="shared" si="282"/>
        <v>31</v>
      </c>
      <c r="AH394" s="21">
        <f t="shared" si="282"/>
        <v>31</v>
      </c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>
        <f t="shared" ref="BE394" si="283">COUNT(BE188:BE218)</f>
        <v>0</v>
      </c>
      <c r="BF394" s="21"/>
      <c r="BG394" s="21"/>
      <c r="BH394" s="3"/>
      <c r="BI394" s="21">
        <f t="shared" ref="BI394:BJ394" si="284">COUNT(BI188:BI218)</f>
        <v>31</v>
      </c>
      <c r="BJ394" s="21">
        <f t="shared" si="284"/>
        <v>31</v>
      </c>
      <c r="BK394" s="21"/>
      <c r="BM394" s="21"/>
      <c r="BN394" s="21">
        <f t="shared" ref="BN394:BR394" si="285">COUNT(BN188:BN218)</f>
        <v>31</v>
      </c>
      <c r="BO394" s="21"/>
      <c r="BP394" s="21">
        <f t="shared" ref="BP394" si="286">COUNT(BP188:BP218)</f>
        <v>31</v>
      </c>
      <c r="BR394" s="21">
        <f t="shared" si="285"/>
        <v>31</v>
      </c>
    </row>
    <row r="395" spans="1:79" x14ac:dyDescent="0.2">
      <c r="A395" s="21" t="s">
        <v>87</v>
      </c>
      <c r="C395" s="21">
        <f>COUNT(C219:C249)</f>
        <v>31</v>
      </c>
      <c r="D395" s="21">
        <f>COUNT(D219:D249)</f>
        <v>31</v>
      </c>
      <c r="E395" s="21">
        <f>COUNT(E219:E249)</f>
        <v>31</v>
      </c>
      <c r="F395" s="21">
        <f t="shared" ref="F395:AH395" si="287">COUNT(F219:F249)</f>
        <v>31</v>
      </c>
      <c r="G395" s="21">
        <f t="shared" si="287"/>
        <v>31</v>
      </c>
      <c r="H395" s="21">
        <f t="shared" si="287"/>
        <v>31</v>
      </c>
      <c r="I395" s="21">
        <f t="shared" si="287"/>
        <v>31</v>
      </c>
      <c r="J395" s="21">
        <f t="shared" si="287"/>
        <v>31</v>
      </c>
      <c r="K395" s="21">
        <f t="shared" si="287"/>
        <v>31</v>
      </c>
      <c r="L395" s="21">
        <f t="shared" si="287"/>
        <v>31</v>
      </c>
      <c r="M395" s="21">
        <f t="shared" si="287"/>
        <v>31</v>
      </c>
      <c r="N395" s="21">
        <f t="shared" si="287"/>
        <v>31</v>
      </c>
      <c r="O395" s="21">
        <f t="shared" si="287"/>
        <v>31</v>
      </c>
      <c r="P395" s="21">
        <f t="shared" si="287"/>
        <v>31</v>
      </c>
      <c r="Q395" s="21">
        <f t="shared" si="287"/>
        <v>31</v>
      </c>
      <c r="R395" s="21">
        <f t="shared" si="287"/>
        <v>31</v>
      </c>
      <c r="S395" s="21">
        <f t="shared" si="287"/>
        <v>31</v>
      </c>
      <c r="T395" s="21">
        <f t="shared" si="287"/>
        <v>31</v>
      </c>
      <c r="U395" s="21">
        <f t="shared" si="287"/>
        <v>31</v>
      </c>
      <c r="V395" s="21">
        <f t="shared" si="287"/>
        <v>31</v>
      </c>
      <c r="W395" s="21">
        <f t="shared" si="287"/>
        <v>31</v>
      </c>
      <c r="X395" s="21">
        <f t="shared" si="287"/>
        <v>31</v>
      </c>
      <c r="Y395" s="21">
        <f t="shared" si="287"/>
        <v>31</v>
      </c>
      <c r="Z395" s="21">
        <f t="shared" si="287"/>
        <v>31</v>
      </c>
      <c r="AA395" s="21">
        <f t="shared" si="287"/>
        <v>31</v>
      </c>
      <c r="AB395" s="21">
        <f t="shared" si="287"/>
        <v>31</v>
      </c>
      <c r="AC395" s="21">
        <f t="shared" si="287"/>
        <v>31</v>
      </c>
      <c r="AD395" s="21">
        <f t="shared" si="287"/>
        <v>31</v>
      </c>
      <c r="AE395" s="21">
        <f t="shared" si="287"/>
        <v>31</v>
      </c>
      <c r="AF395" s="21">
        <f t="shared" si="287"/>
        <v>31</v>
      </c>
      <c r="AG395" s="21">
        <f t="shared" si="287"/>
        <v>31</v>
      </c>
      <c r="AH395" s="21">
        <f t="shared" si="287"/>
        <v>31</v>
      </c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>
        <f t="shared" ref="BE395" si="288">COUNT(BE219:BE249)</f>
        <v>0</v>
      </c>
      <c r="BF395" s="21"/>
      <c r="BG395" s="21"/>
      <c r="BH395" s="3"/>
      <c r="BI395" s="21">
        <f t="shared" ref="BI395:BJ395" si="289">COUNT(BI219:BI249)</f>
        <v>31</v>
      </c>
      <c r="BJ395" s="21">
        <f t="shared" si="289"/>
        <v>31</v>
      </c>
      <c r="BK395" s="21"/>
      <c r="BM395" s="21"/>
      <c r="BN395" s="21">
        <f t="shared" ref="BN395:BR395" si="290">COUNT(BN219:BN249)</f>
        <v>31</v>
      </c>
      <c r="BO395" s="21"/>
      <c r="BP395" s="21">
        <f t="shared" ref="BP395" si="291">COUNT(BP219:BP249)</f>
        <v>31</v>
      </c>
      <c r="BR395" s="21">
        <f t="shared" si="290"/>
        <v>31</v>
      </c>
    </row>
    <row r="396" spans="1:79" x14ac:dyDescent="0.2">
      <c r="A396" s="21" t="s">
        <v>88</v>
      </c>
      <c r="C396" s="21">
        <f>COUNT(C250:C279)</f>
        <v>30</v>
      </c>
      <c r="D396" s="21">
        <f>COUNT(D250:D279)</f>
        <v>30</v>
      </c>
      <c r="E396" s="21">
        <f>COUNT(E250:E279)</f>
        <v>30</v>
      </c>
      <c r="F396" s="21">
        <f t="shared" ref="F396:AH396" si="292">COUNT(F250:F279)</f>
        <v>30</v>
      </c>
      <c r="G396" s="21">
        <f t="shared" si="292"/>
        <v>30</v>
      </c>
      <c r="H396" s="21">
        <f t="shared" si="292"/>
        <v>30</v>
      </c>
      <c r="I396" s="21">
        <f t="shared" si="292"/>
        <v>30</v>
      </c>
      <c r="J396" s="21">
        <f t="shared" si="292"/>
        <v>30</v>
      </c>
      <c r="K396" s="21">
        <f t="shared" si="292"/>
        <v>30</v>
      </c>
      <c r="L396" s="21">
        <f t="shared" si="292"/>
        <v>30</v>
      </c>
      <c r="M396" s="21">
        <f t="shared" si="292"/>
        <v>30</v>
      </c>
      <c r="N396" s="21">
        <f t="shared" si="292"/>
        <v>30</v>
      </c>
      <c r="O396" s="21">
        <f t="shared" si="292"/>
        <v>30</v>
      </c>
      <c r="P396" s="21">
        <f t="shared" si="292"/>
        <v>30</v>
      </c>
      <c r="Q396" s="21">
        <f t="shared" si="292"/>
        <v>30</v>
      </c>
      <c r="R396" s="21">
        <f t="shared" si="292"/>
        <v>30</v>
      </c>
      <c r="S396" s="21">
        <f t="shared" si="292"/>
        <v>30</v>
      </c>
      <c r="T396" s="21">
        <f t="shared" si="292"/>
        <v>30</v>
      </c>
      <c r="U396" s="21">
        <f t="shared" si="292"/>
        <v>30</v>
      </c>
      <c r="V396" s="21">
        <f t="shared" si="292"/>
        <v>30</v>
      </c>
      <c r="W396" s="21">
        <f t="shared" si="292"/>
        <v>30</v>
      </c>
      <c r="X396" s="21">
        <f t="shared" si="292"/>
        <v>30</v>
      </c>
      <c r="Y396" s="21">
        <f t="shared" si="292"/>
        <v>30</v>
      </c>
      <c r="Z396" s="21">
        <f t="shared" si="292"/>
        <v>30</v>
      </c>
      <c r="AA396" s="21">
        <f t="shared" si="292"/>
        <v>30</v>
      </c>
      <c r="AB396" s="21">
        <f t="shared" si="292"/>
        <v>30</v>
      </c>
      <c r="AC396" s="21">
        <f t="shared" si="292"/>
        <v>30</v>
      </c>
      <c r="AD396" s="21">
        <f t="shared" si="292"/>
        <v>30</v>
      </c>
      <c r="AE396" s="21">
        <f t="shared" si="292"/>
        <v>30</v>
      </c>
      <c r="AF396" s="21">
        <f t="shared" si="292"/>
        <v>30</v>
      </c>
      <c r="AG396" s="21">
        <f t="shared" si="292"/>
        <v>30</v>
      </c>
      <c r="AH396" s="21">
        <f t="shared" si="292"/>
        <v>30</v>
      </c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>
        <f t="shared" ref="BE396" si="293">COUNT(BE250:BE279)</f>
        <v>0</v>
      </c>
      <c r="BF396" s="21"/>
      <c r="BG396" s="21"/>
      <c r="BH396" s="3"/>
      <c r="BI396" s="21">
        <f t="shared" ref="BI396:BJ396" si="294">COUNT(BI250:BI279)</f>
        <v>30</v>
      </c>
      <c r="BJ396" s="21">
        <f t="shared" si="294"/>
        <v>30</v>
      </c>
      <c r="BK396" s="21"/>
      <c r="BM396" s="21"/>
      <c r="BN396" s="21">
        <f t="shared" ref="BN396:BR396" si="295">COUNT(BN250:BN279)</f>
        <v>30</v>
      </c>
      <c r="BO396" s="21"/>
      <c r="BP396" s="21">
        <f t="shared" ref="BP396" si="296">COUNT(BP250:BP279)</f>
        <v>30</v>
      </c>
      <c r="BR396" s="21">
        <f t="shared" si="295"/>
        <v>30</v>
      </c>
    </row>
    <row r="397" spans="1:79" x14ac:dyDescent="0.2">
      <c r="A397" s="21" t="s">
        <v>89</v>
      </c>
      <c r="C397" s="21">
        <f>COUNT(C280:C310)</f>
        <v>31</v>
      </c>
      <c r="D397" s="21">
        <f>COUNT(D280:D310)</f>
        <v>31</v>
      </c>
      <c r="E397" s="21">
        <f>COUNT(E280:E310)</f>
        <v>31</v>
      </c>
      <c r="F397" s="21">
        <f t="shared" ref="F397:AH397" si="297">COUNT(F280:F310)</f>
        <v>31</v>
      </c>
      <c r="G397" s="21">
        <f t="shared" si="297"/>
        <v>31</v>
      </c>
      <c r="H397" s="21">
        <f t="shared" si="297"/>
        <v>31</v>
      </c>
      <c r="I397" s="21">
        <f t="shared" si="297"/>
        <v>31</v>
      </c>
      <c r="J397" s="21">
        <f t="shared" si="297"/>
        <v>31</v>
      </c>
      <c r="K397" s="21">
        <f t="shared" si="297"/>
        <v>31</v>
      </c>
      <c r="L397" s="21">
        <f t="shared" si="297"/>
        <v>31</v>
      </c>
      <c r="M397" s="21">
        <f t="shared" si="297"/>
        <v>31</v>
      </c>
      <c r="N397" s="21">
        <f t="shared" si="297"/>
        <v>31</v>
      </c>
      <c r="O397" s="21">
        <f t="shared" si="297"/>
        <v>31</v>
      </c>
      <c r="P397" s="21">
        <f t="shared" si="297"/>
        <v>31</v>
      </c>
      <c r="Q397" s="21">
        <f t="shared" si="297"/>
        <v>31</v>
      </c>
      <c r="R397" s="21">
        <f t="shared" si="297"/>
        <v>31</v>
      </c>
      <c r="S397" s="21">
        <f t="shared" si="297"/>
        <v>31</v>
      </c>
      <c r="T397" s="21">
        <f t="shared" si="297"/>
        <v>31</v>
      </c>
      <c r="U397" s="21">
        <f t="shared" si="297"/>
        <v>31</v>
      </c>
      <c r="V397" s="21">
        <f t="shared" si="297"/>
        <v>31</v>
      </c>
      <c r="W397" s="21">
        <f t="shared" si="297"/>
        <v>31</v>
      </c>
      <c r="X397" s="21">
        <f t="shared" si="297"/>
        <v>31</v>
      </c>
      <c r="Y397" s="21">
        <f t="shared" si="297"/>
        <v>31</v>
      </c>
      <c r="Z397" s="21">
        <f t="shared" si="297"/>
        <v>31</v>
      </c>
      <c r="AA397" s="21">
        <f t="shared" si="297"/>
        <v>31</v>
      </c>
      <c r="AB397" s="21">
        <f t="shared" si="297"/>
        <v>31</v>
      </c>
      <c r="AC397" s="21">
        <f t="shared" si="297"/>
        <v>31</v>
      </c>
      <c r="AD397" s="21">
        <f t="shared" si="297"/>
        <v>31</v>
      </c>
      <c r="AE397" s="21">
        <f t="shared" si="297"/>
        <v>31</v>
      </c>
      <c r="AF397" s="21">
        <f t="shared" si="297"/>
        <v>31</v>
      </c>
      <c r="AG397" s="21">
        <f t="shared" si="297"/>
        <v>31</v>
      </c>
      <c r="AH397" s="21">
        <f t="shared" si="297"/>
        <v>31</v>
      </c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>
        <f t="shared" ref="BE397" si="298">COUNT(BE280:BE310)</f>
        <v>5</v>
      </c>
      <c r="BF397" s="21"/>
      <c r="BG397" s="21"/>
      <c r="BH397" s="3"/>
      <c r="BI397" s="21">
        <f t="shared" ref="BI397:BJ397" si="299">COUNT(BI280:BI310)</f>
        <v>31</v>
      </c>
      <c r="BJ397" s="21">
        <f t="shared" si="299"/>
        <v>31</v>
      </c>
      <c r="BK397" s="21"/>
      <c r="BM397" s="21"/>
      <c r="BN397" s="21">
        <f t="shared" ref="BN397:BR397" si="300">COUNT(BN280:BN310)</f>
        <v>31</v>
      </c>
      <c r="BO397" s="21"/>
      <c r="BP397" s="21">
        <f t="shared" ref="BP397" si="301">COUNT(BP280:BP310)</f>
        <v>31</v>
      </c>
      <c r="BR397" s="21">
        <f t="shared" si="300"/>
        <v>31</v>
      </c>
    </row>
    <row r="398" spans="1:79" x14ac:dyDescent="0.2">
      <c r="A398" s="21" t="s">
        <v>90</v>
      </c>
      <c r="C398" s="21">
        <f>COUNT(C311:C340)</f>
        <v>30</v>
      </c>
      <c r="D398" s="21">
        <f>COUNT(D311:D340)</f>
        <v>30</v>
      </c>
      <c r="E398" s="21">
        <f>COUNT(E311:E340)</f>
        <v>30</v>
      </c>
      <c r="F398" s="21">
        <f t="shared" ref="F398:AH398" si="302">COUNT(F311:F340)</f>
        <v>30</v>
      </c>
      <c r="G398" s="21">
        <f t="shared" si="302"/>
        <v>30</v>
      </c>
      <c r="H398" s="21">
        <f t="shared" si="302"/>
        <v>30</v>
      </c>
      <c r="I398" s="21">
        <f t="shared" si="302"/>
        <v>30</v>
      </c>
      <c r="J398" s="21">
        <f t="shared" si="302"/>
        <v>30</v>
      </c>
      <c r="K398" s="21">
        <f t="shared" si="302"/>
        <v>30</v>
      </c>
      <c r="L398" s="21">
        <f t="shared" si="302"/>
        <v>30</v>
      </c>
      <c r="M398" s="21">
        <f t="shared" si="302"/>
        <v>30</v>
      </c>
      <c r="N398" s="21">
        <f t="shared" si="302"/>
        <v>30</v>
      </c>
      <c r="O398" s="21">
        <f t="shared" si="302"/>
        <v>30</v>
      </c>
      <c r="P398" s="21">
        <f t="shared" si="302"/>
        <v>30</v>
      </c>
      <c r="Q398" s="21">
        <f t="shared" si="302"/>
        <v>30</v>
      </c>
      <c r="R398" s="21">
        <f t="shared" si="302"/>
        <v>30</v>
      </c>
      <c r="S398" s="21">
        <f t="shared" si="302"/>
        <v>30</v>
      </c>
      <c r="T398" s="21">
        <f t="shared" si="302"/>
        <v>30</v>
      </c>
      <c r="U398" s="21">
        <f t="shared" si="302"/>
        <v>30</v>
      </c>
      <c r="V398" s="21">
        <f t="shared" si="302"/>
        <v>30</v>
      </c>
      <c r="W398" s="21">
        <f t="shared" si="302"/>
        <v>30</v>
      </c>
      <c r="X398" s="21">
        <f t="shared" si="302"/>
        <v>30</v>
      </c>
      <c r="Y398" s="21">
        <f t="shared" si="302"/>
        <v>30</v>
      </c>
      <c r="Z398" s="21">
        <f t="shared" si="302"/>
        <v>30</v>
      </c>
      <c r="AA398" s="21">
        <f t="shared" si="302"/>
        <v>30</v>
      </c>
      <c r="AB398" s="21">
        <f t="shared" si="302"/>
        <v>30</v>
      </c>
      <c r="AC398" s="21">
        <f t="shared" si="302"/>
        <v>30</v>
      </c>
      <c r="AD398" s="21">
        <f t="shared" si="302"/>
        <v>30</v>
      </c>
      <c r="AE398" s="21">
        <f t="shared" si="302"/>
        <v>30</v>
      </c>
      <c r="AF398" s="21">
        <f t="shared" si="302"/>
        <v>30</v>
      </c>
      <c r="AG398" s="21">
        <f t="shared" si="302"/>
        <v>30</v>
      </c>
      <c r="AH398" s="21">
        <f t="shared" si="302"/>
        <v>30</v>
      </c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>
        <f t="shared" ref="BE398" si="303">COUNT(BE311:BE340)</f>
        <v>30</v>
      </c>
      <c r="BF398" s="21"/>
      <c r="BG398" s="21"/>
      <c r="BH398" s="3"/>
      <c r="BI398" s="21">
        <f t="shared" ref="BI398:BJ398" si="304">COUNT(BI311:BI340)</f>
        <v>30</v>
      </c>
      <c r="BJ398" s="21">
        <f t="shared" si="304"/>
        <v>30</v>
      </c>
      <c r="BK398" s="21"/>
      <c r="BM398" s="21"/>
      <c r="BN398" s="21">
        <f t="shared" ref="BN398:BR398" si="305">COUNT(BN311:BN340)</f>
        <v>30</v>
      </c>
      <c r="BO398" s="21"/>
      <c r="BP398" s="21">
        <f t="shared" ref="BP398" si="306">COUNT(BP311:BP340)</f>
        <v>30</v>
      </c>
      <c r="BR398" s="21">
        <f t="shared" si="305"/>
        <v>30</v>
      </c>
    </row>
    <row r="399" spans="1:79" x14ac:dyDescent="0.2">
      <c r="A399" s="21" t="s">
        <v>91</v>
      </c>
      <c r="C399" s="21">
        <f>COUNT(C341:C371)</f>
        <v>31</v>
      </c>
      <c r="D399" s="21">
        <f>COUNT(D341:D371)</f>
        <v>31</v>
      </c>
      <c r="E399" s="21">
        <f>COUNT(E341:E371)</f>
        <v>31</v>
      </c>
      <c r="F399" s="21">
        <f t="shared" ref="F399:AH399" si="307">COUNT(F341:F371)</f>
        <v>31</v>
      </c>
      <c r="G399" s="21">
        <f t="shared" si="307"/>
        <v>31</v>
      </c>
      <c r="H399" s="21">
        <f t="shared" si="307"/>
        <v>31</v>
      </c>
      <c r="I399" s="21">
        <f t="shared" si="307"/>
        <v>31</v>
      </c>
      <c r="J399" s="21">
        <f t="shared" si="307"/>
        <v>31</v>
      </c>
      <c r="K399" s="21">
        <f t="shared" si="307"/>
        <v>31</v>
      </c>
      <c r="L399" s="21">
        <f t="shared" si="307"/>
        <v>31</v>
      </c>
      <c r="M399" s="21">
        <f t="shared" si="307"/>
        <v>31</v>
      </c>
      <c r="N399" s="21">
        <f t="shared" si="307"/>
        <v>31</v>
      </c>
      <c r="O399" s="21">
        <f t="shared" si="307"/>
        <v>31</v>
      </c>
      <c r="P399" s="21">
        <f t="shared" si="307"/>
        <v>31</v>
      </c>
      <c r="Q399" s="21">
        <f t="shared" si="307"/>
        <v>31</v>
      </c>
      <c r="R399" s="21">
        <f t="shared" si="307"/>
        <v>31</v>
      </c>
      <c r="S399" s="21">
        <f t="shared" si="307"/>
        <v>31</v>
      </c>
      <c r="T399" s="21">
        <f t="shared" si="307"/>
        <v>31</v>
      </c>
      <c r="U399" s="21">
        <f t="shared" si="307"/>
        <v>31</v>
      </c>
      <c r="V399" s="21">
        <f t="shared" si="307"/>
        <v>31</v>
      </c>
      <c r="W399" s="21">
        <f t="shared" si="307"/>
        <v>31</v>
      </c>
      <c r="X399" s="21">
        <f t="shared" si="307"/>
        <v>31</v>
      </c>
      <c r="Y399" s="21">
        <f t="shared" si="307"/>
        <v>31</v>
      </c>
      <c r="Z399" s="21">
        <f t="shared" si="307"/>
        <v>31</v>
      </c>
      <c r="AA399" s="21">
        <f t="shared" si="307"/>
        <v>31</v>
      </c>
      <c r="AB399" s="21">
        <f t="shared" si="307"/>
        <v>31</v>
      </c>
      <c r="AC399" s="21">
        <f t="shared" si="307"/>
        <v>31</v>
      </c>
      <c r="AD399" s="21">
        <f t="shared" si="307"/>
        <v>31</v>
      </c>
      <c r="AE399" s="21">
        <f t="shared" si="307"/>
        <v>31</v>
      </c>
      <c r="AF399" s="21">
        <f t="shared" si="307"/>
        <v>31</v>
      </c>
      <c r="AG399" s="21">
        <f t="shared" si="307"/>
        <v>31</v>
      </c>
      <c r="AH399" s="21">
        <f t="shared" si="307"/>
        <v>31</v>
      </c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>
        <f t="shared" ref="BE399" si="308">COUNT(BE341:BE371)</f>
        <v>31</v>
      </c>
      <c r="BF399" s="21"/>
      <c r="BG399" s="21"/>
      <c r="BH399" s="3"/>
      <c r="BI399" s="21">
        <f t="shared" ref="BI399:BJ399" si="309">COUNT(BI341:BI371)</f>
        <v>31</v>
      </c>
      <c r="BJ399" s="21">
        <f t="shared" si="309"/>
        <v>31</v>
      </c>
      <c r="BK399" s="21"/>
      <c r="BM399" s="21"/>
      <c r="BN399" s="21">
        <f t="shared" ref="BN399:BR399" si="310">COUNT(BN341:BN371)</f>
        <v>31</v>
      </c>
      <c r="BO399" s="21"/>
      <c r="BP399" s="21">
        <f t="shared" ref="BP399" si="311">COUNT(BP341:BP371)</f>
        <v>31</v>
      </c>
      <c r="BR399" s="21">
        <f t="shared" si="310"/>
        <v>31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137</v>
      </c>
      <c r="P5" s="3"/>
    </row>
    <row r="6" spans="1:16" x14ac:dyDescent="0.2">
      <c r="A6" s="5" t="s">
        <v>17</v>
      </c>
      <c r="B6" s="4" t="s">
        <v>109</v>
      </c>
      <c r="C6" s="3" t="s">
        <v>138</v>
      </c>
      <c r="D6" s="3" t="s">
        <v>139</v>
      </c>
      <c r="E6" s="3" t="s">
        <v>140</v>
      </c>
      <c r="F6" s="3"/>
      <c r="H6" s="48" t="s">
        <v>141</v>
      </c>
      <c r="I6" t="s">
        <v>142</v>
      </c>
      <c r="J6" t="s">
        <v>143</v>
      </c>
      <c r="K6" s="3"/>
      <c r="L6" s="3" t="s">
        <v>138</v>
      </c>
      <c r="M6" s="3" t="s">
        <v>139</v>
      </c>
      <c r="N6" s="3" t="s">
        <v>140</v>
      </c>
      <c r="O6" s="3" t="s">
        <v>139</v>
      </c>
      <c r="P6" s="3" t="s">
        <v>140</v>
      </c>
    </row>
    <row r="7" spans="1:16" x14ac:dyDescent="0.2">
      <c r="A7" s="14">
        <v>38718</v>
      </c>
      <c r="B7" s="1">
        <v>1</v>
      </c>
      <c r="C7" s="3">
        <v>200601</v>
      </c>
      <c r="D7" s="3">
        <f>ROUND(IF(Data!E7&lt;0,0-Data!E7,0),1)</f>
        <v>2.8</v>
      </c>
      <c r="E7" s="3">
        <f>ROUND(IF(Data!E7&gt;5,Data!E7-5,0),1)</f>
        <v>0</v>
      </c>
      <c r="F7" s="3"/>
      <c r="H7" s="46">
        <v>200601</v>
      </c>
      <c r="I7" s="47">
        <v>113.10000000000001</v>
      </c>
      <c r="J7" s="47">
        <v>0</v>
      </c>
      <c r="K7" s="3"/>
      <c r="L7" s="3">
        <f>H7</f>
        <v>200601</v>
      </c>
      <c r="M7" s="3">
        <f t="shared" ref="M7:N10" si="0">I7</f>
        <v>113.10000000000001</v>
      </c>
      <c r="N7" s="3">
        <f t="shared" si="0"/>
        <v>0</v>
      </c>
      <c r="O7" s="3">
        <f>M7</f>
        <v>113.10000000000001</v>
      </c>
      <c r="P7" s="3">
        <f>N7</f>
        <v>0</v>
      </c>
    </row>
    <row r="8" spans="1:16" x14ac:dyDescent="0.2">
      <c r="A8" s="14">
        <f>A7+1</f>
        <v>38719</v>
      </c>
      <c r="B8" s="1">
        <v>2</v>
      </c>
      <c r="C8" s="3">
        <v>200601</v>
      </c>
      <c r="D8" s="3">
        <f>ROUND(IF(Data!E8&lt;0,0-Data!E8,0),1)</f>
        <v>1.6</v>
      </c>
      <c r="E8" s="3">
        <f>ROUND(IF(Data!E8&gt;5,Data!E8-5,0),1)</f>
        <v>0</v>
      </c>
      <c r="F8" s="3"/>
      <c r="H8" s="46">
        <v>200602</v>
      </c>
      <c r="I8" s="47">
        <v>250.7</v>
      </c>
      <c r="J8" s="47">
        <v>0</v>
      </c>
      <c r="K8" s="3"/>
      <c r="L8" s="3">
        <f t="shared" ref="L8:N18" si="1">H8</f>
        <v>200602</v>
      </c>
      <c r="M8" s="3">
        <f t="shared" si="0"/>
        <v>250.7</v>
      </c>
      <c r="N8" s="3">
        <f t="shared" si="0"/>
        <v>0</v>
      </c>
      <c r="O8" s="3">
        <f>M8+O7</f>
        <v>363.8</v>
      </c>
      <c r="P8" s="3">
        <f t="shared" ref="P8:P18" si="2">N8+P7</f>
        <v>0</v>
      </c>
    </row>
    <row r="9" spans="1:16" x14ac:dyDescent="0.2">
      <c r="A9" s="14">
        <f t="shared" ref="A9:A72" si="3">A8+1</f>
        <v>38720</v>
      </c>
      <c r="B9" s="1">
        <v>3</v>
      </c>
      <c r="C9" s="3">
        <v>200601</v>
      </c>
      <c r="D9" s="3">
        <f>ROUND(IF(Data!E9&lt;0,0-Data!E9,0),1)</f>
        <v>3.3</v>
      </c>
      <c r="E9" s="3">
        <f>ROUND(IF(Data!E9&gt;5,Data!E9-5,0),1)</f>
        <v>0</v>
      </c>
      <c r="F9" s="3"/>
      <c r="H9" s="46">
        <v>200603</v>
      </c>
      <c r="I9" s="47">
        <v>150.09999999999997</v>
      </c>
      <c r="J9" s="47">
        <v>0</v>
      </c>
      <c r="K9" s="3"/>
      <c r="L9" s="3">
        <f t="shared" si="1"/>
        <v>200603</v>
      </c>
      <c r="M9" s="3">
        <f t="shared" si="0"/>
        <v>150.09999999999997</v>
      </c>
      <c r="N9" s="3">
        <f t="shared" si="0"/>
        <v>0</v>
      </c>
      <c r="O9" s="3">
        <f t="shared" ref="O9:O18" si="4">M9+O8</f>
        <v>513.9</v>
      </c>
      <c r="P9" s="3">
        <f t="shared" si="2"/>
        <v>0</v>
      </c>
    </row>
    <row r="10" spans="1:16" x14ac:dyDescent="0.2">
      <c r="A10" s="14">
        <f t="shared" si="3"/>
        <v>38721</v>
      </c>
      <c r="B10" s="1">
        <v>4</v>
      </c>
      <c r="C10" s="3">
        <v>200601</v>
      </c>
      <c r="D10" s="3">
        <f>ROUND(IF(Data!E10&lt;0,0-Data!E10,0),1)</f>
        <v>3</v>
      </c>
      <c r="E10" s="3">
        <f>ROUND(IF(Data!E10&gt;5,Data!E10-5,0),1)</f>
        <v>0</v>
      </c>
      <c r="F10" s="3"/>
      <c r="H10" s="46">
        <v>200604</v>
      </c>
      <c r="I10" s="47">
        <v>20.100000000000001</v>
      </c>
      <c r="J10" s="47">
        <v>4.9000000000000004</v>
      </c>
      <c r="K10" s="3"/>
      <c r="L10" s="3">
        <f t="shared" si="1"/>
        <v>200604</v>
      </c>
      <c r="M10" s="3">
        <f t="shared" si="0"/>
        <v>20.100000000000001</v>
      </c>
      <c r="N10" s="3">
        <f t="shared" si="0"/>
        <v>4.9000000000000004</v>
      </c>
      <c r="O10" s="3">
        <f t="shared" si="4"/>
        <v>534</v>
      </c>
      <c r="P10" s="3">
        <f t="shared" si="2"/>
        <v>4.9000000000000004</v>
      </c>
    </row>
    <row r="11" spans="1:16" x14ac:dyDescent="0.2">
      <c r="A11" s="14">
        <f t="shared" si="3"/>
        <v>38722</v>
      </c>
      <c r="B11" s="1">
        <v>5</v>
      </c>
      <c r="C11" s="3">
        <v>200601</v>
      </c>
      <c r="D11" s="3">
        <f>ROUND(IF(Data!E11&lt;0,0-Data!E11,0),1)</f>
        <v>0.8</v>
      </c>
      <c r="E11" s="3">
        <f>ROUND(IF(Data!E11&gt;5,Data!E11-5,0),1)</f>
        <v>0</v>
      </c>
      <c r="F11" s="3"/>
      <c r="H11" s="46">
        <v>200605</v>
      </c>
      <c r="I11" s="47">
        <v>4.4000000000000004</v>
      </c>
      <c r="J11" s="47">
        <v>53</v>
      </c>
      <c r="K11" s="3"/>
      <c r="L11" s="3">
        <f t="shared" si="1"/>
        <v>200605</v>
      </c>
      <c r="M11" s="3">
        <f t="shared" si="1"/>
        <v>4.4000000000000004</v>
      </c>
      <c r="N11" s="3">
        <f t="shared" si="1"/>
        <v>53</v>
      </c>
      <c r="O11" s="3">
        <f t="shared" si="4"/>
        <v>538.4</v>
      </c>
      <c r="P11" s="3">
        <f t="shared" si="2"/>
        <v>57.9</v>
      </c>
    </row>
    <row r="12" spans="1:16" x14ac:dyDescent="0.2">
      <c r="A12" s="14">
        <f t="shared" si="3"/>
        <v>38723</v>
      </c>
      <c r="B12" s="1">
        <v>6</v>
      </c>
      <c r="C12" s="3">
        <v>200601</v>
      </c>
      <c r="D12" s="3">
        <f>ROUND(IF(Data!E12&lt;0,0-Data!E12,0),1)</f>
        <v>0</v>
      </c>
      <c r="E12" s="3">
        <f>ROUND(IF(Data!E12&gt;5,Data!E12-5,0),1)</f>
        <v>0</v>
      </c>
      <c r="F12" s="3"/>
      <c r="H12" s="46">
        <v>200606</v>
      </c>
      <c r="I12" s="47">
        <v>0</v>
      </c>
      <c r="J12" s="47">
        <v>148.50000000000003</v>
      </c>
      <c r="K12" s="3"/>
      <c r="L12" s="3">
        <f t="shared" si="1"/>
        <v>200606</v>
      </c>
      <c r="M12" s="3">
        <f t="shared" si="1"/>
        <v>0</v>
      </c>
      <c r="N12" s="3">
        <f t="shared" si="1"/>
        <v>148.50000000000003</v>
      </c>
      <c r="O12" s="3">
        <f t="shared" si="4"/>
        <v>538.4</v>
      </c>
      <c r="P12" s="3">
        <f t="shared" si="2"/>
        <v>206.40000000000003</v>
      </c>
    </row>
    <row r="13" spans="1:16" x14ac:dyDescent="0.2">
      <c r="A13" s="14">
        <f t="shared" si="3"/>
        <v>38724</v>
      </c>
      <c r="B13" s="1">
        <v>7</v>
      </c>
      <c r="C13" s="3">
        <v>200601</v>
      </c>
      <c r="D13" s="3">
        <f>ROUND(IF(Data!E13&lt;0,0-Data!E13,0),1)</f>
        <v>2.6</v>
      </c>
      <c r="E13" s="3">
        <f>ROUND(IF(Data!E13&gt;5,Data!E13-5,0),1)</f>
        <v>0</v>
      </c>
      <c r="F13" s="3"/>
      <c r="H13" s="46">
        <v>200607</v>
      </c>
      <c r="I13" s="47">
        <v>0</v>
      </c>
      <c r="J13" s="47">
        <v>254.70000000000002</v>
      </c>
      <c r="K13" s="3"/>
      <c r="L13" s="3">
        <f t="shared" si="1"/>
        <v>200607</v>
      </c>
      <c r="M13" s="3">
        <f t="shared" si="1"/>
        <v>0</v>
      </c>
      <c r="N13" s="3">
        <f t="shared" si="1"/>
        <v>254.70000000000002</v>
      </c>
      <c r="O13" s="3">
        <f t="shared" si="4"/>
        <v>538.4</v>
      </c>
      <c r="P13" s="3">
        <f t="shared" si="2"/>
        <v>461.1</v>
      </c>
    </row>
    <row r="14" spans="1:16" x14ac:dyDescent="0.2">
      <c r="A14" s="14">
        <f t="shared" si="3"/>
        <v>38725</v>
      </c>
      <c r="B14" s="1">
        <v>8</v>
      </c>
      <c r="C14" s="3">
        <v>200601</v>
      </c>
      <c r="D14" s="3">
        <f>ROUND(IF(Data!E14&lt;0,0-Data!E14,0),1)</f>
        <v>3.1</v>
      </c>
      <c r="E14" s="3">
        <f>ROUND(IF(Data!E14&gt;5,Data!E14-5,0),1)</f>
        <v>0</v>
      </c>
      <c r="F14" s="3"/>
      <c r="H14" s="46">
        <v>200608</v>
      </c>
      <c r="I14" s="47">
        <v>0</v>
      </c>
      <c r="J14" s="47">
        <v>165.3</v>
      </c>
      <c r="K14" s="3"/>
      <c r="L14" s="3">
        <f t="shared" si="1"/>
        <v>200608</v>
      </c>
      <c r="M14" s="3">
        <f t="shared" si="1"/>
        <v>0</v>
      </c>
      <c r="N14" s="3">
        <f t="shared" si="1"/>
        <v>165.3</v>
      </c>
      <c r="O14" s="3">
        <f t="shared" si="4"/>
        <v>538.4</v>
      </c>
      <c r="P14" s="3">
        <f t="shared" si="2"/>
        <v>626.40000000000009</v>
      </c>
    </row>
    <row r="15" spans="1:16" x14ac:dyDescent="0.2">
      <c r="A15" s="14">
        <f t="shared" si="3"/>
        <v>38726</v>
      </c>
      <c r="B15" s="1">
        <v>9</v>
      </c>
      <c r="C15" s="3">
        <v>200601</v>
      </c>
      <c r="D15" s="3">
        <f>ROUND(IF(Data!E15&lt;0,0-Data!E15,0),1)</f>
        <v>2.6</v>
      </c>
      <c r="E15" s="3">
        <f>ROUND(IF(Data!E15&gt;5,Data!E15-5,0),1)</f>
        <v>0</v>
      </c>
      <c r="F15" s="3"/>
      <c r="H15" s="46">
        <v>200609</v>
      </c>
      <c r="I15" s="47">
        <v>0</v>
      </c>
      <c r="J15" s="47">
        <v>95.8</v>
      </c>
      <c r="K15" s="3"/>
      <c r="L15" s="3">
        <f t="shared" si="1"/>
        <v>200609</v>
      </c>
      <c r="M15" s="3">
        <f t="shared" si="1"/>
        <v>0</v>
      </c>
      <c r="N15" s="3">
        <f t="shared" si="1"/>
        <v>95.8</v>
      </c>
      <c r="O15" s="3">
        <f t="shared" si="4"/>
        <v>538.4</v>
      </c>
      <c r="P15" s="3">
        <f t="shared" si="2"/>
        <v>722.2</v>
      </c>
    </row>
    <row r="16" spans="1:16" x14ac:dyDescent="0.2">
      <c r="A16" s="14">
        <f t="shared" si="3"/>
        <v>38727</v>
      </c>
      <c r="B16" s="1">
        <v>10</v>
      </c>
      <c r="C16" s="3">
        <v>200601</v>
      </c>
      <c r="D16" s="3">
        <f>ROUND(IF(Data!E16&lt;0,0-Data!E16,0),1)</f>
        <v>1.9</v>
      </c>
      <c r="E16" s="3">
        <f>ROUND(IF(Data!E16&gt;5,Data!E16-5,0),1)</f>
        <v>0</v>
      </c>
      <c r="F16" s="3"/>
      <c r="H16" s="46">
        <v>200610</v>
      </c>
      <c r="I16" s="47">
        <v>36.599999999999994</v>
      </c>
      <c r="J16" s="47">
        <v>0</v>
      </c>
      <c r="K16" s="3"/>
      <c r="L16" s="3">
        <f t="shared" si="1"/>
        <v>200610</v>
      </c>
      <c r="M16" s="3">
        <f t="shared" si="1"/>
        <v>36.599999999999994</v>
      </c>
      <c r="N16" s="3">
        <f t="shared" si="1"/>
        <v>0</v>
      </c>
      <c r="O16" s="3">
        <f t="shared" si="4"/>
        <v>575</v>
      </c>
      <c r="P16" s="3">
        <f t="shared" si="2"/>
        <v>722.2</v>
      </c>
    </row>
    <row r="17" spans="1:16" x14ac:dyDescent="0.2">
      <c r="A17" s="14">
        <f t="shared" si="3"/>
        <v>38728</v>
      </c>
      <c r="B17" s="1">
        <v>11</v>
      </c>
      <c r="C17" s="3">
        <v>200601</v>
      </c>
      <c r="D17" s="3">
        <f>ROUND(IF(Data!E17&lt;0,0-Data!E17,0),1)</f>
        <v>3.2</v>
      </c>
      <c r="E17" s="3">
        <f>ROUND(IF(Data!E17&gt;5,Data!E17-5,0),1)</f>
        <v>0</v>
      </c>
      <c r="F17" s="3"/>
      <c r="H17" s="46">
        <v>200611</v>
      </c>
      <c r="I17" s="47">
        <v>187.9</v>
      </c>
      <c r="J17" s="47">
        <v>0.2</v>
      </c>
      <c r="K17" s="3"/>
      <c r="L17" s="3">
        <f t="shared" si="1"/>
        <v>200611</v>
      </c>
      <c r="M17" s="3">
        <f t="shared" si="1"/>
        <v>187.9</v>
      </c>
      <c r="N17" s="3">
        <f t="shared" si="1"/>
        <v>0.2</v>
      </c>
      <c r="O17" s="3">
        <f t="shared" si="4"/>
        <v>762.9</v>
      </c>
      <c r="P17" s="3">
        <f t="shared" si="2"/>
        <v>722.40000000000009</v>
      </c>
    </row>
    <row r="18" spans="1:16" x14ac:dyDescent="0.2">
      <c r="A18" s="14">
        <f t="shared" si="3"/>
        <v>38729</v>
      </c>
      <c r="B18" s="1">
        <v>12</v>
      </c>
      <c r="C18" s="3">
        <v>200601</v>
      </c>
      <c r="D18" s="3">
        <f>ROUND(IF(Data!E18&lt;0,0-Data!E18,0),1)</f>
        <v>3.8</v>
      </c>
      <c r="E18" s="3">
        <f>ROUND(IF(Data!E18&gt;5,Data!E18-5,0),1)</f>
        <v>0</v>
      </c>
      <c r="F18" s="3"/>
      <c r="H18" s="46">
        <v>200612</v>
      </c>
      <c r="I18" s="47">
        <v>198.99999999999997</v>
      </c>
      <c r="J18" s="47">
        <v>0</v>
      </c>
      <c r="K18" s="3"/>
      <c r="L18" s="3">
        <f t="shared" si="1"/>
        <v>200612</v>
      </c>
      <c r="M18" s="3">
        <f t="shared" si="1"/>
        <v>198.99999999999997</v>
      </c>
      <c r="N18" s="3">
        <f t="shared" si="1"/>
        <v>0</v>
      </c>
      <c r="O18" s="3">
        <f t="shared" si="4"/>
        <v>961.9</v>
      </c>
      <c r="P18" s="3">
        <f t="shared" si="2"/>
        <v>722.40000000000009</v>
      </c>
    </row>
    <row r="19" spans="1:16" x14ac:dyDescent="0.2">
      <c r="A19" s="14">
        <f t="shared" si="3"/>
        <v>38730</v>
      </c>
      <c r="B19" s="1">
        <v>13</v>
      </c>
      <c r="C19" s="3">
        <v>200601</v>
      </c>
      <c r="D19" s="3">
        <f>ROUND(IF(Data!E19&lt;0,0-Data!E19,0),1)</f>
        <v>1.6</v>
      </c>
      <c r="E19" s="3">
        <f>ROUND(IF(Data!E19&gt;5,Data!E19-5,0),1)</f>
        <v>0</v>
      </c>
      <c r="F19" s="3"/>
      <c r="H19" s="46" t="s">
        <v>144</v>
      </c>
      <c r="I19" s="47">
        <v>961.9</v>
      </c>
      <c r="J19" s="47">
        <v>722.40000000000009</v>
      </c>
      <c r="K19" s="3"/>
      <c r="L19" s="3"/>
      <c r="M19" s="3"/>
      <c r="N19" s="3"/>
      <c r="O19" s="3"/>
      <c r="P19" s="3"/>
    </row>
    <row r="20" spans="1:16" x14ac:dyDescent="0.2">
      <c r="A20" s="14">
        <f t="shared" si="3"/>
        <v>38731</v>
      </c>
      <c r="B20" s="1">
        <v>14</v>
      </c>
      <c r="C20" s="3">
        <v>200601</v>
      </c>
      <c r="D20" s="3">
        <f>ROUND(IF(Data!E20&lt;0,0-Data!E20,0),1)</f>
        <v>2.8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4">
        <f t="shared" si="3"/>
        <v>38732</v>
      </c>
      <c r="B21" s="1">
        <v>15</v>
      </c>
      <c r="C21" s="3">
        <v>200601</v>
      </c>
      <c r="D21" s="3">
        <f>ROUND(IF(Data!E21&lt;0,0-Data!E21,0),1)</f>
        <v>7.2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4">
        <f t="shared" si="3"/>
        <v>38733</v>
      </c>
      <c r="B22" s="1">
        <v>16</v>
      </c>
      <c r="C22" s="3">
        <v>200601</v>
      </c>
      <c r="D22" s="3">
        <f>ROUND(IF(Data!E22&lt;0,0-Data!E22,0),1)</f>
        <v>6.9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4">
        <f t="shared" si="3"/>
        <v>38734</v>
      </c>
      <c r="B23" s="1">
        <v>17</v>
      </c>
      <c r="C23" s="3">
        <v>200601</v>
      </c>
      <c r="D23" s="3">
        <f>ROUND(IF(Data!E23&lt;0,0-Data!E23,0),1)</f>
        <v>2.7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4">
        <f t="shared" si="3"/>
        <v>38735</v>
      </c>
      <c r="B24" s="1">
        <v>18</v>
      </c>
      <c r="C24" s="3">
        <v>200601</v>
      </c>
      <c r="D24" s="3">
        <f>ROUND(IF(Data!E24&lt;0,0-Data!E24,0),1)</f>
        <v>6.6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4">
        <f t="shared" si="3"/>
        <v>38736</v>
      </c>
      <c r="B25" s="1">
        <v>19</v>
      </c>
      <c r="C25" s="3">
        <v>200601</v>
      </c>
      <c r="D25" s="3">
        <f>ROUND(IF(Data!E25&lt;0,0-Data!E25,0),1)</f>
        <v>8.9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4">
        <f t="shared" si="3"/>
        <v>38737</v>
      </c>
      <c r="B26" s="1">
        <v>20</v>
      </c>
      <c r="C26" s="3">
        <v>200601</v>
      </c>
      <c r="D26" s="3">
        <f>ROUND(IF(Data!E26&lt;0,0-Data!E26,0),1)</f>
        <v>6.1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4">
        <f t="shared" si="3"/>
        <v>38738</v>
      </c>
      <c r="B27" s="1">
        <v>21</v>
      </c>
      <c r="C27" s="3">
        <v>200601</v>
      </c>
      <c r="D27" s="3">
        <f>ROUND(IF(Data!E27&lt;0,0-Data!E27,0),1)</f>
        <v>8.5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4">
        <f t="shared" si="3"/>
        <v>38739</v>
      </c>
      <c r="B28" s="1">
        <v>22</v>
      </c>
      <c r="C28" s="3">
        <v>200601</v>
      </c>
      <c r="D28" s="3">
        <f>ROUND(IF(Data!E28&lt;0,0-Data!E28,0),1)</f>
        <v>3.7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4">
        <f t="shared" si="3"/>
        <v>38740</v>
      </c>
      <c r="B29" s="1">
        <v>23</v>
      </c>
      <c r="C29" s="3">
        <v>200601</v>
      </c>
      <c r="D29" s="3">
        <f>ROUND(IF(Data!E29&lt;0,0-Data!E29,0),1)</f>
        <v>0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4">
        <f t="shared" si="3"/>
        <v>38741</v>
      </c>
      <c r="B30" s="1">
        <v>24</v>
      </c>
      <c r="C30" s="3">
        <v>200601</v>
      </c>
      <c r="D30" s="3">
        <f>ROUND(IF(Data!E30&lt;0,0-Data!E30,0),1)</f>
        <v>1.3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4">
        <f t="shared" si="3"/>
        <v>38742</v>
      </c>
      <c r="B31" s="1">
        <v>25</v>
      </c>
      <c r="C31" s="3">
        <v>200601</v>
      </c>
      <c r="D31" s="3">
        <f>ROUND(IF(Data!E31&lt;0,0-Data!E31,0),1)</f>
        <v>1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4">
        <f t="shared" si="3"/>
        <v>38743</v>
      </c>
      <c r="B32" s="1">
        <v>26</v>
      </c>
      <c r="C32" s="3">
        <v>200601</v>
      </c>
      <c r="D32" s="3">
        <f>ROUND(IF(Data!E32&lt;0,0-Data!E32,0),1)</f>
        <v>3.6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4">
        <f t="shared" si="3"/>
        <v>38744</v>
      </c>
      <c r="B33" s="1">
        <v>27</v>
      </c>
      <c r="C33" s="3">
        <v>200601</v>
      </c>
      <c r="D33" s="3">
        <f>ROUND(IF(Data!E33&lt;0,0-Data!E33,0),1)</f>
        <v>5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4">
        <f t="shared" si="3"/>
        <v>38745</v>
      </c>
      <c r="B34" s="1">
        <v>28</v>
      </c>
      <c r="C34" s="3">
        <v>200601</v>
      </c>
      <c r="D34" s="3">
        <f>ROUND(IF(Data!E34&lt;0,0-Data!E34,0),1)</f>
        <v>5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4">
        <f t="shared" si="3"/>
        <v>38746</v>
      </c>
      <c r="B35" s="1">
        <v>29</v>
      </c>
      <c r="C35" s="3">
        <v>200601</v>
      </c>
      <c r="D35" s="3">
        <f>ROUND(IF(Data!E35&lt;0,0-Data!E35,0),1)</f>
        <v>5.9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4">
        <f t="shared" si="3"/>
        <v>38747</v>
      </c>
      <c r="B36" s="1">
        <v>30</v>
      </c>
      <c r="C36" s="3">
        <v>200601</v>
      </c>
      <c r="D36" s="3">
        <f>ROUND(IF(Data!E36&lt;0,0-Data!E36,0),1)</f>
        <v>2.9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4">
        <f t="shared" si="3"/>
        <v>38748</v>
      </c>
      <c r="B37" s="1">
        <v>31</v>
      </c>
      <c r="C37" s="3">
        <v>200601</v>
      </c>
      <c r="D37" s="3">
        <f>ROUND(IF(Data!E37&lt;0,0-Data!E37,0),1)</f>
        <v>4.7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4">
        <f t="shared" si="3"/>
        <v>38749</v>
      </c>
      <c r="B38" s="1">
        <v>32</v>
      </c>
      <c r="C38" s="3">
        <v>200602</v>
      </c>
      <c r="D38" s="3">
        <f>ROUND(IF(Data!E38&lt;0,0-Data!E38,0),1)</f>
        <v>3.2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4">
        <f t="shared" si="3"/>
        <v>38750</v>
      </c>
      <c r="B39" s="1">
        <v>33</v>
      </c>
      <c r="C39" s="3">
        <v>200602</v>
      </c>
      <c r="D39" s="3">
        <f>ROUND(IF(Data!E39&lt;0,0-Data!E39,0),1)</f>
        <v>3.4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4">
        <f t="shared" si="3"/>
        <v>38751</v>
      </c>
      <c r="B40" s="1">
        <v>34</v>
      </c>
      <c r="C40" s="3">
        <v>200602</v>
      </c>
      <c r="D40" s="3">
        <f>ROUND(IF(Data!E40&lt;0,0-Data!E40,0),1)</f>
        <v>3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4">
        <f t="shared" si="3"/>
        <v>38752</v>
      </c>
      <c r="B41" s="1">
        <v>35</v>
      </c>
      <c r="C41" s="3">
        <v>200602</v>
      </c>
      <c r="D41" s="3">
        <f>ROUND(IF(Data!E41&lt;0,0-Data!E41,0),1)</f>
        <v>1.7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4">
        <f t="shared" si="3"/>
        <v>38753</v>
      </c>
      <c r="B42" s="1">
        <v>36</v>
      </c>
      <c r="C42" s="3">
        <v>200602</v>
      </c>
      <c r="D42" s="3">
        <f>ROUND(IF(Data!E42&lt;0,0-Data!E42,0),1)</f>
        <v>5.6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4">
        <f t="shared" si="3"/>
        <v>38754</v>
      </c>
      <c r="B43" s="1">
        <v>37</v>
      </c>
      <c r="C43" s="3">
        <v>200602</v>
      </c>
      <c r="D43" s="3">
        <f>ROUND(IF(Data!E43&lt;0,0-Data!E43,0),1)</f>
        <v>6.4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4">
        <f t="shared" si="3"/>
        <v>38755</v>
      </c>
      <c r="B44" s="1">
        <v>38</v>
      </c>
      <c r="C44" s="3">
        <v>200602</v>
      </c>
      <c r="D44" s="3">
        <f>ROUND(IF(Data!E44&lt;0,0-Data!E44,0),1)</f>
        <v>5.3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4">
        <f t="shared" si="3"/>
        <v>38756</v>
      </c>
      <c r="B45" s="1">
        <v>39</v>
      </c>
      <c r="C45" s="3">
        <v>200602</v>
      </c>
      <c r="D45" s="3">
        <f>ROUND(IF(Data!E45&lt;0,0-Data!E45,0),1)</f>
        <v>4.7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4">
        <f t="shared" si="3"/>
        <v>38757</v>
      </c>
      <c r="B46" s="1">
        <v>40</v>
      </c>
      <c r="C46" s="3">
        <v>200602</v>
      </c>
      <c r="D46" s="3">
        <f>ROUND(IF(Data!E46&lt;0,0-Data!E46,0),1)</f>
        <v>12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4">
        <f t="shared" si="3"/>
        <v>38758</v>
      </c>
      <c r="B47" s="1">
        <v>41</v>
      </c>
      <c r="C47" s="3">
        <v>200602</v>
      </c>
      <c r="D47" s="3">
        <f>ROUND(IF(Data!E47&lt;0,0-Data!E47,0),1)</f>
        <v>13.6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4">
        <f t="shared" si="3"/>
        <v>38759</v>
      </c>
      <c r="B48" s="1">
        <v>42</v>
      </c>
      <c r="C48" s="3">
        <v>200602</v>
      </c>
      <c r="D48" s="3">
        <f>ROUND(IF(Data!E48&lt;0,0-Data!E48,0),1)</f>
        <v>9.6999999999999993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4">
        <f t="shared" si="3"/>
        <v>38760</v>
      </c>
      <c r="B49" s="1">
        <v>43</v>
      </c>
      <c r="C49" s="3">
        <v>200602</v>
      </c>
      <c r="D49" s="3">
        <f>ROUND(IF(Data!E49&lt;0,0-Data!E49,0),1)</f>
        <v>6.7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4">
        <f t="shared" si="3"/>
        <v>38761</v>
      </c>
      <c r="B50" s="1">
        <v>44</v>
      </c>
      <c r="C50" s="3">
        <v>200602</v>
      </c>
      <c r="D50" s="3">
        <f>ROUND(IF(Data!E50&lt;0,0-Data!E50,0),1)</f>
        <v>6.6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4">
        <f t="shared" si="3"/>
        <v>38762</v>
      </c>
      <c r="B51" s="1">
        <v>45</v>
      </c>
      <c r="C51" s="3">
        <v>200602</v>
      </c>
      <c r="D51" s="3">
        <f>ROUND(IF(Data!E51&lt;0,0-Data!E51,0),1)</f>
        <v>11.3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4">
        <f t="shared" si="3"/>
        <v>38763</v>
      </c>
      <c r="B52" s="1">
        <v>46</v>
      </c>
      <c r="C52" s="3">
        <v>200602</v>
      </c>
      <c r="D52" s="3">
        <f>ROUND(IF(Data!E52&lt;0,0-Data!E52,0),1)</f>
        <v>16.399999999999999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4">
        <f t="shared" si="3"/>
        <v>38764</v>
      </c>
      <c r="B53" s="1">
        <v>47</v>
      </c>
      <c r="C53" s="3">
        <v>200602</v>
      </c>
      <c r="D53" s="3">
        <f>ROUND(IF(Data!E53&lt;0,0-Data!E53,0),1)</f>
        <v>18.899999999999999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4">
        <f t="shared" si="3"/>
        <v>38765</v>
      </c>
      <c r="B54" s="1">
        <v>48</v>
      </c>
      <c r="C54" s="3">
        <v>200602</v>
      </c>
      <c r="D54" s="3">
        <f>ROUND(IF(Data!E54&lt;0,0-Data!E54,0),1)</f>
        <v>20.2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4">
        <f t="shared" si="3"/>
        <v>38766</v>
      </c>
      <c r="B55" s="1">
        <v>49</v>
      </c>
      <c r="C55" s="3">
        <v>200602</v>
      </c>
      <c r="D55" s="3">
        <f>ROUND(IF(Data!E55&lt;0,0-Data!E55,0),1)</f>
        <v>18.5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4">
        <f t="shared" si="3"/>
        <v>38767</v>
      </c>
      <c r="B56" s="1">
        <v>50</v>
      </c>
      <c r="C56" s="3">
        <v>200602</v>
      </c>
      <c r="D56" s="3">
        <f>ROUND(IF(Data!E56&lt;0,0-Data!E56,0),1)</f>
        <v>15.8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4">
        <f t="shared" si="3"/>
        <v>38768</v>
      </c>
      <c r="B57" s="1">
        <v>51</v>
      </c>
      <c r="C57" s="3">
        <v>200602</v>
      </c>
      <c r="D57" s="3">
        <f>ROUND(IF(Data!E57&lt;0,0-Data!E57,0),1)</f>
        <v>9.6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4">
        <f t="shared" si="3"/>
        <v>38769</v>
      </c>
      <c r="B58" s="1">
        <v>52</v>
      </c>
      <c r="C58" s="3">
        <v>200602</v>
      </c>
      <c r="D58" s="3">
        <f>ROUND(IF(Data!E58&lt;0,0-Data!E58,0),1)</f>
        <v>6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4">
        <f t="shared" si="3"/>
        <v>38770</v>
      </c>
      <c r="B59" s="1">
        <v>53</v>
      </c>
      <c r="C59" s="3">
        <v>200602</v>
      </c>
      <c r="D59" s="3">
        <f>ROUND(IF(Data!E59&lt;0,0-Data!E59,0),1)</f>
        <v>6.3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4">
        <f t="shared" si="3"/>
        <v>38771</v>
      </c>
      <c r="B60" s="1">
        <v>54</v>
      </c>
      <c r="C60" s="3">
        <v>200602</v>
      </c>
      <c r="D60" s="3">
        <f>ROUND(IF(Data!E60&lt;0,0-Data!E60,0),1)</f>
        <v>8.1999999999999993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4">
        <f t="shared" si="3"/>
        <v>38772</v>
      </c>
      <c r="B61" s="1">
        <v>55</v>
      </c>
      <c r="C61" s="3">
        <v>200602</v>
      </c>
      <c r="D61" s="3">
        <f>ROUND(IF(Data!E61&lt;0,0-Data!E61,0),1)</f>
        <v>16.100000000000001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4">
        <f t="shared" si="3"/>
        <v>38773</v>
      </c>
      <c r="B62" s="1">
        <v>56</v>
      </c>
      <c r="C62" s="3">
        <v>200602</v>
      </c>
      <c r="D62" s="3">
        <f>ROUND(IF(Data!E62&lt;0,0-Data!E62,0),1)</f>
        <v>14.5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4">
        <f t="shared" si="3"/>
        <v>38774</v>
      </c>
      <c r="B63" s="1">
        <v>57</v>
      </c>
      <c r="C63" s="3">
        <v>200602</v>
      </c>
      <c r="D63" s="3">
        <f>ROUND(IF(Data!E63&lt;0,0-Data!E63,0),1)</f>
        <v>4.9000000000000004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4">
        <f t="shared" si="3"/>
        <v>38775</v>
      </c>
      <c r="B64" s="1">
        <v>58</v>
      </c>
      <c r="C64" s="3">
        <v>200602</v>
      </c>
      <c r="D64" s="3">
        <f>ROUND(IF(Data!E64&lt;0,0-Data!E64,0),1)</f>
        <v>0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4">
        <f t="shared" si="3"/>
        <v>38776</v>
      </c>
      <c r="B65" s="1">
        <v>59</v>
      </c>
      <c r="C65" s="3">
        <v>200602</v>
      </c>
      <c r="D65" s="3">
        <f>ROUND(IF(Data!E65&lt;0,0-Data!E65,0),1)</f>
        <v>2.1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4">
        <f t="shared" si="3"/>
        <v>38777</v>
      </c>
      <c r="B66" s="1">
        <v>60</v>
      </c>
      <c r="C66" s="3">
        <v>200603</v>
      </c>
      <c r="D66" s="3">
        <f>ROUND(IF(Data!E66&lt;0,0-Data!E66,0),1)</f>
        <v>6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4">
        <f t="shared" si="3"/>
        <v>38778</v>
      </c>
      <c r="B67" s="1">
        <v>61</v>
      </c>
      <c r="C67" s="3">
        <v>200603</v>
      </c>
      <c r="D67" s="3">
        <f>ROUND(IF(Data!E67&lt;0,0-Data!E67,0),1)</f>
        <v>4.0999999999999996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4">
        <f t="shared" si="3"/>
        <v>38779</v>
      </c>
      <c r="B68" s="1">
        <v>62</v>
      </c>
      <c r="C68" s="3">
        <v>200603</v>
      </c>
      <c r="D68" s="3">
        <f>ROUND(IF(Data!E68&lt;0,0-Data!E68,0),1)</f>
        <v>9.1999999999999993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4">
        <f t="shared" si="3"/>
        <v>38780</v>
      </c>
      <c r="B69" s="1">
        <v>63</v>
      </c>
      <c r="C69" s="3">
        <v>200603</v>
      </c>
      <c r="D69" s="3">
        <f>ROUND(IF(Data!E69&lt;0,0-Data!E69,0),1)</f>
        <v>8.6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4">
        <f t="shared" si="3"/>
        <v>38781</v>
      </c>
      <c r="B70" s="1">
        <v>64</v>
      </c>
      <c r="C70" s="3">
        <v>200603</v>
      </c>
      <c r="D70" s="3">
        <f>ROUND(IF(Data!E70&lt;0,0-Data!E70,0),1)</f>
        <v>3.9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4">
        <f t="shared" si="3"/>
        <v>38782</v>
      </c>
      <c r="B71" s="1">
        <v>65</v>
      </c>
      <c r="C71" s="3">
        <v>200603</v>
      </c>
      <c r="D71" s="3">
        <f>ROUND(IF(Data!E71&lt;0,0-Data!E71,0),1)</f>
        <v>0.8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4">
        <f t="shared" si="3"/>
        <v>38783</v>
      </c>
      <c r="B72" s="1">
        <v>66</v>
      </c>
      <c r="C72" s="3">
        <v>200603</v>
      </c>
      <c r="D72" s="3">
        <f>ROUND(IF(Data!E72&lt;0,0-Data!E72,0),1)</f>
        <v>2.5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4">
        <f t="shared" ref="A73:A136" si="5">A72+1</f>
        <v>38784</v>
      </c>
      <c r="B73" s="1">
        <v>67</v>
      </c>
      <c r="C73" s="3">
        <v>200603</v>
      </c>
      <c r="D73" s="3">
        <f>ROUND(IF(Data!E73&lt;0,0-Data!E73,0),1)</f>
        <v>4.8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4">
        <f t="shared" si="5"/>
        <v>38785</v>
      </c>
      <c r="B74" s="1">
        <v>68</v>
      </c>
      <c r="C74" s="3">
        <v>200603</v>
      </c>
      <c r="D74" s="3">
        <f>ROUND(IF(Data!E74&lt;0,0-Data!E74,0),1)</f>
        <v>8.4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4">
        <f t="shared" si="5"/>
        <v>38786</v>
      </c>
      <c r="B75" s="1">
        <v>69</v>
      </c>
      <c r="C75" s="3">
        <v>200603</v>
      </c>
      <c r="D75" s="3">
        <f>ROUND(IF(Data!E75&lt;0,0-Data!E75,0),1)</f>
        <v>12.7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4">
        <f t="shared" si="5"/>
        <v>38787</v>
      </c>
      <c r="B76" s="1">
        <v>70</v>
      </c>
      <c r="C76" s="3">
        <v>200603</v>
      </c>
      <c r="D76" s="3">
        <f>ROUND(IF(Data!E76&lt;0,0-Data!E76,0),1)</f>
        <v>13.3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4">
        <f t="shared" si="5"/>
        <v>38788</v>
      </c>
      <c r="B77" s="1">
        <v>71</v>
      </c>
      <c r="C77" s="3">
        <v>200603</v>
      </c>
      <c r="D77" s="3">
        <f>ROUND(IF(Data!E77&lt;0,0-Data!E77,0),1)</f>
        <v>13.4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4">
        <f t="shared" si="5"/>
        <v>38789</v>
      </c>
      <c r="B78" s="1">
        <v>72</v>
      </c>
      <c r="C78" s="3">
        <v>200603</v>
      </c>
      <c r="D78" s="3">
        <f>ROUND(IF(Data!E78&lt;0,0-Data!E78,0),1)</f>
        <v>10.4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4">
        <f t="shared" si="5"/>
        <v>38790</v>
      </c>
      <c r="B79" s="1">
        <v>73</v>
      </c>
      <c r="C79" s="3">
        <v>200603</v>
      </c>
      <c r="D79" s="3">
        <f>ROUND(IF(Data!E79&lt;0,0-Data!E79,0),1)</f>
        <v>5.0999999999999996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4">
        <f t="shared" si="5"/>
        <v>38791</v>
      </c>
      <c r="B80" s="1">
        <v>74</v>
      </c>
      <c r="C80" s="3">
        <v>200603</v>
      </c>
      <c r="D80" s="3">
        <f>ROUND(IF(Data!E80&lt;0,0-Data!E80,0),1)</f>
        <v>4.3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4">
        <f t="shared" si="5"/>
        <v>38792</v>
      </c>
      <c r="B81" s="1">
        <v>75</v>
      </c>
      <c r="C81" s="3">
        <v>200603</v>
      </c>
      <c r="D81" s="3">
        <f>ROUND(IF(Data!E81&lt;0,0-Data!E81,0),1)</f>
        <v>2.8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4">
        <f t="shared" si="5"/>
        <v>38793</v>
      </c>
      <c r="B82" s="1">
        <v>76</v>
      </c>
      <c r="C82" s="3">
        <v>200603</v>
      </c>
      <c r="D82" s="3">
        <f>ROUND(IF(Data!E82&lt;0,0-Data!E82,0),1)</f>
        <v>2.7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4">
        <f t="shared" si="5"/>
        <v>38794</v>
      </c>
      <c r="B83" s="1">
        <v>77</v>
      </c>
      <c r="C83" s="3">
        <v>200603</v>
      </c>
      <c r="D83" s="3">
        <f>ROUND(IF(Data!E83&lt;0,0-Data!E83,0),1)</f>
        <v>5.3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4">
        <f t="shared" si="5"/>
        <v>38795</v>
      </c>
      <c r="B84" s="1">
        <v>78</v>
      </c>
      <c r="C84" s="3">
        <v>200603</v>
      </c>
      <c r="D84" s="3">
        <f>ROUND(IF(Data!E84&lt;0,0-Data!E84,0),1)</f>
        <v>7.5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4">
        <f t="shared" si="5"/>
        <v>38796</v>
      </c>
      <c r="B85" s="1">
        <v>79</v>
      </c>
      <c r="C85" s="3">
        <v>200603</v>
      </c>
      <c r="D85" s="3">
        <f>ROUND(IF(Data!E85&lt;0,0-Data!E85,0),1)</f>
        <v>4.7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4">
        <f t="shared" si="5"/>
        <v>38797</v>
      </c>
      <c r="B86" s="1">
        <v>80</v>
      </c>
      <c r="C86" s="3">
        <v>200603</v>
      </c>
      <c r="D86" s="3">
        <f>ROUND(IF(Data!E86&lt;0,0-Data!E86,0),1)</f>
        <v>2.1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4">
        <f t="shared" si="5"/>
        <v>38798</v>
      </c>
      <c r="B87" s="1">
        <v>81</v>
      </c>
      <c r="C87" s="3">
        <v>200603</v>
      </c>
      <c r="D87" s="3">
        <f>ROUND(IF(Data!E87&lt;0,0-Data!E87,0),1)</f>
        <v>0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4">
        <f t="shared" si="5"/>
        <v>38799</v>
      </c>
      <c r="B88" s="1">
        <v>82</v>
      </c>
      <c r="C88" s="3">
        <v>200603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4">
        <f t="shared" si="5"/>
        <v>38800</v>
      </c>
      <c r="B89" s="1">
        <v>83</v>
      </c>
      <c r="C89" s="3">
        <v>200603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4">
        <f t="shared" si="5"/>
        <v>38801</v>
      </c>
      <c r="B90" s="1">
        <v>84</v>
      </c>
      <c r="C90" s="3">
        <v>200603</v>
      </c>
      <c r="D90" s="3">
        <f>ROUND(IF(Data!E90&lt;0,0-Data!E90,0),1)</f>
        <v>3.5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4">
        <f t="shared" si="5"/>
        <v>38802</v>
      </c>
      <c r="B91" s="1">
        <v>85</v>
      </c>
      <c r="C91" s="3">
        <v>200603</v>
      </c>
      <c r="D91" s="3">
        <f>ROUND(IF(Data!E91&lt;0,0-Data!E91,0),1)</f>
        <v>5.5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4">
        <f t="shared" si="5"/>
        <v>38803</v>
      </c>
      <c r="B92" s="1">
        <v>86</v>
      </c>
      <c r="C92" s="3">
        <v>200603</v>
      </c>
      <c r="D92" s="3">
        <f>ROUND(IF(Data!E92&lt;0,0-Data!E92,0),1)</f>
        <v>3.1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4">
        <f t="shared" si="5"/>
        <v>38804</v>
      </c>
      <c r="B93" s="1">
        <v>87</v>
      </c>
      <c r="C93" s="3">
        <v>200603</v>
      </c>
      <c r="D93" s="3">
        <f>ROUND(IF(Data!E93&lt;0,0-Data!E93,0),1)</f>
        <v>2.8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4">
        <f t="shared" si="5"/>
        <v>38805</v>
      </c>
      <c r="B94" s="1">
        <v>88</v>
      </c>
      <c r="C94" s="3">
        <v>200603</v>
      </c>
      <c r="D94" s="3">
        <f>ROUND(IF(Data!E94&lt;0,0-Data!E94,0),1)</f>
        <v>0.9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4">
        <f t="shared" si="5"/>
        <v>38806</v>
      </c>
      <c r="B95" s="1">
        <v>89</v>
      </c>
      <c r="C95" s="3">
        <v>200603</v>
      </c>
      <c r="D95" s="3">
        <f>ROUND(IF(Data!E95&lt;0,0-Data!E95,0),1)</f>
        <v>1.7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4">
        <f t="shared" si="5"/>
        <v>38807</v>
      </c>
      <c r="B96" s="1">
        <v>90</v>
      </c>
      <c r="C96" s="3">
        <v>200603</v>
      </c>
      <c r="D96" s="3">
        <f>ROUND(IF(Data!E96&lt;0,0-Data!E96,0),1)</f>
        <v>0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4">
        <f t="shared" si="5"/>
        <v>38808</v>
      </c>
      <c r="B97" s="1">
        <v>91</v>
      </c>
      <c r="C97" s="3">
        <v>200604</v>
      </c>
      <c r="D97" s="3">
        <f>ROUND(IF(Data!E97&lt;0,0-Data!E97,0),1)</f>
        <v>0.4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4">
        <f t="shared" si="5"/>
        <v>38809</v>
      </c>
      <c r="B98" s="1">
        <v>92</v>
      </c>
      <c r="C98" s="3">
        <v>200604</v>
      </c>
      <c r="D98" s="3">
        <f>ROUND(IF(Data!E98&lt;0,0-Data!E98,0),1)</f>
        <v>0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4">
        <f t="shared" si="5"/>
        <v>38810</v>
      </c>
      <c r="B99" s="1">
        <v>93</v>
      </c>
      <c r="C99" s="3">
        <v>200604</v>
      </c>
      <c r="D99" s="3">
        <f>ROUND(IF(Data!E99&lt;0,0-Data!E99,0),1)</f>
        <v>0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4">
        <f t="shared" si="5"/>
        <v>38811</v>
      </c>
      <c r="B100" s="1">
        <v>94</v>
      </c>
      <c r="C100" s="3">
        <v>200604</v>
      </c>
      <c r="D100" s="3">
        <f>ROUND(IF(Data!E100&lt;0,0-Data!E100,0),1)</f>
        <v>0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4">
        <f t="shared" si="5"/>
        <v>38812</v>
      </c>
      <c r="B101" s="1">
        <v>95</v>
      </c>
      <c r="C101" s="3">
        <v>200604</v>
      </c>
      <c r="D101" s="3">
        <f>ROUND(IF(Data!E101&lt;0,0-Data!E101,0),1)</f>
        <v>0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4">
        <f t="shared" si="5"/>
        <v>38813</v>
      </c>
      <c r="B102" s="1">
        <v>96</v>
      </c>
      <c r="C102" s="3">
        <v>200604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4">
        <f t="shared" si="5"/>
        <v>38814</v>
      </c>
      <c r="B103" s="1">
        <v>97</v>
      </c>
      <c r="C103" s="3">
        <v>200604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4">
        <f t="shared" si="5"/>
        <v>38815</v>
      </c>
      <c r="B104" s="1">
        <v>98</v>
      </c>
      <c r="C104" s="3">
        <v>200604</v>
      </c>
      <c r="D104" s="3">
        <f>ROUND(IF(Data!E104&lt;0,0-Data!E104,0),1)</f>
        <v>0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4">
        <f t="shared" si="5"/>
        <v>38816</v>
      </c>
      <c r="B105" s="1">
        <v>99</v>
      </c>
      <c r="C105" s="3">
        <v>200604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4">
        <f t="shared" si="5"/>
        <v>38817</v>
      </c>
      <c r="B106" s="1">
        <v>100</v>
      </c>
      <c r="C106" s="3">
        <v>200604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4">
        <f t="shared" si="5"/>
        <v>38818</v>
      </c>
      <c r="B107" s="1">
        <v>101</v>
      </c>
      <c r="C107" s="3">
        <v>200604</v>
      </c>
      <c r="D107" s="3">
        <f>ROUND(IF(Data!E107&lt;0,0-Data!E107,0),1)</f>
        <v>0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4">
        <f t="shared" si="5"/>
        <v>38819</v>
      </c>
      <c r="B108" s="1">
        <v>102</v>
      </c>
      <c r="C108" s="3">
        <v>200604</v>
      </c>
      <c r="D108" s="3">
        <f>ROUND(IF(Data!E108&lt;0,0-Data!E108,0),1)</f>
        <v>0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4">
        <f t="shared" si="5"/>
        <v>38820</v>
      </c>
      <c r="B109" s="1">
        <v>103</v>
      </c>
      <c r="C109" s="3">
        <v>200604</v>
      </c>
      <c r="D109" s="3">
        <f>ROUND(IF(Data!E109&lt;0,0-Data!E109,0),1)</f>
        <v>1.5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4">
        <f t="shared" si="5"/>
        <v>38821</v>
      </c>
      <c r="B110" s="1">
        <v>104</v>
      </c>
      <c r="C110" s="3">
        <v>200604</v>
      </c>
      <c r="D110" s="3">
        <f>ROUND(IF(Data!E110&lt;0,0-Data!E110,0),1)</f>
        <v>0.5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4">
        <f t="shared" si="5"/>
        <v>38822</v>
      </c>
      <c r="B111" s="1">
        <v>105</v>
      </c>
      <c r="C111" s="3">
        <v>200604</v>
      </c>
      <c r="D111" s="3">
        <f>ROUND(IF(Data!E111&lt;0,0-Data!E111,0),1)</f>
        <v>3.8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4">
        <f t="shared" si="5"/>
        <v>38823</v>
      </c>
      <c r="B112" s="1">
        <v>106</v>
      </c>
      <c r="C112" s="3">
        <v>200604</v>
      </c>
      <c r="D112" s="3">
        <f>ROUND(IF(Data!E112&lt;0,0-Data!E112,0),1)</f>
        <v>4.4000000000000004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4">
        <f t="shared" si="5"/>
        <v>38824</v>
      </c>
      <c r="B113" s="1">
        <v>107</v>
      </c>
      <c r="C113" s="3">
        <v>200604</v>
      </c>
      <c r="D113" s="3">
        <f>ROUND(IF(Data!E113&lt;0,0-Data!E113,0),1)</f>
        <v>5.2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4">
        <f t="shared" si="5"/>
        <v>38825</v>
      </c>
      <c r="B114" s="1">
        <v>108</v>
      </c>
      <c r="C114" s="3">
        <v>200604</v>
      </c>
      <c r="D114" s="3">
        <f>ROUND(IF(Data!E114&lt;0,0-Data!E114,0),1)</f>
        <v>2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4">
        <f t="shared" si="5"/>
        <v>38826</v>
      </c>
      <c r="B115" s="1">
        <v>109</v>
      </c>
      <c r="C115" s="3">
        <v>200604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4">
        <f t="shared" si="5"/>
        <v>38827</v>
      </c>
      <c r="B116" s="1">
        <v>110</v>
      </c>
      <c r="C116" s="3">
        <v>200604</v>
      </c>
      <c r="D116" s="3">
        <f>ROUND(IF(Data!E116&lt;0,0-Data!E116,0),1)</f>
        <v>0</v>
      </c>
      <c r="E116" s="3">
        <f>ROUND(IF(Data!E116&gt;5,Data!E116-5,0),1)</f>
        <v>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4">
        <f t="shared" si="5"/>
        <v>38828</v>
      </c>
      <c r="B117" s="1">
        <v>111</v>
      </c>
      <c r="C117" s="3">
        <v>200604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4">
        <f t="shared" si="5"/>
        <v>38829</v>
      </c>
      <c r="B118" s="1">
        <v>112</v>
      </c>
      <c r="C118" s="3">
        <v>200604</v>
      </c>
      <c r="D118" s="3">
        <f>ROUND(IF(Data!E118&lt;0,0-Data!E118,0),1)</f>
        <v>2.2999999999999998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4">
        <f t="shared" si="5"/>
        <v>38830</v>
      </c>
      <c r="B119" s="1">
        <v>113</v>
      </c>
      <c r="C119" s="3">
        <v>200604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4">
        <f t="shared" si="5"/>
        <v>38831</v>
      </c>
      <c r="B120" s="1">
        <v>114</v>
      </c>
      <c r="C120" s="3">
        <v>200604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4">
        <f t="shared" si="5"/>
        <v>38832</v>
      </c>
      <c r="B121" s="1">
        <v>115</v>
      </c>
      <c r="C121" s="3">
        <v>200604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4">
        <f t="shared" si="5"/>
        <v>38833</v>
      </c>
      <c r="B122" s="1">
        <v>116</v>
      </c>
      <c r="C122" s="3">
        <v>200604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4">
        <f t="shared" si="5"/>
        <v>38834</v>
      </c>
      <c r="B123" s="1">
        <v>117</v>
      </c>
      <c r="C123" s="3">
        <v>200604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4">
        <f t="shared" si="5"/>
        <v>38835</v>
      </c>
      <c r="B124" s="1">
        <v>118</v>
      </c>
      <c r="C124" s="3">
        <v>200604</v>
      </c>
      <c r="D124" s="3">
        <f>ROUND(IF(Data!E124&lt;0,0-Data!E124,0),1)</f>
        <v>0</v>
      </c>
      <c r="E124" s="3">
        <f>ROUND(IF(Data!E124&gt;5,Data!E124-5,0),1)</f>
        <v>1.5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4">
        <f t="shared" si="5"/>
        <v>38836</v>
      </c>
      <c r="B125" s="1">
        <v>119</v>
      </c>
      <c r="C125" s="3">
        <v>200604</v>
      </c>
      <c r="D125" s="3">
        <f>ROUND(IF(Data!E125&lt;0,0-Data!E125,0),1)</f>
        <v>0</v>
      </c>
      <c r="E125" s="3">
        <f>ROUND(IF(Data!E125&gt;5,Data!E125-5,0),1)</f>
        <v>1.4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4">
        <f t="shared" si="5"/>
        <v>38837</v>
      </c>
      <c r="B126" s="1">
        <v>120</v>
      </c>
      <c r="C126" s="3">
        <v>200604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4">
        <f t="shared" si="5"/>
        <v>38838</v>
      </c>
      <c r="B127" s="1">
        <v>121</v>
      </c>
      <c r="C127" s="3">
        <v>200605</v>
      </c>
      <c r="D127" s="3">
        <f>ROUND(IF(Data!E127&lt;0,0-Data!E127,0),1)</f>
        <v>1.9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4">
        <f t="shared" si="5"/>
        <v>38839</v>
      </c>
      <c r="B128" s="1">
        <v>122</v>
      </c>
      <c r="C128" s="3">
        <v>200605</v>
      </c>
      <c r="D128" s="3">
        <f>ROUND(IF(Data!E128&lt;0,0-Data!E128,0),1)</f>
        <v>0.6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4">
        <f t="shared" si="5"/>
        <v>38840</v>
      </c>
      <c r="B129" s="1">
        <v>123</v>
      </c>
      <c r="C129" s="3">
        <v>200605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4">
        <f t="shared" si="5"/>
        <v>38841</v>
      </c>
      <c r="B130" s="1">
        <v>124</v>
      </c>
      <c r="C130" s="3">
        <v>200605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4">
        <f t="shared" si="5"/>
        <v>38842</v>
      </c>
      <c r="B131" s="1">
        <v>125</v>
      </c>
      <c r="C131" s="3">
        <v>200605</v>
      </c>
      <c r="D131" s="3">
        <f>ROUND(IF(Data!E131&lt;0,0-Data!E131,0),1)</f>
        <v>0</v>
      </c>
      <c r="E131" s="3">
        <f>ROUND(IF(Data!E131&gt;5,Data!E131-5,0),1)</f>
        <v>2.2000000000000002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4">
        <f t="shared" si="5"/>
        <v>38843</v>
      </c>
      <c r="B132" s="1">
        <v>126</v>
      </c>
      <c r="C132" s="3">
        <v>200605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4">
        <f t="shared" si="5"/>
        <v>38844</v>
      </c>
      <c r="B133" s="1">
        <v>127</v>
      </c>
      <c r="C133" s="3">
        <v>200605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4">
        <f t="shared" si="5"/>
        <v>38845</v>
      </c>
      <c r="B134" s="1">
        <v>128</v>
      </c>
      <c r="C134" s="3">
        <v>200605</v>
      </c>
      <c r="D134" s="3">
        <f>ROUND(IF(Data!E134&lt;0,0-Data!E134,0),1)</f>
        <v>1.2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4">
        <f t="shared" si="5"/>
        <v>38846</v>
      </c>
      <c r="B135" s="1">
        <v>129</v>
      </c>
      <c r="C135" s="3">
        <v>200605</v>
      </c>
      <c r="D135" s="3">
        <f>ROUND(IF(Data!E135&lt;0,0-Data!E135,0),1)</f>
        <v>0.7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4">
        <f t="shared" si="5"/>
        <v>38847</v>
      </c>
      <c r="B136" s="1">
        <v>130</v>
      </c>
      <c r="C136" s="3">
        <v>200605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4">
        <f t="shared" ref="A137:A200" si="6">A136+1</f>
        <v>38848</v>
      </c>
      <c r="B137" s="1">
        <v>131</v>
      </c>
      <c r="C137" s="3">
        <v>200605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4">
        <f t="shared" si="6"/>
        <v>38849</v>
      </c>
      <c r="B138" s="1">
        <v>132</v>
      </c>
      <c r="C138" s="3">
        <v>200605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4">
        <f t="shared" si="6"/>
        <v>38850</v>
      </c>
      <c r="B139" s="1">
        <v>133</v>
      </c>
      <c r="C139" s="3">
        <v>200605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4">
        <f t="shared" si="6"/>
        <v>38851</v>
      </c>
      <c r="B140" s="1">
        <v>134</v>
      </c>
      <c r="C140" s="3">
        <v>200605</v>
      </c>
      <c r="D140" s="3">
        <f>ROUND(IF(Data!E140&lt;0,0-Data!E140,0),1)</f>
        <v>0</v>
      </c>
      <c r="E140" s="3">
        <f>ROUND(IF(Data!E140&gt;5,Data!E140-5,0),1)</f>
        <v>1.5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4">
        <f t="shared" si="6"/>
        <v>38852</v>
      </c>
      <c r="B141" s="1">
        <v>135</v>
      </c>
      <c r="C141" s="3">
        <v>200605</v>
      </c>
      <c r="D141" s="3">
        <f>ROUND(IF(Data!E141&lt;0,0-Data!E141,0),1)</f>
        <v>0</v>
      </c>
      <c r="E141" s="3">
        <f>ROUND(IF(Data!E141&gt;5,Data!E141-5,0),1)</f>
        <v>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4">
        <f t="shared" si="6"/>
        <v>38853</v>
      </c>
      <c r="B142" s="1">
        <v>136</v>
      </c>
      <c r="C142" s="3">
        <v>200605</v>
      </c>
      <c r="D142" s="3">
        <f>ROUND(IF(Data!E142&lt;0,0-Data!E142,0),1)</f>
        <v>0</v>
      </c>
      <c r="E142" s="3">
        <f>ROUND(IF(Data!E142&gt;5,Data!E142-5,0),1)</f>
        <v>7.7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4">
        <f t="shared" si="6"/>
        <v>38854</v>
      </c>
      <c r="B143" s="1">
        <v>137</v>
      </c>
      <c r="C143" s="3">
        <v>200605</v>
      </c>
      <c r="D143" s="3">
        <f>ROUND(IF(Data!E143&lt;0,0-Data!E143,0),1)</f>
        <v>0</v>
      </c>
      <c r="E143" s="3">
        <f>ROUND(IF(Data!E143&gt;5,Data!E143-5,0),1)</f>
        <v>6.8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4">
        <f t="shared" si="6"/>
        <v>38855</v>
      </c>
      <c r="B144" s="1">
        <v>138</v>
      </c>
      <c r="C144" s="3">
        <v>200605</v>
      </c>
      <c r="D144" s="3">
        <f>ROUND(IF(Data!E144&lt;0,0-Data!E144,0),1)</f>
        <v>0</v>
      </c>
      <c r="E144" s="3">
        <f>ROUND(IF(Data!E144&gt;5,Data!E144-5,0),1)</f>
        <v>6.1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4">
        <f t="shared" si="6"/>
        <v>38856</v>
      </c>
      <c r="B145" s="1">
        <v>139</v>
      </c>
      <c r="C145" s="3">
        <v>200605</v>
      </c>
      <c r="D145" s="3">
        <f>ROUND(IF(Data!E145&lt;0,0-Data!E145,0),1)</f>
        <v>0</v>
      </c>
      <c r="E145" s="3">
        <f>ROUND(IF(Data!E145&gt;5,Data!E145-5,0),1)</f>
        <v>5.5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4">
        <f t="shared" si="6"/>
        <v>38857</v>
      </c>
      <c r="B146" s="1">
        <v>140</v>
      </c>
      <c r="C146" s="3">
        <v>200605</v>
      </c>
      <c r="D146" s="3">
        <f>ROUND(IF(Data!E146&lt;0,0-Data!E146,0),1)</f>
        <v>0</v>
      </c>
      <c r="E146" s="3">
        <f>ROUND(IF(Data!E146&gt;5,Data!E146-5,0),1)</f>
        <v>1.6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4">
        <f t="shared" si="6"/>
        <v>38858</v>
      </c>
      <c r="B147" s="1">
        <v>141</v>
      </c>
      <c r="C147" s="3">
        <v>200605</v>
      </c>
      <c r="D147" s="3">
        <f>ROUND(IF(Data!E147&lt;0,0-Data!E147,0),1)</f>
        <v>0</v>
      </c>
      <c r="E147" s="3">
        <f>ROUND(IF(Data!E147&gt;5,Data!E147-5,0),1)</f>
        <v>2.5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4">
        <f t="shared" si="6"/>
        <v>38859</v>
      </c>
      <c r="B148" s="1">
        <v>142</v>
      </c>
      <c r="C148" s="3">
        <v>200605</v>
      </c>
      <c r="D148" s="3">
        <f>ROUND(IF(Data!E148&lt;0,0-Data!E148,0),1)</f>
        <v>0</v>
      </c>
      <c r="E148" s="3">
        <f>ROUND(IF(Data!E148&gt;5,Data!E148-5,0),1)</f>
        <v>3.5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4">
        <f t="shared" si="6"/>
        <v>38860</v>
      </c>
      <c r="B149" s="1">
        <v>143</v>
      </c>
      <c r="C149" s="3">
        <v>200605</v>
      </c>
      <c r="D149" s="3">
        <f>ROUND(IF(Data!E149&lt;0,0-Data!E149,0),1)</f>
        <v>0</v>
      </c>
      <c r="E149" s="3">
        <f>ROUND(IF(Data!E149&gt;5,Data!E149-5,0),1)</f>
        <v>1.6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4">
        <f t="shared" si="6"/>
        <v>38861</v>
      </c>
      <c r="B150" s="1">
        <v>144</v>
      </c>
      <c r="C150" s="3">
        <v>200605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4">
        <f t="shared" si="6"/>
        <v>38862</v>
      </c>
      <c r="B151" s="1">
        <v>145</v>
      </c>
      <c r="C151" s="3">
        <v>200605</v>
      </c>
      <c r="D151" s="3">
        <f>ROUND(IF(Data!E151&lt;0,0-Data!E151,0),1)</f>
        <v>0</v>
      </c>
      <c r="E151" s="3">
        <f>ROUND(IF(Data!E151&gt;5,Data!E151-5,0),1)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4">
        <f t="shared" si="6"/>
        <v>38863</v>
      </c>
      <c r="B152" s="1">
        <v>146</v>
      </c>
      <c r="C152" s="3">
        <v>200605</v>
      </c>
      <c r="D152" s="3">
        <f>ROUND(IF(Data!E152&lt;0,0-Data!E152,0),1)</f>
        <v>0</v>
      </c>
      <c r="E152" s="3">
        <f>ROUND(IF(Data!E152&gt;5,Data!E152-5,0),1)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4">
        <f t="shared" si="6"/>
        <v>38864</v>
      </c>
      <c r="B153" s="1">
        <v>147</v>
      </c>
      <c r="C153" s="3">
        <v>200605</v>
      </c>
      <c r="D153" s="3">
        <f>ROUND(IF(Data!E153&lt;0,0-Data!E153,0),1)</f>
        <v>0</v>
      </c>
      <c r="E153" s="3">
        <f>ROUND(IF(Data!E153&gt;5,Data!E153-5,0),1)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4">
        <f t="shared" si="6"/>
        <v>38865</v>
      </c>
      <c r="B154" s="1">
        <v>148</v>
      </c>
      <c r="C154" s="3">
        <v>200605</v>
      </c>
      <c r="D154" s="3">
        <f>ROUND(IF(Data!E154&lt;0,0-Data!E154,0),1)</f>
        <v>0</v>
      </c>
      <c r="E154" s="3">
        <f>ROUND(IF(Data!E154&gt;5,Data!E154-5,0),1)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4">
        <f t="shared" si="6"/>
        <v>38866</v>
      </c>
      <c r="B155" s="1">
        <v>149</v>
      </c>
      <c r="C155" s="3">
        <v>200605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4">
        <f t="shared" si="6"/>
        <v>38867</v>
      </c>
      <c r="B156" s="1">
        <v>150</v>
      </c>
      <c r="C156" s="3">
        <v>200605</v>
      </c>
      <c r="D156" s="3">
        <f>ROUND(IF(Data!E156&lt;0,0-Data!E156,0),1)</f>
        <v>0</v>
      </c>
      <c r="E156" s="3">
        <f>ROUND(IF(Data!E156&gt;5,Data!E156-5,0),1)</f>
        <v>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4">
        <f t="shared" si="6"/>
        <v>38868</v>
      </c>
      <c r="B157" s="1">
        <v>151</v>
      </c>
      <c r="C157" s="3">
        <v>200605</v>
      </c>
      <c r="D157" s="3">
        <f>ROUND(IF(Data!E157&lt;0,0-Data!E157,0),1)</f>
        <v>0</v>
      </c>
      <c r="E157" s="3">
        <f>ROUND(IF(Data!E157&gt;5,Data!E157-5,0),1)</f>
        <v>6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4">
        <f t="shared" si="6"/>
        <v>38869</v>
      </c>
      <c r="B158" s="1">
        <v>152</v>
      </c>
      <c r="C158" s="3">
        <v>200606</v>
      </c>
      <c r="D158" s="3">
        <f>ROUND(IF(Data!E158&lt;0,0-Data!E158,0),1)</f>
        <v>0</v>
      </c>
      <c r="E158" s="3">
        <f>ROUND(IF(Data!E158&gt;5,Data!E158-5,0),1)</f>
        <v>7.4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4">
        <f t="shared" si="6"/>
        <v>38870</v>
      </c>
      <c r="B159" s="1">
        <v>153</v>
      </c>
      <c r="C159" s="3">
        <v>200606</v>
      </c>
      <c r="D159" s="3">
        <f>ROUND(IF(Data!E159&lt;0,0-Data!E159,0),1)</f>
        <v>0</v>
      </c>
      <c r="E159" s="3">
        <f>ROUND(IF(Data!E159&gt;5,Data!E159-5,0),1)</f>
        <v>4.8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4">
        <f t="shared" si="6"/>
        <v>38871</v>
      </c>
      <c r="B160" s="1">
        <v>154</v>
      </c>
      <c r="C160" s="3">
        <v>200606</v>
      </c>
      <c r="D160" s="3">
        <f>ROUND(IF(Data!E160&lt;0,0-Data!E160,0),1)</f>
        <v>0</v>
      </c>
      <c r="E160" s="3">
        <f>ROUND(IF(Data!E160&gt;5,Data!E160-5,0),1)</f>
        <v>1.2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4">
        <f t="shared" si="6"/>
        <v>38872</v>
      </c>
      <c r="B161" s="1">
        <v>155</v>
      </c>
      <c r="C161" s="3">
        <v>200606</v>
      </c>
      <c r="D161" s="3">
        <f>ROUND(IF(Data!E161&lt;0,0-Data!E161,0),1)</f>
        <v>0</v>
      </c>
      <c r="E161" s="3">
        <f>ROUND(IF(Data!E161&gt;5,Data!E161-5,0),1)</f>
        <v>1.7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4">
        <f t="shared" si="6"/>
        <v>38873</v>
      </c>
      <c r="B162" s="1">
        <v>156</v>
      </c>
      <c r="C162" s="3">
        <v>200606</v>
      </c>
      <c r="D162" s="3">
        <f>ROUND(IF(Data!E162&lt;0,0-Data!E162,0),1)</f>
        <v>0</v>
      </c>
      <c r="E162" s="3">
        <f>ROUND(IF(Data!E162&gt;5,Data!E162-5,0),1)</f>
        <v>2.4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4">
        <f t="shared" si="6"/>
        <v>38874</v>
      </c>
      <c r="B163" s="1">
        <v>157</v>
      </c>
      <c r="C163" s="3">
        <v>200606</v>
      </c>
      <c r="D163" s="3">
        <f>ROUND(IF(Data!E163&lt;0,0-Data!E163,0),1)</f>
        <v>0</v>
      </c>
      <c r="E163" s="3">
        <f>ROUND(IF(Data!E163&gt;5,Data!E163-5,0),1)</f>
        <v>3.7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4">
        <f t="shared" si="6"/>
        <v>38875</v>
      </c>
      <c r="B164" s="1">
        <v>158</v>
      </c>
      <c r="C164" s="3">
        <v>200606</v>
      </c>
      <c r="D164" s="3">
        <f>ROUND(IF(Data!E164&lt;0,0-Data!E164,0),1)</f>
        <v>0</v>
      </c>
      <c r="E164" s="3">
        <f>ROUND(IF(Data!E164&gt;5,Data!E164-5,0),1)</f>
        <v>7.6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4">
        <f t="shared" si="6"/>
        <v>38876</v>
      </c>
      <c r="B165" s="1">
        <v>159</v>
      </c>
      <c r="C165" s="3">
        <v>200606</v>
      </c>
      <c r="D165" s="3">
        <f>ROUND(IF(Data!E165&lt;0,0-Data!E165,0),1)</f>
        <v>0</v>
      </c>
      <c r="E165" s="3">
        <f>ROUND(IF(Data!E165&gt;5,Data!E165-5,0),1)</f>
        <v>2.7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4">
        <f t="shared" si="6"/>
        <v>38877</v>
      </c>
      <c r="B166" s="1">
        <v>160</v>
      </c>
      <c r="C166" s="3">
        <v>200606</v>
      </c>
      <c r="D166" s="3">
        <f>ROUND(IF(Data!E166&lt;0,0-Data!E166,0),1)</f>
        <v>0</v>
      </c>
      <c r="E166" s="3">
        <f>ROUND(IF(Data!E166&gt;5,Data!E166-5,0),1)</f>
        <v>2.4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4">
        <f t="shared" si="6"/>
        <v>38878</v>
      </c>
      <c r="B167" s="1">
        <v>161</v>
      </c>
      <c r="C167" s="3">
        <v>200606</v>
      </c>
      <c r="D167" s="3">
        <f>ROUND(IF(Data!E167&lt;0,0-Data!E167,0),1)</f>
        <v>0</v>
      </c>
      <c r="E167" s="3">
        <f>ROUND(IF(Data!E167&gt;5,Data!E167-5,0),1)</f>
        <v>4.5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4">
        <f t="shared" si="6"/>
        <v>38879</v>
      </c>
      <c r="B168" s="1">
        <v>162</v>
      </c>
      <c r="C168" s="3">
        <v>200606</v>
      </c>
      <c r="D168" s="3">
        <f>ROUND(IF(Data!E168&lt;0,0-Data!E168,0),1)</f>
        <v>0</v>
      </c>
      <c r="E168" s="3">
        <f>ROUND(IF(Data!E168&gt;5,Data!E168-5,0),1)</f>
        <v>3.6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4">
        <f t="shared" si="6"/>
        <v>38880</v>
      </c>
      <c r="B169" s="1">
        <v>163</v>
      </c>
      <c r="C169" s="3">
        <v>200606</v>
      </c>
      <c r="D169" s="3">
        <f>ROUND(IF(Data!E169&lt;0,0-Data!E169,0),1)</f>
        <v>0</v>
      </c>
      <c r="E169" s="3">
        <f>ROUND(IF(Data!E169&gt;5,Data!E169-5,0),1)</f>
        <v>7.4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4">
        <f t="shared" si="6"/>
        <v>38881</v>
      </c>
      <c r="B170" s="1">
        <v>164</v>
      </c>
      <c r="C170" s="3">
        <v>200606</v>
      </c>
      <c r="D170" s="3">
        <f>ROUND(IF(Data!E170&lt;0,0-Data!E170,0),1)</f>
        <v>0</v>
      </c>
      <c r="E170" s="3">
        <f>ROUND(IF(Data!E170&gt;5,Data!E170-5,0),1)</f>
        <v>7.6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4">
        <f t="shared" si="6"/>
        <v>38882</v>
      </c>
      <c r="B171" s="1">
        <v>165</v>
      </c>
      <c r="C171" s="3">
        <v>200606</v>
      </c>
      <c r="D171" s="3">
        <f>ROUND(IF(Data!E171&lt;0,0-Data!E171,0),1)</f>
        <v>0</v>
      </c>
      <c r="E171" s="3">
        <f>ROUND(IF(Data!E171&gt;5,Data!E171-5,0),1)</f>
        <v>3.5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4">
        <f t="shared" si="6"/>
        <v>38883</v>
      </c>
      <c r="B172" s="1">
        <v>166</v>
      </c>
      <c r="C172" s="3">
        <v>200606</v>
      </c>
      <c r="D172" s="3">
        <f>ROUND(IF(Data!E172&lt;0,0-Data!E172,0),1)</f>
        <v>0</v>
      </c>
      <c r="E172" s="3">
        <f>ROUND(IF(Data!E172&gt;5,Data!E172-5,0),1)</f>
        <v>2.2000000000000002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4">
        <f t="shared" si="6"/>
        <v>38884</v>
      </c>
      <c r="B173" s="1">
        <v>167</v>
      </c>
      <c r="C173" s="3">
        <v>200606</v>
      </c>
      <c r="D173" s="3">
        <f>ROUND(IF(Data!E173&lt;0,0-Data!E173,0),1)</f>
        <v>0</v>
      </c>
      <c r="E173" s="3">
        <f>ROUND(IF(Data!E173&gt;5,Data!E173-5,0),1)</f>
        <v>2.4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4">
        <f t="shared" si="6"/>
        <v>38885</v>
      </c>
      <c r="B174" s="1">
        <v>168</v>
      </c>
      <c r="C174" s="3">
        <v>200606</v>
      </c>
      <c r="D174" s="3">
        <f>ROUND(IF(Data!E174&lt;0,0-Data!E174,0),1)</f>
        <v>0</v>
      </c>
      <c r="E174" s="3">
        <f>ROUND(IF(Data!E174&gt;5,Data!E174-5,0),1)</f>
        <v>1.1000000000000001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4">
        <f t="shared" si="6"/>
        <v>38886</v>
      </c>
      <c r="B175" s="1">
        <v>169</v>
      </c>
      <c r="C175" s="3">
        <v>200606</v>
      </c>
      <c r="D175" s="3">
        <f>ROUND(IF(Data!E175&lt;0,0-Data!E175,0),1)</f>
        <v>0</v>
      </c>
      <c r="E175" s="3">
        <f>ROUND(IF(Data!E175&gt;5,Data!E175-5,0),1)</f>
        <v>1.9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4">
        <f t="shared" si="6"/>
        <v>38887</v>
      </c>
      <c r="B176" s="1">
        <v>170</v>
      </c>
      <c r="C176" s="3">
        <v>200606</v>
      </c>
      <c r="D176" s="3">
        <f>ROUND(IF(Data!E176&lt;0,0-Data!E176,0),1)</f>
        <v>0</v>
      </c>
      <c r="E176" s="3">
        <f>ROUND(IF(Data!E176&gt;5,Data!E176-5,0),1)</f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4">
        <f t="shared" si="6"/>
        <v>38888</v>
      </c>
      <c r="B177" s="1">
        <v>171</v>
      </c>
      <c r="C177" s="3">
        <v>200606</v>
      </c>
      <c r="D177" s="3">
        <f>ROUND(IF(Data!E177&lt;0,0-Data!E177,0),1)</f>
        <v>0</v>
      </c>
      <c r="E177" s="3">
        <f>ROUND(IF(Data!E177&gt;5,Data!E177-5,0),1)</f>
        <v>1.2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4">
        <f t="shared" si="6"/>
        <v>38889</v>
      </c>
      <c r="B178" s="1">
        <v>172</v>
      </c>
      <c r="C178" s="3">
        <v>200606</v>
      </c>
      <c r="D178" s="3">
        <f>ROUND(IF(Data!E178&lt;0,0-Data!E178,0),1)</f>
        <v>0</v>
      </c>
      <c r="E178" s="3">
        <f>ROUND(IF(Data!E178&gt;5,Data!E178-5,0),1)</f>
        <v>1.8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4">
        <f t="shared" si="6"/>
        <v>38890</v>
      </c>
      <c r="B179" s="1">
        <v>173</v>
      </c>
      <c r="C179" s="3">
        <v>200606</v>
      </c>
      <c r="D179" s="3">
        <f>ROUND(IF(Data!E179&lt;0,0-Data!E179,0),1)</f>
        <v>0</v>
      </c>
      <c r="E179" s="3">
        <f>ROUND(IF(Data!E179&gt;5,Data!E179-5,0),1)</f>
        <v>3.8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4">
        <f t="shared" si="6"/>
        <v>38891</v>
      </c>
      <c r="B180" s="1">
        <v>174</v>
      </c>
      <c r="C180" s="3">
        <v>200606</v>
      </c>
      <c r="D180" s="3">
        <f>ROUND(IF(Data!E180&lt;0,0-Data!E180,0),1)</f>
        <v>0</v>
      </c>
      <c r="E180" s="3">
        <f>ROUND(IF(Data!E180&gt;5,Data!E180-5,0),1)</f>
        <v>4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4">
        <f t="shared" si="6"/>
        <v>38892</v>
      </c>
      <c r="B181" s="1">
        <v>175</v>
      </c>
      <c r="C181" s="3">
        <v>200606</v>
      </c>
      <c r="D181" s="3">
        <f>ROUND(IF(Data!E181&lt;0,0-Data!E181,0),1)</f>
        <v>0</v>
      </c>
      <c r="E181" s="3">
        <f>ROUND(IF(Data!E181&gt;5,Data!E181-5,0),1)</f>
        <v>7.3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4">
        <f t="shared" si="6"/>
        <v>38893</v>
      </c>
      <c r="B182" s="1">
        <v>176</v>
      </c>
      <c r="C182" s="3">
        <v>200606</v>
      </c>
      <c r="D182" s="3">
        <f>ROUND(IF(Data!E182&lt;0,0-Data!E182,0),1)</f>
        <v>0</v>
      </c>
      <c r="E182" s="3">
        <f>ROUND(IF(Data!E182&gt;5,Data!E182-5,0),1)</f>
        <v>10.3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4">
        <f t="shared" si="6"/>
        <v>38894</v>
      </c>
      <c r="B183" s="1">
        <v>177</v>
      </c>
      <c r="C183" s="3">
        <v>200606</v>
      </c>
      <c r="D183" s="3">
        <f>ROUND(IF(Data!E183&lt;0,0-Data!E183,0),1)</f>
        <v>0</v>
      </c>
      <c r="E183" s="3">
        <f>ROUND(IF(Data!E183&gt;5,Data!E183-5,0),1)</f>
        <v>12.2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4">
        <f t="shared" si="6"/>
        <v>38895</v>
      </c>
      <c r="B184" s="1">
        <v>178</v>
      </c>
      <c r="C184" s="3">
        <v>200606</v>
      </c>
      <c r="D184" s="3">
        <f>ROUND(IF(Data!E184&lt;0,0-Data!E184,0),1)</f>
        <v>0</v>
      </c>
      <c r="E184" s="3">
        <f>ROUND(IF(Data!E184&gt;5,Data!E184-5,0),1)</f>
        <v>13.8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4">
        <f t="shared" si="6"/>
        <v>38896</v>
      </c>
      <c r="B185" s="1">
        <v>179</v>
      </c>
      <c r="C185" s="3">
        <v>200606</v>
      </c>
      <c r="D185" s="3">
        <f>ROUND(IF(Data!E185&lt;0,0-Data!E185,0),1)</f>
        <v>0</v>
      </c>
      <c r="E185" s="3">
        <f>ROUND(IF(Data!E185&gt;5,Data!E185-5,0),1)</f>
        <v>9.4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4">
        <f t="shared" si="6"/>
        <v>38897</v>
      </c>
      <c r="B186" s="1">
        <v>180</v>
      </c>
      <c r="C186" s="3">
        <v>200606</v>
      </c>
      <c r="D186" s="3">
        <f>ROUND(IF(Data!E186&lt;0,0-Data!E186,0),1)</f>
        <v>0</v>
      </c>
      <c r="E186" s="3">
        <f>ROUND(IF(Data!E186&gt;5,Data!E186-5,0),1)</f>
        <v>7.3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4">
        <f t="shared" si="6"/>
        <v>38898</v>
      </c>
      <c r="B187" s="1">
        <v>181</v>
      </c>
      <c r="C187" s="3">
        <v>200606</v>
      </c>
      <c r="D187" s="3">
        <f>ROUND(IF(Data!E187&lt;0,0-Data!E187,0),1)</f>
        <v>0</v>
      </c>
      <c r="E187" s="3">
        <f>ROUND(IF(Data!E187&gt;5,Data!E187-5,0),1)</f>
        <v>9.3000000000000007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4">
        <f t="shared" si="6"/>
        <v>38899</v>
      </c>
      <c r="B188" s="1">
        <v>182</v>
      </c>
      <c r="C188" s="3">
        <v>200607</v>
      </c>
      <c r="D188" s="3">
        <f>ROUND(IF(Data!E188&lt;0,0-Data!E188,0),1)</f>
        <v>0</v>
      </c>
      <c r="E188" s="3">
        <f>ROUND(IF(Data!E188&gt;5,Data!E188-5,0),1)</f>
        <v>9.6999999999999993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4">
        <f t="shared" si="6"/>
        <v>38900</v>
      </c>
      <c r="B189" s="1">
        <v>183</v>
      </c>
      <c r="C189" s="3">
        <v>200607</v>
      </c>
      <c r="D189" s="3">
        <f>ROUND(IF(Data!E189&lt;0,0-Data!E189,0),1)</f>
        <v>0</v>
      </c>
      <c r="E189" s="3">
        <f>ROUND(IF(Data!E189&gt;5,Data!E189-5,0),1)</f>
        <v>10.9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4">
        <f t="shared" si="6"/>
        <v>38901</v>
      </c>
      <c r="B190" s="1">
        <v>184</v>
      </c>
      <c r="C190" s="3">
        <v>200607</v>
      </c>
      <c r="D190" s="3">
        <f>ROUND(IF(Data!E190&lt;0,0-Data!E190,0),1)</f>
        <v>0</v>
      </c>
      <c r="E190" s="3">
        <f>ROUND(IF(Data!E190&gt;5,Data!E190-5,0),1)</f>
        <v>12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4">
        <f t="shared" si="6"/>
        <v>38902</v>
      </c>
      <c r="B191" s="1">
        <v>185</v>
      </c>
      <c r="C191" s="3">
        <v>200607</v>
      </c>
      <c r="D191" s="3">
        <f>ROUND(IF(Data!E191&lt;0,0-Data!E191,0),1)</f>
        <v>0</v>
      </c>
      <c r="E191" s="3">
        <f>ROUND(IF(Data!E191&gt;5,Data!E191-5,0),1)</f>
        <v>11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4">
        <f t="shared" si="6"/>
        <v>38903</v>
      </c>
      <c r="B192" s="1">
        <v>186</v>
      </c>
      <c r="C192" s="3">
        <v>200607</v>
      </c>
      <c r="D192" s="3">
        <f>ROUND(IF(Data!E192&lt;0,0-Data!E192,0),1)</f>
        <v>0</v>
      </c>
      <c r="E192" s="3">
        <f>ROUND(IF(Data!E192&gt;5,Data!E192-5,0),1)</f>
        <v>10.1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4">
        <f t="shared" si="6"/>
        <v>38904</v>
      </c>
      <c r="B193" s="1">
        <v>187</v>
      </c>
      <c r="C193" s="3">
        <v>200607</v>
      </c>
      <c r="D193" s="3">
        <f>ROUND(IF(Data!E193&lt;0,0-Data!E193,0),1)</f>
        <v>0</v>
      </c>
      <c r="E193" s="3">
        <f>ROUND(IF(Data!E193&gt;5,Data!E193-5,0),1)</f>
        <v>7.3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4">
        <f t="shared" si="6"/>
        <v>38905</v>
      </c>
      <c r="B194" s="1">
        <v>188</v>
      </c>
      <c r="C194" s="3">
        <v>200607</v>
      </c>
      <c r="D194" s="3">
        <f>ROUND(IF(Data!E194&lt;0,0-Data!E194,0),1)</f>
        <v>0</v>
      </c>
      <c r="E194" s="3">
        <f>ROUND(IF(Data!E194&gt;5,Data!E194-5,0),1)</f>
        <v>5.9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4">
        <f t="shared" si="6"/>
        <v>38906</v>
      </c>
      <c r="B195" s="1">
        <v>189</v>
      </c>
      <c r="C195" s="3">
        <v>200607</v>
      </c>
      <c r="D195" s="3">
        <f>ROUND(IF(Data!E195&lt;0,0-Data!E195,0),1)</f>
        <v>0</v>
      </c>
      <c r="E195" s="3">
        <f>ROUND(IF(Data!E195&gt;5,Data!E195-5,0),1)</f>
        <v>9.4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4">
        <f t="shared" si="6"/>
        <v>38907</v>
      </c>
      <c r="B196" s="1">
        <v>190</v>
      </c>
      <c r="C196" s="3">
        <v>200607</v>
      </c>
      <c r="D196" s="3">
        <f>ROUND(IF(Data!E196&lt;0,0-Data!E196,0),1)</f>
        <v>0</v>
      </c>
      <c r="E196" s="3">
        <f>ROUND(IF(Data!E196&gt;5,Data!E196-5,0),1)</f>
        <v>9.5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4">
        <f t="shared" si="6"/>
        <v>38908</v>
      </c>
      <c r="B197" s="1">
        <v>191</v>
      </c>
      <c r="C197" s="3">
        <v>200607</v>
      </c>
      <c r="D197" s="3">
        <f>ROUND(IF(Data!E197&lt;0,0-Data!E197,0),1)</f>
        <v>0</v>
      </c>
      <c r="E197" s="3">
        <f>ROUND(IF(Data!E197&gt;5,Data!E197-5,0),1)</f>
        <v>6.7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4">
        <f t="shared" si="6"/>
        <v>38909</v>
      </c>
      <c r="B198" s="1">
        <v>192</v>
      </c>
      <c r="C198" s="3">
        <v>200607</v>
      </c>
      <c r="D198" s="3">
        <f>ROUND(IF(Data!E198&lt;0,0-Data!E198,0),1)</f>
        <v>0</v>
      </c>
      <c r="E198" s="3">
        <f>ROUND(IF(Data!E198&gt;5,Data!E198-5,0),1)</f>
        <v>5.4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4">
        <f t="shared" si="6"/>
        <v>38910</v>
      </c>
      <c r="B199" s="1">
        <v>193</v>
      </c>
      <c r="C199" s="3">
        <v>200607</v>
      </c>
      <c r="D199" s="3">
        <f>ROUND(IF(Data!E199&lt;0,0-Data!E199,0),1)</f>
        <v>0</v>
      </c>
      <c r="E199" s="3">
        <f>ROUND(IF(Data!E199&gt;5,Data!E199-5,0),1)</f>
        <v>5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4">
        <f t="shared" si="6"/>
        <v>38911</v>
      </c>
      <c r="B200" s="1">
        <v>194</v>
      </c>
      <c r="C200" s="3">
        <v>200607</v>
      </c>
      <c r="D200" s="3">
        <f>ROUND(IF(Data!E200&lt;0,0-Data!E200,0),1)</f>
        <v>0</v>
      </c>
      <c r="E200" s="3">
        <f>ROUND(IF(Data!E200&gt;5,Data!E200-5,0),1)</f>
        <v>4.3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4">
        <f t="shared" ref="A201:A264" si="7">A200+1</f>
        <v>38912</v>
      </c>
      <c r="B201" s="1">
        <v>195</v>
      </c>
      <c r="C201" s="3">
        <v>200607</v>
      </c>
      <c r="D201" s="3">
        <f>ROUND(IF(Data!E201&lt;0,0-Data!E201,0),1)</f>
        <v>0</v>
      </c>
      <c r="E201" s="3">
        <f>ROUND(IF(Data!E201&gt;5,Data!E201-5,0),1)</f>
        <v>5.3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4">
        <f t="shared" si="7"/>
        <v>38913</v>
      </c>
      <c r="B202" s="1">
        <v>196</v>
      </c>
      <c r="C202" s="3">
        <v>200607</v>
      </c>
      <c r="D202" s="3">
        <f>ROUND(IF(Data!E202&lt;0,0-Data!E202,0),1)</f>
        <v>0</v>
      </c>
      <c r="E202" s="3">
        <f>ROUND(IF(Data!E202&gt;5,Data!E202-5,0),1)</f>
        <v>5.4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4">
        <f t="shared" si="7"/>
        <v>38914</v>
      </c>
      <c r="B203" s="1">
        <v>197</v>
      </c>
      <c r="C203" s="3">
        <v>200607</v>
      </c>
      <c r="D203" s="3">
        <f>ROUND(IF(Data!E203&lt;0,0-Data!E203,0),1)</f>
        <v>0</v>
      </c>
      <c r="E203" s="3">
        <f>ROUND(IF(Data!E203&gt;5,Data!E203-5,0),1)</f>
        <v>5.8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4">
        <f t="shared" si="7"/>
        <v>38915</v>
      </c>
      <c r="B204" s="1">
        <v>198</v>
      </c>
      <c r="C204" s="3">
        <v>200607</v>
      </c>
      <c r="D204" s="3">
        <f>ROUND(IF(Data!E204&lt;0,0-Data!E204,0),1)</f>
        <v>0</v>
      </c>
      <c r="E204" s="3">
        <f>ROUND(IF(Data!E204&gt;5,Data!E204-5,0),1)</f>
        <v>6.6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4">
        <f t="shared" si="7"/>
        <v>38916</v>
      </c>
      <c r="B205" s="1">
        <v>199</v>
      </c>
      <c r="C205" s="3">
        <v>200607</v>
      </c>
      <c r="D205" s="3">
        <f>ROUND(IF(Data!E205&lt;0,0-Data!E205,0),1)</f>
        <v>0</v>
      </c>
      <c r="E205" s="3">
        <f>ROUND(IF(Data!E205&gt;5,Data!E205-5,0),1)</f>
        <v>4.5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4">
        <f t="shared" si="7"/>
        <v>38917</v>
      </c>
      <c r="B206" s="1">
        <v>200</v>
      </c>
      <c r="C206" s="3">
        <v>200607</v>
      </c>
      <c r="D206" s="3">
        <f>ROUND(IF(Data!E206&lt;0,0-Data!E206,0),1)</f>
        <v>0</v>
      </c>
      <c r="E206" s="3">
        <f>ROUND(IF(Data!E206&gt;5,Data!E206-5,0),1)</f>
        <v>5.9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4">
        <f t="shared" si="7"/>
        <v>38918</v>
      </c>
      <c r="B207" s="1">
        <v>201</v>
      </c>
      <c r="C207" s="3">
        <v>200607</v>
      </c>
      <c r="D207" s="3">
        <f>ROUND(IF(Data!E207&lt;0,0-Data!E207,0),1)</f>
        <v>0</v>
      </c>
      <c r="E207" s="3">
        <f>ROUND(IF(Data!E207&gt;5,Data!E207-5,0),1)</f>
        <v>8.5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4">
        <f t="shared" si="7"/>
        <v>38919</v>
      </c>
      <c r="B208" s="1">
        <v>202</v>
      </c>
      <c r="C208" s="3">
        <v>200607</v>
      </c>
      <c r="D208" s="3">
        <f>ROUND(IF(Data!E208&lt;0,0-Data!E208,0),1)</f>
        <v>0</v>
      </c>
      <c r="E208" s="3">
        <f>ROUND(IF(Data!E208&gt;5,Data!E208-5,0),1)</f>
        <v>12.9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4">
        <f t="shared" si="7"/>
        <v>38920</v>
      </c>
      <c r="B209" s="1">
        <v>203</v>
      </c>
      <c r="C209" s="3">
        <v>200607</v>
      </c>
      <c r="D209" s="3">
        <f>ROUND(IF(Data!E209&lt;0,0-Data!E209,0),1)</f>
        <v>0</v>
      </c>
      <c r="E209" s="3">
        <f>ROUND(IF(Data!E209&gt;5,Data!E209-5,0),1)</f>
        <v>14.5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4">
        <f t="shared" si="7"/>
        <v>38921</v>
      </c>
      <c r="B210" s="1">
        <v>204</v>
      </c>
      <c r="C210" s="3">
        <v>200607</v>
      </c>
      <c r="D210" s="3">
        <f>ROUND(IF(Data!E210&lt;0,0-Data!E210,0),1)</f>
        <v>0</v>
      </c>
      <c r="E210" s="3">
        <f>ROUND(IF(Data!E210&gt;5,Data!E210-5,0),1)</f>
        <v>14.7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4">
        <f t="shared" si="7"/>
        <v>38922</v>
      </c>
      <c r="B211" s="1">
        <v>205</v>
      </c>
      <c r="C211" s="3">
        <v>200607</v>
      </c>
      <c r="D211" s="3">
        <f>ROUND(IF(Data!E211&lt;0,0-Data!E211,0),1)</f>
        <v>0</v>
      </c>
      <c r="E211" s="3">
        <f>ROUND(IF(Data!E211&gt;5,Data!E211-5,0),1)</f>
        <v>12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4">
        <f t="shared" si="7"/>
        <v>38923</v>
      </c>
      <c r="B212" s="1">
        <v>206</v>
      </c>
      <c r="C212" s="3">
        <v>200607</v>
      </c>
      <c r="D212" s="3">
        <f>ROUND(IF(Data!E212&lt;0,0-Data!E212,0),1)</f>
        <v>0</v>
      </c>
      <c r="E212" s="3">
        <f>ROUND(IF(Data!E212&gt;5,Data!E212-5,0),1)</f>
        <v>11.5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4">
        <f t="shared" si="7"/>
        <v>38924</v>
      </c>
      <c r="B213" s="1">
        <v>207</v>
      </c>
      <c r="C213" s="3">
        <v>200607</v>
      </c>
      <c r="D213" s="3">
        <f>ROUND(IF(Data!E213&lt;0,0-Data!E213,0),1)</f>
        <v>0</v>
      </c>
      <c r="E213" s="3">
        <f>ROUND(IF(Data!E213&gt;5,Data!E213-5,0),1)</f>
        <v>12.1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4">
        <f t="shared" si="7"/>
        <v>38925</v>
      </c>
      <c r="B214" s="1">
        <v>208</v>
      </c>
      <c r="C214" s="3">
        <v>200607</v>
      </c>
      <c r="D214" s="3">
        <f>ROUND(IF(Data!E214&lt;0,0-Data!E214,0),1)</f>
        <v>0</v>
      </c>
      <c r="E214" s="3">
        <f>ROUND(IF(Data!E214&gt;5,Data!E214-5,0),1)</f>
        <v>11.3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4">
        <f t="shared" si="7"/>
        <v>38926</v>
      </c>
      <c r="B215" s="1">
        <v>209</v>
      </c>
      <c r="C215" s="3">
        <v>200607</v>
      </c>
      <c r="D215" s="3">
        <f>ROUND(IF(Data!E215&lt;0,0-Data!E215,0),1)</f>
        <v>0</v>
      </c>
      <c r="E215" s="3">
        <f>ROUND(IF(Data!E215&gt;5,Data!E215-5,0),1)</f>
        <v>8.5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4">
        <f t="shared" si="7"/>
        <v>38927</v>
      </c>
      <c r="B216" s="1">
        <v>210</v>
      </c>
      <c r="C216" s="3">
        <v>200607</v>
      </c>
      <c r="D216" s="3">
        <f>ROUND(IF(Data!E216&lt;0,0-Data!E216,0),1)</f>
        <v>0</v>
      </c>
      <c r="E216" s="3">
        <f>ROUND(IF(Data!E216&gt;5,Data!E216-5,0),1)</f>
        <v>6.5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4">
        <f t="shared" si="7"/>
        <v>38928</v>
      </c>
      <c r="B217" s="1">
        <v>211</v>
      </c>
      <c r="C217" s="3">
        <v>200607</v>
      </c>
      <c r="D217" s="3">
        <f>ROUND(IF(Data!E217&lt;0,0-Data!E217,0),1)</f>
        <v>0</v>
      </c>
      <c r="E217" s="3">
        <f>ROUND(IF(Data!E217&gt;5,Data!E217-5,0),1)</f>
        <v>0.2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4">
        <f t="shared" si="7"/>
        <v>38929</v>
      </c>
      <c r="B218" s="1">
        <v>212</v>
      </c>
      <c r="C218" s="3">
        <v>200607</v>
      </c>
      <c r="D218" s="3">
        <f>ROUND(IF(Data!E218&lt;0,0-Data!E218,0),1)</f>
        <v>0</v>
      </c>
      <c r="E218" s="3">
        <f>ROUND(IF(Data!E218&gt;5,Data!E218-5,0),1)</f>
        <v>1.3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4">
        <f t="shared" si="7"/>
        <v>38930</v>
      </c>
      <c r="B219" s="1">
        <v>213</v>
      </c>
      <c r="C219" s="3">
        <v>200608</v>
      </c>
      <c r="D219" s="3">
        <f>ROUND(IF(Data!E219&lt;0,0-Data!E219,0),1)</f>
        <v>0</v>
      </c>
      <c r="E219" s="3">
        <f>ROUND(IF(Data!E219&gt;5,Data!E219-5,0),1)</f>
        <v>4.2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4">
        <f t="shared" si="7"/>
        <v>38931</v>
      </c>
      <c r="B220" s="1">
        <v>214</v>
      </c>
      <c r="C220" s="3">
        <v>200608</v>
      </c>
      <c r="D220" s="3">
        <f>ROUND(IF(Data!E220&lt;0,0-Data!E220,0),1)</f>
        <v>0</v>
      </c>
      <c r="E220" s="3">
        <f>ROUND(IF(Data!E220&gt;5,Data!E220-5,0),1)</f>
        <v>3.9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4">
        <f t="shared" si="7"/>
        <v>38932</v>
      </c>
      <c r="B221" s="1">
        <v>215</v>
      </c>
      <c r="C221" s="3">
        <v>200608</v>
      </c>
      <c r="D221" s="3">
        <f>ROUND(IF(Data!E221&lt;0,0-Data!E221,0),1)</f>
        <v>0</v>
      </c>
      <c r="E221" s="3">
        <f>ROUND(IF(Data!E221&gt;5,Data!E221-5,0),1)</f>
        <v>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4">
        <f t="shared" si="7"/>
        <v>38933</v>
      </c>
      <c r="B222" s="1">
        <v>216</v>
      </c>
      <c r="C222" s="3">
        <v>200608</v>
      </c>
      <c r="D222" s="3">
        <f>ROUND(IF(Data!E222&lt;0,0-Data!E222,0),1)</f>
        <v>0</v>
      </c>
      <c r="E222" s="3">
        <f>ROUND(IF(Data!E222&gt;5,Data!E222-5,0),1)</f>
        <v>1.8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4">
        <f t="shared" si="7"/>
        <v>38934</v>
      </c>
      <c r="B223" s="1">
        <v>217</v>
      </c>
      <c r="C223" s="3">
        <v>200608</v>
      </c>
      <c r="D223" s="3">
        <f>ROUND(IF(Data!E223&lt;0,0-Data!E223,0),1)</f>
        <v>0</v>
      </c>
      <c r="E223" s="3">
        <f>ROUND(IF(Data!E223&gt;5,Data!E223-5,0),1)</f>
        <v>3.3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4">
        <f t="shared" si="7"/>
        <v>38935</v>
      </c>
      <c r="B224" s="1">
        <v>218</v>
      </c>
      <c r="C224" s="3">
        <v>200608</v>
      </c>
      <c r="D224" s="3">
        <f>ROUND(IF(Data!E224&lt;0,0-Data!E224,0),1)</f>
        <v>0</v>
      </c>
      <c r="E224" s="3">
        <f>ROUND(IF(Data!E224&gt;5,Data!E224-5,0),1)</f>
        <v>7.7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4">
        <f t="shared" si="7"/>
        <v>38936</v>
      </c>
      <c r="B225" s="1">
        <v>219</v>
      </c>
      <c r="C225" s="3">
        <v>200608</v>
      </c>
      <c r="D225" s="3">
        <f>ROUND(IF(Data!E225&lt;0,0-Data!E225,0),1)</f>
        <v>0</v>
      </c>
      <c r="E225" s="3">
        <f>ROUND(IF(Data!E225&gt;5,Data!E225-5,0),1)</f>
        <v>9.5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4">
        <f t="shared" si="7"/>
        <v>38937</v>
      </c>
      <c r="B226" s="1">
        <v>220</v>
      </c>
      <c r="C226" s="3">
        <v>200608</v>
      </c>
      <c r="D226" s="3">
        <f>ROUND(IF(Data!E226&lt;0,0-Data!E226,0),1)</f>
        <v>0</v>
      </c>
      <c r="E226" s="3">
        <f>ROUND(IF(Data!E226&gt;5,Data!E226-5,0),1)</f>
        <v>8.9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4">
        <f t="shared" si="7"/>
        <v>38938</v>
      </c>
      <c r="B227" s="1">
        <v>221</v>
      </c>
      <c r="C227" s="3">
        <v>200608</v>
      </c>
      <c r="D227" s="3">
        <f>ROUND(IF(Data!E227&lt;0,0-Data!E227,0),1)</f>
        <v>0</v>
      </c>
      <c r="E227" s="3">
        <f>ROUND(IF(Data!E227&gt;5,Data!E227-5,0),1)</f>
        <v>5.4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4">
        <f t="shared" si="7"/>
        <v>38939</v>
      </c>
      <c r="B228" s="1">
        <v>222</v>
      </c>
      <c r="C228" s="3">
        <v>200608</v>
      </c>
      <c r="D228" s="3">
        <f>ROUND(IF(Data!E228&lt;0,0-Data!E228,0),1)</f>
        <v>0</v>
      </c>
      <c r="E228" s="3">
        <f>ROUND(IF(Data!E228&gt;5,Data!E228-5,0),1)</f>
        <v>4.4000000000000004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4">
        <f t="shared" si="7"/>
        <v>38940</v>
      </c>
      <c r="B229" s="1">
        <v>223</v>
      </c>
      <c r="C229" s="3">
        <v>200608</v>
      </c>
      <c r="D229" s="3">
        <f>ROUND(IF(Data!E229&lt;0,0-Data!E229,0),1)</f>
        <v>0</v>
      </c>
      <c r="E229" s="3">
        <f>ROUND(IF(Data!E229&gt;5,Data!E229-5,0),1)</f>
        <v>1.3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4">
        <f t="shared" si="7"/>
        <v>38941</v>
      </c>
      <c r="B230" s="1">
        <v>224</v>
      </c>
      <c r="C230" s="3">
        <v>200608</v>
      </c>
      <c r="D230" s="3">
        <f>ROUND(IF(Data!E230&lt;0,0-Data!E230,0),1)</f>
        <v>0</v>
      </c>
      <c r="E230" s="3">
        <f>ROUND(IF(Data!E230&gt;5,Data!E230-5,0),1)</f>
        <v>2.7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4">
        <f t="shared" si="7"/>
        <v>38942</v>
      </c>
      <c r="B231" s="1">
        <v>225</v>
      </c>
      <c r="C231" s="3">
        <v>200608</v>
      </c>
      <c r="D231" s="3">
        <f>ROUND(IF(Data!E231&lt;0,0-Data!E231,0),1)</f>
        <v>0</v>
      </c>
      <c r="E231" s="3">
        <f>ROUND(IF(Data!E231&gt;5,Data!E231-5,0),1)</f>
        <v>6.1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4">
        <f t="shared" si="7"/>
        <v>38943</v>
      </c>
      <c r="B232" s="1">
        <v>226</v>
      </c>
      <c r="C232" s="3">
        <v>200608</v>
      </c>
      <c r="D232" s="3">
        <f>ROUND(IF(Data!E232&lt;0,0-Data!E232,0),1)</f>
        <v>0</v>
      </c>
      <c r="E232" s="3">
        <f>ROUND(IF(Data!E232&gt;5,Data!E232-5,0),1)</f>
        <v>8.3000000000000007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4">
        <f t="shared" si="7"/>
        <v>38944</v>
      </c>
      <c r="B233" s="1">
        <v>227</v>
      </c>
      <c r="C233" s="3">
        <v>200608</v>
      </c>
      <c r="D233" s="3">
        <f>ROUND(IF(Data!E233&lt;0,0-Data!E233,0),1)</f>
        <v>0</v>
      </c>
      <c r="E233" s="3">
        <f>ROUND(IF(Data!E233&gt;5,Data!E233-5,0),1)</f>
        <v>5.4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4">
        <f t="shared" si="7"/>
        <v>38945</v>
      </c>
      <c r="B234" s="1">
        <v>228</v>
      </c>
      <c r="C234" s="3">
        <v>200608</v>
      </c>
      <c r="D234" s="3">
        <f>ROUND(IF(Data!E234&lt;0,0-Data!E234,0),1)</f>
        <v>0</v>
      </c>
      <c r="E234" s="3">
        <f>ROUND(IF(Data!E234&gt;5,Data!E234-5,0),1)</f>
        <v>4.5999999999999996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4">
        <f t="shared" si="7"/>
        <v>38946</v>
      </c>
      <c r="B235" s="1">
        <v>229</v>
      </c>
      <c r="C235" s="3">
        <v>200608</v>
      </c>
      <c r="D235" s="3">
        <f>ROUND(IF(Data!E235&lt;0,0-Data!E235,0),1)</f>
        <v>0</v>
      </c>
      <c r="E235" s="3">
        <f>ROUND(IF(Data!E235&gt;5,Data!E235-5,0),1)</f>
        <v>5.7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4">
        <f t="shared" si="7"/>
        <v>38947</v>
      </c>
      <c r="B236" s="1">
        <v>230</v>
      </c>
      <c r="C236" s="3">
        <v>200608</v>
      </c>
      <c r="D236" s="3">
        <f>ROUND(IF(Data!E236&lt;0,0-Data!E236,0),1)</f>
        <v>0</v>
      </c>
      <c r="E236" s="3">
        <f>ROUND(IF(Data!E236&gt;5,Data!E236-5,0),1)</f>
        <v>7.2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4">
        <f t="shared" si="7"/>
        <v>38948</v>
      </c>
      <c r="B237" s="1">
        <v>231</v>
      </c>
      <c r="C237" s="3">
        <v>200608</v>
      </c>
      <c r="D237" s="3">
        <f>ROUND(IF(Data!E237&lt;0,0-Data!E237,0),1)</f>
        <v>0</v>
      </c>
      <c r="E237" s="3">
        <f>ROUND(IF(Data!E237&gt;5,Data!E237-5,0),1)</f>
        <v>6.7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4">
        <f t="shared" si="7"/>
        <v>38949</v>
      </c>
      <c r="B238" s="1">
        <v>232</v>
      </c>
      <c r="C238" s="3">
        <v>200608</v>
      </c>
      <c r="D238" s="3">
        <f>ROUND(IF(Data!E238&lt;0,0-Data!E238,0),1)</f>
        <v>0</v>
      </c>
      <c r="E238" s="3">
        <f>ROUND(IF(Data!E238&gt;5,Data!E238-5,0),1)</f>
        <v>7.5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4">
        <f t="shared" si="7"/>
        <v>38950</v>
      </c>
      <c r="B239" s="1">
        <v>233</v>
      </c>
      <c r="C239" s="3">
        <v>200608</v>
      </c>
      <c r="D239" s="3">
        <f>ROUND(IF(Data!E239&lt;0,0-Data!E239,0),1)</f>
        <v>0</v>
      </c>
      <c r="E239" s="3">
        <f>ROUND(IF(Data!E239&gt;5,Data!E239-5,0),1)</f>
        <v>9.6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4">
        <f t="shared" si="7"/>
        <v>38951</v>
      </c>
      <c r="B240" s="1">
        <v>234</v>
      </c>
      <c r="C240" s="3">
        <v>200608</v>
      </c>
      <c r="D240" s="3">
        <f>ROUND(IF(Data!E240&lt;0,0-Data!E240,0),1)</f>
        <v>0</v>
      </c>
      <c r="E240" s="3">
        <f>ROUND(IF(Data!E240&gt;5,Data!E240-5,0),1)</f>
        <v>7.3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4">
        <f t="shared" si="7"/>
        <v>38952</v>
      </c>
      <c r="B241" s="1">
        <v>235</v>
      </c>
      <c r="C241" s="3">
        <v>200608</v>
      </c>
      <c r="D241" s="3">
        <f>ROUND(IF(Data!E241&lt;0,0-Data!E241,0),1)</f>
        <v>0</v>
      </c>
      <c r="E241" s="3">
        <f>ROUND(IF(Data!E241&gt;5,Data!E241-5,0),1)</f>
        <v>3.5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4">
        <f t="shared" si="7"/>
        <v>38953</v>
      </c>
      <c r="B242" s="1">
        <v>236</v>
      </c>
      <c r="C242" s="3">
        <v>200608</v>
      </c>
      <c r="D242" s="3">
        <f>ROUND(IF(Data!E242&lt;0,0-Data!E242,0),1)</f>
        <v>0</v>
      </c>
      <c r="E242" s="3">
        <f>ROUND(IF(Data!E242&gt;5,Data!E242-5,0),1)</f>
        <v>1.8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4">
        <f t="shared" si="7"/>
        <v>38954</v>
      </c>
      <c r="B243" s="1">
        <v>237</v>
      </c>
      <c r="C243" s="3">
        <v>200608</v>
      </c>
      <c r="D243" s="3">
        <f>ROUND(IF(Data!E243&lt;0,0-Data!E243,0),1)</f>
        <v>0</v>
      </c>
      <c r="E243" s="3">
        <f>ROUND(IF(Data!E243&gt;5,Data!E243-5,0),1)</f>
        <v>3.4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4">
        <f t="shared" si="7"/>
        <v>38955</v>
      </c>
      <c r="B244" s="1">
        <v>238</v>
      </c>
      <c r="C244" s="3">
        <v>200608</v>
      </c>
      <c r="D244" s="3">
        <f>ROUND(IF(Data!E244&lt;0,0-Data!E244,0),1)</f>
        <v>0</v>
      </c>
      <c r="E244" s="3">
        <f>ROUND(IF(Data!E244&gt;5,Data!E244-5,0),1)</f>
        <v>6.2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4">
        <f t="shared" si="7"/>
        <v>38956</v>
      </c>
      <c r="B245" s="1">
        <v>239</v>
      </c>
      <c r="C245" s="3">
        <v>200608</v>
      </c>
      <c r="D245" s="3">
        <f>ROUND(IF(Data!E245&lt;0,0-Data!E245,0),1)</f>
        <v>0</v>
      </c>
      <c r="E245" s="3">
        <f>ROUND(IF(Data!E245&gt;5,Data!E245-5,0),1)</f>
        <v>7.9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4">
        <f t="shared" si="7"/>
        <v>38957</v>
      </c>
      <c r="B246" s="1">
        <v>240</v>
      </c>
      <c r="C246" s="3">
        <v>200608</v>
      </c>
      <c r="D246" s="3">
        <f>ROUND(IF(Data!E246&lt;0,0-Data!E246,0),1)</f>
        <v>0</v>
      </c>
      <c r="E246" s="3">
        <f>ROUND(IF(Data!E246&gt;5,Data!E246-5,0),1)</f>
        <v>10.6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4">
        <f t="shared" si="7"/>
        <v>38958</v>
      </c>
      <c r="B247" s="1">
        <v>241</v>
      </c>
      <c r="C247" s="3">
        <v>200608</v>
      </c>
      <c r="D247" s="3">
        <f>ROUND(IF(Data!E247&lt;0,0-Data!E247,0),1)</f>
        <v>0</v>
      </c>
      <c r="E247" s="3">
        <f>ROUND(IF(Data!E247&gt;5,Data!E247-5,0),1)</f>
        <v>5.4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4">
        <f t="shared" si="7"/>
        <v>38959</v>
      </c>
      <c r="B248" s="1">
        <v>242</v>
      </c>
      <c r="C248" s="3">
        <v>200608</v>
      </c>
      <c r="D248" s="3">
        <f>ROUND(IF(Data!E248&lt;0,0-Data!E248,0),1)</f>
        <v>0</v>
      </c>
      <c r="E248" s="3">
        <f>ROUND(IF(Data!E248&gt;5,Data!E248-5,0),1)</f>
        <v>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4">
        <f t="shared" si="7"/>
        <v>38960</v>
      </c>
      <c r="B249" s="1">
        <v>243</v>
      </c>
      <c r="C249" s="3">
        <v>200608</v>
      </c>
      <c r="D249" s="3">
        <f>ROUND(IF(Data!E249&lt;0,0-Data!E249,0),1)</f>
        <v>0</v>
      </c>
      <c r="E249" s="3">
        <f>ROUND(IF(Data!E249&gt;5,Data!E249-5,0),1)</f>
        <v>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4">
        <f t="shared" si="7"/>
        <v>38961</v>
      </c>
      <c r="B250" s="1">
        <v>244</v>
      </c>
      <c r="C250" s="3">
        <v>200609</v>
      </c>
      <c r="D250" s="3">
        <f>ROUND(IF(Data!E250&lt;0,0-Data!E250,0),1)</f>
        <v>0</v>
      </c>
      <c r="E250" s="3">
        <f>ROUND(IF(Data!E250&gt;5,Data!E250-5,0),1)</f>
        <v>2.5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4">
        <f t="shared" si="7"/>
        <v>38962</v>
      </c>
      <c r="B251" s="1">
        <v>245</v>
      </c>
      <c r="C251" s="3">
        <v>200609</v>
      </c>
      <c r="D251" s="3">
        <f>ROUND(IF(Data!E251&lt;0,0-Data!E251,0),1)</f>
        <v>0</v>
      </c>
      <c r="E251" s="3">
        <f>ROUND(IF(Data!E251&gt;5,Data!E251-5,0),1)</f>
        <v>6.9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4">
        <f t="shared" si="7"/>
        <v>38963</v>
      </c>
      <c r="B252" s="1">
        <v>246</v>
      </c>
      <c r="C252" s="3">
        <v>200609</v>
      </c>
      <c r="D252" s="3">
        <f>ROUND(IF(Data!E252&lt;0,0-Data!E252,0),1)</f>
        <v>0</v>
      </c>
      <c r="E252" s="3">
        <f>ROUND(IF(Data!E252&gt;5,Data!E252-5,0),1)</f>
        <v>8.8000000000000007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4">
        <f t="shared" si="7"/>
        <v>38964</v>
      </c>
      <c r="B253" s="1">
        <v>247</v>
      </c>
      <c r="C253" s="3">
        <v>200609</v>
      </c>
      <c r="D253" s="3">
        <f>ROUND(IF(Data!E253&lt;0,0-Data!E253,0),1)</f>
        <v>0</v>
      </c>
      <c r="E253" s="3">
        <f>ROUND(IF(Data!E253&gt;5,Data!E253-5,0),1)</f>
        <v>9.6999999999999993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4">
        <f t="shared" si="7"/>
        <v>38965</v>
      </c>
      <c r="B254" s="1">
        <v>248</v>
      </c>
      <c r="C254" s="3">
        <v>200609</v>
      </c>
      <c r="D254" s="3">
        <f>ROUND(IF(Data!E254&lt;0,0-Data!E254,0),1)</f>
        <v>0</v>
      </c>
      <c r="E254" s="3">
        <f>ROUND(IF(Data!E254&gt;5,Data!E254-5,0),1)</f>
        <v>8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4">
        <f t="shared" si="7"/>
        <v>38966</v>
      </c>
      <c r="B255" s="1">
        <v>249</v>
      </c>
      <c r="C255" s="3">
        <v>200609</v>
      </c>
      <c r="D255" s="3">
        <f>ROUND(IF(Data!E255&lt;0,0-Data!E255,0),1)</f>
        <v>0</v>
      </c>
      <c r="E255" s="3">
        <f>ROUND(IF(Data!E255&gt;5,Data!E255-5,0),1)</f>
        <v>7.6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4">
        <f t="shared" si="7"/>
        <v>38967</v>
      </c>
      <c r="B256" s="1">
        <v>250</v>
      </c>
      <c r="C256" s="3">
        <v>200609</v>
      </c>
      <c r="D256" s="3">
        <f>ROUND(IF(Data!E256&lt;0,0-Data!E256,0),1)</f>
        <v>0</v>
      </c>
      <c r="E256" s="3">
        <f>ROUND(IF(Data!E256&gt;5,Data!E256-5,0),1)</f>
        <v>7.8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4">
        <f t="shared" si="7"/>
        <v>38968</v>
      </c>
      <c r="B257" s="1">
        <v>251</v>
      </c>
      <c r="C257" s="3">
        <v>200609</v>
      </c>
      <c r="D257" s="3">
        <f>ROUND(IF(Data!E257&lt;0,0-Data!E257,0),1)</f>
        <v>0</v>
      </c>
      <c r="E257" s="3">
        <f>ROUND(IF(Data!E257&gt;5,Data!E257-5,0),1)</f>
        <v>9.6999999999999993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4">
        <f t="shared" si="7"/>
        <v>38969</v>
      </c>
      <c r="B258" s="1">
        <v>252</v>
      </c>
      <c r="C258" s="3">
        <v>200609</v>
      </c>
      <c r="D258" s="3">
        <f>ROUND(IF(Data!E258&lt;0,0-Data!E258,0),1)</f>
        <v>0</v>
      </c>
      <c r="E258" s="3">
        <f>ROUND(IF(Data!E258&gt;5,Data!E258-5,0),1)</f>
        <v>2.9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4">
        <f t="shared" si="7"/>
        <v>38970</v>
      </c>
      <c r="B259" s="1">
        <v>253</v>
      </c>
      <c r="C259" s="3">
        <v>200609</v>
      </c>
      <c r="D259" s="3">
        <f>ROUND(IF(Data!E259&lt;0,0-Data!E259,0),1)</f>
        <v>0</v>
      </c>
      <c r="E259" s="3">
        <f>ROUND(IF(Data!E259&gt;5,Data!E259-5,0),1)</f>
        <v>3.6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4">
        <f t="shared" si="7"/>
        <v>38971</v>
      </c>
      <c r="B260" s="1">
        <v>254</v>
      </c>
      <c r="C260" s="3">
        <v>200609</v>
      </c>
      <c r="D260" s="3">
        <f>ROUND(IF(Data!E260&lt;0,0-Data!E260,0),1)</f>
        <v>0</v>
      </c>
      <c r="E260" s="3">
        <f>ROUND(IF(Data!E260&gt;5,Data!E260-5,0),1)</f>
        <v>4.5999999999999996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4">
        <f t="shared" si="7"/>
        <v>38972</v>
      </c>
      <c r="B261" s="1">
        <v>255</v>
      </c>
      <c r="C261" s="3">
        <v>200609</v>
      </c>
      <c r="D261" s="3">
        <f>ROUND(IF(Data!E261&lt;0,0-Data!E261,0),1)</f>
        <v>0</v>
      </c>
      <c r="E261" s="3">
        <f>ROUND(IF(Data!E261&gt;5,Data!E261-5,0),1)</f>
        <v>4.5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4">
        <f t="shared" si="7"/>
        <v>38973</v>
      </c>
      <c r="B262" s="1">
        <v>256</v>
      </c>
      <c r="C262" s="3">
        <v>200609</v>
      </c>
      <c r="D262" s="3">
        <f>ROUND(IF(Data!E262&lt;0,0-Data!E262,0),1)</f>
        <v>0</v>
      </c>
      <c r="E262" s="3">
        <f>ROUND(IF(Data!E262&gt;5,Data!E262-5,0),1)</f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4">
        <f t="shared" si="7"/>
        <v>38974</v>
      </c>
      <c r="B263" s="1">
        <v>257</v>
      </c>
      <c r="C263" s="3">
        <v>200609</v>
      </c>
      <c r="D263" s="3">
        <f>ROUND(IF(Data!E263&lt;0,0-Data!E263,0),1)</f>
        <v>0</v>
      </c>
      <c r="E263" s="3">
        <f>ROUND(IF(Data!E263&gt;5,Data!E263-5,0),1)</f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4">
        <f t="shared" si="7"/>
        <v>38975</v>
      </c>
      <c r="B264" s="1">
        <v>258</v>
      </c>
      <c r="C264" s="3">
        <v>200609</v>
      </c>
      <c r="D264" s="3">
        <f>ROUND(IF(Data!E264&lt;0,0-Data!E264,0),1)</f>
        <v>0</v>
      </c>
      <c r="E264" s="3">
        <f>ROUND(IF(Data!E264&gt;5,Data!E264-5,0),1)</f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4">
        <f t="shared" ref="A265:A328" si="8">A264+1</f>
        <v>38976</v>
      </c>
      <c r="B265" s="1">
        <v>259</v>
      </c>
      <c r="C265" s="3">
        <v>200609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4">
        <f t="shared" si="8"/>
        <v>38977</v>
      </c>
      <c r="B266" s="1">
        <v>260</v>
      </c>
      <c r="C266" s="3">
        <v>200609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4">
        <f t="shared" si="8"/>
        <v>38978</v>
      </c>
      <c r="B267" s="1">
        <v>261</v>
      </c>
      <c r="C267" s="3">
        <v>200609</v>
      </c>
      <c r="D267" s="3">
        <f>ROUND(IF(Data!E267&lt;0,0-Data!E267,0),1)</f>
        <v>0</v>
      </c>
      <c r="E267" s="3">
        <f>ROUND(IF(Data!E267&gt;5,Data!E267-5,0),1)</f>
        <v>1.1000000000000001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4">
        <f t="shared" si="8"/>
        <v>38979</v>
      </c>
      <c r="B268" s="1">
        <v>262</v>
      </c>
      <c r="C268" s="3">
        <v>200609</v>
      </c>
      <c r="D268" s="3">
        <f>ROUND(IF(Data!E268&lt;0,0-Data!E268,0),1)</f>
        <v>0</v>
      </c>
      <c r="E268" s="3">
        <f>ROUND(IF(Data!E268&gt;5,Data!E268-5,0),1)</f>
        <v>0.2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4">
        <f t="shared" si="8"/>
        <v>38980</v>
      </c>
      <c r="B269" s="1">
        <v>263</v>
      </c>
      <c r="C269" s="3">
        <v>200609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4">
        <f t="shared" si="8"/>
        <v>38981</v>
      </c>
      <c r="B270" s="1">
        <v>264</v>
      </c>
      <c r="C270" s="3">
        <v>200609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4">
        <f t="shared" si="8"/>
        <v>38982</v>
      </c>
      <c r="B271" s="1">
        <v>265</v>
      </c>
      <c r="C271" s="3">
        <v>200609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4">
        <f t="shared" si="8"/>
        <v>38983</v>
      </c>
      <c r="B272" s="1">
        <v>266</v>
      </c>
      <c r="C272" s="3">
        <v>200609</v>
      </c>
      <c r="D272" s="3">
        <f>ROUND(IF(Data!E272&lt;0,0-Data!E272,0),1)</f>
        <v>0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4">
        <f t="shared" si="8"/>
        <v>38984</v>
      </c>
      <c r="B273" s="1">
        <v>267</v>
      </c>
      <c r="C273" s="3">
        <v>200609</v>
      </c>
      <c r="D273" s="3">
        <f>ROUND(IF(Data!E273&lt;0,0-Data!E273,0),1)</f>
        <v>0</v>
      </c>
      <c r="E273" s="3">
        <f>ROUND(IF(Data!E273&gt;5,Data!E273-5,0),1)</f>
        <v>1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4">
        <f t="shared" si="8"/>
        <v>38985</v>
      </c>
      <c r="B274" s="1">
        <v>268</v>
      </c>
      <c r="C274" s="3">
        <v>200609</v>
      </c>
      <c r="D274" s="3">
        <f>ROUND(IF(Data!E274&lt;0,0-Data!E274,0),1)</f>
        <v>0</v>
      </c>
      <c r="E274" s="3">
        <f>ROUND(IF(Data!E274&gt;5,Data!E274-5,0),1)</f>
        <v>2.4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4">
        <f t="shared" si="8"/>
        <v>38986</v>
      </c>
      <c r="B275" s="1">
        <v>269</v>
      </c>
      <c r="C275" s="3">
        <v>200609</v>
      </c>
      <c r="D275" s="3">
        <f>ROUND(IF(Data!E275&lt;0,0-Data!E275,0),1)</f>
        <v>0</v>
      </c>
      <c r="E275" s="3">
        <f>ROUND(IF(Data!E275&gt;5,Data!E275-5,0),1)</f>
        <v>2.8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4">
        <f t="shared" si="8"/>
        <v>38987</v>
      </c>
      <c r="B276" s="1">
        <v>270</v>
      </c>
      <c r="C276" s="3">
        <v>200609</v>
      </c>
      <c r="D276" s="3">
        <f>ROUND(IF(Data!E276&lt;0,0-Data!E276,0),1)</f>
        <v>0</v>
      </c>
      <c r="E276" s="3">
        <f>ROUND(IF(Data!E276&gt;5,Data!E276-5,0),1)</f>
        <v>2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4">
        <f t="shared" si="8"/>
        <v>38988</v>
      </c>
      <c r="B277" s="1">
        <v>271</v>
      </c>
      <c r="C277" s="3">
        <v>200609</v>
      </c>
      <c r="D277" s="3">
        <f>ROUND(IF(Data!E277&lt;0,0-Data!E277,0),1)</f>
        <v>0</v>
      </c>
      <c r="E277" s="3">
        <f>ROUND(IF(Data!E277&gt;5,Data!E277-5,0),1)</f>
        <v>3.4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4">
        <f t="shared" si="8"/>
        <v>38989</v>
      </c>
      <c r="B278" s="1">
        <v>272</v>
      </c>
      <c r="C278" s="3">
        <v>200609</v>
      </c>
      <c r="D278" s="3">
        <f>ROUND(IF(Data!E278&lt;0,0-Data!E278,0),1)</f>
        <v>0</v>
      </c>
      <c r="E278" s="3">
        <f>ROUND(IF(Data!E278&gt;5,Data!E278-5,0),1)</f>
        <v>4.7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4">
        <f t="shared" si="8"/>
        <v>38990</v>
      </c>
      <c r="B279" s="1">
        <v>273</v>
      </c>
      <c r="C279" s="3">
        <v>200609</v>
      </c>
      <c r="D279" s="3">
        <f>ROUND(IF(Data!E279&lt;0,0-Data!E279,0),1)</f>
        <v>0</v>
      </c>
      <c r="E279" s="3">
        <f>ROUND(IF(Data!E279&gt;5,Data!E279-5,0),1)</f>
        <v>1.6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4">
        <f t="shared" si="8"/>
        <v>38991</v>
      </c>
      <c r="B280" s="1">
        <v>274</v>
      </c>
      <c r="C280" s="3">
        <v>200610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4">
        <f t="shared" si="8"/>
        <v>38992</v>
      </c>
      <c r="B281" s="1">
        <v>275</v>
      </c>
      <c r="C281" s="3">
        <v>200610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4">
        <f t="shared" si="8"/>
        <v>38993</v>
      </c>
      <c r="B282" s="1">
        <v>276</v>
      </c>
      <c r="C282" s="3">
        <v>200610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4">
        <f t="shared" si="8"/>
        <v>38994</v>
      </c>
      <c r="B283" s="1">
        <v>277</v>
      </c>
      <c r="C283" s="3">
        <v>200610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4">
        <f t="shared" si="8"/>
        <v>38995</v>
      </c>
      <c r="B284" s="1">
        <v>278</v>
      </c>
      <c r="C284" s="3">
        <v>200610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4">
        <f t="shared" si="8"/>
        <v>38996</v>
      </c>
      <c r="B285" s="1">
        <v>279</v>
      </c>
      <c r="C285" s="3">
        <v>200610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4">
        <f t="shared" si="8"/>
        <v>38997</v>
      </c>
      <c r="B286" s="1">
        <v>280</v>
      </c>
      <c r="C286" s="3">
        <v>200610</v>
      </c>
      <c r="D286" s="3">
        <f>ROUND(IF(Data!E286&lt;0,0-Data!E286,0),1)</f>
        <v>0.7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4">
        <f t="shared" si="8"/>
        <v>38998</v>
      </c>
      <c r="B287" s="1">
        <v>281</v>
      </c>
      <c r="C287" s="3">
        <v>200610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4">
        <f t="shared" si="8"/>
        <v>38999</v>
      </c>
      <c r="B288" s="1">
        <v>282</v>
      </c>
      <c r="C288" s="3">
        <v>200610</v>
      </c>
      <c r="D288" s="3">
        <f>ROUND(IF(Data!E288&lt;0,0-Data!E288,0),1)</f>
        <v>0.7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4">
        <f t="shared" si="8"/>
        <v>39000</v>
      </c>
      <c r="B289" s="1">
        <v>283</v>
      </c>
      <c r="C289" s="3">
        <v>200610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4">
        <f t="shared" si="8"/>
        <v>39001</v>
      </c>
      <c r="B290" s="1">
        <v>284</v>
      </c>
      <c r="C290" s="3">
        <v>200610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4">
        <f t="shared" si="8"/>
        <v>39002</v>
      </c>
      <c r="B291" s="1">
        <v>285</v>
      </c>
      <c r="C291" s="3">
        <v>200610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4">
        <f t="shared" si="8"/>
        <v>39003</v>
      </c>
      <c r="B292" s="1">
        <v>286</v>
      </c>
      <c r="C292" s="3">
        <v>200610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4">
        <f t="shared" si="8"/>
        <v>39004</v>
      </c>
      <c r="B293" s="1">
        <v>287</v>
      </c>
      <c r="C293" s="3">
        <v>200610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4">
        <f t="shared" si="8"/>
        <v>39005</v>
      </c>
      <c r="B294" s="1">
        <v>288</v>
      </c>
      <c r="C294" s="3">
        <v>200610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4">
        <f t="shared" si="8"/>
        <v>39006</v>
      </c>
      <c r="B295" s="1">
        <v>289</v>
      </c>
      <c r="C295" s="3">
        <v>200610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4">
        <f t="shared" si="8"/>
        <v>39007</v>
      </c>
      <c r="B296" s="1">
        <v>290</v>
      </c>
      <c r="C296" s="3">
        <v>200610</v>
      </c>
      <c r="D296" s="3">
        <f>ROUND(IF(Data!E296&lt;0,0-Data!E296,0),1)</f>
        <v>1.7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4">
        <f t="shared" si="8"/>
        <v>39008</v>
      </c>
      <c r="B297" s="1">
        <v>291</v>
      </c>
      <c r="C297" s="3">
        <v>200610</v>
      </c>
      <c r="D297" s="3">
        <f>ROUND(IF(Data!E297&lt;0,0-Data!E297,0),1)</f>
        <v>0.2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4">
        <f t="shared" si="8"/>
        <v>39009</v>
      </c>
      <c r="B298" s="1">
        <v>292</v>
      </c>
      <c r="C298" s="3">
        <v>200610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4">
        <f t="shared" si="8"/>
        <v>39010</v>
      </c>
      <c r="B299" s="1">
        <v>293</v>
      </c>
      <c r="C299" s="3">
        <v>200610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4">
        <f t="shared" si="8"/>
        <v>39011</v>
      </c>
      <c r="B300" s="1">
        <v>294</v>
      </c>
      <c r="C300" s="3">
        <v>200610</v>
      </c>
      <c r="D300" s="3">
        <f>ROUND(IF(Data!E300&lt;0,0-Data!E300,0),1)</f>
        <v>1.6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4">
        <f t="shared" si="8"/>
        <v>39012</v>
      </c>
      <c r="B301" s="1">
        <v>295</v>
      </c>
      <c r="C301" s="3">
        <v>200610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4">
        <f t="shared" si="8"/>
        <v>39013</v>
      </c>
      <c r="B302" s="1">
        <v>296</v>
      </c>
      <c r="C302" s="3">
        <v>200610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4">
        <f t="shared" si="8"/>
        <v>39014</v>
      </c>
      <c r="B303" s="1">
        <v>297</v>
      </c>
      <c r="C303" s="3">
        <v>200610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4">
        <f t="shared" si="8"/>
        <v>39015</v>
      </c>
      <c r="B304" s="1">
        <v>298</v>
      </c>
      <c r="C304" s="3">
        <v>200610</v>
      </c>
      <c r="D304" s="3">
        <f>ROUND(IF(Data!E304&lt;0,0-Data!E304,0),1)</f>
        <v>1.6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4">
        <f t="shared" si="8"/>
        <v>39016</v>
      </c>
      <c r="B305" s="1">
        <v>299</v>
      </c>
      <c r="C305" s="3">
        <v>200610</v>
      </c>
      <c r="D305" s="3">
        <f>ROUND(IF(Data!E305&lt;0,0-Data!E305,0),1)</f>
        <v>0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4">
        <f t="shared" si="8"/>
        <v>39017</v>
      </c>
      <c r="B306" s="1">
        <v>300</v>
      </c>
      <c r="C306" s="3">
        <v>200610</v>
      </c>
      <c r="D306" s="3">
        <f>ROUND(IF(Data!E306&lt;0,0-Data!E306,0),1)</f>
        <v>0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4">
        <f t="shared" si="8"/>
        <v>39018</v>
      </c>
      <c r="B307" s="1">
        <v>301</v>
      </c>
      <c r="C307" s="3">
        <v>200610</v>
      </c>
      <c r="D307" s="3">
        <f>ROUND(IF(Data!E307&lt;0,0-Data!E307,0),1)</f>
        <v>0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4">
        <f t="shared" si="8"/>
        <v>39019</v>
      </c>
      <c r="B308" s="1">
        <v>302</v>
      </c>
      <c r="C308" s="3">
        <v>200610</v>
      </c>
      <c r="D308" s="3">
        <f>ROUND(IF(Data!E308&lt;0,0-Data!E308,0),1)</f>
        <v>6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4">
        <f t="shared" si="8"/>
        <v>39020</v>
      </c>
      <c r="B309" s="1">
        <v>303</v>
      </c>
      <c r="C309" s="3">
        <v>200610</v>
      </c>
      <c r="D309" s="3">
        <f>ROUND(IF(Data!E309&lt;0,0-Data!E309,0),1)</f>
        <v>12.4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4">
        <f t="shared" si="8"/>
        <v>39021</v>
      </c>
      <c r="B310" s="1">
        <v>304</v>
      </c>
      <c r="C310" s="3">
        <v>200610</v>
      </c>
      <c r="D310" s="3">
        <f>ROUND(IF(Data!E310&lt;0,0-Data!E310,0),1)</f>
        <v>11.7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4">
        <f t="shared" si="8"/>
        <v>39022</v>
      </c>
      <c r="B311" s="1">
        <v>305</v>
      </c>
      <c r="C311" s="3">
        <v>200611</v>
      </c>
      <c r="D311" s="3">
        <f>ROUND(IF(Data!E311&lt;0,0-Data!E311,0),1)</f>
        <v>10.7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4">
        <f t="shared" si="8"/>
        <v>39023</v>
      </c>
      <c r="B312" s="1">
        <v>306</v>
      </c>
      <c r="C312" s="3">
        <v>200611</v>
      </c>
      <c r="D312" s="3">
        <f>ROUND(IF(Data!E312&lt;0,0-Data!E312,0),1)</f>
        <v>4.7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4">
        <f t="shared" si="8"/>
        <v>39024</v>
      </c>
      <c r="B313" s="1">
        <v>307</v>
      </c>
      <c r="C313" s="3">
        <v>200611</v>
      </c>
      <c r="D313" s="3">
        <f>ROUND(IF(Data!E313&lt;0,0-Data!E313,0),1)</f>
        <v>1.6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4">
        <f t="shared" si="8"/>
        <v>39025</v>
      </c>
      <c r="B314" s="1">
        <v>308</v>
      </c>
      <c r="C314" s="3">
        <v>200611</v>
      </c>
      <c r="D314" s="3">
        <f>ROUND(IF(Data!E314&lt;0,0-Data!E314,0),1)</f>
        <v>0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4">
        <f t="shared" si="8"/>
        <v>39026</v>
      </c>
      <c r="B315" s="1">
        <v>309</v>
      </c>
      <c r="C315" s="3">
        <v>200611</v>
      </c>
      <c r="D315" s="3">
        <f>ROUND(IF(Data!E315&lt;0,0-Data!E315,0),1)</f>
        <v>0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4">
        <f t="shared" si="8"/>
        <v>39027</v>
      </c>
      <c r="B316" s="1">
        <v>310</v>
      </c>
      <c r="C316" s="3">
        <v>200611</v>
      </c>
      <c r="D316" s="3">
        <f>ROUND(IF(Data!E316&lt;0,0-Data!E316,0),1)</f>
        <v>0</v>
      </c>
      <c r="E316" s="3">
        <f>ROUND(IF(Data!E316&gt;5,Data!E316-5,0),1)</f>
        <v>0.2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4">
        <f t="shared" si="8"/>
        <v>39028</v>
      </c>
      <c r="B317" s="1">
        <v>311</v>
      </c>
      <c r="C317" s="3">
        <v>200611</v>
      </c>
      <c r="D317" s="3">
        <f>ROUND(IF(Data!E317&lt;0,0-Data!E317,0),1)</f>
        <v>0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4">
        <f t="shared" si="8"/>
        <v>39029</v>
      </c>
      <c r="B318" s="1">
        <v>312</v>
      </c>
      <c r="C318" s="3">
        <v>200611</v>
      </c>
      <c r="D318" s="3">
        <f>ROUND(IF(Data!E318&lt;0,0-Data!E318,0),1)</f>
        <v>2.6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4">
        <f t="shared" si="8"/>
        <v>39030</v>
      </c>
      <c r="B319" s="1">
        <v>313</v>
      </c>
      <c r="C319" s="3">
        <v>200611</v>
      </c>
      <c r="D319" s="3">
        <f>ROUND(IF(Data!E319&lt;0,0-Data!E319,0),1)</f>
        <v>6.5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4">
        <f t="shared" si="8"/>
        <v>39031</v>
      </c>
      <c r="B320" s="1">
        <v>314</v>
      </c>
      <c r="C320" s="3">
        <v>200611</v>
      </c>
      <c r="D320" s="3">
        <f>ROUND(IF(Data!E320&lt;0,0-Data!E320,0),1)</f>
        <v>3.8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4">
        <f t="shared" si="8"/>
        <v>39032</v>
      </c>
      <c r="B321" s="1">
        <v>315</v>
      </c>
      <c r="C321" s="3">
        <v>200611</v>
      </c>
      <c r="D321" s="3">
        <f>ROUND(IF(Data!E321&lt;0,0-Data!E321,0),1)</f>
        <v>4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4">
        <f t="shared" si="8"/>
        <v>39033</v>
      </c>
      <c r="B322" s="1">
        <v>316</v>
      </c>
      <c r="C322" s="3">
        <v>200611</v>
      </c>
      <c r="D322" s="3">
        <f>ROUND(IF(Data!E322&lt;0,0-Data!E322,0),1)</f>
        <v>3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4">
        <f t="shared" si="8"/>
        <v>39034</v>
      </c>
      <c r="B323" s="1">
        <v>317</v>
      </c>
      <c r="C323" s="3">
        <v>200611</v>
      </c>
      <c r="D323" s="3">
        <f>ROUND(IF(Data!E323&lt;0,0-Data!E323,0),1)</f>
        <v>4.0999999999999996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4">
        <f t="shared" si="8"/>
        <v>39035</v>
      </c>
      <c r="B324" s="1">
        <v>318</v>
      </c>
      <c r="C324" s="3">
        <v>200611</v>
      </c>
      <c r="D324" s="3">
        <f>ROUND(IF(Data!E324&lt;0,0-Data!E324,0),1)</f>
        <v>5.9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4">
        <f t="shared" si="8"/>
        <v>39036</v>
      </c>
      <c r="B325" s="1">
        <v>319</v>
      </c>
      <c r="C325" s="3">
        <v>200611</v>
      </c>
      <c r="D325" s="3">
        <f>ROUND(IF(Data!E325&lt;0,0-Data!E325,0),1)</f>
        <v>1.6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4">
        <f t="shared" si="8"/>
        <v>39037</v>
      </c>
      <c r="B326" s="1">
        <v>320</v>
      </c>
      <c r="C326" s="3">
        <v>200611</v>
      </c>
      <c r="D326" s="3">
        <f>ROUND(IF(Data!E326&lt;0,0-Data!E326,0),1)</f>
        <v>3.8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4">
        <f t="shared" si="8"/>
        <v>39038</v>
      </c>
      <c r="B327" s="1">
        <v>321</v>
      </c>
      <c r="C327" s="3">
        <v>200611</v>
      </c>
      <c r="D327" s="3">
        <f>ROUND(IF(Data!E327&lt;0,0-Data!E327,0),1)</f>
        <v>3.5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4">
        <f t="shared" si="8"/>
        <v>39039</v>
      </c>
      <c r="B328" s="1">
        <v>322</v>
      </c>
      <c r="C328" s="3">
        <v>200611</v>
      </c>
      <c r="D328" s="3">
        <f>ROUND(IF(Data!E328&lt;0,0-Data!E328,0),1)</f>
        <v>2.4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4">
        <f t="shared" ref="A329:A371" si="9">A328+1</f>
        <v>39040</v>
      </c>
      <c r="B329" s="1">
        <v>323</v>
      </c>
      <c r="C329" s="3">
        <v>200611</v>
      </c>
      <c r="D329" s="3">
        <f>ROUND(IF(Data!E329&lt;0,0-Data!E329,0),1)</f>
        <v>0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4">
        <f t="shared" si="9"/>
        <v>39041</v>
      </c>
      <c r="B330" s="1">
        <v>324</v>
      </c>
      <c r="C330" s="3">
        <v>200611</v>
      </c>
      <c r="D330" s="3">
        <f>ROUND(IF(Data!E330&lt;0,0-Data!E330,0),1)</f>
        <v>2.6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4">
        <f t="shared" si="9"/>
        <v>39042</v>
      </c>
      <c r="B331" s="1">
        <v>325</v>
      </c>
      <c r="C331" s="3">
        <v>200611</v>
      </c>
      <c r="D331" s="3">
        <f>ROUND(IF(Data!E331&lt;0,0-Data!E331,0),1)</f>
        <v>1.6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4">
        <f t="shared" si="9"/>
        <v>39043</v>
      </c>
      <c r="B332" s="1">
        <v>326</v>
      </c>
      <c r="C332" s="3">
        <v>200611</v>
      </c>
      <c r="D332" s="3">
        <f>ROUND(IF(Data!E332&lt;0,0-Data!E332,0),1)</f>
        <v>3.6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4">
        <f t="shared" si="9"/>
        <v>39044</v>
      </c>
      <c r="B333" s="1">
        <v>327</v>
      </c>
      <c r="C333" s="3">
        <v>200611</v>
      </c>
      <c r="D333" s="3">
        <f>ROUND(IF(Data!E333&lt;0,0-Data!E333,0),1)</f>
        <v>5.3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4">
        <f t="shared" si="9"/>
        <v>39045</v>
      </c>
      <c r="B334" s="1">
        <v>328</v>
      </c>
      <c r="C334" s="3">
        <v>200611</v>
      </c>
      <c r="D334" s="3">
        <f>ROUND(IF(Data!E334&lt;0,0-Data!E334,0),1)</f>
        <v>9.1999999999999993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4">
        <f t="shared" si="9"/>
        <v>39046</v>
      </c>
      <c r="B335" s="1">
        <v>329</v>
      </c>
      <c r="C335" s="3">
        <v>200611</v>
      </c>
      <c r="D335" s="3">
        <f>ROUND(IF(Data!E335&lt;0,0-Data!E335,0),1)</f>
        <v>12.8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4">
        <f t="shared" si="9"/>
        <v>39047</v>
      </c>
      <c r="B336" s="1">
        <v>330</v>
      </c>
      <c r="C336" s="3">
        <v>200611</v>
      </c>
      <c r="D336" s="3">
        <f>ROUND(IF(Data!E336&lt;0,0-Data!E336,0),1)</f>
        <v>9.9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4">
        <f t="shared" si="9"/>
        <v>39048</v>
      </c>
      <c r="B337" s="1">
        <v>331</v>
      </c>
      <c r="C337" s="3">
        <v>200611</v>
      </c>
      <c r="D337" s="3">
        <f>ROUND(IF(Data!E337&lt;0,0-Data!E337,0),1)</f>
        <v>22.2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4">
        <f t="shared" si="9"/>
        <v>39049</v>
      </c>
      <c r="B338" s="1">
        <v>332</v>
      </c>
      <c r="C338" s="3">
        <v>200611</v>
      </c>
      <c r="D338" s="3">
        <f>ROUND(IF(Data!E338&lt;0,0-Data!E338,0),1)</f>
        <v>26.1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4">
        <f t="shared" si="9"/>
        <v>39050</v>
      </c>
      <c r="B339" s="1">
        <v>333</v>
      </c>
      <c r="C339" s="3">
        <v>200611</v>
      </c>
      <c r="D339" s="3">
        <f>ROUND(IF(Data!E339&lt;0,0-Data!E339,0),1)</f>
        <v>24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4">
        <f t="shared" si="9"/>
        <v>39051</v>
      </c>
      <c r="B340" s="1">
        <v>334</v>
      </c>
      <c r="C340" s="3">
        <v>200611</v>
      </c>
      <c r="D340" s="3">
        <f>ROUND(IF(Data!E340&lt;0,0-Data!E340,0),1)</f>
        <v>12.4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4">
        <f t="shared" si="9"/>
        <v>39052</v>
      </c>
      <c r="B341" s="1">
        <v>335</v>
      </c>
      <c r="C341" s="3">
        <v>200612</v>
      </c>
      <c r="D341" s="3">
        <f>ROUND(IF(Data!E341&lt;0,0-Data!E341,0),1)</f>
        <v>9.6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4">
        <f t="shared" si="9"/>
        <v>39053</v>
      </c>
      <c r="B342" s="1">
        <v>336</v>
      </c>
      <c r="C342" s="3">
        <v>200612</v>
      </c>
      <c r="D342" s="3">
        <f>ROUND(IF(Data!E342&lt;0,0-Data!E342,0),1)</f>
        <v>12.7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4">
        <f t="shared" si="9"/>
        <v>39054</v>
      </c>
      <c r="B343" s="1">
        <v>337</v>
      </c>
      <c r="C343" s="3">
        <v>200612</v>
      </c>
      <c r="D343" s="3">
        <f>ROUND(IF(Data!E343&lt;0,0-Data!E343,0),1)</f>
        <v>8.3000000000000007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4">
        <f t="shared" si="9"/>
        <v>39055</v>
      </c>
      <c r="B344" s="1">
        <v>338</v>
      </c>
      <c r="C344" s="3">
        <v>200612</v>
      </c>
      <c r="D344" s="3">
        <f>ROUND(IF(Data!E344&lt;0,0-Data!E344,0),1)</f>
        <v>6.5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4">
        <f t="shared" si="9"/>
        <v>39056</v>
      </c>
      <c r="B345" s="1">
        <v>339</v>
      </c>
      <c r="C345" s="3">
        <v>200612</v>
      </c>
      <c r="D345" s="3">
        <f>ROUND(IF(Data!E345&lt;0,0-Data!E345,0),1)</f>
        <v>4.5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4">
        <f t="shared" si="9"/>
        <v>39057</v>
      </c>
      <c r="B346" s="1">
        <v>340</v>
      </c>
      <c r="C346" s="3">
        <v>200612</v>
      </c>
      <c r="D346" s="3">
        <f>ROUND(IF(Data!E346&lt;0,0-Data!E346,0),1)</f>
        <v>3.2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4">
        <f t="shared" si="9"/>
        <v>39058</v>
      </c>
      <c r="B347" s="1">
        <v>341</v>
      </c>
      <c r="C347" s="3">
        <v>200612</v>
      </c>
      <c r="D347" s="3">
        <f>ROUND(IF(Data!E347&lt;0,0-Data!E347,0),1)</f>
        <v>3.7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4">
        <f t="shared" si="9"/>
        <v>39059</v>
      </c>
      <c r="B348" s="1">
        <v>342</v>
      </c>
      <c r="C348" s="3">
        <v>200612</v>
      </c>
      <c r="D348" s="3">
        <f>ROUND(IF(Data!E348&lt;0,0-Data!E348,0),1)</f>
        <v>1.7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4">
        <f t="shared" si="9"/>
        <v>39060</v>
      </c>
      <c r="B349" s="1">
        <v>343</v>
      </c>
      <c r="C349" s="3">
        <v>200612</v>
      </c>
      <c r="D349" s="3">
        <f>ROUND(IF(Data!E349&lt;0,0-Data!E349,0),1)</f>
        <v>0.8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4">
        <f t="shared" si="9"/>
        <v>39061</v>
      </c>
      <c r="B350" s="1">
        <v>344</v>
      </c>
      <c r="C350" s="3">
        <v>200612</v>
      </c>
      <c r="D350" s="3">
        <f>ROUND(IF(Data!E350&lt;0,0-Data!E350,0),1)</f>
        <v>0.6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4">
        <f t="shared" si="9"/>
        <v>39062</v>
      </c>
      <c r="B351" s="1">
        <v>345</v>
      </c>
      <c r="C351" s="3">
        <v>200612</v>
      </c>
      <c r="D351" s="3">
        <f>ROUND(IF(Data!E351&lt;0,0-Data!E351,0),1)</f>
        <v>1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4">
        <f t="shared" si="9"/>
        <v>39063</v>
      </c>
      <c r="B352" s="1">
        <v>346</v>
      </c>
      <c r="C352" s="3">
        <v>200612</v>
      </c>
      <c r="D352" s="3">
        <f>ROUND(IF(Data!E352&lt;0,0-Data!E352,0),1)</f>
        <v>3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4">
        <f t="shared" si="9"/>
        <v>39064</v>
      </c>
      <c r="B353" s="1">
        <v>347</v>
      </c>
      <c r="C353" s="3">
        <v>200612</v>
      </c>
      <c r="D353" s="3">
        <f>ROUND(IF(Data!E353&lt;0,0-Data!E353,0),1)</f>
        <v>2.6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4">
        <f t="shared" si="9"/>
        <v>39065</v>
      </c>
      <c r="B354" s="1">
        <v>348</v>
      </c>
      <c r="C354" s="3">
        <v>200612</v>
      </c>
      <c r="D354" s="3">
        <f>ROUND(IF(Data!E354&lt;0,0-Data!E354,0),1)</f>
        <v>5.6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4">
        <f t="shared" si="9"/>
        <v>39066</v>
      </c>
      <c r="B355" s="1">
        <v>349</v>
      </c>
      <c r="C355" s="3">
        <v>200612</v>
      </c>
      <c r="D355" s="3">
        <f>ROUND(IF(Data!E355&lt;0,0-Data!E355,0),1)</f>
        <v>6.8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4">
        <f t="shared" si="9"/>
        <v>39067</v>
      </c>
      <c r="B356" s="1">
        <v>350</v>
      </c>
      <c r="C356" s="3">
        <v>200612</v>
      </c>
      <c r="D356" s="3">
        <f>ROUND(IF(Data!E356&lt;0,0-Data!E356,0),1)</f>
        <v>15.2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4">
        <f t="shared" si="9"/>
        <v>39068</v>
      </c>
      <c r="B357" s="1">
        <v>351</v>
      </c>
      <c r="C357" s="3">
        <v>200612</v>
      </c>
      <c r="D357" s="3">
        <f>ROUND(IF(Data!E357&lt;0,0-Data!E357,0),1)</f>
        <v>11.6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4">
        <f t="shared" si="9"/>
        <v>39069</v>
      </c>
      <c r="B358" s="1">
        <v>352</v>
      </c>
      <c r="C358" s="3">
        <v>200612</v>
      </c>
      <c r="D358" s="3">
        <f>ROUND(IF(Data!E358&lt;0,0-Data!E358,0),1)</f>
        <v>8.8000000000000007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4">
        <f t="shared" si="9"/>
        <v>39070</v>
      </c>
      <c r="B359" s="1">
        <v>353</v>
      </c>
      <c r="C359" s="3">
        <v>200612</v>
      </c>
      <c r="D359" s="3">
        <f>ROUND(IF(Data!E359&lt;0,0-Data!E359,0),1)</f>
        <v>5.4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4">
        <f t="shared" si="9"/>
        <v>39071</v>
      </c>
      <c r="B360" s="1">
        <v>354</v>
      </c>
      <c r="C360" s="3">
        <v>200612</v>
      </c>
      <c r="D360" s="3">
        <f>ROUND(IF(Data!E360&lt;0,0-Data!E360,0),1)</f>
        <v>3.1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4">
        <f t="shared" si="9"/>
        <v>39072</v>
      </c>
      <c r="B361" s="1">
        <v>355</v>
      </c>
      <c r="C361" s="3">
        <v>200612</v>
      </c>
      <c r="D361" s="3">
        <f>ROUND(IF(Data!E361&lt;0,0-Data!E361,0),1)</f>
        <v>3.6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4">
        <f t="shared" si="9"/>
        <v>39073</v>
      </c>
      <c r="B362" s="1">
        <v>356</v>
      </c>
      <c r="C362" s="3">
        <v>200612</v>
      </c>
      <c r="D362" s="3">
        <f>ROUND(IF(Data!E362&lt;0,0-Data!E362,0),1)</f>
        <v>5.4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4">
        <f t="shared" si="9"/>
        <v>39074</v>
      </c>
      <c r="B363" s="1">
        <v>357</v>
      </c>
      <c r="C363" s="3">
        <v>200612</v>
      </c>
      <c r="D363" s="3">
        <f>ROUND(IF(Data!E363&lt;0,0-Data!E363,0),1)</f>
        <v>7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4">
        <f t="shared" si="9"/>
        <v>39075</v>
      </c>
      <c r="B364" s="1">
        <v>358</v>
      </c>
      <c r="C364" s="3">
        <v>200612</v>
      </c>
      <c r="D364" s="3">
        <f>ROUND(IF(Data!E364&lt;0,0-Data!E364,0),1)</f>
        <v>9.8000000000000007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4">
        <f t="shared" si="9"/>
        <v>39076</v>
      </c>
      <c r="B365" s="1">
        <v>359</v>
      </c>
      <c r="C365" s="3">
        <v>200612</v>
      </c>
      <c r="D365" s="3">
        <f>ROUND(IF(Data!E365&lt;0,0-Data!E365,0),1)</f>
        <v>4.2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4">
        <f t="shared" si="9"/>
        <v>39077</v>
      </c>
      <c r="B366" s="1">
        <v>360</v>
      </c>
      <c r="C366" s="3">
        <v>200612</v>
      </c>
      <c r="D366" s="3">
        <f>ROUND(IF(Data!E366&lt;0,0-Data!E366,0),1)</f>
        <v>5.4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4">
        <f t="shared" si="9"/>
        <v>39078</v>
      </c>
      <c r="B367" s="1">
        <v>361</v>
      </c>
      <c r="C367" s="3">
        <v>200612</v>
      </c>
      <c r="D367" s="3">
        <f>ROUND(IF(Data!E367&lt;0,0-Data!E367,0),1)</f>
        <v>7.6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4">
        <f t="shared" si="9"/>
        <v>39079</v>
      </c>
      <c r="B368" s="1">
        <v>362</v>
      </c>
      <c r="C368" s="3">
        <v>200612</v>
      </c>
      <c r="D368" s="3">
        <f>ROUND(IF(Data!E368&lt;0,0-Data!E368,0),1)</f>
        <v>14.7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4">
        <f t="shared" si="9"/>
        <v>39080</v>
      </c>
      <c r="B369" s="1">
        <v>363</v>
      </c>
      <c r="C369" s="3">
        <v>200612</v>
      </c>
      <c r="D369" s="3">
        <f>ROUND(IF(Data!E369&lt;0,0-Data!E369,0),1)</f>
        <v>8.9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4">
        <f t="shared" si="9"/>
        <v>39081</v>
      </c>
      <c r="B370" s="1">
        <v>364</v>
      </c>
      <c r="C370" s="3">
        <v>200612</v>
      </c>
      <c r="D370" s="3">
        <f>ROUND(IF(Data!E370&lt;0,0-Data!E370,0),1)</f>
        <v>10.6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4">
        <f t="shared" si="9"/>
        <v>39082</v>
      </c>
      <c r="B371" s="1">
        <v>365</v>
      </c>
      <c r="C371" s="3">
        <v>200612</v>
      </c>
      <c r="D371" s="3">
        <f>ROUND(IF(Data!E371&lt;0,0-Data!E371,0),1)</f>
        <v>7.1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2025-04-19T00:25:08Z</dcterms:modified>
</cp:coreProperties>
</file>